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commentsmeta2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_SATURN_CFG" sheetId="1" r:id="rId5"/>
    <sheet state="visible" name="push" sheetId="2" r:id="rId6"/>
    <sheet state="visible" name="pull-as-of" sheetId="3" r:id="rId7"/>
    <sheet state="visible" name="pull" sheetId="4" r:id="rId8"/>
    <sheet state="visible" name="daily graphs" sheetId="5" r:id="rId9"/>
    <sheet state="visible" name="weekly graphs" sheetId="6" r:id="rId10"/>
    <sheet state="visible" name="monthly graphs" sheetId="7" r:id="rId11"/>
    <sheet state="visible" name="xy" sheetId="8" r:id="rId12"/>
  </sheets>
  <definedNames>
    <definedName name="weekly_chart_range">'weekly graphs'!$AO$25:$AO$26</definedName>
    <definedName name="chart_range">'monthly graphs'!$AH$19:$AH$20</definedName>
    <definedName name="big_daily_table">pull!$AB$2:$AM$4385</definedName>
    <definedName name="rwc_push_gasoline_balance">push!$B$3:$O$26</definedName>
    <definedName name="monthly_dropdown">'monthly graphs'!$B$3</definedName>
    <definedName name="daily_items">pull!$AB$1:$AM$1</definedName>
    <definedName name="daily_dropdown">'daily graphs'!$B$3</definedName>
    <definedName name="wc_push_gasoline_balance">push!$B$3:$O$26</definedName>
    <definedName name="dates">pull!$A$2:$A$254</definedName>
    <definedName name="rc_daily_gasoline">pull!$AB$3:$AM$4385</definedName>
    <definedName name="rwc_gasoline_pull">pull!$B$3:$X$254</definedName>
    <definedName name="items">pull!$B$1:$X$1</definedName>
    <definedName name="big_table">pull!$B$2:$X$254</definedName>
    <definedName name="daily_chart_range">'daily graphs'!$AN$25:$AN$26</definedName>
    <definedName name="rwc_daily_gasoline">pull!$AB$3:$AM$4385</definedName>
    <definedName name="daily_dates">pull!$AA$2:$AA$4385</definedName>
    <definedName name="big_table_as_of">'pull-as-of'!$B$2:$X$254</definedName>
    <definedName name="weekly_dropdown">'weekly graphs'!$B$3</definedName>
    <definedName name="rc_gasoline_pull">pull!$B$3:$X$254</definedName>
    <definedName name="rwc_wdkgfjdlfjgldskjfg">pull!$B$3:$X$254</definedName>
  </definedNames>
  <calcPr/>
  <extLst>
    <ext uri="GoogleSheetsCustomDataVersion2">
      <go:sheetsCustomData xmlns:go="http://customooxmlschemas.google.com/" r:id="rId13" roundtripDataChecksum="XJJfAa0uzwfmsQKD3oE7XxMzyYzoSsHX938gxqQ21KY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2">
      <text>
        <t xml:space="preserve">======
ID#AAAA58qKJYQ
Sonia Klair    (2023-09-27 11:26:32)
ASOF</t>
      </text>
    </comment>
  </commentList>
  <extLst>
    <ext uri="GoogleSheetsCustomDataVersion2">
      <go:sheetsCustomData xmlns:go="http://customooxmlschemas.google.com/" r:id="rId1" roundtripDataSignature="AMtx7mjBFcxqoqeVl8SyJ3KtDrHzP/LaF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2">
      <text>
        <t xml:space="preserve">======
ID#AAAA58qKJYI
Loic Balland    (2023-09-27 11:26:32)
ASOF</t>
      </text>
    </comment>
  </commentList>
  <extLst>
    <ext uri="GoogleSheetsCustomDataVersion2">
      <go:sheetsCustomData xmlns:go="http://customooxmlschemas.google.com/" r:id="rId1" roundtripDataSignature="AMtx7mh11MsohBe7mPkgLtsdYz/H3VSDdA=="/>
    </ext>
  </extLst>
</comments>
</file>

<file path=xl/comments3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A2">
      <text>
        <t xml:space="preserve">======
ID#AAAA58qKJYM
Loic Balland    (2023-09-27 11:26:32)
ASOF</t>
      </text>
    </comment>
    <comment authorId="0" ref="A2">
      <text>
        <t xml:space="preserve">======
ID#AAAA58qKJYE
Loic Balland    (2023-09-27 11:26:32)
ASOF</t>
      </text>
    </comment>
  </commentList>
  <extLst>
    <ext uri="GoogleSheetsCustomDataVersion2">
      <go:sheetsCustomData xmlns:go="http://customooxmlschemas.google.com/" r:id="rId1" roundtripDataSignature="AMtx7mjhcSYd5PN43l4mI6kQurrPy94kwQ=="/>
    </ext>
  </extLst>
</comments>
</file>

<file path=xl/sharedStrings.xml><?xml version="1.0" encoding="utf-8"?>
<sst xmlns="http://schemas.openxmlformats.org/spreadsheetml/2006/main" count="55" uniqueCount="30">
  <si>
    <t>webapi</t>
  </si>
  <si>
    <t>date</t>
  </si>
  <si>
    <t>range</t>
  </si>
  <si>
    <t>years</t>
  </si>
  <si>
    <t>eurobob_crack_barge_m1</t>
  </si>
  <si>
    <t>day</t>
  </si>
  <si>
    <t>month</t>
  </si>
  <si>
    <t>dates</t>
  </si>
  <si>
    <t>today</t>
  </si>
  <si>
    <t>min</t>
  </si>
  <si>
    <t>max</t>
  </si>
  <si>
    <t>mean</t>
  </si>
  <si>
    <t>Seasonal with forecast line</t>
  </si>
  <si>
    <t>Seasonal without forecast line</t>
  </si>
  <si>
    <t>min_graph</t>
  </si>
  <si>
    <t>max_graph</t>
  </si>
  <si>
    <t>ebob_ulsd_fob</t>
  </si>
  <si>
    <t>week</t>
  </si>
  <si>
    <t>commercial_stocks</t>
  </si>
  <si>
    <t>min-max</t>
  </si>
  <si>
    <t>jodi_time_+1</t>
  </si>
  <si>
    <t>jodi_time</t>
  </si>
  <si>
    <t>Last forecast</t>
  </si>
  <si>
    <t>Annual</t>
  </si>
  <si>
    <t>Time series</t>
  </si>
  <si>
    <t>Seasonal</t>
  </si>
  <si>
    <t>weekly</t>
  </si>
  <si>
    <t>ara_stocks</t>
  </si>
  <si>
    <t>fcc_margin_net_gas</t>
  </si>
  <si>
    <t>ending_stocks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</si>
</sst>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/M/YYYY"/>
  </numFmts>
  <fonts count="7">
    <font>
      <sz val="11.0"/>
      <color theme="1"/>
      <name val="Calibri"/>
      <scheme val="minor"/>
    </font>
    <font>
      <color theme="1"/>
      <name val="Calibri"/>
    </font>
    <font>
      <sz val="11.0"/>
      <color theme="10"/>
      <name val="Calibri"/>
    </font>
    <font>
      <sz val="11.0"/>
      <color theme="1"/>
      <name val="Calibri"/>
    </font>
    <font>
      <b/>
      <sz val="8.0"/>
      <color theme="0"/>
      <name val="Calibri"/>
    </font>
    <font>
      <sz val="11.0"/>
      <color theme="0"/>
      <name val="Calibri"/>
    </font>
    <font>
      <b/>
      <sz val="11.0"/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C00000"/>
        <bgColor rgb="FFC00000"/>
      </patternFill>
    </fill>
    <fill>
      <patternFill patternType="solid">
        <fgColor rgb="FFFFAAAA"/>
        <bgColor rgb="FFFFAAAA"/>
      </patternFill>
    </fill>
    <fill>
      <patternFill patternType="solid">
        <fgColor rgb="FFDBE5F1"/>
        <bgColor rgb="FFDBE5F1"/>
      </patternFill>
    </fill>
    <fill>
      <patternFill patternType="solid">
        <fgColor rgb="FFB3E2CD"/>
        <bgColor rgb="FFB3E2CD"/>
      </patternFill>
    </fill>
    <fill>
      <patternFill patternType="solid">
        <fgColor rgb="FFFDCDAC"/>
        <bgColor rgb="FFFDCDAC"/>
      </patternFill>
    </fill>
  </fills>
  <borders count="16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/>
      <right/>
      <top/>
      <bottom style="thin">
        <color rgb="FF000000"/>
      </bottom>
    </border>
  </borders>
  <cellStyleXfs count="1">
    <xf borderId="0" fillId="0" fontId="0" numFmtId="0" applyAlignment="1" applyFont="1"/>
  </cellStyleXfs>
  <cellXfs count="3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left" shrinkToFit="0" vertical="center" wrapText="1"/>
    </xf>
    <xf borderId="1" fillId="2" fontId="4" numFmtId="0" xfId="0" applyAlignment="1" applyBorder="1" applyFill="1" applyFont="1">
      <alignment horizontal="center" shrinkToFit="0" vertical="center" wrapText="1"/>
    </xf>
    <xf borderId="2" fillId="0" fontId="3" numFmtId="0" xfId="0" applyAlignment="1" applyBorder="1" applyFont="1">
      <alignment shrinkToFit="0" wrapText="1"/>
    </xf>
    <xf borderId="0" fillId="0" fontId="3" numFmtId="0" xfId="0" applyAlignment="1" applyFont="1">
      <alignment shrinkToFit="0" wrapText="1"/>
    </xf>
    <xf borderId="0" fillId="0" fontId="3" numFmtId="164" xfId="0" applyFont="1" applyNumberFormat="1"/>
    <xf borderId="1" fillId="3" fontId="3" numFmtId="0" xfId="0" applyBorder="1" applyFill="1" applyFont="1"/>
    <xf borderId="2" fillId="0" fontId="3" numFmtId="164" xfId="0" applyAlignment="1" applyBorder="1" applyFont="1" applyNumberFormat="1">
      <alignment horizontal="center"/>
    </xf>
    <xf borderId="0" fillId="0" fontId="2" numFmtId="0" xfId="0" applyAlignment="1" applyFont="1">
      <alignment horizontal="center" shrinkToFit="0" wrapText="1"/>
    </xf>
    <xf borderId="0" fillId="0" fontId="3" numFmtId="0" xfId="0" applyAlignment="1" applyFont="1">
      <alignment horizontal="center" shrinkToFit="0" wrapText="1"/>
    </xf>
    <xf borderId="0" fillId="0" fontId="2" numFmtId="0" xfId="0" applyAlignment="1" applyFont="1">
      <alignment horizontal="center"/>
    </xf>
    <xf borderId="0" fillId="0" fontId="3" numFmtId="0" xfId="0" applyAlignment="1" applyFont="1">
      <alignment horizontal="center"/>
    </xf>
    <xf borderId="1" fillId="4" fontId="3" numFmtId="0" xfId="0" applyBorder="1" applyFill="1" applyFont="1"/>
    <xf borderId="1" fillId="5" fontId="3" numFmtId="0" xfId="0" applyBorder="1" applyFill="1" applyFont="1"/>
    <xf borderId="1" fillId="6" fontId="3" numFmtId="0" xfId="0" applyBorder="1" applyFill="1" applyFont="1"/>
    <xf borderId="2" fillId="0" fontId="3" numFmtId="0" xfId="0" applyAlignment="1" applyBorder="1" applyFont="1">
      <alignment horizontal="center"/>
    </xf>
    <xf borderId="3" fillId="0" fontId="3" numFmtId="0" xfId="0" applyBorder="1" applyFont="1"/>
    <xf borderId="1" fillId="2" fontId="5" numFmtId="0" xfId="0" applyBorder="1" applyFont="1"/>
    <xf borderId="4" fillId="0" fontId="3" numFmtId="0" xfId="0" applyBorder="1" applyFont="1"/>
    <xf borderId="5" fillId="0" fontId="3" numFmtId="0" xfId="0" applyBorder="1" applyFont="1"/>
    <xf borderId="0" fillId="0" fontId="6" numFmtId="0" xfId="0" applyFont="1"/>
    <xf borderId="0" fillId="0" fontId="3" numFmtId="16" xfId="0" applyFont="1" applyNumberFormat="1"/>
    <xf borderId="0" fillId="0" fontId="3" numFmtId="2" xfId="0" applyFont="1" applyNumberFormat="1"/>
    <xf borderId="6" fillId="0" fontId="3" numFmtId="0" xfId="0" applyBorder="1" applyFont="1"/>
    <xf borderId="7" fillId="0" fontId="3" numFmtId="0" xfId="0" applyBorder="1" applyFont="1"/>
    <xf borderId="7" fillId="0" fontId="3" numFmtId="1" xfId="0" applyBorder="1" applyFont="1" applyNumberFormat="1"/>
    <xf borderId="8" fillId="0" fontId="3" numFmtId="0" xfId="0" applyBorder="1" applyFont="1"/>
    <xf borderId="9" fillId="0" fontId="3" numFmtId="0" xfId="0" applyBorder="1" applyFont="1"/>
    <xf borderId="10" fillId="0" fontId="3" numFmtId="0" xfId="0" applyBorder="1" applyFont="1"/>
    <xf borderId="11" fillId="0" fontId="3" numFmtId="0" xfId="0" applyBorder="1" applyFont="1"/>
    <xf borderId="12" fillId="0" fontId="3" numFmtId="0" xfId="0" applyBorder="1" applyFont="1"/>
    <xf borderId="0" fillId="0" fontId="3" numFmtId="17" xfId="0" applyFont="1" applyNumberFormat="1"/>
    <xf borderId="13" fillId="0" fontId="3" numFmtId="0" xfId="0" applyBorder="1" applyFont="1"/>
    <xf borderId="14" fillId="0" fontId="3" numFmtId="0" xfId="0" applyBorder="1" applyFont="1"/>
    <xf borderId="15" fillId="2" fontId="5" numFmtId="0" xfId="0" applyBorder="1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areaChart>
        <c:grouping val="stacked"/>
        <c:axId val="268287115"/>
        <c:axId val="46263692"/>
      </c:areaChart>
      <c:catAx>
        <c:axId val="268287115"/>
        <c:scaling>
          <c:orientation val="minMax"/>
          <c:max val="45292.0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mmm\-yy" sourceLinked="0"/>
        <c:majorTickMark val="out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46263692"/>
      </c:catAx>
      <c:valAx>
        <c:axId val="46263692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268287115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axId val="1074046577"/>
        <c:axId val="206146604"/>
      </c:lineChart>
      <c:catAx>
        <c:axId val="10740465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6146604"/>
      </c:catAx>
      <c:valAx>
        <c:axId val="206146604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074046577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712982519"/>
        <c:axId val="1443426577"/>
      </c:scatterChart>
      <c:valAx>
        <c:axId val="1712982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ara_stocks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43426577"/>
      </c:valAx>
      <c:valAx>
        <c:axId val="1443426577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712982519"/>
      </c:valAx>
    </c:plotArea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14486369047619047"/>
          <c:y val="0.02152932098765432"/>
          <c:w val="0.8227815476190476"/>
          <c:h val="0.7828327160493828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8253469"/>
        <c:axId val="146059265"/>
      </c:scatterChart>
      <c:valAx>
        <c:axId val="2382534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ara_stocks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6059265"/>
      </c:valAx>
      <c:valAx>
        <c:axId val="146059265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238253469"/>
      </c:valAx>
    </c:plotArea>
    <c:plotVisOnly val="1"/>
  </c:chart>
</c:chartSpace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0</xdr:colOff>
      <xdr:row>23</xdr:row>
      <xdr:rowOff>0</xdr:rowOff>
    </xdr:from>
    <xdr:ext cx="4867275" cy="3076575"/>
    <xdr:graphicFrame>
      <xdr:nvGraphicFramePr>
        <xdr:cNvPr id="92032227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0</xdr:colOff>
      <xdr:row>2</xdr:row>
      <xdr:rowOff>0</xdr:rowOff>
    </xdr:from>
    <xdr:ext cx="4810125" cy="3076575"/>
    <xdr:graphicFrame>
      <xdr:nvGraphicFramePr>
        <xdr:cNvPr id="1260070159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6</xdr:col>
      <xdr:colOff>0</xdr:colOff>
      <xdr:row>19</xdr:row>
      <xdr:rowOff>180975</xdr:rowOff>
    </xdr:from>
    <xdr:ext cx="4810125" cy="3076575"/>
    <xdr:graphicFrame>
      <xdr:nvGraphicFramePr>
        <xdr:cNvPr id="1112489941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38</xdr:row>
      <xdr:rowOff>0</xdr:rowOff>
    </xdr:from>
    <xdr:ext cx="4810125" cy="3076575"/>
    <xdr:graphicFrame>
      <xdr:nvGraphicFramePr>
        <xdr:cNvPr id="1477550039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3.v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1" t="s">
        <v>0</v>
      </c>
      <c r="B1" s="2"/>
    </row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9" width="20.86"/>
    <col customWidth="1" min="10" max="10" width="20.29"/>
    <col customWidth="1" min="11" max="11" width="18.71"/>
    <col customWidth="1" min="12" max="15" width="20.86"/>
    <col customWidth="1" min="16" max="26" width="8.71"/>
  </cols>
  <sheetData>
    <row r="1" ht="14.25" customHeight="1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14.2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ht="14.25" customHeight="1">
      <c r="A3" s="7">
        <v>44927.0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ht="14.25" customHeight="1">
      <c r="A4" s="7">
        <f t="shared" ref="A4:A26" si="1">EOMONTH(A3,0)+1</f>
        <v>44958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ht="14.25" customHeight="1">
      <c r="A5" s="7">
        <f t="shared" si="1"/>
        <v>44986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ht="14.25" customHeight="1">
      <c r="A6" s="7">
        <f t="shared" si="1"/>
        <v>45017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</row>
    <row r="7" ht="14.25" customHeight="1">
      <c r="A7" s="7">
        <f t="shared" si="1"/>
        <v>45047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ht="14.25" customHeight="1">
      <c r="A8" s="7">
        <f t="shared" si="1"/>
        <v>45078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ht="14.25" customHeight="1">
      <c r="A9" s="7">
        <f t="shared" si="1"/>
        <v>45108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ht="14.25" customHeight="1">
      <c r="A10" s="7">
        <f t="shared" si="1"/>
        <v>45139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ht="14.25" customHeight="1">
      <c r="A11" s="7">
        <f t="shared" si="1"/>
        <v>45170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ht="14.25" customHeight="1">
      <c r="A12" s="7">
        <f t="shared" si="1"/>
        <v>45200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ht="14.25" customHeight="1">
      <c r="A13" s="7">
        <f t="shared" si="1"/>
        <v>45231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ht="14.25" customHeight="1">
      <c r="A14" s="7">
        <f t="shared" si="1"/>
        <v>45261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ht="14.25" customHeight="1">
      <c r="A15" s="7">
        <f t="shared" si="1"/>
        <v>45292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ht="14.25" customHeight="1">
      <c r="A16" s="7">
        <f t="shared" si="1"/>
        <v>45323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  <row r="17" ht="14.25" customHeight="1">
      <c r="A17" s="7">
        <f t="shared" si="1"/>
        <v>45352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</row>
    <row r="18" ht="14.25" customHeight="1">
      <c r="A18" s="7">
        <f t="shared" si="1"/>
        <v>45383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ht="14.25" customHeight="1">
      <c r="A19" s="7">
        <f t="shared" si="1"/>
        <v>45413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ht="14.25" customHeight="1">
      <c r="A20" s="7">
        <f t="shared" si="1"/>
        <v>45444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ht="14.25" customHeight="1">
      <c r="A21" s="7">
        <f t="shared" si="1"/>
        <v>45474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ht="14.25" customHeight="1">
      <c r="A22" s="7">
        <f t="shared" si="1"/>
        <v>45505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ht="14.25" customHeight="1">
      <c r="A23" s="7">
        <f t="shared" si="1"/>
        <v>45536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ht="14.25" customHeight="1">
      <c r="A24" s="7">
        <f t="shared" si="1"/>
        <v>45566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ht="14.25" customHeight="1">
      <c r="A25" s="7">
        <f t="shared" si="1"/>
        <v>45597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  <row r="26" ht="14.25" customHeight="1">
      <c r="A26" s="7">
        <f t="shared" si="1"/>
        <v>45627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paperSize="9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>
      <pane xSplit="1.0" ySplit="2.0" topLeftCell="B3" activePane="bottomRight" state="frozen"/>
      <selection activeCell="B1" sqref="B1" pane="topRight"/>
      <selection activeCell="A3" sqref="A3" pane="bottomLeft"/>
      <selection activeCell="B3" sqref="B3" pane="bottomRight"/>
    </sheetView>
  </sheetViews>
  <sheetFormatPr customHeight="1" defaultColWidth="14.43" defaultRowHeight="15.0"/>
  <cols>
    <col customWidth="1" min="1" max="26" width="19.0"/>
  </cols>
  <sheetData>
    <row r="1" ht="14.25" customHeight="1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ht="14.25" customHeight="1">
      <c r="A2" s="9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2"/>
      <c r="Z2" s="13"/>
    </row>
    <row r="3" ht="14.25" customHeight="1">
      <c r="A3" s="7">
        <v>38353.0</v>
      </c>
      <c r="B3" s="14"/>
      <c r="C3" s="14"/>
      <c r="D3" s="15"/>
      <c r="E3" s="16"/>
      <c r="F3" s="16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</row>
    <row r="4" ht="14.25" customHeight="1">
      <c r="A4" s="7">
        <f t="shared" ref="A4:A254" si="1">EOMONTH(A3,0)+1</f>
        <v>38384</v>
      </c>
      <c r="B4" s="14"/>
      <c r="C4" s="14"/>
      <c r="D4" s="15"/>
      <c r="E4" s="16"/>
      <c r="F4" s="16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</row>
    <row r="5" ht="14.25" customHeight="1">
      <c r="A5" s="7">
        <f t="shared" si="1"/>
        <v>38412</v>
      </c>
      <c r="B5" s="14"/>
      <c r="C5" s="14"/>
      <c r="D5" s="15"/>
      <c r="E5" s="16"/>
      <c r="F5" s="16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</row>
    <row r="6" ht="14.25" customHeight="1">
      <c r="A6" s="7">
        <f t="shared" si="1"/>
        <v>38443</v>
      </c>
      <c r="B6" s="14"/>
      <c r="C6" s="14"/>
      <c r="D6" s="15"/>
      <c r="E6" s="16"/>
      <c r="F6" s="16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</row>
    <row r="7" ht="14.25" customHeight="1">
      <c r="A7" s="7">
        <f t="shared" si="1"/>
        <v>38473</v>
      </c>
      <c r="B7" s="14"/>
      <c r="C7" s="14"/>
      <c r="D7" s="15"/>
      <c r="E7" s="16"/>
      <c r="F7" s="16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</row>
    <row r="8" ht="14.25" customHeight="1">
      <c r="A8" s="7">
        <f t="shared" si="1"/>
        <v>38504</v>
      </c>
      <c r="B8" s="14"/>
      <c r="C8" s="14"/>
      <c r="D8" s="15"/>
      <c r="E8" s="16"/>
      <c r="F8" s="16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</row>
    <row r="9" ht="14.25" customHeight="1">
      <c r="A9" s="7">
        <f t="shared" si="1"/>
        <v>38534</v>
      </c>
      <c r="B9" s="14"/>
      <c r="C9" s="14"/>
      <c r="D9" s="15"/>
      <c r="E9" s="16"/>
      <c r="F9" s="16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</row>
    <row r="10" ht="14.25" customHeight="1">
      <c r="A10" s="7">
        <f t="shared" si="1"/>
        <v>38565</v>
      </c>
      <c r="B10" s="14"/>
      <c r="C10" s="14"/>
      <c r="D10" s="15"/>
      <c r="E10" s="16"/>
      <c r="F10" s="16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</row>
    <row r="11" ht="14.25" customHeight="1">
      <c r="A11" s="7">
        <f t="shared" si="1"/>
        <v>38596</v>
      </c>
      <c r="B11" s="14"/>
      <c r="C11" s="14"/>
      <c r="D11" s="15"/>
      <c r="E11" s="16"/>
      <c r="F11" s="16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</row>
    <row r="12" ht="14.25" customHeight="1">
      <c r="A12" s="7">
        <f t="shared" si="1"/>
        <v>38626</v>
      </c>
      <c r="B12" s="14"/>
      <c r="C12" s="14"/>
      <c r="D12" s="15"/>
      <c r="E12" s="16"/>
      <c r="F12" s="16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3" ht="14.25" customHeight="1">
      <c r="A13" s="7">
        <f t="shared" si="1"/>
        <v>38657</v>
      </c>
      <c r="B13" s="14"/>
      <c r="C13" s="14"/>
      <c r="D13" s="15"/>
      <c r="E13" s="16"/>
      <c r="F13" s="16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ht="14.25" customHeight="1">
      <c r="A14" s="7">
        <f t="shared" si="1"/>
        <v>38687</v>
      </c>
      <c r="B14" s="14"/>
      <c r="C14" s="14"/>
      <c r="D14" s="15"/>
      <c r="E14" s="16"/>
      <c r="F14" s="16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</row>
    <row r="15" ht="14.25" customHeight="1">
      <c r="A15" s="7">
        <f t="shared" si="1"/>
        <v>38718</v>
      </c>
      <c r="B15" s="14"/>
      <c r="C15" s="14"/>
      <c r="D15" s="15"/>
      <c r="E15" s="16"/>
      <c r="F15" s="16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ht="14.25" customHeight="1">
      <c r="A16" s="7">
        <f t="shared" si="1"/>
        <v>38749</v>
      </c>
      <c r="B16" s="14"/>
      <c r="C16" s="14"/>
      <c r="D16" s="15"/>
      <c r="E16" s="16"/>
      <c r="F16" s="16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</row>
    <row r="17" ht="14.25" customHeight="1">
      <c r="A17" s="7">
        <f t="shared" si="1"/>
        <v>38777</v>
      </c>
      <c r="B17" s="14"/>
      <c r="C17" s="14"/>
      <c r="D17" s="15"/>
      <c r="E17" s="16"/>
      <c r="F17" s="16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ht="14.25" customHeight="1">
      <c r="A18" s="7">
        <f t="shared" si="1"/>
        <v>38808</v>
      </c>
      <c r="B18" s="14"/>
      <c r="C18" s="14"/>
      <c r="D18" s="15"/>
      <c r="E18" s="16"/>
      <c r="F18" s="16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ht="14.25" customHeight="1">
      <c r="A19" s="7">
        <f t="shared" si="1"/>
        <v>38838</v>
      </c>
      <c r="B19" s="14"/>
      <c r="C19" s="14"/>
      <c r="D19" s="15"/>
      <c r="E19" s="16"/>
      <c r="F19" s="16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ht="14.25" customHeight="1">
      <c r="A20" s="7">
        <f t="shared" si="1"/>
        <v>38869</v>
      </c>
      <c r="B20" s="14"/>
      <c r="C20" s="14"/>
      <c r="D20" s="15"/>
      <c r="E20" s="16"/>
      <c r="F20" s="16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</row>
    <row r="21" ht="14.25" customHeight="1">
      <c r="A21" s="7">
        <f t="shared" si="1"/>
        <v>38899</v>
      </c>
      <c r="B21" s="14"/>
      <c r="C21" s="14"/>
      <c r="D21" s="15"/>
      <c r="E21" s="16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ht="14.25" customHeight="1">
      <c r="A22" s="7">
        <f t="shared" si="1"/>
        <v>38930</v>
      </c>
      <c r="B22" s="14"/>
      <c r="C22" s="14"/>
      <c r="D22" s="15"/>
      <c r="E22" s="16"/>
      <c r="F22" s="16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ht="14.25" customHeight="1">
      <c r="A23" s="7">
        <f t="shared" si="1"/>
        <v>38961</v>
      </c>
      <c r="B23" s="14"/>
      <c r="C23" s="14"/>
      <c r="D23" s="15"/>
      <c r="E23" s="16"/>
      <c r="F23" s="16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ht="14.25" customHeight="1">
      <c r="A24" s="7">
        <f t="shared" si="1"/>
        <v>38991</v>
      </c>
      <c r="B24" s="14"/>
      <c r="C24" s="14"/>
      <c r="D24" s="15"/>
      <c r="E24" s="16"/>
      <c r="F24" s="16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</row>
    <row r="25" ht="14.25" customHeight="1">
      <c r="A25" s="7">
        <f t="shared" si="1"/>
        <v>39022</v>
      </c>
      <c r="B25" s="14"/>
      <c r="C25" s="14"/>
      <c r="D25" s="15"/>
      <c r="E25" s="16"/>
      <c r="F25" s="16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</row>
    <row r="26" ht="14.25" customHeight="1">
      <c r="A26" s="7">
        <f t="shared" si="1"/>
        <v>39052</v>
      </c>
      <c r="B26" s="14"/>
      <c r="C26" s="14"/>
      <c r="D26" s="15"/>
      <c r="E26" s="16"/>
      <c r="F26" s="16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ht="14.25" customHeight="1">
      <c r="A27" s="7">
        <f t="shared" si="1"/>
        <v>39083</v>
      </c>
      <c r="B27" s="14"/>
      <c r="C27" s="14"/>
      <c r="D27" s="15"/>
      <c r="E27" s="16"/>
      <c r="F27" s="16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  <row r="28" ht="14.25" customHeight="1">
      <c r="A28" s="7">
        <f t="shared" si="1"/>
        <v>39114</v>
      </c>
      <c r="B28" s="14"/>
      <c r="C28" s="14"/>
      <c r="D28" s="15"/>
      <c r="E28" s="16"/>
      <c r="F28" s="16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</row>
    <row r="29" ht="14.25" customHeight="1">
      <c r="A29" s="7">
        <f t="shared" si="1"/>
        <v>39142</v>
      </c>
      <c r="B29" s="14"/>
      <c r="C29" s="14"/>
      <c r="D29" s="15"/>
      <c r="E29" s="16"/>
      <c r="F29" s="16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</row>
    <row r="30" ht="14.25" customHeight="1">
      <c r="A30" s="7">
        <f t="shared" si="1"/>
        <v>39173</v>
      </c>
      <c r="B30" s="14"/>
      <c r="C30" s="14"/>
      <c r="D30" s="15"/>
      <c r="E30" s="16"/>
      <c r="F30" s="16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ht="14.25" customHeight="1">
      <c r="A31" s="7">
        <f t="shared" si="1"/>
        <v>39203</v>
      </c>
      <c r="B31" s="14"/>
      <c r="C31" s="14"/>
      <c r="D31" s="15"/>
      <c r="E31" s="16"/>
      <c r="F31" s="16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</row>
    <row r="32" ht="14.25" customHeight="1">
      <c r="A32" s="7">
        <f t="shared" si="1"/>
        <v>39234</v>
      </c>
      <c r="B32" s="14"/>
      <c r="C32" s="14"/>
      <c r="D32" s="15"/>
      <c r="E32" s="16"/>
      <c r="F32" s="16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</row>
    <row r="33" ht="14.25" customHeight="1">
      <c r="A33" s="7">
        <f t="shared" si="1"/>
        <v>39264</v>
      </c>
      <c r="B33" s="14"/>
      <c r="C33" s="14"/>
      <c r="D33" s="15"/>
      <c r="E33" s="16"/>
      <c r="F33" s="16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</row>
    <row r="34" ht="14.25" customHeight="1">
      <c r="A34" s="7">
        <f t="shared" si="1"/>
        <v>39295</v>
      </c>
      <c r="B34" s="14"/>
      <c r="C34" s="14"/>
      <c r="D34" s="15"/>
      <c r="E34" s="16"/>
      <c r="F34" s="16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ht="14.25" customHeight="1">
      <c r="A35" s="7">
        <f t="shared" si="1"/>
        <v>39326</v>
      </c>
      <c r="B35" s="14"/>
      <c r="C35" s="14"/>
      <c r="D35" s="15"/>
      <c r="E35" s="16"/>
      <c r="F35" s="16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</row>
    <row r="36" ht="14.25" customHeight="1">
      <c r="A36" s="7">
        <f t="shared" si="1"/>
        <v>39356</v>
      </c>
      <c r="B36" s="14"/>
      <c r="C36" s="14"/>
      <c r="D36" s="15"/>
      <c r="E36" s="16"/>
      <c r="F36" s="16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</row>
    <row r="37" ht="14.25" customHeight="1">
      <c r="A37" s="7">
        <f t="shared" si="1"/>
        <v>39387</v>
      </c>
      <c r="B37" s="14"/>
      <c r="C37" s="14"/>
      <c r="D37" s="15"/>
      <c r="E37" s="16"/>
      <c r="F37" s="16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</row>
    <row r="38" ht="14.25" customHeight="1">
      <c r="A38" s="7">
        <f t="shared" si="1"/>
        <v>39417</v>
      </c>
      <c r="B38" s="14"/>
      <c r="C38" s="14"/>
      <c r="D38" s="15"/>
      <c r="E38" s="16"/>
      <c r="F38" s="16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</row>
    <row r="39" ht="14.25" customHeight="1">
      <c r="A39" s="7">
        <f t="shared" si="1"/>
        <v>39448</v>
      </c>
      <c r="B39" s="14"/>
      <c r="C39" s="14"/>
      <c r="D39" s="15"/>
      <c r="E39" s="16"/>
      <c r="F39" s="16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</row>
    <row r="40" ht="14.25" customHeight="1">
      <c r="A40" s="7">
        <f t="shared" si="1"/>
        <v>39479</v>
      </c>
      <c r="B40" s="14"/>
      <c r="C40" s="14"/>
      <c r="D40" s="15"/>
      <c r="E40" s="16"/>
      <c r="F40" s="16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</row>
    <row r="41" ht="14.25" customHeight="1">
      <c r="A41" s="7">
        <f t="shared" si="1"/>
        <v>39508</v>
      </c>
      <c r="B41" s="14"/>
      <c r="C41" s="14"/>
      <c r="D41" s="15"/>
      <c r="E41" s="16"/>
      <c r="F41" s="16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</row>
    <row r="42" ht="14.25" customHeight="1">
      <c r="A42" s="7">
        <f t="shared" si="1"/>
        <v>39539</v>
      </c>
      <c r="B42" s="14"/>
      <c r="C42" s="14"/>
      <c r="D42" s="15"/>
      <c r="E42" s="16"/>
      <c r="F42" s="16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ht="14.25" customHeight="1">
      <c r="A43" s="7">
        <f t="shared" si="1"/>
        <v>39569</v>
      </c>
      <c r="B43" s="14"/>
      <c r="C43" s="14"/>
      <c r="D43" s="15"/>
      <c r="E43" s="16"/>
      <c r="F43" s="16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ht="14.25" customHeight="1">
      <c r="A44" s="7">
        <f t="shared" si="1"/>
        <v>39600</v>
      </c>
      <c r="B44" s="14"/>
      <c r="C44" s="14"/>
      <c r="D44" s="15"/>
      <c r="E44" s="16"/>
      <c r="F44" s="16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</row>
    <row r="45" ht="14.25" customHeight="1">
      <c r="A45" s="7">
        <f t="shared" si="1"/>
        <v>39630</v>
      </c>
      <c r="B45" s="14"/>
      <c r="C45" s="14"/>
      <c r="D45" s="15"/>
      <c r="E45" s="16"/>
      <c r="F45" s="16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</row>
    <row r="46" ht="14.25" customHeight="1">
      <c r="A46" s="7">
        <f t="shared" si="1"/>
        <v>39661</v>
      </c>
      <c r="B46" s="14"/>
      <c r="C46" s="14"/>
      <c r="D46" s="15"/>
      <c r="E46" s="16"/>
      <c r="F46" s="16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</row>
    <row r="47" ht="14.25" customHeight="1">
      <c r="A47" s="7">
        <f t="shared" si="1"/>
        <v>39692</v>
      </c>
      <c r="B47" s="14"/>
      <c r="C47" s="14"/>
      <c r="D47" s="15"/>
      <c r="E47" s="16"/>
      <c r="F47" s="16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</row>
    <row r="48" ht="14.25" customHeight="1">
      <c r="A48" s="7">
        <f t="shared" si="1"/>
        <v>39722</v>
      </c>
      <c r="B48" s="14"/>
      <c r="C48" s="14"/>
      <c r="D48" s="15"/>
      <c r="E48" s="16"/>
      <c r="F48" s="16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</row>
    <row r="49" ht="14.25" customHeight="1">
      <c r="A49" s="7">
        <f t="shared" si="1"/>
        <v>39753</v>
      </c>
      <c r="B49" s="14"/>
      <c r="C49" s="14"/>
      <c r="D49" s="15"/>
      <c r="E49" s="16"/>
      <c r="F49" s="16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ht="14.25" customHeight="1">
      <c r="A50" s="7">
        <f t="shared" si="1"/>
        <v>39783</v>
      </c>
      <c r="B50" s="14"/>
      <c r="C50" s="14"/>
      <c r="D50" s="15"/>
      <c r="E50" s="16"/>
      <c r="F50" s="16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ht="14.25" customHeight="1">
      <c r="A51" s="7">
        <f t="shared" si="1"/>
        <v>39814</v>
      </c>
      <c r="B51" s="14"/>
      <c r="C51" s="14"/>
      <c r="D51" s="15"/>
      <c r="E51" s="16"/>
      <c r="F51" s="16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ht="14.25" customHeight="1">
      <c r="A52" s="7">
        <f t="shared" si="1"/>
        <v>39845</v>
      </c>
      <c r="B52" s="14"/>
      <c r="C52" s="14"/>
      <c r="D52" s="15"/>
      <c r="E52" s="16"/>
      <c r="F52" s="16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ht="14.25" customHeight="1">
      <c r="A53" s="7">
        <f t="shared" si="1"/>
        <v>39873</v>
      </c>
      <c r="B53" s="14"/>
      <c r="C53" s="14"/>
      <c r="D53" s="15"/>
      <c r="E53" s="16"/>
      <c r="F53" s="16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ht="14.25" customHeight="1">
      <c r="A54" s="7">
        <f t="shared" si="1"/>
        <v>39904</v>
      </c>
      <c r="B54" s="14"/>
      <c r="C54" s="14"/>
      <c r="D54" s="15"/>
      <c r="E54" s="16"/>
      <c r="F54" s="16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</row>
    <row r="55" ht="14.25" customHeight="1">
      <c r="A55" s="7">
        <f t="shared" si="1"/>
        <v>39934</v>
      </c>
      <c r="B55" s="14"/>
      <c r="C55" s="14"/>
      <c r="D55" s="15"/>
      <c r="E55" s="16"/>
      <c r="F55" s="16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</row>
    <row r="56" ht="14.25" customHeight="1">
      <c r="A56" s="7">
        <f t="shared" si="1"/>
        <v>39965</v>
      </c>
      <c r="B56" s="14"/>
      <c r="C56" s="14"/>
      <c r="D56" s="15"/>
      <c r="E56" s="16"/>
      <c r="F56" s="16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</row>
    <row r="57" ht="14.25" customHeight="1">
      <c r="A57" s="7">
        <f t="shared" si="1"/>
        <v>39995</v>
      </c>
      <c r="B57" s="14"/>
      <c r="C57" s="14"/>
      <c r="D57" s="15"/>
      <c r="E57" s="16"/>
      <c r="F57" s="16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ht="14.25" customHeight="1">
      <c r="A58" s="7">
        <f t="shared" si="1"/>
        <v>40026</v>
      </c>
      <c r="B58" s="14"/>
      <c r="C58" s="14"/>
      <c r="D58" s="15"/>
      <c r="E58" s="16"/>
      <c r="F58" s="16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ht="14.25" customHeight="1">
      <c r="A59" s="7">
        <f t="shared" si="1"/>
        <v>40057</v>
      </c>
      <c r="B59" s="14"/>
      <c r="C59" s="14"/>
      <c r="D59" s="15"/>
      <c r="E59" s="16"/>
      <c r="F59" s="16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ht="14.25" customHeight="1">
      <c r="A60" s="7">
        <f t="shared" si="1"/>
        <v>40087</v>
      </c>
      <c r="B60" s="14"/>
      <c r="C60" s="14"/>
      <c r="D60" s="15"/>
      <c r="E60" s="16"/>
      <c r="F60" s="16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ht="14.25" customHeight="1">
      <c r="A61" s="7">
        <f t="shared" si="1"/>
        <v>40118</v>
      </c>
      <c r="B61" s="14"/>
      <c r="C61" s="14"/>
      <c r="D61" s="15"/>
      <c r="E61" s="16"/>
      <c r="F61" s="16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ht="14.25" customHeight="1">
      <c r="A62" s="7">
        <f t="shared" si="1"/>
        <v>40148</v>
      </c>
      <c r="B62" s="14"/>
      <c r="C62" s="14"/>
      <c r="D62" s="15"/>
      <c r="E62" s="16"/>
      <c r="F62" s="1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ht="14.25" customHeight="1">
      <c r="A63" s="7">
        <f t="shared" si="1"/>
        <v>40179</v>
      </c>
      <c r="B63" s="14"/>
      <c r="C63" s="14"/>
      <c r="D63" s="15"/>
      <c r="E63" s="16"/>
      <c r="F63" s="16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ht="14.25" customHeight="1">
      <c r="A64" s="7">
        <f t="shared" si="1"/>
        <v>40210</v>
      </c>
      <c r="B64" s="14"/>
      <c r="C64" s="14"/>
      <c r="D64" s="15"/>
      <c r="E64" s="16"/>
      <c r="F64" s="16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ht="14.25" customHeight="1">
      <c r="A65" s="7">
        <f t="shared" si="1"/>
        <v>40238</v>
      </c>
      <c r="B65" s="14"/>
      <c r="C65" s="14"/>
      <c r="D65" s="15"/>
      <c r="E65" s="16"/>
      <c r="F65" s="16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ht="14.25" customHeight="1">
      <c r="A66" s="7">
        <f t="shared" si="1"/>
        <v>40269</v>
      </c>
      <c r="B66" s="14"/>
      <c r="C66" s="14"/>
      <c r="D66" s="15"/>
      <c r="E66" s="16"/>
      <c r="F66" s="16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ht="14.25" customHeight="1">
      <c r="A67" s="7">
        <f t="shared" si="1"/>
        <v>40299</v>
      </c>
      <c r="B67" s="14"/>
      <c r="C67" s="14"/>
      <c r="D67" s="15"/>
      <c r="E67" s="16"/>
      <c r="F67" s="16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ht="14.25" customHeight="1">
      <c r="A68" s="7">
        <f t="shared" si="1"/>
        <v>40330</v>
      </c>
      <c r="B68" s="14"/>
      <c r="C68" s="14"/>
      <c r="D68" s="15"/>
      <c r="E68" s="16"/>
      <c r="F68" s="16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ht="14.25" customHeight="1">
      <c r="A69" s="7">
        <f t="shared" si="1"/>
        <v>40360</v>
      </c>
      <c r="B69" s="14"/>
      <c r="C69" s="14"/>
      <c r="D69" s="15"/>
      <c r="E69" s="16"/>
      <c r="F69" s="16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ht="14.25" customHeight="1">
      <c r="A70" s="7">
        <f t="shared" si="1"/>
        <v>40391</v>
      </c>
      <c r="B70" s="14"/>
      <c r="C70" s="14"/>
      <c r="D70" s="15"/>
      <c r="E70" s="16"/>
      <c r="F70" s="16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ht="14.25" customHeight="1">
      <c r="A71" s="7">
        <f t="shared" si="1"/>
        <v>40422</v>
      </c>
      <c r="B71" s="14"/>
      <c r="C71" s="14"/>
      <c r="D71" s="15"/>
      <c r="E71" s="16"/>
      <c r="F71" s="16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ht="14.25" customHeight="1">
      <c r="A72" s="7">
        <f t="shared" si="1"/>
        <v>40452</v>
      </c>
      <c r="B72" s="14"/>
      <c r="C72" s="14"/>
      <c r="D72" s="15"/>
      <c r="E72" s="16"/>
      <c r="F72" s="16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ht="14.25" customHeight="1">
      <c r="A73" s="7">
        <f t="shared" si="1"/>
        <v>40483</v>
      </c>
      <c r="B73" s="14"/>
      <c r="C73" s="14"/>
      <c r="D73" s="15"/>
      <c r="E73" s="16"/>
      <c r="F73" s="16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ht="14.25" customHeight="1">
      <c r="A74" s="7">
        <f t="shared" si="1"/>
        <v>40513</v>
      </c>
      <c r="B74" s="14"/>
      <c r="C74" s="14"/>
      <c r="D74" s="15"/>
      <c r="E74" s="16"/>
      <c r="F74" s="16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ht="14.25" customHeight="1">
      <c r="A75" s="7">
        <f t="shared" si="1"/>
        <v>40544</v>
      </c>
      <c r="B75" s="14"/>
      <c r="C75" s="14"/>
      <c r="D75" s="15"/>
      <c r="E75" s="16"/>
      <c r="F75" s="16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ht="14.25" customHeight="1">
      <c r="A76" s="7">
        <f t="shared" si="1"/>
        <v>40575</v>
      </c>
      <c r="B76" s="14"/>
      <c r="C76" s="14"/>
      <c r="D76" s="15"/>
      <c r="E76" s="16"/>
      <c r="F76" s="16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ht="14.25" customHeight="1">
      <c r="A77" s="7">
        <f t="shared" si="1"/>
        <v>40603</v>
      </c>
      <c r="B77" s="14"/>
      <c r="C77" s="14"/>
      <c r="D77" s="15"/>
      <c r="E77" s="16"/>
      <c r="F77" s="16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ht="14.25" customHeight="1">
      <c r="A78" s="7">
        <f t="shared" si="1"/>
        <v>40634</v>
      </c>
      <c r="B78" s="14"/>
      <c r="C78" s="14"/>
      <c r="D78" s="15"/>
      <c r="E78" s="16"/>
      <c r="F78" s="16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ht="14.25" customHeight="1">
      <c r="A79" s="7">
        <f t="shared" si="1"/>
        <v>40664</v>
      </c>
      <c r="B79" s="14"/>
      <c r="C79" s="14"/>
      <c r="D79" s="15"/>
      <c r="E79" s="16"/>
      <c r="F79" s="16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ht="14.25" customHeight="1">
      <c r="A80" s="7">
        <f t="shared" si="1"/>
        <v>40695</v>
      </c>
      <c r="B80" s="14"/>
      <c r="C80" s="14"/>
      <c r="D80" s="15"/>
      <c r="E80" s="16"/>
      <c r="F80" s="16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ht="14.25" customHeight="1">
      <c r="A81" s="7">
        <f t="shared" si="1"/>
        <v>40725</v>
      </c>
      <c r="B81" s="14"/>
      <c r="C81" s="14"/>
      <c r="D81" s="15"/>
      <c r="E81" s="16"/>
      <c r="F81" s="16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ht="14.25" customHeight="1">
      <c r="A82" s="7">
        <f t="shared" si="1"/>
        <v>40756</v>
      </c>
      <c r="B82" s="14"/>
      <c r="C82" s="14"/>
      <c r="D82" s="15"/>
      <c r="E82" s="16"/>
      <c r="F82" s="16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ht="14.25" customHeight="1">
      <c r="A83" s="7">
        <f t="shared" si="1"/>
        <v>40787</v>
      </c>
      <c r="B83" s="14"/>
      <c r="C83" s="14"/>
      <c r="D83" s="15"/>
      <c r="E83" s="16"/>
      <c r="F83" s="16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ht="14.25" customHeight="1">
      <c r="A84" s="7">
        <f t="shared" si="1"/>
        <v>40817</v>
      </c>
      <c r="B84" s="14"/>
      <c r="C84" s="14"/>
      <c r="D84" s="15"/>
      <c r="E84" s="16"/>
      <c r="F84" s="16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ht="14.25" customHeight="1">
      <c r="A85" s="7">
        <f t="shared" si="1"/>
        <v>40848</v>
      </c>
      <c r="B85" s="14"/>
      <c r="C85" s="14"/>
      <c r="D85" s="15"/>
      <c r="E85" s="16"/>
      <c r="F85" s="16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ht="14.25" customHeight="1">
      <c r="A86" s="7">
        <f t="shared" si="1"/>
        <v>40878</v>
      </c>
      <c r="B86" s="14"/>
      <c r="C86" s="14"/>
      <c r="D86" s="15"/>
      <c r="E86" s="16"/>
      <c r="F86" s="16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ht="14.25" customHeight="1">
      <c r="A87" s="7">
        <f t="shared" si="1"/>
        <v>40909</v>
      </c>
      <c r="B87" s="14"/>
      <c r="C87" s="14"/>
      <c r="D87" s="15"/>
      <c r="E87" s="16"/>
      <c r="F87" s="16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ht="14.25" customHeight="1">
      <c r="A88" s="7">
        <f t="shared" si="1"/>
        <v>40940</v>
      </c>
      <c r="B88" s="14"/>
      <c r="C88" s="14"/>
      <c r="D88" s="15"/>
      <c r="E88" s="16"/>
      <c r="F88" s="16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ht="14.25" customHeight="1">
      <c r="A89" s="7">
        <f t="shared" si="1"/>
        <v>40969</v>
      </c>
      <c r="B89" s="14"/>
      <c r="C89" s="14"/>
      <c r="D89" s="15"/>
      <c r="E89" s="16"/>
      <c r="F89" s="16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ht="14.25" customHeight="1">
      <c r="A90" s="7">
        <f t="shared" si="1"/>
        <v>41000</v>
      </c>
      <c r="B90" s="14"/>
      <c r="C90" s="14"/>
      <c r="D90" s="15"/>
      <c r="E90" s="16"/>
      <c r="F90" s="16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ht="14.25" customHeight="1">
      <c r="A91" s="7">
        <f t="shared" si="1"/>
        <v>41030</v>
      </c>
      <c r="B91" s="14"/>
      <c r="C91" s="14"/>
      <c r="D91" s="15"/>
      <c r="E91" s="16"/>
      <c r="F91" s="16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ht="14.25" customHeight="1">
      <c r="A92" s="7">
        <f t="shared" si="1"/>
        <v>41061</v>
      </c>
      <c r="B92" s="14"/>
      <c r="C92" s="14"/>
      <c r="D92" s="15"/>
      <c r="E92" s="16"/>
      <c r="F92" s="16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ht="14.25" customHeight="1">
      <c r="A93" s="7">
        <f t="shared" si="1"/>
        <v>41091</v>
      </c>
      <c r="B93" s="14"/>
      <c r="C93" s="14"/>
      <c r="D93" s="15"/>
      <c r="E93" s="16"/>
      <c r="F93" s="16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ht="14.25" customHeight="1">
      <c r="A94" s="7">
        <f t="shared" si="1"/>
        <v>41122</v>
      </c>
      <c r="B94" s="14"/>
      <c r="C94" s="14"/>
      <c r="D94" s="15"/>
      <c r="E94" s="16"/>
      <c r="F94" s="16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ht="14.25" customHeight="1">
      <c r="A95" s="7">
        <f t="shared" si="1"/>
        <v>41153</v>
      </c>
      <c r="B95" s="14"/>
      <c r="C95" s="14"/>
      <c r="D95" s="15"/>
      <c r="E95" s="16"/>
      <c r="F95" s="16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ht="14.25" customHeight="1">
      <c r="A96" s="7">
        <f t="shared" si="1"/>
        <v>41183</v>
      </c>
      <c r="B96" s="14"/>
      <c r="C96" s="14"/>
      <c r="D96" s="15"/>
      <c r="E96" s="16"/>
      <c r="F96" s="16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ht="14.25" customHeight="1">
      <c r="A97" s="7">
        <f t="shared" si="1"/>
        <v>41214</v>
      </c>
      <c r="B97" s="14"/>
      <c r="C97" s="14"/>
      <c r="D97" s="15"/>
      <c r="E97" s="16"/>
      <c r="F97" s="16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ht="14.25" customHeight="1">
      <c r="A98" s="7">
        <f t="shared" si="1"/>
        <v>41244</v>
      </c>
      <c r="B98" s="14"/>
      <c r="C98" s="14"/>
      <c r="D98" s="15"/>
      <c r="E98" s="16"/>
      <c r="F98" s="16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ht="14.25" customHeight="1">
      <c r="A99" s="7">
        <f t="shared" si="1"/>
        <v>41275</v>
      </c>
      <c r="B99" s="14"/>
      <c r="C99" s="14"/>
      <c r="D99" s="15"/>
      <c r="E99" s="16"/>
      <c r="F99" s="16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ht="14.25" customHeight="1">
      <c r="A100" s="7">
        <f t="shared" si="1"/>
        <v>41306</v>
      </c>
      <c r="B100" s="14"/>
      <c r="C100" s="14"/>
      <c r="D100" s="15"/>
      <c r="E100" s="16"/>
      <c r="F100" s="16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</row>
    <row r="101" ht="14.25" customHeight="1">
      <c r="A101" s="7">
        <f t="shared" si="1"/>
        <v>41334</v>
      </c>
      <c r="B101" s="14"/>
      <c r="C101" s="14"/>
      <c r="D101" s="15"/>
      <c r="E101" s="16"/>
      <c r="F101" s="16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</row>
    <row r="102" ht="14.25" customHeight="1">
      <c r="A102" s="7">
        <f t="shared" si="1"/>
        <v>41365</v>
      </c>
      <c r="B102" s="14"/>
      <c r="C102" s="14"/>
      <c r="D102" s="15"/>
      <c r="E102" s="16"/>
      <c r="F102" s="16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</row>
    <row r="103" ht="14.25" customHeight="1">
      <c r="A103" s="7">
        <f t="shared" si="1"/>
        <v>41395</v>
      </c>
      <c r="B103" s="14"/>
      <c r="C103" s="14"/>
      <c r="D103" s="15"/>
      <c r="E103" s="16"/>
      <c r="F103" s="16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</row>
    <row r="104" ht="14.25" customHeight="1">
      <c r="A104" s="7">
        <f t="shared" si="1"/>
        <v>41426</v>
      </c>
      <c r="B104" s="14"/>
      <c r="C104" s="14"/>
      <c r="D104" s="15"/>
      <c r="E104" s="16"/>
      <c r="F104" s="16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</row>
    <row r="105" ht="14.25" customHeight="1">
      <c r="A105" s="7">
        <f t="shared" si="1"/>
        <v>41456</v>
      </c>
      <c r="B105" s="14"/>
      <c r="C105" s="14"/>
      <c r="D105" s="15"/>
      <c r="E105" s="16"/>
      <c r="F105" s="16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</row>
    <row r="106" ht="14.25" customHeight="1">
      <c r="A106" s="7">
        <f t="shared" si="1"/>
        <v>41487</v>
      </c>
      <c r="B106" s="14"/>
      <c r="C106" s="14"/>
      <c r="D106" s="15"/>
      <c r="E106" s="16"/>
      <c r="F106" s="16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</row>
    <row r="107" ht="14.25" customHeight="1">
      <c r="A107" s="7">
        <f t="shared" si="1"/>
        <v>41518</v>
      </c>
      <c r="B107" s="14"/>
      <c r="C107" s="14"/>
      <c r="D107" s="15"/>
      <c r="E107" s="16"/>
      <c r="F107" s="16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</row>
    <row r="108" ht="14.25" customHeight="1">
      <c r="A108" s="7">
        <f t="shared" si="1"/>
        <v>41548</v>
      </c>
      <c r="B108" s="14"/>
      <c r="C108" s="14"/>
      <c r="D108" s="15"/>
      <c r="E108" s="16"/>
      <c r="F108" s="16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</row>
    <row r="109" ht="14.25" customHeight="1">
      <c r="A109" s="7">
        <f t="shared" si="1"/>
        <v>41579</v>
      </c>
      <c r="B109" s="14"/>
      <c r="C109" s="14"/>
      <c r="D109" s="15"/>
      <c r="E109" s="16"/>
      <c r="F109" s="16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</row>
    <row r="110" ht="14.25" customHeight="1">
      <c r="A110" s="7">
        <f t="shared" si="1"/>
        <v>41609</v>
      </c>
      <c r="B110" s="14"/>
      <c r="C110" s="14"/>
      <c r="D110" s="15"/>
      <c r="E110" s="16"/>
      <c r="F110" s="16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</row>
    <row r="111" ht="14.25" customHeight="1">
      <c r="A111" s="7">
        <f t="shared" si="1"/>
        <v>41640</v>
      </c>
      <c r="B111" s="14"/>
      <c r="C111" s="14"/>
      <c r="D111" s="15"/>
      <c r="E111" s="16"/>
      <c r="F111" s="16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</row>
    <row r="112" ht="14.25" customHeight="1">
      <c r="A112" s="7">
        <f t="shared" si="1"/>
        <v>41671</v>
      </c>
      <c r="B112" s="14"/>
      <c r="C112" s="14"/>
      <c r="D112" s="15"/>
      <c r="E112" s="16"/>
      <c r="F112" s="16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</row>
    <row r="113" ht="14.25" customHeight="1">
      <c r="A113" s="7">
        <f t="shared" si="1"/>
        <v>41699</v>
      </c>
      <c r="B113" s="14"/>
      <c r="C113" s="14"/>
      <c r="D113" s="15"/>
      <c r="E113" s="16"/>
      <c r="F113" s="16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</row>
    <row r="114" ht="14.25" customHeight="1">
      <c r="A114" s="7">
        <f t="shared" si="1"/>
        <v>41730</v>
      </c>
      <c r="B114" s="14"/>
      <c r="C114" s="14"/>
      <c r="D114" s="15"/>
      <c r="E114" s="16"/>
      <c r="F114" s="16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</row>
    <row r="115" ht="14.25" customHeight="1">
      <c r="A115" s="7">
        <f t="shared" si="1"/>
        <v>41760</v>
      </c>
      <c r="B115" s="14"/>
      <c r="C115" s="14"/>
      <c r="D115" s="15"/>
      <c r="E115" s="16"/>
      <c r="F115" s="16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</row>
    <row r="116" ht="14.25" customHeight="1">
      <c r="A116" s="7">
        <f t="shared" si="1"/>
        <v>41791</v>
      </c>
      <c r="B116" s="14"/>
      <c r="C116" s="14"/>
      <c r="D116" s="15"/>
      <c r="E116" s="16"/>
      <c r="F116" s="16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</row>
    <row r="117" ht="14.25" customHeight="1">
      <c r="A117" s="7">
        <f t="shared" si="1"/>
        <v>41821</v>
      </c>
      <c r="B117" s="14"/>
      <c r="C117" s="14"/>
      <c r="D117" s="15"/>
      <c r="E117" s="16"/>
      <c r="F117" s="16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</row>
    <row r="118" ht="14.25" customHeight="1">
      <c r="A118" s="7">
        <f t="shared" si="1"/>
        <v>41852</v>
      </c>
      <c r="B118" s="14"/>
      <c r="C118" s="14"/>
      <c r="D118" s="15"/>
      <c r="E118" s="16"/>
      <c r="F118" s="16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</row>
    <row r="119" ht="14.25" customHeight="1">
      <c r="A119" s="7">
        <f t="shared" si="1"/>
        <v>41883</v>
      </c>
      <c r="B119" s="14"/>
      <c r="C119" s="14"/>
      <c r="D119" s="15"/>
      <c r="E119" s="16"/>
      <c r="F119" s="16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</row>
    <row r="120" ht="14.25" customHeight="1">
      <c r="A120" s="7">
        <f t="shared" si="1"/>
        <v>41913</v>
      </c>
      <c r="B120" s="14"/>
      <c r="C120" s="14"/>
      <c r="D120" s="15"/>
      <c r="E120" s="16"/>
      <c r="F120" s="16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</row>
    <row r="121" ht="14.25" customHeight="1">
      <c r="A121" s="7">
        <f t="shared" si="1"/>
        <v>41944</v>
      </c>
      <c r="B121" s="14"/>
      <c r="C121" s="14"/>
      <c r="D121" s="15"/>
      <c r="E121" s="16"/>
      <c r="F121" s="16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</row>
    <row r="122" ht="14.25" customHeight="1">
      <c r="A122" s="7">
        <f t="shared" si="1"/>
        <v>41974</v>
      </c>
      <c r="B122" s="14"/>
      <c r="C122" s="14"/>
      <c r="D122" s="15"/>
      <c r="E122" s="16"/>
      <c r="F122" s="16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</row>
    <row r="123" ht="14.25" customHeight="1">
      <c r="A123" s="7">
        <f t="shared" si="1"/>
        <v>42005</v>
      </c>
      <c r="B123" s="14"/>
      <c r="C123" s="14"/>
      <c r="D123" s="15"/>
      <c r="E123" s="16"/>
      <c r="F123" s="16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</row>
    <row r="124" ht="14.25" customHeight="1">
      <c r="A124" s="7">
        <f t="shared" si="1"/>
        <v>42036</v>
      </c>
      <c r="B124" s="14"/>
      <c r="C124" s="14"/>
      <c r="D124" s="15"/>
      <c r="E124" s="16"/>
      <c r="F124" s="16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</row>
    <row r="125" ht="14.25" customHeight="1">
      <c r="A125" s="7">
        <f t="shared" si="1"/>
        <v>42064</v>
      </c>
      <c r="B125" s="14"/>
      <c r="C125" s="14"/>
      <c r="D125" s="15"/>
      <c r="E125" s="16"/>
      <c r="F125" s="16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</row>
    <row r="126" ht="14.25" customHeight="1">
      <c r="A126" s="7">
        <f t="shared" si="1"/>
        <v>42095</v>
      </c>
      <c r="B126" s="14"/>
      <c r="C126" s="14"/>
      <c r="D126" s="15"/>
      <c r="E126" s="16"/>
      <c r="F126" s="16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</row>
    <row r="127" ht="14.25" customHeight="1">
      <c r="A127" s="7">
        <f t="shared" si="1"/>
        <v>42125</v>
      </c>
      <c r="B127" s="14"/>
      <c r="C127" s="14"/>
      <c r="D127" s="15"/>
      <c r="E127" s="16"/>
      <c r="F127" s="16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</row>
    <row r="128" ht="14.25" customHeight="1">
      <c r="A128" s="7">
        <f t="shared" si="1"/>
        <v>42156</v>
      </c>
      <c r="B128" s="14"/>
      <c r="C128" s="14"/>
      <c r="D128" s="15"/>
      <c r="E128" s="16"/>
      <c r="F128" s="16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</row>
    <row r="129" ht="14.25" customHeight="1">
      <c r="A129" s="7">
        <f t="shared" si="1"/>
        <v>42186</v>
      </c>
      <c r="B129" s="14"/>
      <c r="C129" s="14"/>
      <c r="D129" s="15"/>
      <c r="E129" s="16"/>
      <c r="F129" s="16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</row>
    <row r="130" ht="14.25" customHeight="1">
      <c r="A130" s="7">
        <f t="shared" si="1"/>
        <v>42217</v>
      </c>
      <c r="B130" s="14"/>
      <c r="C130" s="14"/>
      <c r="D130" s="15"/>
      <c r="E130" s="16"/>
      <c r="F130" s="16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</row>
    <row r="131" ht="14.25" customHeight="1">
      <c r="A131" s="7">
        <f t="shared" si="1"/>
        <v>42248</v>
      </c>
      <c r="B131" s="14"/>
      <c r="C131" s="14"/>
      <c r="D131" s="15"/>
      <c r="E131" s="16"/>
      <c r="F131" s="16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</row>
    <row r="132" ht="14.25" customHeight="1">
      <c r="A132" s="7">
        <f t="shared" si="1"/>
        <v>42278</v>
      </c>
      <c r="B132" s="14"/>
      <c r="C132" s="14"/>
      <c r="D132" s="15"/>
      <c r="E132" s="16"/>
      <c r="F132" s="16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</row>
    <row r="133" ht="14.25" customHeight="1">
      <c r="A133" s="7">
        <f t="shared" si="1"/>
        <v>42309</v>
      </c>
      <c r="B133" s="14"/>
      <c r="C133" s="14"/>
      <c r="D133" s="15"/>
      <c r="E133" s="16"/>
      <c r="F133" s="16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</row>
    <row r="134" ht="14.25" customHeight="1">
      <c r="A134" s="7">
        <f t="shared" si="1"/>
        <v>42339</v>
      </c>
      <c r="B134" s="14"/>
      <c r="C134" s="14"/>
      <c r="D134" s="15"/>
      <c r="E134" s="16"/>
      <c r="F134" s="16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</row>
    <row r="135" ht="14.25" customHeight="1">
      <c r="A135" s="7">
        <f t="shared" si="1"/>
        <v>42370</v>
      </c>
      <c r="B135" s="14"/>
      <c r="C135" s="14"/>
      <c r="D135" s="15"/>
      <c r="E135" s="16"/>
      <c r="F135" s="16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</row>
    <row r="136" ht="14.25" customHeight="1">
      <c r="A136" s="7">
        <f t="shared" si="1"/>
        <v>42401</v>
      </c>
      <c r="B136" s="14"/>
      <c r="C136" s="14"/>
      <c r="D136" s="15"/>
      <c r="E136" s="16"/>
      <c r="F136" s="16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</row>
    <row r="137" ht="14.25" customHeight="1">
      <c r="A137" s="7">
        <f t="shared" si="1"/>
        <v>42430</v>
      </c>
      <c r="B137" s="14"/>
      <c r="C137" s="14"/>
      <c r="D137" s="15"/>
      <c r="E137" s="16"/>
      <c r="F137" s="16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</row>
    <row r="138" ht="14.25" customHeight="1">
      <c r="A138" s="7">
        <f t="shared" si="1"/>
        <v>42461</v>
      </c>
      <c r="B138" s="14"/>
      <c r="C138" s="14"/>
      <c r="D138" s="15"/>
      <c r="E138" s="16"/>
      <c r="F138" s="16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</row>
    <row r="139" ht="14.25" customHeight="1">
      <c r="A139" s="7">
        <f t="shared" si="1"/>
        <v>42491</v>
      </c>
      <c r="B139" s="14"/>
      <c r="C139" s="14"/>
      <c r="D139" s="15"/>
      <c r="E139" s="16"/>
      <c r="F139" s="16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</row>
    <row r="140" ht="14.25" customHeight="1">
      <c r="A140" s="7">
        <f t="shared" si="1"/>
        <v>42522</v>
      </c>
      <c r="B140" s="14"/>
      <c r="C140" s="14"/>
      <c r="D140" s="15"/>
      <c r="E140" s="16"/>
      <c r="F140" s="16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</row>
    <row r="141" ht="14.25" customHeight="1">
      <c r="A141" s="7">
        <f t="shared" si="1"/>
        <v>42552</v>
      </c>
      <c r="B141" s="14"/>
      <c r="C141" s="14"/>
      <c r="D141" s="15"/>
      <c r="E141" s="16"/>
      <c r="F141" s="16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</row>
    <row r="142" ht="14.25" customHeight="1">
      <c r="A142" s="7">
        <f t="shared" si="1"/>
        <v>42583</v>
      </c>
      <c r="B142" s="14"/>
      <c r="C142" s="14"/>
      <c r="D142" s="15"/>
      <c r="E142" s="16"/>
      <c r="F142" s="16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</row>
    <row r="143" ht="14.25" customHeight="1">
      <c r="A143" s="7">
        <f t="shared" si="1"/>
        <v>42614</v>
      </c>
      <c r="B143" s="14"/>
      <c r="C143" s="14"/>
      <c r="D143" s="15"/>
      <c r="E143" s="16"/>
      <c r="F143" s="16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</row>
    <row r="144" ht="14.25" customHeight="1">
      <c r="A144" s="7">
        <f t="shared" si="1"/>
        <v>42644</v>
      </c>
      <c r="B144" s="14"/>
      <c r="C144" s="14"/>
      <c r="D144" s="15"/>
      <c r="E144" s="16"/>
      <c r="F144" s="16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</row>
    <row r="145" ht="14.25" customHeight="1">
      <c r="A145" s="7">
        <f t="shared" si="1"/>
        <v>42675</v>
      </c>
      <c r="B145" s="14"/>
      <c r="C145" s="14"/>
      <c r="D145" s="15"/>
      <c r="E145" s="16"/>
      <c r="F145" s="16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</row>
    <row r="146" ht="14.25" customHeight="1">
      <c r="A146" s="7">
        <f t="shared" si="1"/>
        <v>42705</v>
      </c>
      <c r="B146" s="14"/>
      <c r="C146" s="14"/>
      <c r="D146" s="15"/>
      <c r="E146" s="16"/>
      <c r="F146" s="16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</row>
    <row r="147" ht="14.25" customHeight="1">
      <c r="A147" s="7">
        <f t="shared" si="1"/>
        <v>42736</v>
      </c>
      <c r="B147" s="14"/>
      <c r="C147" s="14"/>
      <c r="D147" s="15"/>
      <c r="E147" s="16"/>
      <c r="F147" s="16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</row>
    <row r="148" ht="14.25" customHeight="1">
      <c r="A148" s="7">
        <f t="shared" si="1"/>
        <v>42767</v>
      </c>
      <c r="B148" s="14"/>
      <c r="C148" s="14"/>
      <c r="D148" s="15"/>
      <c r="E148" s="16"/>
      <c r="F148" s="16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</row>
    <row r="149" ht="14.25" customHeight="1">
      <c r="A149" s="7">
        <f t="shared" si="1"/>
        <v>42795</v>
      </c>
      <c r="B149" s="14"/>
      <c r="C149" s="14"/>
      <c r="D149" s="15"/>
      <c r="E149" s="16"/>
      <c r="F149" s="16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</row>
    <row r="150" ht="14.25" customHeight="1">
      <c r="A150" s="7">
        <f t="shared" si="1"/>
        <v>42826</v>
      </c>
      <c r="B150" s="14"/>
      <c r="C150" s="14"/>
      <c r="D150" s="15"/>
      <c r="E150" s="16"/>
      <c r="F150" s="16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</row>
    <row r="151" ht="14.25" customHeight="1">
      <c r="A151" s="7">
        <f t="shared" si="1"/>
        <v>42856</v>
      </c>
      <c r="B151" s="14"/>
      <c r="C151" s="14"/>
      <c r="D151" s="15"/>
      <c r="E151" s="16"/>
      <c r="F151" s="16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</row>
    <row r="152" ht="14.25" customHeight="1">
      <c r="A152" s="7">
        <f t="shared" si="1"/>
        <v>42887</v>
      </c>
      <c r="B152" s="14"/>
      <c r="C152" s="14"/>
      <c r="D152" s="15"/>
      <c r="E152" s="16"/>
      <c r="F152" s="16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</row>
    <row r="153" ht="14.25" customHeight="1">
      <c r="A153" s="7">
        <f t="shared" si="1"/>
        <v>42917</v>
      </c>
      <c r="B153" s="14"/>
      <c r="C153" s="14"/>
      <c r="D153" s="15"/>
      <c r="E153" s="16"/>
      <c r="F153" s="16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</row>
    <row r="154" ht="14.25" customHeight="1">
      <c r="A154" s="7">
        <f t="shared" si="1"/>
        <v>42948</v>
      </c>
      <c r="B154" s="14"/>
      <c r="C154" s="14"/>
      <c r="D154" s="15"/>
      <c r="E154" s="16"/>
      <c r="F154" s="16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</row>
    <row r="155" ht="14.25" customHeight="1">
      <c r="A155" s="7">
        <f t="shared" si="1"/>
        <v>42979</v>
      </c>
      <c r="B155" s="14"/>
      <c r="C155" s="14"/>
      <c r="D155" s="15"/>
      <c r="E155" s="16"/>
      <c r="F155" s="16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</row>
    <row r="156" ht="14.25" customHeight="1">
      <c r="A156" s="7">
        <f t="shared" si="1"/>
        <v>43009</v>
      </c>
      <c r="B156" s="14"/>
      <c r="C156" s="14"/>
      <c r="D156" s="15"/>
      <c r="E156" s="16"/>
      <c r="F156" s="16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</row>
    <row r="157" ht="14.25" customHeight="1">
      <c r="A157" s="7">
        <f t="shared" si="1"/>
        <v>43040</v>
      </c>
      <c r="B157" s="14"/>
      <c r="C157" s="14"/>
      <c r="D157" s="15"/>
      <c r="E157" s="16"/>
      <c r="F157" s="16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</row>
    <row r="158" ht="14.25" customHeight="1">
      <c r="A158" s="7">
        <f t="shared" si="1"/>
        <v>43070</v>
      </c>
      <c r="B158" s="14"/>
      <c r="C158" s="14"/>
      <c r="D158" s="15"/>
      <c r="E158" s="16"/>
      <c r="F158" s="16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</row>
    <row r="159" ht="14.25" customHeight="1">
      <c r="A159" s="7">
        <f t="shared" si="1"/>
        <v>43101</v>
      </c>
      <c r="B159" s="14"/>
      <c r="C159" s="14"/>
      <c r="D159" s="15"/>
      <c r="E159" s="16"/>
      <c r="F159" s="16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</row>
    <row r="160" ht="14.25" customHeight="1">
      <c r="A160" s="7">
        <f t="shared" si="1"/>
        <v>43132</v>
      </c>
      <c r="B160" s="14"/>
      <c r="C160" s="14"/>
      <c r="D160" s="15"/>
      <c r="E160" s="16"/>
      <c r="F160" s="16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</row>
    <row r="161" ht="14.25" customHeight="1">
      <c r="A161" s="7">
        <f t="shared" si="1"/>
        <v>43160</v>
      </c>
      <c r="B161" s="14"/>
      <c r="C161" s="14"/>
      <c r="D161" s="15"/>
      <c r="E161" s="16"/>
      <c r="F161" s="16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</row>
    <row r="162" ht="14.25" customHeight="1">
      <c r="A162" s="7">
        <f t="shared" si="1"/>
        <v>43191</v>
      </c>
      <c r="B162" s="14"/>
      <c r="C162" s="14"/>
      <c r="D162" s="15"/>
      <c r="E162" s="16"/>
      <c r="F162" s="16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</row>
    <row r="163" ht="14.25" customHeight="1">
      <c r="A163" s="7">
        <f t="shared" si="1"/>
        <v>43221</v>
      </c>
      <c r="B163" s="14"/>
      <c r="C163" s="14"/>
      <c r="D163" s="15"/>
      <c r="E163" s="16"/>
      <c r="F163" s="16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</row>
    <row r="164" ht="14.25" customHeight="1">
      <c r="A164" s="7">
        <f t="shared" si="1"/>
        <v>43252</v>
      </c>
      <c r="B164" s="14"/>
      <c r="C164" s="14"/>
      <c r="D164" s="15"/>
      <c r="E164" s="16"/>
      <c r="F164" s="16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</row>
    <row r="165" ht="14.25" customHeight="1">
      <c r="A165" s="7">
        <f t="shared" si="1"/>
        <v>43282</v>
      </c>
      <c r="B165" s="14"/>
      <c r="C165" s="14"/>
      <c r="D165" s="15"/>
      <c r="E165" s="16"/>
      <c r="F165" s="16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</row>
    <row r="166" ht="14.25" customHeight="1">
      <c r="A166" s="7">
        <f t="shared" si="1"/>
        <v>43313</v>
      </c>
      <c r="B166" s="14"/>
      <c r="C166" s="14"/>
      <c r="D166" s="15"/>
      <c r="E166" s="16"/>
      <c r="F166" s="16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</row>
    <row r="167" ht="14.25" customHeight="1">
      <c r="A167" s="7">
        <f t="shared" si="1"/>
        <v>43344</v>
      </c>
      <c r="B167" s="14"/>
      <c r="C167" s="14"/>
      <c r="D167" s="15"/>
      <c r="E167" s="16"/>
      <c r="F167" s="16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</row>
    <row r="168" ht="14.25" customHeight="1">
      <c r="A168" s="7">
        <f t="shared" si="1"/>
        <v>43374</v>
      </c>
      <c r="B168" s="14"/>
      <c r="C168" s="14"/>
      <c r="D168" s="15"/>
      <c r="E168" s="16"/>
      <c r="F168" s="16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</row>
    <row r="169" ht="14.25" customHeight="1">
      <c r="A169" s="7">
        <f t="shared" si="1"/>
        <v>43405</v>
      </c>
      <c r="B169" s="14"/>
      <c r="C169" s="14"/>
      <c r="D169" s="15"/>
      <c r="E169" s="16"/>
      <c r="F169" s="16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</row>
    <row r="170" ht="14.25" customHeight="1">
      <c r="A170" s="7">
        <f t="shared" si="1"/>
        <v>43435</v>
      </c>
      <c r="B170" s="14"/>
      <c r="C170" s="14"/>
      <c r="D170" s="15"/>
      <c r="E170" s="16"/>
      <c r="F170" s="16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</row>
    <row r="171" ht="14.25" customHeight="1">
      <c r="A171" s="7">
        <f t="shared" si="1"/>
        <v>43466</v>
      </c>
      <c r="B171" s="14"/>
      <c r="C171" s="14"/>
      <c r="D171" s="15"/>
      <c r="E171" s="16"/>
      <c r="F171" s="16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</row>
    <row r="172" ht="14.25" customHeight="1">
      <c r="A172" s="7">
        <f t="shared" si="1"/>
        <v>43497</v>
      </c>
      <c r="B172" s="14"/>
      <c r="C172" s="14"/>
      <c r="D172" s="15"/>
      <c r="E172" s="16"/>
      <c r="F172" s="16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</row>
    <row r="173" ht="14.25" customHeight="1">
      <c r="A173" s="7">
        <f t="shared" si="1"/>
        <v>43525</v>
      </c>
      <c r="B173" s="14"/>
      <c r="C173" s="14"/>
      <c r="D173" s="15"/>
      <c r="E173" s="16"/>
      <c r="F173" s="16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</row>
    <row r="174" ht="14.25" customHeight="1">
      <c r="A174" s="7">
        <f t="shared" si="1"/>
        <v>43556</v>
      </c>
      <c r="B174" s="14"/>
      <c r="C174" s="14"/>
      <c r="D174" s="15"/>
      <c r="E174" s="16"/>
      <c r="F174" s="16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</row>
    <row r="175" ht="14.25" customHeight="1">
      <c r="A175" s="7">
        <f t="shared" si="1"/>
        <v>43586</v>
      </c>
      <c r="B175" s="14"/>
      <c r="C175" s="14"/>
      <c r="D175" s="15"/>
      <c r="E175" s="16"/>
      <c r="F175" s="16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</row>
    <row r="176" ht="14.25" customHeight="1">
      <c r="A176" s="7">
        <f t="shared" si="1"/>
        <v>43617</v>
      </c>
      <c r="B176" s="14"/>
      <c r="C176" s="14"/>
      <c r="D176" s="15"/>
      <c r="E176" s="16"/>
      <c r="F176" s="16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</row>
    <row r="177" ht="14.25" customHeight="1">
      <c r="A177" s="7">
        <f t="shared" si="1"/>
        <v>43647</v>
      </c>
      <c r="B177" s="14"/>
      <c r="C177" s="14"/>
      <c r="D177" s="15"/>
      <c r="E177" s="16"/>
      <c r="F177" s="16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</row>
    <row r="178" ht="14.25" customHeight="1">
      <c r="A178" s="7">
        <f t="shared" si="1"/>
        <v>43678</v>
      </c>
      <c r="B178" s="14"/>
      <c r="C178" s="14"/>
      <c r="D178" s="15"/>
      <c r="E178" s="16"/>
      <c r="F178" s="16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</row>
    <row r="179" ht="14.25" customHeight="1">
      <c r="A179" s="7">
        <f t="shared" si="1"/>
        <v>43709</v>
      </c>
      <c r="B179" s="14"/>
      <c r="C179" s="14"/>
      <c r="D179" s="15"/>
      <c r="E179" s="16"/>
      <c r="F179" s="16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</row>
    <row r="180" ht="14.25" customHeight="1">
      <c r="A180" s="7">
        <f t="shared" si="1"/>
        <v>43739</v>
      </c>
      <c r="B180" s="14"/>
      <c r="C180" s="14"/>
      <c r="D180" s="15"/>
      <c r="E180" s="16"/>
      <c r="F180" s="16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</row>
    <row r="181" ht="14.25" customHeight="1">
      <c r="A181" s="7">
        <f t="shared" si="1"/>
        <v>43770</v>
      </c>
      <c r="B181" s="14"/>
      <c r="C181" s="14"/>
      <c r="D181" s="15"/>
      <c r="E181" s="16"/>
      <c r="F181" s="16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</row>
    <row r="182" ht="14.25" customHeight="1">
      <c r="A182" s="7">
        <f t="shared" si="1"/>
        <v>43800</v>
      </c>
      <c r="B182" s="14"/>
      <c r="C182" s="14"/>
      <c r="D182" s="15"/>
      <c r="E182" s="16"/>
      <c r="F182" s="16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</row>
    <row r="183" ht="14.25" customHeight="1">
      <c r="A183" s="7">
        <f t="shared" si="1"/>
        <v>43831</v>
      </c>
      <c r="B183" s="14"/>
      <c r="C183" s="14"/>
      <c r="D183" s="15"/>
      <c r="E183" s="16"/>
      <c r="F183" s="16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</row>
    <row r="184" ht="14.25" customHeight="1">
      <c r="A184" s="7">
        <f t="shared" si="1"/>
        <v>43862</v>
      </c>
      <c r="B184" s="14"/>
      <c r="C184" s="14"/>
      <c r="D184" s="15"/>
      <c r="E184" s="16"/>
      <c r="F184" s="16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</row>
    <row r="185" ht="14.25" customHeight="1">
      <c r="A185" s="7">
        <f t="shared" si="1"/>
        <v>43891</v>
      </c>
      <c r="B185" s="14"/>
      <c r="C185" s="14"/>
      <c r="D185" s="15"/>
      <c r="E185" s="16"/>
      <c r="F185" s="16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</row>
    <row r="186" ht="14.25" customHeight="1">
      <c r="A186" s="7">
        <f t="shared" si="1"/>
        <v>43922</v>
      </c>
      <c r="B186" s="14"/>
      <c r="C186" s="14"/>
      <c r="D186" s="15"/>
      <c r="E186" s="16"/>
      <c r="F186" s="16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</row>
    <row r="187" ht="14.25" customHeight="1">
      <c r="A187" s="7">
        <f t="shared" si="1"/>
        <v>43952</v>
      </c>
      <c r="B187" s="14"/>
      <c r="C187" s="14"/>
      <c r="D187" s="15"/>
      <c r="E187" s="16"/>
      <c r="F187" s="16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</row>
    <row r="188" ht="14.25" customHeight="1">
      <c r="A188" s="7">
        <f t="shared" si="1"/>
        <v>43983</v>
      </c>
      <c r="B188" s="14"/>
      <c r="C188" s="14"/>
      <c r="D188" s="15"/>
      <c r="E188" s="16"/>
      <c r="F188" s="16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</row>
    <row r="189" ht="14.25" customHeight="1">
      <c r="A189" s="7">
        <f t="shared" si="1"/>
        <v>44013</v>
      </c>
      <c r="B189" s="14"/>
      <c r="C189" s="14"/>
      <c r="D189" s="15"/>
      <c r="E189" s="16"/>
      <c r="F189" s="16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</row>
    <row r="190" ht="14.25" customHeight="1">
      <c r="A190" s="7">
        <f t="shared" si="1"/>
        <v>44044</v>
      </c>
      <c r="B190" s="14"/>
      <c r="C190" s="14"/>
      <c r="D190" s="15"/>
      <c r="E190" s="16"/>
      <c r="F190" s="16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</row>
    <row r="191" ht="14.25" customHeight="1">
      <c r="A191" s="7">
        <f t="shared" si="1"/>
        <v>44075</v>
      </c>
      <c r="B191" s="14"/>
      <c r="C191" s="14"/>
      <c r="D191" s="15"/>
      <c r="E191" s="16"/>
      <c r="F191" s="16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</row>
    <row r="192" ht="14.25" customHeight="1">
      <c r="A192" s="7">
        <f t="shared" si="1"/>
        <v>44105</v>
      </c>
      <c r="B192" s="14"/>
      <c r="C192" s="14"/>
      <c r="D192" s="15"/>
      <c r="E192" s="16"/>
      <c r="F192" s="16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</row>
    <row r="193" ht="14.25" customHeight="1">
      <c r="A193" s="7">
        <f t="shared" si="1"/>
        <v>44136</v>
      </c>
      <c r="B193" s="14"/>
      <c r="C193" s="14"/>
      <c r="D193" s="15"/>
      <c r="E193" s="16"/>
      <c r="F193" s="16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</row>
    <row r="194" ht="14.25" customHeight="1">
      <c r="A194" s="7">
        <f t="shared" si="1"/>
        <v>44166</v>
      </c>
      <c r="B194" s="14"/>
      <c r="C194" s="14"/>
      <c r="D194" s="15"/>
      <c r="E194" s="16"/>
      <c r="F194" s="16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</row>
    <row r="195" ht="14.25" customHeight="1">
      <c r="A195" s="7">
        <f t="shared" si="1"/>
        <v>44197</v>
      </c>
      <c r="B195" s="14"/>
      <c r="C195" s="14"/>
      <c r="D195" s="15"/>
      <c r="E195" s="16"/>
      <c r="F195" s="16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</row>
    <row r="196" ht="14.25" customHeight="1">
      <c r="A196" s="7">
        <f t="shared" si="1"/>
        <v>44228</v>
      </c>
      <c r="B196" s="14"/>
      <c r="C196" s="14"/>
      <c r="D196" s="15"/>
      <c r="E196" s="16"/>
      <c r="F196" s="16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</row>
    <row r="197" ht="14.25" customHeight="1">
      <c r="A197" s="7">
        <f t="shared" si="1"/>
        <v>44256</v>
      </c>
      <c r="B197" s="14"/>
      <c r="C197" s="14"/>
      <c r="D197" s="15"/>
      <c r="E197" s="16"/>
      <c r="F197" s="16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</row>
    <row r="198" ht="14.25" customHeight="1">
      <c r="A198" s="7">
        <f t="shared" si="1"/>
        <v>44287</v>
      </c>
      <c r="B198" s="14"/>
      <c r="C198" s="14"/>
      <c r="D198" s="15"/>
      <c r="E198" s="16"/>
      <c r="F198" s="16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</row>
    <row r="199" ht="14.25" customHeight="1">
      <c r="A199" s="7">
        <f t="shared" si="1"/>
        <v>44317</v>
      </c>
      <c r="B199" s="14"/>
      <c r="C199" s="14"/>
      <c r="D199" s="15"/>
      <c r="E199" s="16"/>
      <c r="F199" s="16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</row>
    <row r="200" ht="14.25" customHeight="1">
      <c r="A200" s="7">
        <f t="shared" si="1"/>
        <v>44348</v>
      </c>
      <c r="B200" s="14"/>
      <c r="C200" s="14"/>
      <c r="D200" s="15"/>
      <c r="E200" s="16"/>
      <c r="F200" s="16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</row>
    <row r="201" ht="14.25" customHeight="1">
      <c r="A201" s="7">
        <f t="shared" si="1"/>
        <v>44378</v>
      </c>
      <c r="B201" s="14"/>
      <c r="C201" s="14"/>
      <c r="D201" s="15"/>
      <c r="E201" s="16"/>
      <c r="F201" s="16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</row>
    <row r="202" ht="14.25" customHeight="1">
      <c r="A202" s="7">
        <f t="shared" si="1"/>
        <v>44409</v>
      </c>
      <c r="B202" s="14"/>
      <c r="C202" s="14"/>
      <c r="D202" s="15"/>
      <c r="E202" s="16"/>
      <c r="F202" s="16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</row>
    <row r="203" ht="14.25" customHeight="1">
      <c r="A203" s="7">
        <f t="shared" si="1"/>
        <v>44440</v>
      </c>
      <c r="B203" s="14"/>
      <c r="C203" s="14"/>
      <c r="D203" s="15"/>
      <c r="E203" s="16"/>
      <c r="F203" s="16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</row>
    <row r="204" ht="14.25" customHeight="1">
      <c r="A204" s="7">
        <f t="shared" si="1"/>
        <v>44470</v>
      </c>
      <c r="B204" s="14"/>
      <c r="C204" s="14"/>
      <c r="D204" s="15"/>
      <c r="E204" s="16"/>
      <c r="F204" s="16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</row>
    <row r="205" ht="14.25" customHeight="1">
      <c r="A205" s="7">
        <f t="shared" si="1"/>
        <v>44501</v>
      </c>
      <c r="B205" s="14"/>
      <c r="C205" s="14"/>
      <c r="D205" s="15"/>
      <c r="E205" s="16"/>
      <c r="F205" s="16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</row>
    <row r="206" ht="14.25" customHeight="1">
      <c r="A206" s="7">
        <f t="shared" si="1"/>
        <v>44531</v>
      </c>
      <c r="B206" s="14"/>
      <c r="C206" s="14"/>
      <c r="D206" s="15"/>
      <c r="E206" s="16"/>
      <c r="F206" s="16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</row>
    <row r="207" ht="14.25" customHeight="1">
      <c r="A207" s="7">
        <f t="shared" si="1"/>
        <v>44562</v>
      </c>
      <c r="B207" s="14"/>
      <c r="C207" s="14"/>
      <c r="D207" s="15"/>
      <c r="E207" s="16"/>
      <c r="F207" s="16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</row>
    <row r="208" ht="14.25" customHeight="1">
      <c r="A208" s="7">
        <f t="shared" si="1"/>
        <v>44593</v>
      </c>
      <c r="B208" s="14"/>
      <c r="C208" s="14"/>
      <c r="D208" s="15"/>
      <c r="E208" s="16"/>
      <c r="F208" s="16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</row>
    <row r="209" ht="14.25" customHeight="1">
      <c r="A209" s="7">
        <f t="shared" si="1"/>
        <v>44621</v>
      </c>
      <c r="B209" s="14"/>
      <c r="C209" s="14"/>
      <c r="D209" s="15"/>
      <c r="E209" s="16"/>
      <c r="F209" s="16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</row>
    <row r="210" ht="14.25" customHeight="1">
      <c r="A210" s="7">
        <f t="shared" si="1"/>
        <v>44652</v>
      </c>
      <c r="B210" s="14"/>
      <c r="C210" s="14"/>
      <c r="D210" s="15"/>
      <c r="E210" s="16"/>
      <c r="F210" s="16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</row>
    <row r="211" ht="14.25" customHeight="1">
      <c r="A211" s="7">
        <f t="shared" si="1"/>
        <v>44682</v>
      </c>
      <c r="B211" s="14"/>
      <c r="C211" s="14"/>
      <c r="D211" s="15"/>
      <c r="E211" s="16"/>
      <c r="F211" s="16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</row>
    <row r="212" ht="14.25" customHeight="1">
      <c r="A212" s="7">
        <f t="shared" si="1"/>
        <v>44713</v>
      </c>
      <c r="B212" s="14"/>
      <c r="C212" s="14"/>
      <c r="D212" s="15"/>
      <c r="E212" s="16"/>
      <c r="F212" s="16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</row>
    <row r="213" ht="14.25" customHeight="1">
      <c r="A213" s="7">
        <f t="shared" si="1"/>
        <v>44743</v>
      </c>
      <c r="B213" s="14"/>
      <c r="C213" s="14"/>
      <c r="D213" s="15"/>
      <c r="E213" s="16"/>
      <c r="F213" s="16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</row>
    <row r="214" ht="14.25" customHeight="1">
      <c r="A214" s="7">
        <f t="shared" si="1"/>
        <v>44774</v>
      </c>
      <c r="B214" s="14"/>
      <c r="C214" s="14"/>
      <c r="D214" s="15"/>
      <c r="E214" s="16"/>
      <c r="F214" s="16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</row>
    <row r="215" ht="14.25" customHeight="1">
      <c r="A215" s="7">
        <f t="shared" si="1"/>
        <v>44805</v>
      </c>
      <c r="B215" s="14"/>
      <c r="C215" s="14"/>
      <c r="D215" s="15"/>
      <c r="E215" s="16"/>
      <c r="F215" s="16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</row>
    <row r="216" ht="14.25" customHeight="1">
      <c r="A216" s="7">
        <f t="shared" si="1"/>
        <v>44835</v>
      </c>
      <c r="B216" s="14"/>
      <c r="C216" s="14"/>
      <c r="D216" s="15"/>
      <c r="E216" s="16"/>
      <c r="F216" s="16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</row>
    <row r="217" ht="14.25" customHeight="1">
      <c r="A217" s="7">
        <f t="shared" si="1"/>
        <v>44866</v>
      </c>
      <c r="B217" s="14"/>
      <c r="C217" s="14"/>
      <c r="D217" s="15"/>
      <c r="E217" s="16"/>
      <c r="F217" s="16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</row>
    <row r="218" ht="14.25" customHeight="1">
      <c r="A218" s="7">
        <f t="shared" si="1"/>
        <v>44896</v>
      </c>
      <c r="B218" s="14"/>
      <c r="C218" s="14"/>
      <c r="D218" s="15"/>
      <c r="E218" s="16"/>
      <c r="F218" s="16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</row>
    <row r="219" ht="14.25" customHeight="1">
      <c r="A219" s="7">
        <f t="shared" si="1"/>
        <v>44927</v>
      </c>
      <c r="B219" s="14"/>
      <c r="C219" s="14"/>
      <c r="D219" s="15"/>
      <c r="E219" s="16"/>
      <c r="F219" s="16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</row>
    <row r="220" ht="14.25" customHeight="1">
      <c r="A220" s="7">
        <f t="shared" si="1"/>
        <v>44958</v>
      </c>
      <c r="B220" s="14"/>
      <c r="C220" s="14"/>
      <c r="D220" s="15"/>
      <c r="E220" s="16"/>
      <c r="F220" s="16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</row>
    <row r="221" ht="14.25" customHeight="1">
      <c r="A221" s="7">
        <f t="shared" si="1"/>
        <v>44986</v>
      </c>
      <c r="B221" s="14"/>
      <c r="C221" s="14"/>
      <c r="D221" s="15"/>
      <c r="E221" s="16"/>
      <c r="F221" s="16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</row>
    <row r="222" ht="14.25" customHeight="1">
      <c r="A222" s="7">
        <f t="shared" si="1"/>
        <v>45017</v>
      </c>
      <c r="B222" s="14"/>
      <c r="C222" s="14"/>
      <c r="D222" s="15"/>
      <c r="E222" s="16"/>
      <c r="F222" s="16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</row>
    <row r="223" ht="14.25" customHeight="1">
      <c r="A223" s="7">
        <f t="shared" si="1"/>
        <v>45047</v>
      </c>
      <c r="B223" s="14"/>
      <c r="C223" s="14"/>
      <c r="D223" s="15"/>
      <c r="E223" s="16"/>
      <c r="F223" s="16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</row>
    <row r="224" ht="14.25" customHeight="1">
      <c r="A224" s="7">
        <f t="shared" si="1"/>
        <v>45078</v>
      </c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</row>
    <row r="225" ht="14.25" customHeight="1">
      <c r="A225" s="7">
        <f t="shared" si="1"/>
        <v>45108</v>
      </c>
      <c r="B225" s="14"/>
      <c r="C225" s="14"/>
      <c r="D225" s="16"/>
      <c r="E225" s="15"/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</row>
    <row r="226" ht="14.25" customHeight="1">
      <c r="A226" s="7">
        <f t="shared" si="1"/>
        <v>45139</v>
      </c>
      <c r="B226" s="14"/>
      <c r="C226" s="14"/>
      <c r="D226" s="16"/>
      <c r="E226" s="15"/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</row>
    <row r="227" ht="14.25" customHeight="1">
      <c r="A227" s="7">
        <f t="shared" si="1"/>
        <v>45170</v>
      </c>
      <c r="B227" s="14"/>
      <c r="C227" s="14"/>
      <c r="D227" s="16"/>
      <c r="E227" s="15"/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</row>
    <row r="228" ht="14.25" customHeight="1">
      <c r="A228" s="7">
        <f t="shared" si="1"/>
        <v>45200</v>
      </c>
      <c r="B228" s="14"/>
      <c r="C228" s="14"/>
      <c r="D228" s="16"/>
      <c r="E228" s="15"/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</row>
    <row r="229" ht="14.25" customHeight="1">
      <c r="A229" s="7">
        <f t="shared" si="1"/>
        <v>45231</v>
      </c>
      <c r="B229" s="14"/>
      <c r="C229" s="14"/>
      <c r="D229" s="16"/>
      <c r="E229" s="15"/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</row>
    <row r="230" ht="14.25" customHeight="1">
      <c r="A230" s="7">
        <f t="shared" si="1"/>
        <v>45261</v>
      </c>
      <c r="B230" s="14"/>
      <c r="C230" s="14"/>
      <c r="D230" s="16"/>
      <c r="E230" s="15"/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</row>
    <row r="231" ht="14.25" customHeight="1">
      <c r="A231" s="7">
        <f t="shared" si="1"/>
        <v>45292</v>
      </c>
      <c r="B231" s="14"/>
      <c r="C231" s="14"/>
      <c r="D231" s="14"/>
      <c r="E231" s="15"/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</row>
    <row r="232" ht="14.25" customHeight="1">
      <c r="A232" s="7">
        <f t="shared" si="1"/>
        <v>45323</v>
      </c>
      <c r="B232" s="14"/>
      <c r="C232" s="14"/>
      <c r="D232" s="14"/>
      <c r="E232" s="15"/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</row>
    <row r="233" ht="14.25" customHeight="1">
      <c r="A233" s="7">
        <f t="shared" si="1"/>
        <v>45352</v>
      </c>
      <c r="B233" s="14"/>
      <c r="C233" s="14"/>
      <c r="D233" s="14"/>
      <c r="E233" s="15"/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</row>
    <row r="234" ht="14.25" customHeight="1">
      <c r="A234" s="7">
        <f t="shared" si="1"/>
        <v>45383</v>
      </c>
      <c r="B234" s="14"/>
      <c r="C234" s="14"/>
      <c r="D234" s="14"/>
      <c r="E234" s="15"/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</row>
    <row r="235" ht="14.25" customHeight="1">
      <c r="A235" s="7">
        <f t="shared" si="1"/>
        <v>45413</v>
      </c>
      <c r="B235" s="14"/>
      <c r="C235" s="14"/>
      <c r="D235" s="14"/>
      <c r="E235" s="15"/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</row>
    <row r="236" ht="14.25" customHeight="1">
      <c r="A236" s="7">
        <f t="shared" si="1"/>
        <v>45444</v>
      </c>
      <c r="B236" s="14"/>
      <c r="C236" s="14"/>
      <c r="D236" s="14"/>
      <c r="E236" s="15"/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</row>
    <row r="237" ht="14.25" customHeight="1">
      <c r="A237" s="7">
        <f t="shared" si="1"/>
        <v>45474</v>
      </c>
      <c r="B237" s="14"/>
      <c r="C237" s="14"/>
      <c r="D237" s="14"/>
      <c r="E237" s="15"/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</row>
    <row r="238" ht="14.25" customHeight="1">
      <c r="A238" s="7">
        <f t="shared" si="1"/>
        <v>45505</v>
      </c>
      <c r="B238" s="14"/>
      <c r="C238" s="14"/>
      <c r="D238" s="14"/>
      <c r="E238" s="15"/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</row>
    <row r="239" ht="14.25" customHeight="1">
      <c r="A239" s="7">
        <f t="shared" si="1"/>
        <v>45536</v>
      </c>
      <c r="B239" s="14"/>
      <c r="C239" s="14"/>
      <c r="D239" s="14"/>
      <c r="E239" s="15"/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</row>
    <row r="240" ht="14.25" customHeight="1">
      <c r="A240" s="7">
        <f t="shared" si="1"/>
        <v>45566</v>
      </c>
      <c r="B240" s="14"/>
      <c r="C240" s="14"/>
      <c r="D240" s="14"/>
      <c r="E240" s="15"/>
      <c r="F240" s="15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</row>
    <row r="241" ht="14.25" customHeight="1">
      <c r="A241" s="7">
        <f t="shared" si="1"/>
        <v>45597</v>
      </c>
      <c r="B241" s="14"/>
      <c r="C241" s="14"/>
      <c r="D241" s="14"/>
      <c r="E241" s="15"/>
      <c r="F241" s="15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</row>
    <row r="242" ht="14.25" customHeight="1">
      <c r="A242" s="7">
        <f t="shared" si="1"/>
        <v>45627</v>
      </c>
      <c r="B242" s="14"/>
      <c r="C242" s="14"/>
      <c r="D242" s="14"/>
      <c r="E242" s="15"/>
      <c r="F242" s="15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</row>
    <row r="243" ht="14.25" customHeight="1">
      <c r="A243" s="7">
        <f t="shared" si="1"/>
        <v>45658</v>
      </c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</row>
    <row r="244" ht="14.25" customHeight="1">
      <c r="A244" s="7">
        <f t="shared" si="1"/>
        <v>45689</v>
      </c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</row>
    <row r="245" ht="14.25" customHeight="1">
      <c r="A245" s="7">
        <f t="shared" si="1"/>
        <v>45717</v>
      </c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</row>
    <row r="246" ht="14.25" customHeight="1">
      <c r="A246" s="7">
        <f t="shared" si="1"/>
        <v>45748</v>
      </c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</row>
    <row r="247" ht="14.25" customHeight="1">
      <c r="A247" s="7">
        <f t="shared" si="1"/>
        <v>45778</v>
      </c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</row>
    <row r="248" ht="14.25" customHeight="1">
      <c r="A248" s="7">
        <f t="shared" si="1"/>
        <v>45809</v>
      </c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</row>
    <row r="249" ht="14.25" customHeight="1">
      <c r="A249" s="7">
        <f t="shared" si="1"/>
        <v>45839</v>
      </c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</row>
    <row r="250" ht="14.25" customHeight="1">
      <c r="A250" s="7">
        <f t="shared" si="1"/>
        <v>45870</v>
      </c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</row>
    <row r="251" ht="14.25" customHeight="1">
      <c r="A251" s="7">
        <f t="shared" si="1"/>
        <v>45901</v>
      </c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</row>
    <row r="252" ht="14.25" customHeight="1">
      <c r="A252" s="7">
        <f t="shared" si="1"/>
        <v>45931</v>
      </c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</row>
    <row r="253" ht="14.25" customHeight="1">
      <c r="A253" s="7">
        <f t="shared" si="1"/>
        <v>45962</v>
      </c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</row>
    <row r="254" ht="14.25" customHeight="1">
      <c r="A254" s="7">
        <f t="shared" si="1"/>
        <v>45992</v>
      </c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</row>
    <row r="255" ht="14.25" customHeight="1">
      <c r="A255" s="7"/>
    </row>
    <row r="256" ht="14.25" customHeight="1">
      <c r="A256" s="7"/>
    </row>
    <row r="257" ht="14.25" customHeight="1">
      <c r="A257" s="7"/>
    </row>
    <row r="258" ht="14.25" customHeight="1">
      <c r="A258" s="7"/>
    </row>
    <row r="259" ht="14.25" customHeight="1">
      <c r="A259" s="7"/>
    </row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>
      <pane xSplit="1.0" ySplit="2.0" topLeftCell="B3" activePane="bottomRight" state="frozen"/>
      <selection activeCell="B1" sqref="B1" pane="topRight"/>
      <selection activeCell="A3" sqref="A3" pane="bottomLeft"/>
      <selection activeCell="B3" sqref="B3" pane="bottomRight"/>
    </sheetView>
  </sheetViews>
  <sheetFormatPr customHeight="1" defaultColWidth="14.43" defaultRowHeight="15.0"/>
  <cols>
    <col customWidth="1" min="1" max="39" width="19.0"/>
  </cols>
  <sheetData>
    <row r="1" ht="14.25" customHeight="1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ht="14.25" customHeight="1">
      <c r="A2" s="9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2"/>
      <c r="Y2" s="13"/>
      <c r="Z2" s="13"/>
      <c r="AA2" s="17"/>
      <c r="AB2" s="2"/>
      <c r="AC2" s="12"/>
      <c r="AD2" s="12"/>
      <c r="AE2" s="12"/>
      <c r="AF2" s="12"/>
      <c r="AG2" s="12"/>
      <c r="AH2" s="12"/>
      <c r="AI2" s="12"/>
      <c r="AJ2" s="12"/>
      <c r="AK2" s="2"/>
      <c r="AL2" s="12"/>
      <c r="AM2" s="12"/>
    </row>
    <row r="3" ht="14.25" customHeight="1">
      <c r="A3" s="7">
        <v>38353.0</v>
      </c>
      <c r="B3" s="14"/>
      <c r="C3" s="14"/>
      <c r="D3" s="15"/>
      <c r="E3" s="16"/>
      <c r="F3" s="16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AA3" s="7">
        <v>40909.0</v>
      </c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</row>
    <row r="4" ht="14.25" customHeight="1">
      <c r="A4" s="7">
        <f t="shared" ref="A4:A254" si="1">EOMONTH(A3,0)+1</f>
        <v>38384</v>
      </c>
      <c r="B4" s="14"/>
      <c r="C4" s="14"/>
      <c r="D4" s="15"/>
      <c r="E4" s="16"/>
      <c r="F4" s="16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AA4" s="7">
        <f t="shared" ref="AA4:AA4385" si="2">AA3+1</f>
        <v>40910</v>
      </c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</row>
    <row r="5" ht="14.25" customHeight="1">
      <c r="A5" s="7">
        <f t="shared" si="1"/>
        <v>38412</v>
      </c>
      <c r="B5" s="14"/>
      <c r="C5" s="14"/>
      <c r="D5" s="15"/>
      <c r="E5" s="16"/>
      <c r="F5" s="16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AA5" s="7">
        <f t="shared" si="2"/>
        <v>40911</v>
      </c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</row>
    <row r="6" ht="14.25" customHeight="1">
      <c r="A6" s="7">
        <f t="shared" si="1"/>
        <v>38443</v>
      </c>
      <c r="B6" s="14"/>
      <c r="C6" s="14"/>
      <c r="D6" s="15"/>
      <c r="E6" s="16"/>
      <c r="F6" s="16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AA6" s="7">
        <f t="shared" si="2"/>
        <v>40912</v>
      </c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</row>
    <row r="7" ht="14.25" customHeight="1">
      <c r="A7" s="7">
        <f t="shared" si="1"/>
        <v>38473</v>
      </c>
      <c r="B7" s="14"/>
      <c r="C7" s="14"/>
      <c r="D7" s="15"/>
      <c r="E7" s="16"/>
      <c r="F7" s="16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AA7" s="7">
        <f t="shared" si="2"/>
        <v>40913</v>
      </c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</row>
    <row r="8" ht="14.25" customHeight="1">
      <c r="A8" s="7">
        <f t="shared" si="1"/>
        <v>38504</v>
      </c>
      <c r="B8" s="14"/>
      <c r="C8" s="14"/>
      <c r="D8" s="15"/>
      <c r="E8" s="16"/>
      <c r="F8" s="16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AA8" s="7">
        <f t="shared" si="2"/>
        <v>40914</v>
      </c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</row>
    <row r="9" ht="14.25" customHeight="1">
      <c r="A9" s="7">
        <f t="shared" si="1"/>
        <v>38534</v>
      </c>
      <c r="B9" s="14"/>
      <c r="C9" s="14"/>
      <c r="D9" s="15"/>
      <c r="E9" s="16"/>
      <c r="F9" s="16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AA9" s="7">
        <f t="shared" si="2"/>
        <v>40915</v>
      </c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</row>
    <row r="10" ht="14.25" customHeight="1">
      <c r="A10" s="7">
        <f t="shared" si="1"/>
        <v>38565</v>
      </c>
      <c r="B10" s="14"/>
      <c r="C10" s="14"/>
      <c r="D10" s="15"/>
      <c r="E10" s="16"/>
      <c r="F10" s="16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AA10" s="7">
        <f t="shared" si="2"/>
        <v>40916</v>
      </c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</row>
    <row r="11" ht="14.25" customHeight="1">
      <c r="A11" s="7">
        <f t="shared" si="1"/>
        <v>38596</v>
      </c>
      <c r="B11" s="14"/>
      <c r="C11" s="14"/>
      <c r="D11" s="15"/>
      <c r="E11" s="16"/>
      <c r="F11" s="16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AA11" s="7">
        <f t="shared" si="2"/>
        <v>40917</v>
      </c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</row>
    <row r="12" ht="14.25" customHeight="1">
      <c r="A12" s="7">
        <f t="shared" si="1"/>
        <v>38626</v>
      </c>
      <c r="B12" s="14"/>
      <c r="C12" s="14"/>
      <c r="D12" s="15"/>
      <c r="E12" s="16"/>
      <c r="F12" s="16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AA12" s="7">
        <f t="shared" si="2"/>
        <v>40918</v>
      </c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</row>
    <row r="13" ht="14.25" customHeight="1">
      <c r="A13" s="7">
        <f t="shared" si="1"/>
        <v>38657</v>
      </c>
      <c r="B13" s="14"/>
      <c r="C13" s="14"/>
      <c r="D13" s="15"/>
      <c r="E13" s="16"/>
      <c r="F13" s="16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AA13" s="7">
        <f t="shared" si="2"/>
        <v>40919</v>
      </c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</row>
    <row r="14" ht="14.25" customHeight="1">
      <c r="A14" s="7">
        <f t="shared" si="1"/>
        <v>38687</v>
      </c>
      <c r="B14" s="14"/>
      <c r="C14" s="14"/>
      <c r="D14" s="15"/>
      <c r="E14" s="16"/>
      <c r="F14" s="16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AA14" s="7">
        <f t="shared" si="2"/>
        <v>40920</v>
      </c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</row>
    <row r="15" ht="14.25" customHeight="1">
      <c r="A15" s="7">
        <f t="shared" si="1"/>
        <v>38718</v>
      </c>
      <c r="B15" s="14"/>
      <c r="C15" s="14"/>
      <c r="D15" s="15"/>
      <c r="E15" s="16"/>
      <c r="F15" s="16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AA15" s="7">
        <f t="shared" si="2"/>
        <v>40921</v>
      </c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</row>
    <row r="16" ht="14.25" customHeight="1">
      <c r="A16" s="7">
        <f t="shared" si="1"/>
        <v>38749</v>
      </c>
      <c r="B16" s="14"/>
      <c r="C16" s="14"/>
      <c r="D16" s="15"/>
      <c r="E16" s="16"/>
      <c r="F16" s="16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AA16" s="7">
        <f t="shared" si="2"/>
        <v>40922</v>
      </c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</row>
    <row r="17" ht="14.25" customHeight="1">
      <c r="A17" s="7">
        <f t="shared" si="1"/>
        <v>38777</v>
      </c>
      <c r="B17" s="14"/>
      <c r="C17" s="14"/>
      <c r="D17" s="15"/>
      <c r="E17" s="16"/>
      <c r="F17" s="16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AA17" s="7">
        <f t="shared" si="2"/>
        <v>40923</v>
      </c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</row>
    <row r="18" ht="14.25" customHeight="1">
      <c r="A18" s="7">
        <f t="shared" si="1"/>
        <v>38808</v>
      </c>
      <c r="B18" s="14"/>
      <c r="C18" s="14"/>
      <c r="D18" s="15"/>
      <c r="E18" s="16"/>
      <c r="F18" s="16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AA18" s="7">
        <f t="shared" si="2"/>
        <v>40924</v>
      </c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</row>
    <row r="19" ht="14.25" customHeight="1">
      <c r="A19" s="7">
        <f t="shared" si="1"/>
        <v>38838</v>
      </c>
      <c r="B19" s="14"/>
      <c r="C19" s="14"/>
      <c r="D19" s="15"/>
      <c r="E19" s="16"/>
      <c r="F19" s="16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AA19" s="7">
        <f t="shared" si="2"/>
        <v>40925</v>
      </c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</row>
    <row r="20" ht="14.25" customHeight="1">
      <c r="A20" s="7">
        <f t="shared" si="1"/>
        <v>38869</v>
      </c>
      <c r="B20" s="14"/>
      <c r="C20" s="14"/>
      <c r="D20" s="15"/>
      <c r="E20" s="16"/>
      <c r="F20" s="16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AA20" s="7">
        <f t="shared" si="2"/>
        <v>40926</v>
      </c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</row>
    <row r="21" ht="14.25" customHeight="1">
      <c r="A21" s="7">
        <f t="shared" si="1"/>
        <v>38899</v>
      </c>
      <c r="B21" s="14"/>
      <c r="C21" s="14"/>
      <c r="D21" s="15"/>
      <c r="E21" s="16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AA21" s="7">
        <f t="shared" si="2"/>
        <v>40927</v>
      </c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</row>
    <row r="22" ht="14.25" customHeight="1">
      <c r="A22" s="7">
        <f t="shared" si="1"/>
        <v>38930</v>
      </c>
      <c r="B22" s="14"/>
      <c r="C22" s="14"/>
      <c r="D22" s="15"/>
      <c r="E22" s="16"/>
      <c r="F22" s="16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AA22" s="7">
        <f t="shared" si="2"/>
        <v>40928</v>
      </c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</row>
    <row r="23" ht="14.25" customHeight="1">
      <c r="A23" s="7">
        <f t="shared" si="1"/>
        <v>38961</v>
      </c>
      <c r="B23" s="14"/>
      <c r="C23" s="14"/>
      <c r="D23" s="15"/>
      <c r="E23" s="16"/>
      <c r="F23" s="16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AA23" s="7">
        <f t="shared" si="2"/>
        <v>40929</v>
      </c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</row>
    <row r="24" ht="14.25" customHeight="1">
      <c r="A24" s="7">
        <f t="shared" si="1"/>
        <v>38991</v>
      </c>
      <c r="B24" s="14"/>
      <c r="C24" s="14"/>
      <c r="D24" s="15"/>
      <c r="E24" s="16"/>
      <c r="F24" s="16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AA24" s="7">
        <f t="shared" si="2"/>
        <v>40930</v>
      </c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</row>
    <row r="25" ht="14.25" customHeight="1">
      <c r="A25" s="7">
        <f t="shared" si="1"/>
        <v>39022</v>
      </c>
      <c r="B25" s="14"/>
      <c r="C25" s="14"/>
      <c r="D25" s="15"/>
      <c r="E25" s="16"/>
      <c r="F25" s="16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AA25" s="7">
        <f t="shared" si="2"/>
        <v>40931</v>
      </c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</row>
    <row r="26" ht="14.25" customHeight="1">
      <c r="A26" s="7">
        <f t="shared" si="1"/>
        <v>39052</v>
      </c>
      <c r="B26" s="14"/>
      <c r="C26" s="14"/>
      <c r="D26" s="15"/>
      <c r="E26" s="16"/>
      <c r="F26" s="16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AA26" s="7">
        <f t="shared" si="2"/>
        <v>40932</v>
      </c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</row>
    <row r="27" ht="14.25" customHeight="1">
      <c r="A27" s="7">
        <f t="shared" si="1"/>
        <v>39083</v>
      </c>
      <c r="B27" s="14"/>
      <c r="C27" s="14"/>
      <c r="D27" s="15"/>
      <c r="E27" s="16"/>
      <c r="F27" s="16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AA27" s="7">
        <f t="shared" si="2"/>
        <v>40933</v>
      </c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</row>
    <row r="28" ht="14.25" customHeight="1">
      <c r="A28" s="7">
        <f t="shared" si="1"/>
        <v>39114</v>
      </c>
      <c r="B28" s="14"/>
      <c r="C28" s="14"/>
      <c r="D28" s="15"/>
      <c r="E28" s="16"/>
      <c r="F28" s="16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AA28" s="7">
        <f t="shared" si="2"/>
        <v>40934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</row>
    <row r="29" ht="14.25" customHeight="1">
      <c r="A29" s="7">
        <f t="shared" si="1"/>
        <v>39142</v>
      </c>
      <c r="B29" s="14"/>
      <c r="C29" s="14"/>
      <c r="D29" s="15"/>
      <c r="E29" s="16"/>
      <c r="F29" s="16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AA29" s="7">
        <f t="shared" si="2"/>
        <v>40935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</row>
    <row r="30" ht="14.25" customHeight="1">
      <c r="A30" s="7">
        <f t="shared" si="1"/>
        <v>39173</v>
      </c>
      <c r="B30" s="14"/>
      <c r="C30" s="14"/>
      <c r="D30" s="15"/>
      <c r="E30" s="16"/>
      <c r="F30" s="16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AA30" s="7">
        <f t="shared" si="2"/>
        <v>40936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</row>
    <row r="31" ht="14.25" customHeight="1">
      <c r="A31" s="7">
        <f t="shared" si="1"/>
        <v>39203</v>
      </c>
      <c r="B31" s="14"/>
      <c r="C31" s="14"/>
      <c r="D31" s="15"/>
      <c r="E31" s="16"/>
      <c r="F31" s="16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AA31" s="7">
        <f t="shared" si="2"/>
        <v>40937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</row>
    <row r="32" ht="14.25" customHeight="1">
      <c r="A32" s="7">
        <f t="shared" si="1"/>
        <v>39234</v>
      </c>
      <c r="B32" s="14"/>
      <c r="C32" s="14"/>
      <c r="D32" s="15"/>
      <c r="E32" s="16"/>
      <c r="F32" s="16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AA32" s="7">
        <f t="shared" si="2"/>
        <v>40938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</row>
    <row r="33" ht="14.25" customHeight="1">
      <c r="A33" s="7">
        <f t="shared" si="1"/>
        <v>39264</v>
      </c>
      <c r="B33" s="14"/>
      <c r="C33" s="14"/>
      <c r="D33" s="15"/>
      <c r="E33" s="16"/>
      <c r="F33" s="16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AA33" s="7">
        <f t="shared" si="2"/>
        <v>40939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</row>
    <row r="34" ht="14.25" customHeight="1">
      <c r="A34" s="7">
        <f t="shared" si="1"/>
        <v>39295</v>
      </c>
      <c r="B34" s="14"/>
      <c r="C34" s="14"/>
      <c r="D34" s="15"/>
      <c r="E34" s="16"/>
      <c r="F34" s="16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AA34" s="7">
        <f t="shared" si="2"/>
        <v>40940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</row>
    <row r="35" ht="14.25" customHeight="1">
      <c r="A35" s="7">
        <f t="shared" si="1"/>
        <v>39326</v>
      </c>
      <c r="B35" s="14"/>
      <c r="C35" s="14"/>
      <c r="D35" s="15"/>
      <c r="E35" s="16"/>
      <c r="F35" s="16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AA35" s="7">
        <f t="shared" si="2"/>
        <v>40941</v>
      </c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</row>
    <row r="36" ht="14.25" customHeight="1">
      <c r="A36" s="7">
        <f t="shared" si="1"/>
        <v>39356</v>
      </c>
      <c r="B36" s="14"/>
      <c r="C36" s="14"/>
      <c r="D36" s="15"/>
      <c r="E36" s="16"/>
      <c r="F36" s="16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AA36" s="7">
        <f t="shared" si="2"/>
        <v>40942</v>
      </c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</row>
    <row r="37" ht="14.25" customHeight="1">
      <c r="A37" s="7">
        <f t="shared" si="1"/>
        <v>39387</v>
      </c>
      <c r="B37" s="14"/>
      <c r="C37" s="14"/>
      <c r="D37" s="15"/>
      <c r="E37" s="16"/>
      <c r="F37" s="16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AA37" s="7">
        <f t="shared" si="2"/>
        <v>40943</v>
      </c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</row>
    <row r="38" ht="14.25" customHeight="1">
      <c r="A38" s="7">
        <f t="shared" si="1"/>
        <v>39417</v>
      </c>
      <c r="B38" s="14"/>
      <c r="C38" s="14"/>
      <c r="D38" s="15"/>
      <c r="E38" s="16"/>
      <c r="F38" s="16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AA38" s="7">
        <f t="shared" si="2"/>
        <v>40944</v>
      </c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</row>
    <row r="39" ht="14.25" customHeight="1">
      <c r="A39" s="7">
        <f t="shared" si="1"/>
        <v>39448</v>
      </c>
      <c r="B39" s="14"/>
      <c r="C39" s="14"/>
      <c r="D39" s="15"/>
      <c r="E39" s="16"/>
      <c r="F39" s="16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AA39" s="7">
        <f t="shared" si="2"/>
        <v>40945</v>
      </c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</row>
    <row r="40" ht="14.25" customHeight="1">
      <c r="A40" s="7">
        <f t="shared" si="1"/>
        <v>39479</v>
      </c>
      <c r="B40" s="14"/>
      <c r="C40" s="14"/>
      <c r="D40" s="15"/>
      <c r="E40" s="16"/>
      <c r="F40" s="16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AA40" s="7">
        <f t="shared" si="2"/>
        <v>40946</v>
      </c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</row>
    <row r="41" ht="14.25" customHeight="1">
      <c r="A41" s="7">
        <f t="shared" si="1"/>
        <v>39508</v>
      </c>
      <c r="B41" s="14"/>
      <c r="C41" s="14"/>
      <c r="D41" s="15"/>
      <c r="E41" s="16"/>
      <c r="F41" s="16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AA41" s="7">
        <f t="shared" si="2"/>
        <v>40947</v>
      </c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</row>
    <row r="42" ht="14.25" customHeight="1">
      <c r="A42" s="7">
        <f t="shared" si="1"/>
        <v>39539</v>
      </c>
      <c r="B42" s="14"/>
      <c r="C42" s="14"/>
      <c r="D42" s="15"/>
      <c r="E42" s="16"/>
      <c r="F42" s="16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AA42" s="7">
        <f t="shared" si="2"/>
        <v>40948</v>
      </c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</row>
    <row r="43" ht="14.25" customHeight="1">
      <c r="A43" s="7">
        <f t="shared" si="1"/>
        <v>39569</v>
      </c>
      <c r="B43" s="14"/>
      <c r="C43" s="14"/>
      <c r="D43" s="15"/>
      <c r="E43" s="16"/>
      <c r="F43" s="16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AA43" s="7">
        <f t="shared" si="2"/>
        <v>40949</v>
      </c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</row>
    <row r="44" ht="14.25" customHeight="1">
      <c r="A44" s="7">
        <f t="shared" si="1"/>
        <v>39600</v>
      </c>
      <c r="B44" s="14"/>
      <c r="C44" s="14"/>
      <c r="D44" s="15"/>
      <c r="E44" s="16"/>
      <c r="F44" s="16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AA44" s="7">
        <f t="shared" si="2"/>
        <v>40950</v>
      </c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</row>
    <row r="45" ht="14.25" customHeight="1">
      <c r="A45" s="7">
        <f t="shared" si="1"/>
        <v>39630</v>
      </c>
      <c r="B45" s="14"/>
      <c r="C45" s="14"/>
      <c r="D45" s="15"/>
      <c r="E45" s="16"/>
      <c r="F45" s="16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AA45" s="7">
        <f t="shared" si="2"/>
        <v>40951</v>
      </c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</row>
    <row r="46" ht="14.25" customHeight="1">
      <c r="A46" s="7">
        <f t="shared" si="1"/>
        <v>39661</v>
      </c>
      <c r="B46" s="14"/>
      <c r="C46" s="14"/>
      <c r="D46" s="15"/>
      <c r="E46" s="16"/>
      <c r="F46" s="16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AA46" s="7">
        <f t="shared" si="2"/>
        <v>40952</v>
      </c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</row>
    <row r="47" ht="14.25" customHeight="1">
      <c r="A47" s="7">
        <f t="shared" si="1"/>
        <v>39692</v>
      </c>
      <c r="B47" s="14"/>
      <c r="C47" s="14"/>
      <c r="D47" s="15"/>
      <c r="E47" s="16"/>
      <c r="F47" s="16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AA47" s="7">
        <f t="shared" si="2"/>
        <v>40953</v>
      </c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</row>
    <row r="48" ht="14.25" customHeight="1">
      <c r="A48" s="7">
        <f t="shared" si="1"/>
        <v>39722</v>
      </c>
      <c r="B48" s="14"/>
      <c r="C48" s="14"/>
      <c r="D48" s="15"/>
      <c r="E48" s="16"/>
      <c r="F48" s="16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AA48" s="7">
        <f t="shared" si="2"/>
        <v>40954</v>
      </c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</row>
    <row r="49" ht="14.25" customHeight="1">
      <c r="A49" s="7">
        <f t="shared" si="1"/>
        <v>39753</v>
      </c>
      <c r="B49" s="14"/>
      <c r="C49" s="14"/>
      <c r="D49" s="15"/>
      <c r="E49" s="16"/>
      <c r="F49" s="16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AA49" s="7">
        <f t="shared" si="2"/>
        <v>40955</v>
      </c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</row>
    <row r="50" ht="14.25" customHeight="1">
      <c r="A50" s="7">
        <f t="shared" si="1"/>
        <v>39783</v>
      </c>
      <c r="B50" s="14"/>
      <c r="C50" s="14"/>
      <c r="D50" s="15"/>
      <c r="E50" s="16"/>
      <c r="F50" s="16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AA50" s="7">
        <f t="shared" si="2"/>
        <v>40956</v>
      </c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</row>
    <row r="51" ht="14.25" customHeight="1">
      <c r="A51" s="7">
        <f t="shared" si="1"/>
        <v>39814</v>
      </c>
      <c r="B51" s="14"/>
      <c r="C51" s="14"/>
      <c r="D51" s="15"/>
      <c r="E51" s="16"/>
      <c r="F51" s="16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AA51" s="7">
        <f t="shared" si="2"/>
        <v>40957</v>
      </c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</row>
    <row r="52" ht="14.25" customHeight="1">
      <c r="A52" s="7">
        <f t="shared" si="1"/>
        <v>39845</v>
      </c>
      <c r="B52" s="14"/>
      <c r="C52" s="14"/>
      <c r="D52" s="15"/>
      <c r="E52" s="16"/>
      <c r="F52" s="16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AA52" s="7">
        <f t="shared" si="2"/>
        <v>40958</v>
      </c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</row>
    <row r="53" ht="14.25" customHeight="1">
      <c r="A53" s="7">
        <f t="shared" si="1"/>
        <v>39873</v>
      </c>
      <c r="B53" s="14"/>
      <c r="C53" s="14"/>
      <c r="D53" s="15"/>
      <c r="E53" s="16"/>
      <c r="F53" s="16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AA53" s="7">
        <f t="shared" si="2"/>
        <v>40959</v>
      </c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</row>
    <row r="54" ht="14.25" customHeight="1">
      <c r="A54" s="7">
        <f t="shared" si="1"/>
        <v>39904</v>
      </c>
      <c r="B54" s="14"/>
      <c r="C54" s="14"/>
      <c r="D54" s="15"/>
      <c r="E54" s="16"/>
      <c r="F54" s="16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AA54" s="7">
        <f t="shared" si="2"/>
        <v>40960</v>
      </c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</row>
    <row r="55" ht="14.25" customHeight="1">
      <c r="A55" s="7">
        <f t="shared" si="1"/>
        <v>39934</v>
      </c>
      <c r="B55" s="14"/>
      <c r="C55" s="14"/>
      <c r="D55" s="15"/>
      <c r="E55" s="16"/>
      <c r="F55" s="16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AA55" s="7">
        <f t="shared" si="2"/>
        <v>40961</v>
      </c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</row>
    <row r="56" ht="14.25" customHeight="1">
      <c r="A56" s="7">
        <f t="shared" si="1"/>
        <v>39965</v>
      </c>
      <c r="B56" s="14"/>
      <c r="C56" s="14"/>
      <c r="D56" s="15"/>
      <c r="E56" s="16"/>
      <c r="F56" s="16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AA56" s="7">
        <f t="shared" si="2"/>
        <v>40962</v>
      </c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</row>
    <row r="57" ht="14.25" customHeight="1">
      <c r="A57" s="7">
        <f t="shared" si="1"/>
        <v>39995</v>
      </c>
      <c r="B57" s="14"/>
      <c r="C57" s="14"/>
      <c r="D57" s="15"/>
      <c r="E57" s="16"/>
      <c r="F57" s="16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AA57" s="7">
        <f t="shared" si="2"/>
        <v>40963</v>
      </c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</row>
    <row r="58" ht="14.25" customHeight="1">
      <c r="A58" s="7">
        <f t="shared" si="1"/>
        <v>40026</v>
      </c>
      <c r="B58" s="14"/>
      <c r="C58" s="14"/>
      <c r="D58" s="15"/>
      <c r="E58" s="16"/>
      <c r="F58" s="16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AA58" s="7">
        <f t="shared" si="2"/>
        <v>40964</v>
      </c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</row>
    <row r="59" ht="14.25" customHeight="1">
      <c r="A59" s="7">
        <f t="shared" si="1"/>
        <v>40057</v>
      </c>
      <c r="B59" s="14"/>
      <c r="C59" s="14"/>
      <c r="D59" s="15"/>
      <c r="E59" s="16"/>
      <c r="F59" s="16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AA59" s="7">
        <f t="shared" si="2"/>
        <v>40965</v>
      </c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</row>
    <row r="60" ht="14.25" customHeight="1">
      <c r="A60" s="7">
        <f t="shared" si="1"/>
        <v>40087</v>
      </c>
      <c r="B60" s="14"/>
      <c r="C60" s="14"/>
      <c r="D60" s="15"/>
      <c r="E60" s="16"/>
      <c r="F60" s="16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AA60" s="7">
        <f t="shared" si="2"/>
        <v>40966</v>
      </c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</row>
    <row r="61" ht="14.25" customHeight="1">
      <c r="A61" s="7">
        <f t="shared" si="1"/>
        <v>40118</v>
      </c>
      <c r="B61" s="14"/>
      <c r="C61" s="14"/>
      <c r="D61" s="15"/>
      <c r="E61" s="16"/>
      <c r="F61" s="16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AA61" s="7">
        <f t="shared" si="2"/>
        <v>40967</v>
      </c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</row>
    <row r="62" ht="14.25" customHeight="1">
      <c r="A62" s="7">
        <f t="shared" si="1"/>
        <v>40148</v>
      </c>
      <c r="B62" s="14"/>
      <c r="C62" s="14"/>
      <c r="D62" s="15"/>
      <c r="E62" s="16"/>
      <c r="F62" s="1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AA62" s="7">
        <f t="shared" si="2"/>
        <v>40968</v>
      </c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</row>
    <row r="63" ht="14.25" customHeight="1">
      <c r="A63" s="7">
        <f t="shared" si="1"/>
        <v>40179</v>
      </c>
      <c r="B63" s="14"/>
      <c r="C63" s="14"/>
      <c r="D63" s="15"/>
      <c r="E63" s="16"/>
      <c r="F63" s="16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AA63" s="7">
        <f t="shared" si="2"/>
        <v>40969</v>
      </c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</row>
    <row r="64" ht="14.25" customHeight="1">
      <c r="A64" s="7">
        <f t="shared" si="1"/>
        <v>40210</v>
      </c>
      <c r="B64" s="14"/>
      <c r="C64" s="14"/>
      <c r="D64" s="15"/>
      <c r="E64" s="16"/>
      <c r="F64" s="16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AA64" s="7">
        <f t="shared" si="2"/>
        <v>40970</v>
      </c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</row>
    <row r="65" ht="14.25" customHeight="1">
      <c r="A65" s="7">
        <f t="shared" si="1"/>
        <v>40238</v>
      </c>
      <c r="B65" s="14"/>
      <c r="C65" s="14"/>
      <c r="D65" s="15"/>
      <c r="E65" s="16"/>
      <c r="F65" s="16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AA65" s="7">
        <f t="shared" si="2"/>
        <v>40971</v>
      </c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</row>
    <row r="66" ht="14.25" customHeight="1">
      <c r="A66" s="7">
        <f t="shared" si="1"/>
        <v>40269</v>
      </c>
      <c r="B66" s="14"/>
      <c r="C66" s="14"/>
      <c r="D66" s="15"/>
      <c r="E66" s="16"/>
      <c r="F66" s="16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AA66" s="7">
        <f t="shared" si="2"/>
        <v>40972</v>
      </c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</row>
    <row r="67" ht="14.25" customHeight="1">
      <c r="A67" s="7">
        <f t="shared" si="1"/>
        <v>40299</v>
      </c>
      <c r="B67" s="14"/>
      <c r="C67" s="14"/>
      <c r="D67" s="15"/>
      <c r="E67" s="16"/>
      <c r="F67" s="16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AA67" s="7">
        <f t="shared" si="2"/>
        <v>40973</v>
      </c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</row>
    <row r="68" ht="14.25" customHeight="1">
      <c r="A68" s="7">
        <f t="shared" si="1"/>
        <v>40330</v>
      </c>
      <c r="B68" s="14"/>
      <c r="C68" s="14"/>
      <c r="D68" s="15"/>
      <c r="E68" s="16"/>
      <c r="F68" s="16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AA68" s="7">
        <f t="shared" si="2"/>
        <v>40974</v>
      </c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</row>
    <row r="69" ht="14.25" customHeight="1">
      <c r="A69" s="7">
        <f t="shared" si="1"/>
        <v>40360</v>
      </c>
      <c r="B69" s="14"/>
      <c r="C69" s="14"/>
      <c r="D69" s="15"/>
      <c r="E69" s="16"/>
      <c r="F69" s="16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AA69" s="7">
        <f t="shared" si="2"/>
        <v>40975</v>
      </c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</row>
    <row r="70" ht="14.25" customHeight="1">
      <c r="A70" s="7">
        <f t="shared" si="1"/>
        <v>40391</v>
      </c>
      <c r="B70" s="14"/>
      <c r="C70" s="14"/>
      <c r="D70" s="15"/>
      <c r="E70" s="16"/>
      <c r="F70" s="16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AA70" s="7">
        <f t="shared" si="2"/>
        <v>40976</v>
      </c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</row>
    <row r="71" ht="14.25" customHeight="1">
      <c r="A71" s="7">
        <f t="shared" si="1"/>
        <v>40422</v>
      </c>
      <c r="B71" s="14"/>
      <c r="C71" s="14"/>
      <c r="D71" s="15"/>
      <c r="E71" s="16"/>
      <c r="F71" s="16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AA71" s="7">
        <f t="shared" si="2"/>
        <v>40977</v>
      </c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</row>
    <row r="72" ht="14.25" customHeight="1">
      <c r="A72" s="7">
        <f t="shared" si="1"/>
        <v>40452</v>
      </c>
      <c r="B72" s="14"/>
      <c r="C72" s="14"/>
      <c r="D72" s="15"/>
      <c r="E72" s="16"/>
      <c r="F72" s="16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AA72" s="7">
        <f t="shared" si="2"/>
        <v>40978</v>
      </c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</row>
    <row r="73" ht="14.25" customHeight="1">
      <c r="A73" s="7">
        <f t="shared" si="1"/>
        <v>40483</v>
      </c>
      <c r="B73" s="14"/>
      <c r="C73" s="14"/>
      <c r="D73" s="15"/>
      <c r="E73" s="16"/>
      <c r="F73" s="16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AA73" s="7">
        <f t="shared" si="2"/>
        <v>40979</v>
      </c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</row>
    <row r="74" ht="14.25" customHeight="1">
      <c r="A74" s="7">
        <f t="shared" si="1"/>
        <v>40513</v>
      </c>
      <c r="B74" s="14"/>
      <c r="C74" s="14"/>
      <c r="D74" s="15"/>
      <c r="E74" s="16"/>
      <c r="F74" s="16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AA74" s="7">
        <f t="shared" si="2"/>
        <v>40980</v>
      </c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</row>
    <row r="75" ht="14.25" customHeight="1">
      <c r="A75" s="7">
        <f t="shared" si="1"/>
        <v>40544</v>
      </c>
      <c r="B75" s="14"/>
      <c r="C75" s="14"/>
      <c r="D75" s="15"/>
      <c r="E75" s="16"/>
      <c r="F75" s="16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AA75" s="7">
        <f t="shared" si="2"/>
        <v>40981</v>
      </c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</row>
    <row r="76" ht="14.25" customHeight="1">
      <c r="A76" s="7">
        <f t="shared" si="1"/>
        <v>40575</v>
      </c>
      <c r="B76" s="14"/>
      <c r="C76" s="14"/>
      <c r="D76" s="15"/>
      <c r="E76" s="16"/>
      <c r="F76" s="16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AA76" s="7">
        <f t="shared" si="2"/>
        <v>40982</v>
      </c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</row>
    <row r="77" ht="14.25" customHeight="1">
      <c r="A77" s="7">
        <f t="shared" si="1"/>
        <v>40603</v>
      </c>
      <c r="B77" s="14"/>
      <c r="C77" s="14"/>
      <c r="D77" s="15"/>
      <c r="E77" s="16"/>
      <c r="F77" s="16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AA77" s="7">
        <f t="shared" si="2"/>
        <v>40983</v>
      </c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</row>
    <row r="78" ht="14.25" customHeight="1">
      <c r="A78" s="7">
        <f t="shared" si="1"/>
        <v>40634</v>
      </c>
      <c r="B78" s="14"/>
      <c r="C78" s="14"/>
      <c r="D78" s="15"/>
      <c r="E78" s="16"/>
      <c r="F78" s="16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AA78" s="7">
        <f t="shared" si="2"/>
        <v>40984</v>
      </c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</row>
    <row r="79" ht="14.25" customHeight="1">
      <c r="A79" s="7">
        <f t="shared" si="1"/>
        <v>40664</v>
      </c>
      <c r="B79" s="14"/>
      <c r="C79" s="14"/>
      <c r="D79" s="15"/>
      <c r="E79" s="16"/>
      <c r="F79" s="16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AA79" s="7">
        <f t="shared" si="2"/>
        <v>40985</v>
      </c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</row>
    <row r="80" ht="14.25" customHeight="1">
      <c r="A80" s="7">
        <f t="shared" si="1"/>
        <v>40695</v>
      </c>
      <c r="B80" s="14"/>
      <c r="C80" s="14"/>
      <c r="D80" s="15"/>
      <c r="E80" s="16"/>
      <c r="F80" s="16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AA80" s="7">
        <f t="shared" si="2"/>
        <v>40986</v>
      </c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</row>
    <row r="81" ht="14.25" customHeight="1">
      <c r="A81" s="7">
        <f t="shared" si="1"/>
        <v>40725</v>
      </c>
      <c r="B81" s="14"/>
      <c r="C81" s="14"/>
      <c r="D81" s="15"/>
      <c r="E81" s="16"/>
      <c r="F81" s="16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AA81" s="7">
        <f t="shared" si="2"/>
        <v>40987</v>
      </c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</row>
    <row r="82" ht="14.25" customHeight="1">
      <c r="A82" s="7">
        <f t="shared" si="1"/>
        <v>40756</v>
      </c>
      <c r="B82" s="14"/>
      <c r="C82" s="14"/>
      <c r="D82" s="15"/>
      <c r="E82" s="16"/>
      <c r="F82" s="16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AA82" s="7">
        <f t="shared" si="2"/>
        <v>40988</v>
      </c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</row>
    <row r="83" ht="14.25" customHeight="1">
      <c r="A83" s="7">
        <f t="shared" si="1"/>
        <v>40787</v>
      </c>
      <c r="B83" s="14"/>
      <c r="C83" s="14"/>
      <c r="D83" s="15"/>
      <c r="E83" s="16"/>
      <c r="F83" s="16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AA83" s="7">
        <f t="shared" si="2"/>
        <v>40989</v>
      </c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</row>
    <row r="84" ht="14.25" customHeight="1">
      <c r="A84" s="7">
        <f t="shared" si="1"/>
        <v>40817</v>
      </c>
      <c r="B84" s="14"/>
      <c r="C84" s="14"/>
      <c r="D84" s="15"/>
      <c r="E84" s="16"/>
      <c r="F84" s="16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AA84" s="7">
        <f t="shared" si="2"/>
        <v>40990</v>
      </c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</row>
    <row r="85" ht="14.25" customHeight="1">
      <c r="A85" s="7">
        <f t="shared" si="1"/>
        <v>40848</v>
      </c>
      <c r="B85" s="14"/>
      <c r="C85" s="14"/>
      <c r="D85" s="15"/>
      <c r="E85" s="16"/>
      <c r="F85" s="16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AA85" s="7">
        <f t="shared" si="2"/>
        <v>40991</v>
      </c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</row>
    <row r="86" ht="14.25" customHeight="1">
      <c r="A86" s="7">
        <f t="shared" si="1"/>
        <v>40878</v>
      </c>
      <c r="B86" s="14"/>
      <c r="C86" s="14"/>
      <c r="D86" s="15"/>
      <c r="E86" s="16"/>
      <c r="F86" s="16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AA86" s="7">
        <f t="shared" si="2"/>
        <v>40992</v>
      </c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</row>
    <row r="87" ht="14.25" customHeight="1">
      <c r="A87" s="7">
        <f t="shared" si="1"/>
        <v>40909</v>
      </c>
      <c r="B87" s="14"/>
      <c r="C87" s="14"/>
      <c r="D87" s="15"/>
      <c r="E87" s="16"/>
      <c r="F87" s="16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AA87" s="7">
        <f t="shared" si="2"/>
        <v>40993</v>
      </c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</row>
    <row r="88" ht="14.25" customHeight="1">
      <c r="A88" s="7">
        <f t="shared" si="1"/>
        <v>40940</v>
      </c>
      <c r="B88" s="14"/>
      <c r="C88" s="14"/>
      <c r="D88" s="15"/>
      <c r="E88" s="16"/>
      <c r="F88" s="16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AA88" s="7">
        <f t="shared" si="2"/>
        <v>40994</v>
      </c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</row>
    <row r="89" ht="14.25" customHeight="1">
      <c r="A89" s="7">
        <f t="shared" si="1"/>
        <v>40969</v>
      </c>
      <c r="B89" s="14"/>
      <c r="C89" s="14"/>
      <c r="D89" s="15"/>
      <c r="E89" s="16"/>
      <c r="F89" s="16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AA89" s="7">
        <f t="shared" si="2"/>
        <v>40995</v>
      </c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</row>
    <row r="90" ht="14.25" customHeight="1">
      <c r="A90" s="7">
        <f t="shared" si="1"/>
        <v>41000</v>
      </c>
      <c r="B90" s="14"/>
      <c r="C90" s="14"/>
      <c r="D90" s="15"/>
      <c r="E90" s="16"/>
      <c r="F90" s="16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AA90" s="7">
        <f t="shared" si="2"/>
        <v>40996</v>
      </c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</row>
    <row r="91" ht="14.25" customHeight="1">
      <c r="A91" s="7">
        <f t="shared" si="1"/>
        <v>41030</v>
      </c>
      <c r="B91" s="14"/>
      <c r="C91" s="14"/>
      <c r="D91" s="15"/>
      <c r="E91" s="16"/>
      <c r="F91" s="16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AA91" s="7">
        <f t="shared" si="2"/>
        <v>40997</v>
      </c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</row>
    <row r="92" ht="14.25" customHeight="1">
      <c r="A92" s="7">
        <f t="shared" si="1"/>
        <v>41061</v>
      </c>
      <c r="B92" s="14"/>
      <c r="C92" s="14"/>
      <c r="D92" s="15"/>
      <c r="E92" s="16"/>
      <c r="F92" s="16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AA92" s="7">
        <f t="shared" si="2"/>
        <v>40998</v>
      </c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</row>
    <row r="93" ht="14.25" customHeight="1">
      <c r="A93" s="7">
        <f t="shared" si="1"/>
        <v>41091</v>
      </c>
      <c r="B93" s="14"/>
      <c r="C93" s="14"/>
      <c r="D93" s="15"/>
      <c r="E93" s="16"/>
      <c r="F93" s="16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AA93" s="7">
        <f t="shared" si="2"/>
        <v>40999</v>
      </c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</row>
    <row r="94" ht="14.25" customHeight="1">
      <c r="A94" s="7">
        <f t="shared" si="1"/>
        <v>41122</v>
      </c>
      <c r="B94" s="14"/>
      <c r="C94" s="14"/>
      <c r="D94" s="15"/>
      <c r="E94" s="16"/>
      <c r="F94" s="16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AA94" s="7">
        <f t="shared" si="2"/>
        <v>41000</v>
      </c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</row>
    <row r="95" ht="14.25" customHeight="1">
      <c r="A95" s="7">
        <f t="shared" si="1"/>
        <v>41153</v>
      </c>
      <c r="B95" s="14"/>
      <c r="C95" s="14"/>
      <c r="D95" s="15"/>
      <c r="E95" s="16"/>
      <c r="F95" s="16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AA95" s="7">
        <f t="shared" si="2"/>
        <v>41001</v>
      </c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</row>
    <row r="96" ht="14.25" customHeight="1">
      <c r="A96" s="7">
        <f t="shared" si="1"/>
        <v>41183</v>
      </c>
      <c r="B96" s="14"/>
      <c r="C96" s="14"/>
      <c r="D96" s="15"/>
      <c r="E96" s="16"/>
      <c r="F96" s="16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AA96" s="7">
        <f t="shared" si="2"/>
        <v>41002</v>
      </c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</row>
    <row r="97" ht="14.25" customHeight="1">
      <c r="A97" s="7">
        <f t="shared" si="1"/>
        <v>41214</v>
      </c>
      <c r="B97" s="14"/>
      <c r="C97" s="14"/>
      <c r="D97" s="15"/>
      <c r="E97" s="16"/>
      <c r="F97" s="16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AA97" s="7">
        <f t="shared" si="2"/>
        <v>41003</v>
      </c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</row>
    <row r="98" ht="14.25" customHeight="1">
      <c r="A98" s="7">
        <f t="shared" si="1"/>
        <v>41244</v>
      </c>
      <c r="B98" s="14"/>
      <c r="C98" s="14"/>
      <c r="D98" s="15"/>
      <c r="E98" s="16"/>
      <c r="F98" s="16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AA98" s="7">
        <f t="shared" si="2"/>
        <v>41004</v>
      </c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</row>
    <row r="99" ht="14.25" customHeight="1">
      <c r="A99" s="7">
        <f t="shared" si="1"/>
        <v>41275</v>
      </c>
      <c r="B99" s="14"/>
      <c r="C99" s="14"/>
      <c r="D99" s="15"/>
      <c r="E99" s="16"/>
      <c r="F99" s="16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AA99" s="7">
        <f t="shared" si="2"/>
        <v>41005</v>
      </c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</row>
    <row r="100" ht="14.25" customHeight="1">
      <c r="A100" s="7">
        <f t="shared" si="1"/>
        <v>41306</v>
      </c>
      <c r="B100" s="14"/>
      <c r="C100" s="14"/>
      <c r="D100" s="15"/>
      <c r="E100" s="16"/>
      <c r="F100" s="16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AA100" s="7">
        <f t="shared" si="2"/>
        <v>41006</v>
      </c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</row>
    <row r="101" ht="14.25" customHeight="1">
      <c r="A101" s="7">
        <f t="shared" si="1"/>
        <v>41334</v>
      </c>
      <c r="B101" s="14"/>
      <c r="C101" s="14"/>
      <c r="D101" s="15"/>
      <c r="E101" s="16"/>
      <c r="F101" s="16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AA101" s="7">
        <f t="shared" si="2"/>
        <v>41007</v>
      </c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</row>
    <row r="102" ht="14.25" customHeight="1">
      <c r="A102" s="7">
        <f t="shared" si="1"/>
        <v>41365</v>
      </c>
      <c r="B102" s="14"/>
      <c r="C102" s="14"/>
      <c r="D102" s="15"/>
      <c r="E102" s="16"/>
      <c r="F102" s="16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AA102" s="7">
        <f t="shared" si="2"/>
        <v>41008</v>
      </c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</row>
    <row r="103" ht="14.25" customHeight="1">
      <c r="A103" s="7">
        <f t="shared" si="1"/>
        <v>41395</v>
      </c>
      <c r="B103" s="14"/>
      <c r="C103" s="14"/>
      <c r="D103" s="15"/>
      <c r="E103" s="16"/>
      <c r="F103" s="16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AA103" s="7">
        <f t="shared" si="2"/>
        <v>41009</v>
      </c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</row>
    <row r="104" ht="14.25" customHeight="1">
      <c r="A104" s="7">
        <f t="shared" si="1"/>
        <v>41426</v>
      </c>
      <c r="B104" s="14"/>
      <c r="C104" s="14"/>
      <c r="D104" s="15"/>
      <c r="E104" s="16"/>
      <c r="F104" s="16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AA104" s="7">
        <f t="shared" si="2"/>
        <v>41010</v>
      </c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</row>
    <row r="105" ht="14.25" customHeight="1">
      <c r="A105" s="7">
        <f t="shared" si="1"/>
        <v>41456</v>
      </c>
      <c r="B105" s="14"/>
      <c r="C105" s="14"/>
      <c r="D105" s="15"/>
      <c r="E105" s="16"/>
      <c r="F105" s="16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AA105" s="7">
        <f t="shared" si="2"/>
        <v>41011</v>
      </c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</row>
    <row r="106" ht="14.25" customHeight="1">
      <c r="A106" s="7">
        <f t="shared" si="1"/>
        <v>41487</v>
      </c>
      <c r="B106" s="14"/>
      <c r="C106" s="14"/>
      <c r="D106" s="15"/>
      <c r="E106" s="16"/>
      <c r="F106" s="16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AA106" s="7">
        <f t="shared" si="2"/>
        <v>41012</v>
      </c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</row>
    <row r="107" ht="14.25" customHeight="1">
      <c r="A107" s="7">
        <f t="shared" si="1"/>
        <v>41518</v>
      </c>
      <c r="B107" s="14"/>
      <c r="C107" s="14"/>
      <c r="D107" s="15"/>
      <c r="E107" s="16"/>
      <c r="F107" s="16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AA107" s="7">
        <f t="shared" si="2"/>
        <v>41013</v>
      </c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</row>
    <row r="108" ht="14.25" customHeight="1">
      <c r="A108" s="7">
        <f t="shared" si="1"/>
        <v>41548</v>
      </c>
      <c r="B108" s="14"/>
      <c r="C108" s="14"/>
      <c r="D108" s="15"/>
      <c r="E108" s="16"/>
      <c r="F108" s="16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AA108" s="7">
        <f t="shared" si="2"/>
        <v>41014</v>
      </c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</row>
    <row r="109" ht="14.25" customHeight="1">
      <c r="A109" s="7">
        <f t="shared" si="1"/>
        <v>41579</v>
      </c>
      <c r="B109" s="14"/>
      <c r="C109" s="14"/>
      <c r="D109" s="15"/>
      <c r="E109" s="16"/>
      <c r="F109" s="16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AA109" s="7">
        <f t="shared" si="2"/>
        <v>41015</v>
      </c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</row>
    <row r="110" ht="14.25" customHeight="1">
      <c r="A110" s="7">
        <f t="shared" si="1"/>
        <v>41609</v>
      </c>
      <c r="B110" s="14"/>
      <c r="C110" s="14"/>
      <c r="D110" s="15"/>
      <c r="E110" s="16"/>
      <c r="F110" s="16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AA110" s="7">
        <f t="shared" si="2"/>
        <v>41016</v>
      </c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</row>
    <row r="111" ht="14.25" customHeight="1">
      <c r="A111" s="7">
        <f t="shared" si="1"/>
        <v>41640</v>
      </c>
      <c r="B111" s="14"/>
      <c r="C111" s="14"/>
      <c r="D111" s="15"/>
      <c r="E111" s="16"/>
      <c r="F111" s="16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AA111" s="7">
        <f t="shared" si="2"/>
        <v>41017</v>
      </c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</row>
    <row r="112" ht="14.25" customHeight="1">
      <c r="A112" s="7">
        <f t="shared" si="1"/>
        <v>41671</v>
      </c>
      <c r="B112" s="14"/>
      <c r="C112" s="14"/>
      <c r="D112" s="15"/>
      <c r="E112" s="16"/>
      <c r="F112" s="16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AA112" s="7">
        <f t="shared" si="2"/>
        <v>41018</v>
      </c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</row>
    <row r="113" ht="14.25" customHeight="1">
      <c r="A113" s="7">
        <f t="shared" si="1"/>
        <v>41699</v>
      </c>
      <c r="B113" s="14"/>
      <c r="C113" s="14"/>
      <c r="D113" s="15"/>
      <c r="E113" s="16"/>
      <c r="F113" s="16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AA113" s="7">
        <f t="shared" si="2"/>
        <v>41019</v>
      </c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</row>
    <row r="114" ht="14.25" customHeight="1">
      <c r="A114" s="7">
        <f t="shared" si="1"/>
        <v>41730</v>
      </c>
      <c r="B114" s="14"/>
      <c r="C114" s="14"/>
      <c r="D114" s="15"/>
      <c r="E114" s="16"/>
      <c r="F114" s="16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AA114" s="7">
        <f t="shared" si="2"/>
        <v>41020</v>
      </c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</row>
    <row r="115" ht="14.25" customHeight="1">
      <c r="A115" s="7">
        <f t="shared" si="1"/>
        <v>41760</v>
      </c>
      <c r="B115" s="14"/>
      <c r="C115" s="14"/>
      <c r="D115" s="15"/>
      <c r="E115" s="16"/>
      <c r="F115" s="16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AA115" s="7">
        <f t="shared" si="2"/>
        <v>41021</v>
      </c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</row>
    <row r="116" ht="14.25" customHeight="1">
      <c r="A116" s="7">
        <f t="shared" si="1"/>
        <v>41791</v>
      </c>
      <c r="B116" s="14"/>
      <c r="C116" s="14"/>
      <c r="D116" s="15"/>
      <c r="E116" s="16"/>
      <c r="F116" s="16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AA116" s="7">
        <f t="shared" si="2"/>
        <v>41022</v>
      </c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</row>
    <row r="117" ht="14.25" customHeight="1">
      <c r="A117" s="7">
        <f t="shared" si="1"/>
        <v>41821</v>
      </c>
      <c r="B117" s="14"/>
      <c r="C117" s="14"/>
      <c r="D117" s="15"/>
      <c r="E117" s="16"/>
      <c r="F117" s="16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AA117" s="7">
        <f t="shared" si="2"/>
        <v>41023</v>
      </c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</row>
    <row r="118" ht="14.25" customHeight="1">
      <c r="A118" s="7">
        <f t="shared" si="1"/>
        <v>41852</v>
      </c>
      <c r="B118" s="14"/>
      <c r="C118" s="14"/>
      <c r="D118" s="15"/>
      <c r="E118" s="16"/>
      <c r="F118" s="16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AA118" s="7">
        <f t="shared" si="2"/>
        <v>41024</v>
      </c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</row>
    <row r="119" ht="14.25" customHeight="1">
      <c r="A119" s="7">
        <f t="shared" si="1"/>
        <v>41883</v>
      </c>
      <c r="B119" s="14"/>
      <c r="C119" s="14"/>
      <c r="D119" s="15"/>
      <c r="E119" s="16"/>
      <c r="F119" s="16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AA119" s="7">
        <f t="shared" si="2"/>
        <v>41025</v>
      </c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</row>
    <row r="120" ht="14.25" customHeight="1">
      <c r="A120" s="7">
        <f t="shared" si="1"/>
        <v>41913</v>
      </c>
      <c r="B120" s="14"/>
      <c r="C120" s="14"/>
      <c r="D120" s="15"/>
      <c r="E120" s="16"/>
      <c r="F120" s="16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AA120" s="7">
        <f t="shared" si="2"/>
        <v>41026</v>
      </c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</row>
    <row r="121" ht="14.25" customHeight="1">
      <c r="A121" s="7">
        <f t="shared" si="1"/>
        <v>41944</v>
      </c>
      <c r="B121" s="14"/>
      <c r="C121" s="14"/>
      <c r="D121" s="15"/>
      <c r="E121" s="16"/>
      <c r="F121" s="16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AA121" s="7">
        <f t="shared" si="2"/>
        <v>41027</v>
      </c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</row>
    <row r="122" ht="14.25" customHeight="1">
      <c r="A122" s="7">
        <f t="shared" si="1"/>
        <v>41974</v>
      </c>
      <c r="B122" s="14"/>
      <c r="C122" s="14"/>
      <c r="D122" s="15"/>
      <c r="E122" s="16"/>
      <c r="F122" s="16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AA122" s="7">
        <f t="shared" si="2"/>
        <v>41028</v>
      </c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</row>
    <row r="123" ht="14.25" customHeight="1">
      <c r="A123" s="7">
        <f t="shared" si="1"/>
        <v>42005</v>
      </c>
      <c r="B123" s="14"/>
      <c r="C123" s="14"/>
      <c r="D123" s="15"/>
      <c r="E123" s="16"/>
      <c r="F123" s="16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AA123" s="7">
        <f t="shared" si="2"/>
        <v>41029</v>
      </c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</row>
    <row r="124" ht="14.25" customHeight="1">
      <c r="A124" s="7">
        <f t="shared" si="1"/>
        <v>42036</v>
      </c>
      <c r="B124" s="14"/>
      <c r="C124" s="14"/>
      <c r="D124" s="15"/>
      <c r="E124" s="16"/>
      <c r="F124" s="16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AA124" s="7">
        <f t="shared" si="2"/>
        <v>41030</v>
      </c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</row>
    <row r="125" ht="14.25" customHeight="1">
      <c r="A125" s="7">
        <f t="shared" si="1"/>
        <v>42064</v>
      </c>
      <c r="B125" s="14"/>
      <c r="C125" s="14"/>
      <c r="D125" s="15"/>
      <c r="E125" s="16"/>
      <c r="F125" s="16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AA125" s="7">
        <f t="shared" si="2"/>
        <v>41031</v>
      </c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</row>
    <row r="126" ht="14.25" customHeight="1">
      <c r="A126" s="7">
        <f t="shared" si="1"/>
        <v>42095</v>
      </c>
      <c r="B126" s="14"/>
      <c r="C126" s="14"/>
      <c r="D126" s="15"/>
      <c r="E126" s="16"/>
      <c r="F126" s="16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AA126" s="7">
        <f t="shared" si="2"/>
        <v>41032</v>
      </c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</row>
    <row r="127" ht="14.25" customHeight="1">
      <c r="A127" s="7">
        <f t="shared" si="1"/>
        <v>42125</v>
      </c>
      <c r="B127" s="14"/>
      <c r="C127" s="14"/>
      <c r="D127" s="15"/>
      <c r="E127" s="16"/>
      <c r="F127" s="16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AA127" s="7">
        <f t="shared" si="2"/>
        <v>41033</v>
      </c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</row>
    <row r="128" ht="14.25" customHeight="1">
      <c r="A128" s="7">
        <f t="shared" si="1"/>
        <v>42156</v>
      </c>
      <c r="B128" s="14"/>
      <c r="C128" s="14"/>
      <c r="D128" s="15"/>
      <c r="E128" s="16"/>
      <c r="F128" s="16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AA128" s="7">
        <f t="shared" si="2"/>
        <v>41034</v>
      </c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</row>
    <row r="129" ht="14.25" customHeight="1">
      <c r="A129" s="7">
        <f t="shared" si="1"/>
        <v>42186</v>
      </c>
      <c r="B129" s="14"/>
      <c r="C129" s="14"/>
      <c r="D129" s="15"/>
      <c r="E129" s="16"/>
      <c r="F129" s="16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AA129" s="7">
        <f t="shared" si="2"/>
        <v>41035</v>
      </c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</row>
    <row r="130" ht="14.25" customHeight="1">
      <c r="A130" s="7">
        <f t="shared" si="1"/>
        <v>42217</v>
      </c>
      <c r="B130" s="14"/>
      <c r="C130" s="14"/>
      <c r="D130" s="15"/>
      <c r="E130" s="16"/>
      <c r="F130" s="16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AA130" s="7">
        <f t="shared" si="2"/>
        <v>41036</v>
      </c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</row>
    <row r="131" ht="14.25" customHeight="1">
      <c r="A131" s="7">
        <f t="shared" si="1"/>
        <v>42248</v>
      </c>
      <c r="B131" s="14"/>
      <c r="C131" s="14"/>
      <c r="D131" s="15"/>
      <c r="E131" s="16"/>
      <c r="F131" s="16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AA131" s="7">
        <f t="shared" si="2"/>
        <v>41037</v>
      </c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</row>
    <row r="132" ht="14.25" customHeight="1">
      <c r="A132" s="7">
        <f t="shared" si="1"/>
        <v>42278</v>
      </c>
      <c r="B132" s="14"/>
      <c r="C132" s="14"/>
      <c r="D132" s="15"/>
      <c r="E132" s="16"/>
      <c r="F132" s="16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AA132" s="7">
        <f t="shared" si="2"/>
        <v>41038</v>
      </c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</row>
    <row r="133" ht="14.25" customHeight="1">
      <c r="A133" s="7">
        <f t="shared" si="1"/>
        <v>42309</v>
      </c>
      <c r="B133" s="14"/>
      <c r="C133" s="14"/>
      <c r="D133" s="15"/>
      <c r="E133" s="16"/>
      <c r="F133" s="16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AA133" s="7">
        <f t="shared" si="2"/>
        <v>41039</v>
      </c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</row>
    <row r="134" ht="14.25" customHeight="1">
      <c r="A134" s="7">
        <f t="shared" si="1"/>
        <v>42339</v>
      </c>
      <c r="B134" s="14"/>
      <c r="C134" s="14"/>
      <c r="D134" s="15"/>
      <c r="E134" s="16"/>
      <c r="F134" s="16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AA134" s="7">
        <f t="shared" si="2"/>
        <v>41040</v>
      </c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</row>
    <row r="135" ht="14.25" customHeight="1">
      <c r="A135" s="7">
        <f t="shared" si="1"/>
        <v>42370</v>
      </c>
      <c r="B135" s="14"/>
      <c r="C135" s="14"/>
      <c r="D135" s="15"/>
      <c r="E135" s="16"/>
      <c r="F135" s="16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AA135" s="7">
        <f t="shared" si="2"/>
        <v>41041</v>
      </c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</row>
    <row r="136" ht="14.25" customHeight="1">
      <c r="A136" s="7">
        <f t="shared" si="1"/>
        <v>42401</v>
      </c>
      <c r="B136" s="14"/>
      <c r="C136" s="14"/>
      <c r="D136" s="15"/>
      <c r="E136" s="16"/>
      <c r="F136" s="16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AA136" s="7">
        <f t="shared" si="2"/>
        <v>41042</v>
      </c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</row>
    <row r="137" ht="14.25" customHeight="1">
      <c r="A137" s="7">
        <f t="shared" si="1"/>
        <v>42430</v>
      </c>
      <c r="B137" s="14"/>
      <c r="C137" s="14"/>
      <c r="D137" s="15"/>
      <c r="E137" s="16"/>
      <c r="F137" s="16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AA137" s="7">
        <f t="shared" si="2"/>
        <v>41043</v>
      </c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</row>
    <row r="138" ht="14.25" customHeight="1">
      <c r="A138" s="7">
        <f t="shared" si="1"/>
        <v>42461</v>
      </c>
      <c r="B138" s="14"/>
      <c r="C138" s="14"/>
      <c r="D138" s="15"/>
      <c r="E138" s="16"/>
      <c r="F138" s="16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AA138" s="7">
        <f t="shared" si="2"/>
        <v>41044</v>
      </c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</row>
    <row r="139" ht="14.25" customHeight="1">
      <c r="A139" s="7">
        <f t="shared" si="1"/>
        <v>42491</v>
      </c>
      <c r="B139" s="14"/>
      <c r="C139" s="14"/>
      <c r="D139" s="15"/>
      <c r="E139" s="16"/>
      <c r="F139" s="16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AA139" s="7">
        <f t="shared" si="2"/>
        <v>41045</v>
      </c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</row>
    <row r="140" ht="14.25" customHeight="1">
      <c r="A140" s="7">
        <f t="shared" si="1"/>
        <v>42522</v>
      </c>
      <c r="B140" s="14"/>
      <c r="C140" s="14"/>
      <c r="D140" s="15"/>
      <c r="E140" s="16"/>
      <c r="F140" s="16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AA140" s="7">
        <f t="shared" si="2"/>
        <v>41046</v>
      </c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</row>
    <row r="141" ht="14.25" customHeight="1">
      <c r="A141" s="7">
        <f t="shared" si="1"/>
        <v>42552</v>
      </c>
      <c r="B141" s="14"/>
      <c r="C141" s="14"/>
      <c r="D141" s="15"/>
      <c r="E141" s="16"/>
      <c r="F141" s="16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AA141" s="7">
        <f t="shared" si="2"/>
        <v>41047</v>
      </c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</row>
    <row r="142" ht="14.25" customHeight="1">
      <c r="A142" s="7">
        <f t="shared" si="1"/>
        <v>42583</v>
      </c>
      <c r="B142" s="14"/>
      <c r="C142" s="14"/>
      <c r="D142" s="15"/>
      <c r="E142" s="16"/>
      <c r="F142" s="16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AA142" s="7">
        <f t="shared" si="2"/>
        <v>41048</v>
      </c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</row>
    <row r="143" ht="14.25" customHeight="1">
      <c r="A143" s="7">
        <f t="shared" si="1"/>
        <v>42614</v>
      </c>
      <c r="B143" s="14"/>
      <c r="C143" s="14"/>
      <c r="D143" s="15"/>
      <c r="E143" s="16"/>
      <c r="F143" s="16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AA143" s="7">
        <f t="shared" si="2"/>
        <v>41049</v>
      </c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</row>
    <row r="144" ht="14.25" customHeight="1">
      <c r="A144" s="7">
        <f t="shared" si="1"/>
        <v>42644</v>
      </c>
      <c r="B144" s="14"/>
      <c r="C144" s="14"/>
      <c r="D144" s="15"/>
      <c r="E144" s="16"/>
      <c r="F144" s="16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AA144" s="7">
        <f t="shared" si="2"/>
        <v>41050</v>
      </c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</row>
    <row r="145" ht="14.25" customHeight="1">
      <c r="A145" s="7">
        <f t="shared" si="1"/>
        <v>42675</v>
      </c>
      <c r="B145" s="14"/>
      <c r="C145" s="14"/>
      <c r="D145" s="15"/>
      <c r="E145" s="16"/>
      <c r="F145" s="16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AA145" s="7">
        <f t="shared" si="2"/>
        <v>41051</v>
      </c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</row>
    <row r="146" ht="14.25" customHeight="1">
      <c r="A146" s="7">
        <f t="shared" si="1"/>
        <v>42705</v>
      </c>
      <c r="B146" s="14"/>
      <c r="C146" s="14"/>
      <c r="D146" s="15"/>
      <c r="E146" s="16"/>
      <c r="F146" s="16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AA146" s="7">
        <f t="shared" si="2"/>
        <v>41052</v>
      </c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</row>
    <row r="147" ht="14.25" customHeight="1">
      <c r="A147" s="7">
        <f t="shared" si="1"/>
        <v>42736</v>
      </c>
      <c r="B147" s="14"/>
      <c r="C147" s="14"/>
      <c r="D147" s="15"/>
      <c r="E147" s="16"/>
      <c r="F147" s="16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AA147" s="7">
        <f t="shared" si="2"/>
        <v>41053</v>
      </c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</row>
    <row r="148" ht="14.25" customHeight="1">
      <c r="A148" s="7">
        <f t="shared" si="1"/>
        <v>42767</v>
      </c>
      <c r="B148" s="14"/>
      <c r="C148" s="14"/>
      <c r="D148" s="15"/>
      <c r="E148" s="16"/>
      <c r="F148" s="16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AA148" s="7">
        <f t="shared" si="2"/>
        <v>41054</v>
      </c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</row>
    <row r="149" ht="14.25" customHeight="1">
      <c r="A149" s="7">
        <f t="shared" si="1"/>
        <v>42795</v>
      </c>
      <c r="B149" s="14"/>
      <c r="C149" s="14"/>
      <c r="D149" s="15"/>
      <c r="E149" s="16"/>
      <c r="F149" s="16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AA149" s="7">
        <f t="shared" si="2"/>
        <v>41055</v>
      </c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</row>
    <row r="150" ht="14.25" customHeight="1">
      <c r="A150" s="7">
        <f t="shared" si="1"/>
        <v>42826</v>
      </c>
      <c r="B150" s="14"/>
      <c r="C150" s="14"/>
      <c r="D150" s="15"/>
      <c r="E150" s="16"/>
      <c r="F150" s="16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AA150" s="7">
        <f t="shared" si="2"/>
        <v>41056</v>
      </c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</row>
    <row r="151" ht="14.25" customHeight="1">
      <c r="A151" s="7">
        <f t="shared" si="1"/>
        <v>42856</v>
      </c>
      <c r="B151" s="14"/>
      <c r="C151" s="14"/>
      <c r="D151" s="15"/>
      <c r="E151" s="16"/>
      <c r="F151" s="16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AA151" s="7">
        <f t="shared" si="2"/>
        <v>41057</v>
      </c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</row>
    <row r="152" ht="14.25" customHeight="1">
      <c r="A152" s="7">
        <f t="shared" si="1"/>
        <v>42887</v>
      </c>
      <c r="B152" s="14"/>
      <c r="C152" s="14"/>
      <c r="D152" s="15"/>
      <c r="E152" s="16"/>
      <c r="F152" s="16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AA152" s="7">
        <f t="shared" si="2"/>
        <v>41058</v>
      </c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</row>
    <row r="153" ht="14.25" customHeight="1">
      <c r="A153" s="7">
        <f t="shared" si="1"/>
        <v>42917</v>
      </c>
      <c r="B153" s="14"/>
      <c r="C153" s="14"/>
      <c r="D153" s="15"/>
      <c r="E153" s="16"/>
      <c r="F153" s="16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AA153" s="7">
        <f t="shared" si="2"/>
        <v>41059</v>
      </c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</row>
    <row r="154" ht="14.25" customHeight="1">
      <c r="A154" s="7">
        <f t="shared" si="1"/>
        <v>42948</v>
      </c>
      <c r="B154" s="14"/>
      <c r="C154" s="14"/>
      <c r="D154" s="15"/>
      <c r="E154" s="16"/>
      <c r="F154" s="16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AA154" s="7">
        <f t="shared" si="2"/>
        <v>41060</v>
      </c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</row>
    <row r="155" ht="14.25" customHeight="1">
      <c r="A155" s="7">
        <f t="shared" si="1"/>
        <v>42979</v>
      </c>
      <c r="B155" s="14"/>
      <c r="C155" s="14"/>
      <c r="D155" s="15"/>
      <c r="E155" s="16"/>
      <c r="F155" s="16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AA155" s="7">
        <f t="shared" si="2"/>
        <v>41061</v>
      </c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</row>
    <row r="156" ht="14.25" customHeight="1">
      <c r="A156" s="7">
        <f t="shared" si="1"/>
        <v>43009</v>
      </c>
      <c r="B156" s="14"/>
      <c r="C156" s="14"/>
      <c r="D156" s="15"/>
      <c r="E156" s="16"/>
      <c r="F156" s="16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AA156" s="7">
        <f t="shared" si="2"/>
        <v>41062</v>
      </c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</row>
    <row r="157" ht="14.25" customHeight="1">
      <c r="A157" s="7">
        <f t="shared" si="1"/>
        <v>43040</v>
      </c>
      <c r="B157" s="14"/>
      <c r="C157" s="14"/>
      <c r="D157" s="15"/>
      <c r="E157" s="16"/>
      <c r="F157" s="16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AA157" s="7">
        <f t="shared" si="2"/>
        <v>41063</v>
      </c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</row>
    <row r="158" ht="14.25" customHeight="1">
      <c r="A158" s="7">
        <f t="shared" si="1"/>
        <v>43070</v>
      </c>
      <c r="B158" s="14"/>
      <c r="C158" s="14"/>
      <c r="D158" s="15"/>
      <c r="E158" s="16"/>
      <c r="F158" s="16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AA158" s="7">
        <f t="shared" si="2"/>
        <v>41064</v>
      </c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</row>
    <row r="159" ht="14.25" customHeight="1">
      <c r="A159" s="7">
        <f t="shared" si="1"/>
        <v>43101</v>
      </c>
      <c r="B159" s="14"/>
      <c r="C159" s="14"/>
      <c r="D159" s="15"/>
      <c r="E159" s="16"/>
      <c r="F159" s="16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AA159" s="7">
        <f t="shared" si="2"/>
        <v>41065</v>
      </c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</row>
    <row r="160" ht="14.25" customHeight="1">
      <c r="A160" s="7">
        <f t="shared" si="1"/>
        <v>43132</v>
      </c>
      <c r="B160" s="14"/>
      <c r="C160" s="14"/>
      <c r="D160" s="15"/>
      <c r="E160" s="16"/>
      <c r="F160" s="16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AA160" s="7">
        <f t="shared" si="2"/>
        <v>41066</v>
      </c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</row>
    <row r="161" ht="14.25" customHeight="1">
      <c r="A161" s="7">
        <f t="shared" si="1"/>
        <v>43160</v>
      </c>
      <c r="B161" s="14"/>
      <c r="C161" s="14"/>
      <c r="D161" s="15"/>
      <c r="E161" s="16"/>
      <c r="F161" s="16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AA161" s="7">
        <f t="shared" si="2"/>
        <v>41067</v>
      </c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</row>
    <row r="162" ht="14.25" customHeight="1">
      <c r="A162" s="7">
        <f t="shared" si="1"/>
        <v>43191</v>
      </c>
      <c r="B162" s="14"/>
      <c r="C162" s="14"/>
      <c r="D162" s="15"/>
      <c r="E162" s="16"/>
      <c r="F162" s="16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AA162" s="7">
        <f t="shared" si="2"/>
        <v>41068</v>
      </c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</row>
    <row r="163" ht="14.25" customHeight="1">
      <c r="A163" s="7">
        <f t="shared" si="1"/>
        <v>43221</v>
      </c>
      <c r="B163" s="14"/>
      <c r="C163" s="14"/>
      <c r="D163" s="15"/>
      <c r="E163" s="16"/>
      <c r="F163" s="16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AA163" s="7">
        <f t="shared" si="2"/>
        <v>41069</v>
      </c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</row>
    <row r="164" ht="14.25" customHeight="1">
      <c r="A164" s="7">
        <f t="shared" si="1"/>
        <v>43252</v>
      </c>
      <c r="B164" s="14"/>
      <c r="C164" s="14"/>
      <c r="D164" s="15"/>
      <c r="E164" s="16"/>
      <c r="F164" s="16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AA164" s="7">
        <f t="shared" si="2"/>
        <v>41070</v>
      </c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</row>
    <row r="165" ht="14.25" customHeight="1">
      <c r="A165" s="7">
        <f t="shared" si="1"/>
        <v>43282</v>
      </c>
      <c r="B165" s="14"/>
      <c r="C165" s="14"/>
      <c r="D165" s="15"/>
      <c r="E165" s="16"/>
      <c r="F165" s="16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AA165" s="7">
        <f t="shared" si="2"/>
        <v>41071</v>
      </c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</row>
    <row r="166" ht="14.25" customHeight="1">
      <c r="A166" s="7">
        <f t="shared" si="1"/>
        <v>43313</v>
      </c>
      <c r="B166" s="14"/>
      <c r="C166" s="14"/>
      <c r="D166" s="15"/>
      <c r="E166" s="16"/>
      <c r="F166" s="16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AA166" s="7">
        <f t="shared" si="2"/>
        <v>41072</v>
      </c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</row>
    <row r="167" ht="14.25" customHeight="1">
      <c r="A167" s="7">
        <f t="shared" si="1"/>
        <v>43344</v>
      </c>
      <c r="B167" s="14"/>
      <c r="C167" s="14"/>
      <c r="D167" s="15"/>
      <c r="E167" s="16"/>
      <c r="F167" s="16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AA167" s="7">
        <f t="shared" si="2"/>
        <v>41073</v>
      </c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</row>
    <row r="168" ht="14.25" customHeight="1">
      <c r="A168" s="7">
        <f t="shared" si="1"/>
        <v>43374</v>
      </c>
      <c r="B168" s="14"/>
      <c r="C168" s="14"/>
      <c r="D168" s="15"/>
      <c r="E168" s="16"/>
      <c r="F168" s="16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AA168" s="7">
        <f t="shared" si="2"/>
        <v>41074</v>
      </c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</row>
    <row r="169" ht="14.25" customHeight="1">
      <c r="A169" s="7">
        <f t="shared" si="1"/>
        <v>43405</v>
      </c>
      <c r="B169" s="14"/>
      <c r="C169" s="14"/>
      <c r="D169" s="15"/>
      <c r="E169" s="16"/>
      <c r="F169" s="16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AA169" s="7">
        <f t="shared" si="2"/>
        <v>41075</v>
      </c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</row>
    <row r="170" ht="14.25" customHeight="1">
      <c r="A170" s="7">
        <f t="shared" si="1"/>
        <v>43435</v>
      </c>
      <c r="B170" s="14"/>
      <c r="C170" s="14"/>
      <c r="D170" s="15"/>
      <c r="E170" s="16"/>
      <c r="F170" s="16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AA170" s="7">
        <f t="shared" si="2"/>
        <v>41076</v>
      </c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</row>
    <row r="171" ht="14.25" customHeight="1">
      <c r="A171" s="7">
        <f t="shared" si="1"/>
        <v>43466</v>
      </c>
      <c r="B171" s="14"/>
      <c r="C171" s="14"/>
      <c r="D171" s="15"/>
      <c r="E171" s="16"/>
      <c r="F171" s="16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AA171" s="7">
        <f t="shared" si="2"/>
        <v>41077</v>
      </c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</row>
    <row r="172" ht="14.25" customHeight="1">
      <c r="A172" s="7">
        <f t="shared" si="1"/>
        <v>43497</v>
      </c>
      <c r="B172" s="14"/>
      <c r="C172" s="14"/>
      <c r="D172" s="15"/>
      <c r="E172" s="16"/>
      <c r="F172" s="16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AA172" s="7">
        <f t="shared" si="2"/>
        <v>41078</v>
      </c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</row>
    <row r="173" ht="14.25" customHeight="1">
      <c r="A173" s="7">
        <f t="shared" si="1"/>
        <v>43525</v>
      </c>
      <c r="B173" s="14"/>
      <c r="C173" s="14"/>
      <c r="D173" s="15"/>
      <c r="E173" s="16"/>
      <c r="F173" s="16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AA173" s="7">
        <f t="shared" si="2"/>
        <v>41079</v>
      </c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</row>
    <row r="174" ht="14.25" customHeight="1">
      <c r="A174" s="7">
        <f t="shared" si="1"/>
        <v>43556</v>
      </c>
      <c r="B174" s="14"/>
      <c r="C174" s="14"/>
      <c r="D174" s="15"/>
      <c r="E174" s="16"/>
      <c r="F174" s="16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AA174" s="7">
        <f t="shared" si="2"/>
        <v>41080</v>
      </c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</row>
    <row r="175" ht="14.25" customHeight="1">
      <c r="A175" s="7">
        <f t="shared" si="1"/>
        <v>43586</v>
      </c>
      <c r="B175" s="14"/>
      <c r="C175" s="14"/>
      <c r="D175" s="15"/>
      <c r="E175" s="16"/>
      <c r="F175" s="16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AA175" s="7">
        <f t="shared" si="2"/>
        <v>41081</v>
      </c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</row>
    <row r="176" ht="14.25" customHeight="1">
      <c r="A176" s="7">
        <f t="shared" si="1"/>
        <v>43617</v>
      </c>
      <c r="B176" s="14"/>
      <c r="C176" s="14"/>
      <c r="D176" s="15"/>
      <c r="E176" s="16"/>
      <c r="F176" s="16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AA176" s="7">
        <f t="shared" si="2"/>
        <v>41082</v>
      </c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</row>
    <row r="177" ht="14.25" customHeight="1">
      <c r="A177" s="7">
        <f t="shared" si="1"/>
        <v>43647</v>
      </c>
      <c r="B177" s="14"/>
      <c r="C177" s="14"/>
      <c r="D177" s="15"/>
      <c r="E177" s="16"/>
      <c r="F177" s="16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AA177" s="7">
        <f t="shared" si="2"/>
        <v>41083</v>
      </c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</row>
    <row r="178" ht="14.25" customHeight="1">
      <c r="A178" s="7">
        <f t="shared" si="1"/>
        <v>43678</v>
      </c>
      <c r="B178" s="14"/>
      <c r="C178" s="14"/>
      <c r="D178" s="15"/>
      <c r="E178" s="16"/>
      <c r="F178" s="16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AA178" s="7">
        <f t="shared" si="2"/>
        <v>41084</v>
      </c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</row>
    <row r="179" ht="14.25" customHeight="1">
      <c r="A179" s="7">
        <f t="shared" si="1"/>
        <v>43709</v>
      </c>
      <c r="B179" s="14"/>
      <c r="C179" s="14"/>
      <c r="D179" s="15"/>
      <c r="E179" s="16"/>
      <c r="F179" s="16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AA179" s="7">
        <f t="shared" si="2"/>
        <v>41085</v>
      </c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</row>
    <row r="180" ht="14.25" customHeight="1">
      <c r="A180" s="7">
        <f t="shared" si="1"/>
        <v>43739</v>
      </c>
      <c r="B180" s="14"/>
      <c r="C180" s="14"/>
      <c r="D180" s="15"/>
      <c r="E180" s="16"/>
      <c r="F180" s="16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AA180" s="7">
        <f t="shared" si="2"/>
        <v>41086</v>
      </c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</row>
    <row r="181" ht="14.25" customHeight="1">
      <c r="A181" s="7">
        <f t="shared" si="1"/>
        <v>43770</v>
      </c>
      <c r="B181" s="14"/>
      <c r="C181" s="14"/>
      <c r="D181" s="15"/>
      <c r="E181" s="16"/>
      <c r="F181" s="16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AA181" s="7">
        <f t="shared" si="2"/>
        <v>41087</v>
      </c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</row>
    <row r="182" ht="14.25" customHeight="1">
      <c r="A182" s="7">
        <f t="shared" si="1"/>
        <v>43800</v>
      </c>
      <c r="B182" s="14"/>
      <c r="C182" s="14"/>
      <c r="D182" s="15"/>
      <c r="E182" s="16"/>
      <c r="F182" s="16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AA182" s="7">
        <f t="shared" si="2"/>
        <v>41088</v>
      </c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</row>
    <row r="183" ht="14.25" customHeight="1">
      <c r="A183" s="7">
        <f t="shared" si="1"/>
        <v>43831</v>
      </c>
      <c r="B183" s="14"/>
      <c r="C183" s="14"/>
      <c r="D183" s="15"/>
      <c r="E183" s="16"/>
      <c r="F183" s="16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AA183" s="7">
        <f t="shared" si="2"/>
        <v>41089</v>
      </c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</row>
    <row r="184" ht="14.25" customHeight="1">
      <c r="A184" s="7">
        <f t="shared" si="1"/>
        <v>43862</v>
      </c>
      <c r="B184" s="14"/>
      <c r="C184" s="14"/>
      <c r="D184" s="15"/>
      <c r="E184" s="16"/>
      <c r="F184" s="16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AA184" s="7">
        <f t="shared" si="2"/>
        <v>41090</v>
      </c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</row>
    <row r="185" ht="14.25" customHeight="1">
      <c r="A185" s="7">
        <f t="shared" si="1"/>
        <v>43891</v>
      </c>
      <c r="B185" s="14"/>
      <c r="C185" s="14"/>
      <c r="D185" s="15"/>
      <c r="E185" s="16"/>
      <c r="F185" s="16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AA185" s="7">
        <f t="shared" si="2"/>
        <v>41091</v>
      </c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</row>
    <row r="186" ht="14.25" customHeight="1">
      <c r="A186" s="7">
        <f t="shared" si="1"/>
        <v>43922</v>
      </c>
      <c r="B186" s="14"/>
      <c r="C186" s="14"/>
      <c r="D186" s="15"/>
      <c r="E186" s="16"/>
      <c r="F186" s="16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AA186" s="7">
        <f t="shared" si="2"/>
        <v>41092</v>
      </c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</row>
    <row r="187" ht="14.25" customHeight="1">
      <c r="A187" s="7">
        <f t="shared" si="1"/>
        <v>43952</v>
      </c>
      <c r="B187" s="14"/>
      <c r="C187" s="14"/>
      <c r="D187" s="15"/>
      <c r="E187" s="16"/>
      <c r="F187" s="16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AA187" s="7">
        <f t="shared" si="2"/>
        <v>41093</v>
      </c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</row>
    <row r="188" ht="14.25" customHeight="1">
      <c r="A188" s="7">
        <f t="shared" si="1"/>
        <v>43983</v>
      </c>
      <c r="B188" s="14"/>
      <c r="C188" s="14"/>
      <c r="D188" s="15"/>
      <c r="E188" s="16"/>
      <c r="F188" s="16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AA188" s="7">
        <f t="shared" si="2"/>
        <v>41094</v>
      </c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</row>
    <row r="189" ht="14.25" customHeight="1">
      <c r="A189" s="7">
        <f t="shared" si="1"/>
        <v>44013</v>
      </c>
      <c r="B189" s="14"/>
      <c r="C189" s="14"/>
      <c r="D189" s="15"/>
      <c r="E189" s="16"/>
      <c r="F189" s="16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AA189" s="7">
        <f t="shared" si="2"/>
        <v>41095</v>
      </c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</row>
    <row r="190" ht="14.25" customHeight="1">
      <c r="A190" s="7">
        <f t="shared" si="1"/>
        <v>44044</v>
      </c>
      <c r="B190" s="14"/>
      <c r="C190" s="14"/>
      <c r="D190" s="15"/>
      <c r="E190" s="16"/>
      <c r="F190" s="16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AA190" s="7">
        <f t="shared" si="2"/>
        <v>41096</v>
      </c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</row>
    <row r="191" ht="14.25" customHeight="1">
      <c r="A191" s="7">
        <f t="shared" si="1"/>
        <v>44075</v>
      </c>
      <c r="B191" s="14"/>
      <c r="C191" s="14"/>
      <c r="D191" s="15"/>
      <c r="E191" s="16"/>
      <c r="F191" s="16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AA191" s="7">
        <f t="shared" si="2"/>
        <v>41097</v>
      </c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</row>
    <row r="192" ht="14.25" customHeight="1">
      <c r="A192" s="7">
        <f t="shared" si="1"/>
        <v>44105</v>
      </c>
      <c r="B192" s="14"/>
      <c r="C192" s="14"/>
      <c r="D192" s="15"/>
      <c r="E192" s="16"/>
      <c r="F192" s="16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AA192" s="7">
        <f t="shared" si="2"/>
        <v>41098</v>
      </c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</row>
    <row r="193" ht="14.25" customHeight="1">
      <c r="A193" s="7">
        <f t="shared" si="1"/>
        <v>44136</v>
      </c>
      <c r="B193" s="14"/>
      <c r="C193" s="14"/>
      <c r="D193" s="15"/>
      <c r="E193" s="16"/>
      <c r="F193" s="16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AA193" s="7">
        <f t="shared" si="2"/>
        <v>41099</v>
      </c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</row>
    <row r="194" ht="14.25" customHeight="1">
      <c r="A194" s="7">
        <f t="shared" si="1"/>
        <v>44166</v>
      </c>
      <c r="B194" s="14"/>
      <c r="C194" s="14"/>
      <c r="D194" s="15"/>
      <c r="E194" s="16"/>
      <c r="F194" s="16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AA194" s="7">
        <f t="shared" si="2"/>
        <v>41100</v>
      </c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</row>
    <row r="195" ht="14.25" customHeight="1">
      <c r="A195" s="7">
        <f t="shared" si="1"/>
        <v>44197</v>
      </c>
      <c r="B195" s="14"/>
      <c r="C195" s="14"/>
      <c r="D195" s="15"/>
      <c r="E195" s="16"/>
      <c r="F195" s="16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AA195" s="7">
        <f t="shared" si="2"/>
        <v>41101</v>
      </c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</row>
    <row r="196" ht="14.25" customHeight="1">
      <c r="A196" s="7">
        <f t="shared" si="1"/>
        <v>44228</v>
      </c>
      <c r="B196" s="14"/>
      <c r="C196" s="14"/>
      <c r="D196" s="15"/>
      <c r="E196" s="16"/>
      <c r="F196" s="16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AA196" s="7">
        <f t="shared" si="2"/>
        <v>41102</v>
      </c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</row>
    <row r="197" ht="14.25" customHeight="1">
      <c r="A197" s="7">
        <f t="shared" si="1"/>
        <v>44256</v>
      </c>
      <c r="B197" s="14"/>
      <c r="C197" s="14"/>
      <c r="D197" s="15"/>
      <c r="E197" s="16"/>
      <c r="F197" s="16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AA197" s="7">
        <f t="shared" si="2"/>
        <v>41103</v>
      </c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</row>
    <row r="198" ht="14.25" customHeight="1">
      <c r="A198" s="7">
        <f t="shared" si="1"/>
        <v>44287</v>
      </c>
      <c r="B198" s="14"/>
      <c r="C198" s="14"/>
      <c r="D198" s="15"/>
      <c r="E198" s="16"/>
      <c r="F198" s="16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AA198" s="7">
        <f t="shared" si="2"/>
        <v>41104</v>
      </c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</row>
    <row r="199" ht="14.25" customHeight="1">
      <c r="A199" s="7">
        <f t="shared" si="1"/>
        <v>44317</v>
      </c>
      <c r="B199" s="14"/>
      <c r="C199" s="14"/>
      <c r="D199" s="15"/>
      <c r="E199" s="16"/>
      <c r="F199" s="16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AA199" s="7">
        <f t="shared" si="2"/>
        <v>41105</v>
      </c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</row>
    <row r="200" ht="14.25" customHeight="1">
      <c r="A200" s="7">
        <f t="shared" si="1"/>
        <v>44348</v>
      </c>
      <c r="B200" s="14"/>
      <c r="C200" s="14"/>
      <c r="D200" s="15"/>
      <c r="E200" s="16"/>
      <c r="F200" s="16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AA200" s="7">
        <f t="shared" si="2"/>
        <v>41106</v>
      </c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</row>
    <row r="201" ht="14.25" customHeight="1">
      <c r="A201" s="7">
        <f t="shared" si="1"/>
        <v>44378</v>
      </c>
      <c r="B201" s="14"/>
      <c r="C201" s="14"/>
      <c r="D201" s="15"/>
      <c r="E201" s="16"/>
      <c r="F201" s="16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AA201" s="7">
        <f t="shared" si="2"/>
        <v>41107</v>
      </c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</row>
    <row r="202" ht="14.25" customHeight="1">
      <c r="A202" s="7">
        <f t="shared" si="1"/>
        <v>44409</v>
      </c>
      <c r="B202" s="14"/>
      <c r="C202" s="14"/>
      <c r="D202" s="15"/>
      <c r="E202" s="16"/>
      <c r="F202" s="16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AA202" s="7">
        <f t="shared" si="2"/>
        <v>41108</v>
      </c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</row>
    <row r="203" ht="14.25" customHeight="1">
      <c r="A203" s="7">
        <f t="shared" si="1"/>
        <v>44440</v>
      </c>
      <c r="B203" s="14"/>
      <c r="C203" s="14"/>
      <c r="D203" s="15"/>
      <c r="E203" s="16"/>
      <c r="F203" s="16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AA203" s="7">
        <f t="shared" si="2"/>
        <v>41109</v>
      </c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</row>
    <row r="204" ht="14.25" customHeight="1">
      <c r="A204" s="7">
        <f t="shared" si="1"/>
        <v>44470</v>
      </c>
      <c r="B204" s="14"/>
      <c r="C204" s="14"/>
      <c r="D204" s="15"/>
      <c r="E204" s="16"/>
      <c r="F204" s="16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AA204" s="7">
        <f t="shared" si="2"/>
        <v>41110</v>
      </c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</row>
    <row r="205" ht="14.25" customHeight="1">
      <c r="A205" s="7">
        <f t="shared" si="1"/>
        <v>44501</v>
      </c>
      <c r="B205" s="14"/>
      <c r="C205" s="14"/>
      <c r="D205" s="15"/>
      <c r="E205" s="16"/>
      <c r="F205" s="16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AA205" s="7">
        <f t="shared" si="2"/>
        <v>41111</v>
      </c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</row>
    <row r="206" ht="14.25" customHeight="1">
      <c r="A206" s="7">
        <f t="shared" si="1"/>
        <v>44531</v>
      </c>
      <c r="B206" s="14"/>
      <c r="C206" s="14"/>
      <c r="D206" s="15"/>
      <c r="E206" s="16"/>
      <c r="F206" s="16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AA206" s="7">
        <f t="shared" si="2"/>
        <v>41112</v>
      </c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</row>
    <row r="207" ht="14.25" customHeight="1">
      <c r="A207" s="7">
        <f t="shared" si="1"/>
        <v>44562</v>
      </c>
      <c r="B207" s="14"/>
      <c r="C207" s="14"/>
      <c r="D207" s="15"/>
      <c r="E207" s="16"/>
      <c r="F207" s="16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AA207" s="7">
        <f t="shared" si="2"/>
        <v>41113</v>
      </c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</row>
    <row r="208" ht="14.25" customHeight="1">
      <c r="A208" s="7">
        <f t="shared" si="1"/>
        <v>44593</v>
      </c>
      <c r="B208" s="14"/>
      <c r="C208" s="14"/>
      <c r="D208" s="15"/>
      <c r="E208" s="16"/>
      <c r="F208" s="16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AA208" s="7">
        <f t="shared" si="2"/>
        <v>41114</v>
      </c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</row>
    <row r="209" ht="14.25" customHeight="1">
      <c r="A209" s="7">
        <f t="shared" si="1"/>
        <v>44621</v>
      </c>
      <c r="B209" s="14"/>
      <c r="C209" s="14"/>
      <c r="D209" s="15"/>
      <c r="E209" s="16"/>
      <c r="F209" s="16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AA209" s="7">
        <f t="shared" si="2"/>
        <v>41115</v>
      </c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</row>
    <row r="210" ht="14.25" customHeight="1">
      <c r="A210" s="7">
        <f t="shared" si="1"/>
        <v>44652</v>
      </c>
      <c r="B210" s="14"/>
      <c r="C210" s="14"/>
      <c r="D210" s="15"/>
      <c r="E210" s="16"/>
      <c r="F210" s="16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AA210" s="7">
        <f t="shared" si="2"/>
        <v>41116</v>
      </c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</row>
    <row r="211" ht="14.25" customHeight="1">
      <c r="A211" s="7">
        <f t="shared" si="1"/>
        <v>44682</v>
      </c>
      <c r="B211" s="14"/>
      <c r="C211" s="14"/>
      <c r="D211" s="15"/>
      <c r="E211" s="16"/>
      <c r="F211" s="16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AA211" s="7">
        <f t="shared" si="2"/>
        <v>41117</v>
      </c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</row>
    <row r="212" ht="14.25" customHeight="1">
      <c r="A212" s="7">
        <f t="shared" si="1"/>
        <v>44713</v>
      </c>
      <c r="B212" s="14"/>
      <c r="C212" s="14"/>
      <c r="D212" s="15"/>
      <c r="E212" s="16"/>
      <c r="F212" s="16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AA212" s="7">
        <f t="shared" si="2"/>
        <v>41118</v>
      </c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</row>
    <row r="213" ht="14.25" customHeight="1">
      <c r="A213" s="7">
        <f t="shared" si="1"/>
        <v>44743</v>
      </c>
      <c r="B213" s="14"/>
      <c r="C213" s="14"/>
      <c r="D213" s="15"/>
      <c r="E213" s="16"/>
      <c r="F213" s="16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AA213" s="7">
        <f t="shared" si="2"/>
        <v>41119</v>
      </c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</row>
    <row r="214" ht="14.25" customHeight="1">
      <c r="A214" s="7">
        <f t="shared" si="1"/>
        <v>44774</v>
      </c>
      <c r="B214" s="14"/>
      <c r="C214" s="14"/>
      <c r="D214" s="15"/>
      <c r="E214" s="16"/>
      <c r="F214" s="16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AA214" s="7">
        <f t="shared" si="2"/>
        <v>41120</v>
      </c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</row>
    <row r="215" ht="14.25" customHeight="1">
      <c r="A215" s="7">
        <f t="shared" si="1"/>
        <v>44805</v>
      </c>
      <c r="B215" s="14"/>
      <c r="C215" s="14"/>
      <c r="D215" s="15"/>
      <c r="E215" s="16"/>
      <c r="F215" s="16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AA215" s="7">
        <f t="shared" si="2"/>
        <v>41121</v>
      </c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</row>
    <row r="216" ht="14.25" customHeight="1">
      <c r="A216" s="7">
        <f t="shared" si="1"/>
        <v>44835</v>
      </c>
      <c r="B216" s="14"/>
      <c r="C216" s="14"/>
      <c r="D216" s="15"/>
      <c r="E216" s="16"/>
      <c r="F216" s="16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AA216" s="7">
        <f t="shared" si="2"/>
        <v>41122</v>
      </c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</row>
    <row r="217" ht="14.25" customHeight="1">
      <c r="A217" s="7">
        <f t="shared" si="1"/>
        <v>44866</v>
      </c>
      <c r="B217" s="14"/>
      <c r="C217" s="14"/>
      <c r="D217" s="15"/>
      <c r="E217" s="16"/>
      <c r="F217" s="16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AA217" s="7">
        <f t="shared" si="2"/>
        <v>41123</v>
      </c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</row>
    <row r="218" ht="14.25" customHeight="1">
      <c r="A218" s="7">
        <f t="shared" si="1"/>
        <v>44896</v>
      </c>
      <c r="B218" s="14"/>
      <c r="C218" s="14"/>
      <c r="D218" s="15"/>
      <c r="E218" s="16"/>
      <c r="F218" s="16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AA218" s="7">
        <f t="shared" si="2"/>
        <v>41124</v>
      </c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</row>
    <row r="219" ht="14.25" customHeight="1">
      <c r="A219" s="7">
        <f t="shared" si="1"/>
        <v>44927</v>
      </c>
      <c r="B219" s="14"/>
      <c r="C219" s="14"/>
      <c r="D219" s="15"/>
      <c r="E219" s="16"/>
      <c r="F219" s="16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AA219" s="7">
        <f t="shared" si="2"/>
        <v>41125</v>
      </c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</row>
    <row r="220" ht="14.25" customHeight="1">
      <c r="A220" s="7">
        <f t="shared" si="1"/>
        <v>44958</v>
      </c>
      <c r="B220" s="14"/>
      <c r="C220" s="14"/>
      <c r="D220" s="15"/>
      <c r="E220" s="16"/>
      <c r="F220" s="16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AA220" s="7">
        <f t="shared" si="2"/>
        <v>41126</v>
      </c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</row>
    <row r="221" ht="14.25" customHeight="1">
      <c r="A221" s="7">
        <f t="shared" si="1"/>
        <v>44986</v>
      </c>
      <c r="B221" s="14"/>
      <c r="C221" s="14"/>
      <c r="D221" s="15"/>
      <c r="E221" s="16"/>
      <c r="F221" s="16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AA221" s="7">
        <f t="shared" si="2"/>
        <v>41127</v>
      </c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</row>
    <row r="222" ht="14.25" customHeight="1">
      <c r="A222" s="7">
        <f t="shared" si="1"/>
        <v>45017</v>
      </c>
      <c r="B222" s="14"/>
      <c r="C222" s="14"/>
      <c r="D222" s="15"/>
      <c r="E222" s="16"/>
      <c r="F222" s="16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AA222" s="7">
        <f t="shared" si="2"/>
        <v>41128</v>
      </c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</row>
    <row r="223" ht="14.25" customHeight="1">
      <c r="A223" s="7">
        <f t="shared" si="1"/>
        <v>45047</v>
      </c>
      <c r="B223" s="14"/>
      <c r="C223" s="14"/>
      <c r="D223" s="15"/>
      <c r="E223" s="16"/>
      <c r="F223" s="16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AA223" s="7">
        <f t="shared" si="2"/>
        <v>41129</v>
      </c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</row>
    <row r="224" ht="14.25" customHeight="1">
      <c r="A224" s="7">
        <f t="shared" si="1"/>
        <v>45078</v>
      </c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AA224" s="7">
        <f t="shared" si="2"/>
        <v>41130</v>
      </c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</row>
    <row r="225" ht="14.25" customHeight="1">
      <c r="A225" s="7">
        <f t="shared" si="1"/>
        <v>45108</v>
      </c>
      <c r="B225" s="14"/>
      <c r="C225" s="14"/>
      <c r="D225" s="16"/>
      <c r="E225" s="15"/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AA225" s="7">
        <f t="shared" si="2"/>
        <v>41131</v>
      </c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</row>
    <row r="226" ht="14.25" customHeight="1">
      <c r="A226" s="7">
        <f t="shared" si="1"/>
        <v>45139</v>
      </c>
      <c r="B226" s="14"/>
      <c r="C226" s="14"/>
      <c r="D226" s="16"/>
      <c r="E226" s="15"/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AA226" s="7">
        <f t="shared" si="2"/>
        <v>41132</v>
      </c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</row>
    <row r="227" ht="14.25" customHeight="1">
      <c r="A227" s="7">
        <f t="shared" si="1"/>
        <v>45170</v>
      </c>
      <c r="B227" s="14"/>
      <c r="C227" s="14"/>
      <c r="D227" s="16"/>
      <c r="E227" s="15"/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AA227" s="7">
        <f t="shared" si="2"/>
        <v>41133</v>
      </c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</row>
    <row r="228" ht="14.25" customHeight="1">
      <c r="A228" s="7">
        <f t="shared" si="1"/>
        <v>45200</v>
      </c>
      <c r="B228" s="14"/>
      <c r="C228" s="14"/>
      <c r="D228" s="16"/>
      <c r="E228" s="15"/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AA228" s="7">
        <f t="shared" si="2"/>
        <v>41134</v>
      </c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</row>
    <row r="229" ht="14.25" customHeight="1">
      <c r="A229" s="7">
        <f t="shared" si="1"/>
        <v>45231</v>
      </c>
      <c r="B229" s="14"/>
      <c r="C229" s="14"/>
      <c r="D229" s="16"/>
      <c r="E229" s="15"/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AA229" s="7">
        <f t="shared" si="2"/>
        <v>41135</v>
      </c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</row>
    <row r="230" ht="14.25" customHeight="1">
      <c r="A230" s="7">
        <f t="shared" si="1"/>
        <v>45261</v>
      </c>
      <c r="B230" s="14"/>
      <c r="C230" s="14"/>
      <c r="D230" s="16"/>
      <c r="E230" s="15"/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AA230" s="7">
        <f t="shared" si="2"/>
        <v>41136</v>
      </c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</row>
    <row r="231" ht="14.25" customHeight="1">
      <c r="A231" s="7">
        <f t="shared" si="1"/>
        <v>45292</v>
      </c>
      <c r="B231" s="14"/>
      <c r="C231" s="14"/>
      <c r="D231" s="14"/>
      <c r="E231" s="15"/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AA231" s="7">
        <f t="shared" si="2"/>
        <v>41137</v>
      </c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</row>
    <row r="232" ht="14.25" customHeight="1">
      <c r="A232" s="7">
        <f t="shared" si="1"/>
        <v>45323</v>
      </c>
      <c r="B232" s="14"/>
      <c r="C232" s="14"/>
      <c r="D232" s="14"/>
      <c r="E232" s="15"/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AA232" s="7">
        <f t="shared" si="2"/>
        <v>41138</v>
      </c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</row>
    <row r="233" ht="14.25" customHeight="1">
      <c r="A233" s="7">
        <f t="shared" si="1"/>
        <v>45352</v>
      </c>
      <c r="B233" s="14"/>
      <c r="C233" s="14"/>
      <c r="D233" s="14"/>
      <c r="E233" s="15"/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AA233" s="7">
        <f t="shared" si="2"/>
        <v>41139</v>
      </c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</row>
    <row r="234" ht="14.25" customHeight="1">
      <c r="A234" s="7">
        <f t="shared" si="1"/>
        <v>45383</v>
      </c>
      <c r="B234" s="14"/>
      <c r="C234" s="14"/>
      <c r="D234" s="14"/>
      <c r="E234" s="15"/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AA234" s="7">
        <f t="shared" si="2"/>
        <v>41140</v>
      </c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</row>
    <row r="235" ht="14.25" customHeight="1">
      <c r="A235" s="7">
        <f t="shared" si="1"/>
        <v>45413</v>
      </c>
      <c r="B235" s="14"/>
      <c r="C235" s="14"/>
      <c r="D235" s="14"/>
      <c r="E235" s="15"/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AA235" s="7">
        <f t="shared" si="2"/>
        <v>41141</v>
      </c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</row>
    <row r="236" ht="14.25" customHeight="1">
      <c r="A236" s="7">
        <f t="shared" si="1"/>
        <v>45444</v>
      </c>
      <c r="B236" s="14"/>
      <c r="C236" s="14"/>
      <c r="D236" s="14"/>
      <c r="E236" s="15"/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AA236" s="7">
        <f t="shared" si="2"/>
        <v>41142</v>
      </c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</row>
    <row r="237" ht="14.25" customHeight="1">
      <c r="A237" s="7">
        <f t="shared" si="1"/>
        <v>45474</v>
      </c>
      <c r="B237" s="14"/>
      <c r="C237" s="14"/>
      <c r="D237" s="14"/>
      <c r="E237" s="15"/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AA237" s="7">
        <f t="shared" si="2"/>
        <v>41143</v>
      </c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</row>
    <row r="238" ht="14.25" customHeight="1">
      <c r="A238" s="7">
        <f t="shared" si="1"/>
        <v>45505</v>
      </c>
      <c r="B238" s="14"/>
      <c r="C238" s="14"/>
      <c r="D238" s="14"/>
      <c r="E238" s="15"/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AA238" s="7">
        <f t="shared" si="2"/>
        <v>41144</v>
      </c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</row>
    <row r="239" ht="14.25" customHeight="1">
      <c r="A239" s="7">
        <f t="shared" si="1"/>
        <v>45536</v>
      </c>
      <c r="B239" s="14"/>
      <c r="C239" s="14"/>
      <c r="D239" s="14"/>
      <c r="E239" s="15"/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AA239" s="7">
        <f t="shared" si="2"/>
        <v>41145</v>
      </c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</row>
    <row r="240" ht="14.25" customHeight="1">
      <c r="A240" s="7">
        <f t="shared" si="1"/>
        <v>45566</v>
      </c>
      <c r="B240" s="14"/>
      <c r="C240" s="14"/>
      <c r="D240" s="14"/>
      <c r="E240" s="15"/>
      <c r="F240" s="15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AA240" s="7">
        <f t="shared" si="2"/>
        <v>41146</v>
      </c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</row>
    <row r="241" ht="14.25" customHeight="1">
      <c r="A241" s="7">
        <f t="shared" si="1"/>
        <v>45597</v>
      </c>
      <c r="B241" s="14"/>
      <c r="C241" s="14"/>
      <c r="D241" s="14"/>
      <c r="E241" s="15"/>
      <c r="F241" s="15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AA241" s="7">
        <f t="shared" si="2"/>
        <v>41147</v>
      </c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</row>
    <row r="242" ht="14.25" customHeight="1">
      <c r="A242" s="7">
        <f t="shared" si="1"/>
        <v>45627</v>
      </c>
      <c r="B242" s="14"/>
      <c r="C242" s="14"/>
      <c r="D242" s="14"/>
      <c r="E242" s="15"/>
      <c r="F242" s="15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AA242" s="7">
        <f t="shared" si="2"/>
        <v>41148</v>
      </c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</row>
    <row r="243" ht="14.25" customHeight="1">
      <c r="A243" s="7">
        <f t="shared" si="1"/>
        <v>45658</v>
      </c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AA243" s="7">
        <f t="shared" si="2"/>
        <v>41149</v>
      </c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</row>
    <row r="244" ht="14.25" customHeight="1">
      <c r="A244" s="7">
        <f t="shared" si="1"/>
        <v>45689</v>
      </c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AA244" s="7">
        <f t="shared" si="2"/>
        <v>41150</v>
      </c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</row>
    <row r="245" ht="14.25" customHeight="1">
      <c r="A245" s="7">
        <f t="shared" si="1"/>
        <v>45717</v>
      </c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AA245" s="7">
        <f t="shared" si="2"/>
        <v>41151</v>
      </c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</row>
    <row r="246" ht="14.25" customHeight="1">
      <c r="A246" s="7">
        <f t="shared" si="1"/>
        <v>45748</v>
      </c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AA246" s="7">
        <f t="shared" si="2"/>
        <v>41152</v>
      </c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</row>
    <row r="247" ht="14.25" customHeight="1">
      <c r="A247" s="7">
        <f t="shared" si="1"/>
        <v>45778</v>
      </c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AA247" s="7">
        <f t="shared" si="2"/>
        <v>41153</v>
      </c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</row>
    <row r="248" ht="14.25" customHeight="1">
      <c r="A248" s="7">
        <f t="shared" si="1"/>
        <v>45809</v>
      </c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AA248" s="7">
        <f t="shared" si="2"/>
        <v>41154</v>
      </c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</row>
    <row r="249" ht="14.25" customHeight="1">
      <c r="A249" s="7">
        <f t="shared" si="1"/>
        <v>45839</v>
      </c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AA249" s="7">
        <f t="shared" si="2"/>
        <v>41155</v>
      </c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</row>
    <row r="250" ht="14.25" customHeight="1">
      <c r="A250" s="7">
        <f t="shared" si="1"/>
        <v>45870</v>
      </c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AA250" s="7">
        <f t="shared" si="2"/>
        <v>41156</v>
      </c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</row>
    <row r="251" ht="14.25" customHeight="1">
      <c r="A251" s="7">
        <f t="shared" si="1"/>
        <v>45901</v>
      </c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AA251" s="7">
        <f t="shared" si="2"/>
        <v>41157</v>
      </c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</row>
    <row r="252" ht="14.25" customHeight="1">
      <c r="A252" s="7">
        <f t="shared" si="1"/>
        <v>45931</v>
      </c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AA252" s="7">
        <f t="shared" si="2"/>
        <v>41158</v>
      </c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</row>
    <row r="253" ht="14.25" customHeight="1">
      <c r="A253" s="7">
        <f t="shared" si="1"/>
        <v>45962</v>
      </c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AA253" s="7">
        <f t="shared" si="2"/>
        <v>41159</v>
      </c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</row>
    <row r="254" ht="14.25" customHeight="1">
      <c r="A254" s="7">
        <f t="shared" si="1"/>
        <v>45992</v>
      </c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AA254" s="7">
        <f t="shared" si="2"/>
        <v>41160</v>
      </c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</row>
    <row r="255" ht="14.25" customHeight="1">
      <c r="A255" s="7"/>
      <c r="AA255" s="7">
        <f t="shared" si="2"/>
        <v>41161</v>
      </c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</row>
    <row r="256" ht="14.25" customHeight="1">
      <c r="A256" s="7"/>
      <c r="AA256" s="7">
        <f t="shared" si="2"/>
        <v>41162</v>
      </c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</row>
    <row r="257" ht="14.25" customHeight="1">
      <c r="A257" s="7"/>
      <c r="AA257" s="7">
        <f t="shared" si="2"/>
        <v>41163</v>
      </c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</row>
    <row r="258" ht="14.25" customHeight="1">
      <c r="A258" s="7"/>
      <c r="AA258" s="7">
        <f t="shared" si="2"/>
        <v>41164</v>
      </c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</row>
    <row r="259" ht="14.25" customHeight="1">
      <c r="A259" s="7"/>
      <c r="AA259" s="7">
        <f t="shared" si="2"/>
        <v>41165</v>
      </c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</row>
    <row r="260" ht="14.25" customHeight="1">
      <c r="AA260" s="7">
        <f t="shared" si="2"/>
        <v>41166</v>
      </c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</row>
    <row r="261" ht="14.25" customHeight="1">
      <c r="AA261" s="7">
        <f t="shared" si="2"/>
        <v>41167</v>
      </c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</row>
    <row r="262" ht="14.25" customHeight="1">
      <c r="AA262" s="7">
        <f t="shared" si="2"/>
        <v>41168</v>
      </c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</row>
    <row r="263" ht="14.25" customHeight="1">
      <c r="AA263" s="7">
        <f t="shared" si="2"/>
        <v>41169</v>
      </c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</row>
    <row r="264" ht="14.25" customHeight="1">
      <c r="AA264" s="7">
        <f t="shared" si="2"/>
        <v>41170</v>
      </c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</row>
    <row r="265" ht="14.25" customHeight="1">
      <c r="AA265" s="7">
        <f t="shared" si="2"/>
        <v>41171</v>
      </c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</row>
    <row r="266" ht="14.25" customHeight="1">
      <c r="AA266" s="7">
        <f t="shared" si="2"/>
        <v>41172</v>
      </c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</row>
    <row r="267" ht="14.25" customHeight="1">
      <c r="AA267" s="7">
        <f t="shared" si="2"/>
        <v>41173</v>
      </c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</row>
    <row r="268" ht="14.25" customHeight="1">
      <c r="AA268" s="7">
        <f t="shared" si="2"/>
        <v>41174</v>
      </c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</row>
    <row r="269" ht="14.25" customHeight="1">
      <c r="AA269" s="7">
        <f t="shared" si="2"/>
        <v>41175</v>
      </c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</row>
    <row r="270" ht="14.25" customHeight="1">
      <c r="AA270" s="7">
        <f t="shared" si="2"/>
        <v>41176</v>
      </c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</row>
    <row r="271" ht="14.25" customHeight="1">
      <c r="AA271" s="7">
        <f t="shared" si="2"/>
        <v>41177</v>
      </c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</row>
    <row r="272" ht="14.25" customHeight="1">
      <c r="AA272" s="7">
        <f t="shared" si="2"/>
        <v>41178</v>
      </c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</row>
    <row r="273" ht="14.25" customHeight="1">
      <c r="AA273" s="7">
        <f t="shared" si="2"/>
        <v>41179</v>
      </c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</row>
    <row r="274" ht="14.25" customHeight="1">
      <c r="AA274" s="7">
        <f t="shared" si="2"/>
        <v>41180</v>
      </c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</row>
    <row r="275" ht="14.25" customHeight="1">
      <c r="AA275" s="7">
        <f t="shared" si="2"/>
        <v>41181</v>
      </c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</row>
    <row r="276" ht="14.25" customHeight="1">
      <c r="AA276" s="7">
        <f t="shared" si="2"/>
        <v>41182</v>
      </c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</row>
    <row r="277" ht="14.25" customHeight="1">
      <c r="AA277" s="7">
        <f t="shared" si="2"/>
        <v>41183</v>
      </c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</row>
    <row r="278" ht="14.25" customHeight="1">
      <c r="AA278" s="7">
        <f t="shared" si="2"/>
        <v>41184</v>
      </c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</row>
    <row r="279" ht="14.25" customHeight="1">
      <c r="AA279" s="7">
        <f t="shared" si="2"/>
        <v>41185</v>
      </c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</row>
    <row r="280" ht="14.25" customHeight="1">
      <c r="AA280" s="7">
        <f t="shared" si="2"/>
        <v>41186</v>
      </c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</row>
    <row r="281" ht="14.25" customHeight="1">
      <c r="AA281" s="7">
        <f t="shared" si="2"/>
        <v>41187</v>
      </c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</row>
    <row r="282" ht="14.25" customHeight="1">
      <c r="AA282" s="7">
        <f t="shared" si="2"/>
        <v>41188</v>
      </c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</row>
    <row r="283" ht="14.25" customHeight="1">
      <c r="AA283" s="7">
        <f t="shared" si="2"/>
        <v>41189</v>
      </c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</row>
    <row r="284" ht="14.25" customHeight="1">
      <c r="AA284" s="7">
        <f t="shared" si="2"/>
        <v>41190</v>
      </c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</row>
    <row r="285" ht="14.25" customHeight="1">
      <c r="AA285" s="7">
        <f t="shared" si="2"/>
        <v>41191</v>
      </c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</row>
    <row r="286" ht="14.25" customHeight="1">
      <c r="AA286" s="7">
        <f t="shared" si="2"/>
        <v>41192</v>
      </c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</row>
    <row r="287" ht="14.25" customHeight="1">
      <c r="AA287" s="7">
        <f t="shared" si="2"/>
        <v>41193</v>
      </c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</row>
    <row r="288" ht="14.25" customHeight="1">
      <c r="AA288" s="7">
        <f t="shared" si="2"/>
        <v>41194</v>
      </c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</row>
    <row r="289" ht="14.25" customHeight="1">
      <c r="AA289" s="7">
        <f t="shared" si="2"/>
        <v>41195</v>
      </c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</row>
    <row r="290" ht="14.25" customHeight="1">
      <c r="AA290" s="7">
        <f t="shared" si="2"/>
        <v>41196</v>
      </c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</row>
    <row r="291" ht="14.25" customHeight="1">
      <c r="AA291" s="7">
        <f t="shared" si="2"/>
        <v>41197</v>
      </c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</row>
    <row r="292" ht="14.25" customHeight="1">
      <c r="AA292" s="7">
        <f t="shared" si="2"/>
        <v>41198</v>
      </c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</row>
    <row r="293" ht="14.25" customHeight="1">
      <c r="AA293" s="7">
        <f t="shared" si="2"/>
        <v>41199</v>
      </c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</row>
    <row r="294" ht="14.25" customHeight="1">
      <c r="AA294" s="7">
        <f t="shared" si="2"/>
        <v>41200</v>
      </c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</row>
    <row r="295" ht="14.25" customHeight="1">
      <c r="AA295" s="7">
        <f t="shared" si="2"/>
        <v>41201</v>
      </c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</row>
    <row r="296" ht="14.25" customHeight="1">
      <c r="AA296" s="7">
        <f t="shared" si="2"/>
        <v>41202</v>
      </c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</row>
    <row r="297" ht="14.25" customHeight="1">
      <c r="AA297" s="7">
        <f t="shared" si="2"/>
        <v>41203</v>
      </c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</row>
    <row r="298" ht="14.25" customHeight="1">
      <c r="AA298" s="7">
        <f t="shared" si="2"/>
        <v>41204</v>
      </c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</row>
    <row r="299" ht="14.25" customHeight="1">
      <c r="AA299" s="7">
        <f t="shared" si="2"/>
        <v>41205</v>
      </c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</row>
    <row r="300" ht="14.25" customHeight="1">
      <c r="AA300" s="7">
        <f t="shared" si="2"/>
        <v>41206</v>
      </c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</row>
    <row r="301" ht="14.25" customHeight="1">
      <c r="AA301" s="7">
        <f t="shared" si="2"/>
        <v>41207</v>
      </c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</row>
    <row r="302" ht="14.25" customHeight="1">
      <c r="AA302" s="7">
        <f t="shared" si="2"/>
        <v>41208</v>
      </c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</row>
    <row r="303" ht="14.25" customHeight="1">
      <c r="AA303" s="7">
        <f t="shared" si="2"/>
        <v>41209</v>
      </c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</row>
    <row r="304" ht="14.25" customHeight="1">
      <c r="AA304" s="7">
        <f t="shared" si="2"/>
        <v>41210</v>
      </c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</row>
    <row r="305" ht="14.25" customHeight="1">
      <c r="AA305" s="7">
        <f t="shared" si="2"/>
        <v>41211</v>
      </c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</row>
    <row r="306" ht="14.25" customHeight="1">
      <c r="AA306" s="7">
        <f t="shared" si="2"/>
        <v>41212</v>
      </c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</row>
    <row r="307" ht="14.25" customHeight="1">
      <c r="AA307" s="7">
        <f t="shared" si="2"/>
        <v>41213</v>
      </c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</row>
    <row r="308" ht="14.25" customHeight="1">
      <c r="AA308" s="7">
        <f t="shared" si="2"/>
        <v>41214</v>
      </c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</row>
    <row r="309" ht="14.25" customHeight="1">
      <c r="AA309" s="7">
        <f t="shared" si="2"/>
        <v>41215</v>
      </c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</row>
    <row r="310" ht="14.25" customHeight="1">
      <c r="AA310" s="7">
        <f t="shared" si="2"/>
        <v>41216</v>
      </c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</row>
    <row r="311" ht="14.25" customHeight="1">
      <c r="AA311" s="7">
        <f t="shared" si="2"/>
        <v>41217</v>
      </c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</row>
    <row r="312" ht="14.25" customHeight="1">
      <c r="AA312" s="7">
        <f t="shared" si="2"/>
        <v>41218</v>
      </c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</row>
    <row r="313" ht="14.25" customHeight="1">
      <c r="AA313" s="7">
        <f t="shared" si="2"/>
        <v>41219</v>
      </c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</row>
    <row r="314" ht="14.25" customHeight="1">
      <c r="AA314" s="7">
        <f t="shared" si="2"/>
        <v>41220</v>
      </c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</row>
    <row r="315" ht="14.25" customHeight="1">
      <c r="AA315" s="7">
        <f t="shared" si="2"/>
        <v>41221</v>
      </c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</row>
    <row r="316" ht="14.25" customHeight="1">
      <c r="AA316" s="7">
        <f t="shared" si="2"/>
        <v>41222</v>
      </c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</row>
    <row r="317" ht="14.25" customHeight="1">
      <c r="AA317" s="7">
        <f t="shared" si="2"/>
        <v>41223</v>
      </c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</row>
    <row r="318" ht="14.25" customHeight="1">
      <c r="AA318" s="7">
        <f t="shared" si="2"/>
        <v>41224</v>
      </c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</row>
    <row r="319" ht="14.25" customHeight="1">
      <c r="AA319" s="7">
        <f t="shared" si="2"/>
        <v>41225</v>
      </c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</row>
    <row r="320" ht="14.25" customHeight="1">
      <c r="AA320" s="7">
        <f t="shared" si="2"/>
        <v>41226</v>
      </c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</row>
    <row r="321" ht="14.25" customHeight="1">
      <c r="AA321" s="7">
        <f t="shared" si="2"/>
        <v>41227</v>
      </c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</row>
    <row r="322" ht="14.25" customHeight="1">
      <c r="AA322" s="7">
        <f t="shared" si="2"/>
        <v>41228</v>
      </c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</row>
    <row r="323" ht="14.25" customHeight="1">
      <c r="AA323" s="7">
        <f t="shared" si="2"/>
        <v>41229</v>
      </c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</row>
    <row r="324" ht="14.25" customHeight="1">
      <c r="AA324" s="7">
        <f t="shared" si="2"/>
        <v>41230</v>
      </c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</row>
    <row r="325" ht="14.25" customHeight="1">
      <c r="AA325" s="7">
        <f t="shared" si="2"/>
        <v>41231</v>
      </c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</row>
    <row r="326" ht="14.25" customHeight="1">
      <c r="AA326" s="7">
        <f t="shared" si="2"/>
        <v>41232</v>
      </c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</row>
    <row r="327" ht="14.25" customHeight="1">
      <c r="AA327" s="7">
        <f t="shared" si="2"/>
        <v>41233</v>
      </c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</row>
    <row r="328" ht="14.25" customHeight="1">
      <c r="AA328" s="7">
        <f t="shared" si="2"/>
        <v>41234</v>
      </c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</row>
    <row r="329" ht="14.25" customHeight="1">
      <c r="AA329" s="7">
        <f t="shared" si="2"/>
        <v>41235</v>
      </c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</row>
    <row r="330" ht="14.25" customHeight="1">
      <c r="AA330" s="7">
        <f t="shared" si="2"/>
        <v>41236</v>
      </c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</row>
    <row r="331" ht="14.25" customHeight="1">
      <c r="AA331" s="7">
        <f t="shared" si="2"/>
        <v>41237</v>
      </c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</row>
    <row r="332" ht="14.25" customHeight="1">
      <c r="AA332" s="7">
        <f t="shared" si="2"/>
        <v>41238</v>
      </c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</row>
    <row r="333" ht="14.25" customHeight="1">
      <c r="AA333" s="7">
        <f t="shared" si="2"/>
        <v>41239</v>
      </c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</row>
    <row r="334" ht="14.25" customHeight="1">
      <c r="AA334" s="7">
        <f t="shared" si="2"/>
        <v>41240</v>
      </c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</row>
    <row r="335" ht="14.25" customHeight="1">
      <c r="AA335" s="7">
        <f t="shared" si="2"/>
        <v>41241</v>
      </c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</row>
    <row r="336" ht="14.25" customHeight="1">
      <c r="AA336" s="7">
        <f t="shared" si="2"/>
        <v>41242</v>
      </c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</row>
    <row r="337" ht="14.25" customHeight="1">
      <c r="AA337" s="7">
        <f t="shared" si="2"/>
        <v>41243</v>
      </c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</row>
    <row r="338" ht="14.25" customHeight="1">
      <c r="AA338" s="7">
        <f t="shared" si="2"/>
        <v>41244</v>
      </c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</row>
    <row r="339" ht="14.25" customHeight="1">
      <c r="AA339" s="7">
        <f t="shared" si="2"/>
        <v>41245</v>
      </c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</row>
    <row r="340" ht="14.25" customHeight="1">
      <c r="AA340" s="7">
        <f t="shared" si="2"/>
        <v>41246</v>
      </c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</row>
    <row r="341" ht="14.25" customHeight="1">
      <c r="AA341" s="7">
        <f t="shared" si="2"/>
        <v>41247</v>
      </c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</row>
    <row r="342" ht="14.25" customHeight="1">
      <c r="AA342" s="7">
        <f t="shared" si="2"/>
        <v>41248</v>
      </c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</row>
    <row r="343" ht="14.25" customHeight="1">
      <c r="AA343" s="7">
        <f t="shared" si="2"/>
        <v>41249</v>
      </c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</row>
    <row r="344" ht="14.25" customHeight="1">
      <c r="AA344" s="7">
        <f t="shared" si="2"/>
        <v>41250</v>
      </c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</row>
    <row r="345" ht="14.25" customHeight="1">
      <c r="AA345" s="7">
        <f t="shared" si="2"/>
        <v>41251</v>
      </c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</row>
    <row r="346" ht="14.25" customHeight="1">
      <c r="AA346" s="7">
        <f t="shared" si="2"/>
        <v>41252</v>
      </c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</row>
    <row r="347" ht="14.25" customHeight="1">
      <c r="AA347" s="7">
        <f t="shared" si="2"/>
        <v>41253</v>
      </c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</row>
    <row r="348" ht="14.25" customHeight="1">
      <c r="AA348" s="7">
        <f t="shared" si="2"/>
        <v>41254</v>
      </c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</row>
    <row r="349" ht="14.25" customHeight="1">
      <c r="AA349" s="7">
        <f t="shared" si="2"/>
        <v>41255</v>
      </c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</row>
    <row r="350" ht="14.25" customHeight="1">
      <c r="AA350" s="7">
        <f t="shared" si="2"/>
        <v>41256</v>
      </c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</row>
    <row r="351" ht="14.25" customHeight="1">
      <c r="AA351" s="7">
        <f t="shared" si="2"/>
        <v>41257</v>
      </c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</row>
    <row r="352" ht="14.25" customHeight="1">
      <c r="AA352" s="7">
        <f t="shared" si="2"/>
        <v>41258</v>
      </c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</row>
    <row r="353" ht="14.25" customHeight="1">
      <c r="AA353" s="7">
        <f t="shared" si="2"/>
        <v>41259</v>
      </c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</row>
    <row r="354" ht="14.25" customHeight="1">
      <c r="AA354" s="7">
        <f t="shared" si="2"/>
        <v>41260</v>
      </c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</row>
    <row r="355" ht="14.25" customHeight="1">
      <c r="AA355" s="7">
        <f t="shared" si="2"/>
        <v>41261</v>
      </c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</row>
    <row r="356" ht="14.25" customHeight="1">
      <c r="AA356" s="7">
        <f t="shared" si="2"/>
        <v>41262</v>
      </c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</row>
    <row r="357" ht="14.25" customHeight="1">
      <c r="AA357" s="7">
        <f t="shared" si="2"/>
        <v>41263</v>
      </c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</row>
    <row r="358" ht="14.25" customHeight="1">
      <c r="AA358" s="7">
        <f t="shared" si="2"/>
        <v>41264</v>
      </c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</row>
    <row r="359" ht="14.25" customHeight="1">
      <c r="AA359" s="7">
        <f t="shared" si="2"/>
        <v>41265</v>
      </c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</row>
    <row r="360" ht="14.25" customHeight="1">
      <c r="AA360" s="7">
        <f t="shared" si="2"/>
        <v>41266</v>
      </c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</row>
    <row r="361" ht="14.25" customHeight="1">
      <c r="AA361" s="7">
        <f t="shared" si="2"/>
        <v>41267</v>
      </c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</row>
    <row r="362" ht="14.25" customHeight="1">
      <c r="AA362" s="7">
        <f t="shared" si="2"/>
        <v>41268</v>
      </c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</row>
    <row r="363" ht="14.25" customHeight="1">
      <c r="AA363" s="7">
        <f t="shared" si="2"/>
        <v>41269</v>
      </c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</row>
    <row r="364" ht="14.25" customHeight="1">
      <c r="AA364" s="7">
        <f t="shared" si="2"/>
        <v>41270</v>
      </c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</row>
    <row r="365" ht="14.25" customHeight="1">
      <c r="AA365" s="7">
        <f t="shared" si="2"/>
        <v>41271</v>
      </c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</row>
    <row r="366" ht="14.25" customHeight="1">
      <c r="AA366" s="7">
        <f t="shared" si="2"/>
        <v>41272</v>
      </c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</row>
    <row r="367" ht="14.25" customHeight="1">
      <c r="AA367" s="7">
        <f t="shared" si="2"/>
        <v>41273</v>
      </c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</row>
    <row r="368" ht="14.25" customHeight="1">
      <c r="AA368" s="7">
        <f t="shared" si="2"/>
        <v>41274</v>
      </c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</row>
    <row r="369" ht="14.25" customHeight="1">
      <c r="AA369" s="7">
        <f t="shared" si="2"/>
        <v>41275</v>
      </c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</row>
    <row r="370" ht="14.25" customHeight="1">
      <c r="AA370" s="7">
        <f t="shared" si="2"/>
        <v>41276</v>
      </c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</row>
    <row r="371" ht="14.25" customHeight="1">
      <c r="AA371" s="7">
        <f t="shared" si="2"/>
        <v>41277</v>
      </c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</row>
    <row r="372" ht="14.25" customHeight="1">
      <c r="AA372" s="7">
        <f t="shared" si="2"/>
        <v>41278</v>
      </c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</row>
    <row r="373" ht="14.25" customHeight="1">
      <c r="AA373" s="7">
        <f t="shared" si="2"/>
        <v>41279</v>
      </c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</row>
    <row r="374" ht="14.25" customHeight="1">
      <c r="AA374" s="7">
        <f t="shared" si="2"/>
        <v>41280</v>
      </c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</row>
    <row r="375" ht="14.25" customHeight="1">
      <c r="AA375" s="7">
        <f t="shared" si="2"/>
        <v>41281</v>
      </c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</row>
    <row r="376" ht="14.25" customHeight="1">
      <c r="AA376" s="7">
        <f t="shared" si="2"/>
        <v>41282</v>
      </c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</row>
    <row r="377" ht="14.25" customHeight="1">
      <c r="AA377" s="7">
        <f t="shared" si="2"/>
        <v>41283</v>
      </c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</row>
    <row r="378" ht="14.25" customHeight="1">
      <c r="AA378" s="7">
        <f t="shared" si="2"/>
        <v>41284</v>
      </c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</row>
    <row r="379" ht="14.25" customHeight="1">
      <c r="AA379" s="7">
        <f t="shared" si="2"/>
        <v>41285</v>
      </c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</row>
    <row r="380" ht="14.25" customHeight="1">
      <c r="AA380" s="7">
        <f t="shared" si="2"/>
        <v>41286</v>
      </c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</row>
    <row r="381" ht="14.25" customHeight="1">
      <c r="AA381" s="7">
        <f t="shared" si="2"/>
        <v>41287</v>
      </c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</row>
    <row r="382" ht="14.25" customHeight="1">
      <c r="AA382" s="7">
        <f t="shared" si="2"/>
        <v>41288</v>
      </c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</row>
    <row r="383" ht="14.25" customHeight="1">
      <c r="AA383" s="7">
        <f t="shared" si="2"/>
        <v>41289</v>
      </c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</row>
    <row r="384" ht="14.25" customHeight="1">
      <c r="AA384" s="7">
        <f t="shared" si="2"/>
        <v>41290</v>
      </c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</row>
    <row r="385" ht="14.25" customHeight="1">
      <c r="AA385" s="7">
        <f t="shared" si="2"/>
        <v>41291</v>
      </c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</row>
    <row r="386" ht="14.25" customHeight="1">
      <c r="AA386" s="7">
        <f t="shared" si="2"/>
        <v>41292</v>
      </c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</row>
    <row r="387" ht="14.25" customHeight="1">
      <c r="AA387" s="7">
        <f t="shared" si="2"/>
        <v>41293</v>
      </c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</row>
    <row r="388" ht="14.25" customHeight="1">
      <c r="AA388" s="7">
        <f t="shared" si="2"/>
        <v>41294</v>
      </c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</row>
    <row r="389" ht="14.25" customHeight="1">
      <c r="AA389" s="7">
        <f t="shared" si="2"/>
        <v>41295</v>
      </c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</row>
    <row r="390" ht="14.25" customHeight="1">
      <c r="AA390" s="7">
        <f t="shared" si="2"/>
        <v>41296</v>
      </c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</row>
    <row r="391" ht="14.25" customHeight="1">
      <c r="AA391" s="7">
        <f t="shared" si="2"/>
        <v>41297</v>
      </c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</row>
    <row r="392" ht="14.25" customHeight="1">
      <c r="AA392" s="7">
        <f t="shared" si="2"/>
        <v>41298</v>
      </c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</row>
    <row r="393" ht="14.25" customHeight="1">
      <c r="AA393" s="7">
        <f t="shared" si="2"/>
        <v>41299</v>
      </c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</row>
    <row r="394" ht="14.25" customHeight="1">
      <c r="AA394" s="7">
        <f t="shared" si="2"/>
        <v>41300</v>
      </c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</row>
    <row r="395" ht="14.25" customHeight="1">
      <c r="AA395" s="7">
        <f t="shared" si="2"/>
        <v>41301</v>
      </c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</row>
    <row r="396" ht="14.25" customHeight="1">
      <c r="AA396" s="7">
        <f t="shared" si="2"/>
        <v>41302</v>
      </c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</row>
    <row r="397" ht="14.25" customHeight="1">
      <c r="AA397" s="7">
        <f t="shared" si="2"/>
        <v>41303</v>
      </c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</row>
    <row r="398" ht="14.25" customHeight="1">
      <c r="AA398" s="7">
        <f t="shared" si="2"/>
        <v>41304</v>
      </c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</row>
    <row r="399" ht="14.25" customHeight="1">
      <c r="AA399" s="7">
        <f t="shared" si="2"/>
        <v>41305</v>
      </c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</row>
    <row r="400" ht="14.25" customHeight="1">
      <c r="AA400" s="7">
        <f t="shared" si="2"/>
        <v>41306</v>
      </c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</row>
    <row r="401" ht="14.25" customHeight="1">
      <c r="AA401" s="7">
        <f t="shared" si="2"/>
        <v>41307</v>
      </c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</row>
    <row r="402" ht="14.25" customHeight="1">
      <c r="AA402" s="7">
        <f t="shared" si="2"/>
        <v>41308</v>
      </c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</row>
    <row r="403" ht="14.25" customHeight="1">
      <c r="AA403" s="7">
        <f t="shared" si="2"/>
        <v>41309</v>
      </c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</row>
    <row r="404" ht="14.25" customHeight="1">
      <c r="AA404" s="7">
        <f t="shared" si="2"/>
        <v>41310</v>
      </c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</row>
    <row r="405" ht="14.25" customHeight="1">
      <c r="AA405" s="7">
        <f t="shared" si="2"/>
        <v>41311</v>
      </c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</row>
    <row r="406" ht="14.25" customHeight="1">
      <c r="AA406" s="7">
        <f t="shared" si="2"/>
        <v>41312</v>
      </c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</row>
    <row r="407" ht="14.25" customHeight="1">
      <c r="AA407" s="7">
        <f t="shared" si="2"/>
        <v>41313</v>
      </c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</row>
    <row r="408" ht="14.25" customHeight="1">
      <c r="AA408" s="7">
        <f t="shared" si="2"/>
        <v>41314</v>
      </c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</row>
    <row r="409" ht="14.25" customHeight="1">
      <c r="AA409" s="7">
        <f t="shared" si="2"/>
        <v>41315</v>
      </c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</row>
    <row r="410" ht="14.25" customHeight="1">
      <c r="AA410" s="7">
        <f t="shared" si="2"/>
        <v>41316</v>
      </c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</row>
    <row r="411" ht="14.25" customHeight="1">
      <c r="AA411" s="7">
        <f t="shared" si="2"/>
        <v>41317</v>
      </c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</row>
    <row r="412" ht="14.25" customHeight="1">
      <c r="AA412" s="7">
        <f t="shared" si="2"/>
        <v>41318</v>
      </c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</row>
    <row r="413" ht="14.25" customHeight="1">
      <c r="AA413" s="7">
        <f t="shared" si="2"/>
        <v>41319</v>
      </c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</row>
    <row r="414" ht="14.25" customHeight="1">
      <c r="AA414" s="7">
        <f t="shared" si="2"/>
        <v>41320</v>
      </c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</row>
    <row r="415" ht="14.25" customHeight="1">
      <c r="AA415" s="7">
        <f t="shared" si="2"/>
        <v>41321</v>
      </c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</row>
    <row r="416" ht="14.25" customHeight="1">
      <c r="AA416" s="7">
        <f t="shared" si="2"/>
        <v>41322</v>
      </c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</row>
    <row r="417" ht="14.25" customHeight="1">
      <c r="AA417" s="7">
        <f t="shared" si="2"/>
        <v>41323</v>
      </c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</row>
    <row r="418" ht="14.25" customHeight="1">
      <c r="AA418" s="7">
        <f t="shared" si="2"/>
        <v>41324</v>
      </c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</row>
    <row r="419" ht="14.25" customHeight="1">
      <c r="AA419" s="7">
        <f t="shared" si="2"/>
        <v>41325</v>
      </c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</row>
    <row r="420" ht="14.25" customHeight="1">
      <c r="AA420" s="7">
        <f t="shared" si="2"/>
        <v>41326</v>
      </c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</row>
    <row r="421" ht="14.25" customHeight="1">
      <c r="AA421" s="7">
        <f t="shared" si="2"/>
        <v>41327</v>
      </c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</row>
    <row r="422" ht="14.25" customHeight="1">
      <c r="AA422" s="7">
        <f t="shared" si="2"/>
        <v>41328</v>
      </c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</row>
    <row r="423" ht="14.25" customHeight="1">
      <c r="AA423" s="7">
        <f t="shared" si="2"/>
        <v>41329</v>
      </c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</row>
    <row r="424" ht="14.25" customHeight="1">
      <c r="AA424" s="7">
        <f t="shared" si="2"/>
        <v>41330</v>
      </c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</row>
    <row r="425" ht="14.25" customHeight="1">
      <c r="AA425" s="7">
        <f t="shared" si="2"/>
        <v>41331</v>
      </c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</row>
    <row r="426" ht="14.25" customHeight="1">
      <c r="AA426" s="7">
        <f t="shared" si="2"/>
        <v>41332</v>
      </c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</row>
    <row r="427" ht="14.25" customHeight="1">
      <c r="AA427" s="7">
        <f t="shared" si="2"/>
        <v>41333</v>
      </c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</row>
    <row r="428" ht="14.25" customHeight="1">
      <c r="AA428" s="7">
        <f t="shared" si="2"/>
        <v>41334</v>
      </c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</row>
    <row r="429" ht="14.25" customHeight="1">
      <c r="AA429" s="7">
        <f t="shared" si="2"/>
        <v>41335</v>
      </c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</row>
    <row r="430" ht="14.25" customHeight="1">
      <c r="AA430" s="7">
        <f t="shared" si="2"/>
        <v>41336</v>
      </c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</row>
    <row r="431" ht="14.25" customHeight="1">
      <c r="AA431" s="7">
        <f t="shared" si="2"/>
        <v>41337</v>
      </c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</row>
    <row r="432" ht="14.25" customHeight="1">
      <c r="AA432" s="7">
        <f t="shared" si="2"/>
        <v>41338</v>
      </c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</row>
    <row r="433" ht="14.25" customHeight="1">
      <c r="AA433" s="7">
        <f t="shared" si="2"/>
        <v>41339</v>
      </c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</row>
    <row r="434" ht="14.25" customHeight="1">
      <c r="AA434" s="7">
        <f t="shared" si="2"/>
        <v>41340</v>
      </c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</row>
    <row r="435" ht="14.25" customHeight="1">
      <c r="AA435" s="7">
        <f t="shared" si="2"/>
        <v>41341</v>
      </c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</row>
    <row r="436" ht="14.25" customHeight="1">
      <c r="AA436" s="7">
        <f t="shared" si="2"/>
        <v>41342</v>
      </c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</row>
    <row r="437" ht="14.25" customHeight="1">
      <c r="AA437" s="7">
        <f t="shared" si="2"/>
        <v>41343</v>
      </c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</row>
    <row r="438" ht="14.25" customHeight="1">
      <c r="AA438" s="7">
        <f t="shared" si="2"/>
        <v>41344</v>
      </c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</row>
    <row r="439" ht="14.25" customHeight="1">
      <c r="AA439" s="7">
        <f t="shared" si="2"/>
        <v>41345</v>
      </c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</row>
    <row r="440" ht="14.25" customHeight="1">
      <c r="AA440" s="7">
        <f t="shared" si="2"/>
        <v>41346</v>
      </c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</row>
    <row r="441" ht="14.25" customHeight="1">
      <c r="AA441" s="7">
        <f t="shared" si="2"/>
        <v>41347</v>
      </c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</row>
    <row r="442" ht="14.25" customHeight="1">
      <c r="AA442" s="7">
        <f t="shared" si="2"/>
        <v>41348</v>
      </c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</row>
    <row r="443" ht="14.25" customHeight="1">
      <c r="AA443" s="7">
        <f t="shared" si="2"/>
        <v>41349</v>
      </c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</row>
    <row r="444" ht="14.25" customHeight="1">
      <c r="AA444" s="7">
        <f t="shared" si="2"/>
        <v>41350</v>
      </c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</row>
    <row r="445" ht="14.25" customHeight="1">
      <c r="AA445" s="7">
        <f t="shared" si="2"/>
        <v>41351</v>
      </c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</row>
    <row r="446" ht="14.25" customHeight="1">
      <c r="AA446" s="7">
        <f t="shared" si="2"/>
        <v>41352</v>
      </c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</row>
    <row r="447" ht="14.25" customHeight="1">
      <c r="AA447" s="7">
        <f t="shared" si="2"/>
        <v>41353</v>
      </c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</row>
    <row r="448" ht="14.25" customHeight="1">
      <c r="AA448" s="7">
        <f t="shared" si="2"/>
        <v>41354</v>
      </c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</row>
    <row r="449" ht="14.25" customHeight="1">
      <c r="AA449" s="7">
        <f t="shared" si="2"/>
        <v>41355</v>
      </c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</row>
    <row r="450" ht="14.25" customHeight="1">
      <c r="AA450" s="7">
        <f t="shared" si="2"/>
        <v>41356</v>
      </c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</row>
    <row r="451" ht="14.25" customHeight="1">
      <c r="AA451" s="7">
        <f t="shared" si="2"/>
        <v>41357</v>
      </c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</row>
    <row r="452" ht="14.25" customHeight="1">
      <c r="AA452" s="7">
        <f t="shared" si="2"/>
        <v>41358</v>
      </c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</row>
    <row r="453" ht="14.25" customHeight="1">
      <c r="AA453" s="7">
        <f t="shared" si="2"/>
        <v>41359</v>
      </c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</row>
    <row r="454" ht="14.25" customHeight="1">
      <c r="AA454" s="7">
        <f t="shared" si="2"/>
        <v>41360</v>
      </c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</row>
    <row r="455" ht="14.25" customHeight="1">
      <c r="AA455" s="7">
        <f t="shared" si="2"/>
        <v>41361</v>
      </c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</row>
    <row r="456" ht="14.25" customHeight="1">
      <c r="AA456" s="7">
        <f t="shared" si="2"/>
        <v>41362</v>
      </c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</row>
    <row r="457" ht="14.25" customHeight="1">
      <c r="AA457" s="7">
        <f t="shared" si="2"/>
        <v>41363</v>
      </c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</row>
    <row r="458" ht="14.25" customHeight="1">
      <c r="AA458" s="7">
        <f t="shared" si="2"/>
        <v>41364</v>
      </c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</row>
    <row r="459" ht="14.25" customHeight="1">
      <c r="AA459" s="7">
        <f t="shared" si="2"/>
        <v>41365</v>
      </c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</row>
    <row r="460" ht="14.25" customHeight="1">
      <c r="AA460" s="7">
        <f t="shared" si="2"/>
        <v>41366</v>
      </c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</row>
    <row r="461" ht="14.25" customHeight="1">
      <c r="AA461" s="7">
        <f t="shared" si="2"/>
        <v>41367</v>
      </c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</row>
    <row r="462" ht="14.25" customHeight="1">
      <c r="AA462" s="7">
        <f t="shared" si="2"/>
        <v>41368</v>
      </c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</row>
    <row r="463" ht="14.25" customHeight="1">
      <c r="AA463" s="7">
        <f t="shared" si="2"/>
        <v>41369</v>
      </c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</row>
    <row r="464" ht="14.25" customHeight="1">
      <c r="AA464" s="7">
        <f t="shared" si="2"/>
        <v>41370</v>
      </c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</row>
    <row r="465" ht="14.25" customHeight="1">
      <c r="AA465" s="7">
        <f t="shared" si="2"/>
        <v>41371</v>
      </c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</row>
    <row r="466" ht="14.25" customHeight="1">
      <c r="AA466" s="7">
        <f t="shared" si="2"/>
        <v>41372</v>
      </c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</row>
    <row r="467" ht="14.25" customHeight="1">
      <c r="AA467" s="7">
        <f t="shared" si="2"/>
        <v>41373</v>
      </c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</row>
    <row r="468" ht="14.25" customHeight="1">
      <c r="AA468" s="7">
        <f t="shared" si="2"/>
        <v>41374</v>
      </c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</row>
    <row r="469" ht="14.25" customHeight="1">
      <c r="AA469" s="7">
        <f t="shared" si="2"/>
        <v>41375</v>
      </c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</row>
    <row r="470" ht="14.25" customHeight="1">
      <c r="AA470" s="7">
        <f t="shared" si="2"/>
        <v>41376</v>
      </c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</row>
    <row r="471" ht="14.25" customHeight="1">
      <c r="AA471" s="7">
        <f t="shared" si="2"/>
        <v>41377</v>
      </c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</row>
    <row r="472" ht="14.25" customHeight="1">
      <c r="AA472" s="7">
        <f t="shared" si="2"/>
        <v>41378</v>
      </c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</row>
    <row r="473" ht="14.25" customHeight="1">
      <c r="AA473" s="7">
        <f t="shared" si="2"/>
        <v>41379</v>
      </c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</row>
    <row r="474" ht="14.25" customHeight="1">
      <c r="AA474" s="7">
        <f t="shared" si="2"/>
        <v>41380</v>
      </c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</row>
    <row r="475" ht="14.25" customHeight="1">
      <c r="AA475" s="7">
        <f t="shared" si="2"/>
        <v>41381</v>
      </c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</row>
    <row r="476" ht="14.25" customHeight="1">
      <c r="AA476" s="7">
        <f t="shared" si="2"/>
        <v>41382</v>
      </c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</row>
    <row r="477" ht="14.25" customHeight="1">
      <c r="AA477" s="7">
        <f t="shared" si="2"/>
        <v>41383</v>
      </c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</row>
    <row r="478" ht="14.25" customHeight="1">
      <c r="AA478" s="7">
        <f t="shared" si="2"/>
        <v>41384</v>
      </c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</row>
    <row r="479" ht="14.25" customHeight="1">
      <c r="AA479" s="7">
        <f t="shared" si="2"/>
        <v>41385</v>
      </c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</row>
    <row r="480" ht="14.25" customHeight="1">
      <c r="AA480" s="7">
        <f t="shared" si="2"/>
        <v>41386</v>
      </c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</row>
    <row r="481" ht="14.25" customHeight="1">
      <c r="AA481" s="7">
        <f t="shared" si="2"/>
        <v>41387</v>
      </c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</row>
    <row r="482" ht="14.25" customHeight="1">
      <c r="AA482" s="7">
        <f t="shared" si="2"/>
        <v>41388</v>
      </c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</row>
    <row r="483" ht="14.25" customHeight="1">
      <c r="AA483" s="7">
        <f t="shared" si="2"/>
        <v>41389</v>
      </c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</row>
    <row r="484" ht="14.25" customHeight="1">
      <c r="AA484" s="7">
        <f t="shared" si="2"/>
        <v>41390</v>
      </c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</row>
    <row r="485" ht="14.25" customHeight="1">
      <c r="AA485" s="7">
        <f t="shared" si="2"/>
        <v>41391</v>
      </c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</row>
    <row r="486" ht="14.25" customHeight="1">
      <c r="AA486" s="7">
        <f t="shared" si="2"/>
        <v>41392</v>
      </c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</row>
    <row r="487" ht="14.25" customHeight="1">
      <c r="AA487" s="7">
        <f t="shared" si="2"/>
        <v>41393</v>
      </c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</row>
    <row r="488" ht="14.25" customHeight="1">
      <c r="AA488" s="7">
        <f t="shared" si="2"/>
        <v>41394</v>
      </c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</row>
    <row r="489" ht="14.25" customHeight="1">
      <c r="AA489" s="7">
        <f t="shared" si="2"/>
        <v>41395</v>
      </c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</row>
    <row r="490" ht="14.25" customHeight="1">
      <c r="AA490" s="7">
        <f t="shared" si="2"/>
        <v>41396</v>
      </c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</row>
    <row r="491" ht="14.25" customHeight="1">
      <c r="AA491" s="7">
        <f t="shared" si="2"/>
        <v>41397</v>
      </c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</row>
    <row r="492" ht="14.25" customHeight="1">
      <c r="AA492" s="7">
        <f t="shared" si="2"/>
        <v>41398</v>
      </c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</row>
    <row r="493" ht="14.25" customHeight="1">
      <c r="AA493" s="7">
        <f t="shared" si="2"/>
        <v>41399</v>
      </c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</row>
    <row r="494" ht="14.25" customHeight="1">
      <c r="AA494" s="7">
        <f t="shared" si="2"/>
        <v>41400</v>
      </c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</row>
    <row r="495" ht="14.25" customHeight="1">
      <c r="AA495" s="7">
        <f t="shared" si="2"/>
        <v>41401</v>
      </c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</row>
    <row r="496" ht="14.25" customHeight="1">
      <c r="AA496" s="7">
        <f t="shared" si="2"/>
        <v>41402</v>
      </c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</row>
    <row r="497" ht="14.25" customHeight="1">
      <c r="AA497" s="7">
        <f t="shared" si="2"/>
        <v>41403</v>
      </c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</row>
    <row r="498" ht="14.25" customHeight="1">
      <c r="AA498" s="7">
        <f t="shared" si="2"/>
        <v>41404</v>
      </c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</row>
    <row r="499" ht="14.25" customHeight="1">
      <c r="AA499" s="7">
        <f t="shared" si="2"/>
        <v>41405</v>
      </c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</row>
    <row r="500" ht="14.25" customHeight="1">
      <c r="AA500" s="7">
        <f t="shared" si="2"/>
        <v>41406</v>
      </c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</row>
    <row r="501" ht="14.25" customHeight="1">
      <c r="AA501" s="7">
        <f t="shared" si="2"/>
        <v>41407</v>
      </c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</row>
    <row r="502" ht="14.25" customHeight="1">
      <c r="AA502" s="7">
        <f t="shared" si="2"/>
        <v>41408</v>
      </c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</row>
    <row r="503" ht="14.25" customHeight="1">
      <c r="AA503" s="7">
        <f t="shared" si="2"/>
        <v>41409</v>
      </c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</row>
    <row r="504" ht="14.25" customHeight="1">
      <c r="AA504" s="7">
        <f t="shared" si="2"/>
        <v>41410</v>
      </c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</row>
    <row r="505" ht="14.25" customHeight="1">
      <c r="AA505" s="7">
        <f t="shared" si="2"/>
        <v>41411</v>
      </c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</row>
    <row r="506" ht="14.25" customHeight="1">
      <c r="AA506" s="7">
        <f t="shared" si="2"/>
        <v>41412</v>
      </c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</row>
    <row r="507" ht="14.25" customHeight="1">
      <c r="AA507" s="7">
        <f t="shared" si="2"/>
        <v>41413</v>
      </c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</row>
    <row r="508" ht="14.25" customHeight="1">
      <c r="AA508" s="7">
        <f t="shared" si="2"/>
        <v>41414</v>
      </c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</row>
    <row r="509" ht="14.25" customHeight="1">
      <c r="AA509" s="7">
        <f t="shared" si="2"/>
        <v>41415</v>
      </c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</row>
    <row r="510" ht="14.25" customHeight="1">
      <c r="AA510" s="7">
        <f t="shared" si="2"/>
        <v>41416</v>
      </c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</row>
    <row r="511" ht="14.25" customHeight="1">
      <c r="AA511" s="7">
        <f t="shared" si="2"/>
        <v>41417</v>
      </c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</row>
    <row r="512" ht="14.25" customHeight="1">
      <c r="AA512" s="7">
        <f t="shared" si="2"/>
        <v>41418</v>
      </c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</row>
    <row r="513" ht="14.25" customHeight="1">
      <c r="AA513" s="7">
        <f t="shared" si="2"/>
        <v>41419</v>
      </c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</row>
    <row r="514" ht="14.25" customHeight="1">
      <c r="AA514" s="7">
        <f t="shared" si="2"/>
        <v>41420</v>
      </c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</row>
    <row r="515" ht="14.25" customHeight="1">
      <c r="AA515" s="7">
        <f t="shared" si="2"/>
        <v>41421</v>
      </c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</row>
    <row r="516" ht="14.25" customHeight="1">
      <c r="AA516" s="7">
        <f t="shared" si="2"/>
        <v>41422</v>
      </c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</row>
    <row r="517" ht="14.25" customHeight="1">
      <c r="AA517" s="7">
        <f t="shared" si="2"/>
        <v>41423</v>
      </c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</row>
    <row r="518" ht="14.25" customHeight="1">
      <c r="AA518" s="7">
        <f t="shared" si="2"/>
        <v>41424</v>
      </c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</row>
    <row r="519" ht="14.25" customHeight="1">
      <c r="AA519" s="7">
        <f t="shared" si="2"/>
        <v>41425</v>
      </c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</row>
    <row r="520" ht="14.25" customHeight="1">
      <c r="AA520" s="7">
        <f t="shared" si="2"/>
        <v>41426</v>
      </c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</row>
    <row r="521" ht="14.25" customHeight="1">
      <c r="AA521" s="7">
        <f t="shared" si="2"/>
        <v>41427</v>
      </c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</row>
    <row r="522" ht="14.25" customHeight="1">
      <c r="AA522" s="7">
        <f t="shared" si="2"/>
        <v>41428</v>
      </c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</row>
    <row r="523" ht="14.25" customHeight="1">
      <c r="AA523" s="7">
        <f t="shared" si="2"/>
        <v>41429</v>
      </c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</row>
    <row r="524" ht="14.25" customHeight="1">
      <c r="AA524" s="7">
        <f t="shared" si="2"/>
        <v>41430</v>
      </c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</row>
    <row r="525" ht="14.25" customHeight="1">
      <c r="AA525" s="7">
        <f t="shared" si="2"/>
        <v>41431</v>
      </c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</row>
    <row r="526" ht="14.25" customHeight="1">
      <c r="AA526" s="7">
        <f t="shared" si="2"/>
        <v>41432</v>
      </c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</row>
    <row r="527" ht="14.25" customHeight="1">
      <c r="AA527" s="7">
        <f t="shared" si="2"/>
        <v>41433</v>
      </c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</row>
    <row r="528" ht="14.25" customHeight="1">
      <c r="AA528" s="7">
        <f t="shared" si="2"/>
        <v>41434</v>
      </c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</row>
    <row r="529" ht="14.25" customHeight="1">
      <c r="AA529" s="7">
        <f t="shared" si="2"/>
        <v>41435</v>
      </c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</row>
    <row r="530" ht="14.25" customHeight="1">
      <c r="AA530" s="7">
        <f t="shared" si="2"/>
        <v>41436</v>
      </c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</row>
    <row r="531" ht="14.25" customHeight="1">
      <c r="AA531" s="7">
        <f t="shared" si="2"/>
        <v>41437</v>
      </c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</row>
    <row r="532" ht="14.25" customHeight="1">
      <c r="AA532" s="7">
        <f t="shared" si="2"/>
        <v>41438</v>
      </c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</row>
    <row r="533" ht="14.25" customHeight="1">
      <c r="AA533" s="7">
        <f t="shared" si="2"/>
        <v>41439</v>
      </c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</row>
    <row r="534" ht="14.25" customHeight="1">
      <c r="AA534" s="7">
        <f t="shared" si="2"/>
        <v>41440</v>
      </c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</row>
    <row r="535" ht="14.25" customHeight="1">
      <c r="AA535" s="7">
        <f t="shared" si="2"/>
        <v>41441</v>
      </c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</row>
    <row r="536" ht="14.25" customHeight="1">
      <c r="AA536" s="7">
        <f t="shared" si="2"/>
        <v>41442</v>
      </c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</row>
    <row r="537" ht="14.25" customHeight="1">
      <c r="AA537" s="7">
        <f t="shared" si="2"/>
        <v>41443</v>
      </c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</row>
    <row r="538" ht="14.25" customHeight="1">
      <c r="AA538" s="7">
        <f t="shared" si="2"/>
        <v>41444</v>
      </c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</row>
    <row r="539" ht="14.25" customHeight="1">
      <c r="AA539" s="7">
        <f t="shared" si="2"/>
        <v>41445</v>
      </c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</row>
    <row r="540" ht="14.25" customHeight="1">
      <c r="AA540" s="7">
        <f t="shared" si="2"/>
        <v>41446</v>
      </c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</row>
    <row r="541" ht="14.25" customHeight="1">
      <c r="AA541" s="7">
        <f t="shared" si="2"/>
        <v>41447</v>
      </c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</row>
    <row r="542" ht="14.25" customHeight="1">
      <c r="AA542" s="7">
        <f t="shared" si="2"/>
        <v>41448</v>
      </c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</row>
    <row r="543" ht="14.25" customHeight="1">
      <c r="AA543" s="7">
        <f t="shared" si="2"/>
        <v>41449</v>
      </c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</row>
    <row r="544" ht="14.25" customHeight="1">
      <c r="AA544" s="7">
        <f t="shared" si="2"/>
        <v>41450</v>
      </c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</row>
    <row r="545" ht="14.25" customHeight="1">
      <c r="AA545" s="7">
        <f t="shared" si="2"/>
        <v>41451</v>
      </c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</row>
    <row r="546" ht="14.25" customHeight="1">
      <c r="AA546" s="7">
        <f t="shared" si="2"/>
        <v>41452</v>
      </c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</row>
    <row r="547" ht="14.25" customHeight="1">
      <c r="AA547" s="7">
        <f t="shared" si="2"/>
        <v>41453</v>
      </c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</row>
    <row r="548" ht="14.25" customHeight="1">
      <c r="AA548" s="7">
        <f t="shared" si="2"/>
        <v>41454</v>
      </c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</row>
    <row r="549" ht="14.25" customHeight="1">
      <c r="AA549" s="7">
        <f t="shared" si="2"/>
        <v>41455</v>
      </c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</row>
    <row r="550" ht="14.25" customHeight="1">
      <c r="AA550" s="7">
        <f t="shared" si="2"/>
        <v>41456</v>
      </c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</row>
    <row r="551" ht="14.25" customHeight="1">
      <c r="AA551" s="7">
        <f t="shared" si="2"/>
        <v>41457</v>
      </c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</row>
    <row r="552" ht="14.25" customHeight="1">
      <c r="AA552" s="7">
        <f t="shared" si="2"/>
        <v>41458</v>
      </c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</row>
    <row r="553" ht="14.25" customHeight="1">
      <c r="AA553" s="7">
        <f t="shared" si="2"/>
        <v>41459</v>
      </c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</row>
    <row r="554" ht="14.25" customHeight="1">
      <c r="AA554" s="7">
        <f t="shared" si="2"/>
        <v>41460</v>
      </c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</row>
    <row r="555" ht="14.25" customHeight="1">
      <c r="AA555" s="7">
        <f t="shared" si="2"/>
        <v>41461</v>
      </c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</row>
    <row r="556" ht="14.25" customHeight="1">
      <c r="AA556" s="7">
        <f t="shared" si="2"/>
        <v>41462</v>
      </c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</row>
    <row r="557" ht="14.25" customHeight="1">
      <c r="AA557" s="7">
        <f t="shared" si="2"/>
        <v>41463</v>
      </c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</row>
    <row r="558" ht="14.25" customHeight="1">
      <c r="AA558" s="7">
        <f t="shared" si="2"/>
        <v>41464</v>
      </c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</row>
    <row r="559" ht="14.25" customHeight="1">
      <c r="AA559" s="7">
        <f t="shared" si="2"/>
        <v>41465</v>
      </c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</row>
    <row r="560" ht="14.25" customHeight="1">
      <c r="AA560" s="7">
        <f t="shared" si="2"/>
        <v>41466</v>
      </c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</row>
    <row r="561" ht="14.25" customHeight="1">
      <c r="AA561" s="7">
        <f t="shared" si="2"/>
        <v>41467</v>
      </c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</row>
    <row r="562" ht="14.25" customHeight="1">
      <c r="AA562" s="7">
        <f t="shared" si="2"/>
        <v>41468</v>
      </c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</row>
    <row r="563" ht="14.25" customHeight="1">
      <c r="AA563" s="7">
        <f t="shared" si="2"/>
        <v>41469</v>
      </c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</row>
    <row r="564" ht="14.25" customHeight="1">
      <c r="AA564" s="7">
        <f t="shared" si="2"/>
        <v>41470</v>
      </c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</row>
    <row r="565" ht="14.25" customHeight="1">
      <c r="AA565" s="7">
        <f t="shared" si="2"/>
        <v>41471</v>
      </c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</row>
    <row r="566" ht="14.25" customHeight="1">
      <c r="AA566" s="7">
        <f t="shared" si="2"/>
        <v>41472</v>
      </c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</row>
    <row r="567" ht="14.25" customHeight="1">
      <c r="AA567" s="7">
        <f t="shared" si="2"/>
        <v>41473</v>
      </c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</row>
    <row r="568" ht="14.25" customHeight="1">
      <c r="AA568" s="7">
        <f t="shared" si="2"/>
        <v>41474</v>
      </c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</row>
    <row r="569" ht="14.25" customHeight="1">
      <c r="AA569" s="7">
        <f t="shared" si="2"/>
        <v>41475</v>
      </c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</row>
    <row r="570" ht="14.25" customHeight="1">
      <c r="AA570" s="7">
        <f t="shared" si="2"/>
        <v>41476</v>
      </c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</row>
    <row r="571" ht="14.25" customHeight="1">
      <c r="AA571" s="7">
        <f t="shared" si="2"/>
        <v>41477</v>
      </c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</row>
    <row r="572" ht="14.25" customHeight="1">
      <c r="AA572" s="7">
        <f t="shared" si="2"/>
        <v>41478</v>
      </c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</row>
    <row r="573" ht="14.25" customHeight="1">
      <c r="AA573" s="7">
        <f t="shared" si="2"/>
        <v>41479</v>
      </c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</row>
    <row r="574" ht="14.25" customHeight="1">
      <c r="AA574" s="7">
        <f t="shared" si="2"/>
        <v>41480</v>
      </c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</row>
    <row r="575" ht="14.25" customHeight="1">
      <c r="AA575" s="7">
        <f t="shared" si="2"/>
        <v>41481</v>
      </c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</row>
    <row r="576" ht="14.25" customHeight="1">
      <c r="AA576" s="7">
        <f t="shared" si="2"/>
        <v>41482</v>
      </c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</row>
    <row r="577" ht="14.25" customHeight="1">
      <c r="AA577" s="7">
        <f t="shared" si="2"/>
        <v>41483</v>
      </c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</row>
    <row r="578" ht="14.25" customHeight="1">
      <c r="AA578" s="7">
        <f t="shared" si="2"/>
        <v>41484</v>
      </c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</row>
    <row r="579" ht="14.25" customHeight="1">
      <c r="AA579" s="7">
        <f t="shared" si="2"/>
        <v>41485</v>
      </c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</row>
    <row r="580" ht="14.25" customHeight="1">
      <c r="AA580" s="7">
        <f t="shared" si="2"/>
        <v>41486</v>
      </c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</row>
    <row r="581" ht="14.25" customHeight="1">
      <c r="AA581" s="7">
        <f t="shared" si="2"/>
        <v>41487</v>
      </c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</row>
    <row r="582" ht="14.25" customHeight="1">
      <c r="AA582" s="7">
        <f t="shared" si="2"/>
        <v>41488</v>
      </c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</row>
    <row r="583" ht="14.25" customHeight="1">
      <c r="AA583" s="7">
        <f t="shared" si="2"/>
        <v>41489</v>
      </c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</row>
    <row r="584" ht="14.25" customHeight="1">
      <c r="AA584" s="7">
        <f t="shared" si="2"/>
        <v>41490</v>
      </c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</row>
    <row r="585" ht="14.25" customHeight="1">
      <c r="AA585" s="7">
        <f t="shared" si="2"/>
        <v>41491</v>
      </c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</row>
    <row r="586" ht="14.25" customHeight="1">
      <c r="AA586" s="7">
        <f t="shared" si="2"/>
        <v>41492</v>
      </c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</row>
    <row r="587" ht="14.25" customHeight="1">
      <c r="AA587" s="7">
        <f t="shared" si="2"/>
        <v>41493</v>
      </c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</row>
    <row r="588" ht="14.25" customHeight="1">
      <c r="AA588" s="7">
        <f t="shared" si="2"/>
        <v>41494</v>
      </c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</row>
    <row r="589" ht="14.25" customHeight="1">
      <c r="AA589" s="7">
        <f t="shared" si="2"/>
        <v>41495</v>
      </c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</row>
    <row r="590" ht="14.25" customHeight="1">
      <c r="AA590" s="7">
        <f t="shared" si="2"/>
        <v>41496</v>
      </c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</row>
    <row r="591" ht="14.25" customHeight="1">
      <c r="AA591" s="7">
        <f t="shared" si="2"/>
        <v>41497</v>
      </c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</row>
    <row r="592" ht="14.25" customHeight="1">
      <c r="AA592" s="7">
        <f t="shared" si="2"/>
        <v>41498</v>
      </c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</row>
    <row r="593" ht="14.25" customHeight="1">
      <c r="AA593" s="7">
        <f t="shared" si="2"/>
        <v>41499</v>
      </c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</row>
    <row r="594" ht="14.25" customHeight="1">
      <c r="AA594" s="7">
        <f t="shared" si="2"/>
        <v>41500</v>
      </c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</row>
    <row r="595" ht="14.25" customHeight="1">
      <c r="AA595" s="7">
        <f t="shared" si="2"/>
        <v>41501</v>
      </c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</row>
    <row r="596" ht="14.25" customHeight="1">
      <c r="AA596" s="7">
        <f t="shared" si="2"/>
        <v>41502</v>
      </c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</row>
    <row r="597" ht="14.25" customHeight="1">
      <c r="AA597" s="7">
        <f t="shared" si="2"/>
        <v>41503</v>
      </c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</row>
    <row r="598" ht="14.25" customHeight="1">
      <c r="AA598" s="7">
        <f t="shared" si="2"/>
        <v>41504</v>
      </c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</row>
    <row r="599" ht="14.25" customHeight="1">
      <c r="AA599" s="7">
        <f t="shared" si="2"/>
        <v>41505</v>
      </c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</row>
    <row r="600" ht="14.25" customHeight="1">
      <c r="AA600" s="7">
        <f t="shared" si="2"/>
        <v>41506</v>
      </c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</row>
    <row r="601" ht="14.25" customHeight="1">
      <c r="AA601" s="7">
        <f t="shared" si="2"/>
        <v>41507</v>
      </c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</row>
    <row r="602" ht="14.25" customHeight="1">
      <c r="AA602" s="7">
        <f t="shared" si="2"/>
        <v>41508</v>
      </c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</row>
    <row r="603" ht="14.25" customHeight="1">
      <c r="AA603" s="7">
        <f t="shared" si="2"/>
        <v>41509</v>
      </c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</row>
    <row r="604" ht="14.25" customHeight="1">
      <c r="AA604" s="7">
        <f t="shared" si="2"/>
        <v>41510</v>
      </c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</row>
    <row r="605" ht="14.25" customHeight="1">
      <c r="AA605" s="7">
        <f t="shared" si="2"/>
        <v>41511</v>
      </c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</row>
    <row r="606" ht="14.25" customHeight="1">
      <c r="AA606" s="7">
        <f t="shared" si="2"/>
        <v>41512</v>
      </c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</row>
    <row r="607" ht="14.25" customHeight="1">
      <c r="AA607" s="7">
        <f t="shared" si="2"/>
        <v>41513</v>
      </c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</row>
    <row r="608" ht="14.25" customHeight="1">
      <c r="AA608" s="7">
        <f t="shared" si="2"/>
        <v>41514</v>
      </c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</row>
    <row r="609" ht="14.25" customHeight="1">
      <c r="AA609" s="7">
        <f t="shared" si="2"/>
        <v>41515</v>
      </c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</row>
    <row r="610" ht="14.25" customHeight="1">
      <c r="AA610" s="7">
        <f t="shared" si="2"/>
        <v>41516</v>
      </c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</row>
    <row r="611" ht="14.25" customHeight="1">
      <c r="AA611" s="7">
        <f t="shared" si="2"/>
        <v>41517</v>
      </c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</row>
    <row r="612" ht="14.25" customHeight="1">
      <c r="AA612" s="7">
        <f t="shared" si="2"/>
        <v>41518</v>
      </c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</row>
    <row r="613" ht="14.25" customHeight="1">
      <c r="AA613" s="7">
        <f t="shared" si="2"/>
        <v>41519</v>
      </c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</row>
    <row r="614" ht="14.25" customHeight="1">
      <c r="AA614" s="7">
        <f t="shared" si="2"/>
        <v>41520</v>
      </c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</row>
    <row r="615" ht="14.25" customHeight="1">
      <c r="AA615" s="7">
        <f t="shared" si="2"/>
        <v>41521</v>
      </c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</row>
    <row r="616" ht="14.25" customHeight="1">
      <c r="AA616" s="7">
        <f t="shared" si="2"/>
        <v>41522</v>
      </c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</row>
    <row r="617" ht="14.25" customHeight="1">
      <c r="AA617" s="7">
        <f t="shared" si="2"/>
        <v>41523</v>
      </c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</row>
    <row r="618" ht="14.25" customHeight="1">
      <c r="AA618" s="7">
        <f t="shared" si="2"/>
        <v>41524</v>
      </c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</row>
    <row r="619" ht="14.25" customHeight="1">
      <c r="AA619" s="7">
        <f t="shared" si="2"/>
        <v>41525</v>
      </c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</row>
    <row r="620" ht="14.25" customHeight="1">
      <c r="AA620" s="7">
        <f t="shared" si="2"/>
        <v>41526</v>
      </c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</row>
    <row r="621" ht="14.25" customHeight="1">
      <c r="AA621" s="7">
        <f t="shared" si="2"/>
        <v>41527</v>
      </c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</row>
    <row r="622" ht="14.25" customHeight="1">
      <c r="AA622" s="7">
        <f t="shared" si="2"/>
        <v>41528</v>
      </c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</row>
    <row r="623" ht="14.25" customHeight="1">
      <c r="AA623" s="7">
        <f t="shared" si="2"/>
        <v>41529</v>
      </c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</row>
    <row r="624" ht="14.25" customHeight="1">
      <c r="AA624" s="7">
        <f t="shared" si="2"/>
        <v>41530</v>
      </c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</row>
    <row r="625" ht="14.25" customHeight="1">
      <c r="AA625" s="7">
        <f t="shared" si="2"/>
        <v>41531</v>
      </c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</row>
    <row r="626" ht="14.25" customHeight="1">
      <c r="AA626" s="7">
        <f t="shared" si="2"/>
        <v>41532</v>
      </c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</row>
    <row r="627" ht="14.25" customHeight="1">
      <c r="AA627" s="7">
        <f t="shared" si="2"/>
        <v>41533</v>
      </c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</row>
    <row r="628" ht="14.25" customHeight="1">
      <c r="AA628" s="7">
        <f t="shared" si="2"/>
        <v>41534</v>
      </c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</row>
    <row r="629" ht="14.25" customHeight="1">
      <c r="AA629" s="7">
        <f t="shared" si="2"/>
        <v>41535</v>
      </c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</row>
    <row r="630" ht="14.25" customHeight="1">
      <c r="AA630" s="7">
        <f t="shared" si="2"/>
        <v>41536</v>
      </c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</row>
    <row r="631" ht="14.25" customHeight="1">
      <c r="AA631" s="7">
        <f t="shared" si="2"/>
        <v>41537</v>
      </c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</row>
    <row r="632" ht="14.25" customHeight="1">
      <c r="AA632" s="7">
        <f t="shared" si="2"/>
        <v>41538</v>
      </c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</row>
    <row r="633" ht="14.25" customHeight="1">
      <c r="AA633" s="7">
        <f t="shared" si="2"/>
        <v>41539</v>
      </c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</row>
    <row r="634" ht="14.25" customHeight="1">
      <c r="AA634" s="7">
        <f t="shared" si="2"/>
        <v>41540</v>
      </c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</row>
    <row r="635" ht="14.25" customHeight="1">
      <c r="AA635" s="7">
        <f t="shared" si="2"/>
        <v>41541</v>
      </c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</row>
    <row r="636" ht="14.25" customHeight="1">
      <c r="AA636" s="7">
        <f t="shared" si="2"/>
        <v>41542</v>
      </c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</row>
    <row r="637" ht="14.25" customHeight="1">
      <c r="AA637" s="7">
        <f t="shared" si="2"/>
        <v>41543</v>
      </c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</row>
    <row r="638" ht="14.25" customHeight="1">
      <c r="AA638" s="7">
        <f t="shared" si="2"/>
        <v>41544</v>
      </c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</row>
    <row r="639" ht="14.25" customHeight="1">
      <c r="AA639" s="7">
        <f t="shared" si="2"/>
        <v>41545</v>
      </c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</row>
    <row r="640" ht="14.25" customHeight="1">
      <c r="AA640" s="7">
        <f t="shared" si="2"/>
        <v>41546</v>
      </c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</row>
    <row r="641" ht="14.25" customHeight="1">
      <c r="AA641" s="7">
        <f t="shared" si="2"/>
        <v>41547</v>
      </c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</row>
    <row r="642" ht="14.25" customHeight="1">
      <c r="AA642" s="7">
        <f t="shared" si="2"/>
        <v>41548</v>
      </c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</row>
    <row r="643" ht="14.25" customHeight="1">
      <c r="AA643" s="7">
        <f t="shared" si="2"/>
        <v>41549</v>
      </c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</row>
    <row r="644" ht="14.25" customHeight="1">
      <c r="AA644" s="7">
        <f t="shared" si="2"/>
        <v>41550</v>
      </c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</row>
    <row r="645" ht="14.25" customHeight="1">
      <c r="AA645" s="7">
        <f t="shared" si="2"/>
        <v>41551</v>
      </c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</row>
    <row r="646" ht="14.25" customHeight="1">
      <c r="AA646" s="7">
        <f t="shared" si="2"/>
        <v>41552</v>
      </c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</row>
    <row r="647" ht="14.25" customHeight="1">
      <c r="AA647" s="7">
        <f t="shared" si="2"/>
        <v>41553</v>
      </c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</row>
    <row r="648" ht="14.25" customHeight="1">
      <c r="AA648" s="7">
        <f t="shared" si="2"/>
        <v>41554</v>
      </c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</row>
    <row r="649" ht="14.25" customHeight="1">
      <c r="AA649" s="7">
        <f t="shared" si="2"/>
        <v>41555</v>
      </c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</row>
    <row r="650" ht="14.25" customHeight="1">
      <c r="AA650" s="7">
        <f t="shared" si="2"/>
        <v>41556</v>
      </c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</row>
    <row r="651" ht="14.25" customHeight="1">
      <c r="AA651" s="7">
        <f t="shared" si="2"/>
        <v>41557</v>
      </c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</row>
    <row r="652" ht="14.25" customHeight="1">
      <c r="AA652" s="7">
        <f t="shared" si="2"/>
        <v>41558</v>
      </c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</row>
    <row r="653" ht="14.25" customHeight="1">
      <c r="AA653" s="7">
        <f t="shared" si="2"/>
        <v>41559</v>
      </c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</row>
    <row r="654" ht="14.25" customHeight="1">
      <c r="AA654" s="7">
        <f t="shared" si="2"/>
        <v>41560</v>
      </c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</row>
    <row r="655" ht="14.25" customHeight="1">
      <c r="AA655" s="7">
        <f t="shared" si="2"/>
        <v>41561</v>
      </c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</row>
    <row r="656" ht="14.25" customHeight="1">
      <c r="AA656" s="7">
        <f t="shared" si="2"/>
        <v>41562</v>
      </c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</row>
    <row r="657" ht="14.25" customHeight="1">
      <c r="AA657" s="7">
        <f t="shared" si="2"/>
        <v>41563</v>
      </c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</row>
    <row r="658" ht="14.25" customHeight="1">
      <c r="AA658" s="7">
        <f t="shared" si="2"/>
        <v>41564</v>
      </c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</row>
    <row r="659" ht="14.25" customHeight="1">
      <c r="AA659" s="7">
        <f t="shared" si="2"/>
        <v>41565</v>
      </c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</row>
    <row r="660" ht="14.25" customHeight="1">
      <c r="AA660" s="7">
        <f t="shared" si="2"/>
        <v>41566</v>
      </c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</row>
    <row r="661" ht="14.25" customHeight="1">
      <c r="AA661" s="7">
        <f t="shared" si="2"/>
        <v>41567</v>
      </c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</row>
    <row r="662" ht="14.25" customHeight="1">
      <c r="AA662" s="7">
        <f t="shared" si="2"/>
        <v>41568</v>
      </c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</row>
    <row r="663" ht="14.25" customHeight="1">
      <c r="AA663" s="7">
        <f t="shared" si="2"/>
        <v>41569</v>
      </c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</row>
    <row r="664" ht="14.25" customHeight="1">
      <c r="AA664" s="7">
        <f t="shared" si="2"/>
        <v>41570</v>
      </c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</row>
    <row r="665" ht="14.25" customHeight="1">
      <c r="AA665" s="7">
        <f t="shared" si="2"/>
        <v>41571</v>
      </c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</row>
    <row r="666" ht="14.25" customHeight="1">
      <c r="AA666" s="7">
        <f t="shared" si="2"/>
        <v>41572</v>
      </c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</row>
    <row r="667" ht="14.25" customHeight="1">
      <c r="AA667" s="7">
        <f t="shared" si="2"/>
        <v>41573</v>
      </c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</row>
    <row r="668" ht="14.25" customHeight="1">
      <c r="AA668" s="7">
        <f t="shared" si="2"/>
        <v>41574</v>
      </c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</row>
    <row r="669" ht="14.25" customHeight="1">
      <c r="AA669" s="7">
        <f t="shared" si="2"/>
        <v>41575</v>
      </c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</row>
    <row r="670" ht="14.25" customHeight="1">
      <c r="AA670" s="7">
        <f t="shared" si="2"/>
        <v>41576</v>
      </c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</row>
    <row r="671" ht="14.25" customHeight="1">
      <c r="AA671" s="7">
        <f t="shared" si="2"/>
        <v>41577</v>
      </c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</row>
    <row r="672" ht="14.25" customHeight="1">
      <c r="AA672" s="7">
        <f t="shared" si="2"/>
        <v>41578</v>
      </c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</row>
    <row r="673" ht="14.25" customHeight="1">
      <c r="AA673" s="7">
        <f t="shared" si="2"/>
        <v>41579</v>
      </c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</row>
    <row r="674" ht="14.25" customHeight="1">
      <c r="AA674" s="7">
        <f t="shared" si="2"/>
        <v>41580</v>
      </c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</row>
    <row r="675" ht="14.25" customHeight="1">
      <c r="AA675" s="7">
        <f t="shared" si="2"/>
        <v>41581</v>
      </c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</row>
    <row r="676" ht="14.25" customHeight="1">
      <c r="AA676" s="7">
        <f t="shared" si="2"/>
        <v>41582</v>
      </c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</row>
    <row r="677" ht="14.25" customHeight="1">
      <c r="AA677" s="7">
        <f t="shared" si="2"/>
        <v>41583</v>
      </c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</row>
    <row r="678" ht="14.25" customHeight="1">
      <c r="AA678" s="7">
        <f t="shared" si="2"/>
        <v>41584</v>
      </c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</row>
    <row r="679" ht="14.25" customHeight="1">
      <c r="AA679" s="7">
        <f t="shared" si="2"/>
        <v>41585</v>
      </c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</row>
    <row r="680" ht="14.25" customHeight="1">
      <c r="AA680" s="7">
        <f t="shared" si="2"/>
        <v>41586</v>
      </c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</row>
    <row r="681" ht="14.25" customHeight="1">
      <c r="AA681" s="7">
        <f t="shared" si="2"/>
        <v>41587</v>
      </c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</row>
    <row r="682" ht="14.25" customHeight="1">
      <c r="AA682" s="7">
        <f t="shared" si="2"/>
        <v>41588</v>
      </c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</row>
    <row r="683" ht="14.25" customHeight="1">
      <c r="AA683" s="7">
        <f t="shared" si="2"/>
        <v>41589</v>
      </c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</row>
    <row r="684" ht="14.25" customHeight="1">
      <c r="AA684" s="7">
        <f t="shared" si="2"/>
        <v>41590</v>
      </c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</row>
    <row r="685" ht="14.25" customHeight="1">
      <c r="AA685" s="7">
        <f t="shared" si="2"/>
        <v>41591</v>
      </c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</row>
    <row r="686" ht="14.25" customHeight="1">
      <c r="AA686" s="7">
        <f t="shared" si="2"/>
        <v>41592</v>
      </c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</row>
    <row r="687" ht="14.25" customHeight="1">
      <c r="AA687" s="7">
        <f t="shared" si="2"/>
        <v>41593</v>
      </c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</row>
    <row r="688" ht="14.25" customHeight="1">
      <c r="AA688" s="7">
        <f t="shared" si="2"/>
        <v>41594</v>
      </c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</row>
    <row r="689" ht="14.25" customHeight="1">
      <c r="AA689" s="7">
        <f t="shared" si="2"/>
        <v>41595</v>
      </c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</row>
    <row r="690" ht="14.25" customHeight="1">
      <c r="AA690" s="7">
        <f t="shared" si="2"/>
        <v>41596</v>
      </c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</row>
    <row r="691" ht="14.25" customHeight="1">
      <c r="AA691" s="7">
        <f t="shared" si="2"/>
        <v>41597</v>
      </c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</row>
    <row r="692" ht="14.25" customHeight="1">
      <c r="AA692" s="7">
        <f t="shared" si="2"/>
        <v>41598</v>
      </c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</row>
    <row r="693" ht="14.25" customHeight="1">
      <c r="AA693" s="7">
        <f t="shared" si="2"/>
        <v>41599</v>
      </c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</row>
    <row r="694" ht="14.25" customHeight="1">
      <c r="AA694" s="7">
        <f t="shared" si="2"/>
        <v>41600</v>
      </c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</row>
    <row r="695" ht="14.25" customHeight="1">
      <c r="AA695" s="7">
        <f t="shared" si="2"/>
        <v>41601</v>
      </c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</row>
    <row r="696" ht="14.25" customHeight="1">
      <c r="AA696" s="7">
        <f t="shared" si="2"/>
        <v>41602</v>
      </c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</row>
    <row r="697" ht="14.25" customHeight="1">
      <c r="AA697" s="7">
        <f t="shared" si="2"/>
        <v>41603</v>
      </c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</row>
    <row r="698" ht="14.25" customHeight="1">
      <c r="AA698" s="7">
        <f t="shared" si="2"/>
        <v>41604</v>
      </c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</row>
    <row r="699" ht="14.25" customHeight="1">
      <c r="AA699" s="7">
        <f t="shared" si="2"/>
        <v>41605</v>
      </c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</row>
    <row r="700" ht="14.25" customHeight="1">
      <c r="AA700" s="7">
        <f t="shared" si="2"/>
        <v>41606</v>
      </c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</row>
    <row r="701" ht="14.25" customHeight="1">
      <c r="AA701" s="7">
        <f t="shared" si="2"/>
        <v>41607</v>
      </c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</row>
    <row r="702" ht="14.25" customHeight="1">
      <c r="AA702" s="7">
        <f t="shared" si="2"/>
        <v>41608</v>
      </c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</row>
    <row r="703" ht="14.25" customHeight="1">
      <c r="AA703" s="7">
        <f t="shared" si="2"/>
        <v>41609</v>
      </c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</row>
    <row r="704" ht="14.25" customHeight="1">
      <c r="AA704" s="7">
        <f t="shared" si="2"/>
        <v>41610</v>
      </c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</row>
    <row r="705" ht="14.25" customHeight="1">
      <c r="AA705" s="7">
        <f t="shared" si="2"/>
        <v>41611</v>
      </c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</row>
    <row r="706" ht="14.25" customHeight="1">
      <c r="AA706" s="7">
        <f t="shared" si="2"/>
        <v>41612</v>
      </c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</row>
    <row r="707" ht="14.25" customHeight="1">
      <c r="AA707" s="7">
        <f t="shared" si="2"/>
        <v>41613</v>
      </c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</row>
    <row r="708" ht="14.25" customHeight="1">
      <c r="AA708" s="7">
        <f t="shared" si="2"/>
        <v>41614</v>
      </c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</row>
    <row r="709" ht="14.25" customHeight="1">
      <c r="AA709" s="7">
        <f t="shared" si="2"/>
        <v>41615</v>
      </c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</row>
    <row r="710" ht="14.25" customHeight="1">
      <c r="AA710" s="7">
        <f t="shared" si="2"/>
        <v>41616</v>
      </c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</row>
    <row r="711" ht="14.25" customHeight="1">
      <c r="AA711" s="7">
        <f t="shared" si="2"/>
        <v>41617</v>
      </c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</row>
    <row r="712" ht="14.25" customHeight="1">
      <c r="AA712" s="7">
        <f t="shared" si="2"/>
        <v>41618</v>
      </c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</row>
    <row r="713" ht="14.25" customHeight="1">
      <c r="AA713" s="7">
        <f t="shared" si="2"/>
        <v>41619</v>
      </c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</row>
    <row r="714" ht="14.25" customHeight="1">
      <c r="AA714" s="7">
        <f t="shared" si="2"/>
        <v>41620</v>
      </c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</row>
    <row r="715" ht="14.25" customHeight="1">
      <c r="AA715" s="7">
        <f t="shared" si="2"/>
        <v>41621</v>
      </c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</row>
    <row r="716" ht="14.25" customHeight="1">
      <c r="AA716" s="7">
        <f t="shared" si="2"/>
        <v>41622</v>
      </c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</row>
    <row r="717" ht="14.25" customHeight="1">
      <c r="AA717" s="7">
        <f t="shared" si="2"/>
        <v>41623</v>
      </c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</row>
    <row r="718" ht="14.25" customHeight="1">
      <c r="AA718" s="7">
        <f t="shared" si="2"/>
        <v>41624</v>
      </c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</row>
    <row r="719" ht="14.25" customHeight="1">
      <c r="AA719" s="7">
        <f t="shared" si="2"/>
        <v>41625</v>
      </c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</row>
    <row r="720" ht="14.25" customHeight="1">
      <c r="AA720" s="7">
        <f t="shared" si="2"/>
        <v>41626</v>
      </c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</row>
    <row r="721" ht="14.25" customHeight="1">
      <c r="AA721" s="7">
        <f t="shared" si="2"/>
        <v>41627</v>
      </c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</row>
    <row r="722" ht="14.25" customHeight="1">
      <c r="AA722" s="7">
        <f t="shared" si="2"/>
        <v>41628</v>
      </c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</row>
    <row r="723" ht="14.25" customHeight="1">
      <c r="AA723" s="7">
        <f t="shared" si="2"/>
        <v>41629</v>
      </c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</row>
    <row r="724" ht="14.25" customHeight="1">
      <c r="AA724" s="7">
        <f t="shared" si="2"/>
        <v>41630</v>
      </c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</row>
    <row r="725" ht="14.25" customHeight="1">
      <c r="AA725" s="7">
        <f t="shared" si="2"/>
        <v>41631</v>
      </c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</row>
    <row r="726" ht="14.25" customHeight="1">
      <c r="AA726" s="7">
        <f t="shared" si="2"/>
        <v>41632</v>
      </c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</row>
    <row r="727" ht="14.25" customHeight="1">
      <c r="AA727" s="7">
        <f t="shared" si="2"/>
        <v>41633</v>
      </c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</row>
    <row r="728" ht="14.25" customHeight="1">
      <c r="AA728" s="7">
        <f t="shared" si="2"/>
        <v>41634</v>
      </c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</row>
    <row r="729" ht="14.25" customHeight="1">
      <c r="AA729" s="7">
        <f t="shared" si="2"/>
        <v>41635</v>
      </c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</row>
    <row r="730" ht="14.25" customHeight="1">
      <c r="AA730" s="7">
        <f t="shared" si="2"/>
        <v>41636</v>
      </c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</row>
    <row r="731" ht="14.25" customHeight="1">
      <c r="AA731" s="7">
        <f t="shared" si="2"/>
        <v>41637</v>
      </c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</row>
    <row r="732" ht="14.25" customHeight="1">
      <c r="AA732" s="7">
        <f t="shared" si="2"/>
        <v>41638</v>
      </c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</row>
    <row r="733" ht="14.25" customHeight="1">
      <c r="AA733" s="7">
        <f t="shared" si="2"/>
        <v>41639</v>
      </c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</row>
    <row r="734" ht="14.25" customHeight="1">
      <c r="AA734" s="7">
        <f t="shared" si="2"/>
        <v>41640</v>
      </c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</row>
    <row r="735" ht="14.25" customHeight="1">
      <c r="AA735" s="7">
        <f t="shared" si="2"/>
        <v>41641</v>
      </c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</row>
    <row r="736" ht="14.25" customHeight="1">
      <c r="AA736" s="7">
        <f t="shared" si="2"/>
        <v>41642</v>
      </c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</row>
    <row r="737" ht="14.25" customHeight="1">
      <c r="AA737" s="7">
        <f t="shared" si="2"/>
        <v>41643</v>
      </c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</row>
    <row r="738" ht="14.25" customHeight="1">
      <c r="AA738" s="7">
        <f t="shared" si="2"/>
        <v>41644</v>
      </c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</row>
    <row r="739" ht="14.25" customHeight="1">
      <c r="AA739" s="7">
        <f t="shared" si="2"/>
        <v>41645</v>
      </c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</row>
    <row r="740" ht="14.25" customHeight="1">
      <c r="AA740" s="7">
        <f t="shared" si="2"/>
        <v>41646</v>
      </c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</row>
    <row r="741" ht="14.25" customHeight="1">
      <c r="AA741" s="7">
        <f t="shared" si="2"/>
        <v>41647</v>
      </c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</row>
    <row r="742" ht="14.25" customHeight="1">
      <c r="AA742" s="7">
        <f t="shared" si="2"/>
        <v>41648</v>
      </c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</row>
    <row r="743" ht="14.25" customHeight="1">
      <c r="AA743" s="7">
        <f t="shared" si="2"/>
        <v>41649</v>
      </c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</row>
    <row r="744" ht="14.25" customHeight="1">
      <c r="AA744" s="7">
        <f t="shared" si="2"/>
        <v>41650</v>
      </c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</row>
    <row r="745" ht="14.25" customHeight="1">
      <c r="AA745" s="7">
        <f t="shared" si="2"/>
        <v>41651</v>
      </c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</row>
    <row r="746" ht="14.25" customHeight="1">
      <c r="AA746" s="7">
        <f t="shared" si="2"/>
        <v>41652</v>
      </c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</row>
    <row r="747" ht="14.25" customHeight="1">
      <c r="AA747" s="7">
        <f t="shared" si="2"/>
        <v>41653</v>
      </c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</row>
    <row r="748" ht="14.25" customHeight="1">
      <c r="AA748" s="7">
        <f t="shared" si="2"/>
        <v>41654</v>
      </c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</row>
    <row r="749" ht="14.25" customHeight="1">
      <c r="AA749" s="7">
        <f t="shared" si="2"/>
        <v>41655</v>
      </c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</row>
    <row r="750" ht="14.25" customHeight="1">
      <c r="AA750" s="7">
        <f t="shared" si="2"/>
        <v>41656</v>
      </c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</row>
    <row r="751" ht="14.25" customHeight="1">
      <c r="AA751" s="7">
        <f t="shared" si="2"/>
        <v>41657</v>
      </c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</row>
    <row r="752" ht="14.25" customHeight="1">
      <c r="AA752" s="7">
        <f t="shared" si="2"/>
        <v>41658</v>
      </c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</row>
    <row r="753" ht="14.25" customHeight="1">
      <c r="AA753" s="7">
        <f t="shared" si="2"/>
        <v>41659</v>
      </c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</row>
    <row r="754" ht="14.25" customHeight="1">
      <c r="AA754" s="7">
        <f t="shared" si="2"/>
        <v>41660</v>
      </c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</row>
    <row r="755" ht="14.25" customHeight="1">
      <c r="AA755" s="7">
        <f t="shared" si="2"/>
        <v>41661</v>
      </c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</row>
    <row r="756" ht="14.25" customHeight="1">
      <c r="AA756" s="7">
        <f t="shared" si="2"/>
        <v>41662</v>
      </c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</row>
    <row r="757" ht="14.25" customHeight="1">
      <c r="AA757" s="7">
        <f t="shared" si="2"/>
        <v>41663</v>
      </c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</row>
    <row r="758" ht="14.25" customHeight="1">
      <c r="AA758" s="7">
        <f t="shared" si="2"/>
        <v>41664</v>
      </c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</row>
    <row r="759" ht="14.25" customHeight="1">
      <c r="AA759" s="7">
        <f t="shared" si="2"/>
        <v>41665</v>
      </c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</row>
    <row r="760" ht="14.25" customHeight="1">
      <c r="AA760" s="7">
        <f t="shared" si="2"/>
        <v>41666</v>
      </c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</row>
    <row r="761" ht="14.25" customHeight="1">
      <c r="AA761" s="7">
        <f t="shared" si="2"/>
        <v>41667</v>
      </c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</row>
    <row r="762" ht="14.25" customHeight="1">
      <c r="AA762" s="7">
        <f t="shared" si="2"/>
        <v>41668</v>
      </c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</row>
    <row r="763" ht="14.25" customHeight="1">
      <c r="AA763" s="7">
        <f t="shared" si="2"/>
        <v>41669</v>
      </c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</row>
    <row r="764" ht="14.25" customHeight="1">
      <c r="AA764" s="7">
        <f t="shared" si="2"/>
        <v>41670</v>
      </c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</row>
    <row r="765" ht="14.25" customHeight="1">
      <c r="AA765" s="7">
        <f t="shared" si="2"/>
        <v>41671</v>
      </c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</row>
    <row r="766" ht="14.25" customHeight="1">
      <c r="AA766" s="7">
        <f t="shared" si="2"/>
        <v>41672</v>
      </c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</row>
    <row r="767" ht="14.25" customHeight="1">
      <c r="AA767" s="7">
        <f t="shared" si="2"/>
        <v>41673</v>
      </c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</row>
    <row r="768" ht="14.25" customHeight="1">
      <c r="AA768" s="7">
        <f t="shared" si="2"/>
        <v>41674</v>
      </c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</row>
    <row r="769" ht="14.25" customHeight="1">
      <c r="AA769" s="7">
        <f t="shared" si="2"/>
        <v>41675</v>
      </c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</row>
    <row r="770" ht="14.25" customHeight="1">
      <c r="AA770" s="7">
        <f t="shared" si="2"/>
        <v>41676</v>
      </c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</row>
    <row r="771" ht="14.25" customHeight="1">
      <c r="AA771" s="7">
        <f t="shared" si="2"/>
        <v>41677</v>
      </c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</row>
    <row r="772" ht="14.25" customHeight="1">
      <c r="AA772" s="7">
        <f t="shared" si="2"/>
        <v>41678</v>
      </c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</row>
    <row r="773" ht="14.25" customHeight="1">
      <c r="AA773" s="7">
        <f t="shared" si="2"/>
        <v>41679</v>
      </c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</row>
    <row r="774" ht="14.25" customHeight="1">
      <c r="AA774" s="7">
        <f t="shared" si="2"/>
        <v>41680</v>
      </c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</row>
    <row r="775" ht="14.25" customHeight="1">
      <c r="AA775" s="7">
        <f t="shared" si="2"/>
        <v>41681</v>
      </c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</row>
    <row r="776" ht="14.25" customHeight="1">
      <c r="AA776" s="7">
        <f t="shared" si="2"/>
        <v>41682</v>
      </c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</row>
    <row r="777" ht="14.25" customHeight="1">
      <c r="AA777" s="7">
        <f t="shared" si="2"/>
        <v>41683</v>
      </c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</row>
    <row r="778" ht="14.25" customHeight="1">
      <c r="AA778" s="7">
        <f t="shared" si="2"/>
        <v>41684</v>
      </c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</row>
    <row r="779" ht="14.25" customHeight="1">
      <c r="AA779" s="7">
        <f t="shared" si="2"/>
        <v>41685</v>
      </c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</row>
    <row r="780" ht="14.25" customHeight="1">
      <c r="AA780" s="7">
        <f t="shared" si="2"/>
        <v>41686</v>
      </c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</row>
    <row r="781" ht="14.25" customHeight="1">
      <c r="AA781" s="7">
        <f t="shared" si="2"/>
        <v>41687</v>
      </c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</row>
    <row r="782" ht="14.25" customHeight="1">
      <c r="AA782" s="7">
        <f t="shared" si="2"/>
        <v>41688</v>
      </c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</row>
    <row r="783" ht="14.25" customHeight="1">
      <c r="AA783" s="7">
        <f t="shared" si="2"/>
        <v>41689</v>
      </c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</row>
    <row r="784" ht="14.25" customHeight="1">
      <c r="AA784" s="7">
        <f t="shared" si="2"/>
        <v>41690</v>
      </c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</row>
    <row r="785" ht="14.25" customHeight="1">
      <c r="AA785" s="7">
        <f t="shared" si="2"/>
        <v>41691</v>
      </c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</row>
    <row r="786" ht="14.25" customHeight="1">
      <c r="AA786" s="7">
        <f t="shared" si="2"/>
        <v>41692</v>
      </c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</row>
    <row r="787" ht="14.25" customHeight="1">
      <c r="AA787" s="7">
        <f t="shared" si="2"/>
        <v>41693</v>
      </c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</row>
    <row r="788" ht="14.25" customHeight="1">
      <c r="AA788" s="7">
        <f t="shared" si="2"/>
        <v>41694</v>
      </c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</row>
    <row r="789" ht="14.25" customHeight="1">
      <c r="AA789" s="7">
        <f t="shared" si="2"/>
        <v>41695</v>
      </c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</row>
    <row r="790" ht="14.25" customHeight="1">
      <c r="AA790" s="7">
        <f t="shared" si="2"/>
        <v>41696</v>
      </c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</row>
    <row r="791" ht="14.25" customHeight="1">
      <c r="AA791" s="7">
        <f t="shared" si="2"/>
        <v>41697</v>
      </c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</row>
    <row r="792" ht="14.25" customHeight="1">
      <c r="AA792" s="7">
        <f t="shared" si="2"/>
        <v>41698</v>
      </c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</row>
    <row r="793" ht="14.25" customHeight="1">
      <c r="AA793" s="7">
        <f t="shared" si="2"/>
        <v>41699</v>
      </c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</row>
    <row r="794" ht="14.25" customHeight="1">
      <c r="AA794" s="7">
        <f t="shared" si="2"/>
        <v>41700</v>
      </c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</row>
    <row r="795" ht="14.25" customHeight="1">
      <c r="AA795" s="7">
        <f t="shared" si="2"/>
        <v>41701</v>
      </c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</row>
    <row r="796" ht="14.25" customHeight="1">
      <c r="AA796" s="7">
        <f t="shared" si="2"/>
        <v>41702</v>
      </c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</row>
    <row r="797" ht="14.25" customHeight="1">
      <c r="AA797" s="7">
        <f t="shared" si="2"/>
        <v>41703</v>
      </c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</row>
    <row r="798" ht="14.25" customHeight="1">
      <c r="AA798" s="7">
        <f t="shared" si="2"/>
        <v>41704</v>
      </c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</row>
    <row r="799" ht="14.25" customHeight="1">
      <c r="AA799" s="7">
        <f t="shared" si="2"/>
        <v>41705</v>
      </c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</row>
    <row r="800" ht="14.25" customHeight="1">
      <c r="AA800" s="7">
        <f t="shared" si="2"/>
        <v>41706</v>
      </c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</row>
    <row r="801" ht="14.25" customHeight="1">
      <c r="AA801" s="7">
        <f t="shared" si="2"/>
        <v>41707</v>
      </c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</row>
    <row r="802" ht="14.25" customHeight="1">
      <c r="AA802" s="7">
        <f t="shared" si="2"/>
        <v>41708</v>
      </c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</row>
    <row r="803" ht="14.25" customHeight="1">
      <c r="AA803" s="7">
        <f t="shared" si="2"/>
        <v>41709</v>
      </c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</row>
    <row r="804" ht="14.25" customHeight="1">
      <c r="AA804" s="7">
        <f t="shared" si="2"/>
        <v>41710</v>
      </c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</row>
    <row r="805" ht="14.25" customHeight="1">
      <c r="AA805" s="7">
        <f t="shared" si="2"/>
        <v>41711</v>
      </c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</row>
    <row r="806" ht="14.25" customHeight="1">
      <c r="AA806" s="7">
        <f t="shared" si="2"/>
        <v>41712</v>
      </c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</row>
    <row r="807" ht="14.25" customHeight="1">
      <c r="AA807" s="7">
        <f t="shared" si="2"/>
        <v>41713</v>
      </c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</row>
    <row r="808" ht="14.25" customHeight="1">
      <c r="AA808" s="7">
        <f t="shared" si="2"/>
        <v>41714</v>
      </c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</row>
    <row r="809" ht="14.25" customHeight="1">
      <c r="AA809" s="7">
        <f t="shared" si="2"/>
        <v>41715</v>
      </c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</row>
    <row r="810" ht="14.25" customHeight="1">
      <c r="AA810" s="7">
        <f t="shared" si="2"/>
        <v>41716</v>
      </c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</row>
    <row r="811" ht="14.25" customHeight="1">
      <c r="AA811" s="7">
        <f t="shared" si="2"/>
        <v>41717</v>
      </c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</row>
    <row r="812" ht="14.25" customHeight="1">
      <c r="AA812" s="7">
        <f t="shared" si="2"/>
        <v>41718</v>
      </c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</row>
    <row r="813" ht="14.25" customHeight="1">
      <c r="AA813" s="7">
        <f t="shared" si="2"/>
        <v>41719</v>
      </c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</row>
    <row r="814" ht="14.25" customHeight="1">
      <c r="AA814" s="7">
        <f t="shared" si="2"/>
        <v>41720</v>
      </c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</row>
    <row r="815" ht="14.25" customHeight="1">
      <c r="AA815" s="7">
        <f t="shared" si="2"/>
        <v>41721</v>
      </c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</row>
    <row r="816" ht="14.25" customHeight="1">
      <c r="AA816" s="7">
        <f t="shared" si="2"/>
        <v>41722</v>
      </c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</row>
    <row r="817" ht="14.25" customHeight="1">
      <c r="AA817" s="7">
        <f t="shared" si="2"/>
        <v>41723</v>
      </c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</row>
    <row r="818" ht="14.25" customHeight="1">
      <c r="AA818" s="7">
        <f t="shared" si="2"/>
        <v>41724</v>
      </c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</row>
    <row r="819" ht="14.25" customHeight="1">
      <c r="AA819" s="7">
        <f t="shared" si="2"/>
        <v>41725</v>
      </c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</row>
    <row r="820" ht="14.25" customHeight="1">
      <c r="AA820" s="7">
        <f t="shared" si="2"/>
        <v>41726</v>
      </c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</row>
    <row r="821" ht="14.25" customHeight="1">
      <c r="AA821" s="7">
        <f t="shared" si="2"/>
        <v>41727</v>
      </c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</row>
    <row r="822" ht="14.25" customHeight="1">
      <c r="AA822" s="7">
        <f t="shared" si="2"/>
        <v>41728</v>
      </c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</row>
    <row r="823" ht="14.25" customHeight="1">
      <c r="AA823" s="7">
        <f t="shared" si="2"/>
        <v>41729</v>
      </c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</row>
    <row r="824" ht="14.25" customHeight="1">
      <c r="AA824" s="7">
        <f t="shared" si="2"/>
        <v>41730</v>
      </c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</row>
    <row r="825" ht="14.25" customHeight="1">
      <c r="AA825" s="7">
        <f t="shared" si="2"/>
        <v>41731</v>
      </c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</row>
    <row r="826" ht="14.25" customHeight="1">
      <c r="AA826" s="7">
        <f t="shared" si="2"/>
        <v>41732</v>
      </c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</row>
    <row r="827" ht="14.25" customHeight="1">
      <c r="AA827" s="7">
        <f t="shared" si="2"/>
        <v>41733</v>
      </c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</row>
    <row r="828" ht="14.25" customHeight="1">
      <c r="AA828" s="7">
        <f t="shared" si="2"/>
        <v>41734</v>
      </c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</row>
    <row r="829" ht="14.25" customHeight="1">
      <c r="AA829" s="7">
        <f t="shared" si="2"/>
        <v>41735</v>
      </c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</row>
    <row r="830" ht="14.25" customHeight="1">
      <c r="AA830" s="7">
        <f t="shared" si="2"/>
        <v>41736</v>
      </c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</row>
    <row r="831" ht="14.25" customHeight="1">
      <c r="AA831" s="7">
        <f t="shared" si="2"/>
        <v>41737</v>
      </c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</row>
    <row r="832" ht="14.25" customHeight="1">
      <c r="AA832" s="7">
        <f t="shared" si="2"/>
        <v>41738</v>
      </c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</row>
    <row r="833" ht="14.25" customHeight="1">
      <c r="AA833" s="7">
        <f t="shared" si="2"/>
        <v>41739</v>
      </c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</row>
    <row r="834" ht="14.25" customHeight="1">
      <c r="AA834" s="7">
        <f t="shared" si="2"/>
        <v>41740</v>
      </c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</row>
    <row r="835" ht="14.25" customHeight="1">
      <c r="AA835" s="7">
        <f t="shared" si="2"/>
        <v>41741</v>
      </c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</row>
    <row r="836" ht="14.25" customHeight="1">
      <c r="AA836" s="7">
        <f t="shared" si="2"/>
        <v>41742</v>
      </c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</row>
    <row r="837" ht="14.25" customHeight="1">
      <c r="AA837" s="7">
        <f t="shared" si="2"/>
        <v>41743</v>
      </c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</row>
    <row r="838" ht="14.25" customHeight="1">
      <c r="AA838" s="7">
        <f t="shared" si="2"/>
        <v>41744</v>
      </c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</row>
    <row r="839" ht="14.25" customHeight="1">
      <c r="AA839" s="7">
        <f t="shared" si="2"/>
        <v>41745</v>
      </c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</row>
    <row r="840" ht="14.25" customHeight="1">
      <c r="AA840" s="7">
        <f t="shared" si="2"/>
        <v>41746</v>
      </c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</row>
    <row r="841" ht="14.25" customHeight="1">
      <c r="AA841" s="7">
        <f t="shared" si="2"/>
        <v>41747</v>
      </c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</row>
    <row r="842" ht="14.25" customHeight="1">
      <c r="AA842" s="7">
        <f t="shared" si="2"/>
        <v>41748</v>
      </c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</row>
    <row r="843" ht="14.25" customHeight="1">
      <c r="AA843" s="7">
        <f t="shared" si="2"/>
        <v>41749</v>
      </c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</row>
    <row r="844" ht="14.25" customHeight="1">
      <c r="AA844" s="7">
        <f t="shared" si="2"/>
        <v>41750</v>
      </c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</row>
    <row r="845" ht="14.25" customHeight="1">
      <c r="AA845" s="7">
        <f t="shared" si="2"/>
        <v>41751</v>
      </c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</row>
    <row r="846" ht="14.25" customHeight="1">
      <c r="AA846" s="7">
        <f t="shared" si="2"/>
        <v>41752</v>
      </c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</row>
    <row r="847" ht="14.25" customHeight="1">
      <c r="AA847" s="7">
        <f t="shared" si="2"/>
        <v>41753</v>
      </c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</row>
    <row r="848" ht="14.25" customHeight="1">
      <c r="AA848" s="7">
        <f t="shared" si="2"/>
        <v>41754</v>
      </c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</row>
    <row r="849" ht="14.25" customHeight="1">
      <c r="AA849" s="7">
        <f t="shared" si="2"/>
        <v>41755</v>
      </c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</row>
    <row r="850" ht="14.25" customHeight="1">
      <c r="AA850" s="7">
        <f t="shared" si="2"/>
        <v>41756</v>
      </c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</row>
    <row r="851" ht="14.25" customHeight="1">
      <c r="AA851" s="7">
        <f t="shared" si="2"/>
        <v>41757</v>
      </c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</row>
    <row r="852" ht="14.25" customHeight="1">
      <c r="AA852" s="7">
        <f t="shared" si="2"/>
        <v>41758</v>
      </c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</row>
    <row r="853" ht="14.25" customHeight="1">
      <c r="AA853" s="7">
        <f t="shared" si="2"/>
        <v>41759</v>
      </c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</row>
    <row r="854" ht="14.25" customHeight="1">
      <c r="AA854" s="7">
        <f t="shared" si="2"/>
        <v>41760</v>
      </c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</row>
    <row r="855" ht="14.25" customHeight="1">
      <c r="AA855" s="7">
        <f t="shared" si="2"/>
        <v>41761</v>
      </c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</row>
    <row r="856" ht="14.25" customHeight="1">
      <c r="AA856" s="7">
        <f t="shared" si="2"/>
        <v>41762</v>
      </c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</row>
    <row r="857" ht="14.25" customHeight="1">
      <c r="AA857" s="7">
        <f t="shared" si="2"/>
        <v>41763</v>
      </c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</row>
    <row r="858" ht="14.25" customHeight="1">
      <c r="AA858" s="7">
        <f t="shared" si="2"/>
        <v>41764</v>
      </c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</row>
    <row r="859" ht="14.25" customHeight="1">
      <c r="AA859" s="7">
        <f t="shared" si="2"/>
        <v>41765</v>
      </c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</row>
    <row r="860" ht="14.25" customHeight="1">
      <c r="AA860" s="7">
        <f t="shared" si="2"/>
        <v>41766</v>
      </c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</row>
    <row r="861" ht="14.25" customHeight="1">
      <c r="AA861" s="7">
        <f t="shared" si="2"/>
        <v>41767</v>
      </c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</row>
    <row r="862" ht="14.25" customHeight="1">
      <c r="AA862" s="7">
        <f t="shared" si="2"/>
        <v>41768</v>
      </c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</row>
    <row r="863" ht="14.25" customHeight="1">
      <c r="AA863" s="7">
        <f t="shared" si="2"/>
        <v>41769</v>
      </c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</row>
    <row r="864" ht="14.25" customHeight="1">
      <c r="AA864" s="7">
        <f t="shared" si="2"/>
        <v>41770</v>
      </c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</row>
    <row r="865" ht="14.25" customHeight="1">
      <c r="AA865" s="7">
        <f t="shared" si="2"/>
        <v>41771</v>
      </c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</row>
    <row r="866" ht="14.25" customHeight="1">
      <c r="AA866" s="7">
        <f t="shared" si="2"/>
        <v>41772</v>
      </c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</row>
    <row r="867" ht="14.25" customHeight="1">
      <c r="AA867" s="7">
        <f t="shared" si="2"/>
        <v>41773</v>
      </c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</row>
    <row r="868" ht="14.25" customHeight="1">
      <c r="AA868" s="7">
        <f t="shared" si="2"/>
        <v>41774</v>
      </c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</row>
    <row r="869" ht="14.25" customHeight="1">
      <c r="AA869" s="7">
        <f t="shared" si="2"/>
        <v>41775</v>
      </c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</row>
    <row r="870" ht="14.25" customHeight="1">
      <c r="AA870" s="7">
        <f t="shared" si="2"/>
        <v>41776</v>
      </c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</row>
    <row r="871" ht="14.25" customHeight="1">
      <c r="AA871" s="7">
        <f t="shared" si="2"/>
        <v>41777</v>
      </c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</row>
    <row r="872" ht="14.25" customHeight="1">
      <c r="AA872" s="7">
        <f t="shared" si="2"/>
        <v>41778</v>
      </c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</row>
    <row r="873" ht="14.25" customHeight="1">
      <c r="AA873" s="7">
        <f t="shared" si="2"/>
        <v>41779</v>
      </c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</row>
    <row r="874" ht="14.25" customHeight="1">
      <c r="AA874" s="7">
        <f t="shared" si="2"/>
        <v>41780</v>
      </c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</row>
    <row r="875" ht="14.25" customHeight="1">
      <c r="AA875" s="7">
        <f t="shared" si="2"/>
        <v>41781</v>
      </c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</row>
    <row r="876" ht="14.25" customHeight="1">
      <c r="AA876" s="7">
        <f t="shared" si="2"/>
        <v>41782</v>
      </c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</row>
    <row r="877" ht="14.25" customHeight="1">
      <c r="AA877" s="7">
        <f t="shared" si="2"/>
        <v>41783</v>
      </c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</row>
    <row r="878" ht="14.25" customHeight="1">
      <c r="AA878" s="7">
        <f t="shared" si="2"/>
        <v>41784</v>
      </c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</row>
    <row r="879" ht="14.25" customHeight="1">
      <c r="AA879" s="7">
        <f t="shared" si="2"/>
        <v>41785</v>
      </c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</row>
    <row r="880" ht="14.25" customHeight="1">
      <c r="AA880" s="7">
        <f t="shared" si="2"/>
        <v>41786</v>
      </c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</row>
    <row r="881" ht="14.25" customHeight="1">
      <c r="AA881" s="7">
        <f t="shared" si="2"/>
        <v>41787</v>
      </c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</row>
    <row r="882" ht="14.25" customHeight="1">
      <c r="AA882" s="7">
        <f t="shared" si="2"/>
        <v>41788</v>
      </c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</row>
    <row r="883" ht="14.25" customHeight="1">
      <c r="AA883" s="7">
        <f t="shared" si="2"/>
        <v>41789</v>
      </c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</row>
    <row r="884" ht="14.25" customHeight="1">
      <c r="AA884" s="7">
        <f t="shared" si="2"/>
        <v>41790</v>
      </c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</row>
    <row r="885" ht="14.25" customHeight="1">
      <c r="AA885" s="7">
        <f t="shared" si="2"/>
        <v>41791</v>
      </c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</row>
    <row r="886" ht="14.25" customHeight="1">
      <c r="AA886" s="7">
        <f t="shared" si="2"/>
        <v>41792</v>
      </c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</row>
    <row r="887" ht="14.25" customHeight="1">
      <c r="AA887" s="7">
        <f t="shared" si="2"/>
        <v>41793</v>
      </c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</row>
    <row r="888" ht="14.25" customHeight="1">
      <c r="AA888" s="7">
        <f t="shared" si="2"/>
        <v>41794</v>
      </c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</row>
    <row r="889" ht="14.25" customHeight="1">
      <c r="AA889" s="7">
        <f t="shared" si="2"/>
        <v>41795</v>
      </c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</row>
    <row r="890" ht="14.25" customHeight="1">
      <c r="AA890" s="7">
        <f t="shared" si="2"/>
        <v>41796</v>
      </c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</row>
    <row r="891" ht="14.25" customHeight="1">
      <c r="AA891" s="7">
        <f t="shared" si="2"/>
        <v>41797</v>
      </c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</row>
    <row r="892" ht="14.25" customHeight="1">
      <c r="AA892" s="7">
        <f t="shared" si="2"/>
        <v>41798</v>
      </c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</row>
    <row r="893" ht="14.25" customHeight="1">
      <c r="AA893" s="7">
        <f t="shared" si="2"/>
        <v>41799</v>
      </c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</row>
    <row r="894" ht="14.25" customHeight="1">
      <c r="AA894" s="7">
        <f t="shared" si="2"/>
        <v>41800</v>
      </c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</row>
    <row r="895" ht="14.25" customHeight="1">
      <c r="AA895" s="7">
        <f t="shared" si="2"/>
        <v>41801</v>
      </c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</row>
    <row r="896" ht="14.25" customHeight="1">
      <c r="AA896" s="7">
        <f t="shared" si="2"/>
        <v>41802</v>
      </c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</row>
    <row r="897" ht="14.25" customHeight="1">
      <c r="AA897" s="7">
        <f t="shared" si="2"/>
        <v>41803</v>
      </c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</row>
    <row r="898" ht="14.25" customHeight="1">
      <c r="AA898" s="7">
        <f t="shared" si="2"/>
        <v>41804</v>
      </c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</row>
    <row r="899" ht="14.25" customHeight="1">
      <c r="AA899" s="7">
        <f t="shared" si="2"/>
        <v>41805</v>
      </c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</row>
    <row r="900" ht="14.25" customHeight="1">
      <c r="AA900" s="7">
        <f t="shared" si="2"/>
        <v>41806</v>
      </c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</row>
    <row r="901" ht="14.25" customHeight="1">
      <c r="AA901" s="7">
        <f t="shared" si="2"/>
        <v>41807</v>
      </c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</row>
    <row r="902" ht="14.25" customHeight="1">
      <c r="AA902" s="7">
        <f t="shared" si="2"/>
        <v>41808</v>
      </c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</row>
    <row r="903" ht="14.25" customHeight="1">
      <c r="AA903" s="7">
        <f t="shared" si="2"/>
        <v>41809</v>
      </c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</row>
    <row r="904" ht="14.25" customHeight="1">
      <c r="AA904" s="7">
        <f t="shared" si="2"/>
        <v>41810</v>
      </c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</row>
    <row r="905" ht="14.25" customHeight="1">
      <c r="AA905" s="7">
        <f t="shared" si="2"/>
        <v>41811</v>
      </c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</row>
    <row r="906" ht="14.25" customHeight="1">
      <c r="AA906" s="7">
        <f t="shared" si="2"/>
        <v>41812</v>
      </c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</row>
    <row r="907" ht="14.25" customHeight="1">
      <c r="AA907" s="7">
        <f t="shared" si="2"/>
        <v>41813</v>
      </c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</row>
    <row r="908" ht="14.25" customHeight="1">
      <c r="AA908" s="7">
        <f t="shared" si="2"/>
        <v>41814</v>
      </c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</row>
    <row r="909" ht="14.25" customHeight="1">
      <c r="AA909" s="7">
        <f t="shared" si="2"/>
        <v>41815</v>
      </c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</row>
    <row r="910" ht="14.25" customHeight="1">
      <c r="AA910" s="7">
        <f t="shared" si="2"/>
        <v>41816</v>
      </c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</row>
    <row r="911" ht="14.25" customHeight="1">
      <c r="AA911" s="7">
        <f t="shared" si="2"/>
        <v>41817</v>
      </c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</row>
    <row r="912" ht="14.25" customHeight="1">
      <c r="AA912" s="7">
        <f t="shared" si="2"/>
        <v>41818</v>
      </c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</row>
    <row r="913" ht="14.25" customHeight="1">
      <c r="AA913" s="7">
        <f t="shared" si="2"/>
        <v>41819</v>
      </c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</row>
    <row r="914" ht="14.25" customHeight="1">
      <c r="AA914" s="7">
        <f t="shared" si="2"/>
        <v>41820</v>
      </c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</row>
    <row r="915" ht="14.25" customHeight="1">
      <c r="AA915" s="7">
        <f t="shared" si="2"/>
        <v>41821</v>
      </c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</row>
    <row r="916" ht="14.25" customHeight="1">
      <c r="AA916" s="7">
        <f t="shared" si="2"/>
        <v>41822</v>
      </c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</row>
    <row r="917" ht="14.25" customHeight="1">
      <c r="AA917" s="7">
        <f t="shared" si="2"/>
        <v>41823</v>
      </c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</row>
    <row r="918" ht="14.25" customHeight="1">
      <c r="AA918" s="7">
        <f t="shared" si="2"/>
        <v>41824</v>
      </c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</row>
    <row r="919" ht="14.25" customHeight="1">
      <c r="AA919" s="7">
        <f t="shared" si="2"/>
        <v>41825</v>
      </c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</row>
    <row r="920" ht="14.25" customHeight="1">
      <c r="AA920" s="7">
        <f t="shared" si="2"/>
        <v>41826</v>
      </c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</row>
    <row r="921" ht="14.25" customHeight="1">
      <c r="AA921" s="7">
        <f t="shared" si="2"/>
        <v>41827</v>
      </c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</row>
    <row r="922" ht="14.25" customHeight="1">
      <c r="AA922" s="7">
        <f t="shared" si="2"/>
        <v>41828</v>
      </c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</row>
    <row r="923" ht="14.25" customHeight="1">
      <c r="AA923" s="7">
        <f t="shared" si="2"/>
        <v>41829</v>
      </c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</row>
    <row r="924" ht="14.25" customHeight="1">
      <c r="AA924" s="7">
        <f t="shared" si="2"/>
        <v>41830</v>
      </c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</row>
    <row r="925" ht="14.25" customHeight="1">
      <c r="AA925" s="7">
        <f t="shared" si="2"/>
        <v>41831</v>
      </c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</row>
    <row r="926" ht="14.25" customHeight="1">
      <c r="AA926" s="7">
        <f t="shared" si="2"/>
        <v>41832</v>
      </c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</row>
    <row r="927" ht="14.25" customHeight="1">
      <c r="AA927" s="7">
        <f t="shared" si="2"/>
        <v>41833</v>
      </c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</row>
    <row r="928" ht="14.25" customHeight="1">
      <c r="AA928" s="7">
        <f t="shared" si="2"/>
        <v>41834</v>
      </c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</row>
    <row r="929" ht="14.25" customHeight="1">
      <c r="AA929" s="7">
        <f t="shared" si="2"/>
        <v>41835</v>
      </c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</row>
    <row r="930" ht="14.25" customHeight="1">
      <c r="AA930" s="7">
        <f t="shared" si="2"/>
        <v>41836</v>
      </c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</row>
    <row r="931" ht="14.25" customHeight="1">
      <c r="AA931" s="7">
        <f t="shared" si="2"/>
        <v>41837</v>
      </c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</row>
    <row r="932" ht="14.25" customHeight="1">
      <c r="AA932" s="7">
        <f t="shared" si="2"/>
        <v>41838</v>
      </c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</row>
    <row r="933" ht="14.25" customHeight="1">
      <c r="AA933" s="7">
        <f t="shared" si="2"/>
        <v>41839</v>
      </c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</row>
    <row r="934" ht="14.25" customHeight="1">
      <c r="AA934" s="7">
        <f t="shared" si="2"/>
        <v>41840</v>
      </c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</row>
    <row r="935" ht="14.25" customHeight="1">
      <c r="AA935" s="7">
        <f t="shared" si="2"/>
        <v>41841</v>
      </c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</row>
    <row r="936" ht="14.25" customHeight="1">
      <c r="AA936" s="7">
        <f t="shared" si="2"/>
        <v>41842</v>
      </c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</row>
    <row r="937" ht="14.25" customHeight="1">
      <c r="AA937" s="7">
        <f t="shared" si="2"/>
        <v>41843</v>
      </c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</row>
    <row r="938" ht="14.25" customHeight="1">
      <c r="AA938" s="7">
        <f t="shared" si="2"/>
        <v>41844</v>
      </c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</row>
    <row r="939" ht="14.25" customHeight="1">
      <c r="AA939" s="7">
        <f t="shared" si="2"/>
        <v>41845</v>
      </c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</row>
    <row r="940" ht="14.25" customHeight="1">
      <c r="AA940" s="7">
        <f t="shared" si="2"/>
        <v>41846</v>
      </c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</row>
    <row r="941" ht="14.25" customHeight="1">
      <c r="AA941" s="7">
        <f t="shared" si="2"/>
        <v>41847</v>
      </c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</row>
    <row r="942" ht="14.25" customHeight="1">
      <c r="AA942" s="7">
        <f t="shared" si="2"/>
        <v>41848</v>
      </c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</row>
    <row r="943" ht="14.25" customHeight="1">
      <c r="AA943" s="7">
        <f t="shared" si="2"/>
        <v>41849</v>
      </c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</row>
    <row r="944" ht="14.25" customHeight="1">
      <c r="AA944" s="7">
        <f t="shared" si="2"/>
        <v>41850</v>
      </c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</row>
    <row r="945" ht="14.25" customHeight="1">
      <c r="AA945" s="7">
        <f t="shared" si="2"/>
        <v>41851</v>
      </c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</row>
    <row r="946" ht="14.25" customHeight="1">
      <c r="AA946" s="7">
        <f t="shared" si="2"/>
        <v>41852</v>
      </c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</row>
    <row r="947" ht="14.25" customHeight="1">
      <c r="AA947" s="7">
        <f t="shared" si="2"/>
        <v>41853</v>
      </c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</row>
    <row r="948" ht="14.25" customHeight="1">
      <c r="AA948" s="7">
        <f t="shared" si="2"/>
        <v>41854</v>
      </c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</row>
    <row r="949" ht="14.25" customHeight="1">
      <c r="AA949" s="7">
        <f t="shared" si="2"/>
        <v>41855</v>
      </c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</row>
    <row r="950" ht="14.25" customHeight="1">
      <c r="AA950" s="7">
        <f t="shared" si="2"/>
        <v>41856</v>
      </c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</row>
    <row r="951" ht="14.25" customHeight="1">
      <c r="AA951" s="7">
        <f t="shared" si="2"/>
        <v>41857</v>
      </c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</row>
    <row r="952" ht="14.25" customHeight="1">
      <c r="AA952" s="7">
        <f t="shared" si="2"/>
        <v>41858</v>
      </c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</row>
    <row r="953" ht="14.25" customHeight="1">
      <c r="AA953" s="7">
        <f t="shared" si="2"/>
        <v>41859</v>
      </c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</row>
    <row r="954" ht="14.25" customHeight="1">
      <c r="AA954" s="7">
        <f t="shared" si="2"/>
        <v>41860</v>
      </c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</row>
    <row r="955" ht="14.25" customHeight="1">
      <c r="AA955" s="7">
        <f t="shared" si="2"/>
        <v>41861</v>
      </c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</row>
    <row r="956" ht="14.25" customHeight="1">
      <c r="AA956" s="7">
        <f t="shared" si="2"/>
        <v>41862</v>
      </c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</row>
    <row r="957" ht="14.25" customHeight="1">
      <c r="AA957" s="7">
        <f t="shared" si="2"/>
        <v>41863</v>
      </c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</row>
    <row r="958" ht="14.25" customHeight="1">
      <c r="AA958" s="7">
        <f t="shared" si="2"/>
        <v>41864</v>
      </c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</row>
    <row r="959" ht="14.25" customHeight="1">
      <c r="AA959" s="7">
        <f t="shared" si="2"/>
        <v>41865</v>
      </c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</row>
    <row r="960" ht="14.25" customHeight="1">
      <c r="AA960" s="7">
        <f t="shared" si="2"/>
        <v>41866</v>
      </c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</row>
    <row r="961" ht="14.25" customHeight="1">
      <c r="AA961" s="7">
        <f t="shared" si="2"/>
        <v>41867</v>
      </c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</row>
    <row r="962" ht="14.25" customHeight="1">
      <c r="AA962" s="7">
        <f t="shared" si="2"/>
        <v>41868</v>
      </c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</row>
    <row r="963" ht="14.25" customHeight="1">
      <c r="AA963" s="7">
        <f t="shared" si="2"/>
        <v>41869</v>
      </c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</row>
    <row r="964" ht="14.25" customHeight="1">
      <c r="AA964" s="7">
        <f t="shared" si="2"/>
        <v>41870</v>
      </c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</row>
    <row r="965" ht="14.25" customHeight="1">
      <c r="AA965" s="7">
        <f t="shared" si="2"/>
        <v>41871</v>
      </c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</row>
    <row r="966" ht="14.25" customHeight="1">
      <c r="AA966" s="7">
        <f t="shared" si="2"/>
        <v>41872</v>
      </c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</row>
    <row r="967" ht="14.25" customHeight="1">
      <c r="AA967" s="7">
        <f t="shared" si="2"/>
        <v>41873</v>
      </c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</row>
    <row r="968" ht="14.25" customHeight="1">
      <c r="AA968" s="7">
        <f t="shared" si="2"/>
        <v>41874</v>
      </c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</row>
    <row r="969" ht="14.25" customHeight="1">
      <c r="AA969" s="7">
        <f t="shared" si="2"/>
        <v>41875</v>
      </c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</row>
    <row r="970" ht="14.25" customHeight="1">
      <c r="AA970" s="7">
        <f t="shared" si="2"/>
        <v>41876</v>
      </c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</row>
    <row r="971" ht="14.25" customHeight="1">
      <c r="AA971" s="7">
        <f t="shared" si="2"/>
        <v>41877</v>
      </c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</row>
    <row r="972" ht="14.25" customHeight="1">
      <c r="AA972" s="7">
        <f t="shared" si="2"/>
        <v>41878</v>
      </c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</row>
    <row r="973" ht="14.25" customHeight="1">
      <c r="AA973" s="7">
        <f t="shared" si="2"/>
        <v>41879</v>
      </c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</row>
    <row r="974" ht="14.25" customHeight="1">
      <c r="AA974" s="7">
        <f t="shared" si="2"/>
        <v>41880</v>
      </c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</row>
    <row r="975" ht="14.25" customHeight="1">
      <c r="AA975" s="7">
        <f t="shared" si="2"/>
        <v>41881</v>
      </c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</row>
    <row r="976" ht="14.25" customHeight="1">
      <c r="AA976" s="7">
        <f t="shared" si="2"/>
        <v>41882</v>
      </c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</row>
    <row r="977" ht="14.25" customHeight="1">
      <c r="AA977" s="7">
        <f t="shared" si="2"/>
        <v>41883</v>
      </c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</row>
    <row r="978" ht="14.25" customHeight="1">
      <c r="AA978" s="7">
        <f t="shared" si="2"/>
        <v>41884</v>
      </c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</row>
    <row r="979" ht="14.25" customHeight="1">
      <c r="AA979" s="7">
        <f t="shared" si="2"/>
        <v>41885</v>
      </c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</row>
    <row r="980" ht="14.25" customHeight="1">
      <c r="AA980" s="7">
        <f t="shared" si="2"/>
        <v>41886</v>
      </c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</row>
    <row r="981" ht="14.25" customHeight="1">
      <c r="AA981" s="7">
        <f t="shared" si="2"/>
        <v>41887</v>
      </c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</row>
    <row r="982" ht="14.25" customHeight="1">
      <c r="AA982" s="7">
        <f t="shared" si="2"/>
        <v>41888</v>
      </c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</row>
    <row r="983" ht="14.25" customHeight="1">
      <c r="AA983" s="7">
        <f t="shared" si="2"/>
        <v>41889</v>
      </c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</row>
    <row r="984" ht="14.25" customHeight="1">
      <c r="AA984" s="7">
        <f t="shared" si="2"/>
        <v>41890</v>
      </c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</row>
    <row r="985" ht="14.25" customHeight="1">
      <c r="AA985" s="7">
        <f t="shared" si="2"/>
        <v>41891</v>
      </c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</row>
    <row r="986" ht="14.25" customHeight="1">
      <c r="AA986" s="7">
        <f t="shared" si="2"/>
        <v>41892</v>
      </c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</row>
    <row r="987" ht="14.25" customHeight="1">
      <c r="AA987" s="7">
        <f t="shared" si="2"/>
        <v>41893</v>
      </c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</row>
    <row r="988" ht="14.25" customHeight="1">
      <c r="AA988" s="7">
        <f t="shared" si="2"/>
        <v>41894</v>
      </c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</row>
    <row r="989" ht="14.25" customHeight="1">
      <c r="AA989" s="7">
        <f t="shared" si="2"/>
        <v>41895</v>
      </c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</row>
    <row r="990" ht="14.25" customHeight="1">
      <c r="AA990" s="7">
        <f t="shared" si="2"/>
        <v>41896</v>
      </c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</row>
    <row r="991" ht="14.25" customHeight="1">
      <c r="AA991" s="7">
        <f t="shared" si="2"/>
        <v>41897</v>
      </c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</row>
    <row r="992" ht="14.25" customHeight="1">
      <c r="AA992" s="7">
        <f t="shared" si="2"/>
        <v>41898</v>
      </c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</row>
    <row r="993" ht="14.25" customHeight="1">
      <c r="AA993" s="7">
        <f t="shared" si="2"/>
        <v>41899</v>
      </c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</row>
    <row r="994" ht="14.25" customHeight="1">
      <c r="AA994" s="7">
        <f t="shared" si="2"/>
        <v>41900</v>
      </c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</row>
    <row r="995" ht="14.25" customHeight="1">
      <c r="AA995" s="7">
        <f t="shared" si="2"/>
        <v>41901</v>
      </c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</row>
    <row r="996" ht="14.25" customHeight="1">
      <c r="AA996" s="7">
        <f t="shared" si="2"/>
        <v>41902</v>
      </c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</row>
    <row r="997" ht="14.25" customHeight="1">
      <c r="AA997" s="7">
        <f t="shared" si="2"/>
        <v>41903</v>
      </c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</row>
    <row r="998" ht="14.25" customHeight="1">
      <c r="AA998" s="7">
        <f t="shared" si="2"/>
        <v>41904</v>
      </c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</row>
    <row r="999" ht="14.25" customHeight="1">
      <c r="AA999" s="7">
        <f t="shared" si="2"/>
        <v>41905</v>
      </c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</row>
    <row r="1000" ht="14.25" customHeight="1">
      <c r="AA1000" s="7">
        <f t="shared" si="2"/>
        <v>41906</v>
      </c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</row>
    <row r="1001" ht="14.25" customHeight="1">
      <c r="AA1001" s="7">
        <f t="shared" si="2"/>
        <v>41907</v>
      </c>
      <c r="AB1001" s="14"/>
      <c r="AC1001" s="14"/>
      <c r="AD1001" s="14"/>
      <c r="AE1001" s="14"/>
      <c r="AF1001" s="14"/>
      <c r="AG1001" s="14"/>
      <c r="AH1001" s="14"/>
      <c r="AI1001" s="14"/>
      <c r="AJ1001" s="14"/>
      <c r="AK1001" s="14"/>
      <c r="AL1001" s="14"/>
      <c r="AM1001" s="14"/>
    </row>
    <row r="1002" ht="14.25" customHeight="1">
      <c r="AA1002" s="7">
        <f t="shared" si="2"/>
        <v>41908</v>
      </c>
      <c r="AB1002" s="14"/>
      <c r="AC1002" s="14"/>
      <c r="AD1002" s="14"/>
      <c r="AE1002" s="14"/>
      <c r="AF1002" s="14"/>
      <c r="AG1002" s="14"/>
      <c r="AH1002" s="14"/>
      <c r="AI1002" s="14"/>
      <c r="AJ1002" s="14"/>
      <c r="AK1002" s="14"/>
      <c r="AL1002" s="14"/>
      <c r="AM1002" s="14"/>
    </row>
    <row r="1003" ht="14.25" customHeight="1">
      <c r="AA1003" s="7">
        <f t="shared" si="2"/>
        <v>41909</v>
      </c>
      <c r="AB1003" s="14"/>
      <c r="AC1003" s="14"/>
      <c r="AD1003" s="14"/>
      <c r="AE1003" s="14"/>
      <c r="AF1003" s="14"/>
      <c r="AG1003" s="14"/>
      <c r="AH1003" s="14"/>
      <c r="AI1003" s="14"/>
      <c r="AJ1003" s="14"/>
      <c r="AK1003" s="14"/>
      <c r="AL1003" s="14"/>
      <c r="AM1003" s="14"/>
    </row>
    <row r="1004" ht="14.25" customHeight="1">
      <c r="AA1004" s="7">
        <f t="shared" si="2"/>
        <v>41910</v>
      </c>
      <c r="AB1004" s="14"/>
      <c r="AC1004" s="14"/>
      <c r="AD1004" s="14"/>
      <c r="AE1004" s="14"/>
      <c r="AF1004" s="14"/>
      <c r="AG1004" s="14"/>
      <c r="AH1004" s="14"/>
      <c r="AI1004" s="14"/>
      <c r="AJ1004" s="14"/>
      <c r="AK1004" s="14"/>
      <c r="AL1004" s="14"/>
      <c r="AM1004" s="14"/>
    </row>
    <row r="1005" ht="14.25" customHeight="1">
      <c r="AA1005" s="7">
        <f t="shared" si="2"/>
        <v>41911</v>
      </c>
      <c r="AB1005" s="14"/>
      <c r="AC1005" s="14"/>
      <c r="AD1005" s="14"/>
      <c r="AE1005" s="14"/>
      <c r="AF1005" s="14"/>
      <c r="AG1005" s="14"/>
      <c r="AH1005" s="14"/>
      <c r="AI1005" s="14"/>
      <c r="AJ1005" s="14"/>
      <c r="AK1005" s="14"/>
      <c r="AL1005" s="14"/>
      <c r="AM1005" s="14"/>
    </row>
    <row r="1006" ht="14.25" customHeight="1">
      <c r="AA1006" s="7">
        <f t="shared" si="2"/>
        <v>41912</v>
      </c>
      <c r="AB1006" s="14"/>
      <c r="AC1006" s="14"/>
      <c r="AD1006" s="14"/>
      <c r="AE1006" s="14"/>
      <c r="AF1006" s="14"/>
      <c r="AG1006" s="14"/>
      <c r="AH1006" s="14"/>
      <c r="AI1006" s="14"/>
      <c r="AJ1006" s="14"/>
      <c r="AK1006" s="14"/>
      <c r="AL1006" s="14"/>
      <c r="AM1006" s="14"/>
    </row>
    <row r="1007" ht="14.25" customHeight="1">
      <c r="AA1007" s="7">
        <f t="shared" si="2"/>
        <v>41913</v>
      </c>
      <c r="AB1007" s="14"/>
      <c r="AC1007" s="14"/>
      <c r="AD1007" s="14"/>
      <c r="AE1007" s="14"/>
      <c r="AF1007" s="14"/>
      <c r="AG1007" s="14"/>
      <c r="AH1007" s="14"/>
      <c r="AI1007" s="14"/>
      <c r="AJ1007" s="14"/>
      <c r="AK1007" s="14"/>
      <c r="AL1007" s="14"/>
      <c r="AM1007" s="14"/>
    </row>
    <row r="1008" ht="14.25" customHeight="1">
      <c r="AA1008" s="7">
        <f t="shared" si="2"/>
        <v>41914</v>
      </c>
      <c r="AB1008" s="14"/>
      <c r="AC1008" s="14"/>
      <c r="AD1008" s="14"/>
      <c r="AE1008" s="14"/>
      <c r="AF1008" s="14"/>
      <c r="AG1008" s="14"/>
      <c r="AH1008" s="14"/>
      <c r="AI1008" s="14"/>
      <c r="AJ1008" s="14"/>
      <c r="AK1008" s="14"/>
      <c r="AL1008" s="14"/>
      <c r="AM1008" s="14"/>
    </row>
    <row r="1009" ht="14.25" customHeight="1">
      <c r="AA1009" s="7">
        <f t="shared" si="2"/>
        <v>41915</v>
      </c>
      <c r="AB1009" s="14"/>
      <c r="AC1009" s="14"/>
      <c r="AD1009" s="14"/>
      <c r="AE1009" s="14"/>
      <c r="AF1009" s="14"/>
      <c r="AG1009" s="14"/>
      <c r="AH1009" s="14"/>
      <c r="AI1009" s="14"/>
      <c r="AJ1009" s="14"/>
      <c r="AK1009" s="14"/>
      <c r="AL1009" s="14"/>
      <c r="AM1009" s="14"/>
    </row>
    <row r="1010" ht="14.25" customHeight="1">
      <c r="AA1010" s="7">
        <f t="shared" si="2"/>
        <v>41916</v>
      </c>
      <c r="AB1010" s="14"/>
      <c r="AC1010" s="14"/>
      <c r="AD1010" s="14"/>
      <c r="AE1010" s="14"/>
      <c r="AF1010" s="14"/>
      <c r="AG1010" s="14"/>
      <c r="AH1010" s="14"/>
      <c r="AI1010" s="14"/>
      <c r="AJ1010" s="14"/>
      <c r="AK1010" s="14"/>
      <c r="AL1010" s="14"/>
      <c r="AM1010" s="14"/>
    </row>
    <row r="1011" ht="14.25" customHeight="1">
      <c r="AA1011" s="7">
        <f t="shared" si="2"/>
        <v>41917</v>
      </c>
      <c r="AB1011" s="14"/>
      <c r="AC1011" s="14"/>
      <c r="AD1011" s="14"/>
      <c r="AE1011" s="14"/>
      <c r="AF1011" s="14"/>
      <c r="AG1011" s="14"/>
      <c r="AH1011" s="14"/>
      <c r="AI1011" s="14"/>
      <c r="AJ1011" s="14"/>
      <c r="AK1011" s="14"/>
      <c r="AL1011" s="14"/>
      <c r="AM1011" s="14"/>
    </row>
    <row r="1012" ht="14.25" customHeight="1">
      <c r="AA1012" s="7">
        <f t="shared" si="2"/>
        <v>41918</v>
      </c>
      <c r="AB1012" s="14"/>
      <c r="AC1012" s="14"/>
      <c r="AD1012" s="14"/>
      <c r="AE1012" s="14"/>
      <c r="AF1012" s="14"/>
      <c r="AG1012" s="14"/>
      <c r="AH1012" s="14"/>
      <c r="AI1012" s="14"/>
      <c r="AJ1012" s="14"/>
      <c r="AK1012" s="14"/>
      <c r="AL1012" s="14"/>
      <c r="AM1012" s="14"/>
    </row>
    <row r="1013" ht="14.25" customHeight="1">
      <c r="AA1013" s="7">
        <f t="shared" si="2"/>
        <v>41919</v>
      </c>
      <c r="AB1013" s="14"/>
      <c r="AC1013" s="14"/>
      <c r="AD1013" s="14"/>
      <c r="AE1013" s="14"/>
      <c r="AF1013" s="14"/>
      <c r="AG1013" s="14"/>
      <c r="AH1013" s="14"/>
      <c r="AI1013" s="14"/>
      <c r="AJ1013" s="14"/>
      <c r="AK1013" s="14"/>
      <c r="AL1013" s="14"/>
      <c r="AM1013" s="14"/>
    </row>
    <row r="1014" ht="14.25" customHeight="1">
      <c r="AA1014" s="7">
        <f t="shared" si="2"/>
        <v>41920</v>
      </c>
      <c r="AB1014" s="14"/>
      <c r="AC1014" s="14"/>
      <c r="AD1014" s="14"/>
      <c r="AE1014" s="14"/>
      <c r="AF1014" s="14"/>
      <c r="AG1014" s="14"/>
      <c r="AH1014" s="14"/>
      <c r="AI1014" s="14"/>
      <c r="AJ1014" s="14"/>
      <c r="AK1014" s="14"/>
      <c r="AL1014" s="14"/>
      <c r="AM1014" s="14"/>
    </row>
    <row r="1015" ht="14.25" customHeight="1">
      <c r="AA1015" s="7">
        <f t="shared" si="2"/>
        <v>41921</v>
      </c>
      <c r="AB1015" s="14"/>
      <c r="AC1015" s="14"/>
      <c r="AD1015" s="14"/>
      <c r="AE1015" s="14"/>
      <c r="AF1015" s="14"/>
      <c r="AG1015" s="14"/>
      <c r="AH1015" s="14"/>
      <c r="AI1015" s="14"/>
      <c r="AJ1015" s="14"/>
      <c r="AK1015" s="14"/>
      <c r="AL1015" s="14"/>
      <c r="AM1015" s="14"/>
    </row>
    <row r="1016" ht="14.25" customHeight="1">
      <c r="AA1016" s="7">
        <f t="shared" si="2"/>
        <v>41922</v>
      </c>
      <c r="AB1016" s="14"/>
      <c r="AC1016" s="14"/>
      <c r="AD1016" s="14"/>
      <c r="AE1016" s="14"/>
      <c r="AF1016" s="14"/>
      <c r="AG1016" s="14"/>
      <c r="AH1016" s="14"/>
      <c r="AI1016" s="14"/>
      <c r="AJ1016" s="14"/>
      <c r="AK1016" s="14"/>
      <c r="AL1016" s="14"/>
      <c r="AM1016" s="14"/>
    </row>
    <row r="1017" ht="14.25" customHeight="1">
      <c r="AA1017" s="7">
        <f t="shared" si="2"/>
        <v>41923</v>
      </c>
      <c r="AB1017" s="14"/>
      <c r="AC1017" s="14"/>
      <c r="AD1017" s="14"/>
      <c r="AE1017" s="14"/>
      <c r="AF1017" s="14"/>
      <c r="AG1017" s="14"/>
      <c r="AH1017" s="14"/>
      <c r="AI1017" s="14"/>
      <c r="AJ1017" s="14"/>
      <c r="AK1017" s="14"/>
      <c r="AL1017" s="14"/>
      <c r="AM1017" s="14"/>
    </row>
    <row r="1018" ht="14.25" customHeight="1">
      <c r="AA1018" s="7">
        <f t="shared" si="2"/>
        <v>41924</v>
      </c>
      <c r="AB1018" s="14"/>
      <c r="AC1018" s="14"/>
      <c r="AD1018" s="14"/>
      <c r="AE1018" s="14"/>
      <c r="AF1018" s="14"/>
      <c r="AG1018" s="14"/>
      <c r="AH1018" s="14"/>
      <c r="AI1018" s="14"/>
      <c r="AJ1018" s="14"/>
      <c r="AK1018" s="14"/>
      <c r="AL1018" s="14"/>
      <c r="AM1018" s="14"/>
    </row>
    <row r="1019" ht="14.25" customHeight="1">
      <c r="AA1019" s="7">
        <f t="shared" si="2"/>
        <v>41925</v>
      </c>
      <c r="AB1019" s="14"/>
      <c r="AC1019" s="14"/>
      <c r="AD1019" s="14"/>
      <c r="AE1019" s="14"/>
      <c r="AF1019" s="14"/>
      <c r="AG1019" s="14"/>
      <c r="AH1019" s="14"/>
      <c r="AI1019" s="14"/>
      <c r="AJ1019" s="14"/>
      <c r="AK1019" s="14"/>
      <c r="AL1019" s="14"/>
      <c r="AM1019" s="14"/>
    </row>
    <row r="1020" ht="14.25" customHeight="1">
      <c r="AA1020" s="7">
        <f t="shared" si="2"/>
        <v>41926</v>
      </c>
      <c r="AB1020" s="14"/>
      <c r="AC1020" s="14"/>
      <c r="AD1020" s="14"/>
      <c r="AE1020" s="14"/>
      <c r="AF1020" s="14"/>
      <c r="AG1020" s="14"/>
      <c r="AH1020" s="14"/>
      <c r="AI1020" s="14"/>
      <c r="AJ1020" s="14"/>
      <c r="AK1020" s="14"/>
      <c r="AL1020" s="14"/>
      <c r="AM1020" s="14"/>
    </row>
    <row r="1021" ht="14.25" customHeight="1">
      <c r="AA1021" s="7">
        <f t="shared" si="2"/>
        <v>41927</v>
      </c>
      <c r="AB1021" s="14"/>
      <c r="AC1021" s="14"/>
      <c r="AD1021" s="14"/>
      <c r="AE1021" s="14"/>
      <c r="AF1021" s="14"/>
      <c r="AG1021" s="14"/>
      <c r="AH1021" s="14"/>
      <c r="AI1021" s="14"/>
      <c r="AJ1021" s="14"/>
      <c r="AK1021" s="14"/>
      <c r="AL1021" s="14"/>
      <c r="AM1021" s="14"/>
    </row>
    <row r="1022" ht="14.25" customHeight="1">
      <c r="AA1022" s="7">
        <f t="shared" si="2"/>
        <v>41928</v>
      </c>
      <c r="AB1022" s="14"/>
      <c r="AC1022" s="14"/>
      <c r="AD1022" s="14"/>
      <c r="AE1022" s="14"/>
      <c r="AF1022" s="14"/>
      <c r="AG1022" s="14"/>
      <c r="AH1022" s="14"/>
      <c r="AI1022" s="14"/>
      <c r="AJ1022" s="14"/>
      <c r="AK1022" s="14"/>
      <c r="AL1022" s="14"/>
      <c r="AM1022" s="14"/>
    </row>
    <row r="1023" ht="14.25" customHeight="1">
      <c r="AA1023" s="7">
        <f t="shared" si="2"/>
        <v>41929</v>
      </c>
      <c r="AB1023" s="14"/>
      <c r="AC1023" s="14"/>
      <c r="AD1023" s="14"/>
      <c r="AE1023" s="14"/>
      <c r="AF1023" s="14"/>
      <c r="AG1023" s="14"/>
      <c r="AH1023" s="14"/>
      <c r="AI1023" s="14"/>
      <c r="AJ1023" s="14"/>
      <c r="AK1023" s="14"/>
      <c r="AL1023" s="14"/>
      <c r="AM1023" s="14"/>
    </row>
    <row r="1024" ht="14.25" customHeight="1">
      <c r="AA1024" s="7">
        <f t="shared" si="2"/>
        <v>41930</v>
      </c>
      <c r="AB1024" s="14"/>
      <c r="AC1024" s="14"/>
      <c r="AD1024" s="14"/>
      <c r="AE1024" s="14"/>
      <c r="AF1024" s="14"/>
      <c r="AG1024" s="14"/>
      <c r="AH1024" s="14"/>
      <c r="AI1024" s="14"/>
      <c r="AJ1024" s="14"/>
      <c r="AK1024" s="14"/>
      <c r="AL1024" s="14"/>
      <c r="AM1024" s="14"/>
    </row>
    <row r="1025" ht="14.25" customHeight="1">
      <c r="AA1025" s="7">
        <f t="shared" si="2"/>
        <v>41931</v>
      </c>
      <c r="AB1025" s="14"/>
      <c r="AC1025" s="14"/>
      <c r="AD1025" s="14"/>
      <c r="AE1025" s="14"/>
      <c r="AF1025" s="14"/>
      <c r="AG1025" s="14"/>
      <c r="AH1025" s="14"/>
      <c r="AI1025" s="14"/>
      <c r="AJ1025" s="14"/>
      <c r="AK1025" s="14"/>
      <c r="AL1025" s="14"/>
      <c r="AM1025" s="14"/>
    </row>
    <row r="1026" ht="14.25" customHeight="1">
      <c r="AA1026" s="7">
        <f t="shared" si="2"/>
        <v>41932</v>
      </c>
      <c r="AB1026" s="14"/>
      <c r="AC1026" s="14"/>
      <c r="AD1026" s="14"/>
      <c r="AE1026" s="14"/>
      <c r="AF1026" s="14"/>
      <c r="AG1026" s="14"/>
      <c r="AH1026" s="14"/>
      <c r="AI1026" s="14"/>
      <c r="AJ1026" s="14"/>
      <c r="AK1026" s="14"/>
      <c r="AL1026" s="14"/>
      <c r="AM1026" s="14"/>
    </row>
    <row r="1027" ht="14.25" customHeight="1">
      <c r="AA1027" s="7">
        <f t="shared" si="2"/>
        <v>41933</v>
      </c>
      <c r="AB1027" s="14"/>
      <c r="AC1027" s="14"/>
      <c r="AD1027" s="14"/>
      <c r="AE1027" s="14"/>
      <c r="AF1027" s="14"/>
      <c r="AG1027" s="14"/>
      <c r="AH1027" s="14"/>
      <c r="AI1027" s="14"/>
      <c r="AJ1027" s="14"/>
      <c r="AK1027" s="14"/>
      <c r="AL1027" s="14"/>
      <c r="AM1027" s="14"/>
    </row>
    <row r="1028" ht="14.25" customHeight="1">
      <c r="AA1028" s="7">
        <f t="shared" si="2"/>
        <v>41934</v>
      </c>
      <c r="AB1028" s="14"/>
      <c r="AC1028" s="14"/>
      <c r="AD1028" s="14"/>
      <c r="AE1028" s="14"/>
      <c r="AF1028" s="14"/>
      <c r="AG1028" s="14"/>
      <c r="AH1028" s="14"/>
      <c r="AI1028" s="14"/>
      <c r="AJ1028" s="14"/>
      <c r="AK1028" s="14"/>
      <c r="AL1028" s="14"/>
      <c r="AM1028" s="14"/>
    </row>
    <row r="1029" ht="14.25" customHeight="1">
      <c r="AA1029" s="7">
        <f t="shared" si="2"/>
        <v>41935</v>
      </c>
      <c r="AB1029" s="14"/>
      <c r="AC1029" s="14"/>
      <c r="AD1029" s="14"/>
      <c r="AE1029" s="14"/>
      <c r="AF1029" s="14"/>
      <c r="AG1029" s="14"/>
      <c r="AH1029" s="14"/>
      <c r="AI1029" s="14"/>
      <c r="AJ1029" s="14"/>
      <c r="AK1029" s="14"/>
      <c r="AL1029" s="14"/>
      <c r="AM1029" s="14"/>
    </row>
    <row r="1030" ht="14.25" customHeight="1">
      <c r="AA1030" s="7">
        <f t="shared" si="2"/>
        <v>41936</v>
      </c>
      <c r="AB1030" s="14"/>
      <c r="AC1030" s="14"/>
      <c r="AD1030" s="14"/>
      <c r="AE1030" s="14"/>
      <c r="AF1030" s="14"/>
      <c r="AG1030" s="14"/>
      <c r="AH1030" s="14"/>
      <c r="AI1030" s="14"/>
      <c r="AJ1030" s="14"/>
      <c r="AK1030" s="14"/>
      <c r="AL1030" s="14"/>
      <c r="AM1030" s="14"/>
    </row>
    <row r="1031" ht="14.25" customHeight="1">
      <c r="AA1031" s="7">
        <f t="shared" si="2"/>
        <v>41937</v>
      </c>
      <c r="AB1031" s="14"/>
      <c r="AC1031" s="14"/>
      <c r="AD1031" s="14"/>
      <c r="AE1031" s="14"/>
      <c r="AF1031" s="14"/>
      <c r="AG1031" s="14"/>
      <c r="AH1031" s="14"/>
      <c r="AI1031" s="14"/>
      <c r="AJ1031" s="14"/>
      <c r="AK1031" s="14"/>
      <c r="AL1031" s="14"/>
      <c r="AM1031" s="14"/>
    </row>
    <row r="1032" ht="14.25" customHeight="1">
      <c r="AA1032" s="7">
        <f t="shared" si="2"/>
        <v>41938</v>
      </c>
      <c r="AB1032" s="14"/>
      <c r="AC1032" s="14"/>
      <c r="AD1032" s="14"/>
      <c r="AE1032" s="14"/>
      <c r="AF1032" s="14"/>
      <c r="AG1032" s="14"/>
      <c r="AH1032" s="14"/>
      <c r="AI1032" s="14"/>
      <c r="AJ1032" s="14"/>
      <c r="AK1032" s="14"/>
      <c r="AL1032" s="14"/>
      <c r="AM1032" s="14"/>
    </row>
    <row r="1033" ht="14.25" customHeight="1">
      <c r="AA1033" s="7">
        <f t="shared" si="2"/>
        <v>41939</v>
      </c>
      <c r="AB1033" s="14"/>
      <c r="AC1033" s="14"/>
      <c r="AD1033" s="14"/>
      <c r="AE1033" s="14"/>
      <c r="AF1033" s="14"/>
      <c r="AG1033" s="14"/>
      <c r="AH1033" s="14"/>
      <c r="AI1033" s="14"/>
      <c r="AJ1033" s="14"/>
      <c r="AK1033" s="14"/>
      <c r="AL1033" s="14"/>
      <c r="AM1033" s="14"/>
    </row>
    <row r="1034" ht="14.25" customHeight="1">
      <c r="AA1034" s="7">
        <f t="shared" si="2"/>
        <v>41940</v>
      </c>
      <c r="AB1034" s="14"/>
      <c r="AC1034" s="14"/>
      <c r="AD1034" s="14"/>
      <c r="AE1034" s="14"/>
      <c r="AF1034" s="14"/>
      <c r="AG1034" s="14"/>
      <c r="AH1034" s="14"/>
      <c r="AI1034" s="14"/>
      <c r="AJ1034" s="14"/>
      <c r="AK1034" s="14"/>
      <c r="AL1034" s="14"/>
      <c r="AM1034" s="14"/>
    </row>
    <row r="1035" ht="14.25" customHeight="1">
      <c r="AA1035" s="7">
        <f t="shared" si="2"/>
        <v>41941</v>
      </c>
      <c r="AB1035" s="14"/>
      <c r="AC1035" s="14"/>
      <c r="AD1035" s="14"/>
      <c r="AE1035" s="14"/>
      <c r="AF1035" s="14"/>
      <c r="AG1035" s="14"/>
      <c r="AH1035" s="14"/>
      <c r="AI1035" s="14"/>
      <c r="AJ1035" s="14"/>
      <c r="AK1035" s="14"/>
      <c r="AL1035" s="14"/>
      <c r="AM1035" s="14"/>
    </row>
    <row r="1036" ht="14.25" customHeight="1">
      <c r="AA1036" s="7">
        <f t="shared" si="2"/>
        <v>41942</v>
      </c>
      <c r="AB1036" s="14"/>
      <c r="AC1036" s="14"/>
      <c r="AD1036" s="14"/>
      <c r="AE1036" s="14"/>
      <c r="AF1036" s="14"/>
      <c r="AG1036" s="14"/>
      <c r="AH1036" s="14"/>
      <c r="AI1036" s="14"/>
      <c r="AJ1036" s="14"/>
      <c r="AK1036" s="14"/>
      <c r="AL1036" s="14"/>
      <c r="AM1036" s="14"/>
    </row>
    <row r="1037" ht="14.25" customHeight="1">
      <c r="AA1037" s="7">
        <f t="shared" si="2"/>
        <v>41943</v>
      </c>
      <c r="AB1037" s="14"/>
      <c r="AC1037" s="14"/>
      <c r="AD1037" s="14"/>
      <c r="AE1037" s="14"/>
      <c r="AF1037" s="14"/>
      <c r="AG1037" s="14"/>
      <c r="AH1037" s="14"/>
      <c r="AI1037" s="14"/>
      <c r="AJ1037" s="14"/>
      <c r="AK1037" s="14"/>
      <c r="AL1037" s="14"/>
      <c r="AM1037" s="14"/>
    </row>
    <row r="1038" ht="14.25" customHeight="1">
      <c r="AA1038" s="7">
        <f t="shared" si="2"/>
        <v>41944</v>
      </c>
      <c r="AB1038" s="14"/>
      <c r="AC1038" s="14"/>
      <c r="AD1038" s="14"/>
      <c r="AE1038" s="14"/>
      <c r="AF1038" s="14"/>
      <c r="AG1038" s="14"/>
      <c r="AH1038" s="14"/>
      <c r="AI1038" s="14"/>
      <c r="AJ1038" s="14"/>
      <c r="AK1038" s="14"/>
      <c r="AL1038" s="14"/>
      <c r="AM1038" s="14"/>
    </row>
    <row r="1039" ht="14.25" customHeight="1">
      <c r="AA1039" s="7">
        <f t="shared" si="2"/>
        <v>41945</v>
      </c>
      <c r="AB1039" s="14"/>
      <c r="AC1039" s="14"/>
      <c r="AD1039" s="14"/>
      <c r="AE1039" s="14"/>
      <c r="AF1039" s="14"/>
      <c r="AG1039" s="14"/>
      <c r="AH1039" s="14"/>
      <c r="AI1039" s="14"/>
      <c r="AJ1039" s="14"/>
      <c r="AK1039" s="14"/>
      <c r="AL1039" s="14"/>
      <c r="AM1039" s="14"/>
    </row>
    <row r="1040" ht="14.25" customHeight="1">
      <c r="AA1040" s="7">
        <f t="shared" si="2"/>
        <v>41946</v>
      </c>
      <c r="AB1040" s="14"/>
      <c r="AC1040" s="14"/>
      <c r="AD1040" s="14"/>
      <c r="AE1040" s="14"/>
      <c r="AF1040" s="14"/>
      <c r="AG1040" s="14"/>
      <c r="AH1040" s="14"/>
      <c r="AI1040" s="14"/>
      <c r="AJ1040" s="14"/>
      <c r="AK1040" s="14"/>
      <c r="AL1040" s="14"/>
      <c r="AM1040" s="14"/>
    </row>
    <row r="1041" ht="14.25" customHeight="1">
      <c r="AA1041" s="7">
        <f t="shared" si="2"/>
        <v>41947</v>
      </c>
      <c r="AB1041" s="14"/>
      <c r="AC1041" s="14"/>
      <c r="AD1041" s="14"/>
      <c r="AE1041" s="14"/>
      <c r="AF1041" s="14"/>
      <c r="AG1041" s="14"/>
      <c r="AH1041" s="14"/>
      <c r="AI1041" s="14"/>
      <c r="AJ1041" s="14"/>
      <c r="AK1041" s="14"/>
      <c r="AL1041" s="14"/>
      <c r="AM1041" s="14"/>
    </row>
    <row r="1042" ht="14.25" customHeight="1">
      <c r="AA1042" s="7">
        <f t="shared" si="2"/>
        <v>41948</v>
      </c>
      <c r="AB1042" s="14"/>
      <c r="AC1042" s="14"/>
      <c r="AD1042" s="14"/>
      <c r="AE1042" s="14"/>
      <c r="AF1042" s="14"/>
      <c r="AG1042" s="14"/>
      <c r="AH1042" s="14"/>
      <c r="AI1042" s="14"/>
      <c r="AJ1042" s="14"/>
      <c r="AK1042" s="14"/>
      <c r="AL1042" s="14"/>
      <c r="AM1042" s="14"/>
    </row>
    <row r="1043" ht="14.25" customHeight="1">
      <c r="AA1043" s="7">
        <f t="shared" si="2"/>
        <v>41949</v>
      </c>
      <c r="AB1043" s="14"/>
      <c r="AC1043" s="14"/>
      <c r="AD1043" s="14"/>
      <c r="AE1043" s="14"/>
      <c r="AF1043" s="14"/>
      <c r="AG1043" s="14"/>
      <c r="AH1043" s="14"/>
      <c r="AI1043" s="14"/>
      <c r="AJ1043" s="14"/>
      <c r="AK1043" s="14"/>
      <c r="AL1043" s="14"/>
      <c r="AM1043" s="14"/>
    </row>
    <row r="1044" ht="14.25" customHeight="1">
      <c r="AA1044" s="7">
        <f t="shared" si="2"/>
        <v>41950</v>
      </c>
      <c r="AB1044" s="14"/>
      <c r="AC1044" s="14"/>
      <c r="AD1044" s="14"/>
      <c r="AE1044" s="14"/>
      <c r="AF1044" s="14"/>
      <c r="AG1044" s="14"/>
      <c r="AH1044" s="14"/>
      <c r="AI1044" s="14"/>
      <c r="AJ1044" s="14"/>
      <c r="AK1044" s="14"/>
      <c r="AL1044" s="14"/>
      <c r="AM1044" s="14"/>
    </row>
    <row r="1045" ht="14.25" customHeight="1">
      <c r="AA1045" s="7">
        <f t="shared" si="2"/>
        <v>41951</v>
      </c>
      <c r="AB1045" s="14"/>
      <c r="AC1045" s="14"/>
      <c r="AD1045" s="14"/>
      <c r="AE1045" s="14"/>
      <c r="AF1045" s="14"/>
      <c r="AG1045" s="14"/>
      <c r="AH1045" s="14"/>
      <c r="AI1045" s="14"/>
      <c r="AJ1045" s="14"/>
      <c r="AK1045" s="14"/>
      <c r="AL1045" s="14"/>
      <c r="AM1045" s="14"/>
    </row>
    <row r="1046" ht="14.25" customHeight="1">
      <c r="AA1046" s="7">
        <f t="shared" si="2"/>
        <v>41952</v>
      </c>
      <c r="AB1046" s="14"/>
      <c r="AC1046" s="14"/>
      <c r="AD1046" s="14"/>
      <c r="AE1046" s="14"/>
      <c r="AF1046" s="14"/>
      <c r="AG1046" s="14"/>
      <c r="AH1046" s="14"/>
      <c r="AI1046" s="14"/>
      <c r="AJ1046" s="14"/>
      <c r="AK1046" s="14"/>
      <c r="AL1046" s="14"/>
      <c r="AM1046" s="14"/>
    </row>
    <row r="1047" ht="14.25" customHeight="1">
      <c r="AA1047" s="7">
        <f t="shared" si="2"/>
        <v>41953</v>
      </c>
      <c r="AB1047" s="14"/>
      <c r="AC1047" s="14"/>
      <c r="AD1047" s="14"/>
      <c r="AE1047" s="14"/>
      <c r="AF1047" s="14"/>
      <c r="AG1047" s="14"/>
      <c r="AH1047" s="14"/>
      <c r="AI1047" s="14"/>
      <c r="AJ1047" s="14"/>
      <c r="AK1047" s="14"/>
      <c r="AL1047" s="14"/>
      <c r="AM1047" s="14"/>
    </row>
    <row r="1048" ht="14.25" customHeight="1">
      <c r="AA1048" s="7">
        <f t="shared" si="2"/>
        <v>41954</v>
      </c>
      <c r="AB1048" s="14"/>
      <c r="AC1048" s="14"/>
      <c r="AD1048" s="14"/>
      <c r="AE1048" s="14"/>
      <c r="AF1048" s="14"/>
      <c r="AG1048" s="14"/>
      <c r="AH1048" s="14"/>
      <c r="AI1048" s="14"/>
      <c r="AJ1048" s="14"/>
      <c r="AK1048" s="14"/>
      <c r="AL1048" s="14"/>
      <c r="AM1048" s="14"/>
    </row>
    <row r="1049" ht="14.25" customHeight="1">
      <c r="AA1049" s="7">
        <f t="shared" si="2"/>
        <v>41955</v>
      </c>
      <c r="AB1049" s="14"/>
      <c r="AC1049" s="14"/>
      <c r="AD1049" s="14"/>
      <c r="AE1049" s="14"/>
      <c r="AF1049" s="14"/>
      <c r="AG1049" s="14"/>
      <c r="AH1049" s="14"/>
      <c r="AI1049" s="14"/>
      <c r="AJ1049" s="14"/>
      <c r="AK1049" s="14"/>
      <c r="AL1049" s="14"/>
      <c r="AM1049" s="14"/>
    </row>
    <row r="1050" ht="14.25" customHeight="1">
      <c r="AA1050" s="7">
        <f t="shared" si="2"/>
        <v>41956</v>
      </c>
      <c r="AB1050" s="14"/>
      <c r="AC1050" s="14"/>
      <c r="AD1050" s="14"/>
      <c r="AE1050" s="14"/>
      <c r="AF1050" s="14"/>
      <c r="AG1050" s="14"/>
      <c r="AH1050" s="14"/>
      <c r="AI1050" s="14"/>
      <c r="AJ1050" s="14"/>
      <c r="AK1050" s="14"/>
      <c r="AL1050" s="14"/>
      <c r="AM1050" s="14"/>
    </row>
    <row r="1051" ht="14.25" customHeight="1">
      <c r="AA1051" s="7">
        <f t="shared" si="2"/>
        <v>41957</v>
      </c>
      <c r="AB1051" s="14"/>
      <c r="AC1051" s="14"/>
      <c r="AD1051" s="14"/>
      <c r="AE1051" s="14"/>
      <c r="AF1051" s="14"/>
      <c r="AG1051" s="14"/>
      <c r="AH1051" s="14"/>
      <c r="AI1051" s="14"/>
      <c r="AJ1051" s="14"/>
      <c r="AK1051" s="14"/>
      <c r="AL1051" s="14"/>
      <c r="AM1051" s="14"/>
    </row>
    <row r="1052" ht="14.25" customHeight="1">
      <c r="AA1052" s="7">
        <f t="shared" si="2"/>
        <v>41958</v>
      </c>
      <c r="AB1052" s="14"/>
      <c r="AC1052" s="14"/>
      <c r="AD1052" s="14"/>
      <c r="AE1052" s="14"/>
      <c r="AF1052" s="14"/>
      <c r="AG1052" s="14"/>
      <c r="AH1052" s="14"/>
      <c r="AI1052" s="14"/>
      <c r="AJ1052" s="14"/>
      <c r="AK1052" s="14"/>
      <c r="AL1052" s="14"/>
      <c r="AM1052" s="14"/>
    </row>
    <row r="1053" ht="14.25" customHeight="1">
      <c r="AA1053" s="7">
        <f t="shared" si="2"/>
        <v>41959</v>
      </c>
      <c r="AB1053" s="14"/>
      <c r="AC1053" s="14"/>
      <c r="AD1053" s="14"/>
      <c r="AE1053" s="14"/>
      <c r="AF1053" s="14"/>
      <c r="AG1053" s="14"/>
      <c r="AH1053" s="14"/>
      <c r="AI1053" s="14"/>
      <c r="AJ1053" s="14"/>
      <c r="AK1053" s="14"/>
      <c r="AL1053" s="14"/>
      <c r="AM1053" s="14"/>
    </row>
    <row r="1054" ht="14.25" customHeight="1">
      <c r="AA1054" s="7">
        <f t="shared" si="2"/>
        <v>41960</v>
      </c>
      <c r="AB1054" s="14"/>
      <c r="AC1054" s="14"/>
      <c r="AD1054" s="14"/>
      <c r="AE1054" s="14"/>
      <c r="AF1054" s="14"/>
      <c r="AG1054" s="14"/>
      <c r="AH1054" s="14"/>
      <c r="AI1054" s="14"/>
      <c r="AJ1054" s="14"/>
      <c r="AK1054" s="14"/>
      <c r="AL1054" s="14"/>
      <c r="AM1054" s="14"/>
    </row>
    <row r="1055" ht="14.25" customHeight="1">
      <c r="AA1055" s="7">
        <f t="shared" si="2"/>
        <v>41961</v>
      </c>
      <c r="AB1055" s="14"/>
      <c r="AC1055" s="14"/>
      <c r="AD1055" s="14"/>
      <c r="AE1055" s="14"/>
      <c r="AF1055" s="14"/>
      <c r="AG1055" s="14"/>
      <c r="AH1055" s="14"/>
      <c r="AI1055" s="14"/>
      <c r="AJ1055" s="14"/>
      <c r="AK1055" s="14"/>
      <c r="AL1055" s="14"/>
      <c r="AM1055" s="14"/>
    </row>
    <row r="1056" ht="14.25" customHeight="1">
      <c r="AA1056" s="7">
        <f t="shared" si="2"/>
        <v>41962</v>
      </c>
      <c r="AB1056" s="14"/>
      <c r="AC1056" s="14"/>
      <c r="AD1056" s="14"/>
      <c r="AE1056" s="14"/>
      <c r="AF1056" s="14"/>
      <c r="AG1056" s="14"/>
      <c r="AH1056" s="14"/>
      <c r="AI1056" s="14"/>
      <c r="AJ1056" s="14"/>
      <c r="AK1056" s="14"/>
      <c r="AL1056" s="14"/>
      <c r="AM1056" s="14"/>
    </row>
    <row r="1057" ht="14.25" customHeight="1">
      <c r="AA1057" s="7">
        <f t="shared" si="2"/>
        <v>41963</v>
      </c>
      <c r="AB1057" s="14"/>
      <c r="AC1057" s="14"/>
      <c r="AD1057" s="14"/>
      <c r="AE1057" s="14"/>
      <c r="AF1057" s="14"/>
      <c r="AG1057" s="14"/>
      <c r="AH1057" s="14"/>
      <c r="AI1057" s="14"/>
      <c r="AJ1057" s="14"/>
      <c r="AK1057" s="14"/>
      <c r="AL1057" s="14"/>
      <c r="AM1057" s="14"/>
    </row>
    <row r="1058" ht="14.25" customHeight="1">
      <c r="AA1058" s="7">
        <f t="shared" si="2"/>
        <v>41964</v>
      </c>
      <c r="AB1058" s="14"/>
      <c r="AC1058" s="14"/>
      <c r="AD1058" s="14"/>
      <c r="AE1058" s="14"/>
      <c r="AF1058" s="14"/>
      <c r="AG1058" s="14"/>
      <c r="AH1058" s="14"/>
      <c r="AI1058" s="14"/>
      <c r="AJ1058" s="14"/>
      <c r="AK1058" s="14"/>
      <c r="AL1058" s="14"/>
      <c r="AM1058" s="14"/>
    </row>
    <row r="1059" ht="14.25" customHeight="1">
      <c r="AA1059" s="7">
        <f t="shared" si="2"/>
        <v>41965</v>
      </c>
      <c r="AB1059" s="14"/>
      <c r="AC1059" s="14"/>
      <c r="AD1059" s="14"/>
      <c r="AE1059" s="14"/>
      <c r="AF1059" s="14"/>
      <c r="AG1059" s="14"/>
      <c r="AH1059" s="14"/>
      <c r="AI1059" s="14"/>
      <c r="AJ1059" s="14"/>
      <c r="AK1059" s="14"/>
      <c r="AL1059" s="14"/>
      <c r="AM1059" s="14"/>
    </row>
    <row r="1060" ht="14.25" customHeight="1">
      <c r="AA1060" s="7">
        <f t="shared" si="2"/>
        <v>41966</v>
      </c>
      <c r="AB1060" s="14"/>
      <c r="AC1060" s="14"/>
      <c r="AD1060" s="14"/>
      <c r="AE1060" s="14"/>
      <c r="AF1060" s="14"/>
      <c r="AG1060" s="14"/>
      <c r="AH1060" s="14"/>
      <c r="AI1060" s="14"/>
      <c r="AJ1060" s="14"/>
      <c r="AK1060" s="14"/>
      <c r="AL1060" s="14"/>
      <c r="AM1060" s="14"/>
    </row>
    <row r="1061" ht="14.25" customHeight="1">
      <c r="AA1061" s="7">
        <f t="shared" si="2"/>
        <v>41967</v>
      </c>
      <c r="AB1061" s="14"/>
      <c r="AC1061" s="14"/>
      <c r="AD1061" s="14"/>
      <c r="AE1061" s="14"/>
      <c r="AF1061" s="14"/>
      <c r="AG1061" s="14"/>
      <c r="AH1061" s="14"/>
      <c r="AI1061" s="14"/>
      <c r="AJ1061" s="14"/>
      <c r="AK1061" s="14"/>
      <c r="AL1061" s="14"/>
      <c r="AM1061" s="14"/>
    </row>
    <row r="1062" ht="14.25" customHeight="1">
      <c r="AA1062" s="7">
        <f t="shared" si="2"/>
        <v>41968</v>
      </c>
      <c r="AB1062" s="14"/>
      <c r="AC1062" s="14"/>
      <c r="AD1062" s="14"/>
      <c r="AE1062" s="14"/>
      <c r="AF1062" s="14"/>
      <c r="AG1062" s="14"/>
      <c r="AH1062" s="14"/>
      <c r="AI1062" s="14"/>
      <c r="AJ1062" s="14"/>
      <c r="AK1062" s="14"/>
      <c r="AL1062" s="14"/>
      <c r="AM1062" s="14"/>
    </row>
    <row r="1063" ht="14.25" customHeight="1">
      <c r="AA1063" s="7">
        <f t="shared" si="2"/>
        <v>41969</v>
      </c>
      <c r="AB1063" s="14"/>
      <c r="AC1063" s="14"/>
      <c r="AD1063" s="14"/>
      <c r="AE1063" s="14"/>
      <c r="AF1063" s="14"/>
      <c r="AG1063" s="14"/>
      <c r="AH1063" s="14"/>
      <c r="AI1063" s="14"/>
      <c r="AJ1063" s="14"/>
      <c r="AK1063" s="14"/>
      <c r="AL1063" s="14"/>
      <c r="AM1063" s="14"/>
    </row>
    <row r="1064" ht="14.25" customHeight="1">
      <c r="AA1064" s="7">
        <f t="shared" si="2"/>
        <v>41970</v>
      </c>
      <c r="AB1064" s="14"/>
      <c r="AC1064" s="14"/>
      <c r="AD1064" s="14"/>
      <c r="AE1064" s="14"/>
      <c r="AF1064" s="14"/>
      <c r="AG1064" s="14"/>
      <c r="AH1064" s="14"/>
      <c r="AI1064" s="14"/>
      <c r="AJ1064" s="14"/>
      <c r="AK1064" s="14"/>
      <c r="AL1064" s="14"/>
      <c r="AM1064" s="14"/>
    </row>
    <row r="1065" ht="14.25" customHeight="1">
      <c r="AA1065" s="7">
        <f t="shared" si="2"/>
        <v>41971</v>
      </c>
      <c r="AB1065" s="14"/>
      <c r="AC1065" s="14"/>
      <c r="AD1065" s="14"/>
      <c r="AE1065" s="14"/>
      <c r="AF1065" s="14"/>
      <c r="AG1065" s="14"/>
      <c r="AH1065" s="14"/>
      <c r="AI1065" s="14"/>
      <c r="AJ1065" s="14"/>
      <c r="AK1065" s="14"/>
      <c r="AL1065" s="14"/>
      <c r="AM1065" s="14"/>
    </row>
    <row r="1066" ht="14.25" customHeight="1">
      <c r="AA1066" s="7">
        <f t="shared" si="2"/>
        <v>41972</v>
      </c>
      <c r="AB1066" s="14"/>
      <c r="AC1066" s="14"/>
      <c r="AD1066" s="14"/>
      <c r="AE1066" s="14"/>
      <c r="AF1066" s="14"/>
      <c r="AG1066" s="14"/>
      <c r="AH1066" s="14"/>
      <c r="AI1066" s="14"/>
      <c r="AJ1066" s="14"/>
      <c r="AK1066" s="14"/>
      <c r="AL1066" s="14"/>
      <c r="AM1066" s="14"/>
    </row>
    <row r="1067" ht="14.25" customHeight="1">
      <c r="AA1067" s="7">
        <f t="shared" si="2"/>
        <v>41973</v>
      </c>
      <c r="AB1067" s="14"/>
      <c r="AC1067" s="14"/>
      <c r="AD1067" s="14"/>
      <c r="AE1067" s="14"/>
      <c r="AF1067" s="14"/>
      <c r="AG1067" s="14"/>
      <c r="AH1067" s="14"/>
      <c r="AI1067" s="14"/>
      <c r="AJ1067" s="14"/>
      <c r="AK1067" s="14"/>
      <c r="AL1067" s="14"/>
      <c r="AM1067" s="14"/>
    </row>
    <row r="1068" ht="14.25" customHeight="1">
      <c r="AA1068" s="7">
        <f t="shared" si="2"/>
        <v>41974</v>
      </c>
      <c r="AB1068" s="14"/>
      <c r="AC1068" s="14"/>
      <c r="AD1068" s="14"/>
      <c r="AE1068" s="14"/>
      <c r="AF1068" s="14"/>
      <c r="AG1068" s="14"/>
      <c r="AH1068" s="14"/>
      <c r="AI1068" s="14"/>
      <c r="AJ1068" s="14"/>
      <c r="AK1068" s="14"/>
      <c r="AL1068" s="14"/>
      <c r="AM1068" s="14"/>
    </row>
    <row r="1069" ht="14.25" customHeight="1">
      <c r="AA1069" s="7">
        <f t="shared" si="2"/>
        <v>41975</v>
      </c>
      <c r="AB1069" s="14"/>
      <c r="AC1069" s="14"/>
      <c r="AD1069" s="14"/>
      <c r="AE1069" s="14"/>
      <c r="AF1069" s="14"/>
      <c r="AG1069" s="14"/>
      <c r="AH1069" s="14"/>
      <c r="AI1069" s="14"/>
      <c r="AJ1069" s="14"/>
      <c r="AK1069" s="14"/>
      <c r="AL1069" s="14"/>
      <c r="AM1069" s="14"/>
    </row>
    <row r="1070" ht="14.25" customHeight="1">
      <c r="AA1070" s="7">
        <f t="shared" si="2"/>
        <v>41976</v>
      </c>
      <c r="AB1070" s="14"/>
      <c r="AC1070" s="14"/>
      <c r="AD1070" s="14"/>
      <c r="AE1070" s="14"/>
      <c r="AF1070" s="14"/>
      <c r="AG1070" s="14"/>
      <c r="AH1070" s="14"/>
      <c r="AI1070" s="14"/>
      <c r="AJ1070" s="14"/>
      <c r="AK1070" s="14"/>
      <c r="AL1070" s="14"/>
      <c r="AM1070" s="14"/>
    </row>
    <row r="1071" ht="14.25" customHeight="1">
      <c r="AA1071" s="7">
        <f t="shared" si="2"/>
        <v>41977</v>
      </c>
      <c r="AB1071" s="14"/>
      <c r="AC1071" s="14"/>
      <c r="AD1071" s="14"/>
      <c r="AE1071" s="14"/>
      <c r="AF1071" s="14"/>
      <c r="AG1071" s="14"/>
      <c r="AH1071" s="14"/>
      <c r="AI1071" s="14"/>
      <c r="AJ1071" s="14"/>
      <c r="AK1071" s="14"/>
      <c r="AL1071" s="14"/>
      <c r="AM1071" s="14"/>
    </row>
    <row r="1072" ht="14.25" customHeight="1">
      <c r="AA1072" s="7">
        <f t="shared" si="2"/>
        <v>41978</v>
      </c>
      <c r="AB1072" s="14"/>
      <c r="AC1072" s="14"/>
      <c r="AD1072" s="14"/>
      <c r="AE1072" s="14"/>
      <c r="AF1072" s="14"/>
      <c r="AG1072" s="14"/>
      <c r="AH1072" s="14"/>
      <c r="AI1072" s="14"/>
      <c r="AJ1072" s="14"/>
      <c r="AK1072" s="14"/>
      <c r="AL1072" s="14"/>
      <c r="AM1072" s="14"/>
    </row>
    <row r="1073" ht="14.25" customHeight="1">
      <c r="AA1073" s="7">
        <f t="shared" si="2"/>
        <v>41979</v>
      </c>
      <c r="AB1073" s="14"/>
      <c r="AC1073" s="14"/>
      <c r="AD1073" s="14"/>
      <c r="AE1073" s="14"/>
      <c r="AF1073" s="14"/>
      <c r="AG1073" s="14"/>
      <c r="AH1073" s="14"/>
      <c r="AI1073" s="14"/>
      <c r="AJ1073" s="14"/>
      <c r="AK1073" s="14"/>
      <c r="AL1073" s="14"/>
      <c r="AM1073" s="14"/>
    </row>
    <row r="1074" ht="14.25" customHeight="1">
      <c r="AA1074" s="7">
        <f t="shared" si="2"/>
        <v>41980</v>
      </c>
      <c r="AB1074" s="14"/>
      <c r="AC1074" s="14"/>
      <c r="AD1074" s="14"/>
      <c r="AE1074" s="14"/>
      <c r="AF1074" s="14"/>
      <c r="AG1074" s="14"/>
      <c r="AH1074" s="14"/>
      <c r="AI1074" s="14"/>
      <c r="AJ1074" s="14"/>
      <c r="AK1074" s="14"/>
      <c r="AL1074" s="14"/>
      <c r="AM1074" s="14"/>
    </row>
    <row r="1075" ht="14.25" customHeight="1">
      <c r="AA1075" s="7">
        <f t="shared" si="2"/>
        <v>41981</v>
      </c>
      <c r="AB1075" s="14"/>
      <c r="AC1075" s="14"/>
      <c r="AD1075" s="14"/>
      <c r="AE1075" s="14"/>
      <c r="AF1075" s="14"/>
      <c r="AG1075" s="14"/>
      <c r="AH1075" s="14"/>
      <c r="AI1075" s="14"/>
      <c r="AJ1075" s="14"/>
      <c r="AK1075" s="14"/>
      <c r="AL1075" s="14"/>
      <c r="AM1075" s="14"/>
    </row>
    <row r="1076" ht="14.25" customHeight="1">
      <c r="AA1076" s="7">
        <f t="shared" si="2"/>
        <v>41982</v>
      </c>
      <c r="AB1076" s="14"/>
      <c r="AC1076" s="14"/>
      <c r="AD1076" s="14"/>
      <c r="AE1076" s="14"/>
      <c r="AF1076" s="14"/>
      <c r="AG1076" s="14"/>
      <c r="AH1076" s="14"/>
      <c r="AI1076" s="14"/>
      <c r="AJ1076" s="14"/>
      <c r="AK1076" s="14"/>
      <c r="AL1076" s="14"/>
      <c r="AM1076" s="14"/>
    </row>
    <row r="1077" ht="14.25" customHeight="1">
      <c r="AA1077" s="7">
        <f t="shared" si="2"/>
        <v>41983</v>
      </c>
      <c r="AB1077" s="14"/>
      <c r="AC1077" s="14"/>
      <c r="AD1077" s="14"/>
      <c r="AE1077" s="14"/>
      <c r="AF1077" s="14"/>
      <c r="AG1077" s="14"/>
      <c r="AH1077" s="14"/>
      <c r="AI1077" s="14"/>
      <c r="AJ1077" s="14"/>
      <c r="AK1077" s="14"/>
      <c r="AL1077" s="14"/>
      <c r="AM1077" s="14"/>
    </row>
    <row r="1078" ht="14.25" customHeight="1">
      <c r="AA1078" s="7">
        <f t="shared" si="2"/>
        <v>41984</v>
      </c>
      <c r="AB1078" s="14"/>
      <c r="AC1078" s="14"/>
      <c r="AD1078" s="14"/>
      <c r="AE1078" s="14"/>
      <c r="AF1078" s="14"/>
      <c r="AG1078" s="14"/>
      <c r="AH1078" s="14"/>
      <c r="AI1078" s="14"/>
      <c r="AJ1078" s="14"/>
      <c r="AK1078" s="14"/>
      <c r="AL1078" s="14"/>
      <c r="AM1078" s="14"/>
    </row>
    <row r="1079" ht="14.25" customHeight="1">
      <c r="AA1079" s="7">
        <f t="shared" si="2"/>
        <v>41985</v>
      </c>
      <c r="AB1079" s="14"/>
      <c r="AC1079" s="14"/>
      <c r="AD1079" s="14"/>
      <c r="AE1079" s="14"/>
      <c r="AF1079" s="14"/>
      <c r="AG1079" s="14"/>
      <c r="AH1079" s="14"/>
      <c r="AI1079" s="14"/>
      <c r="AJ1079" s="14"/>
      <c r="AK1079" s="14"/>
      <c r="AL1079" s="14"/>
      <c r="AM1079" s="14"/>
    </row>
    <row r="1080" ht="14.25" customHeight="1">
      <c r="AA1080" s="7">
        <f t="shared" si="2"/>
        <v>41986</v>
      </c>
      <c r="AB1080" s="14"/>
      <c r="AC1080" s="14"/>
      <c r="AD1080" s="14"/>
      <c r="AE1080" s="14"/>
      <c r="AF1080" s="14"/>
      <c r="AG1080" s="14"/>
      <c r="AH1080" s="14"/>
      <c r="AI1080" s="14"/>
      <c r="AJ1080" s="14"/>
      <c r="AK1080" s="14"/>
      <c r="AL1080" s="14"/>
      <c r="AM1080" s="14"/>
    </row>
    <row r="1081" ht="14.25" customHeight="1">
      <c r="AA1081" s="7">
        <f t="shared" si="2"/>
        <v>41987</v>
      </c>
      <c r="AB1081" s="14"/>
      <c r="AC1081" s="14"/>
      <c r="AD1081" s="14"/>
      <c r="AE1081" s="14"/>
      <c r="AF1081" s="14"/>
      <c r="AG1081" s="14"/>
      <c r="AH1081" s="14"/>
      <c r="AI1081" s="14"/>
      <c r="AJ1081" s="14"/>
      <c r="AK1081" s="14"/>
      <c r="AL1081" s="14"/>
      <c r="AM1081" s="14"/>
    </row>
    <row r="1082" ht="14.25" customHeight="1">
      <c r="AA1082" s="7">
        <f t="shared" si="2"/>
        <v>41988</v>
      </c>
      <c r="AB1082" s="14"/>
      <c r="AC1082" s="14"/>
      <c r="AD1082" s="14"/>
      <c r="AE1082" s="14"/>
      <c r="AF1082" s="14"/>
      <c r="AG1082" s="14"/>
      <c r="AH1082" s="14"/>
      <c r="AI1082" s="14"/>
      <c r="AJ1082" s="14"/>
      <c r="AK1082" s="14"/>
      <c r="AL1082" s="14"/>
      <c r="AM1082" s="14"/>
    </row>
    <row r="1083" ht="14.25" customHeight="1">
      <c r="AA1083" s="7">
        <f t="shared" si="2"/>
        <v>41989</v>
      </c>
      <c r="AB1083" s="14"/>
      <c r="AC1083" s="14"/>
      <c r="AD1083" s="14"/>
      <c r="AE1083" s="14"/>
      <c r="AF1083" s="14"/>
      <c r="AG1083" s="14"/>
      <c r="AH1083" s="14"/>
      <c r="AI1083" s="14"/>
      <c r="AJ1083" s="14"/>
      <c r="AK1083" s="14"/>
      <c r="AL1083" s="14"/>
      <c r="AM1083" s="14"/>
    </row>
    <row r="1084" ht="14.25" customHeight="1">
      <c r="AA1084" s="7">
        <f t="shared" si="2"/>
        <v>41990</v>
      </c>
      <c r="AB1084" s="14"/>
      <c r="AC1084" s="14"/>
      <c r="AD1084" s="14"/>
      <c r="AE1084" s="14"/>
      <c r="AF1084" s="14"/>
      <c r="AG1084" s="14"/>
      <c r="AH1084" s="14"/>
      <c r="AI1084" s="14"/>
      <c r="AJ1084" s="14"/>
      <c r="AK1084" s="14"/>
      <c r="AL1084" s="14"/>
      <c r="AM1084" s="14"/>
    </row>
    <row r="1085" ht="14.25" customHeight="1">
      <c r="AA1085" s="7">
        <f t="shared" si="2"/>
        <v>41991</v>
      </c>
      <c r="AB1085" s="14"/>
      <c r="AC1085" s="14"/>
      <c r="AD1085" s="14"/>
      <c r="AE1085" s="14"/>
      <c r="AF1085" s="14"/>
      <c r="AG1085" s="14"/>
      <c r="AH1085" s="14"/>
      <c r="AI1085" s="14"/>
      <c r="AJ1085" s="14"/>
      <c r="AK1085" s="14"/>
      <c r="AL1085" s="14"/>
      <c r="AM1085" s="14"/>
    </row>
    <row r="1086" ht="14.25" customHeight="1">
      <c r="AA1086" s="7">
        <f t="shared" si="2"/>
        <v>41992</v>
      </c>
      <c r="AB1086" s="14"/>
      <c r="AC1086" s="14"/>
      <c r="AD1086" s="14"/>
      <c r="AE1086" s="14"/>
      <c r="AF1086" s="14"/>
      <c r="AG1086" s="14"/>
      <c r="AH1086" s="14"/>
      <c r="AI1086" s="14"/>
      <c r="AJ1086" s="14"/>
      <c r="AK1086" s="14"/>
      <c r="AL1086" s="14"/>
      <c r="AM1086" s="14"/>
    </row>
    <row r="1087" ht="14.25" customHeight="1">
      <c r="AA1087" s="7">
        <f t="shared" si="2"/>
        <v>41993</v>
      </c>
      <c r="AB1087" s="14"/>
      <c r="AC1087" s="14"/>
      <c r="AD1087" s="14"/>
      <c r="AE1087" s="14"/>
      <c r="AF1087" s="14"/>
      <c r="AG1087" s="14"/>
      <c r="AH1087" s="14"/>
      <c r="AI1087" s="14"/>
      <c r="AJ1087" s="14"/>
      <c r="AK1087" s="14"/>
      <c r="AL1087" s="14"/>
      <c r="AM1087" s="14"/>
    </row>
    <row r="1088" ht="14.25" customHeight="1">
      <c r="AA1088" s="7">
        <f t="shared" si="2"/>
        <v>41994</v>
      </c>
      <c r="AB1088" s="14"/>
      <c r="AC1088" s="14"/>
      <c r="AD1088" s="14"/>
      <c r="AE1088" s="14"/>
      <c r="AF1088" s="14"/>
      <c r="AG1088" s="14"/>
      <c r="AH1088" s="14"/>
      <c r="AI1088" s="14"/>
      <c r="AJ1088" s="14"/>
      <c r="AK1088" s="14"/>
      <c r="AL1088" s="14"/>
      <c r="AM1088" s="14"/>
    </row>
    <row r="1089" ht="14.25" customHeight="1">
      <c r="AA1089" s="7">
        <f t="shared" si="2"/>
        <v>41995</v>
      </c>
      <c r="AB1089" s="14"/>
      <c r="AC1089" s="14"/>
      <c r="AD1089" s="14"/>
      <c r="AE1089" s="14"/>
      <c r="AF1089" s="14"/>
      <c r="AG1089" s="14"/>
      <c r="AH1089" s="14"/>
      <c r="AI1089" s="14"/>
      <c r="AJ1089" s="14"/>
      <c r="AK1089" s="14"/>
      <c r="AL1089" s="14"/>
      <c r="AM1089" s="14"/>
    </row>
    <row r="1090" ht="14.25" customHeight="1">
      <c r="AA1090" s="7">
        <f t="shared" si="2"/>
        <v>41996</v>
      </c>
      <c r="AB1090" s="14"/>
      <c r="AC1090" s="14"/>
      <c r="AD1090" s="14"/>
      <c r="AE1090" s="14"/>
      <c r="AF1090" s="14"/>
      <c r="AG1090" s="14"/>
      <c r="AH1090" s="14"/>
      <c r="AI1090" s="14"/>
      <c r="AJ1090" s="14"/>
      <c r="AK1090" s="14"/>
      <c r="AL1090" s="14"/>
      <c r="AM1090" s="14"/>
    </row>
    <row r="1091" ht="14.25" customHeight="1">
      <c r="AA1091" s="7">
        <f t="shared" si="2"/>
        <v>41997</v>
      </c>
      <c r="AB1091" s="14"/>
      <c r="AC1091" s="14"/>
      <c r="AD1091" s="14"/>
      <c r="AE1091" s="14"/>
      <c r="AF1091" s="14"/>
      <c r="AG1091" s="14"/>
      <c r="AH1091" s="14"/>
      <c r="AI1091" s="14"/>
      <c r="AJ1091" s="14"/>
      <c r="AK1091" s="14"/>
      <c r="AL1091" s="14"/>
      <c r="AM1091" s="14"/>
    </row>
    <row r="1092" ht="14.25" customHeight="1">
      <c r="AA1092" s="7">
        <f t="shared" si="2"/>
        <v>41998</v>
      </c>
      <c r="AB1092" s="14"/>
      <c r="AC1092" s="14"/>
      <c r="AD1092" s="14"/>
      <c r="AE1092" s="14"/>
      <c r="AF1092" s="14"/>
      <c r="AG1092" s="14"/>
      <c r="AH1092" s="14"/>
      <c r="AI1092" s="14"/>
      <c r="AJ1092" s="14"/>
      <c r="AK1092" s="14"/>
      <c r="AL1092" s="14"/>
      <c r="AM1092" s="14"/>
    </row>
    <row r="1093" ht="14.25" customHeight="1">
      <c r="AA1093" s="7">
        <f t="shared" si="2"/>
        <v>41999</v>
      </c>
      <c r="AB1093" s="14"/>
      <c r="AC1093" s="14"/>
      <c r="AD1093" s="14"/>
      <c r="AE1093" s="14"/>
      <c r="AF1093" s="14"/>
      <c r="AG1093" s="14"/>
      <c r="AH1093" s="14"/>
      <c r="AI1093" s="14"/>
      <c r="AJ1093" s="14"/>
      <c r="AK1093" s="14"/>
      <c r="AL1093" s="14"/>
      <c r="AM1093" s="14"/>
    </row>
    <row r="1094" ht="14.25" customHeight="1">
      <c r="AA1094" s="7">
        <f t="shared" si="2"/>
        <v>42000</v>
      </c>
      <c r="AB1094" s="14"/>
      <c r="AC1094" s="14"/>
      <c r="AD1094" s="14"/>
      <c r="AE1094" s="14"/>
      <c r="AF1094" s="14"/>
      <c r="AG1094" s="14"/>
      <c r="AH1094" s="14"/>
      <c r="AI1094" s="14"/>
      <c r="AJ1094" s="14"/>
      <c r="AK1094" s="14"/>
      <c r="AL1094" s="14"/>
      <c r="AM1094" s="14"/>
    </row>
    <row r="1095" ht="14.25" customHeight="1">
      <c r="AA1095" s="7">
        <f t="shared" si="2"/>
        <v>42001</v>
      </c>
      <c r="AB1095" s="14"/>
      <c r="AC1095" s="14"/>
      <c r="AD1095" s="14"/>
      <c r="AE1095" s="14"/>
      <c r="AF1095" s="14"/>
      <c r="AG1095" s="14"/>
      <c r="AH1095" s="14"/>
      <c r="AI1095" s="14"/>
      <c r="AJ1095" s="14"/>
      <c r="AK1095" s="14"/>
      <c r="AL1095" s="14"/>
      <c r="AM1095" s="14"/>
    </row>
    <row r="1096" ht="14.25" customHeight="1">
      <c r="AA1096" s="7">
        <f t="shared" si="2"/>
        <v>42002</v>
      </c>
      <c r="AB1096" s="14"/>
      <c r="AC1096" s="14"/>
      <c r="AD1096" s="14"/>
      <c r="AE1096" s="14"/>
      <c r="AF1096" s="14"/>
      <c r="AG1096" s="14"/>
      <c r="AH1096" s="14"/>
      <c r="AI1096" s="14"/>
      <c r="AJ1096" s="14"/>
      <c r="AK1096" s="14"/>
      <c r="AL1096" s="14"/>
      <c r="AM1096" s="14"/>
    </row>
    <row r="1097" ht="14.25" customHeight="1">
      <c r="AA1097" s="7">
        <f t="shared" si="2"/>
        <v>42003</v>
      </c>
      <c r="AB1097" s="14"/>
      <c r="AC1097" s="14"/>
      <c r="AD1097" s="14"/>
      <c r="AE1097" s="14"/>
      <c r="AF1097" s="14"/>
      <c r="AG1097" s="14"/>
      <c r="AH1097" s="14"/>
      <c r="AI1097" s="14"/>
      <c r="AJ1097" s="14"/>
      <c r="AK1097" s="14"/>
      <c r="AL1097" s="14"/>
      <c r="AM1097" s="14"/>
    </row>
    <row r="1098" ht="14.25" customHeight="1">
      <c r="AA1098" s="7">
        <f t="shared" si="2"/>
        <v>42004</v>
      </c>
      <c r="AB1098" s="14"/>
      <c r="AC1098" s="14"/>
      <c r="AD1098" s="14"/>
      <c r="AE1098" s="14"/>
      <c r="AF1098" s="14"/>
      <c r="AG1098" s="14"/>
      <c r="AH1098" s="14"/>
      <c r="AI1098" s="14"/>
      <c r="AJ1098" s="14"/>
      <c r="AK1098" s="14"/>
      <c r="AL1098" s="14"/>
      <c r="AM1098" s="14"/>
    </row>
    <row r="1099" ht="14.25" customHeight="1">
      <c r="AA1099" s="7">
        <f t="shared" si="2"/>
        <v>42005</v>
      </c>
      <c r="AB1099" s="14"/>
      <c r="AC1099" s="14"/>
      <c r="AD1099" s="14"/>
      <c r="AE1099" s="14"/>
      <c r="AF1099" s="14"/>
      <c r="AG1099" s="14"/>
      <c r="AH1099" s="14"/>
      <c r="AI1099" s="14"/>
      <c r="AJ1099" s="14"/>
      <c r="AK1099" s="14"/>
      <c r="AL1099" s="14"/>
      <c r="AM1099" s="14"/>
    </row>
    <row r="1100" ht="14.25" customHeight="1">
      <c r="AA1100" s="7">
        <f t="shared" si="2"/>
        <v>42006</v>
      </c>
      <c r="AB1100" s="14"/>
      <c r="AC1100" s="14"/>
      <c r="AD1100" s="14"/>
      <c r="AE1100" s="14"/>
      <c r="AF1100" s="14"/>
      <c r="AG1100" s="14"/>
      <c r="AH1100" s="14"/>
      <c r="AI1100" s="14"/>
      <c r="AJ1100" s="14"/>
      <c r="AK1100" s="14"/>
      <c r="AL1100" s="14"/>
      <c r="AM1100" s="14"/>
    </row>
    <row r="1101" ht="14.25" customHeight="1">
      <c r="AA1101" s="7">
        <f t="shared" si="2"/>
        <v>42007</v>
      </c>
      <c r="AB1101" s="14"/>
      <c r="AC1101" s="14"/>
      <c r="AD1101" s="14"/>
      <c r="AE1101" s="14"/>
      <c r="AF1101" s="14"/>
      <c r="AG1101" s="14"/>
      <c r="AH1101" s="14"/>
      <c r="AI1101" s="14"/>
      <c r="AJ1101" s="14"/>
      <c r="AK1101" s="14"/>
      <c r="AL1101" s="14"/>
      <c r="AM1101" s="14"/>
    </row>
    <row r="1102" ht="14.25" customHeight="1">
      <c r="AA1102" s="7">
        <f t="shared" si="2"/>
        <v>42008</v>
      </c>
      <c r="AB1102" s="14"/>
      <c r="AC1102" s="14"/>
      <c r="AD1102" s="14"/>
      <c r="AE1102" s="14"/>
      <c r="AF1102" s="14"/>
      <c r="AG1102" s="14"/>
      <c r="AH1102" s="14"/>
      <c r="AI1102" s="14"/>
      <c r="AJ1102" s="14"/>
      <c r="AK1102" s="14"/>
      <c r="AL1102" s="14"/>
      <c r="AM1102" s="14"/>
    </row>
    <row r="1103" ht="14.25" customHeight="1">
      <c r="AA1103" s="7">
        <f t="shared" si="2"/>
        <v>42009</v>
      </c>
      <c r="AB1103" s="14"/>
      <c r="AC1103" s="14"/>
      <c r="AD1103" s="14"/>
      <c r="AE1103" s="14"/>
      <c r="AF1103" s="14"/>
      <c r="AG1103" s="14"/>
      <c r="AH1103" s="14"/>
      <c r="AI1103" s="14"/>
      <c r="AJ1103" s="14"/>
      <c r="AK1103" s="14"/>
      <c r="AL1103" s="14"/>
      <c r="AM1103" s="14"/>
    </row>
    <row r="1104" ht="14.25" customHeight="1">
      <c r="AA1104" s="7">
        <f t="shared" si="2"/>
        <v>42010</v>
      </c>
      <c r="AB1104" s="14"/>
      <c r="AC1104" s="14"/>
      <c r="AD1104" s="14"/>
      <c r="AE1104" s="14"/>
      <c r="AF1104" s="14"/>
      <c r="AG1104" s="14"/>
      <c r="AH1104" s="14"/>
      <c r="AI1104" s="14"/>
      <c r="AJ1104" s="14"/>
      <c r="AK1104" s="14"/>
      <c r="AL1104" s="14"/>
      <c r="AM1104" s="14"/>
    </row>
    <row r="1105" ht="14.25" customHeight="1">
      <c r="AA1105" s="7">
        <f t="shared" si="2"/>
        <v>42011</v>
      </c>
      <c r="AB1105" s="14"/>
      <c r="AC1105" s="14"/>
      <c r="AD1105" s="14"/>
      <c r="AE1105" s="14"/>
      <c r="AF1105" s="14"/>
      <c r="AG1105" s="14"/>
      <c r="AH1105" s="14"/>
      <c r="AI1105" s="14"/>
      <c r="AJ1105" s="14"/>
      <c r="AK1105" s="14"/>
      <c r="AL1105" s="14"/>
      <c r="AM1105" s="14"/>
    </row>
    <row r="1106" ht="14.25" customHeight="1">
      <c r="AA1106" s="7">
        <f t="shared" si="2"/>
        <v>42012</v>
      </c>
      <c r="AB1106" s="14"/>
      <c r="AC1106" s="14"/>
      <c r="AD1106" s="14"/>
      <c r="AE1106" s="14"/>
      <c r="AF1106" s="14"/>
      <c r="AG1106" s="14"/>
      <c r="AH1106" s="14"/>
      <c r="AI1106" s="14"/>
      <c r="AJ1106" s="14"/>
      <c r="AK1106" s="14"/>
      <c r="AL1106" s="14"/>
      <c r="AM1106" s="14"/>
    </row>
    <row r="1107" ht="14.25" customHeight="1">
      <c r="AA1107" s="7">
        <f t="shared" si="2"/>
        <v>42013</v>
      </c>
      <c r="AB1107" s="14"/>
      <c r="AC1107" s="14"/>
      <c r="AD1107" s="14"/>
      <c r="AE1107" s="14"/>
      <c r="AF1107" s="14"/>
      <c r="AG1107" s="14"/>
      <c r="AH1107" s="14"/>
      <c r="AI1107" s="14"/>
      <c r="AJ1107" s="14"/>
      <c r="AK1107" s="14"/>
      <c r="AL1107" s="14"/>
      <c r="AM1107" s="14"/>
    </row>
    <row r="1108" ht="14.25" customHeight="1">
      <c r="AA1108" s="7">
        <f t="shared" si="2"/>
        <v>42014</v>
      </c>
      <c r="AB1108" s="14"/>
      <c r="AC1108" s="14"/>
      <c r="AD1108" s="14"/>
      <c r="AE1108" s="14"/>
      <c r="AF1108" s="14"/>
      <c r="AG1108" s="14"/>
      <c r="AH1108" s="14"/>
      <c r="AI1108" s="14"/>
      <c r="AJ1108" s="14"/>
      <c r="AK1108" s="14"/>
      <c r="AL1108" s="14"/>
      <c r="AM1108" s="14"/>
    </row>
    <row r="1109" ht="14.25" customHeight="1">
      <c r="AA1109" s="7">
        <f t="shared" si="2"/>
        <v>42015</v>
      </c>
      <c r="AB1109" s="14"/>
      <c r="AC1109" s="14"/>
      <c r="AD1109" s="14"/>
      <c r="AE1109" s="14"/>
      <c r="AF1109" s="14"/>
      <c r="AG1109" s="14"/>
      <c r="AH1109" s="14"/>
      <c r="AI1109" s="14"/>
      <c r="AJ1109" s="14"/>
      <c r="AK1109" s="14"/>
      <c r="AL1109" s="14"/>
      <c r="AM1109" s="14"/>
    </row>
    <row r="1110" ht="14.25" customHeight="1">
      <c r="AA1110" s="7">
        <f t="shared" si="2"/>
        <v>42016</v>
      </c>
      <c r="AB1110" s="14"/>
      <c r="AC1110" s="14"/>
      <c r="AD1110" s="14"/>
      <c r="AE1110" s="14"/>
      <c r="AF1110" s="14"/>
      <c r="AG1110" s="14"/>
      <c r="AH1110" s="14"/>
      <c r="AI1110" s="14"/>
      <c r="AJ1110" s="14"/>
      <c r="AK1110" s="14"/>
      <c r="AL1110" s="14"/>
      <c r="AM1110" s="14"/>
    </row>
    <row r="1111" ht="14.25" customHeight="1">
      <c r="AA1111" s="7">
        <f t="shared" si="2"/>
        <v>42017</v>
      </c>
      <c r="AB1111" s="14"/>
      <c r="AC1111" s="14"/>
      <c r="AD1111" s="14"/>
      <c r="AE1111" s="14"/>
      <c r="AF1111" s="14"/>
      <c r="AG1111" s="14"/>
      <c r="AH1111" s="14"/>
      <c r="AI1111" s="14"/>
      <c r="AJ1111" s="14"/>
      <c r="AK1111" s="14"/>
      <c r="AL1111" s="14"/>
      <c r="AM1111" s="14"/>
    </row>
    <row r="1112" ht="14.25" customHeight="1">
      <c r="AA1112" s="7">
        <f t="shared" si="2"/>
        <v>42018</v>
      </c>
      <c r="AB1112" s="14"/>
      <c r="AC1112" s="14"/>
      <c r="AD1112" s="14"/>
      <c r="AE1112" s="14"/>
      <c r="AF1112" s="14"/>
      <c r="AG1112" s="14"/>
      <c r="AH1112" s="14"/>
      <c r="AI1112" s="14"/>
      <c r="AJ1112" s="14"/>
      <c r="AK1112" s="14"/>
      <c r="AL1112" s="14"/>
      <c r="AM1112" s="14"/>
    </row>
    <row r="1113" ht="14.25" customHeight="1">
      <c r="AA1113" s="7">
        <f t="shared" si="2"/>
        <v>42019</v>
      </c>
      <c r="AB1113" s="14"/>
      <c r="AC1113" s="14"/>
      <c r="AD1113" s="14"/>
      <c r="AE1113" s="14"/>
      <c r="AF1113" s="14"/>
      <c r="AG1113" s="14"/>
      <c r="AH1113" s="14"/>
      <c r="AI1113" s="14"/>
      <c r="AJ1113" s="14"/>
      <c r="AK1113" s="14"/>
      <c r="AL1113" s="14"/>
      <c r="AM1113" s="14"/>
    </row>
    <row r="1114" ht="14.25" customHeight="1">
      <c r="AA1114" s="7">
        <f t="shared" si="2"/>
        <v>42020</v>
      </c>
      <c r="AB1114" s="14"/>
      <c r="AC1114" s="14"/>
      <c r="AD1114" s="14"/>
      <c r="AE1114" s="14"/>
      <c r="AF1114" s="14"/>
      <c r="AG1114" s="14"/>
      <c r="AH1114" s="14"/>
      <c r="AI1114" s="14"/>
      <c r="AJ1114" s="14"/>
      <c r="AK1114" s="14"/>
      <c r="AL1114" s="14"/>
      <c r="AM1114" s="14"/>
    </row>
    <row r="1115" ht="14.25" customHeight="1">
      <c r="AA1115" s="7">
        <f t="shared" si="2"/>
        <v>42021</v>
      </c>
      <c r="AB1115" s="14"/>
      <c r="AC1115" s="14"/>
      <c r="AD1115" s="14"/>
      <c r="AE1115" s="14"/>
      <c r="AF1115" s="14"/>
      <c r="AG1115" s="14"/>
      <c r="AH1115" s="14"/>
      <c r="AI1115" s="14"/>
      <c r="AJ1115" s="14"/>
      <c r="AK1115" s="14"/>
      <c r="AL1115" s="14"/>
      <c r="AM1115" s="14"/>
    </row>
    <row r="1116" ht="14.25" customHeight="1">
      <c r="AA1116" s="7">
        <f t="shared" si="2"/>
        <v>42022</v>
      </c>
      <c r="AB1116" s="14"/>
      <c r="AC1116" s="14"/>
      <c r="AD1116" s="14"/>
      <c r="AE1116" s="14"/>
      <c r="AF1116" s="14"/>
      <c r="AG1116" s="14"/>
      <c r="AH1116" s="14"/>
      <c r="AI1116" s="14"/>
      <c r="AJ1116" s="14"/>
      <c r="AK1116" s="14"/>
      <c r="AL1116" s="14"/>
      <c r="AM1116" s="14"/>
    </row>
    <row r="1117" ht="14.25" customHeight="1">
      <c r="AA1117" s="7">
        <f t="shared" si="2"/>
        <v>42023</v>
      </c>
      <c r="AB1117" s="14"/>
      <c r="AC1117" s="14"/>
      <c r="AD1117" s="14"/>
      <c r="AE1117" s="14"/>
      <c r="AF1117" s="14"/>
      <c r="AG1117" s="14"/>
      <c r="AH1117" s="14"/>
      <c r="AI1117" s="14"/>
      <c r="AJ1117" s="14"/>
      <c r="AK1117" s="14"/>
      <c r="AL1117" s="14"/>
      <c r="AM1117" s="14"/>
    </row>
    <row r="1118" ht="14.25" customHeight="1">
      <c r="AA1118" s="7">
        <f t="shared" si="2"/>
        <v>42024</v>
      </c>
      <c r="AB1118" s="14"/>
      <c r="AC1118" s="14"/>
      <c r="AD1118" s="14"/>
      <c r="AE1118" s="14"/>
      <c r="AF1118" s="14"/>
      <c r="AG1118" s="14"/>
      <c r="AH1118" s="14"/>
      <c r="AI1118" s="14"/>
      <c r="AJ1118" s="14"/>
      <c r="AK1118" s="14"/>
      <c r="AL1118" s="14"/>
      <c r="AM1118" s="14"/>
    </row>
    <row r="1119" ht="14.25" customHeight="1">
      <c r="AA1119" s="7">
        <f t="shared" si="2"/>
        <v>42025</v>
      </c>
      <c r="AB1119" s="14"/>
      <c r="AC1119" s="14"/>
      <c r="AD1119" s="14"/>
      <c r="AE1119" s="14"/>
      <c r="AF1119" s="14"/>
      <c r="AG1119" s="14"/>
      <c r="AH1119" s="14"/>
      <c r="AI1119" s="14"/>
      <c r="AJ1119" s="14"/>
      <c r="AK1119" s="14"/>
      <c r="AL1119" s="14"/>
      <c r="AM1119" s="14"/>
    </row>
    <row r="1120" ht="14.25" customHeight="1">
      <c r="AA1120" s="7">
        <f t="shared" si="2"/>
        <v>42026</v>
      </c>
      <c r="AB1120" s="14"/>
      <c r="AC1120" s="14"/>
      <c r="AD1120" s="14"/>
      <c r="AE1120" s="14"/>
      <c r="AF1120" s="14"/>
      <c r="AG1120" s="14"/>
      <c r="AH1120" s="14"/>
      <c r="AI1120" s="14"/>
      <c r="AJ1120" s="14"/>
      <c r="AK1120" s="14"/>
      <c r="AL1120" s="14"/>
      <c r="AM1120" s="14"/>
    </row>
    <row r="1121" ht="14.25" customHeight="1">
      <c r="AA1121" s="7">
        <f t="shared" si="2"/>
        <v>42027</v>
      </c>
      <c r="AB1121" s="14"/>
      <c r="AC1121" s="14"/>
      <c r="AD1121" s="14"/>
      <c r="AE1121" s="14"/>
      <c r="AF1121" s="14"/>
      <c r="AG1121" s="14"/>
      <c r="AH1121" s="14"/>
      <c r="AI1121" s="14"/>
      <c r="AJ1121" s="14"/>
      <c r="AK1121" s="14"/>
      <c r="AL1121" s="14"/>
      <c r="AM1121" s="14"/>
    </row>
    <row r="1122" ht="14.25" customHeight="1">
      <c r="AA1122" s="7">
        <f t="shared" si="2"/>
        <v>42028</v>
      </c>
      <c r="AB1122" s="14"/>
      <c r="AC1122" s="14"/>
      <c r="AD1122" s="14"/>
      <c r="AE1122" s="14"/>
      <c r="AF1122" s="14"/>
      <c r="AG1122" s="14"/>
      <c r="AH1122" s="14"/>
      <c r="AI1122" s="14"/>
      <c r="AJ1122" s="14"/>
      <c r="AK1122" s="14"/>
      <c r="AL1122" s="14"/>
      <c r="AM1122" s="14"/>
    </row>
    <row r="1123" ht="14.25" customHeight="1">
      <c r="AA1123" s="7">
        <f t="shared" si="2"/>
        <v>42029</v>
      </c>
      <c r="AB1123" s="14"/>
      <c r="AC1123" s="14"/>
      <c r="AD1123" s="14"/>
      <c r="AE1123" s="14"/>
      <c r="AF1123" s="14"/>
      <c r="AG1123" s="14"/>
      <c r="AH1123" s="14"/>
      <c r="AI1123" s="14"/>
      <c r="AJ1123" s="14"/>
      <c r="AK1123" s="14"/>
      <c r="AL1123" s="14"/>
      <c r="AM1123" s="14"/>
    </row>
    <row r="1124" ht="14.25" customHeight="1">
      <c r="AA1124" s="7">
        <f t="shared" si="2"/>
        <v>42030</v>
      </c>
      <c r="AB1124" s="14"/>
      <c r="AC1124" s="14"/>
      <c r="AD1124" s="14"/>
      <c r="AE1124" s="14"/>
      <c r="AF1124" s="14"/>
      <c r="AG1124" s="14"/>
      <c r="AH1124" s="14"/>
      <c r="AI1124" s="14"/>
      <c r="AJ1124" s="14"/>
      <c r="AK1124" s="14"/>
      <c r="AL1124" s="14"/>
      <c r="AM1124" s="14"/>
    </row>
    <row r="1125" ht="14.25" customHeight="1">
      <c r="AA1125" s="7">
        <f t="shared" si="2"/>
        <v>42031</v>
      </c>
      <c r="AB1125" s="14"/>
      <c r="AC1125" s="14"/>
      <c r="AD1125" s="14"/>
      <c r="AE1125" s="14"/>
      <c r="AF1125" s="14"/>
      <c r="AG1125" s="14"/>
      <c r="AH1125" s="14"/>
      <c r="AI1125" s="14"/>
      <c r="AJ1125" s="14"/>
      <c r="AK1125" s="14"/>
      <c r="AL1125" s="14"/>
      <c r="AM1125" s="14"/>
    </row>
    <row r="1126" ht="14.25" customHeight="1">
      <c r="AA1126" s="7">
        <f t="shared" si="2"/>
        <v>42032</v>
      </c>
      <c r="AB1126" s="14"/>
      <c r="AC1126" s="14"/>
      <c r="AD1126" s="14"/>
      <c r="AE1126" s="14"/>
      <c r="AF1126" s="14"/>
      <c r="AG1126" s="14"/>
      <c r="AH1126" s="14"/>
      <c r="AI1126" s="14"/>
      <c r="AJ1126" s="14"/>
      <c r="AK1126" s="14"/>
      <c r="AL1126" s="14"/>
      <c r="AM1126" s="14"/>
    </row>
    <row r="1127" ht="14.25" customHeight="1">
      <c r="AA1127" s="7">
        <f t="shared" si="2"/>
        <v>42033</v>
      </c>
      <c r="AB1127" s="14"/>
      <c r="AC1127" s="14"/>
      <c r="AD1127" s="14"/>
      <c r="AE1127" s="14"/>
      <c r="AF1127" s="14"/>
      <c r="AG1127" s="14"/>
      <c r="AH1127" s="14"/>
      <c r="AI1127" s="14"/>
      <c r="AJ1127" s="14"/>
      <c r="AK1127" s="14"/>
      <c r="AL1127" s="14"/>
      <c r="AM1127" s="14"/>
    </row>
    <row r="1128" ht="14.25" customHeight="1">
      <c r="AA1128" s="7">
        <f t="shared" si="2"/>
        <v>42034</v>
      </c>
      <c r="AB1128" s="14"/>
      <c r="AC1128" s="14"/>
      <c r="AD1128" s="14"/>
      <c r="AE1128" s="14"/>
      <c r="AF1128" s="14"/>
      <c r="AG1128" s="14"/>
      <c r="AH1128" s="14"/>
      <c r="AI1128" s="14"/>
      <c r="AJ1128" s="14"/>
      <c r="AK1128" s="14"/>
      <c r="AL1128" s="14"/>
      <c r="AM1128" s="14"/>
    </row>
    <row r="1129" ht="14.25" customHeight="1">
      <c r="AA1129" s="7">
        <f t="shared" si="2"/>
        <v>42035</v>
      </c>
      <c r="AB1129" s="14"/>
      <c r="AC1129" s="14"/>
      <c r="AD1129" s="14"/>
      <c r="AE1129" s="14"/>
      <c r="AF1129" s="14"/>
      <c r="AG1129" s="14"/>
      <c r="AH1129" s="14"/>
      <c r="AI1129" s="14"/>
      <c r="AJ1129" s="14"/>
      <c r="AK1129" s="14"/>
      <c r="AL1129" s="14"/>
      <c r="AM1129" s="14"/>
    </row>
    <row r="1130" ht="14.25" customHeight="1">
      <c r="AA1130" s="7">
        <f t="shared" si="2"/>
        <v>42036</v>
      </c>
      <c r="AB1130" s="14"/>
      <c r="AC1130" s="14"/>
      <c r="AD1130" s="14"/>
      <c r="AE1130" s="14"/>
      <c r="AF1130" s="14"/>
      <c r="AG1130" s="14"/>
      <c r="AH1130" s="14"/>
      <c r="AI1130" s="14"/>
      <c r="AJ1130" s="14"/>
      <c r="AK1130" s="14"/>
      <c r="AL1130" s="14"/>
      <c r="AM1130" s="14"/>
    </row>
    <row r="1131" ht="14.25" customHeight="1">
      <c r="AA1131" s="7">
        <f t="shared" si="2"/>
        <v>42037</v>
      </c>
      <c r="AB1131" s="14"/>
      <c r="AC1131" s="14"/>
      <c r="AD1131" s="14"/>
      <c r="AE1131" s="14"/>
      <c r="AF1131" s="14"/>
      <c r="AG1131" s="14"/>
      <c r="AH1131" s="14"/>
      <c r="AI1131" s="14"/>
      <c r="AJ1131" s="14"/>
      <c r="AK1131" s="14"/>
      <c r="AL1131" s="14"/>
      <c r="AM1131" s="14"/>
    </row>
    <row r="1132" ht="14.25" customHeight="1">
      <c r="AA1132" s="7">
        <f t="shared" si="2"/>
        <v>42038</v>
      </c>
      <c r="AB1132" s="14"/>
      <c r="AC1132" s="14"/>
      <c r="AD1132" s="14"/>
      <c r="AE1132" s="14"/>
      <c r="AF1132" s="14"/>
      <c r="AG1132" s="14"/>
      <c r="AH1132" s="14"/>
      <c r="AI1132" s="14"/>
      <c r="AJ1132" s="14"/>
      <c r="AK1132" s="14"/>
      <c r="AL1132" s="14"/>
      <c r="AM1132" s="14"/>
    </row>
    <row r="1133" ht="14.25" customHeight="1">
      <c r="AA1133" s="7">
        <f t="shared" si="2"/>
        <v>42039</v>
      </c>
      <c r="AB1133" s="14"/>
      <c r="AC1133" s="14"/>
      <c r="AD1133" s="14"/>
      <c r="AE1133" s="14"/>
      <c r="AF1133" s="14"/>
      <c r="AG1133" s="14"/>
      <c r="AH1133" s="14"/>
      <c r="AI1133" s="14"/>
      <c r="AJ1133" s="14"/>
      <c r="AK1133" s="14"/>
      <c r="AL1133" s="14"/>
      <c r="AM1133" s="14"/>
    </row>
    <row r="1134" ht="14.25" customHeight="1">
      <c r="AA1134" s="7">
        <f t="shared" si="2"/>
        <v>42040</v>
      </c>
      <c r="AB1134" s="14"/>
      <c r="AC1134" s="14"/>
      <c r="AD1134" s="14"/>
      <c r="AE1134" s="14"/>
      <c r="AF1134" s="14"/>
      <c r="AG1134" s="14"/>
      <c r="AH1134" s="14"/>
      <c r="AI1134" s="14"/>
      <c r="AJ1134" s="14"/>
      <c r="AK1134" s="14"/>
      <c r="AL1134" s="14"/>
      <c r="AM1134" s="14"/>
    </row>
    <row r="1135" ht="14.25" customHeight="1">
      <c r="AA1135" s="7">
        <f t="shared" si="2"/>
        <v>42041</v>
      </c>
      <c r="AB1135" s="14"/>
      <c r="AC1135" s="14"/>
      <c r="AD1135" s="14"/>
      <c r="AE1135" s="14"/>
      <c r="AF1135" s="14"/>
      <c r="AG1135" s="14"/>
      <c r="AH1135" s="14"/>
      <c r="AI1135" s="14"/>
      <c r="AJ1135" s="14"/>
      <c r="AK1135" s="14"/>
      <c r="AL1135" s="14"/>
      <c r="AM1135" s="14"/>
    </row>
    <row r="1136" ht="14.25" customHeight="1">
      <c r="AA1136" s="7">
        <f t="shared" si="2"/>
        <v>42042</v>
      </c>
      <c r="AB1136" s="14"/>
      <c r="AC1136" s="14"/>
      <c r="AD1136" s="14"/>
      <c r="AE1136" s="14"/>
      <c r="AF1136" s="14"/>
      <c r="AG1136" s="14"/>
      <c r="AH1136" s="14"/>
      <c r="AI1136" s="14"/>
      <c r="AJ1136" s="14"/>
      <c r="AK1136" s="14"/>
      <c r="AL1136" s="14"/>
      <c r="AM1136" s="14"/>
    </row>
    <row r="1137" ht="14.25" customHeight="1">
      <c r="AA1137" s="7">
        <f t="shared" si="2"/>
        <v>42043</v>
      </c>
      <c r="AB1137" s="14"/>
      <c r="AC1137" s="14"/>
      <c r="AD1137" s="14"/>
      <c r="AE1137" s="14"/>
      <c r="AF1137" s="14"/>
      <c r="AG1137" s="14"/>
      <c r="AH1137" s="14"/>
      <c r="AI1137" s="14"/>
      <c r="AJ1137" s="14"/>
      <c r="AK1137" s="14"/>
      <c r="AL1137" s="14"/>
      <c r="AM1137" s="14"/>
    </row>
    <row r="1138" ht="14.25" customHeight="1">
      <c r="AA1138" s="7">
        <f t="shared" si="2"/>
        <v>42044</v>
      </c>
      <c r="AB1138" s="14"/>
      <c r="AC1138" s="14"/>
      <c r="AD1138" s="14"/>
      <c r="AE1138" s="14"/>
      <c r="AF1138" s="14"/>
      <c r="AG1138" s="14"/>
      <c r="AH1138" s="14"/>
      <c r="AI1138" s="14"/>
      <c r="AJ1138" s="14"/>
      <c r="AK1138" s="14"/>
      <c r="AL1138" s="14"/>
      <c r="AM1138" s="14"/>
    </row>
    <row r="1139" ht="14.25" customHeight="1">
      <c r="AA1139" s="7">
        <f t="shared" si="2"/>
        <v>42045</v>
      </c>
      <c r="AB1139" s="14"/>
      <c r="AC1139" s="14"/>
      <c r="AD1139" s="14"/>
      <c r="AE1139" s="14"/>
      <c r="AF1139" s="14"/>
      <c r="AG1139" s="14"/>
      <c r="AH1139" s="14"/>
      <c r="AI1139" s="14"/>
      <c r="AJ1139" s="14"/>
      <c r="AK1139" s="14"/>
      <c r="AL1139" s="14"/>
      <c r="AM1139" s="14"/>
    </row>
    <row r="1140" ht="14.25" customHeight="1">
      <c r="AA1140" s="7">
        <f t="shared" si="2"/>
        <v>42046</v>
      </c>
      <c r="AB1140" s="14"/>
      <c r="AC1140" s="14"/>
      <c r="AD1140" s="14"/>
      <c r="AE1140" s="14"/>
      <c r="AF1140" s="14"/>
      <c r="AG1140" s="14"/>
      <c r="AH1140" s="14"/>
      <c r="AI1140" s="14"/>
      <c r="AJ1140" s="14"/>
      <c r="AK1140" s="14"/>
      <c r="AL1140" s="14"/>
      <c r="AM1140" s="14"/>
    </row>
    <row r="1141" ht="14.25" customHeight="1">
      <c r="AA1141" s="7">
        <f t="shared" si="2"/>
        <v>42047</v>
      </c>
      <c r="AB1141" s="14"/>
      <c r="AC1141" s="14"/>
      <c r="AD1141" s="14"/>
      <c r="AE1141" s="14"/>
      <c r="AF1141" s="14"/>
      <c r="AG1141" s="14"/>
      <c r="AH1141" s="14"/>
      <c r="AI1141" s="14"/>
      <c r="AJ1141" s="14"/>
      <c r="AK1141" s="14"/>
      <c r="AL1141" s="14"/>
      <c r="AM1141" s="14"/>
    </row>
    <row r="1142" ht="14.25" customHeight="1">
      <c r="AA1142" s="7">
        <f t="shared" si="2"/>
        <v>42048</v>
      </c>
      <c r="AB1142" s="14"/>
      <c r="AC1142" s="14"/>
      <c r="AD1142" s="14"/>
      <c r="AE1142" s="14"/>
      <c r="AF1142" s="14"/>
      <c r="AG1142" s="14"/>
      <c r="AH1142" s="14"/>
      <c r="AI1142" s="14"/>
      <c r="AJ1142" s="14"/>
      <c r="AK1142" s="14"/>
      <c r="AL1142" s="14"/>
      <c r="AM1142" s="14"/>
    </row>
    <row r="1143" ht="14.25" customHeight="1">
      <c r="AA1143" s="7">
        <f t="shared" si="2"/>
        <v>42049</v>
      </c>
      <c r="AB1143" s="14"/>
      <c r="AC1143" s="14"/>
      <c r="AD1143" s="14"/>
      <c r="AE1143" s="14"/>
      <c r="AF1143" s="14"/>
      <c r="AG1143" s="14"/>
      <c r="AH1143" s="14"/>
      <c r="AI1143" s="14"/>
      <c r="AJ1143" s="14"/>
      <c r="AK1143" s="14"/>
      <c r="AL1143" s="14"/>
      <c r="AM1143" s="14"/>
    </row>
    <row r="1144" ht="14.25" customHeight="1">
      <c r="AA1144" s="7">
        <f t="shared" si="2"/>
        <v>42050</v>
      </c>
      <c r="AB1144" s="14"/>
      <c r="AC1144" s="14"/>
      <c r="AD1144" s="14"/>
      <c r="AE1144" s="14"/>
      <c r="AF1144" s="14"/>
      <c r="AG1144" s="14"/>
      <c r="AH1144" s="14"/>
      <c r="AI1144" s="14"/>
      <c r="AJ1144" s="14"/>
      <c r="AK1144" s="14"/>
      <c r="AL1144" s="14"/>
      <c r="AM1144" s="14"/>
    </row>
    <row r="1145" ht="14.25" customHeight="1">
      <c r="AA1145" s="7">
        <f t="shared" si="2"/>
        <v>42051</v>
      </c>
      <c r="AB1145" s="14"/>
      <c r="AC1145" s="14"/>
      <c r="AD1145" s="14"/>
      <c r="AE1145" s="14"/>
      <c r="AF1145" s="14"/>
      <c r="AG1145" s="14"/>
      <c r="AH1145" s="14"/>
      <c r="AI1145" s="14"/>
      <c r="AJ1145" s="14"/>
      <c r="AK1145" s="14"/>
      <c r="AL1145" s="14"/>
      <c r="AM1145" s="14"/>
    </row>
    <row r="1146" ht="14.25" customHeight="1">
      <c r="AA1146" s="7">
        <f t="shared" si="2"/>
        <v>42052</v>
      </c>
      <c r="AB1146" s="14"/>
      <c r="AC1146" s="14"/>
      <c r="AD1146" s="14"/>
      <c r="AE1146" s="14"/>
      <c r="AF1146" s="14"/>
      <c r="AG1146" s="14"/>
      <c r="AH1146" s="14"/>
      <c r="AI1146" s="14"/>
      <c r="AJ1146" s="14"/>
      <c r="AK1146" s="14"/>
      <c r="AL1146" s="14"/>
      <c r="AM1146" s="14"/>
    </row>
    <row r="1147" ht="14.25" customHeight="1">
      <c r="AA1147" s="7">
        <f t="shared" si="2"/>
        <v>42053</v>
      </c>
      <c r="AB1147" s="14"/>
      <c r="AC1147" s="14"/>
      <c r="AD1147" s="14"/>
      <c r="AE1147" s="14"/>
      <c r="AF1147" s="14"/>
      <c r="AG1147" s="14"/>
      <c r="AH1147" s="14"/>
      <c r="AI1147" s="14"/>
      <c r="AJ1147" s="14"/>
      <c r="AK1147" s="14"/>
      <c r="AL1147" s="14"/>
      <c r="AM1147" s="14"/>
    </row>
    <row r="1148" ht="14.25" customHeight="1">
      <c r="AA1148" s="7">
        <f t="shared" si="2"/>
        <v>42054</v>
      </c>
      <c r="AB1148" s="14"/>
      <c r="AC1148" s="14"/>
      <c r="AD1148" s="14"/>
      <c r="AE1148" s="14"/>
      <c r="AF1148" s="14"/>
      <c r="AG1148" s="14"/>
      <c r="AH1148" s="14"/>
      <c r="AI1148" s="14"/>
      <c r="AJ1148" s="14"/>
      <c r="AK1148" s="14"/>
      <c r="AL1148" s="14"/>
      <c r="AM1148" s="14"/>
    </row>
    <row r="1149" ht="14.25" customHeight="1">
      <c r="AA1149" s="7">
        <f t="shared" si="2"/>
        <v>42055</v>
      </c>
      <c r="AB1149" s="14"/>
      <c r="AC1149" s="14"/>
      <c r="AD1149" s="14"/>
      <c r="AE1149" s="14"/>
      <c r="AF1149" s="14"/>
      <c r="AG1149" s="14"/>
      <c r="AH1149" s="14"/>
      <c r="AI1149" s="14"/>
      <c r="AJ1149" s="14"/>
      <c r="AK1149" s="14"/>
      <c r="AL1149" s="14"/>
      <c r="AM1149" s="14"/>
    </row>
    <row r="1150" ht="14.25" customHeight="1">
      <c r="AA1150" s="7">
        <f t="shared" si="2"/>
        <v>42056</v>
      </c>
      <c r="AB1150" s="14"/>
      <c r="AC1150" s="14"/>
      <c r="AD1150" s="14"/>
      <c r="AE1150" s="14"/>
      <c r="AF1150" s="14"/>
      <c r="AG1150" s="14"/>
      <c r="AH1150" s="14"/>
      <c r="AI1150" s="14"/>
      <c r="AJ1150" s="14"/>
      <c r="AK1150" s="14"/>
      <c r="AL1150" s="14"/>
      <c r="AM1150" s="14"/>
    </row>
    <row r="1151" ht="14.25" customHeight="1">
      <c r="AA1151" s="7">
        <f t="shared" si="2"/>
        <v>42057</v>
      </c>
      <c r="AB1151" s="14"/>
      <c r="AC1151" s="14"/>
      <c r="AD1151" s="14"/>
      <c r="AE1151" s="14"/>
      <c r="AF1151" s="14"/>
      <c r="AG1151" s="14"/>
      <c r="AH1151" s="14"/>
      <c r="AI1151" s="14"/>
      <c r="AJ1151" s="14"/>
      <c r="AK1151" s="14"/>
      <c r="AL1151" s="14"/>
      <c r="AM1151" s="14"/>
    </row>
    <row r="1152" ht="14.25" customHeight="1">
      <c r="AA1152" s="7">
        <f t="shared" si="2"/>
        <v>42058</v>
      </c>
      <c r="AB1152" s="14"/>
      <c r="AC1152" s="14"/>
      <c r="AD1152" s="14"/>
      <c r="AE1152" s="14"/>
      <c r="AF1152" s="14"/>
      <c r="AG1152" s="14"/>
      <c r="AH1152" s="14"/>
      <c r="AI1152" s="14"/>
      <c r="AJ1152" s="14"/>
      <c r="AK1152" s="14"/>
      <c r="AL1152" s="14"/>
      <c r="AM1152" s="14"/>
    </row>
    <row r="1153" ht="14.25" customHeight="1">
      <c r="AA1153" s="7">
        <f t="shared" si="2"/>
        <v>42059</v>
      </c>
      <c r="AB1153" s="14"/>
      <c r="AC1153" s="14"/>
      <c r="AD1153" s="14"/>
      <c r="AE1153" s="14"/>
      <c r="AF1153" s="14"/>
      <c r="AG1153" s="14"/>
      <c r="AH1153" s="14"/>
      <c r="AI1153" s="14"/>
      <c r="AJ1153" s="14"/>
      <c r="AK1153" s="14"/>
      <c r="AL1153" s="14"/>
      <c r="AM1153" s="14"/>
    </row>
    <row r="1154" ht="14.25" customHeight="1">
      <c r="AA1154" s="7">
        <f t="shared" si="2"/>
        <v>42060</v>
      </c>
      <c r="AB1154" s="14"/>
      <c r="AC1154" s="14"/>
      <c r="AD1154" s="14"/>
      <c r="AE1154" s="14"/>
      <c r="AF1154" s="14"/>
      <c r="AG1154" s="14"/>
      <c r="AH1154" s="14"/>
      <c r="AI1154" s="14"/>
      <c r="AJ1154" s="14"/>
      <c r="AK1154" s="14"/>
      <c r="AL1154" s="14"/>
      <c r="AM1154" s="14"/>
    </row>
    <row r="1155" ht="14.25" customHeight="1">
      <c r="AA1155" s="7">
        <f t="shared" si="2"/>
        <v>42061</v>
      </c>
      <c r="AB1155" s="14"/>
      <c r="AC1155" s="14"/>
      <c r="AD1155" s="14"/>
      <c r="AE1155" s="14"/>
      <c r="AF1155" s="14"/>
      <c r="AG1155" s="14"/>
      <c r="AH1155" s="14"/>
      <c r="AI1155" s="14"/>
      <c r="AJ1155" s="14"/>
      <c r="AK1155" s="14"/>
      <c r="AL1155" s="14"/>
      <c r="AM1155" s="14"/>
    </row>
    <row r="1156" ht="14.25" customHeight="1">
      <c r="AA1156" s="7">
        <f t="shared" si="2"/>
        <v>42062</v>
      </c>
      <c r="AB1156" s="14"/>
      <c r="AC1156" s="14"/>
      <c r="AD1156" s="14"/>
      <c r="AE1156" s="14"/>
      <c r="AF1156" s="14"/>
      <c r="AG1156" s="14"/>
      <c r="AH1156" s="14"/>
      <c r="AI1156" s="14"/>
      <c r="AJ1156" s="14"/>
      <c r="AK1156" s="14"/>
      <c r="AL1156" s="14"/>
      <c r="AM1156" s="14"/>
    </row>
    <row r="1157" ht="14.25" customHeight="1">
      <c r="AA1157" s="7">
        <f t="shared" si="2"/>
        <v>42063</v>
      </c>
      <c r="AB1157" s="14"/>
      <c r="AC1157" s="14"/>
      <c r="AD1157" s="14"/>
      <c r="AE1157" s="14"/>
      <c r="AF1157" s="14"/>
      <c r="AG1157" s="14"/>
      <c r="AH1157" s="14"/>
      <c r="AI1157" s="14"/>
      <c r="AJ1157" s="14"/>
      <c r="AK1157" s="14"/>
      <c r="AL1157" s="14"/>
      <c r="AM1157" s="14"/>
    </row>
    <row r="1158" ht="14.25" customHeight="1">
      <c r="AA1158" s="7">
        <f t="shared" si="2"/>
        <v>42064</v>
      </c>
      <c r="AB1158" s="14"/>
      <c r="AC1158" s="14"/>
      <c r="AD1158" s="14"/>
      <c r="AE1158" s="14"/>
      <c r="AF1158" s="14"/>
      <c r="AG1158" s="14"/>
      <c r="AH1158" s="14"/>
      <c r="AI1158" s="14"/>
      <c r="AJ1158" s="14"/>
      <c r="AK1158" s="14"/>
      <c r="AL1158" s="14"/>
      <c r="AM1158" s="14"/>
    </row>
    <row r="1159" ht="14.25" customHeight="1">
      <c r="AA1159" s="7">
        <f t="shared" si="2"/>
        <v>42065</v>
      </c>
      <c r="AB1159" s="14"/>
      <c r="AC1159" s="14"/>
      <c r="AD1159" s="14"/>
      <c r="AE1159" s="14"/>
      <c r="AF1159" s="14"/>
      <c r="AG1159" s="14"/>
      <c r="AH1159" s="14"/>
      <c r="AI1159" s="14"/>
      <c r="AJ1159" s="14"/>
      <c r="AK1159" s="14"/>
      <c r="AL1159" s="14"/>
      <c r="AM1159" s="14"/>
    </row>
    <row r="1160" ht="14.25" customHeight="1">
      <c r="AA1160" s="7">
        <f t="shared" si="2"/>
        <v>42066</v>
      </c>
      <c r="AB1160" s="14"/>
      <c r="AC1160" s="14"/>
      <c r="AD1160" s="14"/>
      <c r="AE1160" s="14"/>
      <c r="AF1160" s="14"/>
      <c r="AG1160" s="14"/>
      <c r="AH1160" s="14"/>
      <c r="AI1160" s="14"/>
      <c r="AJ1160" s="14"/>
      <c r="AK1160" s="14"/>
      <c r="AL1160" s="14"/>
      <c r="AM1160" s="14"/>
    </row>
    <row r="1161" ht="14.25" customHeight="1">
      <c r="AA1161" s="7">
        <f t="shared" si="2"/>
        <v>42067</v>
      </c>
      <c r="AB1161" s="14"/>
      <c r="AC1161" s="14"/>
      <c r="AD1161" s="14"/>
      <c r="AE1161" s="14"/>
      <c r="AF1161" s="14"/>
      <c r="AG1161" s="14"/>
      <c r="AH1161" s="14"/>
      <c r="AI1161" s="14"/>
      <c r="AJ1161" s="14"/>
      <c r="AK1161" s="14"/>
      <c r="AL1161" s="14"/>
      <c r="AM1161" s="14"/>
    </row>
    <row r="1162" ht="14.25" customHeight="1">
      <c r="AA1162" s="7">
        <f t="shared" si="2"/>
        <v>42068</v>
      </c>
      <c r="AB1162" s="14"/>
      <c r="AC1162" s="14"/>
      <c r="AD1162" s="14"/>
      <c r="AE1162" s="14"/>
      <c r="AF1162" s="14"/>
      <c r="AG1162" s="14"/>
      <c r="AH1162" s="14"/>
      <c r="AI1162" s="14"/>
      <c r="AJ1162" s="14"/>
      <c r="AK1162" s="14"/>
      <c r="AL1162" s="14"/>
      <c r="AM1162" s="14"/>
    </row>
    <row r="1163" ht="14.25" customHeight="1">
      <c r="AA1163" s="7">
        <f t="shared" si="2"/>
        <v>42069</v>
      </c>
      <c r="AB1163" s="14"/>
      <c r="AC1163" s="14"/>
      <c r="AD1163" s="14"/>
      <c r="AE1163" s="14"/>
      <c r="AF1163" s="14"/>
      <c r="AG1163" s="14"/>
      <c r="AH1163" s="14"/>
      <c r="AI1163" s="14"/>
      <c r="AJ1163" s="14"/>
      <c r="AK1163" s="14"/>
      <c r="AL1163" s="14"/>
      <c r="AM1163" s="14"/>
    </row>
    <row r="1164" ht="14.25" customHeight="1">
      <c r="AA1164" s="7">
        <f t="shared" si="2"/>
        <v>42070</v>
      </c>
      <c r="AB1164" s="14"/>
      <c r="AC1164" s="14"/>
      <c r="AD1164" s="14"/>
      <c r="AE1164" s="14"/>
      <c r="AF1164" s="14"/>
      <c r="AG1164" s="14"/>
      <c r="AH1164" s="14"/>
      <c r="AI1164" s="14"/>
      <c r="AJ1164" s="14"/>
      <c r="AK1164" s="14"/>
      <c r="AL1164" s="14"/>
      <c r="AM1164" s="14"/>
    </row>
    <row r="1165" ht="14.25" customHeight="1">
      <c r="AA1165" s="7">
        <f t="shared" si="2"/>
        <v>42071</v>
      </c>
      <c r="AB1165" s="14"/>
      <c r="AC1165" s="14"/>
      <c r="AD1165" s="14"/>
      <c r="AE1165" s="14"/>
      <c r="AF1165" s="14"/>
      <c r="AG1165" s="14"/>
      <c r="AH1165" s="14"/>
      <c r="AI1165" s="14"/>
      <c r="AJ1165" s="14"/>
      <c r="AK1165" s="14"/>
      <c r="AL1165" s="14"/>
      <c r="AM1165" s="14"/>
    </row>
    <row r="1166" ht="14.25" customHeight="1">
      <c r="AA1166" s="7">
        <f t="shared" si="2"/>
        <v>42072</v>
      </c>
      <c r="AB1166" s="14"/>
      <c r="AC1166" s="14"/>
      <c r="AD1166" s="14"/>
      <c r="AE1166" s="14"/>
      <c r="AF1166" s="14"/>
      <c r="AG1166" s="14"/>
      <c r="AH1166" s="14"/>
      <c r="AI1166" s="14"/>
      <c r="AJ1166" s="14"/>
      <c r="AK1166" s="14"/>
      <c r="AL1166" s="14"/>
      <c r="AM1166" s="14"/>
    </row>
    <row r="1167" ht="14.25" customHeight="1">
      <c r="AA1167" s="7">
        <f t="shared" si="2"/>
        <v>42073</v>
      </c>
      <c r="AB1167" s="14"/>
      <c r="AC1167" s="14"/>
      <c r="AD1167" s="14"/>
      <c r="AE1167" s="14"/>
      <c r="AF1167" s="14"/>
      <c r="AG1167" s="14"/>
      <c r="AH1167" s="14"/>
      <c r="AI1167" s="14"/>
      <c r="AJ1167" s="14"/>
      <c r="AK1167" s="14"/>
      <c r="AL1167" s="14"/>
      <c r="AM1167" s="14"/>
    </row>
    <row r="1168" ht="14.25" customHeight="1">
      <c r="AA1168" s="7">
        <f t="shared" si="2"/>
        <v>42074</v>
      </c>
      <c r="AB1168" s="14"/>
      <c r="AC1168" s="14"/>
      <c r="AD1168" s="14"/>
      <c r="AE1168" s="14"/>
      <c r="AF1168" s="14"/>
      <c r="AG1168" s="14"/>
      <c r="AH1168" s="14"/>
      <c r="AI1168" s="14"/>
      <c r="AJ1168" s="14"/>
      <c r="AK1168" s="14"/>
      <c r="AL1168" s="14"/>
      <c r="AM1168" s="14"/>
    </row>
    <row r="1169" ht="14.25" customHeight="1">
      <c r="AA1169" s="7">
        <f t="shared" si="2"/>
        <v>42075</v>
      </c>
      <c r="AB1169" s="14"/>
      <c r="AC1169" s="14"/>
      <c r="AD1169" s="14"/>
      <c r="AE1169" s="14"/>
      <c r="AF1169" s="14"/>
      <c r="AG1169" s="14"/>
      <c r="AH1169" s="14"/>
      <c r="AI1169" s="14"/>
      <c r="AJ1169" s="14"/>
      <c r="AK1169" s="14"/>
      <c r="AL1169" s="14"/>
      <c r="AM1169" s="14"/>
    </row>
    <row r="1170" ht="14.25" customHeight="1">
      <c r="AA1170" s="7">
        <f t="shared" si="2"/>
        <v>42076</v>
      </c>
      <c r="AB1170" s="14"/>
      <c r="AC1170" s="14"/>
      <c r="AD1170" s="14"/>
      <c r="AE1170" s="14"/>
      <c r="AF1170" s="14"/>
      <c r="AG1170" s="14"/>
      <c r="AH1170" s="14"/>
      <c r="AI1170" s="14"/>
      <c r="AJ1170" s="14"/>
      <c r="AK1170" s="14"/>
      <c r="AL1170" s="14"/>
      <c r="AM1170" s="14"/>
    </row>
    <row r="1171" ht="14.25" customHeight="1">
      <c r="AA1171" s="7">
        <f t="shared" si="2"/>
        <v>42077</v>
      </c>
      <c r="AB1171" s="14"/>
      <c r="AC1171" s="14"/>
      <c r="AD1171" s="14"/>
      <c r="AE1171" s="14"/>
      <c r="AF1171" s="14"/>
      <c r="AG1171" s="14"/>
      <c r="AH1171" s="14"/>
      <c r="AI1171" s="14"/>
      <c r="AJ1171" s="14"/>
      <c r="AK1171" s="14"/>
      <c r="AL1171" s="14"/>
      <c r="AM1171" s="14"/>
    </row>
    <row r="1172" ht="14.25" customHeight="1">
      <c r="AA1172" s="7">
        <f t="shared" si="2"/>
        <v>42078</v>
      </c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  <c r="AL1172" s="14"/>
      <c r="AM1172" s="14"/>
    </row>
    <row r="1173" ht="14.25" customHeight="1">
      <c r="AA1173" s="7">
        <f t="shared" si="2"/>
        <v>42079</v>
      </c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  <c r="AL1173" s="14"/>
      <c r="AM1173" s="14"/>
    </row>
    <row r="1174" ht="14.25" customHeight="1">
      <c r="AA1174" s="7">
        <f t="shared" si="2"/>
        <v>42080</v>
      </c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  <c r="AL1174" s="14"/>
      <c r="AM1174" s="14"/>
    </row>
    <row r="1175" ht="14.25" customHeight="1">
      <c r="AA1175" s="7">
        <f t="shared" si="2"/>
        <v>42081</v>
      </c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  <c r="AL1175" s="14"/>
      <c r="AM1175" s="14"/>
    </row>
    <row r="1176" ht="14.25" customHeight="1">
      <c r="AA1176" s="7">
        <f t="shared" si="2"/>
        <v>42082</v>
      </c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  <c r="AL1176" s="14"/>
      <c r="AM1176" s="14"/>
    </row>
    <row r="1177" ht="14.25" customHeight="1">
      <c r="AA1177" s="7">
        <f t="shared" si="2"/>
        <v>42083</v>
      </c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  <c r="AL1177" s="14"/>
      <c r="AM1177" s="14"/>
    </row>
    <row r="1178" ht="14.25" customHeight="1">
      <c r="AA1178" s="7">
        <f t="shared" si="2"/>
        <v>42084</v>
      </c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  <c r="AL1178" s="14"/>
      <c r="AM1178" s="14"/>
    </row>
    <row r="1179" ht="14.25" customHeight="1">
      <c r="AA1179" s="7">
        <f t="shared" si="2"/>
        <v>42085</v>
      </c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  <c r="AL1179" s="14"/>
      <c r="AM1179" s="14"/>
    </row>
    <row r="1180" ht="14.25" customHeight="1">
      <c r="AA1180" s="7">
        <f t="shared" si="2"/>
        <v>42086</v>
      </c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  <c r="AL1180" s="14"/>
      <c r="AM1180" s="14"/>
    </row>
    <row r="1181" ht="14.25" customHeight="1">
      <c r="AA1181" s="7">
        <f t="shared" si="2"/>
        <v>42087</v>
      </c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  <c r="AL1181" s="14"/>
      <c r="AM1181" s="14"/>
    </row>
    <row r="1182" ht="14.25" customHeight="1">
      <c r="AA1182" s="7">
        <f t="shared" si="2"/>
        <v>42088</v>
      </c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  <c r="AL1182" s="14"/>
      <c r="AM1182" s="14"/>
    </row>
    <row r="1183" ht="14.25" customHeight="1">
      <c r="AA1183" s="7">
        <f t="shared" si="2"/>
        <v>42089</v>
      </c>
      <c r="AB1183" s="14"/>
      <c r="AC1183" s="14"/>
      <c r="AD1183" s="14"/>
      <c r="AE1183" s="14"/>
      <c r="AF1183" s="14"/>
      <c r="AG1183" s="14"/>
      <c r="AH1183" s="14"/>
      <c r="AI1183" s="14"/>
      <c r="AJ1183" s="14"/>
      <c r="AK1183" s="14"/>
      <c r="AL1183" s="14"/>
      <c r="AM1183" s="14"/>
    </row>
    <row r="1184" ht="14.25" customHeight="1">
      <c r="AA1184" s="7">
        <f t="shared" si="2"/>
        <v>42090</v>
      </c>
      <c r="AB1184" s="14"/>
      <c r="AC1184" s="14"/>
      <c r="AD1184" s="14"/>
      <c r="AE1184" s="14"/>
      <c r="AF1184" s="14"/>
      <c r="AG1184" s="14"/>
      <c r="AH1184" s="14"/>
      <c r="AI1184" s="14"/>
      <c r="AJ1184" s="14"/>
      <c r="AK1184" s="14"/>
      <c r="AL1184" s="14"/>
      <c r="AM1184" s="14"/>
    </row>
    <row r="1185" ht="14.25" customHeight="1">
      <c r="AA1185" s="7">
        <f t="shared" si="2"/>
        <v>42091</v>
      </c>
      <c r="AB1185" s="14"/>
      <c r="AC1185" s="14"/>
      <c r="AD1185" s="14"/>
      <c r="AE1185" s="14"/>
      <c r="AF1185" s="14"/>
      <c r="AG1185" s="14"/>
      <c r="AH1185" s="14"/>
      <c r="AI1185" s="14"/>
      <c r="AJ1185" s="14"/>
      <c r="AK1185" s="14"/>
      <c r="AL1185" s="14"/>
      <c r="AM1185" s="14"/>
    </row>
    <row r="1186" ht="14.25" customHeight="1">
      <c r="AA1186" s="7">
        <f t="shared" si="2"/>
        <v>42092</v>
      </c>
      <c r="AB1186" s="14"/>
      <c r="AC1186" s="14"/>
      <c r="AD1186" s="14"/>
      <c r="AE1186" s="14"/>
      <c r="AF1186" s="14"/>
      <c r="AG1186" s="14"/>
      <c r="AH1186" s="14"/>
      <c r="AI1186" s="14"/>
      <c r="AJ1186" s="14"/>
      <c r="AK1186" s="14"/>
      <c r="AL1186" s="14"/>
      <c r="AM1186" s="14"/>
    </row>
    <row r="1187" ht="14.25" customHeight="1">
      <c r="AA1187" s="7">
        <f t="shared" si="2"/>
        <v>42093</v>
      </c>
      <c r="AB1187" s="14"/>
      <c r="AC1187" s="14"/>
      <c r="AD1187" s="14"/>
      <c r="AE1187" s="14"/>
      <c r="AF1187" s="14"/>
      <c r="AG1187" s="14"/>
      <c r="AH1187" s="14"/>
      <c r="AI1187" s="14"/>
      <c r="AJ1187" s="14"/>
      <c r="AK1187" s="14"/>
      <c r="AL1187" s="14"/>
      <c r="AM1187" s="14"/>
    </row>
    <row r="1188" ht="14.25" customHeight="1">
      <c r="AA1188" s="7">
        <f t="shared" si="2"/>
        <v>42094</v>
      </c>
      <c r="AB1188" s="14"/>
      <c r="AC1188" s="14"/>
      <c r="AD1188" s="14"/>
      <c r="AE1188" s="14"/>
      <c r="AF1188" s="14"/>
      <c r="AG1188" s="14"/>
      <c r="AH1188" s="14"/>
      <c r="AI1188" s="14"/>
      <c r="AJ1188" s="14"/>
      <c r="AK1188" s="14"/>
      <c r="AL1188" s="14"/>
      <c r="AM1188" s="14"/>
    </row>
    <row r="1189" ht="14.25" customHeight="1">
      <c r="AA1189" s="7">
        <f t="shared" si="2"/>
        <v>42095</v>
      </c>
      <c r="AB1189" s="14"/>
      <c r="AC1189" s="14"/>
      <c r="AD1189" s="14"/>
      <c r="AE1189" s="14"/>
      <c r="AF1189" s="14"/>
      <c r="AG1189" s="14"/>
      <c r="AH1189" s="14"/>
      <c r="AI1189" s="14"/>
      <c r="AJ1189" s="14"/>
      <c r="AK1189" s="14"/>
      <c r="AL1189" s="14"/>
      <c r="AM1189" s="14"/>
    </row>
    <row r="1190" ht="14.25" customHeight="1">
      <c r="AA1190" s="7">
        <f t="shared" si="2"/>
        <v>42096</v>
      </c>
      <c r="AB1190" s="14"/>
      <c r="AC1190" s="14"/>
      <c r="AD1190" s="14"/>
      <c r="AE1190" s="14"/>
      <c r="AF1190" s="14"/>
      <c r="AG1190" s="14"/>
      <c r="AH1190" s="14"/>
      <c r="AI1190" s="14"/>
      <c r="AJ1190" s="14"/>
      <c r="AK1190" s="14"/>
      <c r="AL1190" s="14"/>
      <c r="AM1190" s="14"/>
    </row>
    <row r="1191" ht="14.25" customHeight="1">
      <c r="AA1191" s="7">
        <f t="shared" si="2"/>
        <v>42097</v>
      </c>
      <c r="AB1191" s="14"/>
      <c r="AC1191" s="14"/>
      <c r="AD1191" s="14"/>
      <c r="AE1191" s="14"/>
      <c r="AF1191" s="14"/>
      <c r="AG1191" s="14"/>
      <c r="AH1191" s="14"/>
      <c r="AI1191" s="14"/>
      <c r="AJ1191" s="14"/>
      <c r="AK1191" s="14"/>
      <c r="AL1191" s="14"/>
      <c r="AM1191" s="14"/>
    </row>
    <row r="1192" ht="14.25" customHeight="1">
      <c r="AA1192" s="7">
        <f t="shared" si="2"/>
        <v>42098</v>
      </c>
      <c r="AB1192" s="14"/>
      <c r="AC1192" s="14"/>
      <c r="AD1192" s="14"/>
      <c r="AE1192" s="14"/>
      <c r="AF1192" s="14"/>
      <c r="AG1192" s="14"/>
      <c r="AH1192" s="14"/>
      <c r="AI1192" s="14"/>
      <c r="AJ1192" s="14"/>
      <c r="AK1192" s="14"/>
      <c r="AL1192" s="14"/>
      <c r="AM1192" s="14"/>
    </row>
    <row r="1193" ht="14.25" customHeight="1">
      <c r="AA1193" s="7">
        <f t="shared" si="2"/>
        <v>42099</v>
      </c>
      <c r="AB1193" s="14"/>
      <c r="AC1193" s="14"/>
      <c r="AD1193" s="14"/>
      <c r="AE1193" s="14"/>
      <c r="AF1193" s="14"/>
      <c r="AG1193" s="14"/>
      <c r="AH1193" s="14"/>
      <c r="AI1193" s="14"/>
      <c r="AJ1193" s="14"/>
      <c r="AK1193" s="14"/>
      <c r="AL1193" s="14"/>
      <c r="AM1193" s="14"/>
    </row>
    <row r="1194" ht="14.25" customHeight="1">
      <c r="AA1194" s="7">
        <f t="shared" si="2"/>
        <v>42100</v>
      </c>
      <c r="AB1194" s="14"/>
      <c r="AC1194" s="14"/>
      <c r="AD1194" s="14"/>
      <c r="AE1194" s="14"/>
      <c r="AF1194" s="14"/>
      <c r="AG1194" s="14"/>
      <c r="AH1194" s="14"/>
      <c r="AI1194" s="14"/>
      <c r="AJ1194" s="14"/>
      <c r="AK1194" s="14"/>
      <c r="AL1194" s="14"/>
      <c r="AM1194" s="14"/>
    </row>
    <row r="1195" ht="14.25" customHeight="1">
      <c r="AA1195" s="7">
        <f t="shared" si="2"/>
        <v>42101</v>
      </c>
      <c r="AB1195" s="14"/>
      <c r="AC1195" s="14"/>
      <c r="AD1195" s="14"/>
      <c r="AE1195" s="14"/>
      <c r="AF1195" s="14"/>
      <c r="AG1195" s="14"/>
      <c r="AH1195" s="14"/>
      <c r="AI1195" s="14"/>
      <c r="AJ1195" s="14"/>
      <c r="AK1195" s="14"/>
      <c r="AL1195" s="14"/>
      <c r="AM1195" s="14"/>
    </row>
    <row r="1196" ht="14.25" customHeight="1">
      <c r="AA1196" s="7">
        <f t="shared" si="2"/>
        <v>42102</v>
      </c>
      <c r="AB1196" s="14"/>
      <c r="AC1196" s="14"/>
      <c r="AD1196" s="14"/>
      <c r="AE1196" s="14"/>
      <c r="AF1196" s="14"/>
      <c r="AG1196" s="14"/>
      <c r="AH1196" s="14"/>
      <c r="AI1196" s="14"/>
      <c r="AJ1196" s="14"/>
      <c r="AK1196" s="14"/>
      <c r="AL1196" s="14"/>
      <c r="AM1196" s="14"/>
    </row>
    <row r="1197" ht="14.25" customHeight="1">
      <c r="AA1197" s="7">
        <f t="shared" si="2"/>
        <v>42103</v>
      </c>
      <c r="AB1197" s="14"/>
      <c r="AC1197" s="14"/>
      <c r="AD1197" s="14"/>
      <c r="AE1197" s="14"/>
      <c r="AF1197" s="14"/>
      <c r="AG1197" s="14"/>
      <c r="AH1197" s="14"/>
      <c r="AI1197" s="14"/>
      <c r="AJ1197" s="14"/>
      <c r="AK1197" s="14"/>
      <c r="AL1197" s="14"/>
      <c r="AM1197" s="14"/>
    </row>
    <row r="1198" ht="14.25" customHeight="1">
      <c r="AA1198" s="7">
        <f t="shared" si="2"/>
        <v>42104</v>
      </c>
      <c r="AB1198" s="14"/>
      <c r="AC1198" s="14"/>
      <c r="AD1198" s="14"/>
      <c r="AE1198" s="14"/>
      <c r="AF1198" s="14"/>
      <c r="AG1198" s="14"/>
      <c r="AH1198" s="14"/>
      <c r="AI1198" s="14"/>
      <c r="AJ1198" s="14"/>
      <c r="AK1198" s="14"/>
      <c r="AL1198" s="14"/>
      <c r="AM1198" s="14"/>
    </row>
    <row r="1199" ht="14.25" customHeight="1">
      <c r="AA1199" s="7">
        <f t="shared" si="2"/>
        <v>42105</v>
      </c>
      <c r="AB1199" s="14"/>
      <c r="AC1199" s="14"/>
      <c r="AD1199" s="14"/>
      <c r="AE1199" s="14"/>
      <c r="AF1199" s="14"/>
      <c r="AG1199" s="14"/>
      <c r="AH1199" s="14"/>
      <c r="AI1199" s="14"/>
      <c r="AJ1199" s="14"/>
      <c r="AK1199" s="14"/>
      <c r="AL1199" s="14"/>
      <c r="AM1199" s="14"/>
    </row>
    <row r="1200" ht="14.25" customHeight="1">
      <c r="AA1200" s="7">
        <f t="shared" si="2"/>
        <v>42106</v>
      </c>
      <c r="AB1200" s="14"/>
      <c r="AC1200" s="14"/>
      <c r="AD1200" s="14"/>
      <c r="AE1200" s="14"/>
      <c r="AF1200" s="14"/>
      <c r="AG1200" s="14"/>
      <c r="AH1200" s="14"/>
      <c r="AI1200" s="14"/>
      <c r="AJ1200" s="14"/>
      <c r="AK1200" s="14"/>
      <c r="AL1200" s="14"/>
      <c r="AM1200" s="14"/>
    </row>
    <row r="1201" ht="14.25" customHeight="1">
      <c r="AA1201" s="7">
        <f t="shared" si="2"/>
        <v>42107</v>
      </c>
      <c r="AB1201" s="14"/>
      <c r="AC1201" s="14"/>
      <c r="AD1201" s="14"/>
      <c r="AE1201" s="14"/>
      <c r="AF1201" s="14"/>
      <c r="AG1201" s="14"/>
      <c r="AH1201" s="14"/>
      <c r="AI1201" s="14"/>
      <c r="AJ1201" s="14"/>
      <c r="AK1201" s="14"/>
      <c r="AL1201" s="14"/>
      <c r="AM1201" s="14"/>
    </row>
    <row r="1202" ht="14.25" customHeight="1">
      <c r="AA1202" s="7">
        <f t="shared" si="2"/>
        <v>42108</v>
      </c>
      <c r="AB1202" s="14"/>
      <c r="AC1202" s="14"/>
      <c r="AD1202" s="14"/>
      <c r="AE1202" s="14"/>
      <c r="AF1202" s="14"/>
      <c r="AG1202" s="14"/>
      <c r="AH1202" s="14"/>
      <c r="AI1202" s="14"/>
      <c r="AJ1202" s="14"/>
      <c r="AK1202" s="14"/>
      <c r="AL1202" s="14"/>
      <c r="AM1202" s="14"/>
    </row>
    <row r="1203" ht="14.25" customHeight="1">
      <c r="AA1203" s="7">
        <f t="shared" si="2"/>
        <v>42109</v>
      </c>
      <c r="AB1203" s="14"/>
      <c r="AC1203" s="14"/>
      <c r="AD1203" s="14"/>
      <c r="AE1203" s="14"/>
      <c r="AF1203" s="14"/>
      <c r="AG1203" s="14"/>
      <c r="AH1203" s="14"/>
      <c r="AI1203" s="14"/>
      <c r="AJ1203" s="14"/>
      <c r="AK1203" s="14"/>
      <c r="AL1203" s="14"/>
      <c r="AM1203" s="14"/>
    </row>
    <row r="1204" ht="14.25" customHeight="1">
      <c r="AA1204" s="7">
        <f t="shared" si="2"/>
        <v>42110</v>
      </c>
      <c r="AB1204" s="14"/>
      <c r="AC1204" s="14"/>
      <c r="AD1204" s="14"/>
      <c r="AE1204" s="14"/>
      <c r="AF1204" s="14"/>
      <c r="AG1204" s="14"/>
      <c r="AH1204" s="14"/>
      <c r="AI1204" s="14"/>
      <c r="AJ1204" s="14"/>
      <c r="AK1204" s="14"/>
      <c r="AL1204" s="14"/>
      <c r="AM1204" s="14"/>
    </row>
    <row r="1205" ht="14.25" customHeight="1">
      <c r="AA1205" s="7">
        <f t="shared" si="2"/>
        <v>42111</v>
      </c>
      <c r="AB1205" s="14"/>
      <c r="AC1205" s="14"/>
      <c r="AD1205" s="14"/>
      <c r="AE1205" s="14"/>
      <c r="AF1205" s="14"/>
      <c r="AG1205" s="14"/>
      <c r="AH1205" s="14"/>
      <c r="AI1205" s="14"/>
      <c r="AJ1205" s="14"/>
      <c r="AK1205" s="14"/>
      <c r="AL1205" s="14"/>
      <c r="AM1205" s="14"/>
    </row>
    <row r="1206" ht="14.25" customHeight="1">
      <c r="AA1206" s="7">
        <f t="shared" si="2"/>
        <v>42112</v>
      </c>
      <c r="AB1206" s="14"/>
      <c r="AC1206" s="14"/>
      <c r="AD1206" s="14"/>
      <c r="AE1206" s="14"/>
      <c r="AF1206" s="14"/>
      <c r="AG1206" s="14"/>
      <c r="AH1206" s="14"/>
      <c r="AI1206" s="14"/>
      <c r="AJ1206" s="14"/>
      <c r="AK1206" s="14"/>
      <c r="AL1206" s="14"/>
      <c r="AM1206" s="14"/>
    </row>
    <row r="1207" ht="14.25" customHeight="1">
      <c r="AA1207" s="7">
        <f t="shared" si="2"/>
        <v>42113</v>
      </c>
      <c r="AB1207" s="14"/>
      <c r="AC1207" s="14"/>
      <c r="AD1207" s="14"/>
      <c r="AE1207" s="14"/>
      <c r="AF1207" s="14"/>
      <c r="AG1207" s="14"/>
      <c r="AH1207" s="14"/>
      <c r="AI1207" s="14"/>
      <c r="AJ1207" s="14"/>
      <c r="AK1207" s="14"/>
      <c r="AL1207" s="14"/>
      <c r="AM1207" s="14"/>
    </row>
    <row r="1208" ht="14.25" customHeight="1">
      <c r="AA1208" s="7">
        <f t="shared" si="2"/>
        <v>42114</v>
      </c>
      <c r="AB1208" s="14"/>
      <c r="AC1208" s="14"/>
      <c r="AD1208" s="14"/>
      <c r="AE1208" s="14"/>
      <c r="AF1208" s="14"/>
      <c r="AG1208" s="14"/>
      <c r="AH1208" s="14"/>
      <c r="AI1208" s="14"/>
      <c r="AJ1208" s="14"/>
      <c r="AK1208" s="14"/>
      <c r="AL1208" s="14"/>
      <c r="AM1208" s="14"/>
    </row>
    <row r="1209" ht="14.25" customHeight="1">
      <c r="AA1209" s="7">
        <f t="shared" si="2"/>
        <v>42115</v>
      </c>
      <c r="AB1209" s="14"/>
      <c r="AC1209" s="14"/>
      <c r="AD1209" s="14"/>
      <c r="AE1209" s="14"/>
      <c r="AF1209" s="14"/>
      <c r="AG1209" s="14"/>
      <c r="AH1209" s="14"/>
      <c r="AI1209" s="14"/>
      <c r="AJ1209" s="14"/>
      <c r="AK1209" s="14"/>
      <c r="AL1209" s="14"/>
      <c r="AM1209" s="14"/>
    </row>
    <row r="1210" ht="14.25" customHeight="1">
      <c r="AA1210" s="7">
        <f t="shared" si="2"/>
        <v>42116</v>
      </c>
      <c r="AB1210" s="14"/>
      <c r="AC1210" s="14"/>
      <c r="AD1210" s="14"/>
      <c r="AE1210" s="14"/>
      <c r="AF1210" s="14"/>
      <c r="AG1210" s="14"/>
      <c r="AH1210" s="14"/>
      <c r="AI1210" s="14"/>
      <c r="AJ1210" s="14"/>
      <c r="AK1210" s="14"/>
      <c r="AL1210" s="14"/>
      <c r="AM1210" s="14"/>
    </row>
    <row r="1211" ht="14.25" customHeight="1">
      <c r="AA1211" s="7">
        <f t="shared" si="2"/>
        <v>42117</v>
      </c>
      <c r="AB1211" s="14"/>
      <c r="AC1211" s="14"/>
      <c r="AD1211" s="14"/>
      <c r="AE1211" s="14"/>
      <c r="AF1211" s="14"/>
      <c r="AG1211" s="14"/>
      <c r="AH1211" s="14"/>
      <c r="AI1211" s="14"/>
      <c r="AJ1211" s="14"/>
      <c r="AK1211" s="14"/>
      <c r="AL1211" s="14"/>
      <c r="AM1211" s="14"/>
    </row>
    <row r="1212" ht="14.25" customHeight="1">
      <c r="AA1212" s="7">
        <f t="shared" si="2"/>
        <v>42118</v>
      </c>
      <c r="AB1212" s="14"/>
      <c r="AC1212" s="14"/>
      <c r="AD1212" s="14"/>
      <c r="AE1212" s="14"/>
      <c r="AF1212" s="14"/>
      <c r="AG1212" s="14"/>
      <c r="AH1212" s="14"/>
      <c r="AI1212" s="14"/>
      <c r="AJ1212" s="14"/>
      <c r="AK1212" s="14"/>
      <c r="AL1212" s="14"/>
      <c r="AM1212" s="14"/>
    </row>
    <row r="1213" ht="14.25" customHeight="1">
      <c r="AA1213" s="7">
        <f t="shared" si="2"/>
        <v>42119</v>
      </c>
      <c r="AB1213" s="14"/>
      <c r="AC1213" s="14"/>
      <c r="AD1213" s="14"/>
      <c r="AE1213" s="14"/>
      <c r="AF1213" s="14"/>
      <c r="AG1213" s="14"/>
      <c r="AH1213" s="14"/>
      <c r="AI1213" s="14"/>
      <c r="AJ1213" s="14"/>
      <c r="AK1213" s="14"/>
      <c r="AL1213" s="14"/>
      <c r="AM1213" s="14"/>
    </row>
    <row r="1214" ht="14.25" customHeight="1">
      <c r="AA1214" s="7">
        <f t="shared" si="2"/>
        <v>42120</v>
      </c>
      <c r="AB1214" s="14"/>
      <c r="AC1214" s="14"/>
      <c r="AD1214" s="14"/>
      <c r="AE1214" s="14"/>
      <c r="AF1214" s="14"/>
      <c r="AG1214" s="14"/>
      <c r="AH1214" s="14"/>
      <c r="AI1214" s="14"/>
      <c r="AJ1214" s="14"/>
      <c r="AK1214" s="14"/>
      <c r="AL1214" s="14"/>
      <c r="AM1214" s="14"/>
    </row>
    <row r="1215" ht="14.25" customHeight="1">
      <c r="AA1215" s="7">
        <f t="shared" si="2"/>
        <v>42121</v>
      </c>
      <c r="AB1215" s="14"/>
      <c r="AC1215" s="14"/>
      <c r="AD1215" s="14"/>
      <c r="AE1215" s="14"/>
      <c r="AF1215" s="14"/>
      <c r="AG1215" s="14"/>
      <c r="AH1215" s="14"/>
      <c r="AI1215" s="14"/>
      <c r="AJ1215" s="14"/>
      <c r="AK1215" s="14"/>
      <c r="AL1215" s="14"/>
      <c r="AM1215" s="14"/>
    </row>
    <row r="1216" ht="14.25" customHeight="1">
      <c r="AA1216" s="7">
        <f t="shared" si="2"/>
        <v>42122</v>
      </c>
      <c r="AB1216" s="14"/>
      <c r="AC1216" s="14"/>
      <c r="AD1216" s="14"/>
      <c r="AE1216" s="14"/>
      <c r="AF1216" s="14"/>
      <c r="AG1216" s="14"/>
      <c r="AH1216" s="14"/>
      <c r="AI1216" s="14"/>
      <c r="AJ1216" s="14"/>
      <c r="AK1216" s="14"/>
      <c r="AL1216" s="14"/>
      <c r="AM1216" s="14"/>
    </row>
    <row r="1217" ht="14.25" customHeight="1">
      <c r="AA1217" s="7">
        <f t="shared" si="2"/>
        <v>42123</v>
      </c>
      <c r="AB1217" s="14"/>
      <c r="AC1217" s="14"/>
      <c r="AD1217" s="14"/>
      <c r="AE1217" s="14"/>
      <c r="AF1217" s="14"/>
      <c r="AG1217" s="14"/>
      <c r="AH1217" s="14"/>
      <c r="AI1217" s="14"/>
      <c r="AJ1217" s="14"/>
      <c r="AK1217" s="14"/>
      <c r="AL1217" s="14"/>
      <c r="AM1217" s="14"/>
    </row>
    <row r="1218" ht="14.25" customHeight="1">
      <c r="AA1218" s="7">
        <f t="shared" si="2"/>
        <v>42124</v>
      </c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  <c r="AL1218" s="14"/>
      <c r="AM1218" s="14"/>
    </row>
    <row r="1219" ht="14.25" customHeight="1">
      <c r="AA1219" s="7">
        <f t="shared" si="2"/>
        <v>42125</v>
      </c>
      <c r="AB1219" s="14"/>
      <c r="AC1219" s="14"/>
      <c r="AD1219" s="14"/>
      <c r="AE1219" s="14"/>
      <c r="AF1219" s="14"/>
      <c r="AG1219" s="14"/>
      <c r="AH1219" s="14"/>
      <c r="AI1219" s="14"/>
      <c r="AJ1219" s="14"/>
      <c r="AK1219" s="14"/>
      <c r="AL1219" s="14"/>
      <c r="AM1219" s="14"/>
    </row>
    <row r="1220" ht="14.25" customHeight="1">
      <c r="AA1220" s="7">
        <f t="shared" si="2"/>
        <v>42126</v>
      </c>
      <c r="AB1220" s="14"/>
      <c r="AC1220" s="14"/>
      <c r="AD1220" s="14"/>
      <c r="AE1220" s="14"/>
      <c r="AF1220" s="14"/>
      <c r="AG1220" s="14"/>
      <c r="AH1220" s="14"/>
      <c r="AI1220" s="14"/>
      <c r="AJ1220" s="14"/>
      <c r="AK1220" s="14"/>
      <c r="AL1220" s="14"/>
      <c r="AM1220" s="14"/>
    </row>
    <row r="1221" ht="14.25" customHeight="1">
      <c r="AA1221" s="7">
        <f t="shared" si="2"/>
        <v>42127</v>
      </c>
      <c r="AB1221" s="14"/>
      <c r="AC1221" s="14"/>
      <c r="AD1221" s="14"/>
      <c r="AE1221" s="14"/>
      <c r="AF1221" s="14"/>
      <c r="AG1221" s="14"/>
      <c r="AH1221" s="14"/>
      <c r="AI1221" s="14"/>
      <c r="AJ1221" s="14"/>
      <c r="AK1221" s="14"/>
      <c r="AL1221" s="14"/>
      <c r="AM1221" s="14"/>
    </row>
    <row r="1222" ht="14.25" customHeight="1">
      <c r="AA1222" s="7">
        <f t="shared" si="2"/>
        <v>42128</v>
      </c>
      <c r="AB1222" s="14"/>
      <c r="AC1222" s="14"/>
      <c r="AD1222" s="14"/>
      <c r="AE1222" s="14"/>
      <c r="AF1222" s="14"/>
      <c r="AG1222" s="14"/>
      <c r="AH1222" s="14"/>
      <c r="AI1222" s="14"/>
      <c r="AJ1222" s="14"/>
      <c r="AK1222" s="14"/>
      <c r="AL1222" s="14"/>
      <c r="AM1222" s="14"/>
    </row>
    <row r="1223" ht="14.25" customHeight="1">
      <c r="AA1223" s="7">
        <f t="shared" si="2"/>
        <v>42129</v>
      </c>
      <c r="AB1223" s="14"/>
      <c r="AC1223" s="14"/>
      <c r="AD1223" s="14"/>
      <c r="AE1223" s="14"/>
      <c r="AF1223" s="14"/>
      <c r="AG1223" s="14"/>
      <c r="AH1223" s="14"/>
      <c r="AI1223" s="14"/>
      <c r="AJ1223" s="14"/>
      <c r="AK1223" s="14"/>
      <c r="AL1223" s="14"/>
      <c r="AM1223" s="14"/>
    </row>
    <row r="1224" ht="14.25" customHeight="1">
      <c r="AA1224" s="7">
        <f t="shared" si="2"/>
        <v>42130</v>
      </c>
      <c r="AB1224" s="14"/>
      <c r="AC1224" s="14"/>
      <c r="AD1224" s="14"/>
      <c r="AE1224" s="14"/>
      <c r="AF1224" s="14"/>
      <c r="AG1224" s="14"/>
      <c r="AH1224" s="14"/>
      <c r="AI1224" s="14"/>
      <c r="AJ1224" s="14"/>
      <c r="AK1224" s="14"/>
      <c r="AL1224" s="14"/>
      <c r="AM1224" s="14"/>
    </row>
    <row r="1225" ht="14.25" customHeight="1">
      <c r="AA1225" s="7">
        <f t="shared" si="2"/>
        <v>42131</v>
      </c>
      <c r="AB1225" s="14"/>
      <c r="AC1225" s="14"/>
      <c r="AD1225" s="14"/>
      <c r="AE1225" s="14"/>
      <c r="AF1225" s="14"/>
      <c r="AG1225" s="14"/>
      <c r="AH1225" s="14"/>
      <c r="AI1225" s="14"/>
      <c r="AJ1225" s="14"/>
      <c r="AK1225" s="14"/>
      <c r="AL1225" s="14"/>
      <c r="AM1225" s="14"/>
    </row>
    <row r="1226" ht="14.25" customHeight="1">
      <c r="AA1226" s="7">
        <f t="shared" si="2"/>
        <v>42132</v>
      </c>
      <c r="AB1226" s="14"/>
      <c r="AC1226" s="14"/>
      <c r="AD1226" s="14"/>
      <c r="AE1226" s="14"/>
      <c r="AF1226" s="14"/>
      <c r="AG1226" s="14"/>
      <c r="AH1226" s="14"/>
      <c r="AI1226" s="14"/>
      <c r="AJ1226" s="14"/>
      <c r="AK1226" s="14"/>
      <c r="AL1226" s="14"/>
      <c r="AM1226" s="14"/>
    </row>
    <row r="1227" ht="14.25" customHeight="1">
      <c r="AA1227" s="7">
        <f t="shared" si="2"/>
        <v>42133</v>
      </c>
      <c r="AB1227" s="14"/>
      <c r="AC1227" s="14"/>
      <c r="AD1227" s="14"/>
      <c r="AE1227" s="14"/>
      <c r="AF1227" s="14"/>
      <c r="AG1227" s="14"/>
      <c r="AH1227" s="14"/>
      <c r="AI1227" s="14"/>
      <c r="AJ1227" s="14"/>
      <c r="AK1227" s="14"/>
      <c r="AL1227" s="14"/>
      <c r="AM1227" s="14"/>
    </row>
    <row r="1228" ht="14.25" customHeight="1">
      <c r="AA1228" s="7">
        <f t="shared" si="2"/>
        <v>42134</v>
      </c>
      <c r="AB1228" s="14"/>
      <c r="AC1228" s="14"/>
      <c r="AD1228" s="14"/>
      <c r="AE1228" s="14"/>
      <c r="AF1228" s="14"/>
      <c r="AG1228" s="14"/>
      <c r="AH1228" s="14"/>
      <c r="AI1228" s="14"/>
      <c r="AJ1228" s="14"/>
      <c r="AK1228" s="14"/>
      <c r="AL1228" s="14"/>
      <c r="AM1228" s="14"/>
    </row>
    <row r="1229" ht="14.25" customHeight="1">
      <c r="AA1229" s="7">
        <f t="shared" si="2"/>
        <v>42135</v>
      </c>
      <c r="AB1229" s="14"/>
      <c r="AC1229" s="14"/>
      <c r="AD1229" s="14"/>
      <c r="AE1229" s="14"/>
      <c r="AF1229" s="14"/>
      <c r="AG1229" s="14"/>
      <c r="AH1229" s="14"/>
      <c r="AI1229" s="14"/>
      <c r="AJ1229" s="14"/>
      <c r="AK1229" s="14"/>
      <c r="AL1229" s="14"/>
      <c r="AM1229" s="14"/>
    </row>
    <row r="1230" ht="14.25" customHeight="1">
      <c r="AA1230" s="7">
        <f t="shared" si="2"/>
        <v>42136</v>
      </c>
      <c r="AB1230" s="14"/>
      <c r="AC1230" s="14"/>
      <c r="AD1230" s="14"/>
      <c r="AE1230" s="14"/>
      <c r="AF1230" s="14"/>
      <c r="AG1230" s="14"/>
      <c r="AH1230" s="14"/>
      <c r="AI1230" s="14"/>
      <c r="AJ1230" s="14"/>
      <c r="AK1230" s="14"/>
      <c r="AL1230" s="14"/>
      <c r="AM1230" s="14"/>
    </row>
    <row r="1231" ht="14.25" customHeight="1">
      <c r="AA1231" s="7">
        <f t="shared" si="2"/>
        <v>42137</v>
      </c>
      <c r="AB1231" s="14"/>
      <c r="AC1231" s="14"/>
      <c r="AD1231" s="14"/>
      <c r="AE1231" s="14"/>
      <c r="AF1231" s="14"/>
      <c r="AG1231" s="14"/>
      <c r="AH1231" s="14"/>
      <c r="AI1231" s="14"/>
      <c r="AJ1231" s="14"/>
      <c r="AK1231" s="14"/>
      <c r="AL1231" s="14"/>
      <c r="AM1231" s="14"/>
    </row>
    <row r="1232" ht="14.25" customHeight="1">
      <c r="AA1232" s="7">
        <f t="shared" si="2"/>
        <v>42138</v>
      </c>
      <c r="AB1232" s="14"/>
      <c r="AC1232" s="14"/>
      <c r="AD1232" s="14"/>
      <c r="AE1232" s="14"/>
      <c r="AF1232" s="14"/>
      <c r="AG1232" s="14"/>
      <c r="AH1232" s="14"/>
      <c r="AI1232" s="14"/>
      <c r="AJ1232" s="14"/>
      <c r="AK1232" s="14"/>
      <c r="AL1232" s="14"/>
      <c r="AM1232" s="14"/>
    </row>
    <row r="1233" ht="14.25" customHeight="1">
      <c r="AA1233" s="7">
        <f t="shared" si="2"/>
        <v>42139</v>
      </c>
      <c r="AB1233" s="14"/>
      <c r="AC1233" s="14"/>
      <c r="AD1233" s="14"/>
      <c r="AE1233" s="14"/>
      <c r="AF1233" s="14"/>
      <c r="AG1233" s="14"/>
      <c r="AH1233" s="14"/>
      <c r="AI1233" s="14"/>
      <c r="AJ1233" s="14"/>
      <c r="AK1233" s="14"/>
      <c r="AL1233" s="14"/>
      <c r="AM1233" s="14"/>
    </row>
    <row r="1234" ht="14.25" customHeight="1">
      <c r="AA1234" s="7">
        <f t="shared" si="2"/>
        <v>42140</v>
      </c>
      <c r="AB1234" s="14"/>
      <c r="AC1234" s="14"/>
      <c r="AD1234" s="14"/>
      <c r="AE1234" s="14"/>
      <c r="AF1234" s="14"/>
      <c r="AG1234" s="14"/>
      <c r="AH1234" s="14"/>
      <c r="AI1234" s="14"/>
      <c r="AJ1234" s="14"/>
      <c r="AK1234" s="14"/>
      <c r="AL1234" s="14"/>
      <c r="AM1234" s="14"/>
    </row>
    <row r="1235" ht="14.25" customHeight="1">
      <c r="AA1235" s="7">
        <f t="shared" si="2"/>
        <v>42141</v>
      </c>
      <c r="AB1235" s="14"/>
      <c r="AC1235" s="14"/>
      <c r="AD1235" s="14"/>
      <c r="AE1235" s="14"/>
      <c r="AF1235" s="14"/>
      <c r="AG1235" s="14"/>
      <c r="AH1235" s="14"/>
      <c r="AI1235" s="14"/>
      <c r="AJ1235" s="14"/>
      <c r="AK1235" s="14"/>
      <c r="AL1235" s="14"/>
      <c r="AM1235" s="14"/>
    </row>
    <row r="1236" ht="14.25" customHeight="1">
      <c r="AA1236" s="7">
        <f t="shared" si="2"/>
        <v>42142</v>
      </c>
      <c r="AB1236" s="14"/>
      <c r="AC1236" s="14"/>
      <c r="AD1236" s="14"/>
      <c r="AE1236" s="14"/>
      <c r="AF1236" s="14"/>
      <c r="AG1236" s="14"/>
      <c r="AH1236" s="14"/>
      <c r="AI1236" s="14"/>
      <c r="AJ1236" s="14"/>
      <c r="AK1236" s="14"/>
      <c r="AL1236" s="14"/>
      <c r="AM1236" s="14"/>
    </row>
    <row r="1237" ht="14.25" customHeight="1">
      <c r="AA1237" s="7">
        <f t="shared" si="2"/>
        <v>42143</v>
      </c>
      <c r="AB1237" s="14"/>
      <c r="AC1237" s="14"/>
      <c r="AD1237" s="14"/>
      <c r="AE1237" s="14"/>
      <c r="AF1237" s="14"/>
      <c r="AG1237" s="14"/>
      <c r="AH1237" s="14"/>
      <c r="AI1237" s="14"/>
      <c r="AJ1237" s="14"/>
      <c r="AK1237" s="14"/>
      <c r="AL1237" s="14"/>
      <c r="AM1237" s="14"/>
    </row>
    <row r="1238" ht="14.25" customHeight="1">
      <c r="AA1238" s="7">
        <f t="shared" si="2"/>
        <v>42144</v>
      </c>
      <c r="AB1238" s="14"/>
      <c r="AC1238" s="14"/>
      <c r="AD1238" s="14"/>
      <c r="AE1238" s="14"/>
      <c r="AF1238" s="14"/>
      <c r="AG1238" s="14"/>
      <c r="AH1238" s="14"/>
      <c r="AI1238" s="14"/>
      <c r="AJ1238" s="14"/>
      <c r="AK1238" s="14"/>
      <c r="AL1238" s="14"/>
      <c r="AM1238" s="14"/>
    </row>
    <row r="1239" ht="14.25" customHeight="1">
      <c r="AA1239" s="7">
        <f t="shared" si="2"/>
        <v>42145</v>
      </c>
      <c r="AB1239" s="14"/>
      <c r="AC1239" s="14"/>
      <c r="AD1239" s="14"/>
      <c r="AE1239" s="14"/>
      <c r="AF1239" s="14"/>
      <c r="AG1239" s="14"/>
      <c r="AH1239" s="14"/>
      <c r="AI1239" s="14"/>
      <c r="AJ1239" s="14"/>
      <c r="AK1239" s="14"/>
      <c r="AL1239" s="14"/>
      <c r="AM1239" s="14"/>
    </row>
    <row r="1240" ht="14.25" customHeight="1">
      <c r="AA1240" s="7">
        <f t="shared" si="2"/>
        <v>42146</v>
      </c>
      <c r="AB1240" s="14"/>
      <c r="AC1240" s="14"/>
      <c r="AD1240" s="14"/>
      <c r="AE1240" s="14"/>
      <c r="AF1240" s="14"/>
      <c r="AG1240" s="14"/>
      <c r="AH1240" s="14"/>
      <c r="AI1240" s="14"/>
      <c r="AJ1240" s="14"/>
      <c r="AK1240" s="14"/>
      <c r="AL1240" s="14"/>
      <c r="AM1240" s="14"/>
    </row>
    <row r="1241" ht="14.25" customHeight="1">
      <c r="AA1241" s="7">
        <f t="shared" si="2"/>
        <v>42147</v>
      </c>
      <c r="AB1241" s="14"/>
      <c r="AC1241" s="14"/>
      <c r="AD1241" s="14"/>
      <c r="AE1241" s="14"/>
      <c r="AF1241" s="14"/>
      <c r="AG1241" s="14"/>
      <c r="AH1241" s="14"/>
      <c r="AI1241" s="14"/>
      <c r="AJ1241" s="14"/>
      <c r="AK1241" s="14"/>
      <c r="AL1241" s="14"/>
      <c r="AM1241" s="14"/>
    </row>
    <row r="1242" ht="14.25" customHeight="1">
      <c r="AA1242" s="7">
        <f t="shared" si="2"/>
        <v>42148</v>
      </c>
      <c r="AB1242" s="14"/>
      <c r="AC1242" s="14"/>
      <c r="AD1242" s="14"/>
      <c r="AE1242" s="14"/>
      <c r="AF1242" s="14"/>
      <c r="AG1242" s="14"/>
      <c r="AH1242" s="14"/>
      <c r="AI1242" s="14"/>
      <c r="AJ1242" s="14"/>
      <c r="AK1242" s="14"/>
      <c r="AL1242" s="14"/>
      <c r="AM1242" s="14"/>
    </row>
    <row r="1243" ht="14.25" customHeight="1">
      <c r="AA1243" s="7">
        <f t="shared" si="2"/>
        <v>42149</v>
      </c>
      <c r="AB1243" s="14"/>
      <c r="AC1243" s="14"/>
      <c r="AD1243" s="14"/>
      <c r="AE1243" s="14"/>
      <c r="AF1243" s="14"/>
      <c r="AG1243" s="14"/>
      <c r="AH1243" s="14"/>
      <c r="AI1243" s="14"/>
      <c r="AJ1243" s="14"/>
      <c r="AK1243" s="14"/>
      <c r="AL1243" s="14"/>
      <c r="AM1243" s="14"/>
    </row>
    <row r="1244" ht="14.25" customHeight="1">
      <c r="AA1244" s="7">
        <f t="shared" si="2"/>
        <v>42150</v>
      </c>
      <c r="AB1244" s="14"/>
      <c r="AC1244" s="14"/>
      <c r="AD1244" s="14"/>
      <c r="AE1244" s="14"/>
      <c r="AF1244" s="14"/>
      <c r="AG1244" s="14"/>
      <c r="AH1244" s="14"/>
      <c r="AI1244" s="14"/>
      <c r="AJ1244" s="14"/>
      <c r="AK1244" s="14"/>
      <c r="AL1244" s="14"/>
      <c r="AM1244" s="14"/>
    </row>
    <row r="1245" ht="14.25" customHeight="1">
      <c r="AA1245" s="7">
        <f t="shared" si="2"/>
        <v>42151</v>
      </c>
      <c r="AB1245" s="14"/>
      <c r="AC1245" s="14"/>
      <c r="AD1245" s="14"/>
      <c r="AE1245" s="14"/>
      <c r="AF1245" s="14"/>
      <c r="AG1245" s="14"/>
      <c r="AH1245" s="14"/>
      <c r="AI1245" s="14"/>
      <c r="AJ1245" s="14"/>
      <c r="AK1245" s="14"/>
      <c r="AL1245" s="14"/>
      <c r="AM1245" s="14"/>
    </row>
    <row r="1246" ht="14.25" customHeight="1">
      <c r="AA1246" s="7">
        <f t="shared" si="2"/>
        <v>42152</v>
      </c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  <c r="AL1246" s="14"/>
      <c r="AM1246" s="14"/>
    </row>
    <row r="1247" ht="14.25" customHeight="1">
      <c r="AA1247" s="7">
        <f t="shared" si="2"/>
        <v>42153</v>
      </c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  <c r="AL1247" s="14"/>
      <c r="AM1247" s="14"/>
    </row>
    <row r="1248" ht="14.25" customHeight="1">
      <c r="AA1248" s="7">
        <f t="shared" si="2"/>
        <v>42154</v>
      </c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  <c r="AL1248" s="14"/>
      <c r="AM1248" s="14"/>
    </row>
    <row r="1249" ht="14.25" customHeight="1">
      <c r="AA1249" s="7">
        <f t="shared" si="2"/>
        <v>42155</v>
      </c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  <c r="AL1249" s="14"/>
      <c r="AM1249" s="14"/>
    </row>
    <row r="1250" ht="14.25" customHeight="1">
      <c r="AA1250" s="7">
        <f t="shared" si="2"/>
        <v>42156</v>
      </c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  <c r="AL1250" s="14"/>
      <c r="AM1250" s="14"/>
    </row>
    <row r="1251" ht="14.25" customHeight="1">
      <c r="AA1251" s="7">
        <f t="shared" si="2"/>
        <v>42157</v>
      </c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  <c r="AL1251" s="14"/>
      <c r="AM1251" s="14"/>
    </row>
    <row r="1252" ht="14.25" customHeight="1">
      <c r="AA1252" s="7">
        <f t="shared" si="2"/>
        <v>42158</v>
      </c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  <c r="AL1252" s="14"/>
      <c r="AM1252" s="14"/>
    </row>
    <row r="1253" ht="14.25" customHeight="1">
      <c r="AA1253" s="7">
        <f t="shared" si="2"/>
        <v>42159</v>
      </c>
      <c r="AB1253" s="14"/>
      <c r="AC1253" s="14"/>
      <c r="AD1253" s="14"/>
      <c r="AE1253" s="14"/>
      <c r="AF1253" s="14"/>
      <c r="AG1253" s="14"/>
      <c r="AH1253" s="14"/>
      <c r="AI1253" s="14"/>
      <c r="AJ1253" s="14"/>
      <c r="AK1253" s="14"/>
      <c r="AL1253" s="14"/>
      <c r="AM1253" s="14"/>
    </row>
    <row r="1254" ht="14.25" customHeight="1">
      <c r="AA1254" s="7">
        <f t="shared" si="2"/>
        <v>42160</v>
      </c>
      <c r="AB1254" s="14"/>
      <c r="AC1254" s="14"/>
      <c r="AD1254" s="14"/>
      <c r="AE1254" s="14"/>
      <c r="AF1254" s="14"/>
      <c r="AG1254" s="14"/>
      <c r="AH1254" s="14"/>
      <c r="AI1254" s="14"/>
      <c r="AJ1254" s="14"/>
      <c r="AK1254" s="14"/>
      <c r="AL1254" s="14"/>
      <c r="AM1254" s="14"/>
    </row>
    <row r="1255" ht="14.25" customHeight="1">
      <c r="AA1255" s="7">
        <f t="shared" si="2"/>
        <v>42161</v>
      </c>
      <c r="AB1255" s="14"/>
      <c r="AC1255" s="14"/>
      <c r="AD1255" s="14"/>
      <c r="AE1255" s="14"/>
      <c r="AF1255" s="14"/>
      <c r="AG1255" s="14"/>
      <c r="AH1255" s="14"/>
      <c r="AI1255" s="14"/>
      <c r="AJ1255" s="14"/>
      <c r="AK1255" s="14"/>
      <c r="AL1255" s="14"/>
      <c r="AM1255" s="14"/>
    </row>
    <row r="1256" ht="14.25" customHeight="1">
      <c r="AA1256" s="7">
        <f t="shared" si="2"/>
        <v>42162</v>
      </c>
      <c r="AB1256" s="14"/>
      <c r="AC1256" s="14"/>
      <c r="AD1256" s="14"/>
      <c r="AE1256" s="14"/>
      <c r="AF1256" s="14"/>
      <c r="AG1256" s="14"/>
      <c r="AH1256" s="14"/>
      <c r="AI1256" s="14"/>
      <c r="AJ1256" s="14"/>
      <c r="AK1256" s="14"/>
      <c r="AL1256" s="14"/>
      <c r="AM1256" s="14"/>
    </row>
    <row r="1257" ht="14.25" customHeight="1">
      <c r="AA1257" s="7">
        <f t="shared" si="2"/>
        <v>42163</v>
      </c>
      <c r="AB1257" s="14"/>
      <c r="AC1257" s="14"/>
      <c r="AD1257" s="14"/>
      <c r="AE1257" s="14"/>
      <c r="AF1257" s="14"/>
      <c r="AG1257" s="14"/>
      <c r="AH1257" s="14"/>
      <c r="AI1257" s="14"/>
      <c r="AJ1257" s="14"/>
      <c r="AK1257" s="14"/>
      <c r="AL1257" s="14"/>
      <c r="AM1257" s="14"/>
    </row>
    <row r="1258" ht="14.25" customHeight="1">
      <c r="AA1258" s="7">
        <f t="shared" si="2"/>
        <v>42164</v>
      </c>
      <c r="AB1258" s="14"/>
      <c r="AC1258" s="14"/>
      <c r="AD1258" s="14"/>
      <c r="AE1258" s="14"/>
      <c r="AF1258" s="14"/>
      <c r="AG1258" s="14"/>
      <c r="AH1258" s="14"/>
      <c r="AI1258" s="14"/>
      <c r="AJ1258" s="14"/>
      <c r="AK1258" s="14"/>
      <c r="AL1258" s="14"/>
      <c r="AM1258" s="14"/>
    </row>
    <row r="1259" ht="14.25" customHeight="1">
      <c r="AA1259" s="7">
        <f t="shared" si="2"/>
        <v>42165</v>
      </c>
      <c r="AB1259" s="14"/>
      <c r="AC1259" s="14"/>
      <c r="AD1259" s="14"/>
      <c r="AE1259" s="14"/>
      <c r="AF1259" s="14"/>
      <c r="AG1259" s="14"/>
      <c r="AH1259" s="14"/>
      <c r="AI1259" s="14"/>
      <c r="AJ1259" s="14"/>
      <c r="AK1259" s="14"/>
      <c r="AL1259" s="14"/>
      <c r="AM1259" s="14"/>
    </row>
    <row r="1260" ht="14.25" customHeight="1">
      <c r="AA1260" s="7">
        <f t="shared" si="2"/>
        <v>42166</v>
      </c>
      <c r="AB1260" s="14"/>
      <c r="AC1260" s="14"/>
      <c r="AD1260" s="14"/>
      <c r="AE1260" s="14"/>
      <c r="AF1260" s="14"/>
      <c r="AG1260" s="14"/>
      <c r="AH1260" s="14"/>
      <c r="AI1260" s="14"/>
      <c r="AJ1260" s="14"/>
      <c r="AK1260" s="14"/>
      <c r="AL1260" s="14"/>
      <c r="AM1260" s="14"/>
    </row>
    <row r="1261" ht="14.25" customHeight="1">
      <c r="AA1261" s="7">
        <f t="shared" si="2"/>
        <v>42167</v>
      </c>
      <c r="AB1261" s="14"/>
      <c r="AC1261" s="14"/>
      <c r="AD1261" s="14"/>
      <c r="AE1261" s="14"/>
      <c r="AF1261" s="14"/>
      <c r="AG1261" s="14"/>
      <c r="AH1261" s="14"/>
      <c r="AI1261" s="14"/>
      <c r="AJ1261" s="14"/>
      <c r="AK1261" s="14"/>
      <c r="AL1261" s="14"/>
      <c r="AM1261" s="14"/>
    </row>
    <row r="1262" ht="14.25" customHeight="1">
      <c r="AA1262" s="7">
        <f t="shared" si="2"/>
        <v>42168</v>
      </c>
      <c r="AB1262" s="14"/>
      <c r="AC1262" s="14"/>
      <c r="AD1262" s="14"/>
      <c r="AE1262" s="14"/>
      <c r="AF1262" s="14"/>
      <c r="AG1262" s="14"/>
      <c r="AH1262" s="14"/>
      <c r="AI1262" s="14"/>
      <c r="AJ1262" s="14"/>
      <c r="AK1262" s="14"/>
      <c r="AL1262" s="14"/>
      <c r="AM1262" s="14"/>
    </row>
    <row r="1263" ht="14.25" customHeight="1">
      <c r="AA1263" s="7">
        <f t="shared" si="2"/>
        <v>42169</v>
      </c>
      <c r="AB1263" s="14"/>
      <c r="AC1263" s="14"/>
      <c r="AD1263" s="14"/>
      <c r="AE1263" s="14"/>
      <c r="AF1263" s="14"/>
      <c r="AG1263" s="14"/>
      <c r="AH1263" s="14"/>
      <c r="AI1263" s="14"/>
      <c r="AJ1263" s="14"/>
      <c r="AK1263" s="14"/>
      <c r="AL1263" s="14"/>
      <c r="AM1263" s="14"/>
    </row>
    <row r="1264" ht="14.25" customHeight="1">
      <c r="AA1264" s="7">
        <f t="shared" si="2"/>
        <v>42170</v>
      </c>
      <c r="AB1264" s="14"/>
      <c r="AC1264" s="14"/>
      <c r="AD1264" s="14"/>
      <c r="AE1264" s="14"/>
      <c r="AF1264" s="14"/>
      <c r="AG1264" s="14"/>
      <c r="AH1264" s="14"/>
      <c r="AI1264" s="14"/>
      <c r="AJ1264" s="14"/>
      <c r="AK1264" s="14"/>
      <c r="AL1264" s="14"/>
      <c r="AM1264" s="14"/>
    </row>
    <row r="1265" ht="14.25" customHeight="1">
      <c r="AA1265" s="7">
        <f t="shared" si="2"/>
        <v>42171</v>
      </c>
      <c r="AB1265" s="14"/>
      <c r="AC1265" s="14"/>
      <c r="AD1265" s="14"/>
      <c r="AE1265" s="14"/>
      <c r="AF1265" s="14"/>
      <c r="AG1265" s="14"/>
      <c r="AH1265" s="14"/>
      <c r="AI1265" s="14"/>
      <c r="AJ1265" s="14"/>
      <c r="AK1265" s="14"/>
      <c r="AL1265" s="14"/>
      <c r="AM1265" s="14"/>
    </row>
    <row r="1266" ht="14.25" customHeight="1">
      <c r="AA1266" s="7">
        <f t="shared" si="2"/>
        <v>42172</v>
      </c>
      <c r="AB1266" s="14"/>
      <c r="AC1266" s="14"/>
      <c r="AD1266" s="14"/>
      <c r="AE1266" s="14"/>
      <c r="AF1266" s="14"/>
      <c r="AG1266" s="14"/>
      <c r="AH1266" s="14"/>
      <c r="AI1266" s="14"/>
      <c r="AJ1266" s="14"/>
      <c r="AK1266" s="14"/>
      <c r="AL1266" s="14"/>
      <c r="AM1266" s="14"/>
    </row>
    <row r="1267" ht="14.25" customHeight="1">
      <c r="AA1267" s="7">
        <f t="shared" si="2"/>
        <v>42173</v>
      </c>
      <c r="AB1267" s="14"/>
      <c r="AC1267" s="14"/>
      <c r="AD1267" s="14"/>
      <c r="AE1267" s="14"/>
      <c r="AF1267" s="14"/>
      <c r="AG1267" s="14"/>
      <c r="AH1267" s="14"/>
      <c r="AI1267" s="14"/>
      <c r="AJ1267" s="14"/>
      <c r="AK1267" s="14"/>
      <c r="AL1267" s="14"/>
      <c r="AM1267" s="14"/>
    </row>
    <row r="1268" ht="14.25" customHeight="1">
      <c r="AA1268" s="7">
        <f t="shared" si="2"/>
        <v>42174</v>
      </c>
      <c r="AB1268" s="14"/>
      <c r="AC1268" s="14"/>
      <c r="AD1268" s="14"/>
      <c r="AE1268" s="14"/>
      <c r="AF1268" s="14"/>
      <c r="AG1268" s="14"/>
      <c r="AH1268" s="14"/>
      <c r="AI1268" s="14"/>
      <c r="AJ1268" s="14"/>
      <c r="AK1268" s="14"/>
      <c r="AL1268" s="14"/>
      <c r="AM1268" s="14"/>
    </row>
    <row r="1269" ht="14.25" customHeight="1">
      <c r="AA1269" s="7">
        <f t="shared" si="2"/>
        <v>42175</v>
      </c>
      <c r="AB1269" s="14"/>
      <c r="AC1269" s="14"/>
      <c r="AD1269" s="14"/>
      <c r="AE1269" s="14"/>
      <c r="AF1269" s="14"/>
      <c r="AG1269" s="14"/>
      <c r="AH1269" s="14"/>
      <c r="AI1269" s="14"/>
      <c r="AJ1269" s="14"/>
      <c r="AK1269" s="14"/>
      <c r="AL1269" s="14"/>
      <c r="AM1269" s="14"/>
    </row>
    <row r="1270" ht="14.25" customHeight="1">
      <c r="AA1270" s="7">
        <f t="shared" si="2"/>
        <v>42176</v>
      </c>
      <c r="AB1270" s="14"/>
      <c r="AC1270" s="14"/>
      <c r="AD1270" s="14"/>
      <c r="AE1270" s="14"/>
      <c r="AF1270" s="14"/>
      <c r="AG1270" s="14"/>
      <c r="AH1270" s="14"/>
      <c r="AI1270" s="14"/>
      <c r="AJ1270" s="14"/>
      <c r="AK1270" s="14"/>
      <c r="AL1270" s="14"/>
      <c r="AM1270" s="14"/>
    </row>
    <row r="1271" ht="14.25" customHeight="1">
      <c r="AA1271" s="7">
        <f t="shared" si="2"/>
        <v>42177</v>
      </c>
      <c r="AB1271" s="14"/>
      <c r="AC1271" s="14"/>
      <c r="AD1271" s="14"/>
      <c r="AE1271" s="14"/>
      <c r="AF1271" s="14"/>
      <c r="AG1271" s="14"/>
      <c r="AH1271" s="14"/>
      <c r="AI1271" s="14"/>
      <c r="AJ1271" s="14"/>
      <c r="AK1271" s="14"/>
      <c r="AL1271" s="14"/>
      <c r="AM1271" s="14"/>
    </row>
    <row r="1272" ht="14.25" customHeight="1">
      <c r="AA1272" s="7">
        <f t="shared" si="2"/>
        <v>42178</v>
      </c>
      <c r="AB1272" s="14"/>
      <c r="AC1272" s="14"/>
      <c r="AD1272" s="14"/>
      <c r="AE1272" s="14"/>
      <c r="AF1272" s="14"/>
      <c r="AG1272" s="14"/>
      <c r="AH1272" s="14"/>
      <c r="AI1272" s="14"/>
      <c r="AJ1272" s="14"/>
      <c r="AK1272" s="14"/>
      <c r="AL1272" s="14"/>
      <c r="AM1272" s="14"/>
    </row>
    <row r="1273" ht="14.25" customHeight="1">
      <c r="AA1273" s="7">
        <f t="shared" si="2"/>
        <v>42179</v>
      </c>
      <c r="AB1273" s="14"/>
      <c r="AC1273" s="14"/>
      <c r="AD1273" s="14"/>
      <c r="AE1273" s="14"/>
      <c r="AF1273" s="14"/>
      <c r="AG1273" s="14"/>
      <c r="AH1273" s="14"/>
      <c r="AI1273" s="14"/>
      <c r="AJ1273" s="14"/>
      <c r="AK1273" s="14"/>
      <c r="AL1273" s="14"/>
      <c r="AM1273" s="14"/>
    </row>
    <row r="1274" ht="14.25" customHeight="1">
      <c r="AA1274" s="7">
        <f t="shared" si="2"/>
        <v>42180</v>
      </c>
      <c r="AB1274" s="14"/>
      <c r="AC1274" s="14"/>
      <c r="AD1274" s="14"/>
      <c r="AE1274" s="14"/>
      <c r="AF1274" s="14"/>
      <c r="AG1274" s="14"/>
      <c r="AH1274" s="14"/>
      <c r="AI1274" s="14"/>
      <c r="AJ1274" s="14"/>
      <c r="AK1274" s="14"/>
      <c r="AL1274" s="14"/>
      <c r="AM1274" s="14"/>
    </row>
    <row r="1275" ht="14.25" customHeight="1">
      <c r="AA1275" s="7">
        <f t="shared" si="2"/>
        <v>42181</v>
      </c>
      <c r="AB1275" s="14"/>
      <c r="AC1275" s="14"/>
      <c r="AD1275" s="14"/>
      <c r="AE1275" s="14"/>
      <c r="AF1275" s="14"/>
      <c r="AG1275" s="14"/>
      <c r="AH1275" s="14"/>
      <c r="AI1275" s="14"/>
      <c r="AJ1275" s="14"/>
      <c r="AK1275" s="14"/>
      <c r="AL1275" s="14"/>
      <c r="AM1275" s="14"/>
    </row>
    <row r="1276" ht="14.25" customHeight="1">
      <c r="AA1276" s="7">
        <f t="shared" si="2"/>
        <v>42182</v>
      </c>
      <c r="AB1276" s="14"/>
      <c r="AC1276" s="14"/>
      <c r="AD1276" s="14"/>
      <c r="AE1276" s="14"/>
      <c r="AF1276" s="14"/>
      <c r="AG1276" s="14"/>
      <c r="AH1276" s="14"/>
      <c r="AI1276" s="14"/>
      <c r="AJ1276" s="14"/>
      <c r="AK1276" s="14"/>
      <c r="AL1276" s="14"/>
      <c r="AM1276" s="14"/>
    </row>
    <row r="1277" ht="14.25" customHeight="1">
      <c r="AA1277" s="7">
        <f t="shared" si="2"/>
        <v>42183</v>
      </c>
      <c r="AB1277" s="14"/>
      <c r="AC1277" s="14"/>
      <c r="AD1277" s="14"/>
      <c r="AE1277" s="14"/>
      <c r="AF1277" s="14"/>
      <c r="AG1277" s="14"/>
      <c r="AH1277" s="14"/>
      <c r="AI1277" s="14"/>
      <c r="AJ1277" s="14"/>
      <c r="AK1277" s="14"/>
      <c r="AL1277" s="14"/>
      <c r="AM1277" s="14"/>
    </row>
    <row r="1278" ht="14.25" customHeight="1">
      <c r="AA1278" s="7">
        <f t="shared" si="2"/>
        <v>42184</v>
      </c>
      <c r="AB1278" s="14"/>
      <c r="AC1278" s="14"/>
      <c r="AD1278" s="14"/>
      <c r="AE1278" s="14"/>
      <c r="AF1278" s="14"/>
      <c r="AG1278" s="14"/>
      <c r="AH1278" s="14"/>
      <c r="AI1278" s="14"/>
      <c r="AJ1278" s="14"/>
      <c r="AK1278" s="14"/>
      <c r="AL1278" s="14"/>
      <c r="AM1278" s="14"/>
    </row>
    <row r="1279" ht="14.25" customHeight="1">
      <c r="AA1279" s="7">
        <f t="shared" si="2"/>
        <v>42185</v>
      </c>
      <c r="AB1279" s="14"/>
      <c r="AC1279" s="14"/>
      <c r="AD1279" s="14"/>
      <c r="AE1279" s="14"/>
      <c r="AF1279" s="14"/>
      <c r="AG1279" s="14"/>
      <c r="AH1279" s="14"/>
      <c r="AI1279" s="14"/>
      <c r="AJ1279" s="14"/>
      <c r="AK1279" s="14"/>
      <c r="AL1279" s="14"/>
      <c r="AM1279" s="14"/>
    </row>
    <row r="1280" ht="14.25" customHeight="1">
      <c r="AA1280" s="7">
        <f t="shared" si="2"/>
        <v>42186</v>
      </c>
      <c r="AB1280" s="14"/>
      <c r="AC1280" s="14"/>
      <c r="AD1280" s="14"/>
      <c r="AE1280" s="14"/>
      <c r="AF1280" s="14"/>
      <c r="AG1280" s="14"/>
      <c r="AH1280" s="14"/>
      <c r="AI1280" s="14"/>
      <c r="AJ1280" s="14"/>
      <c r="AK1280" s="14"/>
      <c r="AL1280" s="14"/>
      <c r="AM1280" s="14"/>
    </row>
    <row r="1281" ht="14.25" customHeight="1">
      <c r="AA1281" s="7">
        <f t="shared" si="2"/>
        <v>42187</v>
      </c>
      <c r="AB1281" s="14"/>
      <c r="AC1281" s="14"/>
      <c r="AD1281" s="14"/>
      <c r="AE1281" s="14"/>
      <c r="AF1281" s="14"/>
      <c r="AG1281" s="14"/>
      <c r="AH1281" s="14"/>
      <c r="AI1281" s="14"/>
      <c r="AJ1281" s="14"/>
      <c r="AK1281" s="14"/>
      <c r="AL1281" s="14"/>
      <c r="AM1281" s="14"/>
    </row>
    <row r="1282" ht="14.25" customHeight="1">
      <c r="AA1282" s="7">
        <f t="shared" si="2"/>
        <v>42188</v>
      </c>
      <c r="AB1282" s="14"/>
      <c r="AC1282" s="14"/>
      <c r="AD1282" s="14"/>
      <c r="AE1282" s="14"/>
      <c r="AF1282" s="14"/>
      <c r="AG1282" s="14"/>
      <c r="AH1282" s="14"/>
      <c r="AI1282" s="14"/>
      <c r="AJ1282" s="14"/>
      <c r="AK1282" s="14"/>
      <c r="AL1282" s="14"/>
      <c r="AM1282" s="14"/>
    </row>
    <row r="1283" ht="14.25" customHeight="1">
      <c r="AA1283" s="7">
        <f t="shared" si="2"/>
        <v>42189</v>
      </c>
      <c r="AB1283" s="14"/>
      <c r="AC1283" s="14"/>
      <c r="AD1283" s="14"/>
      <c r="AE1283" s="14"/>
      <c r="AF1283" s="14"/>
      <c r="AG1283" s="14"/>
      <c r="AH1283" s="14"/>
      <c r="AI1283" s="14"/>
      <c r="AJ1283" s="14"/>
      <c r="AK1283" s="14"/>
      <c r="AL1283" s="14"/>
      <c r="AM1283" s="14"/>
    </row>
    <row r="1284" ht="14.25" customHeight="1">
      <c r="AA1284" s="7">
        <f t="shared" si="2"/>
        <v>42190</v>
      </c>
      <c r="AB1284" s="14"/>
      <c r="AC1284" s="14"/>
      <c r="AD1284" s="14"/>
      <c r="AE1284" s="14"/>
      <c r="AF1284" s="14"/>
      <c r="AG1284" s="14"/>
      <c r="AH1284" s="14"/>
      <c r="AI1284" s="14"/>
      <c r="AJ1284" s="14"/>
      <c r="AK1284" s="14"/>
      <c r="AL1284" s="14"/>
      <c r="AM1284" s="14"/>
    </row>
    <row r="1285" ht="14.25" customHeight="1">
      <c r="AA1285" s="7">
        <f t="shared" si="2"/>
        <v>42191</v>
      </c>
      <c r="AB1285" s="14"/>
      <c r="AC1285" s="14"/>
      <c r="AD1285" s="14"/>
      <c r="AE1285" s="14"/>
      <c r="AF1285" s="14"/>
      <c r="AG1285" s="14"/>
      <c r="AH1285" s="14"/>
      <c r="AI1285" s="14"/>
      <c r="AJ1285" s="14"/>
      <c r="AK1285" s="14"/>
      <c r="AL1285" s="14"/>
      <c r="AM1285" s="14"/>
    </row>
    <row r="1286" ht="14.25" customHeight="1">
      <c r="AA1286" s="7">
        <f t="shared" si="2"/>
        <v>42192</v>
      </c>
      <c r="AB1286" s="14"/>
      <c r="AC1286" s="14"/>
      <c r="AD1286" s="14"/>
      <c r="AE1286" s="14"/>
      <c r="AF1286" s="14"/>
      <c r="AG1286" s="14"/>
      <c r="AH1286" s="14"/>
      <c r="AI1286" s="14"/>
      <c r="AJ1286" s="14"/>
      <c r="AK1286" s="14"/>
      <c r="AL1286" s="14"/>
      <c r="AM1286" s="14"/>
    </row>
    <row r="1287" ht="14.25" customHeight="1">
      <c r="AA1287" s="7">
        <f t="shared" si="2"/>
        <v>42193</v>
      </c>
      <c r="AB1287" s="14"/>
      <c r="AC1287" s="14"/>
      <c r="AD1287" s="14"/>
      <c r="AE1287" s="14"/>
      <c r="AF1287" s="14"/>
      <c r="AG1287" s="14"/>
      <c r="AH1287" s="14"/>
      <c r="AI1287" s="14"/>
      <c r="AJ1287" s="14"/>
      <c r="AK1287" s="14"/>
      <c r="AL1287" s="14"/>
      <c r="AM1287" s="14"/>
    </row>
    <row r="1288" ht="14.25" customHeight="1">
      <c r="AA1288" s="7">
        <f t="shared" si="2"/>
        <v>42194</v>
      </c>
      <c r="AB1288" s="14"/>
      <c r="AC1288" s="14"/>
      <c r="AD1288" s="14"/>
      <c r="AE1288" s="14"/>
      <c r="AF1288" s="14"/>
      <c r="AG1288" s="14"/>
      <c r="AH1288" s="14"/>
      <c r="AI1288" s="14"/>
      <c r="AJ1288" s="14"/>
      <c r="AK1288" s="14"/>
      <c r="AL1288" s="14"/>
      <c r="AM1288" s="14"/>
    </row>
    <row r="1289" ht="14.25" customHeight="1">
      <c r="AA1289" s="7">
        <f t="shared" si="2"/>
        <v>42195</v>
      </c>
      <c r="AB1289" s="14"/>
      <c r="AC1289" s="14"/>
      <c r="AD1289" s="14"/>
      <c r="AE1289" s="14"/>
      <c r="AF1289" s="14"/>
      <c r="AG1289" s="14"/>
      <c r="AH1289" s="14"/>
      <c r="AI1289" s="14"/>
      <c r="AJ1289" s="14"/>
      <c r="AK1289" s="14"/>
      <c r="AL1289" s="14"/>
      <c r="AM1289" s="14"/>
    </row>
    <row r="1290" ht="14.25" customHeight="1">
      <c r="AA1290" s="7">
        <f t="shared" si="2"/>
        <v>42196</v>
      </c>
      <c r="AB1290" s="14"/>
      <c r="AC1290" s="14"/>
      <c r="AD1290" s="14"/>
      <c r="AE1290" s="14"/>
      <c r="AF1290" s="14"/>
      <c r="AG1290" s="14"/>
      <c r="AH1290" s="14"/>
      <c r="AI1290" s="14"/>
      <c r="AJ1290" s="14"/>
      <c r="AK1290" s="14"/>
      <c r="AL1290" s="14"/>
      <c r="AM1290" s="14"/>
    </row>
    <row r="1291" ht="14.25" customHeight="1">
      <c r="AA1291" s="7">
        <f t="shared" si="2"/>
        <v>42197</v>
      </c>
      <c r="AB1291" s="14"/>
      <c r="AC1291" s="14"/>
      <c r="AD1291" s="14"/>
      <c r="AE1291" s="14"/>
      <c r="AF1291" s="14"/>
      <c r="AG1291" s="14"/>
      <c r="AH1291" s="14"/>
      <c r="AI1291" s="14"/>
      <c r="AJ1291" s="14"/>
      <c r="AK1291" s="14"/>
      <c r="AL1291" s="14"/>
      <c r="AM1291" s="14"/>
    </row>
    <row r="1292" ht="14.25" customHeight="1">
      <c r="AA1292" s="7">
        <f t="shared" si="2"/>
        <v>42198</v>
      </c>
      <c r="AB1292" s="14"/>
      <c r="AC1292" s="14"/>
      <c r="AD1292" s="14"/>
      <c r="AE1292" s="14"/>
      <c r="AF1292" s="14"/>
      <c r="AG1292" s="14"/>
      <c r="AH1292" s="14"/>
      <c r="AI1292" s="14"/>
      <c r="AJ1292" s="14"/>
      <c r="AK1292" s="14"/>
      <c r="AL1292" s="14"/>
      <c r="AM1292" s="14"/>
    </row>
    <row r="1293" ht="14.25" customHeight="1">
      <c r="AA1293" s="7">
        <f t="shared" si="2"/>
        <v>42199</v>
      </c>
      <c r="AB1293" s="14"/>
      <c r="AC1293" s="14"/>
      <c r="AD1293" s="14"/>
      <c r="AE1293" s="14"/>
      <c r="AF1293" s="14"/>
      <c r="AG1293" s="14"/>
      <c r="AH1293" s="14"/>
      <c r="AI1293" s="14"/>
      <c r="AJ1293" s="14"/>
      <c r="AK1293" s="14"/>
      <c r="AL1293" s="14"/>
      <c r="AM1293" s="14"/>
    </row>
    <row r="1294" ht="14.25" customHeight="1">
      <c r="AA1294" s="7">
        <f t="shared" si="2"/>
        <v>42200</v>
      </c>
      <c r="AB1294" s="14"/>
      <c r="AC1294" s="14"/>
      <c r="AD1294" s="14"/>
      <c r="AE1294" s="14"/>
      <c r="AF1294" s="14"/>
      <c r="AG1294" s="14"/>
      <c r="AH1294" s="14"/>
      <c r="AI1294" s="14"/>
      <c r="AJ1294" s="14"/>
      <c r="AK1294" s="14"/>
      <c r="AL1294" s="14"/>
      <c r="AM1294" s="14"/>
    </row>
    <row r="1295" ht="14.25" customHeight="1">
      <c r="AA1295" s="7">
        <f t="shared" si="2"/>
        <v>42201</v>
      </c>
      <c r="AB1295" s="14"/>
      <c r="AC1295" s="14"/>
      <c r="AD1295" s="14"/>
      <c r="AE1295" s="14"/>
      <c r="AF1295" s="14"/>
      <c r="AG1295" s="14"/>
      <c r="AH1295" s="14"/>
      <c r="AI1295" s="14"/>
      <c r="AJ1295" s="14"/>
      <c r="AK1295" s="14"/>
      <c r="AL1295" s="14"/>
      <c r="AM1295" s="14"/>
    </row>
    <row r="1296" ht="14.25" customHeight="1">
      <c r="AA1296" s="7">
        <f t="shared" si="2"/>
        <v>42202</v>
      </c>
      <c r="AB1296" s="14"/>
      <c r="AC1296" s="14"/>
      <c r="AD1296" s="14"/>
      <c r="AE1296" s="14"/>
      <c r="AF1296" s="14"/>
      <c r="AG1296" s="14"/>
      <c r="AH1296" s="14"/>
      <c r="AI1296" s="14"/>
      <c r="AJ1296" s="14"/>
      <c r="AK1296" s="14"/>
      <c r="AL1296" s="14"/>
      <c r="AM1296" s="14"/>
    </row>
    <row r="1297" ht="14.25" customHeight="1">
      <c r="AA1297" s="7">
        <f t="shared" si="2"/>
        <v>42203</v>
      </c>
      <c r="AB1297" s="14"/>
      <c r="AC1297" s="14"/>
      <c r="AD1297" s="14"/>
      <c r="AE1297" s="14"/>
      <c r="AF1297" s="14"/>
      <c r="AG1297" s="14"/>
      <c r="AH1297" s="14"/>
      <c r="AI1297" s="14"/>
      <c r="AJ1297" s="14"/>
      <c r="AK1297" s="14"/>
      <c r="AL1297" s="14"/>
      <c r="AM1297" s="14"/>
    </row>
    <row r="1298" ht="14.25" customHeight="1">
      <c r="AA1298" s="7">
        <f t="shared" si="2"/>
        <v>42204</v>
      </c>
      <c r="AB1298" s="14"/>
      <c r="AC1298" s="14"/>
      <c r="AD1298" s="14"/>
      <c r="AE1298" s="14"/>
      <c r="AF1298" s="14"/>
      <c r="AG1298" s="14"/>
      <c r="AH1298" s="14"/>
      <c r="AI1298" s="14"/>
      <c r="AJ1298" s="14"/>
      <c r="AK1298" s="14"/>
      <c r="AL1298" s="14"/>
      <c r="AM1298" s="14"/>
    </row>
    <row r="1299" ht="14.25" customHeight="1">
      <c r="AA1299" s="7">
        <f t="shared" si="2"/>
        <v>42205</v>
      </c>
      <c r="AB1299" s="14"/>
      <c r="AC1299" s="14"/>
      <c r="AD1299" s="14"/>
      <c r="AE1299" s="14"/>
      <c r="AF1299" s="14"/>
      <c r="AG1299" s="14"/>
      <c r="AH1299" s="14"/>
      <c r="AI1299" s="14"/>
      <c r="AJ1299" s="14"/>
      <c r="AK1299" s="14"/>
      <c r="AL1299" s="14"/>
      <c r="AM1299" s="14"/>
    </row>
    <row r="1300" ht="14.25" customHeight="1">
      <c r="AA1300" s="7">
        <f t="shared" si="2"/>
        <v>42206</v>
      </c>
      <c r="AB1300" s="14"/>
      <c r="AC1300" s="14"/>
      <c r="AD1300" s="14"/>
      <c r="AE1300" s="14"/>
      <c r="AF1300" s="14"/>
      <c r="AG1300" s="14"/>
      <c r="AH1300" s="14"/>
      <c r="AI1300" s="14"/>
      <c r="AJ1300" s="14"/>
      <c r="AK1300" s="14"/>
      <c r="AL1300" s="14"/>
      <c r="AM1300" s="14"/>
    </row>
    <row r="1301" ht="14.25" customHeight="1">
      <c r="AA1301" s="7">
        <f t="shared" si="2"/>
        <v>42207</v>
      </c>
      <c r="AB1301" s="14"/>
      <c r="AC1301" s="14"/>
      <c r="AD1301" s="14"/>
      <c r="AE1301" s="14"/>
      <c r="AF1301" s="14"/>
      <c r="AG1301" s="14"/>
      <c r="AH1301" s="14"/>
      <c r="AI1301" s="14"/>
      <c r="AJ1301" s="14"/>
      <c r="AK1301" s="14"/>
      <c r="AL1301" s="14"/>
      <c r="AM1301" s="14"/>
    </row>
    <row r="1302" ht="14.25" customHeight="1">
      <c r="AA1302" s="7">
        <f t="shared" si="2"/>
        <v>42208</v>
      </c>
      <c r="AB1302" s="14"/>
      <c r="AC1302" s="14"/>
      <c r="AD1302" s="14"/>
      <c r="AE1302" s="14"/>
      <c r="AF1302" s="14"/>
      <c r="AG1302" s="14"/>
      <c r="AH1302" s="14"/>
      <c r="AI1302" s="14"/>
      <c r="AJ1302" s="14"/>
      <c r="AK1302" s="14"/>
      <c r="AL1302" s="14"/>
      <c r="AM1302" s="14"/>
    </row>
    <row r="1303" ht="14.25" customHeight="1">
      <c r="AA1303" s="7">
        <f t="shared" si="2"/>
        <v>42209</v>
      </c>
      <c r="AB1303" s="14"/>
      <c r="AC1303" s="14"/>
      <c r="AD1303" s="14"/>
      <c r="AE1303" s="14"/>
      <c r="AF1303" s="14"/>
      <c r="AG1303" s="14"/>
      <c r="AH1303" s="14"/>
      <c r="AI1303" s="14"/>
      <c r="AJ1303" s="14"/>
      <c r="AK1303" s="14"/>
      <c r="AL1303" s="14"/>
      <c r="AM1303" s="14"/>
    </row>
    <row r="1304" ht="14.25" customHeight="1">
      <c r="AA1304" s="7">
        <f t="shared" si="2"/>
        <v>42210</v>
      </c>
      <c r="AB1304" s="14"/>
      <c r="AC1304" s="14"/>
      <c r="AD1304" s="14"/>
      <c r="AE1304" s="14"/>
      <c r="AF1304" s="14"/>
      <c r="AG1304" s="14"/>
      <c r="AH1304" s="14"/>
      <c r="AI1304" s="14"/>
      <c r="AJ1304" s="14"/>
      <c r="AK1304" s="14"/>
      <c r="AL1304" s="14"/>
      <c r="AM1304" s="14"/>
    </row>
    <row r="1305" ht="14.25" customHeight="1">
      <c r="AA1305" s="7">
        <f t="shared" si="2"/>
        <v>42211</v>
      </c>
      <c r="AB1305" s="14"/>
      <c r="AC1305" s="14"/>
      <c r="AD1305" s="14"/>
      <c r="AE1305" s="14"/>
      <c r="AF1305" s="14"/>
      <c r="AG1305" s="14"/>
      <c r="AH1305" s="14"/>
      <c r="AI1305" s="14"/>
      <c r="AJ1305" s="14"/>
      <c r="AK1305" s="14"/>
      <c r="AL1305" s="14"/>
      <c r="AM1305" s="14"/>
    </row>
    <row r="1306" ht="14.25" customHeight="1">
      <c r="AA1306" s="7">
        <f t="shared" si="2"/>
        <v>42212</v>
      </c>
      <c r="AB1306" s="14"/>
      <c r="AC1306" s="14"/>
      <c r="AD1306" s="14"/>
      <c r="AE1306" s="14"/>
      <c r="AF1306" s="14"/>
      <c r="AG1306" s="14"/>
      <c r="AH1306" s="14"/>
      <c r="AI1306" s="14"/>
      <c r="AJ1306" s="14"/>
      <c r="AK1306" s="14"/>
      <c r="AL1306" s="14"/>
      <c r="AM1306" s="14"/>
    </row>
    <row r="1307" ht="14.25" customHeight="1">
      <c r="AA1307" s="7">
        <f t="shared" si="2"/>
        <v>42213</v>
      </c>
      <c r="AB1307" s="14"/>
      <c r="AC1307" s="14"/>
      <c r="AD1307" s="14"/>
      <c r="AE1307" s="14"/>
      <c r="AF1307" s="14"/>
      <c r="AG1307" s="14"/>
      <c r="AH1307" s="14"/>
      <c r="AI1307" s="14"/>
      <c r="AJ1307" s="14"/>
      <c r="AK1307" s="14"/>
      <c r="AL1307" s="14"/>
      <c r="AM1307" s="14"/>
    </row>
    <row r="1308" ht="14.25" customHeight="1">
      <c r="AA1308" s="7">
        <f t="shared" si="2"/>
        <v>42214</v>
      </c>
      <c r="AB1308" s="14"/>
      <c r="AC1308" s="14"/>
      <c r="AD1308" s="14"/>
      <c r="AE1308" s="14"/>
      <c r="AF1308" s="14"/>
      <c r="AG1308" s="14"/>
      <c r="AH1308" s="14"/>
      <c r="AI1308" s="14"/>
      <c r="AJ1308" s="14"/>
      <c r="AK1308" s="14"/>
      <c r="AL1308" s="14"/>
      <c r="AM1308" s="14"/>
    </row>
    <row r="1309" ht="14.25" customHeight="1">
      <c r="AA1309" s="7">
        <f t="shared" si="2"/>
        <v>42215</v>
      </c>
      <c r="AB1309" s="14"/>
      <c r="AC1309" s="14"/>
      <c r="AD1309" s="14"/>
      <c r="AE1309" s="14"/>
      <c r="AF1309" s="14"/>
      <c r="AG1309" s="14"/>
      <c r="AH1309" s="14"/>
      <c r="AI1309" s="14"/>
      <c r="AJ1309" s="14"/>
      <c r="AK1309" s="14"/>
      <c r="AL1309" s="14"/>
      <c r="AM1309" s="14"/>
    </row>
    <row r="1310" ht="14.25" customHeight="1">
      <c r="AA1310" s="7">
        <f t="shared" si="2"/>
        <v>42216</v>
      </c>
      <c r="AB1310" s="14"/>
      <c r="AC1310" s="14"/>
      <c r="AD1310" s="14"/>
      <c r="AE1310" s="14"/>
      <c r="AF1310" s="14"/>
      <c r="AG1310" s="14"/>
      <c r="AH1310" s="14"/>
      <c r="AI1310" s="14"/>
      <c r="AJ1310" s="14"/>
      <c r="AK1310" s="14"/>
      <c r="AL1310" s="14"/>
      <c r="AM1310" s="14"/>
    </row>
    <row r="1311" ht="14.25" customHeight="1">
      <c r="AA1311" s="7">
        <f t="shared" si="2"/>
        <v>42217</v>
      </c>
      <c r="AB1311" s="14"/>
      <c r="AC1311" s="14"/>
      <c r="AD1311" s="14"/>
      <c r="AE1311" s="14"/>
      <c r="AF1311" s="14"/>
      <c r="AG1311" s="14"/>
      <c r="AH1311" s="14"/>
      <c r="AI1311" s="14"/>
      <c r="AJ1311" s="14"/>
      <c r="AK1311" s="14"/>
      <c r="AL1311" s="14"/>
      <c r="AM1311" s="14"/>
    </row>
    <row r="1312" ht="14.25" customHeight="1">
      <c r="AA1312" s="7">
        <f t="shared" si="2"/>
        <v>42218</v>
      </c>
      <c r="AB1312" s="14"/>
      <c r="AC1312" s="14"/>
      <c r="AD1312" s="14"/>
      <c r="AE1312" s="14"/>
      <c r="AF1312" s="14"/>
      <c r="AG1312" s="14"/>
      <c r="AH1312" s="14"/>
      <c r="AI1312" s="14"/>
      <c r="AJ1312" s="14"/>
      <c r="AK1312" s="14"/>
      <c r="AL1312" s="14"/>
      <c r="AM1312" s="14"/>
    </row>
    <row r="1313" ht="14.25" customHeight="1">
      <c r="AA1313" s="7">
        <f t="shared" si="2"/>
        <v>42219</v>
      </c>
      <c r="AB1313" s="14"/>
      <c r="AC1313" s="14"/>
      <c r="AD1313" s="14"/>
      <c r="AE1313" s="14"/>
      <c r="AF1313" s="14"/>
      <c r="AG1313" s="14"/>
      <c r="AH1313" s="14"/>
      <c r="AI1313" s="14"/>
      <c r="AJ1313" s="14"/>
      <c r="AK1313" s="14"/>
      <c r="AL1313" s="14"/>
      <c r="AM1313" s="14"/>
    </row>
    <row r="1314" ht="14.25" customHeight="1">
      <c r="AA1314" s="7">
        <f t="shared" si="2"/>
        <v>42220</v>
      </c>
      <c r="AB1314" s="14"/>
      <c r="AC1314" s="14"/>
      <c r="AD1314" s="14"/>
      <c r="AE1314" s="14"/>
      <c r="AF1314" s="14"/>
      <c r="AG1314" s="14"/>
      <c r="AH1314" s="14"/>
      <c r="AI1314" s="14"/>
      <c r="AJ1314" s="14"/>
      <c r="AK1314" s="14"/>
      <c r="AL1314" s="14"/>
      <c r="AM1314" s="14"/>
    </row>
    <row r="1315" ht="14.25" customHeight="1">
      <c r="AA1315" s="7">
        <f t="shared" si="2"/>
        <v>42221</v>
      </c>
      <c r="AB1315" s="14"/>
      <c r="AC1315" s="14"/>
      <c r="AD1315" s="14"/>
      <c r="AE1315" s="14"/>
      <c r="AF1315" s="14"/>
      <c r="AG1315" s="14"/>
      <c r="AH1315" s="14"/>
      <c r="AI1315" s="14"/>
      <c r="AJ1315" s="14"/>
      <c r="AK1315" s="14"/>
      <c r="AL1315" s="14"/>
      <c r="AM1315" s="14"/>
    </row>
    <row r="1316" ht="14.25" customHeight="1">
      <c r="AA1316" s="7">
        <f t="shared" si="2"/>
        <v>42222</v>
      </c>
      <c r="AB1316" s="14"/>
      <c r="AC1316" s="14"/>
      <c r="AD1316" s="14"/>
      <c r="AE1316" s="14"/>
      <c r="AF1316" s="14"/>
      <c r="AG1316" s="14"/>
      <c r="AH1316" s="14"/>
      <c r="AI1316" s="14"/>
      <c r="AJ1316" s="14"/>
      <c r="AK1316" s="14"/>
      <c r="AL1316" s="14"/>
      <c r="AM1316" s="14"/>
    </row>
    <row r="1317" ht="14.25" customHeight="1">
      <c r="AA1317" s="7">
        <f t="shared" si="2"/>
        <v>42223</v>
      </c>
      <c r="AB1317" s="14"/>
      <c r="AC1317" s="14"/>
      <c r="AD1317" s="14"/>
      <c r="AE1317" s="14"/>
      <c r="AF1317" s="14"/>
      <c r="AG1317" s="14"/>
      <c r="AH1317" s="14"/>
      <c r="AI1317" s="14"/>
      <c r="AJ1317" s="14"/>
      <c r="AK1317" s="14"/>
      <c r="AL1317" s="14"/>
      <c r="AM1317" s="14"/>
    </row>
    <row r="1318" ht="14.25" customHeight="1">
      <c r="AA1318" s="7">
        <f t="shared" si="2"/>
        <v>42224</v>
      </c>
      <c r="AB1318" s="14"/>
      <c r="AC1318" s="14"/>
      <c r="AD1318" s="14"/>
      <c r="AE1318" s="14"/>
      <c r="AF1318" s="14"/>
      <c r="AG1318" s="14"/>
      <c r="AH1318" s="14"/>
      <c r="AI1318" s="14"/>
      <c r="AJ1318" s="14"/>
      <c r="AK1318" s="14"/>
      <c r="AL1318" s="14"/>
      <c r="AM1318" s="14"/>
    </row>
    <row r="1319" ht="14.25" customHeight="1">
      <c r="AA1319" s="7">
        <f t="shared" si="2"/>
        <v>42225</v>
      </c>
      <c r="AB1319" s="14"/>
      <c r="AC1319" s="14"/>
      <c r="AD1319" s="14"/>
      <c r="AE1319" s="14"/>
      <c r="AF1319" s="14"/>
      <c r="AG1319" s="14"/>
      <c r="AH1319" s="14"/>
      <c r="AI1319" s="14"/>
      <c r="AJ1319" s="14"/>
      <c r="AK1319" s="14"/>
      <c r="AL1319" s="14"/>
      <c r="AM1319" s="14"/>
    </row>
    <row r="1320" ht="14.25" customHeight="1">
      <c r="AA1320" s="7">
        <f t="shared" si="2"/>
        <v>42226</v>
      </c>
      <c r="AB1320" s="14"/>
      <c r="AC1320" s="14"/>
      <c r="AD1320" s="14"/>
      <c r="AE1320" s="14"/>
      <c r="AF1320" s="14"/>
      <c r="AG1320" s="14"/>
      <c r="AH1320" s="14"/>
      <c r="AI1320" s="14"/>
      <c r="AJ1320" s="14"/>
      <c r="AK1320" s="14"/>
      <c r="AL1320" s="14"/>
      <c r="AM1320" s="14"/>
    </row>
    <row r="1321" ht="14.25" customHeight="1">
      <c r="AA1321" s="7">
        <f t="shared" si="2"/>
        <v>42227</v>
      </c>
      <c r="AB1321" s="14"/>
      <c r="AC1321" s="14"/>
      <c r="AD1321" s="14"/>
      <c r="AE1321" s="14"/>
      <c r="AF1321" s="14"/>
      <c r="AG1321" s="14"/>
      <c r="AH1321" s="14"/>
      <c r="AI1321" s="14"/>
      <c r="AJ1321" s="14"/>
      <c r="AK1321" s="14"/>
      <c r="AL1321" s="14"/>
      <c r="AM1321" s="14"/>
    </row>
    <row r="1322" ht="14.25" customHeight="1">
      <c r="AA1322" s="7">
        <f t="shared" si="2"/>
        <v>42228</v>
      </c>
      <c r="AB1322" s="14"/>
      <c r="AC1322" s="14"/>
      <c r="AD1322" s="14"/>
      <c r="AE1322" s="14"/>
      <c r="AF1322" s="14"/>
      <c r="AG1322" s="14"/>
      <c r="AH1322" s="14"/>
      <c r="AI1322" s="14"/>
      <c r="AJ1322" s="14"/>
      <c r="AK1322" s="14"/>
      <c r="AL1322" s="14"/>
      <c r="AM1322" s="14"/>
    </row>
    <row r="1323" ht="14.25" customHeight="1">
      <c r="AA1323" s="7">
        <f t="shared" si="2"/>
        <v>42229</v>
      </c>
      <c r="AB1323" s="14"/>
      <c r="AC1323" s="14"/>
      <c r="AD1323" s="14"/>
      <c r="AE1323" s="14"/>
      <c r="AF1323" s="14"/>
      <c r="AG1323" s="14"/>
      <c r="AH1323" s="14"/>
      <c r="AI1323" s="14"/>
      <c r="AJ1323" s="14"/>
      <c r="AK1323" s="14"/>
      <c r="AL1323" s="14"/>
      <c r="AM1323" s="14"/>
    </row>
    <row r="1324" ht="14.25" customHeight="1">
      <c r="AA1324" s="7">
        <f t="shared" si="2"/>
        <v>42230</v>
      </c>
      <c r="AB1324" s="14"/>
      <c r="AC1324" s="14"/>
      <c r="AD1324" s="14"/>
      <c r="AE1324" s="14"/>
      <c r="AF1324" s="14"/>
      <c r="AG1324" s="14"/>
      <c r="AH1324" s="14"/>
      <c r="AI1324" s="14"/>
      <c r="AJ1324" s="14"/>
      <c r="AK1324" s="14"/>
      <c r="AL1324" s="14"/>
      <c r="AM1324" s="14"/>
    </row>
    <row r="1325" ht="14.25" customHeight="1">
      <c r="AA1325" s="7">
        <f t="shared" si="2"/>
        <v>42231</v>
      </c>
      <c r="AB1325" s="14"/>
      <c r="AC1325" s="14"/>
      <c r="AD1325" s="14"/>
      <c r="AE1325" s="14"/>
      <c r="AF1325" s="14"/>
      <c r="AG1325" s="14"/>
      <c r="AH1325" s="14"/>
      <c r="AI1325" s="14"/>
      <c r="AJ1325" s="14"/>
      <c r="AK1325" s="14"/>
      <c r="AL1325" s="14"/>
      <c r="AM1325" s="14"/>
    </row>
    <row r="1326" ht="14.25" customHeight="1">
      <c r="AA1326" s="7">
        <f t="shared" si="2"/>
        <v>42232</v>
      </c>
      <c r="AB1326" s="14"/>
      <c r="AC1326" s="14"/>
      <c r="AD1326" s="14"/>
      <c r="AE1326" s="14"/>
      <c r="AF1326" s="14"/>
      <c r="AG1326" s="14"/>
      <c r="AH1326" s="14"/>
      <c r="AI1326" s="14"/>
      <c r="AJ1326" s="14"/>
      <c r="AK1326" s="14"/>
      <c r="AL1326" s="14"/>
      <c r="AM1326" s="14"/>
    </row>
    <row r="1327" ht="14.25" customHeight="1">
      <c r="AA1327" s="7">
        <f t="shared" si="2"/>
        <v>42233</v>
      </c>
      <c r="AB1327" s="14"/>
      <c r="AC1327" s="14"/>
      <c r="AD1327" s="14"/>
      <c r="AE1327" s="14"/>
      <c r="AF1327" s="14"/>
      <c r="AG1327" s="14"/>
      <c r="AH1327" s="14"/>
      <c r="AI1327" s="14"/>
      <c r="AJ1327" s="14"/>
      <c r="AK1327" s="14"/>
      <c r="AL1327" s="14"/>
      <c r="AM1327" s="14"/>
    </row>
    <row r="1328" ht="14.25" customHeight="1">
      <c r="AA1328" s="7">
        <f t="shared" si="2"/>
        <v>42234</v>
      </c>
      <c r="AB1328" s="14"/>
      <c r="AC1328" s="14"/>
      <c r="AD1328" s="14"/>
      <c r="AE1328" s="14"/>
      <c r="AF1328" s="14"/>
      <c r="AG1328" s="14"/>
      <c r="AH1328" s="14"/>
      <c r="AI1328" s="14"/>
      <c r="AJ1328" s="14"/>
      <c r="AK1328" s="14"/>
      <c r="AL1328" s="14"/>
      <c r="AM1328" s="14"/>
    </row>
    <row r="1329" ht="14.25" customHeight="1">
      <c r="AA1329" s="7">
        <f t="shared" si="2"/>
        <v>42235</v>
      </c>
      <c r="AB1329" s="14"/>
      <c r="AC1329" s="14"/>
      <c r="AD1329" s="14"/>
      <c r="AE1329" s="14"/>
      <c r="AF1329" s="14"/>
      <c r="AG1329" s="14"/>
      <c r="AH1329" s="14"/>
      <c r="AI1329" s="14"/>
      <c r="AJ1329" s="14"/>
      <c r="AK1329" s="14"/>
      <c r="AL1329" s="14"/>
      <c r="AM1329" s="14"/>
    </row>
    <row r="1330" ht="14.25" customHeight="1">
      <c r="AA1330" s="7">
        <f t="shared" si="2"/>
        <v>42236</v>
      </c>
      <c r="AB1330" s="14"/>
      <c r="AC1330" s="14"/>
      <c r="AD1330" s="14"/>
      <c r="AE1330" s="14"/>
      <c r="AF1330" s="14"/>
      <c r="AG1330" s="14"/>
      <c r="AH1330" s="14"/>
      <c r="AI1330" s="14"/>
      <c r="AJ1330" s="14"/>
      <c r="AK1330" s="14"/>
      <c r="AL1330" s="14"/>
      <c r="AM1330" s="14"/>
    </row>
    <row r="1331" ht="14.25" customHeight="1">
      <c r="AA1331" s="7">
        <f t="shared" si="2"/>
        <v>42237</v>
      </c>
      <c r="AB1331" s="14"/>
      <c r="AC1331" s="14"/>
      <c r="AD1331" s="14"/>
      <c r="AE1331" s="14"/>
      <c r="AF1331" s="14"/>
      <c r="AG1331" s="14"/>
      <c r="AH1331" s="14"/>
      <c r="AI1331" s="14"/>
      <c r="AJ1331" s="14"/>
      <c r="AK1331" s="14"/>
      <c r="AL1331" s="14"/>
      <c r="AM1331" s="14"/>
    </row>
    <row r="1332" ht="14.25" customHeight="1">
      <c r="AA1332" s="7">
        <f t="shared" si="2"/>
        <v>42238</v>
      </c>
      <c r="AB1332" s="14"/>
      <c r="AC1332" s="14"/>
      <c r="AD1332" s="14"/>
      <c r="AE1332" s="14"/>
      <c r="AF1332" s="14"/>
      <c r="AG1332" s="14"/>
      <c r="AH1332" s="14"/>
      <c r="AI1332" s="14"/>
      <c r="AJ1332" s="14"/>
      <c r="AK1332" s="14"/>
      <c r="AL1332" s="14"/>
      <c r="AM1332" s="14"/>
    </row>
    <row r="1333" ht="14.25" customHeight="1">
      <c r="AA1333" s="7">
        <f t="shared" si="2"/>
        <v>42239</v>
      </c>
      <c r="AB1333" s="14"/>
      <c r="AC1333" s="14"/>
      <c r="AD1333" s="14"/>
      <c r="AE1333" s="14"/>
      <c r="AF1333" s="14"/>
      <c r="AG1333" s="14"/>
      <c r="AH1333" s="14"/>
      <c r="AI1333" s="14"/>
      <c r="AJ1333" s="14"/>
      <c r="AK1333" s="14"/>
      <c r="AL1333" s="14"/>
      <c r="AM1333" s="14"/>
    </row>
    <row r="1334" ht="14.25" customHeight="1">
      <c r="AA1334" s="7">
        <f t="shared" si="2"/>
        <v>42240</v>
      </c>
      <c r="AB1334" s="14"/>
      <c r="AC1334" s="14"/>
      <c r="AD1334" s="14"/>
      <c r="AE1334" s="14"/>
      <c r="AF1334" s="14"/>
      <c r="AG1334" s="14"/>
      <c r="AH1334" s="14"/>
      <c r="AI1334" s="14"/>
      <c r="AJ1334" s="14"/>
      <c r="AK1334" s="14"/>
      <c r="AL1334" s="14"/>
      <c r="AM1334" s="14"/>
    </row>
    <row r="1335" ht="14.25" customHeight="1">
      <c r="AA1335" s="7">
        <f t="shared" si="2"/>
        <v>42241</v>
      </c>
      <c r="AB1335" s="14"/>
      <c r="AC1335" s="14"/>
      <c r="AD1335" s="14"/>
      <c r="AE1335" s="14"/>
      <c r="AF1335" s="14"/>
      <c r="AG1335" s="14"/>
      <c r="AH1335" s="14"/>
      <c r="AI1335" s="14"/>
      <c r="AJ1335" s="14"/>
      <c r="AK1335" s="14"/>
      <c r="AL1335" s="14"/>
      <c r="AM1335" s="14"/>
    </row>
    <row r="1336" ht="14.25" customHeight="1">
      <c r="AA1336" s="7">
        <f t="shared" si="2"/>
        <v>42242</v>
      </c>
      <c r="AB1336" s="14"/>
      <c r="AC1336" s="14"/>
      <c r="AD1336" s="14"/>
      <c r="AE1336" s="14"/>
      <c r="AF1336" s="14"/>
      <c r="AG1336" s="14"/>
      <c r="AH1336" s="14"/>
      <c r="AI1336" s="14"/>
      <c r="AJ1336" s="14"/>
      <c r="AK1336" s="14"/>
      <c r="AL1336" s="14"/>
      <c r="AM1336" s="14"/>
    </row>
    <row r="1337" ht="14.25" customHeight="1">
      <c r="AA1337" s="7">
        <f t="shared" si="2"/>
        <v>42243</v>
      </c>
      <c r="AB1337" s="14"/>
      <c r="AC1337" s="14"/>
      <c r="AD1337" s="14"/>
      <c r="AE1337" s="14"/>
      <c r="AF1337" s="14"/>
      <c r="AG1337" s="14"/>
      <c r="AH1337" s="14"/>
      <c r="AI1337" s="14"/>
      <c r="AJ1337" s="14"/>
      <c r="AK1337" s="14"/>
      <c r="AL1337" s="14"/>
      <c r="AM1337" s="14"/>
    </row>
    <row r="1338" ht="14.25" customHeight="1">
      <c r="AA1338" s="7">
        <f t="shared" si="2"/>
        <v>42244</v>
      </c>
      <c r="AB1338" s="14"/>
      <c r="AC1338" s="14"/>
      <c r="AD1338" s="14"/>
      <c r="AE1338" s="14"/>
      <c r="AF1338" s="14"/>
      <c r="AG1338" s="14"/>
      <c r="AH1338" s="14"/>
      <c r="AI1338" s="14"/>
      <c r="AJ1338" s="14"/>
      <c r="AK1338" s="14"/>
      <c r="AL1338" s="14"/>
      <c r="AM1338" s="14"/>
    </row>
    <row r="1339" ht="14.25" customHeight="1">
      <c r="AA1339" s="7">
        <f t="shared" si="2"/>
        <v>42245</v>
      </c>
      <c r="AB1339" s="14"/>
      <c r="AC1339" s="14"/>
      <c r="AD1339" s="14"/>
      <c r="AE1339" s="14"/>
      <c r="AF1339" s="14"/>
      <c r="AG1339" s="14"/>
      <c r="AH1339" s="14"/>
      <c r="AI1339" s="14"/>
      <c r="AJ1339" s="14"/>
      <c r="AK1339" s="14"/>
      <c r="AL1339" s="14"/>
      <c r="AM1339" s="14"/>
    </row>
    <row r="1340" ht="14.25" customHeight="1">
      <c r="AA1340" s="7">
        <f t="shared" si="2"/>
        <v>42246</v>
      </c>
      <c r="AB1340" s="14"/>
      <c r="AC1340" s="14"/>
      <c r="AD1340" s="14"/>
      <c r="AE1340" s="14"/>
      <c r="AF1340" s="14"/>
      <c r="AG1340" s="14"/>
      <c r="AH1340" s="14"/>
      <c r="AI1340" s="14"/>
      <c r="AJ1340" s="14"/>
      <c r="AK1340" s="14"/>
      <c r="AL1340" s="14"/>
      <c r="AM1340" s="14"/>
    </row>
    <row r="1341" ht="14.25" customHeight="1">
      <c r="AA1341" s="7">
        <f t="shared" si="2"/>
        <v>42247</v>
      </c>
      <c r="AB1341" s="14"/>
      <c r="AC1341" s="14"/>
      <c r="AD1341" s="14"/>
      <c r="AE1341" s="14"/>
      <c r="AF1341" s="14"/>
      <c r="AG1341" s="14"/>
      <c r="AH1341" s="14"/>
      <c r="AI1341" s="14"/>
      <c r="AJ1341" s="14"/>
      <c r="AK1341" s="14"/>
      <c r="AL1341" s="14"/>
      <c r="AM1341" s="14"/>
    </row>
    <row r="1342" ht="14.25" customHeight="1">
      <c r="AA1342" s="7">
        <f t="shared" si="2"/>
        <v>42248</v>
      </c>
      <c r="AB1342" s="14"/>
      <c r="AC1342" s="14"/>
      <c r="AD1342" s="14"/>
      <c r="AE1342" s="14"/>
      <c r="AF1342" s="14"/>
      <c r="AG1342" s="14"/>
      <c r="AH1342" s="14"/>
      <c r="AI1342" s="14"/>
      <c r="AJ1342" s="14"/>
      <c r="AK1342" s="14"/>
      <c r="AL1342" s="14"/>
      <c r="AM1342" s="14"/>
    </row>
    <row r="1343" ht="14.25" customHeight="1">
      <c r="AA1343" s="7">
        <f t="shared" si="2"/>
        <v>42249</v>
      </c>
      <c r="AB1343" s="14"/>
      <c r="AC1343" s="14"/>
      <c r="AD1343" s="14"/>
      <c r="AE1343" s="14"/>
      <c r="AF1343" s="14"/>
      <c r="AG1343" s="14"/>
      <c r="AH1343" s="14"/>
      <c r="AI1343" s="14"/>
      <c r="AJ1343" s="14"/>
      <c r="AK1343" s="14"/>
      <c r="AL1343" s="14"/>
      <c r="AM1343" s="14"/>
    </row>
    <row r="1344" ht="14.25" customHeight="1">
      <c r="AA1344" s="7">
        <f t="shared" si="2"/>
        <v>42250</v>
      </c>
      <c r="AB1344" s="14"/>
      <c r="AC1344" s="14"/>
      <c r="AD1344" s="14"/>
      <c r="AE1344" s="14"/>
      <c r="AF1344" s="14"/>
      <c r="AG1344" s="14"/>
      <c r="AH1344" s="14"/>
      <c r="AI1344" s="14"/>
      <c r="AJ1344" s="14"/>
      <c r="AK1344" s="14"/>
      <c r="AL1344" s="14"/>
      <c r="AM1344" s="14"/>
    </row>
    <row r="1345" ht="14.25" customHeight="1">
      <c r="AA1345" s="7">
        <f t="shared" si="2"/>
        <v>42251</v>
      </c>
      <c r="AB1345" s="14"/>
      <c r="AC1345" s="14"/>
      <c r="AD1345" s="14"/>
      <c r="AE1345" s="14"/>
      <c r="AF1345" s="14"/>
      <c r="AG1345" s="14"/>
      <c r="AH1345" s="14"/>
      <c r="AI1345" s="14"/>
      <c r="AJ1345" s="14"/>
      <c r="AK1345" s="14"/>
      <c r="AL1345" s="14"/>
      <c r="AM1345" s="14"/>
    </row>
    <row r="1346" ht="14.25" customHeight="1">
      <c r="AA1346" s="7">
        <f t="shared" si="2"/>
        <v>42252</v>
      </c>
      <c r="AB1346" s="14"/>
      <c r="AC1346" s="14"/>
      <c r="AD1346" s="14"/>
      <c r="AE1346" s="14"/>
      <c r="AF1346" s="14"/>
      <c r="AG1346" s="14"/>
      <c r="AH1346" s="14"/>
      <c r="AI1346" s="14"/>
      <c r="AJ1346" s="14"/>
      <c r="AK1346" s="14"/>
      <c r="AL1346" s="14"/>
      <c r="AM1346" s="14"/>
    </row>
    <row r="1347" ht="14.25" customHeight="1">
      <c r="AA1347" s="7">
        <f t="shared" si="2"/>
        <v>42253</v>
      </c>
      <c r="AB1347" s="14"/>
      <c r="AC1347" s="14"/>
      <c r="AD1347" s="14"/>
      <c r="AE1347" s="14"/>
      <c r="AF1347" s="14"/>
      <c r="AG1347" s="14"/>
      <c r="AH1347" s="14"/>
      <c r="AI1347" s="14"/>
      <c r="AJ1347" s="14"/>
      <c r="AK1347" s="14"/>
      <c r="AL1347" s="14"/>
      <c r="AM1347" s="14"/>
    </row>
    <row r="1348" ht="14.25" customHeight="1">
      <c r="AA1348" s="7">
        <f t="shared" si="2"/>
        <v>42254</v>
      </c>
      <c r="AB1348" s="14"/>
      <c r="AC1348" s="14"/>
      <c r="AD1348" s="14"/>
      <c r="AE1348" s="14"/>
      <c r="AF1348" s="14"/>
      <c r="AG1348" s="14"/>
      <c r="AH1348" s="14"/>
      <c r="AI1348" s="14"/>
      <c r="AJ1348" s="14"/>
      <c r="AK1348" s="14"/>
      <c r="AL1348" s="14"/>
      <c r="AM1348" s="14"/>
    </row>
    <row r="1349" ht="14.25" customHeight="1">
      <c r="AA1349" s="7">
        <f t="shared" si="2"/>
        <v>42255</v>
      </c>
      <c r="AB1349" s="14"/>
      <c r="AC1349" s="14"/>
      <c r="AD1349" s="14"/>
      <c r="AE1349" s="14"/>
      <c r="AF1349" s="14"/>
      <c r="AG1349" s="14"/>
      <c r="AH1349" s="14"/>
      <c r="AI1349" s="14"/>
      <c r="AJ1349" s="14"/>
      <c r="AK1349" s="14"/>
      <c r="AL1349" s="14"/>
      <c r="AM1349" s="14"/>
    </row>
    <row r="1350" ht="14.25" customHeight="1">
      <c r="AA1350" s="7">
        <f t="shared" si="2"/>
        <v>42256</v>
      </c>
      <c r="AB1350" s="14"/>
      <c r="AC1350" s="14"/>
      <c r="AD1350" s="14"/>
      <c r="AE1350" s="14"/>
      <c r="AF1350" s="14"/>
      <c r="AG1350" s="14"/>
      <c r="AH1350" s="14"/>
      <c r="AI1350" s="14"/>
      <c r="AJ1350" s="14"/>
      <c r="AK1350" s="14"/>
      <c r="AL1350" s="14"/>
      <c r="AM1350" s="14"/>
    </row>
    <row r="1351" ht="14.25" customHeight="1">
      <c r="AA1351" s="7">
        <f t="shared" si="2"/>
        <v>42257</v>
      </c>
      <c r="AB1351" s="14"/>
      <c r="AC1351" s="14"/>
      <c r="AD1351" s="14"/>
      <c r="AE1351" s="14"/>
      <c r="AF1351" s="14"/>
      <c r="AG1351" s="14"/>
      <c r="AH1351" s="14"/>
      <c r="AI1351" s="14"/>
      <c r="AJ1351" s="14"/>
      <c r="AK1351" s="14"/>
      <c r="AL1351" s="14"/>
      <c r="AM1351" s="14"/>
    </row>
    <row r="1352" ht="14.25" customHeight="1">
      <c r="AA1352" s="7">
        <f t="shared" si="2"/>
        <v>42258</v>
      </c>
      <c r="AB1352" s="14"/>
      <c r="AC1352" s="14"/>
      <c r="AD1352" s="14"/>
      <c r="AE1352" s="14"/>
      <c r="AF1352" s="14"/>
      <c r="AG1352" s="14"/>
      <c r="AH1352" s="14"/>
      <c r="AI1352" s="14"/>
      <c r="AJ1352" s="14"/>
      <c r="AK1352" s="14"/>
      <c r="AL1352" s="14"/>
      <c r="AM1352" s="14"/>
    </row>
    <row r="1353" ht="14.25" customHeight="1">
      <c r="AA1353" s="7">
        <f t="shared" si="2"/>
        <v>42259</v>
      </c>
      <c r="AB1353" s="14"/>
      <c r="AC1353" s="14"/>
      <c r="AD1353" s="14"/>
      <c r="AE1353" s="14"/>
      <c r="AF1353" s="14"/>
      <c r="AG1353" s="14"/>
      <c r="AH1353" s="14"/>
      <c r="AI1353" s="14"/>
      <c r="AJ1353" s="14"/>
      <c r="AK1353" s="14"/>
      <c r="AL1353" s="14"/>
      <c r="AM1353" s="14"/>
    </row>
    <row r="1354" ht="14.25" customHeight="1">
      <c r="AA1354" s="7">
        <f t="shared" si="2"/>
        <v>42260</v>
      </c>
      <c r="AB1354" s="14"/>
      <c r="AC1354" s="14"/>
      <c r="AD1354" s="14"/>
      <c r="AE1354" s="14"/>
      <c r="AF1354" s="14"/>
      <c r="AG1354" s="14"/>
      <c r="AH1354" s="14"/>
      <c r="AI1354" s="14"/>
      <c r="AJ1354" s="14"/>
      <c r="AK1354" s="14"/>
      <c r="AL1354" s="14"/>
      <c r="AM1354" s="14"/>
    </row>
    <row r="1355" ht="14.25" customHeight="1">
      <c r="AA1355" s="7">
        <f t="shared" si="2"/>
        <v>42261</v>
      </c>
      <c r="AB1355" s="14"/>
      <c r="AC1355" s="14"/>
      <c r="AD1355" s="14"/>
      <c r="AE1355" s="14"/>
      <c r="AF1355" s="14"/>
      <c r="AG1355" s="14"/>
      <c r="AH1355" s="14"/>
      <c r="AI1355" s="14"/>
      <c r="AJ1355" s="14"/>
      <c r="AK1355" s="14"/>
      <c r="AL1355" s="14"/>
      <c r="AM1355" s="14"/>
    </row>
    <row r="1356" ht="14.25" customHeight="1">
      <c r="AA1356" s="7">
        <f t="shared" si="2"/>
        <v>42262</v>
      </c>
      <c r="AB1356" s="14"/>
      <c r="AC1356" s="14"/>
      <c r="AD1356" s="14"/>
      <c r="AE1356" s="14"/>
      <c r="AF1356" s="14"/>
      <c r="AG1356" s="14"/>
      <c r="AH1356" s="14"/>
      <c r="AI1356" s="14"/>
      <c r="AJ1356" s="14"/>
      <c r="AK1356" s="14"/>
      <c r="AL1356" s="14"/>
      <c r="AM1356" s="14"/>
    </row>
    <row r="1357" ht="14.25" customHeight="1">
      <c r="AA1357" s="7">
        <f t="shared" si="2"/>
        <v>42263</v>
      </c>
      <c r="AB1357" s="14"/>
      <c r="AC1357" s="14"/>
      <c r="AD1357" s="14"/>
      <c r="AE1357" s="14"/>
      <c r="AF1357" s="14"/>
      <c r="AG1357" s="14"/>
      <c r="AH1357" s="14"/>
      <c r="AI1357" s="14"/>
      <c r="AJ1357" s="14"/>
      <c r="AK1357" s="14"/>
      <c r="AL1357" s="14"/>
      <c r="AM1357" s="14"/>
    </row>
    <row r="1358" ht="14.25" customHeight="1">
      <c r="AA1358" s="7">
        <f t="shared" si="2"/>
        <v>42264</v>
      </c>
      <c r="AB1358" s="14"/>
      <c r="AC1358" s="14"/>
      <c r="AD1358" s="14"/>
      <c r="AE1358" s="14"/>
      <c r="AF1358" s="14"/>
      <c r="AG1358" s="14"/>
      <c r="AH1358" s="14"/>
      <c r="AI1358" s="14"/>
      <c r="AJ1358" s="14"/>
      <c r="AK1358" s="14"/>
      <c r="AL1358" s="14"/>
      <c r="AM1358" s="14"/>
    </row>
    <row r="1359" ht="14.25" customHeight="1">
      <c r="AA1359" s="7">
        <f t="shared" si="2"/>
        <v>42265</v>
      </c>
      <c r="AB1359" s="14"/>
      <c r="AC1359" s="14"/>
      <c r="AD1359" s="14"/>
      <c r="AE1359" s="14"/>
      <c r="AF1359" s="14"/>
      <c r="AG1359" s="14"/>
      <c r="AH1359" s="14"/>
      <c r="AI1359" s="14"/>
      <c r="AJ1359" s="14"/>
      <c r="AK1359" s="14"/>
      <c r="AL1359" s="14"/>
      <c r="AM1359" s="14"/>
    </row>
    <row r="1360" ht="14.25" customHeight="1">
      <c r="AA1360" s="7">
        <f t="shared" si="2"/>
        <v>42266</v>
      </c>
      <c r="AB1360" s="14"/>
      <c r="AC1360" s="14"/>
      <c r="AD1360" s="14"/>
      <c r="AE1360" s="14"/>
      <c r="AF1360" s="14"/>
      <c r="AG1360" s="14"/>
      <c r="AH1360" s="14"/>
      <c r="AI1360" s="14"/>
      <c r="AJ1360" s="14"/>
      <c r="AK1360" s="14"/>
      <c r="AL1360" s="14"/>
      <c r="AM1360" s="14"/>
    </row>
    <row r="1361" ht="14.25" customHeight="1">
      <c r="AA1361" s="7">
        <f t="shared" si="2"/>
        <v>42267</v>
      </c>
      <c r="AB1361" s="14"/>
      <c r="AC1361" s="14"/>
      <c r="AD1361" s="14"/>
      <c r="AE1361" s="14"/>
      <c r="AF1361" s="14"/>
      <c r="AG1361" s="14"/>
      <c r="AH1361" s="14"/>
      <c r="AI1361" s="14"/>
      <c r="AJ1361" s="14"/>
      <c r="AK1361" s="14"/>
      <c r="AL1361" s="14"/>
      <c r="AM1361" s="14"/>
    </row>
    <row r="1362" ht="14.25" customHeight="1">
      <c r="AA1362" s="7">
        <f t="shared" si="2"/>
        <v>42268</v>
      </c>
      <c r="AB1362" s="14"/>
      <c r="AC1362" s="14"/>
      <c r="AD1362" s="14"/>
      <c r="AE1362" s="14"/>
      <c r="AF1362" s="14"/>
      <c r="AG1362" s="14"/>
      <c r="AH1362" s="14"/>
      <c r="AI1362" s="14"/>
      <c r="AJ1362" s="14"/>
      <c r="AK1362" s="14"/>
      <c r="AL1362" s="14"/>
      <c r="AM1362" s="14"/>
    </row>
    <row r="1363" ht="14.25" customHeight="1">
      <c r="AA1363" s="7">
        <f t="shared" si="2"/>
        <v>42269</v>
      </c>
      <c r="AB1363" s="14"/>
      <c r="AC1363" s="14"/>
      <c r="AD1363" s="14"/>
      <c r="AE1363" s="14"/>
      <c r="AF1363" s="14"/>
      <c r="AG1363" s="14"/>
      <c r="AH1363" s="14"/>
      <c r="AI1363" s="14"/>
      <c r="AJ1363" s="14"/>
      <c r="AK1363" s="14"/>
      <c r="AL1363" s="14"/>
      <c r="AM1363" s="14"/>
    </row>
    <row r="1364" ht="14.25" customHeight="1">
      <c r="AA1364" s="7">
        <f t="shared" si="2"/>
        <v>42270</v>
      </c>
      <c r="AB1364" s="14"/>
      <c r="AC1364" s="14"/>
      <c r="AD1364" s="14"/>
      <c r="AE1364" s="14"/>
      <c r="AF1364" s="14"/>
      <c r="AG1364" s="14"/>
      <c r="AH1364" s="14"/>
      <c r="AI1364" s="14"/>
      <c r="AJ1364" s="14"/>
      <c r="AK1364" s="14"/>
      <c r="AL1364" s="14"/>
      <c r="AM1364" s="14"/>
    </row>
    <row r="1365" ht="14.25" customHeight="1">
      <c r="AA1365" s="7">
        <f t="shared" si="2"/>
        <v>42271</v>
      </c>
      <c r="AB1365" s="14"/>
      <c r="AC1365" s="14"/>
      <c r="AD1365" s="14"/>
      <c r="AE1365" s="14"/>
      <c r="AF1365" s="14"/>
      <c r="AG1365" s="14"/>
      <c r="AH1365" s="14"/>
      <c r="AI1365" s="14"/>
      <c r="AJ1365" s="14"/>
      <c r="AK1365" s="14"/>
      <c r="AL1365" s="14"/>
      <c r="AM1365" s="14"/>
    </row>
    <row r="1366" ht="14.25" customHeight="1">
      <c r="AA1366" s="7">
        <f t="shared" si="2"/>
        <v>42272</v>
      </c>
      <c r="AB1366" s="14"/>
      <c r="AC1366" s="14"/>
      <c r="AD1366" s="14"/>
      <c r="AE1366" s="14"/>
      <c r="AF1366" s="14"/>
      <c r="AG1366" s="14"/>
      <c r="AH1366" s="14"/>
      <c r="AI1366" s="14"/>
      <c r="AJ1366" s="14"/>
      <c r="AK1366" s="14"/>
      <c r="AL1366" s="14"/>
      <c r="AM1366" s="14"/>
    </row>
    <row r="1367" ht="14.25" customHeight="1">
      <c r="AA1367" s="7">
        <f t="shared" si="2"/>
        <v>42273</v>
      </c>
      <c r="AB1367" s="14"/>
      <c r="AC1367" s="14"/>
      <c r="AD1367" s="14"/>
      <c r="AE1367" s="14"/>
      <c r="AF1367" s="14"/>
      <c r="AG1367" s="14"/>
      <c r="AH1367" s="14"/>
      <c r="AI1367" s="14"/>
      <c r="AJ1367" s="14"/>
      <c r="AK1367" s="14"/>
      <c r="AL1367" s="14"/>
      <c r="AM1367" s="14"/>
    </row>
    <row r="1368" ht="14.25" customHeight="1">
      <c r="AA1368" s="7">
        <f t="shared" si="2"/>
        <v>42274</v>
      </c>
      <c r="AB1368" s="14"/>
      <c r="AC1368" s="14"/>
      <c r="AD1368" s="14"/>
      <c r="AE1368" s="14"/>
      <c r="AF1368" s="14"/>
      <c r="AG1368" s="14"/>
      <c r="AH1368" s="14"/>
      <c r="AI1368" s="14"/>
      <c r="AJ1368" s="14"/>
      <c r="AK1368" s="14"/>
      <c r="AL1368" s="14"/>
      <c r="AM1368" s="14"/>
    </row>
    <row r="1369" ht="14.25" customHeight="1">
      <c r="AA1369" s="7">
        <f t="shared" si="2"/>
        <v>42275</v>
      </c>
      <c r="AB1369" s="14"/>
      <c r="AC1369" s="14"/>
      <c r="AD1369" s="14"/>
      <c r="AE1369" s="14"/>
      <c r="AF1369" s="14"/>
      <c r="AG1369" s="14"/>
      <c r="AH1369" s="14"/>
      <c r="AI1369" s="14"/>
      <c r="AJ1369" s="14"/>
      <c r="AK1369" s="14"/>
      <c r="AL1369" s="14"/>
      <c r="AM1369" s="14"/>
    </row>
    <row r="1370" ht="14.25" customHeight="1">
      <c r="AA1370" s="7">
        <f t="shared" si="2"/>
        <v>42276</v>
      </c>
      <c r="AB1370" s="14"/>
      <c r="AC1370" s="14"/>
      <c r="AD1370" s="14"/>
      <c r="AE1370" s="14"/>
      <c r="AF1370" s="14"/>
      <c r="AG1370" s="14"/>
      <c r="AH1370" s="14"/>
      <c r="AI1370" s="14"/>
      <c r="AJ1370" s="14"/>
      <c r="AK1370" s="14"/>
      <c r="AL1370" s="14"/>
      <c r="AM1370" s="14"/>
    </row>
    <row r="1371" ht="14.25" customHeight="1">
      <c r="AA1371" s="7">
        <f t="shared" si="2"/>
        <v>42277</v>
      </c>
      <c r="AB1371" s="14"/>
      <c r="AC1371" s="14"/>
      <c r="AD1371" s="14"/>
      <c r="AE1371" s="14"/>
      <c r="AF1371" s="14"/>
      <c r="AG1371" s="14"/>
      <c r="AH1371" s="14"/>
      <c r="AI1371" s="14"/>
      <c r="AJ1371" s="14"/>
      <c r="AK1371" s="14"/>
      <c r="AL1371" s="14"/>
      <c r="AM1371" s="14"/>
    </row>
    <row r="1372" ht="14.25" customHeight="1">
      <c r="AA1372" s="7">
        <f t="shared" si="2"/>
        <v>42278</v>
      </c>
      <c r="AB1372" s="14"/>
      <c r="AC1372" s="14"/>
      <c r="AD1372" s="14"/>
      <c r="AE1372" s="14"/>
      <c r="AF1372" s="14"/>
      <c r="AG1372" s="14"/>
      <c r="AH1372" s="14"/>
      <c r="AI1372" s="14"/>
      <c r="AJ1372" s="14"/>
      <c r="AK1372" s="14"/>
      <c r="AL1372" s="14"/>
      <c r="AM1372" s="14"/>
    </row>
    <row r="1373" ht="14.25" customHeight="1">
      <c r="AA1373" s="7">
        <f t="shared" si="2"/>
        <v>42279</v>
      </c>
      <c r="AB1373" s="14"/>
      <c r="AC1373" s="14"/>
      <c r="AD1373" s="14"/>
      <c r="AE1373" s="14"/>
      <c r="AF1373" s="14"/>
      <c r="AG1373" s="14"/>
      <c r="AH1373" s="14"/>
      <c r="AI1373" s="14"/>
      <c r="AJ1373" s="14"/>
      <c r="AK1373" s="14"/>
      <c r="AL1373" s="14"/>
      <c r="AM1373" s="14"/>
    </row>
    <row r="1374" ht="14.25" customHeight="1">
      <c r="AA1374" s="7">
        <f t="shared" si="2"/>
        <v>42280</v>
      </c>
      <c r="AB1374" s="14"/>
      <c r="AC1374" s="14"/>
      <c r="AD1374" s="14"/>
      <c r="AE1374" s="14"/>
      <c r="AF1374" s="14"/>
      <c r="AG1374" s="14"/>
      <c r="AH1374" s="14"/>
      <c r="AI1374" s="14"/>
      <c r="AJ1374" s="14"/>
      <c r="AK1374" s="14"/>
      <c r="AL1374" s="14"/>
      <c r="AM1374" s="14"/>
    </row>
    <row r="1375" ht="14.25" customHeight="1">
      <c r="AA1375" s="7">
        <f t="shared" si="2"/>
        <v>42281</v>
      </c>
      <c r="AB1375" s="14"/>
      <c r="AC1375" s="14"/>
      <c r="AD1375" s="14"/>
      <c r="AE1375" s="14"/>
      <c r="AF1375" s="14"/>
      <c r="AG1375" s="14"/>
      <c r="AH1375" s="14"/>
      <c r="AI1375" s="14"/>
      <c r="AJ1375" s="14"/>
      <c r="AK1375" s="14"/>
      <c r="AL1375" s="14"/>
      <c r="AM1375" s="14"/>
    </row>
    <row r="1376" ht="14.25" customHeight="1">
      <c r="AA1376" s="7">
        <f t="shared" si="2"/>
        <v>42282</v>
      </c>
      <c r="AB1376" s="14"/>
      <c r="AC1376" s="14"/>
      <c r="AD1376" s="14"/>
      <c r="AE1376" s="14"/>
      <c r="AF1376" s="14"/>
      <c r="AG1376" s="14"/>
      <c r="AH1376" s="14"/>
      <c r="AI1376" s="14"/>
      <c r="AJ1376" s="14"/>
      <c r="AK1376" s="14"/>
      <c r="AL1376" s="14"/>
      <c r="AM1376" s="14"/>
    </row>
    <row r="1377" ht="14.25" customHeight="1">
      <c r="AA1377" s="7">
        <f t="shared" si="2"/>
        <v>42283</v>
      </c>
      <c r="AB1377" s="14"/>
      <c r="AC1377" s="14"/>
      <c r="AD1377" s="14"/>
      <c r="AE1377" s="14"/>
      <c r="AF1377" s="14"/>
      <c r="AG1377" s="14"/>
      <c r="AH1377" s="14"/>
      <c r="AI1377" s="14"/>
      <c r="AJ1377" s="14"/>
      <c r="AK1377" s="14"/>
      <c r="AL1377" s="14"/>
      <c r="AM1377" s="14"/>
    </row>
    <row r="1378" ht="14.25" customHeight="1">
      <c r="AA1378" s="7">
        <f t="shared" si="2"/>
        <v>42284</v>
      </c>
      <c r="AB1378" s="14"/>
      <c r="AC1378" s="14"/>
      <c r="AD1378" s="14"/>
      <c r="AE1378" s="14"/>
      <c r="AF1378" s="14"/>
      <c r="AG1378" s="14"/>
      <c r="AH1378" s="14"/>
      <c r="AI1378" s="14"/>
      <c r="AJ1378" s="14"/>
      <c r="AK1378" s="14"/>
      <c r="AL1378" s="14"/>
      <c r="AM1378" s="14"/>
    </row>
    <row r="1379" ht="14.25" customHeight="1">
      <c r="AA1379" s="7">
        <f t="shared" si="2"/>
        <v>42285</v>
      </c>
      <c r="AB1379" s="14"/>
      <c r="AC1379" s="14"/>
      <c r="AD1379" s="14"/>
      <c r="AE1379" s="14"/>
      <c r="AF1379" s="14"/>
      <c r="AG1379" s="14"/>
      <c r="AH1379" s="14"/>
      <c r="AI1379" s="14"/>
      <c r="AJ1379" s="14"/>
      <c r="AK1379" s="14"/>
      <c r="AL1379" s="14"/>
      <c r="AM1379" s="14"/>
    </row>
    <row r="1380" ht="14.25" customHeight="1">
      <c r="AA1380" s="7">
        <f t="shared" si="2"/>
        <v>42286</v>
      </c>
      <c r="AB1380" s="14"/>
      <c r="AC1380" s="14"/>
      <c r="AD1380" s="14"/>
      <c r="AE1380" s="14"/>
      <c r="AF1380" s="14"/>
      <c r="AG1380" s="14"/>
      <c r="AH1380" s="14"/>
      <c r="AI1380" s="14"/>
      <c r="AJ1380" s="14"/>
      <c r="AK1380" s="14"/>
      <c r="AL1380" s="14"/>
      <c r="AM1380" s="14"/>
    </row>
    <row r="1381" ht="14.25" customHeight="1">
      <c r="AA1381" s="7">
        <f t="shared" si="2"/>
        <v>42287</v>
      </c>
      <c r="AB1381" s="14"/>
      <c r="AC1381" s="14"/>
      <c r="AD1381" s="14"/>
      <c r="AE1381" s="14"/>
      <c r="AF1381" s="14"/>
      <c r="AG1381" s="14"/>
      <c r="AH1381" s="14"/>
      <c r="AI1381" s="14"/>
      <c r="AJ1381" s="14"/>
      <c r="AK1381" s="14"/>
      <c r="AL1381" s="14"/>
      <c r="AM1381" s="14"/>
    </row>
    <row r="1382" ht="14.25" customHeight="1">
      <c r="AA1382" s="7">
        <f t="shared" si="2"/>
        <v>42288</v>
      </c>
      <c r="AB1382" s="14"/>
      <c r="AC1382" s="14"/>
      <c r="AD1382" s="14"/>
      <c r="AE1382" s="14"/>
      <c r="AF1382" s="14"/>
      <c r="AG1382" s="14"/>
      <c r="AH1382" s="14"/>
      <c r="AI1382" s="14"/>
      <c r="AJ1382" s="14"/>
      <c r="AK1382" s="14"/>
      <c r="AL1382" s="14"/>
      <c r="AM1382" s="14"/>
    </row>
    <row r="1383" ht="14.25" customHeight="1">
      <c r="AA1383" s="7">
        <f t="shared" si="2"/>
        <v>42289</v>
      </c>
      <c r="AB1383" s="14"/>
      <c r="AC1383" s="14"/>
      <c r="AD1383" s="14"/>
      <c r="AE1383" s="14"/>
      <c r="AF1383" s="14"/>
      <c r="AG1383" s="14"/>
      <c r="AH1383" s="14"/>
      <c r="AI1383" s="14"/>
      <c r="AJ1383" s="14"/>
      <c r="AK1383" s="14"/>
      <c r="AL1383" s="14"/>
      <c r="AM1383" s="14"/>
    </row>
    <row r="1384" ht="14.25" customHeight="1">
      <c r="AA1384" s="7">
        <f t="shared" si="2"/>
        <v>42290</v>
      </c>
      <c r="AB1384" s="14"/>
      <c r="AC1384" s="14"/>
      <c r="AD1384" s="14"/>
      <c r="AE1384" s="14"/>
      <c r="AF1384" s="14"/>
      <c r="AG1384" s="14"/>
      <c r="AH1384" s="14"/>
      <c r="AI1384" s="14"/>
      <c r="AJ1384" s="14"/>
      <c r="AK1384" s="14"/>
      <c r="AL1384" s="14"/>
      <c r="AM1384" s="14"/>
    </row>
    <row r="1385" ht="14.25" customHeight="1">
      <c r="AA1385" s="7">
        <f t="shared" si="2"/>
        <v>42291</v>
      </c>
      <c r="AB1385" s="14"/>
      <c r="AC1385" s="14"/>
      <c r="AD1385" s="14"/>
      <c r="AE1385" s="14"/>
      <c r="AF1385" s="14"/>
      <c r="AG1385" s="14"/>
      <c r="AH1385" s="14"/>
      <c r="AI1385" s="14"/>
      <c r="AJ1385" s="14"/>
      <c r="AK1385" s="14"/>
      <c r="AL1385" s="14"/>
      <c r="AM1385" s="14"/>
    </row>
    <row r="1386" ht="14.25" customHeight="1">
      <c r="AA1386" s="7">
        <f t="shared" si="2"/>
        <v>42292</v>
      </c>
      <c r="AB1386" s="14"/>
      <c r="AC1386" s="14"/>
      <c r="AD1386" s="14"/>
      <c r="AE1386" s="14"/>
      <c r="AF1386" s="14"/>
      <c r="AG1386" s="14"/>
      <c r="AH1386" s="14"/>
      <c r="AI1386" s="14"/>
      <c r="AJ1386" s="14"/>
      <c r="AK1386" s="14"/>
      <c r="AL1386" s="14"/>
      <c r="AM1386" s="14"/>
    </row>
    <row r="1387" ht="14.25" customHeight="1">
      <c r="AA1387" s="7">
        <f t="shared" si="2"/>
        <v>42293</v>
      </c>
      <c r="AB1387" s="14"/>
      <c r="AC1387" s="14"/>
      <c r="AD1387" s="14"/>
      <c r="AE1387" s="14"/>
      <c r="AF1387" s="14"/>
      <c r="AG1387" s="14"/>
      <c r="AH1387" s="14"/>
      <c r="AI1387" s="14"/>
      <c r="AJ1387" s="14"/>
      <c r="AK1387" s="14"/>
      <c r="AL1387" s="14"/>
      <c r="AM1387" s="14"/>
    </row>
    <row r="1388" ht="14.25" customHeight="1">
      <c r="AA1388" s="7">
        <f t="shared" si="2"/>
        <v>42294</v>
      </c>
      <c r="AB1388" s="14"/>
      <c r="AC1388" s="14"/>
      <c r="AD1388" s="14"/>
      <c r="AE1388" s="14"/>
      <c r="AF1388" s="14"/>
      <c r="AG1388" s="14"/>
      <c r="AH1388" s="14"/>
      <c r="AI1388" s="14"/>
      <c r="AJ1388" s="14"/>
      <c r="AK1388" s="14"/>
      <c r="AL1388" s="14"/>
      <c r="AM1388" s="14"/>
    </row>
    <row r="1389" ht="14.25" customHeight="1">
      <c r="AA1389" s="7">
        <f t="shared" si="2"/>
        <v>42295</v>
      </c>
      <c r="AB1389" s="14"/>
      <c r="AC1389" s="14"/>
      <c r="AD1389" s="14"/>
      <c r="AE1389" s="14"/>
      <c r="AF1389" s="14"/>
      <c r="AG1389" s="14"/>
      <c r="AH1389" s="14"/>
      <c r="AI1389" s="14"/>
      <c r="AJ1389" s="14"/>
      <c r="AK1389" s="14"/>
      <c r="AL1389" s="14"/>
      <c r="AM1389" s="14"/>
    </row>
    <row r="1390" ht="14.25" customHeight="1">
      <c r="AA1390" s="7">
        <f t="shared" si="2"/>
        <v>42296</v>
      </c>
      <c r="AB1390" s="14"/>
      <c r="AC1390" s="14"/>
      <c r="AD1390" s="14"/>
      <c r="AE1390" s="14"/>
      <c r="AF1390" s="14"/>
      <c r="AG1390" s="14"/>
      <c r="AH1390" s="14"/>
      <c r="AI1390" s="14"/>
      <c r="AJ1390" s="14"/>
      <c r="AK1390" s="14"/>
      <c r="AL1390" s="14"/>
      <c r="AM1390" s="14"/>
    </row>
    <row r="1391" ht="14.25" customHeight="1">
      <c r="AA1391" s="7">
        <f t="shared" si="2"/>
        <v>42297</v>
      </c>
      <c r="AB1391" s="14"/>
      <c r="AC1391" s="14"/>
      <c r="AD1391" s="14"/>
      <c r="AE1391" s="14"/>
      <c r="AF1391" s="14"/>
      <c r="AG1391" s="14"/>
      <c r="AH1391" s="14"/>
      <c r="AI1391" s="14"/>
      <c r="AJ1391" s="14"/>
      <c r="AK1391" s="14"/>
      <c r="AL1391" s="14"/>
      <c r="AM1391" s="14"/>
    </row>
    <row r="1392" ht="14.25" customHeight="1">
      <c r="AA1392" s="7">
        <f t="shared" si="2"/>
        <v>42298</v>
      </c>
      <c r="AB1392" s="14"/>
      <c r="AC1392" s="14"/>
      <c r="AD1392" s="14"/>
      <c r="AE1392" s="14"/>
      <c r="AF1392" s="14"/>
      <c r="AG1392" s="14"/>
      <c r="AH1392" s="14"/>
      <c r="AI1392" s="14"/>
      <c r="AJ1392" s="14"/>
      <c r="AK1392" s="14"/>
      <c r="AL1392" s="14"/>
      <c r="AM1392" s="14"/>
    </row>
    <row r="1393" ht="14.25" customHeight="1">
      <c r="AA1393" s="7">
        <f t="shared" si="2"/>
        <v>42299</v>
      </c>
      <c r="AB1393" s="14"/>
      <c r="AC1393" s="14"/>
      <c r="AD1393" s="14"/>
      <c r="AE1393" s="14"/>
      <c r="AF1393" s="14"/>
      <c r="AG1393" s="14"/>
      <c r="AH1393" s="14"/>
      <c r="AI1393" s="14"/>
      <c r="AJ1393" s="14"/>
      <c r="AK1393" s="14"/>
      <c r="AL1393" s="14"/>
      <c r="AM1393" s="14"/>
    </row>
    <row r="1394" ht="14.25" customHeight="1">
      <c r="AA1394" s="7">
        <f t="shared" si="2"/>
        <v>42300</v>
      </c>
      <c r="AB1394" s="14"/>
      <c r="AC1394" s="14"/>
      <c r="AD1394" s="14"/>
      <c r="AE1394" s="14"/>
      <c r="AF1394" s="14"/>
      <c r="AG1394" s="14"/>
      <c r="AH1394" s="14"/>
      <c r="AI1394" s="14"/>
      <c r="AJ1394" s="14"/>
      <c r="AK1394" s="14"/>
      <c r="AL1394" s="14"/>
      <c r="AM1394" s="14"/>
    </row>
    <row r="1395" ht="14.25" customHeight="1">
      <c r="AA1395" s="7">
        <f t="shared" si="2"/>
        <v>42301</v>
      </c>
      <c r="AB1395" s="14"/>
      <c r="AC1395" s="14"/>
      <c r="AD1395" s="14"/>
      <c r="AE1395" s="14"/>
      <c r="AF1395" s="14"/>
      <c r="AG1395" s="14"/>
      <c r="AH1395" s="14"/>
      <c r="AI1395" s="14"/>
      <c r="AJ1395" s="14"/>
      <c r="AK1395" s="14"/>
      <c r="AL1395" s="14"/>
      <c r="AM1395" s="14"/>
    </row>
    <row r="1396" ht="14.25" customHeight="1">
      <c r="AA1396" s="7">
        <f t="shared" si="2"/>
        <v>42302</v>
      </c>
      <c r="AB1396" s="14"/>
      <c r="AC1396" s="14"/>
      <c r="AD1396" s="14"/>
      <c r="AE1396" s="14"/>
      <c r="AF1396" s="14"/>
      <c r="AG1396" s="14"/>
      <c r="AH1396" s="14"/>
      <c r="AI1396" s="14"/>
      <c r="AJ1396" s="14"/>
      <c r="AK1396" s="14"/>
      <c r="AL1396" s="14"/>
      <c r="AM1396" s="14"/>
    </row>
    <row r="1397" ht="14.25" customHeight="1">
      <c r="AA1397" s="7">
        <f t="shared" si="2"/>
        <v>42303</v>
      </c>
      <c r="AB1397" s="14"/>
      <c r="AC1397" s="14"/>
      <c r="AD1397" s="14"/>
      <c r="AE1397" s="14"/>
      <c r="AF1397" s="14"/>
      <c r="AG1397" s="14"/>
      <c r="AH1397" s="14"/>
      <c r="AI1397" s="14"/>
      <c r="AJ1397" s="14"/>
      <c r="AK1397" s="14"/>
      <c r="AL1397" s="14"/>
      <c r="AM1397" s="14"/>
    </row>
    <row r="1398" ht="14.25" customHeight="1">
      <c r="AA1398" s="7">
        <f t="shared" si="2"/>
        <v>42304</v>
      </c>
      <c r="AB1398" s="14"/>
      <c r="AC1398" s="14"/>
      <c r="AD1398" s="14"/>
      <c r="AE1398" s="14"/>
      <c r="AF1398" s="14"/>
      <c r="AG1398" s="14"/>
      <c r="AH1398" s="14"/>
      <c r="AI1398" s="14"/>
      <c r="AJ1398" s="14"/>
      <c r="AK1398" s="14"/>
      <c r="AL1398" s="14"/>
      <c r="AM1398" s="14"/>
    </row>
    <row r="1399" ht="14.25" customHeight="1">
      <c r="AA1399" s="7">
        <f t="shared" si="2"/>
        <v>42305</v>
      </c>
      <c r="AB1399" s="14"/>
      <c r="AC1399" s="14"/>
      <c r="AD1399" s="14"/>
      <c r="AE1399" s="14"/>
      <c r="AF1399" s="14"/>
      <c r="AG1399" s="14"/>
      <c r="AH1399" s="14"/>
      <c r="AI1399" s="14"/>
      <c r="AJ1399" s="14"/>
      <c r="AK1399" s="14"/>
      <c r="AL1399" s="14"/>
      <c r="AM1399" s="14"/>
    </row>
    <row r="1400" ht="14.25" customHeight="1">
      <c r="AA1400" s="7">
        <f t="shared" si="2"/>
        <v>42306</v>
      </c>
      <c r="AB1400" s="14"/>
      <c r="AC1400" s="14"/>
      <c r="AD1400" s="14"/>
      <c r="AE1400" s="14"/>
      <c r="AF1400" s="14"/>
      <c r="AG1400" s="14"/>
      <c r="AH1400" s="14"/>
      <c r="AI1400" s="14"/>
      <c r="AJ1400" s="14"/>
      <c r="AK1400" s="14"/>
      <c r="AL1400" s="14"/>
      <c r="AM1400" s="14"/>
    </row>
    <row r="1401" ht="14.25" customHeight="1">
      <c r="AA1401" s="7">
        <f t="shared" si="2"/>
        <v>42307</v>
      </c>
      <c r="AB1401" s="14"/>
      <c r="AC1401" s="14"/>
      <c r="AD1401" s="14"/>
      <c r="AE1401" s="14"/>
      <c r="AF1401" s="14"/>
      <c r="AG1401" s="14"/>
      <c r="AH1401" s="14"/>
      <c r="AI1401" s="14"/>
      <c r="AJ1401" s="14"/>
      <c r="AK1401" s="14"/>
      <c r="AL1401" s="14"/>
      <c r="AM1401" s="14"/>
    </row>
    <row r="1402" ht="14.25" customHeight="1">
      <c r="AA1402" s="7">
        <f t="shared" si="2"/>
        <v>42308</v>
      </c>
      <c r="AB1402" s="14"/>
      <c r="AC1402" s="14"/>
      <c r="AD1402" s="14"/>
      <c r="AE1402" s="14"/>
      <c r="AF1402" s="14"/>
      <c r="AG1402" s="14"/>
      <c r="AH1402" s="14"/>
      <c r="AI1402" s="14"/>
      <c r="AJ1402" s="14"/>
      <c r="AK1402" s="14"/>
      <c r="AL1402" s="14"/>
      <c r="AM1402" s="14"/>
    </row>
    <row r="1403" ht="14.25" customHeight="1">
      <c r="AA1403" s="7">
        <f t="shared" si="2"/>
        <v>42309</v>
      </c>
      <c r="AB1403" s="14"/>
      <c r="AC1403" s="14"/>
      <c r="AD1403" s="14"/>
      <c r="AE1403" s="14"/>
      <c r="AF1403" s="14"/>
      <c r="AG1403" s="14"/>
      <c r="AH1403" s="14"/>
      <c r="AI1403" s="14"/>
      <c r="AJ1403" s="14"/>
      <c r="AK1403" s="14"/>
      <c r="AL1403" s="14"/>
      <c r="AM1403" s="14"/>
    </row>
    <row r="1404" ht="14.25" customHeight="1">
      <c r="AA1404" s="7">
        <f t="shared" si="2"/>
        <v>42310</v>
      </c>
      <c r="AB1404" s="14"/>
      <c r="AC1404" s="14"/>
      <c r="AD1404" s="14"/>
      <c r="AE1404" s="14"/>
      <c r="AF1404" s="14"/>
      <c r="AG1404" s="14"/>
      <c r="AH1404" s="14"/>
      <c r="AI1404" s="14"/>
      <c r="AJ1404" s="14"/>
      <c r="AK1404" s="14"/>
      <c r="AL1404" s="14"/>
      <c r="AM1404" s="14"/>
    </row>
    <row r="1405" ht="14.25" customHeight="1">
      <c r="AA1405" s="7">
        <f t="shared" si="2"/>
        <v>42311</v>
      </c>
      <c r="AB1405" s="14"/>
      <c r="AC1405" s="14"/>
      <c r="AD1405" s="14"/>
      <c r="AE1405" s="14"/>
      <c r="AF1405" s="14"/>
      <c r="AG1405" s="14"/>
      <c r="AH1405" s="14"/>
      <c r="AI1405" s="14"/>
      <c r="AJ1405" s="14"/>
      <c r="AK1405" s="14"/>
      <c r="AL1405" s="14"/>
      <c r="AM1405" s="14"/>
    </row>
    <row r="1406" ht="14.25" customHeight="1">
      <c r="AA1406" s="7">
        <f t="shared" si="2"/>
        <v>42312</v>
      </c>
      <c r="AB1406" s="14"/>
      <c r="AC1406" s="14"/>
      <c r="AD1406" s="14"/>
      <c r="AE1406" s="14"/>
      <c r="AF1406" s="14"/>
      <c r="AG1406" s="14"/>
      <c r="AH1406" s="14"/>
      <c r="AI1406" s="14"/>
      <c r="AJ1406" s="14"/>
      <c r="AK1406" s="14"/>
      <c r="AL1406" s="14"/>
      <c r="AM1406" s="14"/>
    </row>
    <row r="1407" ht="14.25" customHeight="1">
      <c r="AA1407" s="7">
        <f t="shared" si="2"/>
        <v>42313</v>
      </c>
      <c r="AB1407" s="14"/>
      <c r="AC1407" s="14"/>
      <c r="AD1407" s="14"/>
      <c r="AE1407" s="14"/>
      <c r="AF1407" s="14"/>
      <c r="AG1407" s="14"/>
      <c r="AH1407" s="14"/>
      <c r="AI1407" s="14"/>
      <c r="AJ1407" s="14"/>
      <c r="AK1407" s="14"/>
      <c r="AL1407" s="14"/>
      <c r="AM1407" s="14"/>
    </row>
    <row r="1408" ht="14.25" customHeight="1">
      <c r="AA1408" s="7">
        <f t="shared" si="2"/>
        <v>42314</v>
      </c>
      <c r="AB1408" s="14"/>
      <c r="AC1408" s="14"/>
      <c r="AD1408" s="14"/>
      <c r="AE1408" s="14"/>
      <c r="AF1408" s="14"/>
      <c r="AG1408" s="14"/>
      <c r="AH1408" s="14"/>
      <c r="AI1408" s="14"/>
      <c r="AJ1408" s="14"/>
      <c r="AK1408" s="14"/>
      <c r="AL1408" s="14"/>
      <c r="AM1408" s="14"/>
    </row>
    <row r="1409" ht="14.25" customHeight="1">
      <c r="AA1409" s="7">
        <f t="shared" si="2"/>
        <v>42315</v>
      </c>
      <c r="AB1409" s="14"/>
      <c r="AC1409" s="14"/>
      <c r="AD1409" s="14"/>
      <c r="AE1409" s="14"/>
      <c r="AF1409" s="14"/>
      <c r="AG1409" s="14"/>
      <c r="AH1409" s="14"/>
      <c r="AI1409" s="14"/>
      <c r="AJ1409" s="14"/>
      <c r="AK1409" s="14"/>
      <c r="AL1409" s="14"/>
      <c r="AM1409" s="14"/>
    </row>
    <row r="1410" ht="14.25" customHeight="1">
      <c r="AA1410" s="7">
        <f t="shared" si="2"/>
        <v>42316</v>
      </c>
      <c r="AB1410" s="14"/>
      <c r="AC1410" s="14"/>
      <c r="AD1410" s="14"/>
      <c r="AE1410" s="14"/>
      <c r="AF1410" s="14"/>
      <c r="AG1410" s="14"/>
      <c r="AH1410" s="14"/>
      <c r="AI1410" s="14"/>
      <c r="AJ1410" s="14"/>
      <c r="AK1410" s="14"/>
      <c r="AL1410" s="14"/>
      <c r="AM1410" s="14"/>
    </row>
    <row r="1411" ht="14.25" customHeight="1">
      <c r="AA1411" s="7">
        <f t="shared" si="2"/>
        <v>42317</v>
      </c>
      <c r="AB1411" s="14"/>
      <c r="AC1411" s="14"/>
      <c r="AD1411" s="14"/>
      <c r="AE1411" s="14"/>
      <c r="AF1411" s="14"/>
      <c r="AG1411" s="14"/>
      <c r="AH1411" s="14"/>
      <c r="AI1411" s="14"/>
      <c r="AJ1411" s="14"/>
      <c r="AK1411" s="14"/>
      <c r="AL1411" s="14"/>
      <c r="AM1411" s="14"/>
    </row>
    <row r="1412" ht="14.25" customHeight="1">
      <c r="AA1412" s="7">
        <f t="shared" si="2"/>
        <v>42318</v>
      </c>
      <c r="AB1412" s="14"/>
      <c r="AC1412" s="14"/>
      <c r="AD1412" s="14"/>
      <c r="AE1412" s="14"/>
      <c r="AF1412" s="14"/>
      <c r="AG1412" s="14"/>
      <c r="AH1412" s="14"/>
      <c r="AI1412" s="14"/>
      <c r="AJ1412" s="14"/>
      <c r="AK1412" s="14"/>
      <c r="AL1412" s="14"/>
      <c r="AM1412" s="14"/>
    </row>
    <row r="1413" ht="14.25" customHeight="1">
      <c r="AA1413" s="7">
        <f t="shared" si="2"/>
        <v>42319</v>
      </c>
      <c r="AB1413" s="14"/>
      <c r="AC1413" s="14"/>
      <c r="AD1413" s="14"/>
      <c r="AE1413" s="14"/>
      <c r="AF1413" s="14"/>
      <c r="AG1413" s="14"/>
      <c r="AH1413" s="14"/>
      <c r="AI1413" s="14"/>
      <c r="AJ1413" s="14"/>
      <c r="AK1413" s="14"/>
      <c r="AL1413" s="14"/>
      <c r="AM1413" s="14"/>
    </row>
    <row r="1414" ht="14.25" customHeight="1">
      <c r="AA1414" s="7">
        <f t="shared" si="2"/>
        <v>42320</v>
      </c>
      <c r="AB1414" s="14"/>
      <c r="AC1414" s="14"/>
      <c r="AD1414" s="14"/>
      <c r="AE1414" s="14"/>
      <c r="AF1414" s="14"/>
      <c r="AG1414" s="14"/>
      <c r="AH1414" s="14"/>
      <c r="AI1414" s="14"/>
      <c r="AJ1414" s="14"/>
      <c r="AK1414" s="14"/>
      <c r="AL1414" s="14"/>
      <c r="AM1414" s="14"/>
    </row>
    <row r="1415" ht="14.25" customHeight="1">
      <c r="AA1415" s="7">
        <f t="shared" si="2"/>
        <v>42321</v>
      </c>
      <c r="AB1415" s="14"/>
      <c r="AC1415" s="14"/>
      <c r="AD1415" s="14"/>
      <c r="AE1415" s="14"/>
      <c r="AF1415" s="14"/>
      <c r="AG1415" s="14"/>
      <c r="AH1415" s="14"/>
      <c r="AI1415" s="14"/>
      <c r="AJ1415" s="14"/>
      <c r="AK1415" s="14"/>
      <c r="AL1415" s="14"/>
      <c r="AM1415" s="14"/>
    </row>
    <row r="1416" ht="14.25" customHeight="1">
      <c r="AA1416" s="7">
        <f t="shared" si="2"/>
        <v>42322</v>
      </c>
      <c r="AB1416" s="14"/>
      <c r="AC1416" s="14"/>
      <c r="AD1416" s="14"/>
      <c r="AE1416" s="14"/>
      <c r="AF1416" s="14"/>
      <c r="AG1416" s="14"/>
      <c r="AH1416" s="14"/>
      <c r="AI1416" s="14"/>
      <c r="AJ1416" s="14"/>
      <c r="AK1416" s="14"/>
      <c r="AL1416" s="14"/>
      <c r="AM1416" s="14"/>
    </row>
    <row r="1417" ht="14.25" customHeight="1">
      <c r="AA1417" s="7">
        <f t="shared" si="2"/>
        <v>42323</v>
      </c>
      <c r="AB1417" s="14"/>
      <c r="AC1417" s="14"/>
      <c r="AD1417" s="14"/>
      <c r="AE1417" s="14"/>
      <c r="AF1417" s="14"/>
      <c r="AG1417" s="14"/>
      <c r="AH1417" s="14"/>
      <c r="AI1417" s="14"/>
      <c r="AJ1417" s="14"/>
      <c r="AK1417" s="14"/>
      <c r="AL1417" s="14"/>
      <c r="AM1417" s="14"/>
    </row>
    <row r="1418" ht="14.25" customHeight="1">
      <c r="AA1418" s="7">
        <f t="shared" si="2"/>
        <v>42324</v>
      </c>
      <c r="AB1418" s="14"/>
      <c r="AC1418" s="14"/>
      <c r="AD1418" s="14"/>
      <c r="AE1418" s="14"/>
      <c r="AF1418" s="14"/>
      <c r="AG1418" s="14"/>
      <c r="AH1418" s="14"/>
      <c r="AI1418" s="14"/>
      <c r="AJ1418" s="14"/>
      <c r="AK1418" s="14"/>
      <c r="AL1418" s="14"/>
      <c r="AM1418" s="14"/>
    </row>
    <row r="1419" ht="14.25" customHeight="1">
      <c r="AA1419" s="7">
        <f t="shared" si="2"/>
        <v>42325</v>
      </c>
      <c r="AB1419" s="14"/>
      <c r="AC1419" s="14"/>
      <c r="AD1419" s="14"/>
      <c r="AE1419" s="14"/>
      <c r="AF1419" s="14"/>
      <c r="AG1419" s="14"/>
      <c r="AH1419" s="14"/>
      <c r="AI1419" s="14"/>
      <c r="AJ1419" s="14"/>
      <c r="AK1419" s="14"/>
      <c r="AL1419" s="14"/>
      <c r="AM1419" s="14"/>
    </row>
    <row r="1420" ht="14.25" customHeight="1">
      <c r="AA1420" s="7">
        <f t="shared" si="2"/>
        <v>42326</v>
      </c>
      <c r="AB1420" s="14"/>
      <c r="AC1420" s="14"/>
      <c r="AD1420" s="14"/>
      <c r="AE1420" s="14"/>
      <c r="AF1420" s="14"/>
      <c r="AG1420" s="14"/>
      <c r="AH1420" s="14"/>
      <c r="AI1420" s="14"/>
      <c r="AJ1420" s="14"/>
      <c r="AK1420" s="14"/>
      <c r="AL1420" s="14"/>
      <c r="AM1420" s="14"/>
    </row>
    <row r="1421" ht="14.25" customHeight="1">
      <c r="AA1421" s="7">
        <f t="shared" si="2"/>
        <v>42327</v>
      </c>
      <c r="AB1421" s="14"/>
      <c r="AC1421" s="14"/>
      <c r="AD1421" s="14"/>
      <c r="AE1421" s="14"/>
      <c r="AF1421" s="14"/>
      <c r="AG1421" s="14"/>
      <c r="AH1421" s="14"/>
      <c r="AI1421" s="14"/>
      <c r="AJ1421" s="14"/>
      <c r="AK1421" s="14"/>
      <c r="AL1421" s="14"/>
      <c r="AM1421" s="14"/>
    </row>
    <row r="1422" ht="14.25" customHeight="1">
      <c r="AA1422" s="7">
        <f t="shared" si="2"/>
        <v>42328</v>
      </c>
      <c r="AB1422" s="14"/>
      <c r="AC1422" s="14"/>
      <c r="AD1422" s="14"/>
      <c r="AE1422" s="14"/>
      <c r="AF1422" s="14"/>
      <c r="AG1422" s="14"/>
      <c r="AH1422" s="14"/>
      <c r="AI1422" s="14"/>
      <c r="AJ1422" s="14"/>
      <c r="AK1422" s="14"/>
      <c r="AL1422" s="14"/>
      <c r="AM1422" s="14"/>
    </row>
    <row r="1423" ht="14.25" customHeight="1">
      <c r="AA1423" s="7">
        <f t="shared" si="2"/>
        <v>42329</v>
      </c>
      <c r="AB1423" s="14"/>
      <c r="AC1423" s="14"/>
      <c r="AD1423" s="14"/>
      <c r="AE1423" s="14"/>
      <c r="AF1423" s="14"/>
      <c r="AG1423" s="14"/>
      <c r="AH1423" s="14"/>
      <c r="AI1423" s="14"/>
      <c r="AJ1423" s="14"/>
      <c r="AK1423" s="14"/>
      <c r="AL1423" s="14"/>
      <c r="AM1423" s="14"/>
    </row>
    <row r="1424" ht="14.25" customHeight="1">
      <c r="AA1424" s="7">
        <f t="shared" si="2"/>
        <v>42330</v>
      </c>
      <c r="AB1424" s="14"/>
      <c r="AC1424" s="14"/>
      <c r="AD1424" s="14"/>
      <c r="AE1424" s="14"/>
      <c r="AF1424" s="14"/>
      <c r="AG1424" s="14"/>
      <c r="AH1424" s="14"/>
      <c r="AI1424" s="14"/>
      <c r="AJ1424" s="14"/>
      <c r="AK1424" s="14"/>
      <c r="AL1424" s="14"/>
      <c r="AM1424" s="14"/>
    </row>
    <row r="1425" ht="14.25" customHeight="1">
      <c r="AA1425" s="7">
        <f t="shared" si="2"/>
        <v>42331</v>
      </c>
      <c r="AB1425" s="14"/>
      <c r="AC1425" s="14"/>
      <c r="AD1425" s="14"/>
      <c r="AE1425" s="14"/>
      <c r="AF1425" s="14"/>
      <c r="AG1425" s="14"/>
      <c r="AH1425" s="14"/>
      <c r="AI1425" s="14"/>
      <c r="AJ1425" s="14"/>
      <c r="AK1425" s="14"/>
      <c r="AL1425" s="14"/>
      <c r="AM1425" s="14"/>
    </row>
    <row r="1426" ht="14.25" customHeight="1">
      <c r="AA1426" s="7">
        <f t="shared" si="2"/>
        <v>42332</v>
      </c>
      <c r="AB1426" s="14"/>
      <c r="AC1426" s="14"/>
      <c r="AD1426" s="14"/>
      <c r="AE1426" s="14"/>
      <c r="AF1426" s="14"/>
      <c r="AG1426" s="14"/>
      <c r="AH1426" s="14"/>
      <c r="AI1426" s="14"/>
      <c r="AJ1426" s="14"/>
      <c r="AK1426" s="14"/>
      <c r="AL1426" s="14"/>
      <c r="AM1426" s="14"/>
    </row>
    <row r="1427" ht="14.25" customHeight="1">
      <c r="AA1427" s="7">
        <f t="shared" si="2"/>
        <v>42333</v>
      </c>
      <c r="AB1427" s="14"/>
      <c r="AC1427" s="14"/>
      <c r="AD1427" s="14"/>
      <c r="AE1427" s="14"/>
      <c r="AF1427" s="14"/>
      <c r="AG1427" s="14"/>
      <c r="AH1427" s="14"/>
      <c r="AI1427" s="14"/>
      <c r="AJ1427" s="14"/>
      <c r="AK1427" s="14"/>
      <c r="AL1427" s="14"/>
      <c r="AM1427" s="14"/>
    </row>
    <row r="1428" ht="14.25" customHeight="1">
      <c r="AA1428" s="7">
        <f t="shared" si="2"/>
        <v>42334</v>
      </c>
      <c r="AB1428" s="14"/>
      <c r="AC1428" s="14"/>
      <c r="AD1428" s="14"/>
      <c r="AE1428" s="14"/>
      <c r="AF1428" s="14"/>
      <c r="AG1428" s="14"/>
      <c r="AH1428" s="14"/>
      <c r="AI1428" s="14"/>
      <c r="AJ1428" s="14"/>
      <c r="AK1428" s="14"/>
      <c r="AL1428" s="14"/>
      <c r="AM1428" s="14"/>
    </row>
    <row r="1429" ht="14.25" customHeight="1">
      <c r="AA1429" s="7">
        <f t="shared" si="2"/>
        <v>42335</v>
      </c>
      <c r="AB1429" s="14"/>
      <c r="AC1429" s="14"/>
      <c r="AD1429" s="14"/>
      <c r="AE1429" s="14"/>
      <c r="AF1429" s="14"/>
      <c r="AG1429" s="14"/>
      <c r="AH1429" s="14"/>
      <c r="AI1429" s="14"/>
      <c r="AJ1429" s="14"/>
      <c r="AK1429" s="14"/>
      <c r="AL1429" s="14"/>
      <c r="AM1429" s="14"/>
    </row>
    <row r="1430" ht="14.25" customHeight="1">
      <c r="AA1430" s="7">
        <f t="shared" si="2"/>
        <v>42336</v>
      </c>
      <c r="AB1430" s="14"/>
      <c r="AC1430" s="14"/>
      <c r="AD1430" s="14"/>
      <c r="AE1430" s="14"/>
      <c r="AF1430" s="14"/>
      <c r="AG1430" s="14"/>
      <c r="AH1430" s="14"/>
      <c r="AI1430" s="14"/>
      <c r="AJ1430" s="14"/>
      <c r="AK1430" s="14"/>
      <c r="AL1430" s="14"/>
      <c r="AM1430" s="14"/>
    </row>
    <row r="1431" ht="14.25" customHeight="1">
      <c r="AA1431" s="7">
        <f t="shared" si="2"/>
        <v>42337</v>
      </c>
      <c r="AB1431" s="14"/>
      <c r="AC1431" s="14"/>
      <c r="AD1431" s="14"/>
      <c r="AE1431" s="14"/>
      <c r="AF1431" s="14"/>
      <c r="AG1431" s="14"/>
      <c r="AH1431" s="14"/>
      <c r="AI1431" s="14"/>
      <c r="AJ1431" s="14"/>
      <c r="AK1431" s="14"/>
      <c r="AL1431" s="14"/>
      <c r="AM1431" s="14"/>
    </row>
    <row r="1432" ht="14.25" customHeight="1">
      <c r="AA1432" s="7">
        <f t="shared" si="2"/>
        <v>42338</v>
      </c>
      <c r="AB1432" s="14"/>
      <c r="AC1432" s="14"/>
      <c r="AD1432" s="14"/>
      <c r="AE1432" s="14"/>
      <c r="AF1432" s="14"/>
      <c r="AG1432" s="14"/>
      <c r="AH1432" s="14"/>
      <c r="AI1432" s="14"/>
      <c r="AJ1432" s="14"/>
      <c r="AK1432" s="14"/>
      <c r="AL1432" s="14"/>
      <c r="AM1432" s="14"/>
    </row>
    <row r="1433" ht="14.25" customHeight="1">
      <c r="AA1433" s="7">
        <f t="shared" si="2"/>
        <v>42339</v>
      </c>
      <c r="AB1433" s="14"/>
      <c r="AC1433" s="14"/>
      <c r="AD1433" s="14"/>
      <c r="AE1433" s="14"/>
      <c r="AF1433" s="14"/>
      <c r="AG1433" s="14"/>
      <c r="AH1433" s="14"/>
      <c r="AI1433" s="14"/>
      <c r="AJ1433" s="14"/>
      <c r="AK1433" s="14"/>
      <c r="AL1433" s="14"/>
      <c r="AM1433" s="14"/>
    </row>
    <row r="1434" ht="14.25" customHeight="1">
      <c r="AA1434" s="7">
        <f t="shared" si="2"/>
        <v>42340</v>
      </c>
      <c r="AB1434" s="14"/>
      <c r="AC1434" s="14"/>
      <c r="AD1434" s="14"/>
      <c r="AE1434" s="14"/>
      <c r="AF1434" s="14"/>
      <c r="AG1434" s="14"/>
      <c r="AH1434" s="14"/>
      <c r="AI1434" s="14"/>
      <c r="AJ1434" s="14"/>
      <c r="AK1434" s="14"/>
      <c r="AL1434" s="14"/>
      <c r="AM1434" s="14"/>
    </row>
    <row r="1435" ht="14.25" customHeight="1">
      <c r="AA1435" s="7">
        <f t="shared" si="2"/>
        <v>42341</v>
      </c>
      <c r="AB1435" s="14"/>
      <c r="AC1435" s="14"/>
      <c r="AD1435" s="14"/>
      <c r="AE1435" s="14"/>
      <c r="AF1435" s="14"/>
      <c r="AG1435" s="14"/>
      <c r="AH1435" s="14"/>
      <c r="AI1435" s="14"/>
      <c r="AJ1435" s="14"/>
      <c r="AK1435" s="14"/>
      <c r="AL1435" s="14"/>
      <c r="AM1435" s="14"/>
    </row>
    <row r="1436" ht="14.25" customHeight="1">
      <c r="AA1436" s="7">
        <f t="shared" si="2"/>
        <v>42342</v>
      </c>
      <c r="AB1436" s="14"/>
      <c r="AC1436" s="14"/>
      <c r="AD1436" s="14"/>
      <c r="AE1436" s="14"/>
      <c r="AF1436" s="14"/>
      <c r="AG1436" s="14"/>
      <c r="AH1436" s="14"/>
      <c r="AI1436" s="14"/>
      <c r="AJ1436" s="14"/>
      <c r="AK1436" s="14"/>
      <c r="AL1436" s="14"/>
      <c r="AM1436" s="14"/>
    </row>
    <row r="1437" ht="14.25" customHeight="1">
      <c r="AA1437" s="7">
        <f t="shared" si="2"/>
        <v>42343</v>
      </c>
      <c r="AB1437" s="14"/>
      <c r="AC1437" s="14"/>
      <c r="AD1437" s="14"/>
      <c r="AE1437" s="14"/>
      <c r="AF1437" s="14"/>
      <c r="AG1437" s="14"/>
      <c r="AH1437" s="14"/>
      <c r="AI1437" s="14"/>
      <c r="AJ1437" s="14"/>
      <c r="AK1437" s="14"/>
      <c r="AL1437" s="14"/>
      <c r="AM1437" s="14"/>
    </row>
    <row r="1438" ht="14.25" customHeight="1">
      <c r="AA1438" s="7">
        <f t="shared" si="2"/>
        <v>42344</v>
      </c>
      <c r="AB1438" s="14"/>
      <c r="AC1438" s="14"/>
      <c r="AD1438" s="14"/>
      <c r="AE1438" s="14"/>
      <c r="AF1438" s="14"/>
      <c r="AG1438" s="14"/>
      <c r="AH1438" s="14"/>
      <c r="AI1438" s="14"/>
      <c r="AJ1438" s="14"/>
      <c r="AK1438" s="14"/>
      <c r="AL1438" s="14"/>
      <c r="AM1438" s="14"/>
    </row>
    <row r="1439" ht="14.25" customHeight="1">
      <c r="AA1439" s="7">
        <f t="shared" si="2"/>
        <v>42345</v>
      </c>
      <c r="AB1439" s="14"/>
      <c r="AC1439" s="14"/>
      <c r="AD1439" s="14"/>
      <c r="AE1439" s="14"/>
      <c r="AF1439" s="14"/>
      <c r="AG1439" s="14"/>
      <c r="AH1439" s="14"/>
      <c r="AI1439" s="14"/>
      <c r="AJ1439" s="14"/>
      <c r="AK1439" s="14"/>
      <c r="AL1439" s="14"/>
      <c r="AM1439" s="14"/>
    </row>
    <row r="1440" ht="14.25" customHeight="1">
      <c r="AA1440" s="7">
        <f t="shared" si="2"/>
        <v>42346</v>
      </c>
      <c r="AB1440" s="14"/>
      <c r="AC1440" s="14"/>
      <c r="AD1440" s="14"/>
      <c r="AE1440" s="14"/>
      <c r="AF1440" s="14"/>
      <c r="AG1440" s="14"/>
      <c r="AH1440" s="14"/>
      <c r="AI1440" s="14"/>
      <c r="AJ1440" s="14"/>
      <c r="AK1440" s="14"/>
      <c r="AL1440" s="14"/>
      <c r="AM1440" s="14"/>
    </row>
    <row r="1441" ht="14.25" customHeight="1">
      <c r="AA1441" s="7">
        <f t="shared" si="2"/>
        <v>42347</v>
      </c>
      <c r="AB1441" s="14"/>
      <c r="AC1441" s="14"/>
      <c r="AD1441" s="14"/>
      <c r="AE1441" s="14"/>
      <c r="AF1441" s="14"/>
      <c r="AG1441" s="14"/>
      <c r="AH1441" s="14"/>
      <c r="AI1441" s="14"/>
      <c r="AJ1441" s="14"/>
      <c r="AK1441" s="14"/>
      <c r="AL1441" s="14"/>
      <c r="AM1441" s="14"/>
    </row>
    <row r="1442" ht="14.25" customHeight="1">
      <c r="AA1442" s="7">
        <f t="shared" si="2"/>
        <v>42348</v>
      </c>
      <c r="AB1442" s="14"/>
      <c r="AC1442" s="14"/>
      <c r="AD1442" s="14"/>
      <c r="AE1442" s="14"/>
      <c r="AF1442" s="14"/>
      <c r="AG1442" s="14"/>
      <c r="AH1442" s="14"/>
      <c r="AI1442" s="14"/>
      <c r="AJ1442" s="14"/>
      <c r="AK1442" s="14"/>
      <c r="AL1442" s="14"/>
      <c r="AM1442" s="14"/>
    </row>
    <row r="1443" ht="14.25" customHeight="1">
      <c r="AA1443" s="7">
        <f t="shared" si="2"/>
        <v>42349</v>
      </c>
      <c r="AB1443" s="14"/>
      <c r="AC1443" s="14"/>
      <c r="AD1443" s="14"/>
      <c r="AE1443" s="14"/>
      <c r="AF1443" s="14"/>
      <c r="AG1443" s="14"/>
      <c r="AH1443" s="14"/>
      <c r="AI1443" s="14"/>
      <c r="AJ1443" s="14"/>
      <c r="AK1443" s="14"/>
      <c r="AL1443" s="14"/>
      <c r="AM1443" s="14"/>
    </row>
    <row r="1444" ht="14.25" customHeight="1">
      <c r="AA1444" s="7">
        <f t="shared" si="2"/>
        <v>42350</v>
      </c>
      <c r="AB1444" s="14"/>
      <c r="AC1444" s="14"/>
      <c r="AD1444" s="14"/>
      <c r="AE1444" s="14"/>
      <c r="AF1444" s="14"/>
      <c r="AG1444" s="14"/>
      <c r="AH1444" s="14"/>
      <c r="AI1444" s="14"/>
      <c r="AJ1444" s="14"/>
      <c r="AK1444" s="14"/>
      <c r="AL1444" s="14"/>
      <c r="AM1444" s="14"/>
    </row>
    <row r="1445" ht="14.25" customHeight="1">
      <c r="AA1445" s="7">
        <f t="shared" si="2"/>
        <v>42351</v>
      </c>
      <c r="AB1445" s="14"/>
      <c r="AC1445" s="14"/>
      <c r="AD1445" s="14"/>
      <c r="AE1445" s="14"/>
      <c r="AF1445" s="14"/>
      <c r="AG1445" s="14"/>
      <c r="AH1445" s="14"/>
      <c r="AI1445" s="14"/>
      <c r="AJ1445" s="14"/>
      <c r="AK1445" s="14"/>
      <c r="AL1445" s="14"/>
      <c r="AM1445" s="14"/>
    </row>
    <row r="1446" ht="14.25" customHeight="1">
      <c r="AA1446" s="7">
        <f t="shared" si="2"/>
        <v>42352</v>
      </c>
      <c r="AB1446" s="14"/>
      <c r="AC1446" s="14"/>
      <c r="AD1446" s="14"/>
      <c r="AE1446" s="14"/>
      <c r="AF1446" s="14"/>
      <c r="AG1446" s="14"/>
      <c r="AH1446" s="14"/>
      <c r="AI1446" s="14"/>
      <c r="AJ1446" s="14"/>
      <c r="AK1446" s="14"/>
      <c r="AL1446" s="14"/>
      <c r="AM1446" s="14"/>
    </row>
    <row r="1447" ht="14.25" customHeight="1">
      <c r="AA1447" s="7">
        <f t="shared" si="2"/>
        <v>42353</v>
      </c>
      <c r="AB1447" s="14"/>
      <c r="AC1447" s="14"/>
      <c r="AD1447" s="14"/>
      <c r="AE1447" s="14"/>
      <c r="AF1447" s="14"/>
      <c r="AG1447" s="14"/>
      <c r="AH1447" s="14"/>
      <c r="AI1447" s="14"/>
      <c r="AJ1447" s="14"/>
      <c r="AK1447" s="14"/>
      <c r="AL1447" s="14"/>
      <c r="AM1447" s="14"/>
    </row>
    <row r="1448" ht="14.25" customHeight="1">
      <c r="AA1448" s="7">
        <f t="shared" si="2"/>
        <v>42354</v>
      </c>
      <c r="AB1448" s="14"/>
      <c r="AC1448" s="14"/>
      <c r="AD1448" s="14"/>
      <c r="AE1448" s="14"/>
      <c r="AF1448" s="14"/>
      <c r="AG1448" s="14"/>
      <c r="AH1448" s="14"/>
      <c r="AI1448" s="14"/>
      <c r="AJ1448" s="14"/>
      <c r="AK1448" s="14"/>
      <c r="AL1448" s="14"/>
      <c r="AM1448" s="14"/>
    </row>
    <row r="1449" ht="14.25" customHeight="1">
      <c r="AA1449" s="7">
        <f t="shared" si="2"/>
        <v>42355</v>
      </c>
      <c r="AB1449" s="14"/>
      <c r="AC1449" s="14"/>
      <c r="AD1449" s="14"/>
      <c r="AE1449" s="14"/>
      <c r="AF1449" s="14"/>
      <c r="AG1449" s="14"/>
      <c r="AH1449" s="14"/>
      <c r="AI1449" s="14"/>
      <c r="AJ1449" s="14"/>
      <c r="AK1449" s="14"/>
      <c r="AL1449" s="14"/>
      <c r="AM1449" s="14"/>
    </row>
    <row r="1450" ht="14.25" customHeight="1">
      <c r="AA1450" s="7">
        <f t="shared" si="2"/>
        <v>42356</v>
      </c>
      <c r="AB1450" s="14"/>
      <c r="AC1450" s="14"/>
      <c r="AD1450" s="14"/>
      <c r="AE1450" s="14"/>
      <c r="AF1450" s="14"/>
      <c r="AG1450" s="14"/>
      <c r="AH1450" s="14"/>
      <c r="AI1450" s="14"/>
      <c r="AJ1450" s="14"/>
      <c r="AK1450" s="14"/>
      <c r="AL1450" s="14"/>
      <c r="AM1450" s="14"/>
    </row>
    <row r="1451" ht="14.25" customHeight="1">
      <c r="AA1451" s="7">
        <f t="shared" si="2"/>
        <v>42357</v>
      </c>
      <c r="AB1451" s="14"/>
      <c r="AC1451" s="14"/>
      <c r="AD1451" s="14"/>
      <c r="AE1451" s="14"/>
      <c r="AF1451" s="14"/>
      <c r="AG1451" s="14"/>
      <c r="AH1451" s="14"/>
      <c r="AI1451" s="14"/>
      <c r="AJ1451" s="14"/>
      <c r="AK1451" s="14"/>
      <c r="AL1451" s="14"/>
      <c r="AM1451" s="14"/>
    </row>
    <row r="1452" ht="14.25" customHeight="1">
      <c r="AA1452" s="7">
        <f t="shared" si="2"/>
        <v>42358</v>
      </c>
      <c r="AB1452" s="14"/>
      <c r="AC1452" s="14"/>
      <c r="AD1452" s="14"/>
      <c r="AE1452" s="14"/>
      <c r="AF1452" s="14"/>
      <c r="AG1452" s="14"/>
      <c r="AH1452" s="14"/>
      <c r="AI1452" s="14"/>
      <c r="AJ1452" s="14"/>
      <c r="AK1452" s="14"/>
      <c r="AL1452" s="14"/>
      <c r="AM1452" s="14"/>
    </row>
    <row r="1453" ht="14.25" customHeight="1">
      <c r="AA1453" s="7">
        <f t="shared" si="2"/>
        <v>42359</v>
      </c>
      <c r="AB1453" s="14"/>
      <c r="AC1453" s="14"/>
      <c r="AD1453" s="14"/>
      <c r="AE1453" s="14"/>
      <c r="AF1453" s="14"/>
      <c r="AG1453" s="14"/>
      <c r="AH1453" s="14"/>
      <c r="AI1453" s="14"/>
      <c r="AJ1453" s="14"/>
      <c r="AK1453" s="14"/>
      <c r="AL1453" s="14"/>
      <c r="AM1453" s="14"/>
    </row>
    <row r="1454" ht="14.25" customHeight="1">
      <c r="AA1454" s="7">
        <f t="shared" si="2"/>
        <v>42360</v>
      </c>
      <c r="AB1454" s="14"/>
      <c r="AC1454" s="14"/>
      <c r="AD1454" s="14"/>
      <c r="AE1454" s="14"/>
      <c r="AF1454" s="14"/>
      <c r="AG1454" s="14"/>
      <c r="AH1454" s="14"/>
      <c r="AI1454" s="14"/>
      <c r="AJ1454" s="14"/>
      <c r="AK1454" s="14"/>
      <c r="AL1454" s="14"/>
      <c r="AM1454" s="14"/>
    </row>
    <row r="1455" ht="14.25" customHeight="1">
      <c r="AA1455" s="7">
        <f t="shared" si="2"/>
        <v>42361</v>
      </c>
      <c r="AB1455" s="14"/>
      <c r="AC1455" s="14"/>
      <c r="AD1455" s="14"/>
      <c r="AE1455" s="14"/>
      <c r="AF1455" s="14"/>
      <c r="AG1455" s="14"/>
      <c r="AH1455" s="14"/>
      <c r="AI1455" s="14"/>
      <c r="AJ1455" s="14"/>
      <c r="AK1455" s="14"/>
      <c r="AL1455" s="14"/>
      <c r="AM1455" s="14"/>
    </row>
    <row r="1456" ht="14.25" customHeight="1">
      <c r="AA1456" s="7">
        <f t="shared" si="2"/>
        <v>42362</v>
      </c>
      <c r="AB1456" s="14"/>
      <c r="AC1456" s="14"/>
      <c r="AD1456" s="14"/>
      <c r="AE1456" s="14"/>
      <c r="AF1456" s="14"/>
      <c r="AG1456" s="14"/>
      <c r="AH1456" s="14"/>
      <c r="AI1456" s="14"/>
      <c r="AJ1456" s="14"/>
      <c r="AK1456" s="14"/>
      <c r="AL1456" s="14"/>
      <c r="AM1456" s="14"/>
    </row>
    <row r="1457" ht="14.25" customHeight="1">
      <c r="AA1457" s="7">
        <f t="shared" si="2"/>
        <v>42363</v>
      </c>
      <c r="AB1457" s="14"/>
      <c r="AC1457" s="14"/>
      <c r="AD1457" s="14"/>
      <c r="AE1457" s="14"/>
      <c r="AF1457" s="14"/>
      <c r="AG1457" s="14"/>
      <c r="AH1457" s="14"/>
      <c r="AI1457" s="14"/>
      <c r="AJ1457" s="14"/>
      <c r="AK1457" s="14"/>
      <c r="AL1457" s="14"/>
      <c r="AM1457" s="14"/>
    </row>
    <row r="1458" ht="14.25" customHeight="1">
      <c r="AA1458" s="7">
        <f t="shared" si="2"/>
        <v>42364</v>
      </c>
      <c r="AB1458" s="14"/>
      <c r="AC1458" s="14"/>
      <c r="AD1458" s="14"/>
      <c r="AE1458" s="14"/>
      <c r="AF1458" s="14"/>
      <c r="AG1458" s="14"/>
      <c r="AH1458" s="14"/>
      <c r="AI1458" s="14"/>
      <c r="AJ1458" s="14"/>
      <c r="AK1458" s="14"/>
      <c r="AL1458" s="14"/>
      <c r="AM1458" s="14"/>
    </row>
    <row r="1459" ht="14.25" customHeight="1">
      <c r="AA1459" s="7">
        <f t="shared" si="2"/>
        <v>42365</v>
      </c>
      <c r="AB1459" s="14"/>
      <c r="AC1459" s="14"/>
      <c r="AD1459" s="14"/>
      <c r="AE1459" s="14"/>
      <c r="AF1459" s="14"/>
      <c r="AG1459" s="14"/>
      <c r="AH1459" s="14"/>
      <c r="AI1459" s="14"/>
      <c r="AJ1459" s="14"/>
      <c r="AK1459" s="14"/>
      <c r="AL1459" s="14"/>
      <c r="AM1459" s="14"/>
    </row>
    <row r="1460" ht="14.25" customHeight="1">
      <c r="AA1460" s="7">
        <f t="shared" si="2"/>
        <v>42366</v>
      </c>
      <c r="AB1460" s="14"/>
      <c r="AC1460" s="14"/>
      <c r="AD1460" s="14"/>
      <c r="AE1460" s="14"/>
      <c r="AF1460" s="14"/>
      <c r="AG1460" s="14"/>
      <c r="AH1460" s="14"/>
      <c r="AI1460" s="14"/>
      <c r="AJ1460" s="14"/>
      <c r="AK1460" s="14"/>
      <c r="AL1460" s="14"/>
      <c r="AM1460" s="14"/>
    </row>
    <row r="1461" ht="14.25" customHeight="1">
      <c r="AA1461" s="7">
        <f t="shared" si="2"/>
        <v>42367</v>
      </c>
      <c r="AB1461" s="14"/>
      <c r="AC1461" s="14"/>
      <c r="AD1461" s="14"/>
      <c r="AE1461" s="14"/>
      <c r="AF1461" s="14"/>
      <c r="AG1461" s="14"/>
      <c r="AH1461" s="14"/>
      <c r="AI1461" s="14"/>
      <c r="AJ1461" s="14"/>
      <c r="AK1461" s="14"/>
      <c r="AL1461" s="14"/>
      <c r="AM1461" s="14"/>
    </row>
    <row r="1462" ht="14.25" customHeight="1">
      <c r="AA1462" s="7">
        <f t="shared" si="2"/>
        <v>42368</v>
      </c>
      <c r="AB1462" s="14"/>
      <c r="AC1462" s="14"/>
      <c r="AD1462" s="14"/>
      <c r="AE1462" s="14"/>
      <c r="AF1462" s="14"/>
      <c r="AG1462" s="14"/>
      <c r="AH1462" s="14"/>
      <c r="AI1462" s="14"/>
      <c r="AJ1462" s="14"/>
      <c r="AK1462" s="14"/>
      <c r="AL1462" s="14"/>
      <c r="AM1462" s="14"/>
    </row>
    <row r="1463" ht="14.25" customHeight="1">
      <c r="AA1463" s="7">
        <f t="shared" si="2"/>
        <v>42369</v>
      </c>
      <c r="AB1463" s="14"/>
      <c r="AC1463" s="14"/>
      <c r="AD1463" s="14"/>
      <c r="AE1463" s="14"/>
      <c r="AF1463" s="14"/>
      <c r="AG1463" s="14"/>
      <c r="AH1463" s="14"/>
      <c r="AI1463" s="14"/>
      <c r="AJ1463" s="14"/>
      <c r="AK1463" s="14"/>
      <c r="AL1463" s="14"/>
      <c r="AM1463" s="14"/>
    </row>
    <row r="1464" ht="14.25" customHeight="1">
      <c r="AA1464" s="7">
        <f t="shared" si="2"/>
        <v>42370</v>
      </c>
      <c r="AB1464" s="14"/>
      <c r="AC1464" s="14"/>
      <c r="AD1464" s="14"/>
      <c r="AE1464" s="14"/>
      <c r="AF1464" s="14"/>
      <c r="AG1464" s="14"/>
      <c r="AH1464" s="14"/>
      <c r="AI1464" s="14"/>
      <c r="AJ1464" s="14"/>
      <c r="AK1464" s="14"/>
      <c r="AL1464" s="14"/>
      <c r="AM1464" s="14"/>
    </row>
    <row r="1465" ht="14.25" customHeight="1">
      <c r="AA1465" s="7">
        <f t="shared" si="2"/>
        <v>42371</v>
      </c>
      <c r="AB1465" s="14"/>
      <c r="AC1465" s="14"/>
      <c r="AD1465" s="14"/>
      <c r="AE1465" s="14"/>
      <c r="AF1465" s="14"/>
      <c r="AG1465" s="14"/>
      <c r="AH1465" s="14"/>
      <c r="AI1465" s="14"/>
      <c r="AJ1465" s="14"/>
      <c r="AK1465" s="14"/>
      <c r="AL1465" s="14"/>
      <c r="AM1465" s="14"/>
    </row>
    <row r="1466" ht="14.25" customHeight="1">
      <c r="AA1466" s="7">
        <f t="shared" si="2"/>
        <v>42372</v>
      </c>
      <c r="AB1466" s="14"/>
      <c r="AC1466" s="14"/>
      <c r="AD1466" s="14"/>
      <c r="AE1466" s="14"/>
      <c r="AF1466" s="14"/>
      <c r="AG1466" s="14"/>
      <c r="AH1466" s="14"/>
      <c r="AI1466" s="14"/>
      <c r="AJ1466" s="14"/>
      <c r="AK1466" s="14"/>
      <c r="AL1466" s="14"/>
      <c r="AM1466" s="14"/>
    </row>
    <row r="1467" ht="14.25" customHeight="1">
      <c r="AA1467" s="7">
        <f t="shared" si="2"/>
        <v>42373</v>
      </c>
      <c r="AB1467" s="14"/>
      <c r="AC1467" s="14"/>
      <c r="AD1467" s="14"/>
      <c r="AE1467" s="14"/>
      <c r="AF1467" s="14"/>
      <c r="AG1467" s="14"/>
      <c r="AH1467" s="14"/>
      <c r="AI1467" s="14"/>
      <c r="AJ1467" s="14"/>
      <c r="AK1467" s="14"/>
      <c r="AL1467" s="14"/>
      <c r="AM1467" s="14"/>
    </row>
    <row r="1468" ht="14.25" customHeight="1">
      <c r="AA1468" s="7">
        <f t="shared" si="2"/>
        <v>42374</v>
      </c>
      <c r="AB1468" s="14"/>
      <c r="AC1468" s="14"/>
      <c r="AD1468" s="14"/>
      <c r="AE1468" s="14"/>
      <c r="AF1468" s="14"/>
      <c r="AG1468" s="14"/>
      <c r="AH1468" s="14"/>
      <c r="AI1468" s="14"/>
      <c r="AJ1468" s="14"/>
      <c r="AK1468" s="14"/>
      <c r="AL1468" s="14"/>
      <c r="AM1468" s="14"/>
    </row>
    <row r="1469" ht="14.25" customHeight="1">
      <c r="AA1469" s="7">
        <f t="shared" si="2"/>
        <v>42375</v>
      </c>
      <c r="AB1469" s="14"/>
      <c r="AC1469" s="14"/>
      <c r="AD1469" s="14"/>
      <c r="AE1469" s="14"/>
      <c r="AF1469" s="14"/>
      <c r="AG1469" s="14"/>
      <c r="AH1469" s="14"/>
      <c r="AI1469" s="14"/>
      <c r="AJ1469" s="14"/>
      <c r="AK1469" s="14"/>
      <c r="AL1469" s="14"/>
      <c r="AM1469" s="14"/>
    </row>
    <row r="1470" ht="14.25" customHeight="1">
      <c r="AA1470" s="7">
        <f t="shared" si="2"/>
        <v>42376</v>
      </c>
      <c r="AB1470" s="14"/>
      <c r="AC1470" s="14"/>
      <c r="AD1470" s="14"/>
      <c r="AE1470" s="14"/>
      <c r="AF1470" s="14"/>
      <c r="AG1470" s="14"/>
      <c r="AH1470" s="14"/>
      <c r="AI1470" s="14"/>
      <c r="AJ1470" s="14"/>
      <c r="AK1470" s="14"/>
      <c r="AL1470" s="14"/>
      <c r="AM1470" s="14"/>
    </row>
    <row r="1471" ht="14.25" customHeight="1">
      <c r="AA1471" s="7">
        <f t="shared" si="2"/>
        <v>42377</v>
      </c>
      <c r="AB1471" s="14"/>
      <c r="AC1471" s="14"/>
      <c r="AD1471" s="14"/>
      <c r="AE1471" s="14"/>
      <c r="AF1471" s="14"/>
      <c r="AG1471" s="14"/>
      <c r="AH1471" s="14"/>
      <c r="AI1471" s="14"/>
      <c r="AJ1471" s="14"/>
      <c r="AK1471" s="14"/>
      <c r="AL1471" s="14"/>
      <c r="AM1471" s="14"/>
    </row>
    <row r="1472" ht="14.25" customHeight="1">
      <c r="AA1472" s="7">
        <f t="shared" si="2"/>
        <v>42378</v>
      </c>
      <c r="AB1472" s="14"/>
      <c r="AC1472" s="14"/>
      <c r="AD1472" s="14"/>
      <c r="AE1472" s="14"/>
      <c r="AF1472" s="14"/>
      <c r="AG1472" s="14"/>
      <c r="AH1472" s="14"/>
      <c r="AI1472" s="14"/>
      <c r="AJ1472" s="14"/>
      <c r="AK1472" s="14"/>
      <c r="AL1472" s="14"/>
      <c r="AM1472" s="14"/>
    </row>
    <row r="1473" ht="14.25" customHeight="1">
      <c r="AA1473" s="7">
        <f t="shared" si="2"/>
        <v>42379</v>
      </c>
      <c r="AB1473" s="14"/>
      <c r="AC1473" s="14"/>
      <c r="AD1473" s="14"/>
      <c r="AE1473" s="14"/>
      <c r="AF1473" s="14"/>
      <c r="AG1473" s="14"/>
      <c r="AH1473" s="14"/>
      <c r="AI1473" s="14"/>
      <c r="AJ1473" s="14"/>
      <c r="AK1473" s="14"/>
      <c r="AL1473" s="14"/>
      <c r="AM1473" s="14"/>
    </row>
    <row r="1474" ht="14.25" customHeight="1">
      <c r="AA1474" s="7">
        <f t="shared" si="2"/>
        <v>42380</v>
      </c>
      <c r="AB1474" s="14"/>
      <c r="AC1474" s="14"/>
      <c r="AD1474" s="14"/>
      <c r="AE1474" s="14"/>
      <c r="AF1474" s="14"/>
      <c r="AG1474" s="14"/>
      <c r="AH1474" s="14"/>
      <c r="AI1474" s="14"/>
      <c r="AJ1474" s="14"/>
      <c r="AK1474" s="14"/>
      <c r="AL1474" s="14"/>
      <c r="AM1474" s="14"/>
    </row>
    <row r="1475" ht="14.25" customHeight="1">
      <c r="AA1475" s="7">
        <f t="shared" si="2"/>
        <v>42381</v>
      </c>
      <c r="AB1475" s="14"/>
      <c r="AC1475" s="14"/>
      <c r="AD1475" s="14"/>
      <c r="AE1475" s="14"/>
      <c r="AF1475" s="14"/>
      <c r="AG1475" s="14"/>
      <c r="AH1475" s="14"/>
      <c r="AI1475" s="14"/>
      <c r="AJ1475" s="14"/>
      <c r="AK1475" s="14"/>
      <c r="AL1475" s="14"/>
      <c r="AM1475" s="14"/>
    </row>
    <row r="1476" ht="14.25" customHeight="1">
      <c r="AA1476" s="7">
        <f t="shared" si="2"/>
        <v>42382</v>
      </c>
      <c r="AB1476" s="14"/>
      <c r="AC1476" s="14"/>
      <c r="AD1476" s="14"/>
      <c r="AE1476" s="14"/>
      <c r="AF1476" s="14"/>
      <c r="AG1476" s="14"/>
      <c r="AH1476" s="14"/>
      <c r="AI1476" s="14"/>
      <c r="AJ1476" s="14"/>
      <c r="AK1476" s="14"/>
      <c r="AL1476" s="14"/>
      <c r="AM1476" s="14"/>
    </row>
    <row r="1477" ht="14.25" customHeight="1">
      <c r="AA1477" s="7">
        <f t="shared" si="2"/>
        <v>42383</v>
      </c>
      <c r="AB1477" s="14"/>
      <c r="AC1477" s="14"/>
      <c r="AD1477" s="14"/>
      <c r="AE1477" s="14"/>
      <c r="AF1477" s="14"/>
      <c r="AG1477" s="14"/>
      <c r="AH1477" s="14"/>
      <c r="AI1477" s="14"/>
      <c r="AJ1477" s="14"/>
      <c r="AK1477" s="14"/>
      <c r="AL1477" s="14"/>
      <c r="AM1477" s="14"/>
    </row>
    <row r="1478" ht="14.25" customHeight="1">
      <c r="AA1478" s="7">
        <f t="shared" si="2"/>
        <v>42384</v>
      </c>
      <c r="AB1478" s="14"/>
      <c r="AC1478" s="14"/>
      <c r="AD1478" s="14"/>
      <c r="AE1478" s="14"/>
      <c r="AF1478" s="14"/>
      <c r="AG1478" s="14"/>
      <c r="AH1478" s="14"/>
      <c r="AI1478" s="14"/>
      <c r="AJ1478" s="14"/>
      <c r="AK1478" s="14"/>
      <c r="AL1478" s="14"/>
      <c r="AM1478" s="14"/>
    </row>
    <row r="1479" ht="14.25" customHeight="1">
      <c r="AA1479" s="7">
        <f t="shared" si="2"/>
        <v>42385</v>
      </c>
      <c r="AB1479" s="14"/>
      <c r="AC1479" s="14"/>
      <c r="AD1479" s="14"/>
      <c r="AE1479" s="14"/>
      <c r="AF1479" s="14"/>
      <c r="AG1479" s="14"/>
      <c r="AH1479" s="14"/>
      <c r="AI1479" s="14"/>
      <c r="AJ1479" s="14"/>
      <c r="AK1479" s="14"/>
      <c r="AL1479" s="14"/>
      <c r="AM1479" s="14"/>
    </row>
    <row r="1480" ht="14.25" customHeight="1">
      <c r="AA1480" s="7">
        <f t="shared" si="2"/>
        <v>42386</v>
      </c>
      <c r="AB1480" s="14"/>
      <c r="AC1480" s="14"/>
      <c r="AD1480" s="14"/>
      <c r="AE1480" s="14"/>
      <c r="AF1480" s="14"/>
      <c r="AG1480" s="14"/>
      <c r="AH1480" s="14"/>
      <c r="AI1480" s="14"/>
      <c r="AJ1480" s="14"/>
      <c r="AK1480" s="14"/>
      <c r="AL1480" s="14"/>
      <c r="AM1480" s="14"/>
    </row>
    <row r="1481" ht="14.25" customHeight="1">
      <c r="AA1481" s="7">
        <f t="shared" si="2"/>
        <v>42387</v>
      </c>
      <c r="AB1481" s="14"/>
      <c r="AC1481" s="14"/>
      <c r="AD1481" s="14"/>
      <c r="AE1481" s="14"/>
      <c r="AF1481" s="14"/>
      <c r="AG1481" s="14"/>
      <c r="AH1481" s="14"/>
      <c r="AI1481" s="14"/>
      <c r="AJ1481" s="14"/>
      <c r="AK1481" s="14"/>
      <c r="AL1481" s="14"/>
      <c r="AM1481" s="14"/>
    </row>
    <row r="1482" ht="14.25" customHeight="1">
      <c r="AA1482" s="7">
        <f t="shared" si="2"/>
        <v>42388</v>
      </c>
      <c r="AB1482" s="14"/>
      <c r="AC1482" s="14"/>
      <c r="AD1482" s="14"/>
      <c r="AE1482" s="14"/>
      <c r="AF1482" s="14"/>
      <c r="AG1482" s="14"/>
      <c r="AH1482" s="14"/>
      <c r="AI1482" s="14"/>
      <c r="AJ1482" s="14"/>
      <c r="AK1482" s="14"/>
      <c r="AL1482" s="14"/>
      <c r="AM1482" s="14"/>
    </row>
    <row r="1483" ht="14.25" customHeight="1">
      <c r="AA1483" s="7">
        <f t="shared" si="2"/>
        <v>42389</v>
      </c>
      <c r="AB1483" s="14"/>
      <c r="AC1483" s="14"/>
      <c r="AD1483" s="14"/>
      <c r="AE1483" s="14"/>
      <c r="AF1483" s="14"/>
      <c r="AG1483" s="14"/>
      <c r="AH1483" s="14"/>
      <c r="AI1483" s="14"/>
      <c r="AJ1483" s="14"/>
      <c r="AK1483" s="14"/>
      <c r="AL1483" s="14"/>
      <c r="AM1483" s="14"/>
    </row>
    <row r="1484" ht="14.25" customHeight="1">
      <c r="AA1484" s="7">
        <f t="shared" si="2"/>
        <v>42390</v>
      </c>
      <c r="AB1484" s="14"/>
      <c r="AC1484" s="14"/>
      <c r="AD1484" s="14"/>
      <c r="AE1484" s="14"/>
      <c r="AF1484" s="14"/>
      <c r="AG1484" s="14"/>
      <c r="AH1484" s="14"/>
      <c r="AI1484" s="14"/>
      <c r="AJ1484" s="14"/>
      <c r="AK1484" s="14"/>
      <c r="AL1484" s="14"/>
      <c r="AM1484" s="14"/>
    </row>
    <row r="1485" ht="14.25" customHeight="1">
      <c r="AA1485" s="7">
        <f t="shared" si="2"/>
        <v>42391</v>
      </c>
      <c r="AB1485" s="14"/>
      <c r="AC1485" s="14"/>
      <c r="AD1485" s="14"/>
      <c r="AE1485" s="14"/>
      <c r="AF1485" s="14"/>
      <c r="AG1485" s="14"/>
      <c r="AH1485" s="14"/>
      <c r="AI1485" s="14"/>
      <c r="AJ1485" s="14"/>
      <c r="AK1485" s="14"/>
      <c r="AL1485" s="14"/>
      <c r="AM1485" s="14"/>
    </row>
    <row r="1486" ht="14.25" customHeight="1">
      <c r="AA1486" s="7">
        <f t="shared" si="2"/>
        <v>42392</v>
      </c>
      <c r="AB1486" s="14"/>
      <c r="AC1486" s="14"/>
      <c r="AD1486" s="14"/>
      <c r="AE1486" s="14"/>
      <c r="AF1486" s="14"/>
      <c r="AG1486" s="14"/>
      <c r="AH1486" s="14"/>
      <c r="AI1486" s="14"/>
      <c r="AJ1486" s="14"/>
      <c r="AK1486" s="14"/>
      <c r="AL1486" s="14"/>
      <c r="AM1486" s="14"/>
    </row>
    <row r="1487" ht="14.25" customHeight="1">
      <c r="AA1487" s="7">
        <f t="shared" si="2"/>
        <v>42393</v>
      </c>
      <c r="AB1487" s="14"/>
      <c r="AC1487" s="14"/>
      <c r="AD1487" s="14"/>
      <c r="AE1487" s="14"/>
      <c r="AF1487" s="14"/>
      <c r="AG1487" s="14"/>
      <c r="AH1487" s="14"/>
      <c r="AI1487" s="14"/>
      <c r="AJ1487" s="14"/>
      <c r="AK1487" s="14"/>
      <c r="AL1487" s="14"/>
      <c r="AM1487" s="14"/>
    </row>
    <row r="1488" ht="14.25" customHeight="1">
      <c r="AA1488" s="7">
        <f t="shared" si="2"/>
        <v>42394</v>
      </c>
      <c r="AB1488" s="14"/>
      <c r="AC1488" s="14"/>
      <c r="AD1488" s="14"/>
      <c r="AE1488" s="14"/>
      <c r="AF1488" s="14"/>
      <c r="AG1488" s="14"/>
      <c r="AH1488" s="14"/>
      <c r="AI1488" s="14"/>
      <c r="AJ1488" s="14"/>
      <c r="AK1488" s="14"/>
      <c r="AL1488" s="14"/>
      <c r="AM1488" s="14"/>
    </row>
    <row r="1489" ht="14.25" customHeight="1">
      <c r="AA1489" s="7">
        <f t="shared" si="2"/>
        <v>42395</v>
      </c>
      <c r="AB1489" s="14"/>
      <c r="AC1489" s="14"/>
      <c r="AD1489" s="14"/>
      <c r="AE1489" s="14"/>
      <c r="AF1489" s="14"/>
      <c r="AG1489" s="14"/>
      <c r="AH1489" s="14"/>
      <c r="AI1489" s="14"/>
      <c r="AJ1489" s="14"/>
      <c r="AK1489" s="14"/>
      <c r="AL1489" s="14"/>
      <c r="AM1489" s="14"/>
    </row>
    <row r="1490" ht="14.25" customHeight="1">
      <c r="AA1490" s="7">
        <f t="shared" si="2"/>
        <v>42396</v>
      </c>
      <c r="AB1490" s="14"/>
      <c r="AC1490" s="14"/>
      <c r="AD1490" s="14"/>
      <c r="AE1490" s="14"/>
      <c r="AF1490" s="14"/>
      <c r="AG1490" s="14"/>
      <c r="AH1490" s="14"/>
      <c r="AI1490" s="14"/>
      <c r="AJ1490" s="14"/>
      <c r="AK1490" s="14"/>
      <c r="AL1490" s="14"/>
      <c r="AM1490" s="14"/>
    </row>
    <row r="1491" ht="14.25" customHeight="1">
      <c r="AA1491" s="7">
        <f t="shared" si="2"/>
        <v>42397</v>
      </c>
      <c r="AB1491" s="14"/>
      <c r="AC1491" s="14"/>
      <c r="AD1491" s="14"/>
      <c r="AE1491" s="14"/>
      <c r="AF1491" s="14"/>
      <c r="AG1491" s="14"/>
      <c r="AH1491" s="14"/>
      <c r="AI1491" s="14"/>
      <c r="AJ1491" s="14"/>
      <c r="AK1491" s="14"/>
      <c r="AL1491" s="14"/>
      <c r="AM1491" s="14"/>
    </row>
    <row r="1492" ht="14.25" customHeight="1">
      <c r="AA1492" s="7">
        <f t="shared" si="2"/>
        <v>42398</v>
      </c>
      <c r="AB1492" s="14"/>
      <c r="AC1492" s="14"/>
      <c r="AD1492" s="14"/>
      <c r="AE1492" s="14"/>
      <c r="AF1492" s="14"/>
      <c r="AG1492" s="14"/>
      <c r="AH1492" s="14"/>
      <c r="AI1492" s="14"/>
      <c r="AJ1492" s="14"/>
      <c r="AK1492" s="14"/>
      <c r="AL1492" s="14"/>
      <c r="AM1492" s="14"/>
    </row>
    <row r="1493" ht="14.25" customHeight="1">
      <c r="AA1493" s="7">
        <f t="shared" si="2"/>
        <v>42399</v>
      </c>
      <c r="AB1493" s="14"/>
      <c r="AC1493" s="14"/>
      <c r="AD1493" s="14"/>
      <c r="AE1493" s="14"/>
      <c r="AF1493" s="14"/>
      <c r="AG1493" s="14"/>
      <c r="AH1493" s="14"/>
      <c r="AI1493" s="14"/>
      <c r="AJ1493" s="14"/>
      <c r="AK1493" s="14"/>
      <c r="AL1493" s="14"/>
      <c r="AM1493" s="14"/>
    </row>
    <row r="1494" ht="14.25" customHeight="1">
      <c r="AA1494" s="7">
        <f t="shared" si="2"/>
        <v>42400</v>
      </c>
      <c r="AB1494" s="14"/>
      <c r="AC1494" s="14"/>
      <c r="AD1494" s="14"/>
      <c r="AE1494" s="14"/>
      <c r="AF1494" s="14"/>
      <c r="AG1494" s="14"/>
      <c r="AH1494" s="14"/>
      <c r="AI1494" s="14"/>
      <c r="AJ1494" s="14"/>
      <c r="AK1494" s="14"/>
      <c r="AL1494" s="14"/>
      <c r="AM1494" s="14"/>
    </row>
    <row r="1495" ht="14.25" customHeight="1">
      <c r="AA1495" s="7">
        <f t="shared" si="2"/>
        <v>42401</v>
      </c>
      <c r="AB1495" s="14"/>
      <c r="AC1495" s="14"/>
      <c r="AD1495" s="14"/>
      <c r="AE1495" s="14"/>
      <c r="AF1495" s="14"/>
      <c r="AG1495" s="14"/>
      <c r="AH1495" s="14"/>
      <c r="AI1495" s="14"/>
      <c r="AJ1495" s="14"/>
      <c r="AK1495" s="14"/>
      <c r="AL1495" s="14"/>
      <c r="AM1495" s="14"/>
    </row>
    <row r="1496" ht="14.25" customHeight="1">
      <c r="AA1496" s="7">
        <f t="shared" si="2"/>
        <v>42402</v>
      </c>
      <c r="AB1496" s="14"/>
      <c r="AC1496" s="14"/>
      <c r="AD1496" s="14"/>
      <c r="AE1496" s="14"/>
      <c r="AF1496" s="14"/>
      <c r="AG1496" s="14"/>
      <c r="AH1496" s="14"/>
      <c r="AI1496" s="14"/>
      <c r="AJ1496" s="14"/>
      <c r="AK1496" s="14"/>
      <c r="AL1496" s="14"/>
      <c r="AM1496" s="14"/>
    </row>
    <row r="1497" ht="14.25" customHeight="1">
      <c r="AA1497" s="7">
        <f t="shared" si="2"/>
        <v>42403</v>
      </c>
      <c r="AB1497" s="14"/>
      <c r="AC1497" s="14"/>
      <c r="AD1497" s="14"/>
      <c r="AE1497" s="14"/>
      <c r="AF1497" s="14"/>
      <c r="AG1497" s="14"/>
      <c r="AH1497" s="14"/>
      <c r="AI1497" s="14"/>
      <c r="AJ1497" s="14"/>
      <c r="AK1497" s="14"/>
      <c r="AL1497" s="14"/>
      <c r="AM1497" s="14"/>
    </row>
    <row r="1498" ht="14.25" customHeight="1">
      <c r="AA1498" s="7">
        <f t="shared" si="2"/>
        <v>42404</v>
      </c>
      <c r="AB1498" s="14"/>
      <c r="AC1498" s="14"/>
      <c r="AD1498" s="14"/>
      <c r="AE1498" s="14"/>
      <c r="AF1498" s="14"/>
      <c r="AG1498" s="14"/>
      <c r="AH1498" s="14"/>
      <c r="AI1498" s="14"/>
      <c r="AJ1498" s="14"/>
      <c r="AK1498" s="14"/>
      <c r="AL1498" s="14"/>
      <c r="AM1498" s="14"/>
    </row>
    <row r="1499" ht="14.25" customHeight="1">
      <c r="AA1499" s="7">
        <f t="shared" si="2"/>
        <v>42405</v>
      </c>
      <c r="AB1499" s="14"/>
      <c r="AC1499" s="14"/>
      <c r="AD1499" s="14"/>
      <c r="AE1499" s="14"/>
      <c r="AF1499" s="14"/>
      <c r="AG1499" s="14"/>
      <c r="AH1499" s="14"/>
      <c r="AI1499" s="14"/>
      <c r="AJ1499" s="14"/>
      <c r="AK1499" s="14"/>
      <c r="AL1499" s="14"/>
      <c r="AM1499" s="14"/>
    </row>
    <row r="1500" ht="14.25" customHeight="1">
      <c r="AA1500" s="7">
        <f t="shared" si="2"/>
        <v>42406</v>
      </c>
      <c r="AB1500" s="14"/>
      <c r="AC1500" s="14"/>
      <c r="AD1500" s="14"/>
      <c r="AE1500" s="14"/>
      <c r="AF1500" s="14"/>
      <c r="AG1500" s="14"/>
      <c r="AH1500" s="14"/>
      <c r="AI1500" s="14"/>
      <c r="AJ1500" s="14"/>
      <c r="AK1500" s="14"/>
      <c r="AL1500" s="14"/>
      <c r="AM1500" s="14"/>
    </row>
    <row r="1501" ht="14.25" customHeight="1">
      <c r="AA1501" s="7">
        <f t="shared" si="2"/>
        <v>42407</v>
      </c>
      <c r="AB1501" s="14"/>
      <c r="AC1501" s="14"/>
      <c r="AD1501" s="14"/>
      <c r="AE1501" s="14"/>
      <c r="AF1501" s="14"/>
      <c r="AG1501" s="14"/>
      <c r="AH1501" s="14"/>
      <c r="AI1501" s="14"/>
      <c r="AJ1501" s="14"/>
      <c r="AK1501" s="14"/>
      <c r="AL1501" s="14"/>
      <c r="AM1501" s="14"/>
    </row>
    <row r="1502" ht="14.25" customHeight="1">
      <c r="AA1502" s="7">
        <f t="shared" si="2"/>
        <v>42408</v>
      </c>
      <c r="AB1502" s="14"/>
      <c r="AC1502" s="14"/>
      <c r="AD1502" s="14"/>
      <c r="AE1502" s="14"/>
      <c r="AF1502" s="14"/>
      <c r="AG1502" s="14"/>
      <c r="AH1502" s="14"/>
      <c r="AI1502" s="14"/>
      <c r="AJ1502" s="14"/>
      <c r="AK1502" s="14"/>
      <c r="AL1502" s="14"/>
      <c r="AM1502" s="14"/>
    </row>
    <row r="1503" ht="14.25" customHeight="1">
      <c r="AA1503" s="7">
        <f t="shared" si="2"/>
        <v>42409</v>
      </c>
      <c r="AB1503" s="14"/>
      <c r="AC1503" s="14"/>
      <c r="AD1503" s="14"/>
      <c r="AE1503" s="14"/>
      <c r="AF1503" s="14"/>
      <c r="AG1503" s="14"/>
      <c r="AH1503" s="14"/>
      <c r="AI1503" s="14"/>
      <c r="AJ1503" s="14"/>
      <c r="AK1503" s="14"/>
      <c r="AL1503" s="14"/>
      <c r="AM1503" s="14"/>
    </row>
    <row r="1504" ht="14.25" customHeight="1">
      <c r="AA1504" s="7">
        <f t="shared" si="2"/>
        <v>42410</v>
      </c>
      <c r="AB1504" s="14"/>
      <c r="AC1504" s="14"/>
      <c r="AD1504" s="14"/>
      <c r="AE1504" s="14"/>
      <c r="AF1504" s="14"/>
      <c r="AG1504" s="14"/>
      <c r="AH1504" s="14"/>
      <c r="AI1504" s="14"/>
      <c r="AJ1504" s="14"/>
      <c r="AK1504" s="14"/>
      <c r="AL1504" s="14"/>
      <c r="AM1504" s="14"/>
    </row>
    <row r="1505" ht="14.25" customHeight="1">
      <c r="AA1505" s="7">
        <f t="shared" si="2"/>
        <v>42411</v>
      </c>
      <c r="AB1505" s="14"/>
      <c r="AC1505" s="14"/>
      <c r="AD1505" s="14"/>
      <c r="AE1505" s="14"/>
      <c r="AF1505" s="14"/>
      <c r="AG1505" s="14"/>
      <c r="AH1505" s="14"/>
      <c r="AI1505" s="14"/>
      <c r="AJ1505" s="14"/>
      <c r="AK1505" s="14"/>
      <c r="AL1505" s="14"/>
      <c r="AM1505" s="14"/>
    </row>
    <row r="1506" ht="14.25" customHeight="1">
      <c r="AA1506" s="7">
        <f t="shared" si="2"/>
        <v>42412</v>
      </c>
      <c r="AB1506" s="14"/>
      <c r="AC1506" s="14"/>
      <c r="AD1506" s="14"/>
      <c r="AE1506" s="14"/>
      <c r="AF1506" s="14"/>
      <c r="AG1506" s="14"/>
      <c r="AH1506" s="14"/>
      <c r="AI1506" s="14"/>
      <c r="AJ1506" s="14"/>
      <c r="AK1506" s="14"/>
      <c r="AL1506" s="14"/>
      <c r="AM1506" s="14"/>
    </row>
    <row r="1507" ht="14.25" customHeight="1">
      <c r="AA1507" s="7">
        <f t="shared" si="2"/>
        <v>42413</v>
      </c>
      <c r="AB1507" s="14"/>
      <c r="AC1507" s="14"/>
      <c r="AD1507" s="14"/>
      <c r="AE1507" s="14"/>
      <c r="AF1507" s="14"/>
      <c r="AG1507" s="14"/>
      <c r="AH1507" s="14"/>
      <c r="AI1507" s="14"/>
      <c r="AJ1507" s="14"/>
      <c r="AK1507" s="14"/>
      <c r="AL1507" s="14"/>
      <c r="AM1507" s="14"/>
    </row>
    <row r="1508" ht="14.25" customHeight="1">
      <c r="AA1508" s="7">
        <f t="shared" si="2"/>
        <v>42414</v>
      </c>
      <c r="AB1508" s="14"/>
      <c r="AC1508" s="14"/>
      <c r="AD1508" s="14"/>
      <c r="AE1508" s="14"/>
      <c r="AF1508" s="14"/>
      <c r="AG1508" s="14"/>
      <c r="AH1508" s="14"/>
      <c r="AI1508" s="14"/>
      <c r="AJ1508" s="14"/>
      <c r="AK1508" s="14"/>
      <c r="AL1508" s="14"/>
      <c r="AM1508" s="14"/>
    </row>
    <row r="1509" ht="14.25" customHeight="1">
      <c r="AA1509" s="7">
        <f t="shared" si="2"/>
        <v>42415</v>
      </c>
      <c r="AB1509" s="14"/>
      <c r="AC1509" s="14"/>
      <c r="AD1509" s="14"/>
      <c r="AE1509" s="14"/>
      <c r="AF1509" s="14"/>
      <c r="AG1509" s="14"/>
      <c r="AH1509" s="14"/>
      <c r="AI1509" s="14"/>
      <c r="AJ1509" s="14"/>
      <c r="AK1509" s="14"/>
      <c r="AL1509" s="14"/>
      <c r="AM1509" s="14"/>
    </row>
    <row r="1510" ht="14.25" customHeight="1">
      <c r="AA1510" s="7">
        <f t="shared" si="2"/>
        <v>42416</v>
      </c>
      <c r="AB1510" s="14"/>
      <c r="AC1510" s="14"/>
      <c r="AD1510" s="14"/>
      <c r="AE1510" s="14"/>
      <c r="AF1510" s="14"/>
      <c r="AG1510" s="14"/>
      <c r="AH1510" s="14"/>
      <c r="AI1510" s="14"/>
      <c r="AJ1510" s="14"/>
      <c r="AK1510" s="14"/>
      <c r="AL1510" s="14"/>
      <c r="AM1510" s="14"/>
    </row>
    <row r="1511" ht="14.25" customHeight="1">
      <c r="AA1511" s="7">
        <f t="shared" si="2"/>
        <v>42417</v>
      </c>
      <c r="AB1511" s="14"/>
      <c r="AC1511" s="14"/>
      <c r="AD1511" s="14"/>
      <c r="AE1511" s="14"/>
      <c r="AF1511" s="14"/>
      <c r="AG1511" s="14"/>
      <c r="AH1511" s="14"/>
      <c r="AI1511" s="14"/>
      <c r="AJ1511" s="14"/>
      <c r="AK1511" s="14"/>
      <c r="AL1511" s="14"/>
      <c r="AM1511" s="14"/>
    </row>
    <row r="1512" ht="14.25" customHeight="1">
      <c r="AA1512" s="7">
        <f t="shared" si="2"/>
        <v>42418</v>
      </c>
      <c r="AB1512" s="14"/>
      <c r="AC1512" s="14"/>
      <c r="AD1512" s="14"/>
      <c r="AE1512" s="14"/>
      <c r="AF1512" s="14"/>
      <c r="AG1512" s="14"/>
      <c r="AH1512" s="14"/>
      <c r="AI1512" s="14"/>
      <c r="AJ1512" s="14"/>
      <c r="AK1512" s="14"/>
      <c r="AL1512" s="14"/>
      <c r="AM1512" s="14"/>
    </row>
    <row r="1513" ht="14.25" customHeight="1">
      <c r="AA1513" s="7">
        <f t="shared" si="2"/>
        <v>42419</v>
      </c>
      <c r="AB1513" s="14"/>
      <c r="AC1513" s="14"/>
      <c r="AD1513" s="14"/>
      <c r="AE1513" s="14"/>
      <c r="AF1513" s="14"/>
      <c r="AG1513" s="14"/>
      <c r="AH1513" s="14"/>
      <c r="AI1513" s="14"/>
      <c r="AJ1513" s="14"/>
      <c r="AK1513" s="14"/>
      <c r="AL1513" s="14"/>
      <c r="AM1513" s="14"/>
    </row>
    <row r="1514" ht="14.25" customHeight="1">
      <c r="AA1514" s="7">
        <f t="shared" si="2"/>
        <v>42420</v>
      </c>
      <c r="AB1514" s="14"/>
      <c r="AC1514" s="14"/>
      <c r="AD1514" s="14"/>
      <c r="AE1514" s="14"/>
      <c r="AF1514" s="14"/>
      <c r="AG1514" s="14"/>
      <c r="AH1514" s="14"/>
      <c r="AI1514" s="14"/>
      <c r="AJ1514" s="14"/>
      <c r="AK1514" s="14"/>
      <c r="AL1514" s="14"/>
      <c r="AM1514" s="14"/>
    </row>
    <row r="1515" ht="14.25" customHeight="1">
      <c r="AA1515" s="7">
        <f t="shared" si="2"/>
        <v>42421</v>
      </c>
      <c r="AB1515" s="14"/>
      <c r="AC1515" s="14"/>
      <c r="AD1515" s="14"/>
      <c r="AE1515" s="14"/>
      <c r="AF1515" s="14"/>
      <c r="AG1515" s="14"/>
      <c r="AH1515" s="14"/>
      <c r="AI1515" s="14"/>
      <c r="AJ1515" s="14"/>
      <c r="AK1515" s="14"/>
      <c r="AL1515" s="14"/>
      <c r="AM1515" s="14"/>
    </row>
    <row r="1516" ht="14.25" customHeight="1">
      <c r="AA1516" s="7">
        <f t="shared" si="2"/>
        <v>42422</v>
      </c>
      <c r="AB1516" s="14"/>
      <c r="AC1516" s="14"/>
      <c r="AD1516" s="14"/>
      <c r="AE1516" s="14"/>
      <c r="AF1516" s="14"/>
      <c r="AG1516" s="14"/>
      <c r="AH1516" s="14"/>
      <c r="AI1516" s="14"/>
      <c r="AJ1516" s="14"/>
      <c r="AK1516" s="14"/>
      <c r="AL1516" s="14"/>
      <c r="AM1516" s="14"/>
    </row>
    <row r="1517" ht="14.25" customHeight="1">
      <c r="AA1517" s="7">
        <f t="shared" si="2"/>
        <v>42423</v>
      </c>
      <c r="AB1517" s="14"/>
      <c r="AC1517" s="14"/>
      <c r="AD1517" s="14"/>
      <c r="AE1517" s="14"/>
      <c r="AF1517" s="14"/>
      <c r="AG1517" s="14"/>
      <c r="AH1517" s="14"/>
      <c r="AI1517" s="14"/>
      <c r="AJ1517" s="14"/>
      <c r="AK1517" s="14"/>
      <c r="AL1517" s="14"/>
      <c r="AM1517" s="14"/>
    </row>
    <row r="1518" ht="14.25" customHeight="1">
      <c r="AA1518" s="7">
        <f t="shared" si="2"/>
        <v>42424</v>
      </c>
      <c r="AB1518" s="14"/>
      <c r="AC1518" s="14"/>
      <c r="AD1518" s="14"/>
      <c r="AE1518" s="14"/>
      <c r="AF1518" s="14"/>
      <c r="AG1518" s="14"/>
      <c r="AH1518" s="14"/>
      <c r="AI1518" s="14"/>
      <c r="AJ1518" s="14"/>
      <c r="AK1518" s="14"/>
      <c r="AL1518" s="14"/>
      <c r="AM1518" s="14"/>
    </row>
    <row r="1519" ht="14.25" customHeight="1">
      <c r="AA1519" s="7">
        <f t="shared" si="2"/>
        <v>42425</v>
      </c>
      <c r="AB1519" s="14"/>
      <c r="AC1519" s="14"/>
      <c r="AD1519" s="14"/>
      <c r="AE1519" s="14"/>
      <c r="AF1519" s="14"/>
      <c r="AG1519" s="14"/>
      <c r="AH1519" s="14"/>
      <c r="AI1519" s="14"/>
      <c r="AJ1519" s="14"/>
      <c r="AK1519" s="14"/>
      <c r="AL1519" s="14"/>
      <c r="AM1519" s="14"/>
    </row>
    <row r="1520" ht="14.25" customHeight="1">
      <c r="AA1520" s="7">
        <f t="shared" si="2"/>
        <v>42426</v>
      </c>
      <c r="AB1520" s="14"/>
      <c r="AC1520" s="14"/>
      <c r="AD1520" s="14"/>
      <c r="AE1520" s="14"/>
      <c r="AF1520" s="14"/>
      <c r="AG1520" s="14"/>
      <c r="AH1520" s="14"/>
      <c r="AI1520" s="14"/>
      <c r="AJ1520" s="14"/>
      <c r="AK1520" s="14"/>
      <c r="AL1520" s="14"/>
      <c r="AM1520" s="14"/>
    </row>
    <row r="1521" ht="14.25" customHeight="1">
      <c r="AA1521" s="7">
        <f t="shared" si="2"/>
        <v>42427</v>
      </c>
      <c r="AB1521" s="14"/>
      <c r="AC1521" s="14"/>
      <c r="AD1521" s="14"/>
      <c r="AE1521" s="14"/>
      <c r="AF1521" s="14"/>
      <c r="AG1521" s="14"/>
      <c r="AH1521" s="14"/>
      <c r="AI1521" s="14"/>
      <c r="AJ1521" s="14"/>
      <c r="AK1521" s="14"/>
      <c r="AL1521" s="14"/>
      <c r="AM1521" s="14"/>
    </row>
    <row r="1522" ht="14.25" customHeight="1">
      <c r="AA1522" s="7">
        <f t="shared" si="2"/>
        <v>42428</v>
      </c>
      <c r="AB1522" s="14"/>
      <c r="AC1522" s="14"/>
      <c r="AD1522" s="14"/>
      <c r="AE1522" s="14"/>
      <c r="AF1522" s="14"/>
      <c r="AG1522" s="14"/>
      <c r="AH1522" s="14"/>
      <c r="AI1522" s="14"/>
      <c r="AJ1522" s="14"/>
      <c r="AK1522" s="14"/>
      <c r="AL1522" s="14"/>
      <c r="AM1522" s="14"/>
    </row>
    <row r="1523" ht="14.25" customHeight="1">
      <c r="AA1523" s="7">
        <f t="shared" si="2"/>
        <v>42429</v>
      </c>
      <c r="AB1523" s="14"/>
      <c r="AC1523" s="14"/>
      <c r="AD1523" s="14"/>
      <c r="AE1523" s="14"/>
      <c r="AF1523" s="14"/>
      <c r="AG1523" s="14"/>
      <c r="AH1523" s="14"/>
      <c r="AI1523" s="14"/>
      <c r="AJ1523" s="14"/>
      <c r="AK1523" s="14"/>
      <c r="AL1523" s="14"/>
      <c r="AM1523" s="14"/>
    </row>
    <row r="1524" ht="14.25" customHeight="1">
      <c r="AA1524" s="7">
        <f t="shared" si="2"/>
        <v>42430</v>
      </c>
      <c r="AB1524" s="14"/>
      <c r="AC1524" s="14"/>
      <c r="AD1524" s="14"/>
      <c r="AE1524" s="14"/>
      <c r="AF1524" s="14"/>
      <c r="AG1524" s="14"/>
      <c r="AH1524" s="14"/>
      <c r="AI1524" s="14"/>
      <c r="AJ1524" s="14"/>
      <c r="AK1524" s="14"/>
      <c r="AL1524" s="14"/>
      <c r="AM1524" s="14"/>
    </row>
    <row r="1525" ht="14.25" customHeight="1">
      <c r="AA1525" s="7">
        <f t="shared" si="2"/>
        <v>42431</v>
      </c>
      <c r="AB1525" s="14"/>
      <c r="AC1525" s="14"/>
      <c r="AD1525" s="14"/>
      <c r="AE1525" s="14"/>
      <c r="AF1525" s="14"/>
      <c r="AG1525" s="14"/>
      <c r="AH1525" s="14"/>
      <c r="AI1525" s="14"/>
      <c r="AJ1525" s="14"/>
      <c r="AK1525" s="14"/>
      <c r="AL1525" s="14"/>
      <c r="AM1525" s="14"/>
    </row>
    <row r="1526" ht="14.25" customHeight="1">
      <c r="AA1526" s="7">
        <f t="shared" si="2"/>
        <v>42432</v>
      </c>
      <c r="AB1526" s="14"/>
      <c r="AC1526" s="14"/>
      <c r="AD1526" s="14"/>
      <c r="AE1526" s="14"/>
      <c r="AF1526" s="14"/>
      <c r="AG1526" s="14"/>
      <c r="AH1526" s="14"/>
      <c r="AI1526" s="14"/>
      <c r="AJ1526" s="14"/>
      <c r="AK1526" s="14"/>
      <c r="AL1526" s="14"/>
      <c r="AM1526" s="14"/>
    </row>
    <row r="1527" ht="14.25" customHeight="1">
      <c r="AA1527" s="7">
        <f t="shared" si="2"/>
        <v>42433</v>
      </c>
      <c r="AB1527" s="14"/>
      <c r="AC1527" s="14"/>
      <c r="AD1527" s="14"/>
      <c r="AE1527" s="14"/>
      <c r="AF1527" s="14"/>
      <c r="AG1527" s="14"/>
      <c r="AH1527" s="14"/>
      <c r="AI1527" s="14"/>
      <c r="AJ1527" s="14"/>
      <c r="AK1527" s="14"/>
      <c r="AL1527" s="14"/>
      <c r="AM1527" s="14"/>
    </row>
    <row r="1528" ht="14.25" customHeight="1">
      <c r="AA1528" s="7">
        <f t="shared" si="2"/>
        <v>42434</v>
      </c>
      <c r="AB1528" s="14"/>
      <c r="AC1528" s="14"/>
      <c r="AD1528" s="14"/>
      <c r="AE1528" s="14"/>
      <c r="AF1528" s="14"/>
      <c r="AG1528" s="14"/>
      <c r="AH1528" s="14"/>
      <c r="AI1528" s="14"/>
      <c r="AJ1528" s="14"/>
      <c r="AK1528" s="14"/>
      <c r="AL1528" s="14"/>
      <c r="AM1528" s="14"/>
    </row>
    <row r="1529" ht="14.25" customHeight="1">
      <c r="AA1529" s="7">
        <f t="shared" si="2"/>
        <v>42435</v>
      </c>
      <c r="AB1529" s="14"/>
      <c r="AC1529" s="14"/>
      <c r="AD1529" s="14"/>
      <c r="AE1529" s="14"/>
      <c r="AF1529" s="14"/>
      <c r="AG1529" s="14"/>
      <c r="AH1529" s="14"/>
      <c r="AI1529" s="14"/>
      <c r="AJ1529" s="14"/>
      <c r="AK1529" s="14"/>
      <c r="AL1529" s="14"/>
      <c r="AM1529" s="14"/>
    </row>
    <row r="1530" ht="14.25" customHeight="1">
      <c r="AA1530" s="7">
        <f t="shared" si="2"/>
        <v>42436</v>
      </c>
      <c r="AB1530" s="14"/>
      <c r="AC1530" s="14"/>
      <c r="AD1530" s="14"/>
      <c r="AE1530" s="14"/>
      <c r="AF1530" s="14"/>
      <c r="AG1530" s="14"/>
      <c r="AH1530" s="14"/>
      <c r="AI1530" s="14"/>
      <c r="AJ1530" s="14"/>
      <c r="AK1530" s="14"/>
      <c r="AL1530" s="14"/>
      <c r="AM1530" s="14"/>
    </row>
    <row r="1531" ht="14.25" customHeight="1">
      <c r="AA1531" s="7">
        <f t="shared" si="2"/>
        <v>42437</v>
      </c>
      <c r="AB1531" s="14"/>
      <c r="AC1531" s="14"/>
      <c r="AD1531" s="14"/>
      <c r="AE1531" s="14"/>
      <c r="AF1531" s="14"/>
      <c r="AG1531" s="14"/>
      <c r="AH1531" s="14"/>
      <c r="AI1531" s="14"/>
      <c r="AJ1531" s="14"/>
      <c r="AK1531" s="14"/>
      <c r="AL1531" s="14"/>
      <c r="AM1531" s="14"/>
    </row>
    <row r="1532" ht="14.25" customHeight="1">
      <c r="AA1532" s="7">
        <f t="shared" si="2"/>
        <v>42438</v>
      </c>
      <c r="AB1532" s="14"/>
      <c r="AC1532" s="14"/>
      <c r="AD1532" s="14"/>
      <c r="AE1532" s="14"/>
      <c r="AF1532" s="14"/>
      <c r="AG1532" s="14"/>
      <c r="AH1532" s="14"/>
      <c r="AI1532" s="14"/>
      <c r="AJ1532" s="14"/>
      <c r="AK1532" s="14"/>
      <c r="AL1532" s="14"/>
      <c r="AM1532" s="14"/>
    </row>
    <row r="1533" ht="14.25" customHeight="1">
      <c r="AA1533" s="7">
        <f t="shared" si="2"/>
        <v>42439</v>
      </c>
      <c r="AB1533" s="14"/>
      <c r="AC1533" s="14"/>
      <c r="AD1533" s="14"/>
      <c r="AE1533" s="14"/>
      <c r="AF1533" s="14"/>
      <c r="AG1533" s="14"/>
      <c r="AH1533" s="14"/>
      <c r="AI1533" s="14"/>
      <c r="AJ1533" s="14"/>
      <c r="AK1533" s="14"/>
      <c r="AL1533" s="14"/>
      <c r="AM1533" s="14"/>
    </row>
    <row r="1534" ht="14.25" customHeight="1">
      <c r="AA1534" s="7">
        <f t="shared" si="2"/>
        <v>42440</v>
      </c>
      <c r="AB1534" s="14"/>
      <c r="AC1534" s="14"/>
      <c r="AD1534" s="14"/>
      <c r="AE1534" s="14"/>
      <c r="AF1534" s="14"/>
      <c r="AG1534" s="14"/>
      <c r="AH1534" s="14"/>
      <c r="AI1534" s="14"/>
      <c r="AJ1534" s="14"/>
      <c r="AK1534" s="14"/>
      <c r="AL1534" s="14"/>
      <c r="AM1534" s="14"/>
    </row>
    <row r="1535" ht="14.25" customHeight="1">
      <c r="AA1535" s="7">
        <f t="shared" si="2"/>
        <v>42441</v>
      </c>
      <c r="AB1535" s="14"/>
      <c r="AC1535" s="14"/>
      <c r="AD1535" s="14"/>
      <c r="AE1535" s="14"/>
      <c r="AF1535" s="14"/>
      <c r="AG1535" s="14"/>
      <c r="AH1535" s="14"/>
      <c r="AI1535" s="14"/>
      <c r="AJ1535" s="14"/>
      <c r="AK1535" s="14"/>
      <c r="AL1535" s="14"/>
      <c r="AM1535" s="14"/>
    </row>
    <row r="1536" ht="14.25" customHeight="1">
      <c r="AA1536" s="7">
        <f t="shared" si="2"/>
        <v>42442</v>
      </c>
      <c r="AB1536" s="14"/>
      <c r="AC1536" s="14"/>
      <c r="AD1536" s="14"/>
      <c r="AE1536" s="14"/>
      <c r="AF1536" s="14"/>
      <c r="AG1536" s="14"/>
      <c r="AH1536" s="14"/>
      <c r="AI1536" s="14"/>
      <c r="AJ1536" s="14"/>
      <c r="AK1536" s="14"/>
      <c r="AL1536" s="14"/>
      <c r="AM1536" s="14"/>
    </row>
    <row r="1537" ht="14.25" customHeight="1">
      <c r="AA1537" s="7">
        <f t="shared" si="2"/>
        <v>42443</v>
      </c>
      <c r="AB1537" s="14"/>
      <c r="AC1537" s="14"/>
      <c r="AD1537" s="14"/>
      <c r="AE1537" s="14"/>
      <c r="AF1537" s="14"/>
      <c r="AG1537" s="14"/>
      <c r="AH1537" s="14"/>
      <c r="AI1537" s="14"/>
      <c r="AJ1537" s="14"/>
      <c r="AK1537" s="14"/>
      <c r="AL1537" s="14"/>
      <c r="AM1537" s="14"/>
    </row>
    <row r="1538" ht="14.25" customHeight="1">
      <c r="AA1538" s="7">
        <f t="shared" si="2"/>
        <v>42444</v>
      </c>
      <c r="AB1538" s="14"/>
      <c r="AC1538" s="14"/>
      <c r="AD1538" s="14"/>
      <c r="AE1538" s="14"/>
      <c r="AF1538" s="14"/>
      <c r="AG1538" s="14"/>
      <c r="AH1538" s="14"/>
      <c r="AI1538" s="14"/>
      <c r="AJ1538" s="14"/>
      <c r="AK1538" s="14"/>
      <c r="AL1538" s="14"/>
      <c r="AM1538" s="14"/>
    </row>
    <row r="1539" ht="14.25" customHeight="1">
      <c r="AA1539" s="7">
        <f t="shared" si="2"/>
        <v>42445</v>
      </c>
      <c r="AB1539" s="14"/>
      <c r="AC1539" s="14"/>
      <c r="AD1539" s="14"/>
      <c r="AE1539" s="14"/>
      <c r="AF1539" s="14"/>
      <c r="AG1539" s="14"/>
      <c r="AH1539" s="14"/>
      <c r="AI1539" s="14"/>
      <c r="AJ1539" s="14"/>
      <c r="AK1539" s="14"/>
      <c r="AL1539" s="14"/>
      <c r="AM1539" s="14"/>
    </row>
    <row r="1540" ht="14.25" customHeight="1">
      <c r="AA1540" s="7">
        <f t="shared" si="2"/>
        <v>42446</v>
      </c>
      <c r="AB1540" s="14"/>
      <c r="AC1540" s="14"/>
      <c r="AD1540" s="14"/>
      <c r="AE1540" s="14"/>
      <c r="AF1540" s="14"/>
      <c r="AG1540" s="14"/>
      <c r="AH1540" s="14"/>
      <c r="AI1540" s="14"/>
      <c r="AJ1540" s="14"/>
      <c r="AK1540" s="14"/>
      <c r="AL1540" s="14"/>
      <c r="AM1540" s="14"/>
    </row>
    <row r="1541" ht="14.25" customHeight="1">
      <c r="AA1541" s="7">
        <f t="shared" si="2"/>
        <v>42447</v>
      </c>
      <c r="AB1541" s="14"/>
      <c r="AC1541" s="14"/>
      <c r="AD1541" s="14"/>
      <c r="AE1541" s="14"/>
      <c r="AF1541" s="14"/>
      <c r="AG1541" s="14"/>
      <c r="AH1541" s="14"/>
      <c r="AI1541" s="14"/>
      <c r="AJ1541" s="14"/>
      <c r="AK1541" s="14"/>
      <c r="AL1541" s="14"/>
      <c r="AM1541" s="14"/>
    </row>
    <row r="1542" ht="14.25" customHeight="1">
      <c r="AA1542" s="7">
        <f t="shared" si="2"/>
        <v>42448</v>
      </c>
      <c r="AB1542" s="14"/>
      <c r="AC1542" s="14"/>
      <c r="AD1542" s="14"/>
      <c r="AE1542" s="14"/>
      <c r="AF1542" s="14"/>
      <c r="AG1542" s="14"/>
      <c r="AH1542" s="14"/>
      <c r="AI1542" s="14"/>
      <c r="AJ1542" s="14"/>
      <c r="AK1542" s="14"/>
      <c r="AL1542" s="14"/>
      <c r="AM1542" s="14"/>
    </row>
    <row r="1543" ht="14.25" customHeight="1">
      <c r="AA1543" s="7">
        <f t="shared" si="2"/>
        <v>42449</v>
      </c>
      <c r="AB1543" s="14"/>
      <c r="AC1543" s="14"/>
      <c r="AD1543" s="14"/>
      <c r="AE1543" s="14"/>
      <c r="AF1543" s="14"/>
      <c r="AG1543" s="14"/>
      <c r="AH1543" s="14"/>
      <c r="AI1543" s="14"/>
      <c r="AJ1543" s="14"/>
      <c r="AK1543" s="14"/>
      <c r="AL1543" s="14"/>
      <c r="AM1543" s="14"/>
    </row>
    <row r="1544" ht="14.25" customHeight="1">
      <c r="AA1544" s="7">
        <f t="shared" si="2"/>
        <v>42450</v>
      </c>
      <c r="AB1544" s="14"/>
      <c r="AC1544" s="14"/>
      <c r="AD1544" s="14"/>
      <c r="AE1544" s="14"/>
      <c r="AF1544" s="14"/>
      <c r="AG1544" s="14"/>
      <c r="AH1544" s="14"/>
      <c r="AI1544" s="14"/>
      <c r="AJ1544" s="14"/>
      <c r="AK1544" s="14"/>
      <c r="AL1544" s="14"/>
      <c r="AM1544" s="14"/>
    </row>
    <row r="1545" ht="14.25" customHeight="1">
      <c r="AA1545" s="7">
        <f t="shared" si="2"/>
        <v>42451</v>
      </c>
      <c r="AB1545" s="14"/>
      <c r="AC1545" s="14"/>
      <c r="AD1545" s="14"/>
      <c r="AE1545" s="14"/>
      <c r="AF1545" s="14"/>
      <c r="AG1545" s="14"/>
      <c r="AH1545" s="14"/>
      <c r="AI1545" s="14"/>
      <c r="AJ1545" s="14"/>
      <c r="AK1545" s="14"/>
      <c r="AL1545" s="14"/>
      <c r="AM1545" s="14"/>
    </row>
    <row r="1546" ht="14.25" customHeight="1">
      <c r="AA1546" s="7">
        <f t="shared" si="2"/>
        <v>42452</v>
      </c>
      <c r="AB1546" s="14"/>
      <c r="AC1546" s="14"/>
      <c r="AD1546" s="14"/>
      <c r="AE1546" s="14"/>
      <c r="AF1546" s="14"/>
      <c r="AG1546" s="14"/>
      <c r="AH1546" s="14"/>
      <c r="AI1546" s="14"/>
      <c r="AJ1546" s="14"/>
      <c r="AK1546" s="14"/>
      <c r="AL1546" s="14"/>
      <c r="AM1546" s="14"/>
    </row>
    <row r="1547" ht="14.25" customHeight="1">
      <c r="AA1547" s="7">
        <f t="shared" si="2"/>
        <v>42453</v>
      </c>
      <c r="AB1547" s="14"/>
      <c r="AC1547" s="14"/>
      <c r="AD1547" s="14"/>
      <c r="AE1547" s="14"/>
      <c r="AF1547" s="14"/>
      <c r="AG1547" s="14"/>
      <c r="AH1547" s="14"/>
      <c r="AI1547" s="14"/>
      <c r="AJ1547" s="14"/>
      <c r="AK1547" s="14"/>
      <c r="AL1547" s="14"/>
      <c r="AM1547" s="14"/>
    </row>
    <row r="1548" ht="14.25" customHeight="1">
      <c r="AA1548" s="7">
        <f t="shared" si="2"/>
        <v>42454</v>
      </c>
      <c r="AB1548" s="14"/>
      <c r="AC1548" s="14"/>
      <c r="AD1548" s="14"/>
      <c r="AE1548" s="14"/>
      <c r="AF1548" s="14"/>
      <c r="AG1548" s="14"/>
      <c r="AH1548" s="14"/>
      <c r="AI1548" s="14"/>
      <c r="AJ1548" s="14"/>
      <c r="AK1548" s="14"/>
      <c r="AL1548" s="14"/>
      <c r="AM1548" s="14"/>
    </row>
    <row r="1549" ht="14.25" customHeight="1">
      <c r="AA1549" s="7">
        <f t="shared" si="2"/>
        <v>42455</v>
      </c>
      <c r="AB1549" s="14"/>
      <c r="AC1549" s="14"/>
      <c r="AD1549" s="14"/>
      <c r="AE1549" s="14"/>
      <c r="AF1549" s="14"/>
      <c r="AG1549" s="14"/>
      <c r="AH1549" s="14"/>
      <c r="AI1549" s="14"/>
      <c r="AJ1549" s="14"/>
      <c r="AK1549" s="14"/>
      <c r="AL1549" s="14"/>
      <c r="AM1549" s="14"/>
    </row>
    <row r="1550" ht="14.25" customHeight="1">
      <c r="AA1550" s="7">
        <f t="shared" si="2"/>
        <v>42456</v>
      </c>
      <c r="AB1550" s="14"/>
      <c r="AC1550" s="14"/>
      <c r="AD1550" s="14"/>
      <c r="AE1550" s="14"/>
      <c r="AF1550" s="14"/>
      <c r="AG1550" s="14"/>
      <c r="AH1550" s="14"/>
      <c r="AI1550" s="14"/>
      <c r="AJ1550" s="14"/>
      <c r="AK1550" s="14"/>
      <c r="AL1550" s="14"/>
      <c r="AM1550" s="14"/>
    </row>
    <row r="1551" ht="14.25" customHeight="1">
      <c r="AA1551" s="7">
        <f t="shared" si="2"/>
        <v>42457</v>
      </c>
      <c r="AB1551" s="14"/>
      <c r="AC1551" s="14"/>
      <c r="AD1551" s="14"/>
      <c r="AE1551" s="14"/>
      <c r="AF1551" s="14"/>
      <c r="AG1551" s="14"/>
      <c r="AH1551" s="14"/>
      <c r="AI1551" s="14"/>
      <c r="AJ1551" s="14"/>
      <c r="AK1551" s="14"/>
      <c r="AL1551" s="14"/>
      <c r="AM1551" s="14"/>
    </row>
    <row r="1552" ht="14.25" customHeight="1">
      <c r="AA1552" s="7">
        <f t="shared" si="2"/>
        <v>42458</v>
      </c>
      <c r="AB1552" s="14"/>
      <c r="AC1552" s="14"/>
      <c r="AD1552" s="14"/>
      <c r="AE1552" s="14"/>
      <c r="AF1552" s="14"/>
      <c r="AG1552" s="14"/>
      <c r="AH1552" s="14"/>
      <c r="AI1552" s="14"/>
      <c r="AJ1552" s="14"/>
      <c r="AK1552" s="14"/>
      <c r="AL1552" s="14"/>
      <c r="AM1552" s="14"/>
    </row>
    <row r="1553" ht="14.25" customHeight="1">
      <c r="AA1553" s="7">
        <f t="shared" si="2"/>
        <v>42459</v>
      </c>
      <c r="AB1553" s="14"/>
      <c r="AC1553" s="14"/>
      <c r="AD1553" s="14"/>
      <c r="AE1553" s="14"/>
      <c r="AF1553" s="14"/>
      <c r="AG1553" s="14"/>
      <c r="AH1553" s="14"/>
      <c r="AI1553" s="14"/>
      <c r="AJ1553" s="14"/>
      <c r="AK1553" s="14"/>
      <c r="AL1553" s="14"/>
      <c r="AM1553" s="14"/>
    </row>
    <row r="1554" ht="14.25" customHeight="1">
      <c r="AA1554" s="7">
        <f t="shared" si="2"/>
        <v>42460</v>
      </c>
      <c r="AB1554" s="14"/>
      <c r="AC1554" s="14"/>
      <c r="AD1554" s="14"/>
      <c r="AE1554" s="14"/>
      <c r="AF1554" s="14"/>
      <c r="AG1554" s="14"/>
      <c r="AH1554" s="14"/>
      <c r="AI1554" s="14"/>
      <c r="AJ1554" s="14"/>
      <c r="AK1554" s="14"/>
      <c r="AL1554" s="14"/>
      <c r="AM1554" s="14"/>
    </row>
    <row r="1555" ht="14.25" customHeight="1">
      <c r="AA1555" s="7">
        <f t="shared" si="2"/>
        <v>42461</v>
      </c>
      <c r="AB1555" s="14"/>
      <c r="AC1555" s="14"/>
      <c r="AD1555" s="14"/>
      <c r="AE1555" s="14"/>
      <c r="AF1555" s="14"/>
      <c r="AG1555" s="14"/>
      <c r="AH1555" s="14"/>
      <c r="AI1555" s="14"/>
      <c r="AJ1555" s="14"/>
      <c r="AK1555" s="14"/>
      <c r="AL1555" s="14"/>
      <c r="AM1555" s="14"/>
    </row>
    <row r="1556" ht="14.25" customHeight="1">
      <c r="AA1556" s="7">
        <f t="shared" si="2"/>
        <v>42462</v>
      </c>
      <c r="AB1556" s="14"/>
      <c r="AC1556" s="14"/>
      <c r="AD1556" s="14"/>
      <c r="AE1556" s="14"/>
      <c r="AF1556" s="14"/>
      <c r="AG1556" s="14"/>
      <c r="AH1556" s="14"/>
      <c r="AI1556" s="14"/>
      <c r="AJ1556" s="14"/>
      <c r="AK1556" s="14"/>
      <c r="AL1556" s="14"/>
      <c r="AM1556" s="14"/>
    </row>
    <row r="1557" ht="14.25" customHeight="1">
      <c r="AA1557" s="7">
        <f t="shared" si="2"/>
        <v>42463</v>
      </c>
      <c r="AB1557" s="14"/>
      <c r="AC1557" s="14"/>
      <c r="AD1557" s="14"/>
      <c r="AE1557" s="14"/>
      <c r="AF1557" s="14"/>
      <c r="AG1557" s="14"/>
      <c r="AH1557" s="14"/>
      <c r="AI1557" s="14"/>
      <c r="AJ1557" s="14"/>
      <c r="AK1557" s="14"/>
      <c r="AL1557" s="14"/>
      <c r="AM1557" s="14"/>
    </row>
    <row r="1558" ht="14.25" customHeight="1">
      <c r="AA1558" s="7">
        <f t="shared" si="2"/>
        <v>42464</v>
      </c>
      <c r="AB1558" s="14"/>
      <c r="AC1558" s="14"/>
      <c r="AD1558" s="14"/>
      <c r="AE1558" s="14"/>
      <c r="AF1558" s="14"/>
      <c r="AG1558" s="14"/>
      <c r="AH1558" s="14"/>
      <c r="AI1558" s="14"/>
      <c r="AJ1558" s="14"/>
      <c r="AK1558" s="14"/>
      <c r="AL1558" s="14"/>
      <c r="AM1558" s="14"/>
    </row>
    <row r="1559" ht="14.25" customHeight="1">
      <c r="AA1559" s="7">
        <f t="shared" si="2"/>
        <v>42465</v>
      </c>
      <c r="AB1559" s="14"/>
      <c r="AC1559" s="14"/>
      <c r="AD1559" s="14"/>
      <c r="AE1559" s="14"/>
      <c r="AF1559" s="14"/>
      <c r="AG1559" s="14"/>
      <c r="AH1559" s="14"/>
      <c r="AI1559" s="14"/>
      <c r="AJ1559" s="14"/>
      <c r="AK1559" s="14"/>
      <c r="AL1559" s="14"/>
      <c r="AM1559" s="14"/>
    </row>
    <row r="1560" ht="14.25" customHeight="1">
      <c r="AA1560" s="7">
        <f t="shared" si="2"/>
        <v>42466</v>
      </c>
      <c r="AB1560" s="14"/>
      <c r="AC1560" s="14"/>
      <c r="AD1560" s="14"/>
      <c r="AE1560" s="14"/>
      <c r="AF1560" s="14"/>
      <c r="AG1560" s="14"/>
      <c r="AH1560" s="14"/>
      <c r="AI1560" s="14"/>
      <c r="AJ1560" s="14"/>
      <c r="AK1560" s="14"/>
      <c r="AL1560" s="14"/>
      <c r="AM1560" s="14"/>
    </row>
    <row r="1561" ht="14.25" customHeight="1">
      <c r="AA1561" s="7">
        <f t="shared" si="2"/>
        <v>42467</v>
      </c>
      <c r="AB1561" s="14"/>
      <c r="AC1561" s="14"/>
      <c r="AD1561" s="14"/>
      <c r="AE1561" s="14"/>
      <c r="AF1561" s="14"/>
      <c r="AG1561" s="14"/>
      <c r="AH1561" s="14"/>
      <c r="AI1561" s="14"/>
      <c r="AJ1561" s="14"/>
      <c r="AK1561" s="14"/>
      <c r="AL1561" s="14"/>
      <c r="AM1561" s="14"/>
    </row>
    <row r="1562" ht="14.25" customHeight="1">
      <c r="AA1562" s="7">
        <f t="shared" si="2"/>
        <v>42468</v>
      </c>
      <c r="AB1562" s="14"/>
      <c r="AC1562" s="14"/>
      <c r="AD1562" s="14"/>
      <c r="AE1562" s="14"/>
      <c r="AF1562" s="14"/>
      <c r="AG1562" s="14"/>
      <c r="AH1562" s="14"/>
      <c r="AI1562" s="14"/>
      <c r="AJ1562" s="14"/>
      <c r="AK1562" s="14"/>
      <c r="AL1562" s="14"/>
      <c r="AM1562" s="14"/>
    </row>
    <row r="1563" ht="14.25" customHeight="1">
      <c r="AA1563" s="7">
        <f t="shared" si="2"/>
        <v>42469</v>
      </c>
      <c r="AB1563" s="14"/>
      <c r="AC1563" s="14"/>
      <c r="AD1563" s="14"/>
      <c r="AE1563" s="14"/>
      <c r="AF1563" s="14"/>
      <c r="AG1563" s="14"/>
      <c r="AH1563" s="14"/>
      <c r="AI1563" s="14"/>
      <c r="AJ1563" s="14"/>
      <c r="AK1563" s="14"/>
      <c r="AL1563" s="14"/>
      <c r="AM1563" s="14"/>
    </row>
    <row r="1564" ht="14.25" customHeight="1">
      <c r="AA1564" s="7">
        <f t="shared" si="2"/>
        <v>42470</v>
      </c>
      <c r="AB1564" s="14"/>
      <c r="AC1564" s="14"/>
      <c r="AD1564" s="14"/>
      <c r="AE1564" s="14"/>
      <c r="AF1564" s="14"/>
      <c r="AG1564" s="14"/>
      <c r="AH1564" s="14"/>
      <c r="AI1564" s="14"/>
      <c r="AJ1564" s="14"/>
      <c r="AK1564" s="14"/>
      <c r="AL1564" s="14"/>
      <c r="AM1564" s="14"/>
    </row>
    <row r="1565" ht="14.25" customHeight="1">
      <c r="AA1565" s="7">
        <f t="shared" si="2"/>
        <v>42471</v>
      </c>
      <c r="AB1565" s="14"/>
      <c r="AC1565" s="14"/>
      <c r="AD1565" s="14"/>
      <c r="AE1565" s="14"/>
      <c r="AF1565" s="14"/>
      <c r="AG1565" s="14"/>
      <c r="AH1565" s="14"/>
      <c r="AI1565" s="14"/>
      <c r="AJ1565" s="14"/>
      <c r="AK1565" s="14"/>
      <c r="AL1565" s="14"/>
      <c r="AM1565" s="14"/>
    </row>
    <row r="1566" ht="14.25" customHeight="1">
      <c r="AA1566" s="7">
        <f t="shared" si="2"/>
        <v>42472</v>
      </c>
      <c r="AB1566" s="14"/>
      <c r="AC1566" s="14"/>
      <c r="AD1566" s="14"/>
      <c r="AE1566" s="14"/>
      <c r="AF1566" s="14"/>
      <c r="AG1566" s="14"/>
      <c r="AH1566" s="14"/>
      <c r="AI1566" s="14"/>
      <c r="AJ1566" s="14"/>
      <c r="AK1566" s="14"/>
      <c r="AL1566" s="14"/>
      <c r="AM1566" s="14"/>
    </row>
    <row r="1567" ht="14.25" customHeight="1">
      <c r="AA1567" s="7">
        <f t="shared" si="2"/>
        <v>42473</v>
      </c>
      <c r="AB1567" s="14"/>
      <c r="AC1567" s="14"/>
      <c r="AD1567" s="14"/>
      <c r="AE1567" s="14"/>
      <c r="AF1567" s="14"/>
      <c r="AG1567" s="14"/>
      <c r="AH1567" s="14"/>
      <c r="AI1567" s="14"/>
      <c r="AJ1567" s="14"/>
      <c r="AK1567" s="14"/>
      <c r="AL1567" s="14"/>
      <c r="AM1567" s="14"/>
    </row>
    <row r="1568" ht="14.25" customHeight="1">
      <c r="AA1568" s="7">
        <f t="shared" si="2"/>
        <v>42474</v>
      </c>
      <c r="AB1568" s="14"/>
      <c r="AC1568" s="14"/>
      <c r="AD1568" s="14"/>
      <c r="AE1568" s="14"/>
      <c r="AF1568" s="14"/>
      <c r="AG1568" s="14"/>
      <c r="AH1568" s="14"/>
      <c r="AI1568" s="14"/>
      <c r="AJ1568" s="14"/>
      <c r="AK1568" s="14"/>
      <c r="AL1568" s="14"/>
      <c r="AM1568" s="14"/>
    </row>
    <row r="1569" ht="14.25" customHeight="1">
      <c r="AA1569" s="7">
        <f t="shared" si="2"/>
        <v>42475</v>
      </c>
      <c r="AB1569" s="14"/>
      <c r="AC1569" s="14"/>
      <c r="AD1569" s="14"/>
      <c r="AE1569" s="14"/>
      <c r="AF1569" s="14"/>
      <c r="AG1569" s="14"/>
      <c r="AH1569" s="14"/>
      <c r="AI1569" s="14"/>
      <c r="AJ1569" s="14"/>
      <c r="AK1569" s="14"/>
      <c r="AL1569" s="14"/>
      <c r="AM1569" s="14"/>
    </row>
    <row r="1570" ht="14.25" customHeight="1">
      <c r="AA1570" s="7">
        <f t="shared" si="2"/>
        <v>42476</v>
      </c>
      <c r="AB1570" s="14"/>
      <c r="AC1570" s="14"/>
      <c r="AD1570" s="14"/>
      <c r="AE1570" s="14"/>
      <c r="AF1570" s="14"/>
      <c r="AG1570" s="14"/>
      <c r="AH1570" s="14"/>
      <c r="AI1570" s="14"/>
      <c r="AJ1570" s="14"/>
      <c r="AK1570" s="14"/>
      <c r="AL1570" s="14"/>
      <c r="AM1570" s="14"/>
    </row>
    <row r="1571" ht="14.25" customHeight="1">
      <c r="AA1571" s="7">
        <f t="shared" si="2"/>
        <v>42477</v>
      </c>
      <c r="AB1571" s="14"/>
      <c r="AC1571" s="14"/>
      <c r="AD1571" s="14"/>
      <c r="AE1571" s="14"/>
      <c r="AF1571" s="14"/>
      <c r="AG1571" s="14"/>
      <c r="AH1571" s="14"/>
      <c r="AI1571" s="14"/>
      <c r="AJ1571" s="14"/>
      <c r="AK1571" s="14"/>
      <c r="AL1571" s="14"/>
      <c r="AM1571" s="14"/>
    </row>
    <row r="1572" ht="14.25" customHeight="1">
      <c r="AA1572" s="7">
        <f t="shared" si="2"/>
        <v>42478</v>
      </c>
      <c r="AB1572" s="14"/>
      <c r="AC1572" s="14"/>
      <c r="AD1572" s="14"/>
      <c r="AE1572" s="14"/>
      <c r="AF1572" s="14"/>
      <c r="AG1572" s="14"/>
      <c r="AH1572" s="14"/>
      <c r="AI1572" s="14"/>
      <c r="AJ1572" s="14"/>
      <c r="AK1572" s="14"/>
      <c r="AL1572" s="14"/>
      <c r="AM1572" s="14"/>
    </row>
    <row r="1573" ht="14.25" customHeight="1">
      <c r="AA1573" s="7">
        <f t="shared" si="2"/>
        <v>42479</v>
      </c>
      <c r="AB1573" s="14"/>
      <c r="AC1573" s="14"/>
      <c r="AD1573" s="14"/>
      <c r="AE1573" s="14"/>
      <c r="AF1573" s="14"/>
      <c r="AG1573" s="14"/>
      <c r="AH1573" s="14"/>
      <c r="AI1573" s="14"/>
      <c r="AJ1573" s="14"/>
      <c r="AK1573" s="14"/>
      <c r="AL1573" s="14"/>
      <c r="AM1573" s="14"/>
    </row>
    <row r="1574" ht="14.25" customHeight="1">
      <c r="AA1574" s="7">
        <f t="shared" si="2"/>
        <v>42480</v>
      </c>
      <c r="AB1574" s="14"/>
      <c r="AC1574" s="14"/>
      <c r="AD1574" s="14"/>
      <c r="AE1574" s="14"/>
      <c r="AF1574" s="14"/>
      <c r="AG1574" s="14"/>
      <c r="AH1574" s="14"/>
      <c r="AI1574" s="14"/>
      <c r="AJ1574" s="14"/>
      <c r="AK1574" s="14"/>
      <c r="AL1574" s="14"/>
      <c r="AM1574" s="14"/>
    </row>
    <row r="1575" ht="14.25" customHeight="1">
      <c r="AA1575" s="7">
        <f t="shared" si="2"/>
        <v>42481</v>
      </c>
      <c r="AB1575" s="14"/>
      <c r="AC1575" s="14"/>
      <c r="AD1575" s="14"/>
      <c r="AE1575" s="14"/>
      <c r="AF1575" s="14"/>
      <c r="AG1575" s="14"/>
      <c r="AH1575" s="14"/>
      <c r="AI1575" s="14"/>
      <c r="AJ1575" s="14"/>
      <c r="AK1575" s="14"/>
      <c r="AL1575" s="14"/>
      <c r="AM1575" s="14"/>
    </row>
    <row r="1576" ht="14.25" customHeight="1">
      <c r="AA1576" s="7">
        <f t="shared" si="2"/>
        <v>42482</v>
      </c>
      <c r="AB1576" s="14"/>
      <c r="AC1576" s="14"/>
      <c r="AD1576" s="14"/>
      <c r="AE1576" s="14"/>
      <c r="AF1576" s="14"/>
      <c r="AG1576" s="14"/>
      <c r="AH1576" s="14"/>
      <c r="AI1576" s="14"/>
      <c r="AJ1576" s="14"/>
      <c r="AK1576" s="14"/>
      <c r="AL1576" s="14"/>
      <c r="AM1576" s="14"/>
    </row>
    <row r="1577" ht="14.25" customHeight="1">
      <c r="AA1577" s="7">
        <f t="shared" si="2"/>
        <v>42483</v>
      </c>
      <c r="AB1577" s="14"/>
      <c r="AC1577" s="14"/>
      <c r="AD1577" s="14"/>
      <c r="AE1577" s="14"/>
      <c r="AF1577" s="14"/>
      <c r="AG1577" s="14"/>
      <c r="AH1577" s="14"/>
      <c r="AI1577" s="14"/>
      <c r="AJ1577" s="14"/>
      <c r="AK1577" s="14"/>
      <c r="AL1577" s="14"/>
      <c r="AM1577" s="14"/>
    </row>
    <row r="1578" ht="14.25" customHeight="1">
      <c r="AA1578" s="7">
        <f t="shared" si="2"/>
        <v>42484</v>
      </c>
      <c r="AB1578" s="14"/>
      <c r="AC1578" s="14"/>
      <c r="AD1578" s="14"/>
      <c r="AE1578" s="14"/>
      <c r="AF1578" s="14"/>
      <c r="AG1578" s="14"/>
      <c r="AH1578" s="14"/>
      <c r="AI1578" s="14"/>
      <c r="AJ1578" s="14"/>
      <c r="AK1578" s="14"/>
      <c r="AL1578" s="14"/>
      <c r="AM1578" s="14"/>
    </row>
    <row r="1579" ht="14.25" customHeight="1">
      <c r="AA1579" s="7">
        <f t="shared" si="2"/>
        <v>42485</v>
      </c>
      <c r="AB1579" s="14"/>
      <c r="AC1579" s="14"/>
      <c r="AD1579" s="14"/>
      <c r="AE1579" s="14"/>
      <c r="AF1579" s="14"/>
      <c r="AG1579" s="14"/>
      <c r="AH1579" s="14"/>
      <c r="AI1579" s="14"/>
      <c r="AJ1579" s="14"/>
      <c r="AK1579" s="14"/>
      <c r="AL1579" s="14"/>
      <c r="AM1579" s="14"/>
    </row>
    <row r="1580" ht="14.25" customHeight="1">
      <c r="AA1580" s="7">
        <f t="shared" si="2"/>
        <v>42486</v>
      </c>
      <c r="AB1580" s="14"/>
      <c r="AC1580" s="14"/>
      <c r="AD1580" s="14"/>
      <c r="AE1580" s="14"/>
      <c r="AF1580" s="14"/>
      <c r="AG1580" s="14"/>
      <c r="AH1580" s="14"/>
      <c r="AI1580" s="14"/>
      <c r="AJ1580" s="14"/>
      <c r="AK1580" s="14"/>
      <c r="AL1580" s="14"/>
      <c r="AM1580" s="14"/>
    </row>
    <row r="1581" ht="14.25" customHeight="1">
      <c r="AA1581" s="7">
        <f t="shared" si="2"/>
        <v>42487</v>
      </c>
      <c r="AB1581" s="14"/>
      <c r="AC1581" s="14"/>
      <c r="AD1581" s="14"/>
      <c r="AE1581" s="14"/>
      <c r="AF1581" s="14"/>
      <c r="AG1581" s="14"/>
      <c r="AH1581" s="14"/>
      <c r="AI1581" s="14"/>
      <c r="AJ1581" s="14"/>
      <c r="AK1581" s="14"/>
      <c r="AL1581" s="14"/>
      <c r="AM1581" s="14"/>
    </row>
    <row r="1582" ht="14.25" customHeight="1">
      <c r="AA1582" s="7">
        <f t="shared" si="2"/>
        <v>42488</v>
      </c>
      <c r="AB1582" s="14"/>
      <c r="AC1582" s="14"/>
      <c r="AD1582" s="14"/>
      <c r="AE1582" s="14"/>
      <c r="AF1582" s="14"/>
      <c r="AG1582" s="14"/>
      <c r="AH1582" s="14"/>
      <c r="AI1582" s="14"/>
      <c r="AJ1582" s="14"/>
      <c r="AK1582" s="14"/>
      <c r="AL1582" s="14"/>
      <c r="AM1582" s="14"/>
    </row>
    <row r="1583" ht="14.25" customHeight="1">
      <c r="AA1583" s="7">
        <f t="shared" si="2"/>
        <v>42489</v>
      </c>
      <c r="AB1583" s="14"/>
      <c r="AC1583" s="14"/>
      <c r="AD1583" s="14"/>
      <c r="AE1583" s="14"/>
      <c r="AF1583" s="14"/>
      <c r="AG1583" s="14"/>
      <c r="AH1583" s="14"/>
      <c r="AI1583" s="14"/>
      <c r="AJ1583" s="14"/>
      <c r="AK1583" s="14"/>
      <c r="AL1583" s="14"/>
      <c r="AM1583" s="14"/>
    </row>
    <row r="1584" ht="14.25" customHeight="1">
      <c r="AA1584" s="7">
        <f t="shared" si="2"/>
        <v>42490</v>
      </c>
      <c r="AB1584" s="14"/>
      <c r="AC1584" s="14"/>
      <c r="AD1584" s="14"/>
      <c r="AE1584" s="14"/>
      <c r="AF1584" s="14"/>
      <c r="AG1584" s="14"/>
      <c r="AH1584" s="14"/>
      <c r="AI1584" s="14"/>
      <c r="AJ1584" s="14"/>
      <c r="AK1584" s="14"/>
      <c r="AL1584" s="14"/>
      <c r="AM1584" s="14"/>
    </row>
    <row r="1585" ht="14.25" customHeight="1">
      <c r="AA1585" s="7">
        <f t="shared" si="2"/>
        <v>42491</v>
      </c>
      <c r="AB1585" s="14"/>
      <c r="AC1585" s="14"/>
      <c r="AD1585" s="14"/>
      <c r="AE1585" s="14"/>
      <c r="AF1585" s="14"/>
      <c r="AG1585" s="14"/>
      <c r="AH1585" s="14"/>
      <c r="AI1585" s="14"/>
      <c r="AJ1585" s="14"/>
      <c r="AK1585" s="14"/>
      <c r="AL1585" s="14"/>
      <c r="AM1585" s="14"/>
    </row>
    <row r="1586" ht="14.25" customHeight="1">
      <c r="AA1586" s="7">
        <f t="shared" si="2"/>
        <v>42492</v>
      </c>
      <c r="AB1586" s="14"/>
      <c r="AC1586" s="14"/>
      <c r="AD1586" s="14"/>
      <c r="AE1586" s="14"/>
      <c r="AF1586" s="14"/>
      <c r="AG1586" s="14"/>
      <c r="AH1586" s="14"/>
      <c r="AI1586" s="14"/>
      <c r="AJ1586" s="14"/>
      <c r="AK1586" s="14"/>
      <c r="AL1586" s="14"/>
      <c r="AM1586" s="14"/>
    </row>
    <row r="1587" ht="14.25" customHeight="1">
      <c r="AA1587" s="7">
        <f t="shared" si="2"/>
        <v>42493</v>
      </c>
      <c r="AB1587" s="14"/>
      <c r="AC1587" s="14"/>
      <c r="AD1587" s="14"/>
      <c r="AE1587" s="14"/>
      <c r="AF1587" s="14"/>
      <c r="AG1587" s="14"/>
      <c r="AH1587" s="14"/>
      <c r="AI1587" s="14"/>
      <c r="AJ1587" s="14"/>
      <c r="AK1587" s="14"/>
      <c r="AL1587" s="14"/>
      <c r="AM1587" s="14"/>
    </row>
    <row r="1588" ht="14.25" customHeight="1">
      <c r="AA1588" s="7">
        <f t="shared" si="2"/>
        <v>42494</v>
      </c>
      <c r="AB1588" s="14"/>
      <c r="AC1588" s="14"/>
      <c r="AD1588" s="14"/>
      <c r="AE1588" s="14"/>
      <c r="AF1588" s="14"/>
      <c r="AG1588" s="14"/>
      <c r="AH1588" s="14"/>
      <c r="AI1588" s="14"/>
      <c r="AJ1588" s="14"/>
      <c r="AK1588" s="14"/>
      <c r="AL1588" s="14"/>
      <c r="AM1588" s="14"/>
    </row>
    <row r="1589" ht="14.25" customHeight="1">
      <c r="AA1589" s="7">
        <f t="shared" si="2"/>
        <v>42495</v>
      </c>
      <c r="AB1589" s="14"/>
      <c r="AC1589" s="14"/>
      <c r="AD1589" s="14"/>
      <c r="AE1589" s="14"/>
      <c r="AF1589" s="14"/>
      <c r="AG1589" s="14"/>
      <c r="AH1589" s="14"/>
      <c r="AI1589" s="14"/>
      <c r="AJ1589" s="14"/>
      <c r="AK1589" s="14"/>
      <c r="AL1589" s="14"/>
      <c r="AM1589" s="14"/>
    </row>
    <row r="1590" ht="14.25" customHeight="1">
      <c r="AA1590" s="7">
        <f t="shared" si="2"/>
        <v>42496</v>
      </c>
      <c r="AB1590" s="14"/>
      <c r="AC1590" s="14"/>
      <c r="AD1590" s="14"/>
      <c r="AE1590" s="14"/>
      <c r="AF1590" s="14"/>
      <c r="AG1590" s="14"/>
      <c r="AH1590" s="14"/>
      <c r="AI1590" s="14"/>
      <c r="AJ1590" s="14"/>
      <c r="AK1590" s="14"/>
      <c r="AL1590" s="14"/>
      <c r="AM1590" s="14"/>
    </row>
    <row r="1591" ht="14.25" customHeight="1">
      <c r="AA1591" s="7">
        <f t="shared" si="2"/>
        <v>42497</v>
      </c>
      <c r="AB1591" s="14"/>
      <c r="AC1591" s="14"/>
      <c r="AD1591" s="14"/>
      <c r="AE1591" s="14"/>
      <c r="AF1591" s="14"/>
      <c r="AG1591" s="14"/>
      <c r="AH1591" s="14"/>
      <c r="AI1591" s="14"/>
      <c r="AJ1591" s="14"/>
      <c r="AK1591" s="14"/>
      <c r="AL1591" s="14"/>
      <c r="AM1591" s="14"/>
    </row>
    <row r="1592" ht="14.25" customHeight="1">
      <c r="AA1592" s="7">
        <f t="shared" si="2"/>
        <v>42498</v>
      </c>
      <c r="AB1592" s="14"/>
      <c r="AC1592" s="14"/>
      <c r="AD1592" s="14"/>
      <c r="AE1592" s="14"/>
      <c r="AF1592" s="14"/>
      <c r="AG1592" s="14"/>
      <c r="AH1592" s="14"/>
      <c r="AI1592" s="14"/>
      <c r="AJ1592" s="14"/>
      <c r="AK1592" s="14"/>
      <c r="AL1592" s="14"/>
      <c r="AM1592" s="14"/>
    </row>
    <row r="1593" ht="14.25" customHeight="1">
      <c r="AA1593" s="7">
        <f t="shared" si="2"/>
        <v>42499</v>
      </c>
      <c r="AB1593" s="14"/>
      <c r="AC1593" s="14"/>
      <c r="AD1593" s="14"/>
      <c r="AE1593" s="14"/>
      <c r="AF1593" s="14"/>
      <c r="AG1593" s="14"/>
      <c r="AH1593" s="14"/>
      <c r="AI1593" s="14"/>
      <c r="AJ1593" s="14"/>
      <c r="AK1593" s="14"/>
      <c r="AL1593" s="14"/>
      <c r="AM1593" s="14"/>
    </row>
    <row r="1594" ht="14.25" customHeight="1">
      <c r="AA1594" s="7">
        <f t="shared" si="2"/>
        <v>42500</v>
      </c>
      <c r="AB1594" s="14"/>
      <c r="AC1594" s="14"/>
      <c r="AD1594" s="14"/>
      <c r="AE1594" s="14"/>
      <c r="AF1594" s="14"/>
      <c r="AG1594" s="14"/>
      <c r="AH1594" s="14"/>
      <c r="AI1594" s="14"/>
      <c r="AJ1594" s="14"/>
      <c r="AK1594" s="14"/>
      <c r="AL1594" s="14"/>
      <c r="AM1594" s="14"/>
    </row>
    <row r="1595" ht="14.25" customHeight="1">
      <c r="AA1595" s="7">
        <f t="shared" si="2"/>
        <v>42501</v>
      </c>
      <c r="AB1595" s="14"/>
      <c r="AC1595" s="14"/>
      <c r="AD1595" s="14"/>
      <c r="AE1595" s="14"/>
      <c r="AF1595" s="14"/>
      <c r="AG1595" s="14"/>
      <c r="AH1595" s="14"/>
      <c r="AI1595" s="14"/>
      <c r="AJ1595" s="14"/>
      <c r="AK1595" s="14"/>
      <c r="AL1595" s="14"/>
      <c r="AM1595" s="14"/>
    </row>
    <row r="1596" ht="14.25" customHeight="1">
      <c r="AA1596" s="7">
        <f t="shared" si="2"/>
        <v>42502</v>
      </c>
      <c r="AB1596" s="14"/>
      <c r="AC1596" s="14"/>
      <c r="AD1596" s="14"/>
      <c r="AE1596" s="14"/>
      <c r="AF1596" s="14"/>
      <c r="AG1596" s="14"/>
      <c r="AH1596" s="14"/>
      <c r="AI1596" s="14"/>
      <c r="AJ1596" s="14"/>
      <c r="AK1596" s="14"/>
      <c r="AL1596" s="14"/>
      <c r="AM1596" s="14"/>
    </row>
    <row r="1597" ht="14.25" customHeight="1">
      <c r="AA1597" s="7">
        <f t="shared" si="2"/>
        <v>42503</v>
      </c>
      <c r="AB1597" s="14"/>
      <c r="AC1597" s="14"/>
      <c r="AD1597" s="14"/>
      <c r="AE1597" s="14"/>
      <c r="AF1597" s="14"/>
      <c r="AG1597" s="14"/>
      <c r="AH1597" s="14"/>
      <c r="AI1597" s="14"/>
      <c r="AJ1597" s="14"/>
      <c r="AK1597" s="14"/>
      <c r="AL1597" s="14"/>
      <c r="AM1597" s="14"/>
    </row>
    <row r="1598" ht="14.25" customHeight="1">
      <c r="AA1598" s="7">
        <f t="shared" si="2"/>
        <v>42504</v>
      </c>
      <c r="AB1598" s="14"/>
      <c r="AC1598" s="14"/>
      <c r="AD1598" s="14"/>
      <c r="AE1598" s="14"/>
      <c r="AF1598" s="14"/>
      <c r="AG1598" s="14"/>
      <c r="AH1598" s="14"/>
      <c r="AI1598" s="14"/>
      <c r="AJ1598" s="14"/>
      <c r="AK1598" s="14"/>
      <c r="AL1598" s="14"/>
      <c r="AM1598" s="14"/>
    </row>
    <row r="1599" ht="14.25" customHeight="1">
      <c r="AA1599" s="7">
        <f t="shared" si="2"/>
        <v>42505</v>
      </c>
      <c r="AB1599" s="14"/>
      <c r="AC1599" s="14"/>
      <c r="AD1599" s="14"/>
      <c r="AE1599" s="14"/>
      <c r="AF1599" s="14"/>
      <c r="AG1599" s="14"/>
      <c r="AH1599" s="14"/>
      <c r="AI1599" s="14"/>
      <c r="AJ1599" s="14"/>
      <c r="AK1599" s="14"/>
      <c r="AL1599" s="14"/>
      <c r="AM1599" s="14"/>
    </row>
    <row r="1600" ht="14.25" customHeight="1">
      <c r="AA1600" s="7">
        <f t="shared" si="2"/>
        <v>42506</v>
      </c>
      <c r="AB1600" s="14"/>
      <c r="AC1600" s="14"/>
      <c r="AD1600" s="14"/>
      <c r="AE1600" s="14"/>
      <c r="AF1600" s="14"/>
      <c r="AG1600" s="14"/>
      <c r="AH1600" s="14"/>
      <c r="AI1600" s="14"/>
      <c r="AJ1600" s="14"/>
      <c r="AK1600" s="14"/>
      <c r="AL1600" s="14"/>
      <c r="AM1600" s="14"/>
    </row>
    <row r="1601" ht="14.25" customHeight="1">
      <c r="AA1601" s="7">
        <f t="shared" si="2"/>
        <v>42507</v>
      </c>
      <c r="AB1601" s="14"/>
      <c r="AC1601" s="14"/>
      <c r="AD1601" s="14"/>
      <c r="AE1601" s="14"/>
      <c r="AF1601" s="14"/>
      <c r="AG1601" s="14"/>
      <c r="AH1601" s="14"/>
      <c r="AI1601" s="14"/>
      <c r="AJ1601" s="14"/>
      <c r="AK1601" s="14"/>
      <c r="AL1601" s="14"/>
      <c r="AM1601" s="14"/>
    </row>
    <row r="1602" ht="14.25" customHeight="1">
      <c r="AA1602" s="7">
        <f t="shared" si="2"/>
        <v>42508</v>
      </c>
      <c r="AB1602" s="14"/>
      <c r="AC1602" s="14"/>
      <c r="AD1602" s="14"/>
      <c r="AE1602" s="14"/>
      <c r="AF1602" s="14"/>
      <c r="AG1602" s="14"/>
      <c r="AH1602" s="14"/>
      <c r="AI1602" s="14"/>
      <c r="AJ1602" s="14"/>
      <c r="AK1602" s="14"/>
      <c r="AL1602" s="14"/>
      <c r="AM1602" s="14"/>
    </row>
    <row r="1603" ht="14.25" customHeight="1">
      <c r="AA1603" s="7">
        <f t="shared" si="2"/>
        <v>42509</v>
      </c>
      <c r="AB1603" s="14"/>
      <c r="AC1603" s="14"/>
      <c r="AD1603" s="14"/>
      <c r="AE1603" s="14"/>
      <c r="AF1603" s="14"/>
      <c r="AG1603" s="14"/>
      <c r="AH1603" s="14"/>
      <c r="AI1603" s="14"/>
      <c r="AJ1603" s="14"/>
      <c r="AK1603" s="14"/>
      <c r="AL1603" s="14"/>
      <c r="AM1603" s="14"/>
    </row>
    <row r="1604" ht="14.25" customHeight="1">
      <c r="AA1604" s="7">
        <f t="shared" si="2"/>
        <v>42510</v>
      </c>
      <c r="AB1604" s="14"/>
      <c r="AC1604" s="14"/>
      <c r="AD1604" s="14"/>
      <c r="AE1604" s="14"/>
      <c r="AF1604" s="14"/>
      <c r="AG1604" s="14"/>
      <c r="AH1604" s="14"/>
      <c r="AI1604" s="14"/>
      <c r="AJ1604" s="14"/>
      <c r="AK1604" s="14"/>
      <c r="AL1604" s="14"/>
      <c r="AM1604" s="14"/>
    </row>
    <row r="1605" ht="14.25" customHeight="1">
      <c r="AA1605" s="7">
        <f t="shared" si="2"/>
        <v>42511</v>
      </c>
      <c r="AB1605" s="14"/>
      <c r="AC1605" s="14"/>
      <c r="AD1605" s="14"/>
      <c r="AE1605" s="14"/>
      <c r="AF1605" s="14"/>
      <c r="AG1605" s="14"/>
      <c r="AH1605" s="14"/>
      <c r="AI1605" s="14"/>
      <c r="AJ1605" s="14"/>
      <c r="AK1605" s="14"/>
      <c r="AL1605" s="14"/>
      <c r="AM1605" s="14"/>
    </row>
    <row r="1606" ht="14.25" customHeight="1">
      <c r="AA1606" s="7">
        <f t="shared" si="2"/>
        <v>42512</v>
      </c>
      <c r="AB1606" s="14"/>
      <c r="AC1606" s="14"/>
      <c r="AD1606" s="14"/>
      <c r="AE1606" s="14"/>
      <c r="AF1606" s="14"/>
      <c r="AG1606" s="14"/>
      <c r="AH1606" s="14"/>
      <c r="AI1606" s="14"/>
      <c r="AJ1606" s="14"/>
      <c r="AK1606" s="14"/>
      <c r="AL1606" s="14"/>
      <c r="AM1606" s="14"/>
    </row>
    <row r="1607" ht="14.25" customHeight="1">
      <c r="AA1607" s="7">
        <f t="shared" si="2"/>
        <v>42513</v>
      </c>
      <c r="AB1607" s="14"/>
      <c r="AC1607" s="14"/>
      <c r="AD1607" s="14"/>
      <c r="AE1607" s="14"/>
      <c r="AF1607" s="14"/>
      <c r="AG1607" s="14"/>
      <c r="AH1607" s="14"/>
      <c r="AI1607" s="14"/>
      <c r="AJ1607" s="14"/>
      <c r="AK1607" s="14"/>
      <c r="AL1607" s="14"/>
      <c r="AM1607" s="14"/>
    </row>
    <row r="1608" ht="14.25" customHeight="1">
      <c r="AA1608" s="7">
        <f t="shared" si="2"/>
        <v>42514</v>
      </c>
      <c r="AB1608" s="14"/>
      <c r="AC1608" s="14"/>
      <c r="AD1608" s="14"/>
      <c r="AE1608" s="14"/>
      <c r="AF1608" s="14"/>
      <c r="AG1608" s="14"/>
      <c r="AH1608" s="14"/>
      <c r="AI1608" s="14"/>
      <c r="AJ1608" s="14"/>
      <c r="AK1608" s="14"/>
      <c r="AL1608" s="14"/>
      <c r="AM1608" s="14"/>
    </row>
    <row r="1609" ht="14.25" customHeight="1">
      <c r="AA1609" s="7">
        <f t="shared" si="2"/>
        <v>42515</v>
      </c>
      <c r="AB1609" s="14"/>
      <c r="AC1609" s="14"/>
      <c r="AD1609" s="14"/>
      <c r="AE1609" s="14"/>
      <c r="AF1609" s="14"/>
      <c r="AG1609" s="14"/>
      <c r="AH1609" s="14"/>
      <c r="AI1609" s="14"/>
      <c r="AJ1609" s="14"/>
      <c r="AK1609" s="14"/>
      <c r="AL1609" s="14"/>
      <c r="AM1609" s="14"/>
    </row>
    <row r="1610" ht="14.25" customHeight="1">
      <c r="AA1610" s="7">
        <f t="shared" si="2"/>
        <v>42516</v>
      </c>
      <c r="AB1610" s="14"/>
      <c r="AC1610" s="14"/>
      <c r="AD1610" s="14"/>
      <c r="AE1610" s="14"/>
      <c r="AF1610" s="14"/>
      <c r="AG1610" s="14"/>
      <c r="AH1610" s="14"/>
      <c r="AI1610" s="14"/>
      <c r="AJ1610" s="14"/>
      <c r="AK1610" s="14"/>
      <c r="AL1610" s="14"/>
      <c r="AM1610" s="14"/>
    </row>
    <row r="1611" ht="14.25" customHeight="1">
      <c r="AA1611" s="7">
        <f t="shared" si="2"/>
        <v>42517</v>
      </c>
      <c r="AB1611" s="14"/>
      <c r="AC1611" s="14"/>
      <c r="AD1611" s="14"/>
      <c r="AE1611" s="14"/>
      <c r="AF1611" s="14"/>
      <c r="AG1611" s="14"/>
      <c r="AH1611" s="14"/>
      <c r="AI1611" s="14"/>
      <c r="AJ1611" s="14"/>
      <c r="AK1611" s="14"/>
      <c r="AL1611" s="14"/>
      <c r="AM1611" s="14"/>
    </row>
    <row r="1612" ht="14.25" customHeight="1">
      <c r="AA1612" s="7">
        <f t="shared" si="2"/>
        <v>42518</v>
      </c>
      <c r="AB1612" s="14"/>
      <c r="AC1612" s="14"/>
      <c r="AD1612" s="14"/>
      <c r="AE1612" s="14"/>
      <c r="AF1612" s="14"/>
      <c r="AG1612" s="14"/>
      <c r="AH1612" s="14"/>
      <c r="AI1612" s="14"/>
      <c r="AJ1612" s="14"/>
      <c r="AK1612" s="14"/>
      <c r="AL1612" s="14"/>
      <c r="AM1612" s="14"/>
    </row>
    <row r="1613" ht="14.25" customHeight="1">
      <c r="AA1613" s="7">
        <f t="shared" si="2"/>
        <v>42519</v>
      </c>
      <c r="AB1613" s="14"/>
      <c r="AC1613" s="14"/>
      <c r="AD1613" s="14"/>
      <c r="AE1613" s="14"/>
      <c r="AF1613" s="14"/>
      <c r="AG1613" s="14"/>
      <c r="AH1613" s="14"/>
      <c r="AI1613" s="14"/>
      <c r="AJ1613" s="14"/>
      <c r="AK1613" s="14"/>
      <c r="AL1613" s="14"/>
      <c r="AM1613" s="14"/>
    </row>
    <row r="1614" ht="14.25" customHeight="1">
      <c r="AA1614" s="7">
        <f t="shared" si="2"/>
        <v>42520</v>
      </c>
      <c r="AB1614" s="14"/>
      <c r="AC1614" s="14"/>
      <c r="AD1614" s="14"/>
      <c r="AE1614" s="14"/>
      <c r="AF1614" s="14"/>
      <c r="AG1614" s="14"/>
      <c r="AH1614" s="14"/>
      <c r="AI1614" s="14"/>
      <c r="AJ1614" s="14"/>
      <c r="AK1614" s="14"/>
      <c r="AL1614" s="14"/>
      <c r="AM1614" s="14"/>
    </row>
    <row r="1615" ht="14.25" customHeight="1">
      <c r="AA1615" s="7">
        <f t="shared" si="2"/>
        <v>42521</v>
      </c>
      <c r="AB1615" s="14"/>
      <c r="AC1615" s="14"/>
      <c r="AD1615" s="14"/>
      <c r="AE1615" s="14"/>
      <c r="AF1615" s="14"/>
      <c r="AG1615" s="14"/>
      <c r="AH1615" s="14"/>
      <c r="AI1615" s="14"/>
      <c r="AJ1615" s="14"/>
      <c r="AK1615" s="14"/>
      <c r="AL1615" s="14"/>
      <c r="AM1615" s="14"/>
    </row>
    <row r="1616" ht="14.25" customHeight="1">
      <c r="AA1616" s="7">
        <f t="shared" si="2"/>
        <v>42522</v>
      </c>
      <c r="AB1616" s="14"/>
      <c r="AC1616" s="14"/>
      <c r="AD1616" s="14"/>
      <c r="AE1616" s="14"/>
      <c r="AF1616" s="14"/>
      <c r="AG1616" s="14"/>
      <c r="AH1616" s="14"/>
      <c r="AI1616" s="14"/>
      <c r="AJ1616" s="14"/>
      <c r="AK1616" s="14"/>
      <c r="AL1616" s="14"/>
      <c r="AM1616" s="14"/>
    </row>
    <row r="1617" ht="14.25" customHeight="1">
      <c r="AA1617" s="7">
        <f t="shared" si="2"/>
        <v>42523</v>
      </c>
      <c r="AB1617" s="14"/>
      <c r="AC1617" s="14"/>
      <c r="AD1617" s="14"/>
      <c r="AE1617" s="14"/>
      <c r="AF1617" s="14"/>
      <c r="AG1617" s="14"/>
      <c r="AH1617" s="14"/>
      <c r="AI1617" s="14"/>
      <c r="AJ1617" s="14"/>
      <c r="AK1617" s="14"/>
      <c r="AL1617" s="14"/>
      <c r="AM1617" s="14"/>
    </row>
    <row r="1618" ht="14.25" customHeight="1">
      <c r="AA1618" s="7">
        <f t="shared" si="2"/>
        <v>42524</v>
      </c>
      <c r="AB1618" s="14"/>
      <c r="AC1618" s="14"/>
      <c r="AD1618" s="14"/>
      <c r="AE1618" s="14"/>
      <c r="AF1618" s="14"/>
      <c r="AG1618" s="14"/>
      <c r="AH1618" s="14"/>
      <c r="AI1618" s="14"/>
      <c r="AJ1618" s="14"/>
      <c r="AK1618" s="14"/>
      <c r="AL1618" s="14"/>
      <c r="AM1618" s="14"/>
    </row>
    <row r="1619" ht="14.25" customHeight="1">
      <c r="AA1619" s="7">
        <f t="shared" si="2"/>
        <v>42525</v>
      </c>
      <c r="AB1619" s="14"/>
      <c r="AC1619" s="14"/>
      <c r="AD1619" s="14"/>
      <c r="AE1619" s="14"/>
      <c r="AF1619" s="14"/>
      <c r="AG1619" s="14"/>
      <c r="AH1619" s="14"/>
      <c r="AI1619" s="14"/>
      <c r="AJ1619" s="14"/>
      <c r="AK1619" s="14"/>
      <c r="AL1619" s="14"/>
      <c r="AM1619" s="14"/>
    </row>
    <row r="1620" ht="14.25" customHeight="1">
      <c r="AA1620" s="7">
        <f t="shared" si="2"/>
        <v>42526</v>
      </c>
      <c r="AB1620" s="14"/>
      <c r="AC1620" s="14"/>
      <c r="AD1620" s="14"/>
      <c r="AE1620" s="14"/>
      <c r="AF1620" s="14"/>
      <c r="AG1620" s="14"/>
      <c r="AH1620" s="14"/>
      <c r="AI1620" s="14"/>
      <c r="AJ1620" s="14"/>
      <c r="AK1620" s="14"/>
      <c r="AL1620" s="14"/>
      <c r="AM1620" s="14"/>
    </row>
    <row r="1621" ht="14.25" customHeight="1">
      <c r="AA1621" s="7">
        <f t="shared" si="2"/>
        <v>42527</v>
      </c>
      <c r="AB1621" s="14"/>
      <c r="AC1621" s="14"/>
      <c r="AD1621" s="14"/>
      <c r="AE1621" s="14"/>
      <c r="AF1621" s="14"/>
      <c r="AG1621" s="14"/>
      <c r="AH1621" s="14"/>
      <c r="AI1621" s="14"/>
      <c r="AJ1621" s="14"/>
      <c r="AK1621" s="14"/>
      <c r="AL1621" s="14"/>
      <c r="AM1621" s="14"/>
    </row>
    <row r="1622" ht="14.25" customHeight="1">
      <c r="AA1622" s="7">
        <f t="shared" si="2"/>
        <v>42528</v>
      </c>
      <c r="AB1622" s="14"/>
      <c r="AC1622" s="14"/>
      <c r="AD1622" s="14"/>
      <c r="AE1622" s="14"/>
      <c r="AF1622" s="14"/>
      <c r="AG1622" s="14"/>
      <c r="AH1622" s="14"/>
      <c r="AI1622" s="14"/>
      <c r="AJ1622" s="14"/>
      <c r="AK1622" s="14"/>
      <c r="AL1622" s="14"/>
      <c r="AM1622" s="14"/>
    </row>
    <row r="1623" ht="14.25" customHeight="1">
      <c r="AA1623" s="7">
        <f t="shared" si="2"/>
        <v>42529</v>
      </c>
      <c r="AB1623" s="14"/>
      <c r="AC1623" s="14"/>
      <c r="AD1623" s="14"/>
      <c r="AE1623" s="14"/>
      <c r="AF1623" s="14"/>
      <c r="AG1623" s="14"/>
      <c r="AH1623" s="14"/>
      <c r="AI1623" s="14"/>
      <c r="AJ1623" s="14"/>
      <c r="AK1623" s="14"/>
      <c r="AL1623" s="14"/>
      <c r="AM1623" s="14"/>
    </row>
    <row r="1624" ht="14.25" customHeight="1">
      <c r="AA1624" s="7">
        <f t="shared" si="2"/>
        <v>42530</v>
      </c>
      <c r="AB1624" s="14"/>
      <c r="AC1624" s="14"/>
      <c r="AD1624" s="14"/>
      <c r="AE1624" s="14"/>
      <c r="AF1624" s="14"/>
      <c r="AG1624" s="14"/>
      <c r="AH1624" s="14"/>
      <c r="AI1624" s="14"/>
      <c r="AJ1624" s="14"/>
      <c r="AK1624" s="14"/>
      <c r="AL1624" s="14"/>
      <c r="AM1624" s="14"/>
    </row>
    <row r="1625" ht="14.25" customHeight="1">
      <c r="AA1625" s="7">
        <f t="shared" si="2"/>
        <v>42531</v>
      </c>
      <c r="AB1625" s="14"/>
      <c r="AC1625" s="14"/>
      <c r="AD1625" s="14"/>
      <c r="AE1625" s="14"/>
      <c r="AF1625" s="14"/>
      <c r="AG1625" s="14"/>
      <c r="AH1625" s="14"/>
      <c r="AI1625" s="14"/>
      <c r="AJ1625" s="14"/>
      <c r="AK1625" s="14"/>
      <c r="AL1625" s="14"/>
      <c r="AM1625" s="14"/>
    </row>
    <row r="1626" ht="14.25" customHeight="1">
      <c r="AA1626" s="7">
        <f t="shared" si="2"/>
        <v>42532</v>
      </c>
      <c r="AB1626" s="14"/>
      <c r="AC1626" s="14"/>
      <c r="AD1626" s="14"/>
      <c r="AE1626" s="14"/>
      <c r="AF1626" s="14"/>
      <c r="AG1626" s="14"/>
      <c r="AH1626" s="14"/>
      <c r="AI1626" s="14"/>
      <c r="AJ1626" s="14"/>
      <c r="AK1626" s="14"/>
      <c r="AL1626" s="14"/>
      <c r="AM1626" s="14"/>
    </row>
    <row r="1627" ht="14.25" customHeight="1">
      <c r="AA1627" s="7">
        <f t="shared" si="2"/>
        <v>42533</v>
      </c>
      <c r="AB1627" s="14"/>
      <c r="AC1627" s="14"/>
      <c r="AD1627" s="14"/>
      <c r="AE1627" s="14"/>
      <c r="AF1627" s="14"/>
      <c r="AG1627" s="14"/>
      <c r="AH1627" s="14"/>
      <c r="AI1627" s="14"/>
      <c r="AJ1627" s="14"/>
      <c r="AK1627" s="14"/>
      <c r="AL1627" s="14"/>
      <c r="AM1627" s="14"/>
    </row>
    <row r="1628" ht="14.25" customHeight="1">
      <c r="AA1628" s="7">
        <f t="shared" si="2"/>
        <v>42534</v>
      </c>
      <c r="AB1628" s="14"/>
      <c r="AC1628" s="14"/>
      <c r="AD1628" s="14"/>
      <c r="AE1628" s="14"/>
      <c r="AF1628" s="14"/>
      <c r="AG1628" s="14"/>
      <c r="AH1628" s="14"/>
      <c r="AI1628" s="14"/>
      <c r="AJ1628" s="14"/>
      <c r="AK1628" s="14"/>
      <c r="AL1628" s="14"/>
      <c r="AM1628" s="14"/>
    </row>
    <row r="1629" ht="14.25" customHeight="1">
      <c r="AA1629" s="7">
        <f t="shared" si="2"/>
        <v>42535</v>
      </c>
      <c r="AB1629" s="14"/>
      <c r="AC1629" s="14"/>
      <c r="AD1629" s="14"/>
      <c r="AE1629" s="14"/>
      <c r="AF1629" s="14"/>
      <c r="AG1629" s="14"/>
      <c r="AH1629" s="14"/>
      <c r="AI1629" s="14"/>
      <c r="AJ1629" s="14"/>
      <c r="AK1629" s="14"/>
      <c r="AL1629" s="14"/>
      <c r="AM1629" s="14"/>
    </row>
    <row r="1630" ht="14.25" customHeight="1">
      <c r="AA1630" s="7">
        <f t="shared" si="2"/>
        <v>42536</v>
      </c>
      <c r="AB1630" s="14"/>
      <c r="AC1630" s="14"/>
      <c r="AD1630" s="14"/>
      <c r="AE1630" s="14"/>
      <c r="AF1630" s="14"/>
      <c r="AG1630" s="14"/>
      <c r="AH1630" s="14"/>
      <c r="AI1630" s="14"/>
      <c r="AJ1630" s="14"/>
      <c r="AK1630" s="14"/>
      <c r="AL1630" s="14"/>
      <c r="AM1630" s="14"/>
    </row>
    <row r="1631" ht="14.25" customHeight="1">
      <c r="AA1631" s="7">
        <f t="shared" si="2"/>
        <v>42537</v>
      </c>
      <c r="AB1631" s="14"/>
      <c r="AC1631" s="14"/>
      <c r="AD1631" s="14"/>
      <c r="AE1631" s="14"/>
      <c r="AF1631" s="14"/>
      <c r="AG1631" s="14"/>
      <c r="AH1631" s="14"/>
      <c r="AI1631" s="14"/>
      <c r="AJ1631" s="14"/>
      <c r="AK1631" s="14"/>
      <c r="AL1631" s="14"/>
      <c r="AM1631" s="14"/>
    </row>
    <row r="1632" ht="14.25" customHeight="1">
      <c r="AA1632" s="7">
        <f t="shared" si="2"/>
        <v>42538</v>
      </c>
      <c r="AB1632" s="14"/>
      <c r="AC1632" s="14"/>
      <c r="AD1632" s="14"/>
      <c r="AE1632" s="14"/>
      <c r="AF1632" s="14"/>
      <c r="AG1632" s="14"/>
      <c r="AH1632" s="14"/>
      <c r="AI1632" s="14"/>
      <c r="AJ1632" s="14"/>
      <c r="AK1632" s="14"/>
      <c r="AL1632" s="14"/>
      <c r="AM1632" s="14"/>
    </row>
    <row r="1633" ht="14.25" customHeight="1">
      <c r="AA1633" s="7">
        <f t="shared" si="2"/>
        <v>42539</v>
      </c>
      <c r="AB1633" s="14"/>
      <c r="AC1633" s="14"/>
      <c r="AD1633" s="14"/>
      <c r="AE1633" s="14"/>
      <c r="AF1633" s="14"/>
      <c r="AG1633" s="14"/>
      <c r="AH1633" s="14"/>
      <c r="AI1633" s="14"/>
      <c r="AJ1633" s="14"/>
      <c r="AK1633" s="14"/>
      <c r="AL1633" s="14"/>
      <c r="AM1633" s="14"/>
    </row>
    <row r="1634" ht="14.25" customHeight="1">
      <c r="AA1634" s="7">
        <f t="shared" si="2"/>
        <v>42540</v>
      </c>
      <c r="AB1634" s="14"/>
      <c r="AC1634" s="14"/>
      <c r="AD1634" s="14"/>
      <c r="AE1634" s="14"/>
      <c r="AF1634" s="14"/>
      <c r="AG1634" s="14"/>
      <c r="AH1634" s="14"/>
      <c r="AI1634" s="14"/>
      <c r="AJ1634" s="14"/>
      <c r="AK1634" s="14"/>
      <c r="AL1634" s="14"/>
      <c r="AM1634" s="14"/>
    </row>
    <row r="1635" ht="14.25" customHeight="1">
      <c r="AA1635" s="7">
        <f t="shared" si="2"/>
        <v>42541</v>
      </c>
      <c r="AB1635" s="14"/>
      <c r="AC1635" s="14"/>
      <c r="AD1635" s="14"/>
      <c r="AE1635" s="14"/>
      <c r="AF1635" s="14"/>
      <c r="AG1635" s="14"/>
      <c r="AH1635" s="14"/>
      <c r="AI1635" s="14"/>
      <c r="AJ1635" s="14"/>
      <c r="AK1635" s="14"/>
      <c r="AL1635" s="14"/>
      <c r="AM1635" s="14"/>
    </row>
    <row r="1636" ht="14.25" customHeight="1">
      <c r="AA1636" s="7">
        <f t="shared" si="2"/>
        <v>42542</v>
      </c>
      <c r="AB1636" s="14"/>
      <c r="AC1636" s="14"/>
      <c r="AD1636" s="14"/>
      <c r="AE1636" s="14"/>
      <c r="AF1636" s="14"/>
      <c r="AG1636" s="14"/>
      <c r="AH1636" s="14"/>
      <c r="AI1636" s="14"/>
      <c r="AJ1636" s="14"/>
      <c r="AK1636" s="14"/>
      <c r="AL1636" s="14"/>
      <c r="AM1636" s="14"/>
    </row>
    <row r="1637" ht="14.25" customHeight="1">
      <c r="AA1637" s="7">
        <f t="shared" si="2"/>
        <v>42543</v>
      </c>
      <c r="AB1637" s="14"/>
      <c r="AC1637" s="14"/>
      <c r="AD1637" s="14"/>
      <c r="AE1637" s="14"/>
      <c r="AF1637" s="14"/>
      <c r="AG1637" s="14"/>
      <c r="AH1637" s="14"/>
      <c r="AI1637" s="14"/>
      <c r="AJ1637" s="14"/>
      <c r="AK1637" s="14"/>
      <c r="AL1637" s="14"/>
      <c r="AM1637" s="14"/>
    </row>
    <row r="1638" ht="14.25" customHeight="1">
      <c r="AA1638" s="7">
        <f t="shared" si="2"/>
        <v>42544</v>
      </c>
      <c r="AB1638" s="14"/>
      <c r="AC1638" s="14"/>
      <c r="AD1638" s="14"/>
      <c r="AE1638" s="14"/>
      <c r="AF1638" s="14"/>
      <c r="AG1638" s="14"/>
      <c r="AH1638" s="14"/>
      <c r="AI1638" s="14"/>
      <c r="AJ1638" s="14"/>
      <c r="AK1638" s="14"/>
      <c r="AL1638" s="14"/>
      <c r="AM1638" s="14"/>
    </row>
    <row r="1639" ht="14.25" customHeight="1">
      <c r="AA1639" s="7">
        <f t="shared" si="2"/>
        <v>42545</v>
      </c>
      <c r="AB1639" s="14"/>
      <c r="AC1639" s="14"/>
      <c r="AD1639" s="14"/>
      <c r="AE1639" s="14"/>
      <c r="AF1639" s="14"/>
      <c r="AG1639" s="14"/>
      <c r="AH1639" s="14"/>
      <c r="AI1639" s="14"/>
      <c r="AJ1639" s="14"/>
      <c r="AK1639" s="14"/>
      <c r="AL1639" s="14"/>
      <c r="AM1639" s="14"/>
    </row>
    <row r="1640" ht="14.25" customHeight="1">
      <c r="AA1640" s="7">
        <f t="shared" si="2"/>
        <v>42546</v>
      </c>
      <c r="AB1640" s="14"/>
      <c r="AC1640" s="14"/>
      <c r="AD1640" s="14"/>
      <c r="AE1640" s="14"/>
      <c r="AF1640" s="14"/>
      <c r="AG1640" s="14"/>
      <c r="AH1640" s="14"/>
      <c r="AI1640" s="14"/>
      <c r="AJ1640" s="14"/>
      <c r="AK1640" s="14"/>
      <c r="AL1640" s="14"/>
      <c r="AM1640" s="14"/>
    </row>
    <row r="1641" ht="14.25" customHeight="1">
      <c r="AA1641" s="7">
        <f t="shared" si="2"/>
        <v>42547</v>
      </c>
      <c r="AB1641" s="14"/>
      <c r="AC1641" s="14"/>
      <c r="AD1641" s="14"/>
      <c r="AE1641" s="14"/>
      <c r="AF1641" s="14"/>
      <c r="AG1641" s="14"/>
      <c r="AH1641" s="14"/>
      <c r="AI1641" s="14"/>
      <c r="AJ1641" s="14"/>
      <c r="AK1641" s="14"/>
      <c r="AL1641" s="14"/>
      <c r="AM1641" s="14"/>
    </row>
    <row r="1642" ht="14.25" customHeight="1">
      <c r="AA1642" s="7">
        <f t="shared" si="2"/>
        <v>42548</v>
      </c>
      <c r="AB1642" s="14"/>
      <c r="AC1642" s="14"/>
      <c r="AD1642" s="14"/>
      <c r="AE1642" s="14"/>
      <c r="AF1642" s="14"/>
      <c r="AG1642" s="14"/>
      <c r="AH1642" s="14"/>
      <c r="AI1642" s="14"/>
      <c r="AJ1642" s="14"/>
      <c r="AK1642" s="14"/>
      <c r="AL1642" s="14"/>
      <c r="AM1642" s="14"/>
    </row>
    <row r="1643" ht="14.25" customHeight="1">
      <c r="AA1643" s="7">
        <f t="shared" si="2"/>
        <v>42549</v>
      </c>
      <c r="AB1643" s="14"/>
      <c r="AC1643" s="14"/>
      <c r="AD1643" s="14"/>
      <c r="AE1643" s="14"/>
      <c r="AF1643" s="14"/>
      <c r="AG1643" s="14"/>
      <c r="AH1643" s="14"/>
      <c r="AI1643" s="14"/>
      <c r="AJ1643" s="14"/>
      <c r="AK1643" s="14"/>
      <c r="AL1643" s="14"/>
      <c r="AM1643" s="14"/>
    </row>
    <row r="1644" ht="14.25" customHeight="1">
      <c r="AA1644" s="7">
        <f t="shared" si="2"/>
        <v>42550</v>
      </c>
      <c r="AB1644" s="14"/>
      <c r="AC1644" s="14"/>
      <c r="AD1644" s="14"/>
      <c r="AE1644" s="14"/>
      <c r="AF1644" s="14"/>
      <c r="AG1644" s="14"/>
      <c r="AH1644" s="14"/>
      <c r="AI1644" s="14"/>
      <c r="AJ1644" s="14"/>
      <c r="AK1644" s="14"/>
      <c r="AL1644" s="14"/>
      <c r="AM1644" s="14"/>
    </row>
    <row r="1645" ht="14.25" customHeight="1">
      <c r="AA1645" s="7">
        <f t="shared" si="2"/>
        <v>42551</v>
      </c>
      <c r="AB1645" s="14"/>
      <c r="AC1645" s="14"/>
      <c r="AD1645" s="14"/>
      <c r="AE1645" s="14"/>
      <c r="AF1645" s="14"/>
      <c r="AG1645" s="14"/>
      <c r="AH1645" s="14"/>
      <c r="AI1645" s="14"/>
      <c r="AJ1645" s="14"/>
      <c r="AK1645" s="14"/>
      <c r="AL1645" s="14"/>
      <c r="AM1645" s="14"/>
    </row>
    <row r="1646" ht="14.25" customHeight="1">
      <c r="AA1646" s="7">
        <f t="shared" si="2"/>
        <v>42552</v>
      </c>
      <c r="AB1646" s="14"/>
      <c r="AC1646" s="14"/>
      <c r="AD1646" s="14"/>
      <c r="AE1646" s="14"/>
      <c r="AF1646" s="14"/>
      <c r="AG1646" s="14"/>
      <c r="AH1646" s="14"/>
      <c r="AI1646" s="14"/>
      <c r="AJ1646" s="14"/>
      <c r="AK1646" s="14"/>
      <c r="AL1646" s="14"/>
      <c r="AM1646" s="14"/>
    </row>
    <row r="1647" ht="14.25" customHeight="1">
      <c r="AA1647" s="7">
        <f t="shared" si="2"/>
        <v>42553</v>
      </c>
      <c r="AB1647" s="14"/>
      <c r="AC1647" s="14"/>
      <c r="AD1647" s="14"/>
      <c r="AE1647" s="14"/>
      <c r="AF1647" s="14"/>
      <c r="AG1647" s="14"/>
      <c r="AH1647" s="14"/>
      <c r="AI1647" s="14"/>
      <c r="AJ1647" s="14"/>
      <c r="AK1647" s="14"/>
      <c r="AL1647" s="14"/>
      <c r="AM1647" s="14"/>
    </row>
    <row r="1648" ht="14.25" customHeight="1">
      <c r="AA1648" s="7">
        <f t="shared" si="2"/>
        <v>42554</v>
      </c>
      <c r="AB1648" s="14"/>
      <c r="AC1648" s="14"/>
      <c r="AD1648" s="14"/>
      <c r="AE1648" s="14"/>
      <c r="AF1648" s="14"/>
      <c r="AG1648" s="14"/>
      <c r="AH1648" s="14"/>
      <c r="AI1648" s="14"/>
      <c r="AJ1648" s="14"/>
      <c r="AK1648" s="14"/>
      <c r="AL1648" s="14"/>
      <c r="AM1648" s="14"/>
    </row>
    <row r="1649" ht="14.25" customHeight="1">
      <c r="AA1649" s="7">
        <f t="shared" si="2"/>
        <v>42555</v>
      </c>
      <c r="AB1649" s="14"/>
      <c r="AC1649" s="14"/>
      <c r="AD1649" s="14"/>
      <c r="AE1649" s="14"/>
      <c r="AF1649" s="14"/>
      <c r="AG1649" s="14"/>
      <c r="AH1649" s="14"/>
      <c r="AI1649" s="14"/>
      <c r="AJ1649" s="14"/>
      <c r="AK1649" s="14"/>
      <c r="AL1649" s="14"/>
      <c r="AM1649" s="14"/>
    </row>
    <row r="1650" ht="14.25" customHeight="1">
      <c r="AA1650" s="7">
        <f t="shared" si="2"/>
        <v>42556</v>
      </c>
      <c r="AB1650" s="14"/>
      <c r="AC1650" s="14"/>
      <c r="AD1650" s="14"/>
      <c r="AE1650" s="14"/>
      <c r="AF1650" s="14"/>
      <c r="AG1650" s="14"/>
      <c r="AH1650" s="14"/>
      <c r="AI1650" s="14"/>
      <c r="AJ1650" s="14"/>
      <c r="AK1650" s="14"/>
      <c r="AL1650" s="14"/>
      <c r="AM1650" s="14"/>
    </row>
    <row r="1651" ht="14.25" customHeight="1">
      <c r="AA1651" s="7">
        <f t="shared" si="2"/>
        <v>42557</v>
      </c>
      <c r="AB1651" s="14"/>
      <c r="AC1651" s="14"/>
      <c r="AD1651" s="14"/>
      <c r="AE1651" s="14"/>
      <c r="AF1651" s="14"/>
      <c r="AG1651" s="14"/>
      <c r="AH1651" s="14"/>
      <c r="AI1651" s="14"/>
      <c r="AJ1651" s="14"/>
      <c r="AK1651" s="14"/>
      <c r="AL1651" s="14"/>
      <c r="AM1651" s="14"/>
    </row>
    <row r="1652" ht="14.25" customHeight="1">
      <c r="AA1652" s="7">
        <f t="shared" si="2"/>
        <v>42558</v>
      </c>
      <c r="AB1652" s="14"/>
      <c r="AC1652" s="14"/>
      <c r="AD1652" s="14"/>
      <c r="AE1652" s="14"/>
      <c r="AF1652" s="14"/>
      <c r="AG1652" s="14"/>
      <c r="AH1652" s="14"/>
      <c r="AI1652" s="14"/>
      <c r="AJ1652" s="14"/>
      <c r="AK1652" s="14"/>
      <c r="AL1652" s="14"/>
      <c r="AM1652" s="14"/>
    </row>
    <row r="1653" ht="14.25" customHeight="1">
      <c r="AA1653" s="7">
        <f t="shared" si="2"/>
        <v>42559</v>
      </c>
      <c r="AB1653" s="14"/>
      <c r="AC1653" s="14"/>
      <c r="AD1653" s="14"/>
      <c r="AE1653" s="14"/>
      <c r="AF1653" s="14"/>
      <c r="AG1653" s="14"/>
      <c r="AH1653" s="14"/>
      <c r="AI1653" s="14"/>
      <c r="AJ1653" s="14"/>
      <c r="AK1653" s="14"/>
      <c r="AL1653" s="14"/>
      <c r="AM1653" s="14"/>
    </row>
    <row r="1654" ht="14.25" customHeight="1">
      <c r="AA1654" s="7">
        <f t="shared" si="2"/>
        <v>42560</v>
      </c>
      <c r="AB1654" s="14"/>
      <c r="AC1654" s="14"/>
      <c r="AD1654" s="14"/>
      <c r="AE1654" s="14"/>
      <c r="AF1654" s="14"/>
      <c r="AG1654" s="14"/>
      <c r="AH1654" s="14"/>
      <c r="AI1654" s="14"/>
      <c r="AJ1654" s="14"/>
      <c r="AK1654" s="14"/>
      <c r="AL1654" s="14"/>
      <c r="AM1654" s="14"/>
    </row>
    <row r="1655" ht="14.25" customHeight="1">
      <c r="AA1655" s="7">
        <f t="shared" si="2"/>
        <v>42561</v>
      </c>
      <c r="AB1655" s="14"/>
      <c r="AC1655" s="14"/>
      <c r="AD1655" s="14"/>
      <c r="AE1655" s="14"/>
      <c r="AF1655" s="14"/>
      <c r="AG1655" s="14"/>
      <c r="AH1655" s="14"/>
      <c r="AI1655" s="14"/>
      <c r="AJ1655" s="14"/>
      <c r="AK1655" s="14"/>
      <c r="AL1655" s="14"/>
      <c r="AM1655" s="14"/>
    </row>
    <row r="1656" ht="14.25" customHeight="1">
      <c r="AA1656" s="7">
        <f t="shared" si="2"/>
        <v>42562</v>
      </c>
      <c r="AB1656" s="14"/>
      <c r="AC1656" s="14"/>
      <c r="AD1656" s="14"/>
      <c r="AE1656" s="14"/>
      <c r="AF1656" s="14"/>
      <c r="AG1656" s="14"/>
      <c r="AH1656" s="14"/>
      <c r="AI1656" s="14"/>
      <c r="AJ1656" s="14"/>
      <c r="AK1656" s="14"/>
      <c r="AL1656" s="14"/>
      <c r="AM1656" s="14"/>
    </row>
    <row r="1657" ht="14.25" customHeight="1">
      <c r="AA1657" s="7">
        <f t="shared" si="2"/>
        <v>42563</v>
      </c>
      <c r="AB1657" s="14"/>
      <c r="AC1657" s="14"/>
      <c r="AD1657" s="14"/>
      <c r="AE1657" s="14"/>
      <c r="AF1657" s="14"/>
      <c r="AG1657" s="14"/>
      <c r="AH1657" s="14"/>
      <c r="AI1657" s="14"/>
      <c r="AJ1657" s="14"/>
      <c r="AK1657" s="14"/>
      <c r="AL1657" s="14"/>
      <c r="AM1657" s="14"/>
    </row>
    <row r="1658" ht="14.25" customHeight="1">
      <c r="AA1658" s="7">
        <f t="shared" si="2"/>
        <v>42564</v>
      </c>
      <c r="AB1658" s="14"/>
      <c r="AC1658" s="14"/>
      <c r="AD1658" s="14"/>
      <c r="AE1658" s="14"/>
      <c r="AF1658" s="14"/>
      <c r="AG1658" s="14"/>
      <c r="AH1658" s="14"/>
      <c r="AI1658" s="14"/>
      <c r="AJ1658" s="14"/>
      <c r="AK1658" s="14"/>
      <c r="AL1658" s="14"/>
      <c r="AM1658" s="14"/>
    </row>
    <row r="1659" ht="14.25" customHeight="1">
      <c r="AA1659" s="7">
        <f t="shared" si="2"/>
        <v>42565</v>
      </c>
      <c r="AB1659" s="14"/>
      <c r="AC1659" s="14"/>
      <c r="AD1659" s="14"/>
      <c r="AE1659" s="14"/>
      <c r="AF1659" s="14"/>
      <c r="AG1659" s="14"/>
      <c r="AH1659" s="14"/>
      <c r="AI1659" s="14"/>
      <c r="AJ1659" s="14"/>
      <c r="AK1659" s="14"/>
      <c r="AL1659" s="14"/>
      <c r="AM1659" s="14"/>
    </row>
    <row r="1660" ht="14.25" customHeight="1">
      <c r="AA1660" s="7">
        <f t="shared" si="2"/>
        <v>42566</v>
      </c>
      <c r="AB1660" s="14"/>
      <c r="AC1660" s="14"/>
      <c r="AD1660" s="14"/>
      <c r="AE1660" s="14"/>
      <c r="AF1660" s="14"/>
      <c r="AG1660" s="14"/>
      <c r="AH1660" s="14"/>
      <c r="AI1660" s="14"/>
      <c r="AJ1660" s="14"/>
      <c r="AK1660" s="14"/>
      <c r="AL1660" s="14"/>
      <c r="AM1660" s="14"/>
    </row>
    <row r="1661" ht="14.25" customHeight="1">
      <c r="AA1661" s="7">
        <f t="shared" si="2"/>
        <v>42567</v>
      </c>
      <c r="AB1661" s="14"/>
      <c r="AC1661" s="14"/>
      <c r="AD1661" s="14"/>
      <c r="AE1661" s="14"/>
      <c r="AF1661" s="14"/>
      <c r="AG1661" s="14"/>
      <c r="AH1661" s="14"/>
      <c r="AI1661" s="14"/>
      <c r="AJ1661" s="14"/>
      <c r="AK1661" s="14"/>
      <c r="AL1661" s="14"/>
      <c r="AM1661" s="14"/>
    </row>
    <row r="1662" ht="14.25" customHeight="1">
      <c r="AA1662" s="7">
        <f t="shared" si="2"/>
        <v>42568</v>
      </c>
      <c r="AB1662" s="14"/>
      <c r="AC1662" s="14"/>
      <c r="AD1662" s="14"/>
      <c r="AE1662" s="14"/>
      <c r="AF1662" s="14"/>
      <c r="AG1662" s="14"/>
      <c r="AH1662" s="14"/>
      <c r="AI1662" s="14"/>
      <c r="AJ1662" s="14"/>
      <c r="AK1662" s="14"/>
      <c r="AL1662" s="14"/>
      <c r="AM1662" s="14"/>
    </row>
    <row r="1663" ht="14.25" customHeight="1">
      <c r="AA1663" s="7">
        <f t="shared" si="2"/>
        <v>42569</v>
      </c>
      <c r="AB1663" s="14"/>
      <c r="AC1663" s="14"/>
      <c r="AD1663" s="14"/>
      <c r="AE1663" s="14"/>
      <c r="AF1663" s="14"/>
      <c r="AG1663" s="14"/>
      <c r="AH1663" s="14"/>
      <c r="AI1663" s="14"/>
      <c r="AJ1663" s="14"/>
      <c r="AK1663" s="14"/>
      <c r="AL1663" s="14"/>
      <c r="AM1663" s="14"/>
    </row>
    <row r="1664" ht="14.25" customHeight="1">
      <c r="AA1664" s="7">
        <f t="shared" si="2"/>
        <v>42570</v>
      </c>
      <c r="AB1664" s="14"/>
      <c r="AC1664" s="14"/>
      <c r="AD1664" s="14"/>
      <c r="AE1664" s="14"/>
      <c r="AF1664" s="14"/>
      <c r="AG1664" s="14"/>
      <c r="AH1664" s="14"/>
      <c r="AI1664" s="14"/>
      <c r="AJ1664" s="14"/>
      <c r="AK1664" s="14"/>
      <c r="AL1664" s="14"/>
      <c r="AM1664" s="14"/>
    </row>
    <row r="1665" ht="14.25" customHeight="1">
      <c r="AA1665" s="7">
        <f t="shared" si="2"/>
        <v>42571</v>
      </c>
      <c r="AB1665" s="14"/>
      <c r="AC1665" s="14"/>
      <c r="AD1665" s="14"/>
      <c r="AE1665" s="14"/>
      <c r="AF1665" s="14"/>
      <c r="AG1665" s="14"/>
      <c r="AH1665" s="14"/>
      <c r="AI1665" s="14"/>
      <c r="AJ1665" s="14"/>
      <c r="AK1665" s="14"/>
      <c r="AL1665" s="14"/>
      <c r="AM1665" s="14"/>
    </row>
    <row r="1666" ht="14.25" customHeight="1">
      <c r="AA1666" s="7">
        <f t="shared" si="2"/>
        <v>42572</v>
      </c>
      <c r="AB1666" s="14"/>
      <c r="AC1666" s="14"/>
      <c r="AD1666" s="14"/>
      <c r="AE1666" s="14"/>
      <c r="AF1666" s="14"/>
      <c r="AG1666" s="14"/>
      <c r="AH1666" s="14"/>
      <c r="AI1666" s="14"/>
      <c r="AJ1666" s="14"/>
      <c r="AK1666" s="14"/>
      <c r="AL1666" s="14"/>
      <c r="AM1666" s="14"/>
    </row>
    <row r="1667" ht="14.25" customHeight="1">
      <c r="AA1667" s="7">
        <f t="shared" si="2"/>
        <v>42573</v>
      </c>
      <c r="AB1667" s="14"/>
      <c r="AC1667" s="14"/>
      <c r="AD1667" s="14"/>
      <c r="AE1667" s="14"/>
      <c r="AF1667" s="14"/>
      <c r="AG1667" s="14"/>
      <c r="AH1667" s="14"/>
      <c r="AI1667" s="14"/>
      <c r="AJ1667" s="14"/>
      <c r="AK1667" s="14"/>
      <c r="AL1667" s="14"/>
      <c r="AM1667" s="14"/>
    </row>
    <row r="1668" ht="14.25" customHeight="1">
      <c r="AA1668" s="7">
        <f t="shared" si="2"/>
        <v>42574</v>
      </c>
      <c r="AB1668" s="14"/>
      <c r="AC1668" s="14"/>
      <c r="AD1668" s="14"/>
      <c r="AE1668" s="14"/>
      <c r="AF1668" s="14"/>
      <c r="AG1668" s="14"/>
      <c r="AH1668" s="14"/>
      <c r="AI1668" s="14"/>
      <c r="AJ1668" s="14"/>
      <c r="AK1668" s="14"/>
      <c r="AL1668" s="14"/>
      <c r="AM1668" s="14"/>
    </row>
    <row r="1669" ht="14.25" customHeight="1">
      <c r="AA1669" s="7">
        <f t="shared" si="2"/>
        <v>42575</v>
      </c>
      <c r="AB1669" s="14"/>
      <c r="AC1669" s="14"/>
      <c r="AD1669" s="14"/>
      <c r="AE1669" s="14"/>
      <c r="AF1669" s="14"/>
      <c r="AG1669" s="14"/>
      <c r="AH1669" s="14"/>
      <c r="AI1669" s="14"/>
      <c r="AJ1669" s="14"/>
      <c r="AK1669" s="14"/>
      <c r="AL1669" s="14"/>
      <c r="AM1669" s="14"/>
    </row>
    <row r="1670" ht="14.25" customHeight="1">
      <c r="AA1670" s="7">
        <f t="shared" si="2"/>
        <v>42576</v>
      </c>
      <c r="AB1670" s="14"/>
      <c r="AC1670" s="14"/>
      <c r="AD1670" s="14"/>
      <c r="AE1670" s="14"/>
      <c r="AF1670" s="14"/>
      <c r="AG1670" s="14"/>
      <c r="AH1670" s="14"/>
      <c r="AI1670" s="14"/>
      <c r="AJ1670" s="14"/>
      <c r="AK1670" s="14"/>
      <c r="AL1670" s="14"/>
      <c r="AM1670" s="14"/>
    </row>
    <row r="1671" ht="14.25" customHeight="1">
      <c r="AA1671" s="7">
        <f t="shared" si="2"/>
        <v>42577</v>
      </c>
      <c r="AB1671" s="14"/>
      <c r="AC1671" s="14"/>
      <c r="AD1671" s="14"/>
      <c r="AE1671" s="14"/>
      <c r="AF1671" s="14"/>
      <c r="AG1671" s="14"/>
      <c r="AH1671" s="14"/>
      <c r="AI1671" s="14"/>
      <c r="AJ1671" s="14"/>
      <c r="AK1671" s="14"/>
      <c r="AL1671" s="14"/>
      <c r="AM1671" s="14"/>
    </row>
    <row r="1672" ht="14.25" customHeight="1">
      <c r="AA1672" s="7">
        <f t="shared" si="2"/>
        <v>42578</v>
      </c>
      <c r="AB1672" s="14"/>
      <c r="AC1672" s="14"/>
      <c r="AD1672" s="14"/>
      <c r="AE1672" s="14"/>
      <c r="AF1672" s="14"/>
      <c r="AG1672" s="14"/>
      <c r="AH1672" s="14"/>
      <c r="AI1672" s="14"/>
      <c r="AJ1672" s="14"/>
      <c r="AK1672" s="14"/>
      <c r="AL1672" s="14"/>
      <c r="AM1672" s="14"/>
    </row>
    <row r="1673" ht="14.25" customHeight="1">
      <c r="AA1673" s="7">
        <f t="shared" si="2"/>
        <v>42579</v>
      </c>
      <c r="AB1673" s="14"/>
      <c r="AC1673" s="14"/>
      <c r="AD1673" s="14"/>
      <c r="AE1673" s="14"/>
      <c r="AF1673" s="14"/>
      <c r="AG1673" s="14"/>
      <c r="AH1673" s="14"/>
      <c r="AI1673" s="14"/>
      <c r="AJ1673" s="14"/>
      <c r="AK1673" s="14"/>
      <c r="AL1673" s="14"/>
      <c r="AM1673" s="14"/>
    </row>
    <row r="1674" ht="14.25" customHeight="1">
      <c r="AA1674" s="7">
        <f t="shared" si="2"/>
        <v>42580</v>
      </c>
      <c r="AB1674" s="14"/>
      <c r="AC1674" s="14"/>
      <c r="AD1674" s="14"/>
      <c r="AE1674" s="14"/>
      <c r="AF1674" s="14"/>
      <c r="AG1674" s="14"/>
      <c r="AH1674" s="14"/>
      <c r="AI1674" s="14"/>
      <c r="AJ1674" s="14"/>
      <c r="AK1674" s="14"/>
      <c r="AL1674" s="14"/>
      <c r="AM1674" s="14"/>
    </row>
    <row r="1675" ht="14.25" customHeight="1">
      <c r="AA1675" s="7">
        <f t="shared" si="2"/>
        <v>42581</v>
      </c>
      <c r="AB1675" s="14"/>
      <c r="AC1675" s="14"/>
      <c r="AD1675" s="14"/>
      <c r="AE1675" s="14"/>
      <c r="AF1675" s="14"/>
      <c r="AG1675" s="14"/>
      <c r="AH1675" s="14"/>
      <c r="AI1675" s="14"/>
      <c r="AJ1675" s="14"/>
      <c r="AK1675" s="14"/>
      <c r="AL1675" s="14"/>
      <c r="AM1675" s="14"/>
    </row>
    <row r="1676" ht="14.25" customHeight="1">
      <c r="AA1676" s="7">
        <f t="shared" si="2"/>
        <v>42582</v>
      </c>
      <c r="AB1676" s="14"/>
      <c r="AC1676" s="14"/>
      <c r="AD1676" s="14"/>
      <c r="AE1676" s="14"/>
      <c r="AF1676" s="14"/>
      <c r="AG1676" s="14"/>
      <c r="AH1676" s="14"/>
      <c r="AI1676" s="14"/>
      <c r="AJ1676" s="14"/>
      <c r="AK1676" s="14"/>
      <c r="AL1676" s="14"/>
      <c r="AM1676" s="14"/>
    </row>
    <row r="1677" ht="14.25" customHeight="1">
      <c r="AA1677" s="7">
        <f t="shared" si="2"/>
        <v>42583</v>
      </c>
      <c r="AB1677" s="14"/>
      <c r="AC1677" s="14"/>
      <c r="AD1677" s="14"/>
      <c r="AE1677" s="14"/>
      <c r="AF1677" s="14"/>
      <c r="AG1677" s="14"/>
      <c r="AH1677" s="14"/>
      <c r="AI1677" s="14"/>
      <c r="AJ1677" s="14"/>
      <c r="AK1677" s="14"/>
      <c r="AL1677" s="14"/>
      <c r="AM1677" s="14"/>
    </row>
    <row r="1678" ht="14.25" customHeight="1">
      <c r="AA1678" s="7">
        <f t="shared" si="2"/>
        <v>42584</v>
      </c>
      <c r="AB1678" s="14"/>
      <c r="AC1678" s="14"/>
      <c r="AD1678" s="14"/>
      <c r="AE1678" s="14"/>
      <c r="AF1678" s="14"/>
      <c r="AG1678" s="14"/>
      <c r="AH1678" s="14"/>
      <c r="AI1678" s="14"/>
      <c r="AJ1678" s="14"/>
      <c r="AK1678" s="14"/>
      <c r="AL1678" s="14"/>
      <c r="AM1678" s="14"/>
    </row>
    <row r="1679" ht="14.25" customHeight="1">
      <c r="AA1679" s="7">
        <f t="shared" si="2"/>
        <v>42585</v>
      </c>
      <c r="AB1679" s="14"/>
      <c r="AC1679" s="14"/>
      <c r="AD1679" s="14"/>
      <c r="AE1679" s="14"/>
      <c r="AF1679" s="14"/>
      <c r="AG1679" s="14"/>
      <c r="AH1679" s="14"/>
      <c r="AI1679" s="14"/>
      <c r="AJ1679" s="14"/>
      <c r="AK1679" s="14"/>
      <c r="AL1679" s="14"/>
      <c r="AM1679" s="14"/>
    </row>
    <row r="1680" ht="14.25" customHeight="1">
      <c r="AA1680" s="7">
        <f t="shared" si="2"/>
        <v>42586</v>
      </c>
      <c r="AB1680" s="14"/>
      <c r="AC1680" s="14"/>
      <c r="AD1680" s="14"/>
      <c r="AE1680" s="14"/>
      <c r="AF1680" s="14"/>
      <c r="AG1680" s="14"/>
      <c r="AH1680" s="14"/>
      <c r="AI1680" s="14"/>
      <c r="AJ1680" s="14"/>
      <c r="AK1680" s="14"/>
      <c r="AL1680" s="14"/>
      <c r="AM1680" s="14"/>
    </row>
    <row r="1681" ht="14.25" customHeight="1">
      <c r="AA1681" s="7">
        <f t="shared" si="2"/>
        <v>42587</v>
      </c>
      <c r="AB1681" s="14"/>
      <c r="AC1681" s="14"/>
      <c r="AD1681" s="14"/>
      <c r="AE1681" s="14"/>
      <c r="AF1681" s="14"/>
      <c r="AG1681" s="14"/>
      <c r="AH1681" s="14"/>
      <c r="AI1681" s="14"/>
      <c r="AJ1681" s="14"/>
      <c r="AK1681" s="14"/>
      <c r="AL1681" s="14"/>
      <c r="AM1681" s="14"/>
    </row>
    <row r="1682" ht="14.25" customHeight="1">
      <c r="AA1682" s="7">
        <f t="shared" si="2"/>
        <v>42588</v>
      </c>
      <c r="AB1682" s="14"/>
      <c r="AC1682" s="14"/>
      <c r="AD1682" s="14"/>
      <c r="AE1682" s="14"/>
      <c r="AF1682" s="14"/>
      <c r="AG1682" s="14"/>
      <c r="AH1682" s="14"/>
      <c r="AI1682" s="14"/>
      <c r="AJ1682" s="14"/>
      <c r="AK1682" s="14"/>
      <c r="AL1682" s="14"/>
      <c r="AM1682" s="14"/>
    </row>
    <row r="1683" ht="14.25" customHeight="1">
      <c r="AA1683" s="7">
        <f t="shared" si="2"/>
        <v>42589</v>
      </c>
      <c r="AB1683" s="14"/>
      <c r="AC1683" s="14"/>
      <c r="AD1683" s="14"/>
      <c r="AE1683" s="14"/>
      <c r="AF1683" s="14"/>
      <c r="AG1683" s="14"/>
      <c r="AH1683" s="14"/>
      <c r="AI1683" s="14"/>
      <c r="AJ1683" s="14"/>
      <c r="AK1683" s="14"/>
      <c r="AL1683" s="14"/>
      <c r="AM1683" s="14"/>
    </row>
    <row r="1684" ht="14.25" customHeight="1">
      <c r="AA1684" s="7">
        <f t="shared" si="2"/>
        <v>42590</v>
      </c>
      <c r="AB1684" s="14"/>
      <c r="AC1684" s="14"/>
      <c r="AD1684" s="14"/>
      <c r="AE1684" s="14"/>
      <c r="AF1684" s="14"/>
      <c r="AG1684" s="14"/>
      <c r="AH1684" s="14"/>
      <c r="AI1684" s="14"/>
      <c r="AJ1684" s="14"/>
      <c r="AK1684" s="14"/>
      <c r="AL1684" s="14"/>
      <c r="AM1684" s="14"/>
    </row>
    <row r="1685" ht="14.25" customHeight="1">
      <c r="AA1685" s="7">
        <f t="shared" si="2"/>
        <v>42591</v>
      </c>
      <c r="AB1685" s="14"/>
      <c r="AC1685" s="14"/>
      <c r="AD1685" s="14"/>
      <c r="AE1685" s="14"/>
      <c r="AF1685" s="14"/>
      <c r="AG1685" s="14"/>
      <c r="AH1685" s="14"/>
      <c r="AI1685" s="14"/>
      <c r="AJ1685" s="14"/>
      <c r="AK1685" s="14"/>
      <c r="AL1685" s="14"/>
      <c r="AM1685" s="14"/>
    </row>
    <row r="1686" ht="14.25" customHeight="1">
      <c r="AA1686" s="7">
        <f t="shared" si="2"/>
        <v>42592</v>
      </c>
      <c r="AB1686" s="14"/>
      <c r="AC1686" s="14"/>
      <c r="AD1686" s="14"/>
      <c r="AE1686" s="14"/>
      <c r="AF1686" s="14"/>
      <c r="AG1686" s="14"/>
      <c r="AH1686" s="14"/>
      <c r="AI1686" s="14"/>
      <c r="AJ1686" s="14"/>
      <c r="AK1686" s="14"/>
      <c r="AL1686" s="14"/>
      <c r="AM1686" s="14"/>
    </row>
    <row r="1687" ht="14.25" customHeight="1">
      <c r="AA1687" s="7">
        <f t="shared" si="2"/>
        <v>42593</v>
      </c>
      <c r="AB1687" s="14"/>
      <c r="AC1687" s="14"/>
      <c r="AD1687" s="14"/>
      <c r="AE1687" s="14"/>
      <c r="AF1687" s="14"/>
      <c r="AG1687" s="14"/>
      <c r="AH1687" s="14"/>
      <c r="AI1687" s="14"/>
      <c r="AJ1687" s="14"/>
      <c r="AK1687" s="14"/>
      <c r="AL1687" s="14"/>
      <c r="AM1687" s="14"/>
    </row>
    <row r="1688" ht="14.25" customHeight="1">
      <c r="AA1688" s="7">
        <f t="shared" si="2"/>
        <v>42594</v>
      </c>
      <c r="AB1688" s="14"/>
      <c r="AC1688" s="14"/>
      <c r="AD1688" s="14"/>
      <c r="AE1688" s="14"/>
      <c r="AF1688" s="14"/>
      <c r="AG1688" s="14"/>
      <c r="AH1688" s="14"/>
      <c r="AI1688" s="14"/>
      <c r="AJ1688" s="14"/>
      <c r="AK1688" s="14"/>
      <c r="AL1688" s="14"/>
      <c r="AM1688" s="14"/>
    </row>
    <row r="1689" ht="14.25" customHeight="1">
      <c r="AA1689" s="7">
        <f t="shared" si="2"/>
        <v>42595</v>
      </c>
      <c r="AB1689" s="14"/>
      <c r="AC1689" s="14"/>
      <c r="AD1689" s="14"/>
      <c r="AE1689" s="14"/>
      <c r="AF1689" s="14"/>
      <c r="AG1689" s="14"/>
      <c r="AH1689" s="14"/>
      <c r="AI1689" s="14"/>
      <c r="AJ1689" s="14"/>
      <c r="AK1689" s="14"/>
      <c r="AL1689" s="14"/>
      <c r="AM1689" s="14"/>
    </row>
    <row r="1690" ht="14.25" customHeight="1">
      <c r="AA1690" s="7">
        <f t="shared" si="2"/>
        <v>42596</v>
      </c>
      <c r="AB1690" s="14"/>
      <c r="AC1690" s="14"/>
      <c r="AD1690" s="14"/>
      <c r="AE1690" s="14"/>
      <c r="AF1690" s="14"/>
      <c r="AG1690" s="14"/>
      <c r="AH1690" s="14"/>
      <c r="AI1690" s="14"/>
      <c r="AJ1690" s="14"/>
      <c r="AK1690" s="14"/>
      <c r="AL1690" s="14"/>
      <c r="AM1690" s="14"/>
    </row>
    <row r="1691" ht="14.25" customHeight="1">
      <c r="AA1691" s="7">
        <f t="shared" si="2"/>
        <v>42597</v>
      </c>
      <c r="AB1691" s="14"/>
      <c r="AC1691" s="14"/>
      <c r="AD1691" s="14"/>
      <c r="AE1691" s="14"/>
      <c r="AF1691" s="14"/>
      <c r="AG1691" s="14"/>
      <c r="AH1691" s="14"/>
      <c r="AI1691" s="14"/>
      <c r="AJ1691" s="14"/>
      <c r="AK1691" s="14"/>
      <c r="AL1691" s="14"/>
      <c r="AM1691" s="14"/>
    </row>
    <row r="1692" ht="14.25" customHeight="1">
      <c r="AA1692" s="7">
        <f t="shared" si="2"/>
        <v>42598</v>
      </c>
      <c r="AB1692" s="14"/>
      <c r="AC1692" s="14"/>
      <c r="AD1692" s="14"/>
      <c r="AE1692" s="14"/>
      <c r="AF1692" s="14"/>
      <c r="AG1692" s="14"/>
      <c r="AH1692" s="14"/>
      <c r="AI1692" s="14"/>
      <c r="AJ1692" s="14"/>
      <c r="AK1692" s="14"/>
      <c r="AL1692" s="14"/>
      <c r="AM1692" s="14"/>
    </row>
    <row r="1693" ht="14.25" customHeight="1">
      <c r="AA1693" s="7">
        <f t="shared" si="2"/>
        <v>42599</v>
      </c>
      <c r="AB1693" s="14"/>
      <c r="AC1693" s="14"/>
      <c r="AD1693" s="14"/>
      <c r="AE1693" s="14"/>
      <c r="AF1693" s="14"/>
      <c r="AG1693" s="14"/>
      <c r="AH1693" s="14"/>
      <c r="AI1693" s="14"/>
      <c r="AJ1693" s="14"/>
      <c r="AK1693" s="14"/>
      <c r="AL1693" s="14"/>
      <c r="AM1693" s="14"/>
    </row>
    <row r="1694" ht="14.25" customHeight="1">
      <c r="AA1694" s="7">
        <f t="shared" si="2"/>
        <v>42600</v>
      </c>
      <c r="AB1694" s="14"/>
      <c r="AC1694" s="14"/>
      <c r="AD1694" s="14"/>
      <c r="AE1694" s="14"/>
      <c r="AF1694" s="14"/>
      <c r="AG1694" s="14"/>
      <c r="AH1694" s="14"/>
      <c r="AI1694" s="14"/>
      <c r="AJ1694" s="14"/>
      <c r="AK1694" s="14"/>
      <c r="AL1694" s="14"/>
      <c r="AM1694" s="14"/>
    </row>
    <row r="1695" ht="14.25" customHeight="1">
      <c r="AA1695" s="7">
        <f t="shared" si="2"/>
        <v>42601</v>
      </c>
      <c r="AB1695" s="14"/>
      <c r="AC1695" s="14"/>
      <c r="AD1695" s="14"/>
      <c r="AE1695" s="14"/>
      <c r="AF1695" s="14"/>
      <c r="AG1695" s="14"/>
      <c r="AH1695" s="14"/>
      <c r="AI1695" s="14"/>
      <c r="AJ1695" s="14"/>
      <c r="AK1695" s="14"/>
      <c r="AL1695" s="14"/>
      <c r="AM1695" s="14"/>
    </row>
    <row r="1696" ht="14.25" customHeight="1">
      <c r="AA1696" s="7">
        <f t="shared" si="2"/>
        <v>42602</v>
      </c>
      <c r="AB1696" s="14"/>
      <c r="AC1696" s="14"/>
      <c r="AD1696" s="14"/>
      <c r="AE1696" s="14"/>
      <c r="AF1696" s="14"/>
      <c r="AG1696" s="14"/>
      <c r="AH1696" s="14"/>
      <c r="AI1696" s="14"/>
      <c r="AJ1696" s="14"/>
      <c r="AK1696" s="14"/>
      <c r="AL1696" s="14"/>
      <c r="AM1696" s="14"/>
    </row>
    <row r="1697" ht="14.25" customHeight="1">
      <c r="AA1697" s="7">
        <f t="shared" si="2"/>
        <v>42603</v>
      </c>
      <c r="AB1697" s="14"/>
      <c r="AC1697" s="14"/>
      <c r="AD1697" s="14"/>
      <c r="AE1697" s="14"/>
      <c r="AF1697" s="14"/>
      <c r="AG1697" s="14"/>
      <c r="AH1697" s="14"/>
      <c r="AI1697" s="14"/>
      <c r="AJ1697" s="14"/>
      <c r="AK1697" s="14"/>
      <c r="AL1697" s="14"/>
      <c r="AM1697" s="14"/>
    </row>
    <row r="1698" ht="14.25" customHeight="1">
      <c r="AA1698" s="7">
        <f t="shared" si="2"/>
        <v>42604</v>
      </c>
      <c r="AB1698" s="14"/>
      <c r="AC1698" s="14"/>
      <c r="AD1698" s="14"/>
      <c r="AE1698" s="14"/>
      <c r="AF1698" s="14"/>
      <c r="AG1698" s="14"/>
      <c r="AH1698" s="14"/>
      <c r="AI1698" s="14"/>
      <c r="AJ1698" s="14"/>
      <c r="AK1698" s="14"/>
      <c r="AL1698" s="14"/>
      <c r="AM1698" s="14"/>
    </row>
    <row r="1699" ht="14.25" customHeight="1">
      <c r="AA1699" s="7">
        <f t="shared" si="2"/>
        <v>42605</v>
      </c>
      <c r="AB1699" s="14"/>
      <c r="AC1699" s="14"/>
      <c r="AD1699" s="14"/>
      <c r="AE1699" s="14"/>
      <c r="AF1699" s="14"/>
      <c r="AG1699" s="14"/>
      <c r="AH1699" s="14"/>
      <c r="AI1699" s="14"/>
      <c r="AJ1699" s="14"/>
      <c r="AK1699" s="14"/>
      <c r="AL1699" s="14"/>
      <c r="AM1699" s="14"/>
    </row>
    <row r="1700" ht="14.25" customHeight="1">
      <c r="AA1700" s="7">
        <f t="shared" si="2"/>
        <v>42606</v>
      </c>
      <c r="AB1700" s="14"/>
      <c r="AC1700" s="14"/>
      <c r="AD1700" s="14"/>
      <c r="AE1700" s="14"/>
      <c r="AF1700" s="14"/>
      <c r="AG1700" s="14"/>
      <c r="AH1700" s="14"/>
      <c r="AI1700" s="14"/>
      <c r="AJ1700" s="14"/>
      <c r="AK1700" s="14"/>
      <c r="AL1700" s="14"/>
      <c r="AM1700" s="14"/>
    </row>
    <row r="1701" ht="14.25" customHeight="1">
      <c r="AA1701" s="7">
        <f t="shared" si="2"/>
        <v>42607</v>
      </c>
      <c r="AB1701" s="14"/>
      <c r="AC1701" s="14"/>
      <c r="AD1701" s="14"/>
      <c r="AE1701" s="14"/>
      <c r="AF1701" s="14"/>
      <c r="AG1701" s="14"/>
      <c r="AH1701" s="14"/>
      <c r="AI1701" s="14"/>
      <c r="AJ1701" s="14"/>
      <c r="AK1701" s="14"/>
      <c r="AL1701" s="14"/>
      <c r="AM1701" s="14"/>
    </row>
    <row r="1702" ht="14.25" customHeight="1">
      <c r="AA1702" s="7">
        <f t="shared" si="2"/>
        <v>42608</v>
      </c>
      <c r="AB1702" s="14"/>
      <c r="AC1702" s="14"/>
      <c r="AD1702" s="14"/>
      <c r="AE1702" s="14"/>
      <c r="AF1702" s="14"/>
      <c r="AG1702" s="14"/>
      <c r="AH1702" s="14"/>
      <c r="AI1702" s="14"/>
      <c r="AJ1702" s="14"/>
      <c r="AK1702" s="14"/>
      <c r="AL1702" s="14"/>
      <c r="AM1702" s="14"/>
    </row>
    <row r="1703" ht="14.25" customHeight="1">
      <c r="AA1703" s="7">
        <f t="shared" si="2"/>
        <v>42609</v>
      </c>
      <c r="AB1703" s="14"/>
      <c r="AC1703" s="14"/>
      <c r="AD1703" s="14"/>
      <c r="AE1703" s="14"/>
      <c r="AF1703" s="14"/>
      <c r="AG1703" s="14"/>
      <c r="AH1703" s="14"/>
      <c r="AI1703" s="14"/>
      <c r="AJ1703" s="14"/>
      <c r="AK1703" s="14"/>
      <c r="AL1703" s="14"/>
      <c r="AM1703" s="14"/>
    </row>
    <row r="1704" ht="14.25" customHeight="1">
      <c r="AA1704" s="7">
        <f t="shared" si="2"/>
        <v>42610</v>
      </c>
      <c r="AB1704" s="14"/>
      <c r="AC1704" s="14"/>
      <c r="AD1704" s="14"/>
      <c r="AE1704" s="14"/>
      <c r="AF1704" s="14"/>
      <c r="AG1704" s="14"/>
      <c r="AH1704" s="14"/>
      <c r="AI1704" s="14"/>
      <c r="AJ1704" s="14"/>
      <c r="AK1704" s="14"/>
      <c r="AL1704" s="14"/>
      <c r="AM1704" s="14"/>
    </row>
    <row r="1705" ht="14.25" customHeight="1">
      <c r="AA1705" s="7">
        <f t="shared" si="2"/>
        <v>42611</v>
      </c>
      <c r="AB1705" s="14"/>
      <c r="AC1705" s="14"/>
      <c r="AD1705" s="14"/>
      <c r="AE1705" s="14"/>
      <c r="AF1705" s="14"/>
      <c r="AG1705" s="14"/>
      <c r="AH1705" s="14"/>
      <c r="AI1705" s="14"/>
      <c r="AJ1705" s="14"/>
      <c r="AK1705" s="14"/>
      <c r="AL1705" s="14"/>
      <c r="AM1705" s="14"/>
    </row>
    <row r="1706" ht="14.25" customHeight="1">
      <c r="AA1706" s="7">
        <f t="shared" si="2"/>
        <v>42612</v>
      </c>
      <c r="AB1706" s="14"/>
      <c r="AC1706" s="14"/>
      <c r="AD1706" s="14"/>
      <c r="AE1706" s="14"/>
      <c r="AF1706" s="14"/>
      <c r="AG1706" s="14"/>
      <c r="AH1706" s="14"/>
      <c r="AI1706" s="14"/>
      <c r="AJ1706" s="14"/>
      <c r="AK1706" s="14"/>
      <c r="AL1706" s="14"/>
      <c r="AM1706" s="14"/>
    </row>
    <row r="1707" ht="14.25" customHeight="1">
      <c r="AA1707" s="7">
        <f t="shared" si="2"/>
        <v>42613</v>
      </c>
      <c r="AB1707" s="14"/>
      <c r="AC1707" s="14"/>
      <c r="AD1707" s="14"/>
      <c r="AE1707" s="14"/>
      <c r="AF1707" s="14"/>
      <c r="AG1707" s="14"/>
      <c r="AH1707" s="14"/>
      <c r="AI1707" s="14"/>
      <c r="AJ1707" s="14"/>
      <c r="AK1707" s="14"/>
      <c r="AL1707" s="14"/>
      <c r="AM1707" s="14"/>
    </row>
    <row r="1708" ht="14.25" customHeight="1">
      <c r="AA1708" s="7">
        <f t="shared" si="2"/>
        <v>42614</v>
      </c>
      <c r="AB1708" s="14"/>
      <c r="AC1708" s="14"/>
      <c r="AD1708" s="14"/>
      <c r="AE1708" s="14"/>
      <c r="AF1708" s="14"/>
      <c r="AG1708" s="14"/>
      <c r="AH1708" s="14"/>
      <c r="AI1708" s="14"/>
      <c r="AJ1708" s="14"/>
      <c r="AK1708" s="14"/>
      <c r="AL1708" s="14"/>
      <c r="AM1708" s="14"/>
    </row>
    <row r="1709" ht="14.25" customHeight="1">
      <c r="AA1709" s="7">
        <f t="shared" si="2"/>
        <v>42615</v>
      </c>
      <c r="AB1709" s="14"/>
      <c r="AC1709" s="14"/>
      <c r="AD1709" s="14"/>
      <c r="AE1709" s="14"/>
      <c r="AF1709" s="14"/>
      <c r="AG1709" s="14"/>
      <c r="AH1709" s="14"/>
      <c r="AI1709" s="14"/>
      <c r="AJ1709" s="14"/>
      <c r="AK1709" s="14"/>
      <c r="AL1709" s="14"/>
      <c r="AM1709" s="14"/>
    </row>
    <row r="1710" ht="14.25" customHeight="1">
      <c r="AA1710" s="7">
        <f t="shared" si="2"/>
        <v>42616</v>
      </c>
      <c r="AB1710" s="14"/>
      <c r="AC1710" s="14"/>
      <c r="AD1710" s="14"/>
      <c r="AE1710" s="14"/>
      <c r="AF1710" s="14"/>
      <c r="AG1710" s="14"/>
      <c r="AH1710" s="14"/>
      <c r="AI1710" s="14"/>
      <c r="AJ1710" s="14"/>
      <c r="AK1710" s="14"/>
      <c r="AL1710" s="14"/>
      <c r="AM1710" s="14"/>
    </row>
    <row r="1711" ht="14.25" customHeight="1">
      <c r="AA1711" s="7">
        <f t="shared" si="2"/>
        <v>42617</v>
      </c>
      <c r="AB1711" s="14"/>
      <c r="AC1711" s="14"/>
      <c r="AD1711" s="14"/>
      <c r="AE1711" s="14"/>
      <c r="AF1711" s="14"/>
      <c r="AG1711" s="14"/>
      <c r="AH1711" s="14"/>
      <c r="AI1711" s="14"/>
      <c r="AJ1711" s="14"/>
      <c r="AK1711" s="14"/>
      <c r="AL1711" s="14"/>
      <c r="AM1711" s="14"/>
    </row>
    <row r="1712" ht="14.25" customHeight="1">
      <c r="AA1712" s="7">
        <f t="shared" si="2"/>
        <v>42618</v>
      </c>
      <c r="AB1712" s="14"/>
      <c r="AC1712" s="14"/>
      <c r="AD1712" s="14"/>
      <c r="AE1712" s="14"/>
      <c r="AF1712" s="14"/>
      <c r="AG1712" s="14"/>
      <c r="AH1712" s="14"/>
      <c r="AI1712" s="14"/>
      <c r="AJ1712" s="14"/>
      <c r="AK1712" s="14"/>
      <c r="AL1712" s="14"/>
      <c r="AM1712" s="14"/>
    </row>
    <row r="1713" ht="14.25" customHeight="1">
      <c r="AA1713" s="7">
        <f t="shared" si="2"/>
        <v>42619</v>
      </c>
      <c r="AB1713" s="14"/>
      <c r="AC1713" s="14"/>
      <c r="AD1713" s="14"/>
      <c r="AE1713" s="14"/>
      <c r="AF1713" s="14"/>
      <c r="AG1713" s="14"/>
      <c r="AH1713" s="14"/>
      <c r="AI1713" s="14"/>
      <c r="AJ1713" s="14"/>
      <c r="AK1713" s="14"/>
      <c r="AL1713" s="14"/>
      <c r="AM1713" s="14"/>
    </row>
    <row r="1714" ht="14.25" customHeight="1">
      <c r="AA1714" s="7">
        <f t="shared" si="2"/>
        <v>42620</v>
      </c>
      <c r="AB1714" s="14"/>
      <c r="AC1714" s="14"/>
      <c r="AD1714" s="14"/>
      <c r="AE1714" s="14"/>
      <c r="AF1714" s="14"/>
      <c r="AG1714" s="14"/>
      <c r="AH1714" s="14"/>
      <c r="AI1714" s="14"/>
      <c r="AJ1714" s="14"/>
      <c r="AK1714" s="14"/>
      <c r="AL1714" s="14"/>
      <c r="AM1714" s="14"/>
    </row>
    <row r="1715" ht="14.25" customHeight="1">
      <c r="AA1715" s="7">
        <f t="shared" si="2"/>
        <v>42621</v>
      </c>
      <c r="AB1715" s="14"/>
      <c r="AC1715" s="14"/>
      <c r="AD1715" s="14"/>
      <c r="AE1715" s="14"/>
      <c r="AF1715" s="14"/>
      <c r="AG1715" s="14"/>
      <c r="AH1715" s="14"/>
      <c r="AI1715" s="14"/>
      <c r="AJ1715" s="14"/>
      <c r="AK1715" s="14"/>
      <c r="AL1715" s="14"/>
      <c r="AM1715" s="14"/>
    </row>
    <row r="1716" ht="14.25" customHeight="1">
      <c r="AA1716" s="7">
        <f t="shared" si="2"/>
        <v>42622</v>
      </c>
      <c r="AB1716" s="14"/>
      <c r="AC1716" s="14"/>
      <c r="AD1716" s="14"/>
      <c r="AE1716" s="14"/>
      <c r="AF1716" s="14"/>
      <c r="AG1716" s="14"/>
      <c r="AH1716" s="14"/>
      <c r="AI1716" s="14"/>
      <c r="AJ1716" s="14"/>
      <c r="AK1716" s="14"/>
      <c r="AL1716" s="14"/>
      <c r="AM1716" s="14"/>
    </row>
    <row r="1717" ht="14.25" customHeight="1">
      <c r="AA1717" s="7">
        <f t="shared" si="2"/>
        <v>42623</v>
      </c>
      <c r="AB1717" s="14"/>
      <c r="AC1717" s="14"/>
      <c r="AD1717" s="14"/>
      <c r="AE1717" s="14"/>
      <c r="AF1717" s="14"/>
      <c r="AG1717" s="14"/>
      <c r="AH1717" s="14"/>
      <c r="AI1717" s="14"/>
      <c r="AJ1717" s="14"/>
      <c r="AK1717" s="14"/>
      <c r="AL1717" s="14"/>
      <c r="AM1717" s="14"/>
    </row>
    <row r="1718" ht="14.25" customHeight="1">
      <c r="AA1718" s="7">
        <f t="shared" si="2"/>
        <v>42624</v>
      </c>
      <c r="AB1718" s="14"/>
      <c r="AC1718" s="14"/>
      <c r="AD1718" s="14"/>
      <c r="AE1718" s="14"/>
      <c r="AF1718" s="14"/>
      <c r="AG1718" s="14"/>
      <c r="AH1718" s="14"/>
      <c r="AI1718" s="14"/>
      <c r="AJ1718" s="14"/>
      <c r="AK1718" s="14"/>
      <c r="AL1718" s="14"/>
      <c r="AM1718" s="14"/>
    </row>
    <row r="1719" ht="14.25" customHeight="1">
      <c r="AA1719" s="7">
        <f t="shared" si="2"/>
        <v>42625</v>
      </c>
      <c r="AB1719" s="14"/>
      <c r="AC1719" s="14"/>
      <c r="AD1719" s="14"/>
      <c r="AE1719" s="14"/>
      <c r="AF1719" s="14"/>
      <c r="AG1719" s="14"/>
      <c r="AH1719" s="14"/>
      <c r="AI1719" s="14"/>
      <c r="AJ1719" s="14"/>
      <c r="AK1719" s="14"/>
      <c r="AL1719" s="14"/>
      <c r="AM1719" s="14"/>
    </row>
    <row r="1720" ht="14.25" customHeight="1">
      <c r="AA1720" s="7">
        <f t="shared" si="2"/>
        <v>42626</v>
      </c>
      <c r="AB1720" s="14"/>
      <c r="AC1720" s="14"/>
      <c r="AD1720" s="14"/>
      <c r="AE1720" s="14"/>
      <c r="AF1720" s="14"/>
      <c r="AG1720" s="14"/>
      <c r="AH1720" s="14"/>
      <c r="AI1720" s="14"/>
      <c r="AJ1720" s="14"/>
      <c r="AK1720" s="14"/>
      <c r="AL1720" s="14"/>
      <c r="AM1720" s="14"/>
    </row>
    <row r="1721" ht="14.25" customHeight="1">
      <c r="AA1721" s="7">
        <f t="shared" si="2"/>
        <v>42627</v>
      </c>
      <c r="AB1721" s="14"/>
      <c r="AC1721" s="14"/>
      <c r="AD1721" s="14"/>
      <c r="AE1721" s="14"/>
      <c r="AF1721" s="14"/>
      <c r="AG1721" s="14"/>
      <c r="AH1721" s="14"/>
      <c r="AI1721" s="14"/>
      <c r="AJ1721" s="14"/>
      <c r="AK1721" s="14"/>
      <c r="AL1721" s="14"/>
      <c r="AM1721" s="14"/>
    </row>
    <row r="1722" ht="14.25" customHeight="1">
      <c r="AA1722" s="7">
        <f t="shared" si="2"/>
        <v>42628</v>
      </c>
      <c r="AB1722" s="14"/>
      <c r="AC1722" s="14"/>
      <c r="AD1722" s="14"/>
      <c r="AE1722" s="14"/>
      <c r="AF1722" s="14"/>
      <c r="AG1722" s="14"/>
      <c r="AH1722" s="14"/>
      <c r="AI1722" s="14"/>
      <c r="AJ1722" s="14"/>
      <c r="AK1722" s="14"/>
      <c r="AL1722" s="14"/>
      <c r="AM1722" s="14"/>
    </row>
    <row r="1723" ht="14.25" customHeight="1">
      <c r="AA1723" s="7">
        <f t="shared" si="2"/>
        <v>42629</v>
      </c>
      <c r="AB1723" s="14"/>
      <c r="AC1723" s="14"/>
      <c r="AD1723" s="14"/>
      <c r="AE1723" s="14"/>
      <c r="AF1723" s="14"/>
      <c r="AG1723" s="14"/>
      <c r="AH1723" s="14"/>
      <c r="AI1723" s="14"/>
      <c r="AJ1723" s="14"/>
      <c r="AK1723" s="14"/>
      <c r="AL1723" s="14"/>
      <c r="AM1723" s="14"/>
    </row>
    <row r="1724" ht="14.25" customHeight="1">
      <c r="AA1724" s="7">
        <f t="shared" si="2"/>
        <v>42630</v>
      </c>
      <c r="AB1724" s="14"/>
      <c r="AC1724" s="14"/>
      <c r="AD1724" s="14"/>
      <c r="AE1724" s="14"/>
      <c r="AF1724" s="14"/>
      <c r="AG1724" s="14"/>
      <c r="AH1724" s="14"/>
      <c r="AI1724" s="14"/>
      <c r="AJ1724" s="14"/>
      <c r="AK1724" s="14"/>
      <c r="AL1724" s="14"/>
      <c r="AM1724" s="14"/>
    </row>
    <row r="1725" ht="14.25" customHeight="1">
      <c r="AA1725" s="7">
        <f t="shared" si="2"/>
        <v>42631</v>
      </c>
      <c r="AB1725" s="14"/>
      <c r="AC1725" s="14"/>
      <c r="AD1725" s="14"/>
      <c r="AE1725" s="14"/>
      <c r="AF1725" s="14"/>
      <c r="AG1725" s="14"/>
      <c r="AH1725" s="14"/>
      <c r="AI1725" s="14"/>
      <c r="AJ1725" s="14"/>
      <c r="AK1725" s="14"/>
      <c r="AL1725" s="14"/>
      <c r="AM1725" s="14"/>
    </row>
    <row r="1726" ht="14.25" customHeight="1">
      <c r="AA1726" s="7">
        <f t="shared" si="2"/>
        <v>42632</v>
      </c>
      <c r="AB1726" s="14"/>
      <c r="AC1726" s="14"/>
      <c r="AD1726" s="14"/>
      <c r="AE1726" s="14"/>
      <c r="AF1726" s="14"/>
      <c r="AG1726" s="14"/>
      <c r="AH1726" s="14"/>
      <c r="AI1726" s="14"/>
      <c r="AJ1726" s="14"/>
      <c r="AK1726" s="14"/>
      <c r="AL1726" s="14"/>
      <c r="AM1726" s="14"/>
    </row>
    <row r="1727" ht="14.25" customHeight="1">
      <c r="AA1727" s="7">
        <f t="shared" si="2"/>
        <v>42633</v>
      </c>
      <c r="AB1727" s="14"/>
      <c r="AC1727" s="14"/>
      <c r="AD1727" s="14"/>
      <c r="AE1727" s="14"/>
      <c r="AF1727" s="14"/>
      <c r="AG1727" s="14"/>
      <c r="AH1727" s="14"/>
      <c r="AI1727" s="14"/>
      <c r="AJ1727" s="14"/>
      <c r="AK1727" s="14"/>
      <c r="AL1727" s="14"/>
      <c r="AM1727" s="14"/>
    </row>
    <row r="1728" ht="14.25" customHeight="1">
      <c r="AA1728" s="7">
        <f t="shared" si="2"/>
        <v>42634</v>
      </c>
      <c r="AB1728" s="14"/>
      <c r="AC1728" s="14"/>
      <c r="AD1728" s="14"/>
      <c r="AE1728" s="14"/>
      <c r="AF1728" s="14"/>
      <c r="AG1728" s="14"/>
      <c r="AH1728" s="14"/>
      <c r="AI1728" s="14"/>
      <c r="AJ1728" s="14"/>
      <c r="AK1728" s="14"/>
      <c r="AL1728" s="14"/>
      <c r="AM1728" s="14"/>
    </row>
    <row r="1729" ht="14.25" customHeight="1">
      <c r="AA1729" s="7">
        <f t="shared" si="2"/>
        <v>42635</v>
      </c>
      <c r="AB1729" s="14"/>
      <c r="AC1729" s="14"/>
      <c r="AD1729" s="14"/>
      <c r="AE1729" s="14"/>
      <c r="AF1729" s="14"/>
      <c r="AG1729" s="14"/>
      <c r="AH1729" s="14"/>
      <c r="AI1729" s="14"/>
      <c r="AJ1729" s="14"/>
      <c r="AK1729" s="14"/>
      <c r="AL1729" s="14"/>
      <c r="AM1729" s="14"/>
    </row>
    <row r="1730" ht="14.25" customHeight="1">
      <c r="AA1730" s="7">
        <f t="shared" si="2"/>
        <v>42636</v>
      </c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</row>
    <row r="1731" ht="14.25" customHeight="1">
      <c r="AA1731" s="7">
        <f t="shared" si="2"/>
        <v>42637</v>
      </c>
      <c r="AB1731" s="14"/>
      <c r="AC1731" s="14"/>
      <c r="AD1731" s="14"/>
      <c r="AE1731" s="14"/>
      <c r="AF1731" s="14"/>
      <c r="AG1731" s="14"/>
      <c r="AH1731" s="14"/>
      <c r="AI1731" s="14"/>
      <c r="AJ1731" s="14"/>
      <c r="AK1731" s="14"/>
      <c r="AL1731" s="14"/>
      <c r="AM1731" s="14"/>
    </row>
    <row r="1732" ht="14.25" customHeight="1">
      <c r="AA1732" s="7">
        <f t="shared" si="2"/>
        <v>42638</v>
      </c>
      <c r="AB1732" s="14"/>
      <c r="AC1732" s="14"/>
      <c r="AD1732" s="14"/>
      <c r="AE1732" s="14"/>
      <c r="AF1732" s="14"/>
      <c r="AG1732" s="14"/>
      <c r="AH1732" s="14"/>
      <c r="AI1732" s="14"/>
      <c r="AJ1732" s="14"/>
      <c r="AK1732" s="14"/>
      <c r="AL1732" s="14"/>
      <c r="AM1732" s="14"/>
    </row>
    <row r="1733" ht="14.25" customHeight="1">
      <c r="AA1733" s="7">
        <f t="shared" si="2"/>
        <v>42639</v>
      </c>
      <c r="AB1733" s="14"/>
      <c r="AC1733" s="14"/>
      <c r="AD1733" s="14"/>
      <c r="AE1733" s="14"/>
      <c r="AF1733" s="14"/>
      <c r="AG1733" s="14"/>
      <c r="AH1733" s="14"/>
      <c r="AI1733" s="14"/>
      <c r="AJ1733" s="14"/>
      <c r="AK1733" s="14"/>
      <c r="AL1733" s="14"/>
      <c r="AM1733" s="14"/>
    </row>
    <row r="1734" ht="14.25" customHeight="1">
      <c r="AA1734" s="7">
        <f t="shared" si="2"/>
        <v>42640</v>
      </c>
      <c r="AB1734" s="14"/>
      <c r="AC1734" s="14"/>
      <c r="AD1734" s="14"/>
      <c r="AE1734" s="14"/>
      <c r="AF1734" s="14"/>
      <c r="AG1734" s="14"/>
      <c r="AH1734" s="14"/>
      <c r="AI1734" s="14"/>
      <c r="AJ1734" s="14"/>
      <c r="AK1734" s="14"/>
      <c r="AL1734" s="14"/>
      <c r="AM1734" s="14"/>
    </row>
    <row r="1735" ht="14.25" customHeight="1">
      <c r="AA1735" s="7">
        <f t="shared" si="2"/>
        <v>42641</v>
      </c>
      <c r="AB1735" s="14"/>
      <c r="AC1735" s="14"/>
      <c r="AD1735" s="14"/>
      <c r="AE1735" s="14"/>
      <c r="AF1735" s="14"/>
      <c r="AG1735" s="14"/>
      <c r="AH1735" s="14"/>
      <c r="AI1735" s="14"/>
      <c r="AJ1735" s="14"/>
      <c r="AK1735" s="14"/>
      <c r="AL1735" s="14"/>
      <c r="AM1735" s="14"/>
    </row>
    <row r="1736" ht="14.25" customHeight="1">
      <c r="AA1736" s="7">
        <f t="shared" si="2"/>
        <v>42642</v>
      </c>
      <c r="AB1736" s="14"/>
      <c r="AC1736" s="14"/>
      <c r="AD1736" s="14"/>
      <c r="AE1736" s="14"/>
      <c r="AF1736" s="14"/>
      <c r="AG1736" s="14"/>
      <c r="AH1736" s="14"/>
      <c r="AI1736" s="14"/>
      <c r="AJ1736" s="14"/>
      <c r="AK1736" s="14"/>
      <c r="AL1736" s="14"/>
      <c r="AM1736" s="14"/>
    </row>
    <row r="1737" ht="14.25" customHeight="1">
      <c r="AA1737" s="7">
        <f t="shared" si="2"/>
        <v>42643</v>
      </c>
      <c r="AB1737" s="14"/>
      <c r="AC1737" s="14"/>
      <c r="AD1737" s="14"/>
      <c r="AE1737" s="14"/>
      <c r="AF1737" s="14"/>
      <c r="AG1737" s="14"/>
      <c r="AH1737" s="14"/>
      <c r="AI1737" s="14"/>
      <c r="AJ1737" s="14"/>
      <c r="AK1737" s="14"/>
      <c r="AL1737" s="14"/>
      <c r="AM1737" s="14"/>
    </row>
    <row r="1738" ht="14.25" customHeight="1">
      <c r="AA1738" s="7">
        <f t="shared" si="2"/>
        <v>42644</v>
      </c>
      <c r="AB1738" s="14"/>
      <c r="AC1738" s="14"/>
      <c r="AD1738" s="14"/>
      <c r="AE1738" s="14"/>
      <c r="AF1738" s="14"/>
      <c r="AG1738" s="14"/>
      <c r="AH1738" s="14"/>
      <c r="AI1738" s="14"/>
      <c r="AJ1738" s="14"/>
      <c r="AK1738" s="14"/>
      <c r="AL1738" s="14"/>
      <c r="AM1738" s="14"/>
    </row>
    <row r="1739" ht="14.25" customHeight="1">
      <c r="AA1739" s="7">
        <f t="shared" si="2"/>
        <v>42645</v>
      </c>
      <c r="AB1739" s="14"/>
      <c r="AC1739" s="14"/>
      <c r="AD1739" s="14"/>
      <c r="AE1739" s="14"/>
      <c r="AF1739" s="14"/>
      <c r="AG1739" s="14"/>
      <c r="AH1739" s="14"/>
      <c r="AI1739" s="14"/>
      <c r="AJ1739" s="14"/>
      <c r="AK1739" s="14"/>
      <c r="AL1739" s="14"/>
      <c r="AM1739" s="14"/>
    </row>
    <row r="1740" ht="14.25" customHeight="1">
      <c r="AA1740" s="7">
        <f t="shared" si="2"/>
        <v>42646</v>
      </c>
      <c r="AB1740" s="14"/>
      <c r="AC1740" s="14"/>
      <c r="AD1740" s="14"/>
      <c r="AE1740" s="14"/>
      <c r="AF1740" s="14"/>
      <c r="AG1740" s="14"/>
      <c r="AH1740" s="14"/>
      <c r="AI1740" s="14"/>
      <c r="AJ1740" s="14"/>
      <c r="AK1740" s="14"/>
      <c r="AL1740" s="14"/>
      <c r="AM1740" s="14"/>
    </row>
    <row r="1741" ht="14.25" customHeight="1">
      <c r="AA1741" s="7">
        <f t="shared" si="2"/>
        <v>42647</v>
      </c>
      <c r="AB1741" s="14"/>
      <c r="AC1741" s="14"/>
      <c r="AD1741" s="14"/>
      <c r="AE1741" s="14"/>
      <c r="AF1741" s="14"/>
      <c r="AG1741" s="14"/>
      <c r="AH1741" s="14"/>
      <c r="AI1741" s="14"/>
      <c r="AJ1741" s="14"/>
      <c r="AK1741" s="14"/>
      <c r="AL1741" s="14"/>
      <c r="AM1741" s="14"/>
    </row>
    <row r="1742" ht="14.25" customHeight="1">
      <c r="AA1742" s="7">
        <f t="shared" si="2"/>
        <v>42648</v>
      </c>
      <c r="AB1742" s="14"/>
      <c r="AC1742" s="14"/>
      <c r="AD1742" s="14"/>
      <c r="AE1742" s="14"/>
      <c r="AF1742" s="14"/>
      <c r="AG1742" s="14"/>
      <c r="AH1742" s="14"/>
      <c r="AI1742" s="14"/>
      <c r="AJ1742" s="14"/>
      <c r="AK1742" s="14"/>
      <c r="AL1742" s="14"/>
      <c r="AM1742" s="14"/>
    </row>
    <row r="1743" ht="14.25" customHeight="1">
      <c r="AA1743" s="7">
        <f t="shared" si="2"/>
        <v>42649</v>
      </c>
      <c r="AB1743" s="14"/>
      <c r="AC1743" s="14"/>
      <c r="AD1743" s="14"/>
      <c r="AE1743" s="14"/>
      <c r="AF1743" s="14"/>
      <c r="AG1743" s="14"/>
      <c r="AH1743" s="14"/>
      <c r="AI1743" s="14"/>
      <c r="AJ1743" s="14"/>
      <c r="AK1743" s="14"/>
      <c r="AL1743" s="14"/>
      <c r="AM1743" s="14"/>
    </row>
    <row r="1744" ht="14.25" customHeight="1">
      <c r="AA1744" s="7">
        <f t="shared" si="2"/>
        <v>42650</v>
      </c>
      <c r="AB1744" s="14"/>
      <c r="AC1744" s="14"/>
      <c r="AD1744" s="14"/>
      <c r="AE1744" s="14"/>
      <c r="AF1744" s="14"/>
      <c r="AG1744" s="14"/>
      <c r="AH1744" s="14"/>
      <c r="AI1744" s="14"/>
      <c r="AJ1744" s="14"/>
      <c r="AK1744" s="14"/>
      <c r="AL1744" s="14"/>
      <c r="AM1744" s="14"/>
    </row>
    <row r="1745" ht="14.25" customHeight="1">
      <c r="AA1745" s="7">
        <f t="shared" si="2"/>
        <v>42651</v>
      </c>
      <c r="AB1745" s="14"/>
      <c r="AC1745" s="14"/>
      <c r="AD1745" s="14"/>
      <c r="AE1745" s="14"/>
      <c r="AF1745" s="14"/>
      <c r="AG1745" s="14"/>
      <c r="AH1745" s="14"/>
      <c r="AI1745" s="14"/>
      <c r="AJ1745" s="14"/>
      <c r="AK1745" s="14"/>
      <c r="AL1745" s="14"/>
      <c r="AM1745" s="14"/>
    </row>
    <row r="1746" ht="14.25" customHeight="1">
      <c r="AA1746" s="7">
        <f t="shared" si="2"/>
        <v>42652</v>
      </c>
      <c r="AB1746" s="14"/>
      <c r="AC1746" s="14"/>
      <c r="AD1746" s="14"/>
      <c r="AE1746" s="14"/>
      <c r="AF1746" s="14"/>
      <c r="AG1746" s="14"/>
      <c r="AH1746" s="14"/>
      <c r="AI1746" s="14"/>
      <c r="AJ1746" s="14"/>
      <c r="AK1746" s="14"/>
      <c r="AL1746" s="14"/>
      <c r="AM1746" s="14"/>
    </row>
    <row r="1747" ht="14.25" customHeight="1">
      <c r="AA1747" s="7">
        <f t="shared" si="2"/>
        <v>42653</v>
      </c>
      <c r="AB1747" s="14"/>
      <c r="AC1747" s="14"/>
      <c r="AD1747" s="14"/>
      <c r="AE1747" s="14"/>
      <c r="AF1747" s="14"/>
      <c r="AG1747" s="14"/>
      <c r="AH1747" s="14"/>
      <c r="AI1747" s="14"/>
      <c r="AJ1747" s="14"/>
      <c r="AK1747" s="14"/>
      <c r="AL1747" s="14"/>
      <c r="AM1747" s="14"/>
    </row>
    <row r="1748" ht="14.25" customHeight="1">
      <c r="AA1748" s="7">
        <f t="shared" si="2"/>
        <v>42654</v>
      </c>
      <c r="AB1748" s="14"/>
      <c r="AC1748" s="14"/>
      <c r="AD1748" s="14"/>
      <c r="AE1748" s="14"/>
      <c r="AF1748" s="14"/>
      <c r="AG1748" s="14"/>
      <c r="AH1748" s="14"/>
      <c r="AI1748" s="14"/>
      <c r="AJ1748" s="14"/>
      <c r="AK1748" s="14"/>
      <c r="AL1748" s="14"/>
      <c r="AM1748" s="14"/>
    </row>
    <row r="1749" ht="14.25" customHeight="1">
      <c r="AA1749" s="7">
        <f t="shared" si="2"/>
        <v>42655</v>
      </c>
      <c r="AB1749" s="14"/>
      <c r="AC1749" s="14"/>
      <c r="AD1749" s="14"/>
      <c r="AE1749" s="14"/>
      <c r="AF1749" s="14"/>
      <c r="AG1749" s="14"/>
      <c r="AH1749" s="14"/>
      <c r="AI1749" s="14"/>
      <c r="AJ1749" s="14"/>
      <c r="AK1749" s="14"/>
      <c r="AL1749" s="14"/>
      <c r="AM1749" s="14"/>
    </row>
    <row r="1750" ht="14.25" customHeight="1">
      <c r="AA1750" s="7">
        <f t="shared" si="2"/>
        <v>42656</v>
      </c>
      <c r="AB1750" s="14"/>
      <c r="AC1750" s="14"/>
      <c r="AD1750" s="14"/>
      <c r="AE1750" s="14"/>
      <c r="AF1750" s="14"/>
      <c r="AG1750" s="14"/>
      <c r="AH1750" s="14"/>
      <c r="AI1750" s="14"/>
      <c r="AJ1750" s="14"/>
      <c r="AK1750" s="14"/>
      <c r="AL1750" s="14"/>
      <c r="AM1750" s="14"/>
    </row>
    <row r="1751" ht="14.25" customHeight="1">
      <c r="AA1751" s="7">
        <f t="shared" si="2"/>
        <v>42657</v>
      </c>
      <c r="AB1751" s="14"/>
      <c r="AC1751" s="14"/>
      <c r="AD1751" s="14"/>
      <c r="AE1751" s="14"/>
      <c r="AF1751" s="14"/>
      <c r="AG1751" s="14"/>
      <c r="AH1751" s="14"/>
      <c r="AI1751" s="14"/>
      <c r="AJ1751" s="14"/>
      <c r="AK1751" s="14"/>
      <c r="AL1751" s="14"/>
      <c r="AM1751" s="14"/>
    </row>
    <row r="1752" ht="14.25" customHeight="1">
      <c r="AA1752" s="7">
        <f t="shared" si="2"/>
        <v>42658</v>
      </c>
      <c r="AB1752" s="14"/>
      <c r="AC1752" s="14"/>
      <c r="AD1752" s="14"/>
      <c r="AE1752" s="14"/>
      <c r="AF1752" s="14"/>
      <c r="AG1752" s="14"/>
      <c r="AH1752" s="14"/>
      <c r="AI1752" s="14"/>
      <c r="AJ1752" s="14"/>
      <c r="AK1752" s="14"/>
      <c r="AL1752" s="14"/>
      <c r="AM1752" s="14"/>
    </row>
    <row r="1753" ht="14.25" customHeight="1">
      <c r="AA1753" s="7">
        <f t="shared" si="2"/>
        <v>42659</v>
      </c>
      <c r="AB1753" s="14"/>
      <c r="AC1753" s="14"/>
      <c r="AD1753" s="14"/>
      <c r="AE1753" s="14"/>
      <c r="AF1753" s="14"/>
      <c r="AG1753" s="14"/>
      <c r="AH1753" s="14"/>
      <c r="AI1753" s="14"/>
      <c r="AJ1753" s="14"/>
      <c r="AK1753" s="14"/>
      <c r="AL1753" s="14"/>
      <c r="AM1753" s="14"/>
    </row>
    <row r="1754" ht="14.25" customHeight="1">
      <c r="AA1754" s="7">
        <f t="shared" si="2"/>
        <v>42660</v>
      </c>
      <c r="AB1754" s="14"/>
      <c r="AC1754" s="14"/>
      <c r="AD1754" s="14"/>
      <c r="AE1754" s="14"/>
      <c r="AF1754" s="14"/>
      <c r="AG1754" s="14"/>
      <c r="AH1754" s="14"/>
      <c r="AI1754" s="14"/>
      <c r="AJ1754" s="14"/>
      <c r="AK1754" s="14"/>
      <c r="AL1754" s="14"/>
      <c r="AM1754" s="14"/>
    </row>
    <row r="1755" ht="14.25" customHeight="1">
      <c r="AA1755" s="7">
        <f t="shared" si="2"/>
        <v>42661</v>
      </c>
      <c r="AB1755" s="14"/>
      <c r="AC1755" s="14"/>
      <c r="AD1755" s="14"/>
      <c r="AE1755" s="14"/>
      <c r="AF1755" s="14"/>
      <c r="AG1755" s="14"/>
      <c r="AH1755" s="14"/>
      <c r="AI1755" s="14"/>
      <c r="AJ1755" s="14"/>
      <c r="AK1755" s="14"/>
      <c r="AL1755" s="14"/>
      <c r="AM1755" s="14"/>
    </row>
    <row r="1756" ht="14.25" customHeight="1">
      <c r="AA1756" s="7">
        <f t="shared" si="2"/>
        <v>42662</v>
      </c>
      <c r="AB1756" s="14"/>
      <c r="AC1756" s="14"/>
      <c r="AD1756" s="14"/>
      <c r="AE1756" s="14"/>
      <c r="AF1756" s="14"/>
      <c r="AG1756" s="14"/>
      <c r="AH1756" s="14"/>
      <c r="AI1756" s="14"/>
      <c r="AJ1756" s="14"/>
      <c r="AK1756" s="14"/>
      <c r="AL1756" s="14"/>
      <c r="AM1756" s="14"/>
    </row>
    <row r="1757" ht="14.25" customHeight="1">
      <c r="AA1757" s="7">
        <f t="shared" si="2"/>
        <v>42663</v>
      </c>
      <c r="AB1757" s="14"/>
      <c r="AC1757" s="14"/>
      <c r="AD1757" s="14"/>
      <c r="AE1757" s="14"/>
      <c r="AF1757" s="14"/>
      <c r="AG1757" s="14"/>
      <c r="AH1757" s="14"/>
      <c r="AI1757" s="14"/>
      <c r="AJ1757" s="14"/>
      <c r="AK1757" s="14"/>
      <c r="AL1757" s="14"/>
      <c r="AM1757" s="14"/>
    </row>
    <row r="1758" ht="14.25" customHeight="1">
      <c r="AA1758" s="7">
        <f t="shared" si="2"/>
        <v>42664</v>
      </c>
      <c r="AB1758" s="14"/>
      <c r="AC1758" s="14"/>
      <c r="AD1758" s="14"/>
      <c r="AE1758" s="14"/>
      <c r="AF1758" s="14"/>
      <c r="AG1758" s="14"/>
      <c r="AH1758" s="14"/>
      <c r="AI1758" s="14"/>
      <c r="AJ1758" s="14"/>
      <c r="AK1758" s="14"/>
      <c r="AL1758" s="14"/>
      <c r="AM1758" s="14"/>
    </row>
    <row r="1759" ht="14.25" customHeight="1">
      <c r="AA1759" s="7">
        <f t="shared" si="2"/>
        <v>42665</v>
      </c>
      <c r="AB1759" s="14"/>
      <c r="AC1759" s="14"/>
      <c r="AD1759" s="14"/>
      <c r="AE1759" s="14"/>
      <c r="AF1759" s="14"/>
      <c r="AG1759" s="14"/>
      <c r="AH1759" s="14"/>
      <c r="AI1759" s="14"/>
      <c r="AJ1759" s="14"/>
      <c r="AK1759" s="14"/>
      <c r="AL1759" s="14"/>
      <c r="AM1759" s="14"/>
    </row>
    <row r="1760" ht="14.25" customHeight="1">
      <c r="AA1760" s="7">
        <f t="shared" si="2"/>
        <v>42666</v>
      </c>
      <c r="AB1760" s="14"/>
      <c r="AC1760" s="14"/>
      <c r="AD1760" s="14"/>
      <c r="AE1760" s="14"/>
      <c r="AF1760" s="14"/>
      <c r="AG1760" s="14"/>
      <c r="AH1760" s="14"/>
      <c r="AI1760" s="14"/>
      <c r="AJ1760" s="14"/>
      <c r="AK1760" s="14"/>
      <c r="AL1760" s="14"/>
      <c r="AM1760" s="14"/>
    </row>
    <row r="1761" ht="14.25" customHeight="1">
      <c r="AA1761" s="7">
        <f t="shared" si="2"/>
        <v>42667</v>
      </c>
      <c r="AB1761" s="14"/>
      <c r="AC1761" s="14"/>
      <c r="AD1761" s="14"/>
      <c r="AE1761" s="14"/>
      <c r="AF1761" s="14"/>
      <c r="AG1761" s="14"/>
      <c r="AH1761" s="14"/>
      <c r="AI1761" s="14"/>
      <c r="AJ1761" s="14"/>
      <c r="AK1761" s="14"/>
      <c r="AL1761" s="14"/>
      <c r="AM1761" s="14"/>
    </row>
    <row r="1762" ht="14.25" customHeight="1">
      <c r="AA1762" s="7">
        <f t="shared" si="2"/>
        <v>42668</v>
      </c>
      <c r="AB1762" s="14"/>
      <c r="AC1762" s="14"/>
      <c r="AD1762" s="14"/>
      <c r="AE1762" s="14"/>
      <c r="AF1762" s="14"/>
      <c r="AG1762" s="14"/>
      <c r="AH1762" s="14"/>
      <c r="AI1762" s="14"/>
      <c r="AJ1762" s="14"/>
      <c r="AK1762" s="14"/>
      <c r="AL1762" s="14"/>
      <c r="AM1762" s="14"/>
    </row>
    <row r="1763" ht="14.25" customHeight="1">
      <c r="AA1763" s="7">
        <f t="shared" si="2"/>
        <v>42669</v>
      </c>
      <c r="AB1763" s="14"/>
      <c r="AC1763" s="14"/>
      <c r="AD1763" s="14"/>
      <c r="AE1763" s="14"/>
      <c r="AF1763" s="14"/>
      <c r="AG1763" s="14"/>
      <c r="AH1763" s="14"/>
      <c r="AI1763" s="14"/>
      <c r="AJ1763" s="14"/>
      <c r="AK1763" s="14"/>
      <c r="AL1763" s="14"/>
      <c r="AM1763" s="14"/>
    </row>
    <row r="1764" ht="14.25" customHeight="1">
      <c r="AA1764" s="7">
        <f t="shared" si="2"/>
        <v>42670</v>
      </c>
      <c r="AB1764" s="14"/>
      <c r="AC1764" s="14"/>
      <c r="AD1764" s="14"/>
      <c r="AE1764" s="14"/>
      <c r="AF1764" s="14"/>
      <c r="AG1764" s="14"/>
      <c r="AH1764" s="14"/>
      <c r="AI1764" s="14"/>
      <c r="AJ1764" s="14"/>
      <c r="AK1764" s="14"/>
      <c r="AL1764" s="14"/>
      <c r="AM1764" s="14"/>
    </row>
    <row r="1765" ht="14.25" customHeight="1">
      <c r="AA1765" s="7">
        <f t="shared" si="2"/>
        <v>42671</v>
      </c>
      <c r="AB1765" s="14"/>
      <c r="AC1765" s="14"/>
      <c r="AD1765" s="14"/>
      <c r="AE1765" s="14"/>
      <c r="AF1765" s="14"/>
      <c r="AG1765" s="14"/>
      <c r="AH1765" s="14"/>
      <c r="AI1765" s="14"/>
      <c r="AJ1765" s="14"/>
      <c r="AK1765" s="14"/>
      <c r="AL1765" s="14"/>
      <c r="AM1765" s="14"/>
    </row>
    <row r="1766" ht="14.25" customHeight="1">
      <c r="AA1766" s="7">
        <f t="shared" si="2"/>
        <v>42672</v>
      </c>
      <c r="AB1766" s="14"/>
      <c r="AC1766" s="14"/>
      <c r="AD1766" s="14"/>
      <c r="AE1766" s="14"/>
      <c r="AF1766" s="14"/>
      <c r="AG1766" s="14"/>
      <c r="AH1766" s="14"/>
      <c r="AI1766" s="14"/>
      <c r="AJ1766" s="14"/>
      <c r="AK1766" s="14"/>
      <c r="AL1766" s="14"/>
      <c r="AM1766" s="14"/>
    </row>
    <row r="1767" ht="14.25" customHeight="1">
      <c r="AA1767" s="7">
        <f t="shared" si="2"/>
        <v>42673</v>
      </c>
      <c r="AB1767" s="14"/>
      <c r="AC1767" s="14"/>
      <c r="AD1767" s="14"/>
      <c r="AE1767" s="14"/>
      <c r="AF1767" s="14"/>
      <c r="AG1767" s="14"/>
      <c r="AH1767" s="14"/>
      <c r="AI1767" s="14"/>
      <c r="AJ1767" s="14"/>
      <c r="AK1767" s="14"/>
      <c r="AL1767" s="14"/>
      <c r="AM1767" s="14"/>
    </row>
    <row r="1768" ht="14.25" customHeight="1">
      <c r="AA1768" s="7">
        <f t="shared" si="2"/>
        <v>42674</v>
      </c>
      <c r="AB1768" s="14"/>
      <c r="AC1768" s="14"/>
      <c r="AD1768" s="14"/>
      <c r="AE1768" s="14"/>
      <c r="AF1768" s="14"/>
      <c r="AG1768" s="14"/>
      <c r="AH1768" s="14"/>
      <c r="AI1768" s="14"/>
      <c r="AJ1768" s="14"/>
      <c r="AK1768" s="14"/>
      <c r="AL1768" s="14"/>
      <c r="AM1768" s="14"/>
    </row>
    <row r="1769" ht="14.25" customHeight="1">
      <c r="AA1769" s="7">
        <f t="shared" si="2"/>
        <v>42675</v>
      </c>
      <c r="AB1769" s="14"/>
      <c r="AC1769" s="14"/>
      <c r="AD1769" s="14"/>
      <c r="AE1769" s="14"/>
      <c r="AF1769" s="14"/>
      <c r="AG1769" s="14"/>
      <c r="AH1769" s="14"/>
      <c r="AI1769" s="14"/>
      <c r="AJ1769" s="14"/>
      <c r="AK1769" s="14"/>
      <c r="AL1769" s="14"/>
      <c r="AM1769" s="14"/>
    </row>
    <row r="1770" ht="14.25" customHeight="1">
      <c r="AA1770" s="7">
        <f t="shared" si="2"/>
        <v>42676</v>
      </c>
      <c r="AB1770" s="14"/>
      <c r="AC1770" s="14"/>
      <c r="AD1770" s="14"/>
      <c r="AE1770" s="14"/>
      <c r="AF1770" s="14"/>
      <c r="AG1770" s="14"/>
      <c r="AH1770" s="14"/>
      <c r="AI1770" s="14"/>
      <c r="AJ1770" s="14"/>
      <c r="AK1770" s="14"/>
      <c r="AL1770" s="14"/>
      <c r="AM1770" s="14"/>
    </row>
    <row r="1771" ht="14.25" customHeight="1">
      <c r="AA1771" s="7">
        <f t="shared" si="2"/>
        <v>42677</v>
      </c>
      <c r="AB1771" s="14"/>
      <c r="AC1771" s="14"/>
      <c r="AD1771" s="14"/>
      <c r="AE1771" s="14"/>
      <c r="AF1771" s="14"/>
      <c r="AG1771" s="14"/>
      <c r="AH1771" s="14"/>
      <c r="AI1771" s="14"/>
      <c r="AJ1771" s="14"/>
      <c r="AK1771" s="14"/>
      <c r="AL1771" s="14"/>
      <c r="AM1771" s="14"/>
    </row>
    <row r="1772" ht="14.25" customHeight="1">
      <c r="AA1772" s="7">
        <f t="shared" si="2"/>
        <v>42678</v>
      </c>
      <c r="AB1772" s="14"/>
      <c r="AC1772" s="14"/>
      <c r="AD1772" s="14"/>
      <c r="AE1772" s="14"/>
      <c r="AF1772" s="14"/>
      <c r="AG1772" s="14"/>
      <c r="AH1772" s="14"/>
      <c r="AI1772" s="14"/>
      <c r="AJ1772" s="14"/>
      <c r="AK1772" s="14"/>
      <c r="AL1772" s="14"/>
      <c r="AM1772" s="14"/>
    </row>
    <row r="1773" ht="14.25" customHeight="1">
      <c r="AA1773" s="7">
        <f t="shared" si="2"/>
        <v>42679</v>
      </c>
      <c r="AB1773" s="14"/>
      <c r="AC1773" s="14"/>
      <c r="AD1773" s="14"/>
      <c r="AE1773" s="14"/>
      <c r="AF1773" s="14"/>
      <c r="AG1773" s="14"/>
      <c r="AH1773" s="14"/>
      <c r="AI1773" s="14"/>
      <c r="AJ1773" s="14"/>
      <c r="AK1773" s="14"/>
      <c r="AL1773" s="14"/>
      <c r="AM1773" s="14"/>
    </row>
    <row r="1774" ht="14.25" customHeight="1">
      <c r="AA1774" s="7">
        <f t="shared" si="2"/>
        <v>42680</v>
      </c>
      <c r="AB1774" s="14"/>
      <c r="AC1774" s="14"/>
      <c r="AD1774" s="14"/>
      <c r="AE1774" s="14"/>
      <c r="AF1774" s="14"/>
      <c r="AG1774" s="14"/>
      <c r="AH1774" s="14"/>
      <c r="AI1774" s="14"/>
      <c r="AJ1774" s="14"/>
      <c r="AK1774" s="14"/>
      <c r="AL1774" s="14"/>
      <c r="AM1774" s="14"/>
    </row>
    <row r="1775" ht="14.25" customHeight="1">
      <c r="AA1775" s="7">
        <f t="shared" si="2"/>
        <v>42681</v>
      </c>
      <c r="AB1775" s="14"/>
      <c r="AC1775" s="14"/>
      <c r="AD1775" s="14"/>
      <c r="AE1775" s="14"/>
      <c r="AF1775" s="14"/>
      <c r="AG1775" s="14"/>
      <c r="AH1775" s="14"/>
      <c r="AI1775" s="14"/>
      <c r="AJ1775" s="14"/>
      <c r="AK1775" s="14"/>
      <c r="AL1775" s="14"/>
      <c r="AM1775" s="14"/>
    </row>
    <row r="1776" ht="14.25" customHeight="1">
      <c r="AA1776" s="7">
        <f t="shared" si="2"/>
        <v>42682</v>
      </c>
      <c r="AB1776" s="14"/>
      <c r="AC1776" s="14"/>
      <c r="AD1776" s="14"/>
      <c r="AE1776" s="14"/>
      <c r="AF1776" s="14"/>
      <c r="AG1776" s="14"/>
      <c r="AH1776" s="14"/>
      <c r="AI1776" s="14"/>
      <c r="AJ1776" s="14"/>
      <c r="AK1776" s="14"/>
      <c r="AL1776" s="14"/>
      <c r="AM1776" s="14"/>
    </row>
    <row r="1777" ht="14.25" customHeight="1">
      <c r="AA1777" s="7">
        <f t="shared" si="2"/>
        <v>42683</v>
      </c>
      <c r="AB1777" s="14"/>
      <c r="AC1777" s="14"/>
      <c r="AD1777" s="14"/>
      <c r="AE1777" s="14"/>
      <c r="AF1777" s="14"/>
      <c r="AG1777" s="14"/>
      <c r="AH1777" s="14"/>
      <c r="AI1777" s="14"/>
      <c r="AJ1777" s="14"/>
      <c r="AK1777" s="14"/>
      <c r="AL1777" s="14"/>
      <c r="AM1777" s="14"/>
    </row>
    <row r="1778" ht="14.25" customHeight="1">
      <c r="AA1778" s="7">
        <f t="shared" si="2"/>
        <v>42684</v>
      </c>
      <c r="AB1778" s="14"/>
      <c r="AC1778" s="14"/>
      <c r="AD1778" s="14"/>
      <c r="AE1778" s="14"/>
      <c r="AF1778" s="14"/>
      <c r="AG1778" s="14"/>
      <c r="AH1778" s="14"/>
      <c r="AI1778" s="14"/>
      <c r="AJ1778" s="14"/>
      <c r="AK1778" s="14"/>
      <c r="AL1778" s="14"/>
      <c r="AM1778" s="14"/>
    </row>
    <row r="1779" ht="14.25" customHeight="1">
      <c r="AA1779" s="7">
        <f t="shared" si="2"/>
        <v>42685</v>
      </c>
      <c r="AB1779" s="14"/>
      <c r="AC1779" s="14"/>
      <c r="AD1779" s="14"/>
      <c r="AE1779" s="14"/>
      <c r="AF1779" s="14"/>
      <c r="AG1779" s="14"/>
      <c r="AH1779" s="14"/>
      <c r="AI1779" s="14"/>
      <c r="AJ1779" s="14"/>
      <c r="AK1779" s="14"/>
      <c r="AL1779" s="14"/>
      <c r="AM1779" s="14"/>
    </row>
    <row r="1780" ht="14.25" customHeight="1">
      <c r="AA1780" s="7">
        <f t="shared" si="2"/>
        <v>42686</v>
      </c>
      <c r="AB1780" s="14"/>
      <c r="AC1780" s="14"/>
      <c r="AD1780" s="14"/>
      <c r="AE1780" s="14"/>
      <c r="AF1780" s="14"/>
      <c r="AG1780" s="14"/>
      <c r="AH1780" s="14"/>
      <c r="AI1780" s="14"/>
      <c r="AJ1780" s="14"/>
      <c r="AK1780" s="14"/>
      <c r="AL1780" s="14"/>
      <c r="AM1780" s="14"/>
    </row>
    <row r="1781" ht="14.25" customHeight="1">
      <c r="AA1781" s="7">
        <f t="shared" si="2"/>
        <v>42687</v>
      </c>
      <c r="AB1781" s="14"/>
      <c r="AC1781" s="14"/>
      <c r="AD1781" s="14"/>
      <c r="AE1781" s="14"/>
      <c r="AF1781" s="14"/>
      <c r="AG1781" s="14"/>
      <c r="AH1781" s="14"/>
      <c r="AI1781" s="14"/>
      <c r="AJ1781" s="14"/>
      <c r="AK1781" s="14"/>
      <c r="AL1781" s="14"/>
      <c r="AM1781" s="14"/>
    </row>
    <row r="1782" ht="14.25" customHeight="1">
      <c r="AA1782" s="7">
        <f t="shared" si="2"/>
        <v>42688</v>
      </c>
      <c r="AB1782" s="14"/>
      <c r="AC1782" s="14"/>
      <c r="AD1782" s="14"/>
      <c r="AE1782" s="14"/>
      <c r="AF1782" s="14"/>
      <c r="AG1782" s="14"/>
      <c r="AH1782" s="14"/>
      <c r="AI1782" s="14"/>
      <c r="AJ1782" s="14"/>
      <c r="AK1782" s="14"/>
      <c r="AL1782" s="14"/>
      <c r="AM1782" s="14"/>
    </row>
    <row r="1783" ht="14.25" customHeight="1">
      <c r="AA1783" s="7">
        <f t="shared" si="2"/>
        <v>42689</v>
      </c>
      <c r="AB1783" s="14"/>
      <c r="AC1783" s="14"/>
      <c r="AD1783" s="14"/>
      <c r="AE1783" s="14"/>
      <c r="AF1783" s="14"/>
      <c r="AG1783" s="14"/>
      <c r="AH1783" s="14"/>
      <c r="AI1783" s="14"/>
      <c r="AJ1783" s="14"/>
      <c r="AK1783" s="14"/>
      <c r="AL1783" s="14"/>
      <c r="AM1783" s="14"/>
    </row>
    <row r="1784" ht="14.25" customHeight="1">
      <c r="AA1784" s="7">
        <f t="shared" si="2"/>
        <v>42690</v>
      </c>
      <c r="AB1784" s="14"/>
      <c r="AC1784" s="14"/>
      <c r="AD1784" s="14"/>
      <c r="AE1784" s="14"/>
      <c r="AF1784" s="14"/>
      <c r="AG1784" s="14"/>
      <c r="AH1784" s="14"/>
      <c r="AI1784" s="14"/>
      <c r="AJ1784" s="14"/>
      <c r="AK1784" s="14"/>
      <c r="AL1784" s="14"/>
      <c r="AM1784" s="14"/>
    </row>
    <row r="1785" ht="14.25" customHeight="1">
      <c r="AA1785" s="7">
        <f t="shared" si="2"/>
        <v>42691</v>
      </c>
      <c r="AB1785" s="14"/>
      <c r="AC1785" s="14"/>
      <c r="AD1785" s="14"/>
      <c r="AE1785" s="14"/>
      <c r="AF1785" s="14"/>
      <c r="AG1785" s="14"/>
      <c r="AH1785" s="14"/>
      <c r="AI1785" s="14"/>
      <c r="AJ1785" s="14"/>
      <c r="AK1785" s="14"/>
      <c r="AL1785" s="14"/>
      <c r="AM1785" s="14"/>
    </row>
    <row r="1786" ht="14.25" customHeight="1">
      <c r="AA1786" s="7">
        <f t="shared" si="2"/>
        <v>42692</v>
      </c>
      <c r="AB1786" s="14"/>
      <c r="AC1786" s="14"/>
      <c r="AD1786" s="14"/>
      <c r="AE1786" s="14"/>
      <c r="AF1786" s="14"/>
      <c r="AG1786" s="14"/>
      <c r="AH1786" s="14"/>
      <c r="AI1786" s="14"/>
      <c r="AJ1786" s="14"/>
      <c r="AK1786" s="14"/>
      <c r="AL1786" s="14"/>
      <c r="AM1786" s="14"/>
    </row>
    <row r="1787" ht="14.25" customHeight="1">
      <c r="AA1787" s="7">
        <f t="shared" si="2"/>
        <v>42693</v>
      </c>
      <c r="AB1787" s="14"/>
      <c r="AC1787" s="14"/>
      <c r="AD1787" s="14"/>
      <c r="AE1787" s="14"/>
      <c r="AF1787" s="14"/>
      <c r="AG1787" s="14"/>
      <c r="AH1787" s="14"/>
      <c r="AI1787" s="14"/>
      <c r="AJ1787" s="14"/>
      <c r="AK1787" s="14"/>
      <c r="AL1787" s="14"/>
      <c r="AM1787" s="14"/>
    </row>
    <row r="1788" ht="14.25" customHeight="1">
      <c r="AA1788" s="7">
        <f t="shared" si="2"/>
        <v>42694</v>
      </c>
      <c r="AB1788" s="14"/>
      <c r="AC1788" s="14"/>
      <c r="AD1788" s="14"/>
      <c r="AE1788" s="14"/>
      <c r="AF1788" s="14"/>
      <c r="AG1788" s="14"/>
      <c r="AH1788" s="14"/>
      <c r="AI1788" s="14"/>
      <c r="AJ1788" s="14"/>
      <c r="AK1788" s="14"/>
      <c r="AL1788" s="14"/>
      <c r="AM1788" s="14"/>
    </row>
    <row r="1789" ht="14.25" customHeight="1">
      <c r="AA1789" s="7">
        <f t="shared" si="2"/>
        <v>42695</v>
      </c>
      <c r="AB1789" s="14"/>
      <c r="AC1789" s="14"/>
      <c r="AD1789" s="14"/>
      <c r="AE1789" s="14"/>
      <c r="AF1789" s="14"/>
      <c r="AG1789" s="14"/>
      <c r="AH1789" s="14"/>
      <c r="AI1789" s="14"/>
      <c r="AJ1789" s="14"/>
      <c r="AK1789" s="14"/>
      <c r="AL1789" s="14"/>
      <c r="AM1789" s="14"/>
    </row>
    <row r="1790" ht="14.25" customHeight="1">
      <c r="AA1790" s="7">
        <f t="shared" si="2"/>
        <v>42696</v>
      </c>
      <c r="AB1790" s="14"/>
      <c r="AC1790" s="14"/>
      <c r="AD1790" s="14"/>
      <c r="AE1790" s="14"/>
      <c r="AF1790" s="14"/>
      <c r="AG1790" s="14"/>
      <c r="AH1790" s="14"/>
      <c r="AI1790" s="14"/>
      <c r="AJ1790" s="14"/>
      <c r="AK1790" s="14"/>
      <c r="AL1790" s="14"/>
      <c r="AM1790" s="14"/>
    </row>
    <row r="1791" ht="14.25" customHeight="1">
      <c r="AA1791" s="7">
        <f t="shared" si="2"/>
        <v>42697</v>
      </c>
      <c r="AB1791" s="14"/>
      <c r="AC1791" s="14"/>
      <c r="AD1791" s="14"/>
      <c r="AE1791" s="14"/>
      <c r="AF1791" s="14"/>
      <c r="AG1791" s="14"/>
      <c r="AH1791" s="14"/>
      <c r="AI1791" s="14"/>
      <c r="AJ1791" s="14"/>
      <c r="AK1791" s="14"/>
      <c r="AL1791" s="14"/>
      <c r="AM1791" s="14"/>
    </row>
    <row r="1792" ht="14.25" customHeight="1">
      <c r="AA1792" s="7">
        <f t="shared" si="2"/>
        <v>42698</v>
      </c>
      <c r="AB1792" s="14"/>
      <c r="AC1792" s="14"/>
      <c r="AD1792" s="14"/>
      <c r="AE1792" s="14"/>
      <c r="AF1792" s="14"/>
      <c r="AG1792" s="14"/>
      <c r="AH1792" s="14"/>
      <c r="AI1792" s="14"/>
      <c r="AJ1792" s="14"/>
      <c r="AK1792" s="14"/>
      <c r="AL1792" s="14"/>
      <c r="AM1792" s="14"/>
    </row>
    <row r="1793" ht="14.25" customHeight="1">
      <c r="AA1793" s="7">
        <f t="shared" si="2"/>
        <v>42699</v>
      </c>
      <c r="AB1793" s="14"/>
      <c r="AC1793" s="14"/>
      <c r="AD1793" s="14"/>
      <c r="AE1793" s="14"/>
      <c r="AF1793" s="14"/>
      <c r="AG1793" s="14"/>
      <c r="AH1793" s="14"/>
      <c r="AI1793" s="14"/>
      <c r="AJ1793" s="14"/>
      <c r="AK1793" s="14"/>
      <c r="AL1793" s="14"/>
      <c r="AM1793" s="14"/>
    </row>
    <row r="1794" ht="14.25" customHeight="1">
      <c r="AA1794" s="7">
        <f t="shared" si="2"/>
        <v>42700</v>
      </c>
      <c r="AB1794" s="14"/>
      <c r="AC1794" s="14"/>
      <c r="AD1794" s="14"/>
      <c r="AE1794" s="14"/>
      <c r="AF1794" s="14"/>
      <c r="AG1794" s="14"/>
      <c r="AH1794" s="14"/>
      <c r="AI1794" s="14"/>
      <c r="AJ1794" s="14"/>
      <c r="AK1794" s="14"/>
      <c r="AL1794" s="14"/>
      <c r="AM1794" s="14"/>
    </row>
    <row r="1795" ht="14.25" customHeight="1">
      <c r="AA1795" s="7">
        <f t="shared" si="2"/>
        <v>42701</v>
      </c>
      <c r="AB1795" s="14"/>
      <c r="AC1795" s="14"/>
      <c r="AD1795" s="14"/>
      <c r="AE1795" s="14"/>
      <c r="AF1795" s="14"/>
      <c r="AG1795" s="14"/>
      <c r="AH1795" s="14"/>
      <c r="AI1795" s="14"/>
      <c r="AJ1795" s="14"/>
      <c r="AK1795" s="14"/>
      <c r="AL1795" s="14"/>
      <c r="AM1795" s="14"/>
    </row>
    <row r="1796" ht="14.25" customHeight="1">
      <c r="AA1796" s="7">
        <f t="shared" si="2"/>
        <v>42702</v>
      </c>
      <c r="AB1796" s="14"/>
      <c r="AC1796" s="14"/>
      <c r="AD1796" s="14"/>
      <c r="AE1796" s="14"/>
      <c r="AF1796" s="14"/>
      <c r="AG1796" s="14"/>
      <c r="AH1796" s="14"/>
      <c r="AI1796" s="14"/>
      <c r="AJ1796" s="14"/>
      <c r="AK1796" s="14"/>
      <c r="AL1796" s="14"/>
      <c r="AM1796" s="14"/>
    </row>
    <row r="1797" ht="14.25" customHeight="1">
      <c r="AA1797" s="7">
        <f t="shared" si="2"/>
        <v>42703</v>
      </c>
      <c r="AB1797" s="14"/>
      <c r="AC1797" s="14"/>
      <c r="AD1797" s="14"/>
      <c r="AE1797" s="14"/>
      <c r="AF1797" s="14"/>
      <c r="AG1797" s="14"/>
      <c r="AH1797" s="14"/>
      <c r="AI1797" s="14"/>
      <c r="AJ1797" s="14"/>
      <c r="AK1797" s="14"/>
      <c r="AL1797" s="14"/>
      <c r="AM1797" s="14"/>
    </row>
    <row r="1798" ht="14.25" customHeight="1">
      <c r="AA1798" s="7">
        <f t="shared" si="2"/>
        <v>42704</v>
      </c>
      <c r="AB1798" s="14"/>
      <c r="AC1798" s="14"/>
      <c r="AD1798" s="14"/>
      <c r="AE1798" s="14"/>
      <c r="AF1798" s="14"/>
      <c r="AG1798" s="14"/>
      <c r="AH1798" s="14"/>
      <c r="AI1798" s="14"/>
      <c r="AJ1798" s="14"/>
      <c r="AK1798" s="14"/>
      <c r="AL1798" s="14"/>
      <c r="AM1798" s="14"/>
    </row>
    <row r="1799" ht="14.25" customHeight="1">
      <c r="AA1799" s="7">
        <f t="shared" si="2"/>
        <v>42705</v>
      </c>
      <c r="AB1799" s="14"/>
      <c r="AC1799" s="14"/>
      <c r="AD1799" s="14"/>
      <c r="AE1799" s="14"/>
      <c r="AF1799" s="14"/>
      <c r="AG1799" s="14"/>
      <c r="AH1799" s="14"/>
      <c r="AI1799" s="14"/>
      <c r="AJ1799" s="14"/>
      <c r="AK1799" s="14"/>
      <c r="AL1799" s="14"/>
      <c r="AM1799" s="14"/>
    </row>
    <row r="1800" ht="14.25" customHeight="1">
      <c r="AA1800" s="7">
        <f t="shared" si="2"/>
        <v>42706</v>
      </c>
      <c r="AB1800" s="14"/>
      <c r="AC1800" s="14"/>
      <c r="AD1800" s="14"/>
      <c r="AE1800" s="14"/>
      <c r="AF1800" s="14"/>
      <c r="AG1800" s="14"/>
      <c r="AH1800" s="14"/>
      <c r="AI1800" s="14"/>
      <c r="AJ1800" s="14"/>
      <c r="AK1800" s="14"/>
      <c r="AL1800" s="14"/>
      <c r="AM1800" s="14"/>
    </row>
    <row r="1801" ht="14.25" customHeight="1">
      <c r="AA1801" s="7">
        <f t="shared" si="2"/>
        <v>42707</v>
      </c>
      <c r="AB1801" s="14"/>
      <c r="AC1801" s="14"/>
      <c r="AD1801" s="14"/>
      <c r="AE1801" s="14"/>
      <c r="AF1801" s="14"/>
      <c r="AG1801" s="14"/>
      <c r="AH1801" s="14"/>
      <c r="AI1801" s="14"/>
      <c r="AJ1801" s="14"/>
      <c r="AK1801" s="14"/>
      <c r="AL1801" s="14"/>
      <c r="AM1801" s="14"/>
    </row>
    <row r="1802" ht="14.25" customHeight="1">
      <c r="AA1802" s="7">
        <f t="shared" si="2"/>
        <v>42708</v>
      </c>
      <c r="AB1802" s="14"/>
      <c r="AC1802" s="14"/>
      <c r="AD1802" s="14"/>
      <c r="AE1802" s="14"/>
      <c r="AF1802" s="14"/>
      <c r="AG1802" s="14"/>
      <c r="AH1802" s="14"/>
      <c r="AI1802" s="14"/>
      <c r="AJ1802" s="14"/>
      <c r="AK1802" s="14"/>
      <c r="AL1802" s="14"/>
      <c r="AM1802" s="14"/>
    </row>
    <row r="1803" ht="14.25" customHeight="1">
      <c r="AA1803" s="7">
        <f t="shared" si="2"/>
        <v>42709</v>
      </c>
      <c r="AB1803" s="14"/>
      <c r="AC1803" s="14"/>
      <c r="AD1803" s="14"/>
      <c r="AE1803" s="14"/>
      <c r="AF1803" s="14"/>
      <c r="AG1803" s="14"/>
      <c r="AH1803" s="14"/>
      <c r="AI1803" s="14"/>
      <c r="AJ1803" s="14"/>
      <c r="AK1803" s="14"/>
      <c r="AL1803" s="14"/>
      <c r="AM1803" s="14"/>
    </row>
    <row r="1804" ht="14.25" customHeight="1">
      <c r="AA1804" s="7">
        <f t="shared" si="2"/>
        <v>42710</v>
      </c>
      <c r="AB1804" s="14"/>
      <c r="AC1804" s="14"/>
      <c r="AD1804" s="14"/>
      <c r="AE1804" s="14"/>
      <c r="AF1804" s="14"/>
      <c r="AG1804" s="14"/>
      <c r="AH1804" s="14"/>
      <c r="AI1804" s="14"/>
      <c r="AJ1804" s="14"/>
      <c r="AK1804" s="14"/>
      <c r="AL1804" s="14"/>
      <c r="AM1804" s="14"/>
    </row>
    <row r="1805" ht="14.25" customHeight="1">
      <c r="AA1805" s="7">
        <f t="shared" si="2"/>
        <v>42711</v>
      </c>
      <c r="AB1805" s="14"/>
      <c r="AC1805" s="14"/>
      <c r="AD1805" s="14"/>
      <c r="AE1805" s="14"/>
      <c r="AF1805" s="14"/>
      <c r="AG1805" s="14"/>
      <c r="AH1805" s="14"/>
      <c r="AI1805" s="14"/>
      <c r="AJ1805" s="14"/>
      <c r="AK1805" s="14"/>
      <c r="AL1805" s="14"/>
      <c r="AM1805" s="14"/>
    </row>
    <row r="1806" ht="14.25" customHeight="1">
      <c r="AA1806" s="7">
        <f t="shared" si="2"/>
        <v>42712</v>
      </c>
      <c r="AB1806" s="14"/>
      <c r="AC1806" s="14"/>
      <c r="AD1806" s="14"/>
      <c r="AE1806" s="14"/>
      <c r="AF1806" s="14"/>
      <c r="AG1806" s="14"/>
      <c r="AH1806" s="14"/>
      <c r="AI1806" s="14"/>
      <c r="AJ1806" s="14"/>
      <c r="AK1806" s="14"/>
      <c r="AL1806" s="14"/>
      <c r="AM1806" s="14"/>
    </row>
    <row r="1807" ht="14.25" customHeight="1">
      <c r="AA1807" s="7">
        <f t="shared" si="2"/>
        <v>42713</v>
      </c>
      <c r="AB1807" s="14"/>
      <c r="AC1807" s="14"/>
      <c r="AD1807" s="14"/>
      <c r="AE1807" s="14"/>
      <c r="AF1807" s="14"/>
      <c r="AG1807" s="14"/>
      <c r="AH1807" s="14"/>
      <c r="AI1807" s="14"/>
      <c r="AJ1807" s="14"/>
      <c r="AK1807" s="14"/>
      <c r="AL1807" s="14"/>
      <c r="AM1807" s="14"/>
    </row>
    <row r="1808" ht="14.25" customHeight="1">
      <c r="AA1808" s="7">
        <f t="shared" si="2"/>
        <v>42714</v>
      </c>
      <c r="AB1808" s="14"/>
      <c r="AC1808" s="14"/>
      <c r="AD1808" s="14"/>
      <c r="AE1808" s="14"/>
      <c r="AF1808" s="14"/>
      <c r="AG1808" s="14"/>
      <c r="AH1808" s="14"/>
      <c r="AI1808" s="14"/>
      <c r="AJ1808" s="14"/>
      <c r="AK1808" s="14"/>
      <c r="AL1808" s="14"/>
      <c r="AM1808" s="14"/>
    </row>
    <row r="1809" ht="14.25" customHeight="1">
      <c r="AA1809" s="7">
        <f t="shared" si="2"/>
        <v>42715</v>
      </c>
      <c r="AB1809" s="14"/>
      <c r="AC1809" s="14"/>
      <c r="AD1809" s="14"/>
      <c r="AE1809" s="14"/>
      <c r="AF1809" s="14"/>
      <c r="AG1809" s="14"/>
      <c r="AH1809" s="14"/>
      <c r="AI1809" s="14"/>
      <c r="AJ1809" s="14"/>
      <c r="AK1809" s="14"/>
      <c r="AL1809" s="14"/>
      <c r="AM1809" s="14"/>
    </row>
    <row r="1810" ht="14.25" customHeight="1">
      <c r="AA1810" s="7">
        <f t="shared" si="2"/>
        <v>42716</v>
      </c>
      <c r="AB1810" s="14"/>
      <c r="AC1810" s="14"/>
      <c r="AD1810" s="14"/>
      <c r="AE1810" s="14"/>
      <c r="AF1810" s="14"/>
      <c r="AG1810" s="14"/>
      <c r="AH1810" s="14"/>
      <c r="AI1810" s="14"/>
      <c r="AJ1810" s="14"/>
      <c r="AK1810" s="14"/>
      <c r="AL1810" s="14"/>
      <c r="AM1810" s="14"/>
    </row>
    <row r="1811" ht="14.25" customHeight="1">
      <c r="AA1811" s="7">
        <f t="shared" si="2"/>
        <v>42717</v>
      </c>
      <c r="AB1811" s="14"/>
      <c r="AC1811" s="14"/>
      <c r="AD1811" s="14"/>
      <c r="AE1811" s="14"/>
      <c r="AF1811" s="14"/>
      <c r="AG1811" s="14"/>
      <c r="AH1811" s="14"/>
      <c r="AI1811" s="14"/>
      <c r="AJ1811" s="14"/>
      <c r="AK1811" s="14"/>
      <c r="AL1811" s="14"/>
      <c r="AM1811" s="14"/>
    </row>
    <row r="1812" ht="14.25" customHeight="1">
      <c r="AA1812" s="7">
        <f t="shared" si="2"/>
        <v>42718</v>
      </c>
      <c r="AB1812" s="14"/>
      <c r="AC1812" s="14"/>
      <c r="AD1812" s="14"/>
      <c r="AE1812" s="14"/>
      <c r="AF1812" s="14"/>
      <c r="AG1812" s="14"/>
      <c r="AH1812" s="14"/>
      <c r="AI1812" s="14"/>
      <c r="AJ1812" s="14"/>
      <c r="AK1812" s="14"/>
      <c r="AL1812" s="14"/>
      <c r="AM1812" s="14"/>
    </row>
    <row r="1813" ht="14.25" customHeight="1">
      <c r="AA1813" s="7">
        <f t="shared" si="2"/>
        <v>42719</v>
      </c>
      <c r="AB1813" s="14"/>
      <c r="AC1813" s="14"/>
      <c r="AD1813" s="14"/>
      <c r="AE1813" s="14"/>
      <c r="AF1813" s="14"/>
      <c r="AG1813" s="14"/>
      <c r="AH1813" s="14"/>
      <c r="AI1813" s="14"/>
      <c r="AJ1813" s="14"/>
      <c r="AK1813" s="14"/>
      <c r="AL1813" s="14"/>
      <c r="AM1813" s="14"/>
    </row>
    <row r="1814" ht="14.25" customHeight="1">
      <c r="AA1814" s="7">
        <f t="shared" si="2"/>
        <v>42720</v>
      </c>
      <c r="AB1814" s="14"/>
      <c r="AC1814" s="14"/>
      <c r="AD1814" s="14"/>
      <c r="AE1814" s="14"/>
      <c r="AF1814" s="14"/>
      <c r="AG1814" s="14"/>
      <c r="AH1814" s="14"/>
      <c r="AI1814" s="14"/>
      <c r="AJ1814" s="14"/>
      <c r="AK1814" s="14"/>
      <c r="AL1814" s="14"/>
      <c r="AM1814" s="14"/>
    </row>
    <row r="1815" ht="14.25" customHeight="1">
      <c r="AA1815" s="7">
        <f t="shared" si="2"/>
        <v>42721</v>
      </c>
      <c r="AB1815" s="14"/>
      <c r="AC1815" s="14"/>
      <c r="AD1815" s="14"/>
      <c r="AE1815" s="14"/>
      <c r="AF1815" s="14"/>
      <c r="AG1815" s="14"/>
      <c r="AH1815" s="14"/>
      <c r="AI1815" s="14"/>
      <c r="AJ1815" s="14"/>
      <c r="AK1815" s="14"/>
      <c r="AL1815" s="14"/>
      <c r="AM1815" s="14"/>
    </row>
    <row r="1816" ht="14.25" customHeight="1">
      <c r="AA1816" s="7">
        <f t="shared" si="2"/>
        <v>42722</v>
      </c>
      <c r="AB1816" s="14"/>
      <c r="AC1816" s="14"/>
      <c r="AD1816" s="14"/>
      <c r="AE1816" s="14"/>
      <c r="AF1816" s="14"/>
      <c r="AG1816" s="14"/>
      <c r="AH1816" s="14"/>
      <c r="AI1816" s="14"/>
      <c r="AJ1816" s="14"/>
      <c r="AK1816" s="14"/>
      <c r="AL1816" s="14"/>
      <c r="AM1816" s="14"/>
    </row>
    <row r="1817" ht="14.25" customHeight="1">
      <c r="AA1817" s="7">
        <f t="shared" si="2"/>
        <v>42723</v>
      </c>
      <c r="AB1817" s="14"/>
      <c r="AC1817" s="14"/>
      <c r="AD1817" s="14"/>
      <c r="AE1817" s="14"/>
      <c r="AF1817" s="14"/>
      <c r="AG1817" s="14"/>
      <c r="AH1817" s="14"/>
      <c r="AI1817" s="14"/>
      <c r="AJ1817" s="14"/>
      <c r="AK1817" s="14"/>
      <c r="AL1817" s="14"/>
      <c r="AM1817" s="14"/>
    </row>
    <row r="1818" ht="14.25" customHeight="1">
      <c r="AA1818" s="7">
        <f t="shared" si="2"/>
        <v>42724</v>
      </c>
      <c r="AB1818" s="14"/>
      <c r="AC1818" s="14"/>
      <c r="AD1818" s="14"/>
      <c r="AE1818" s="14"/>
      <c r="AF1818" s="14"/>
      <c r="AG1818" s="14"/>
      <c r="AH1818" s="14"/>
      <c r="AI1818" s="14"/>
      <c r="AJ1818" s="14"/>
      <c r="AK1818" s="14"/>
      <c r="AL1818" s="14"/>
      <c r="AM1818" s="14"/>
    </row>
    <row r="1819" ht="14.25" customHeight="1">
      <c r="AA1819" s="7">
        <f t="shared" si="2"/>
        <v>42725</v>
      </c>
      <c r="AB1819" s="14"/>
      <c r="AC1819" s="14"/>
      <c r="AD1819" s="14"/>
      <c r="AE1819" s="14"/>
      <c r="AF1819" s="14"/>
      <c r="AG1819" s="14"/>
      <c r="AH1819" s="14"/>
      <c r="AI1819" s="14"/>
      <c r="AJ1819" s="14"/>
      <c r="AK1819" s="14"/>
      <c r="AL1819" s="14"/>
      <c r="AM1819" s="14"/>
    </row>
    <row r="1820" ht="14.25" customHeight="1">
      <c r="AA1820" s="7">
        <f t="shared" si="2"/>
        <v>42726</v>
      </c>
      <c r="AB1820" s="14"/>
      <c r="AC1820" s="14"/>
      <c r="AD1820" s="14"/>
      <c r="AE1820" s="14"/>
      <c r="AF1820" s="14"/>
      <c r="AG1820" s="14"/>
      <c r="AH1820" s="14"/>
      <c r="AI1820" s="14"/>
      <c r="AJ1820" s="14"/>
      <c r="AK1820" s="14"/>
      <c r="AL1820" s="14"/>
      <c r="AM1820" s="14"/>
    </row>
    <row r="1821" ht="14.25" customHeight="1">
      <c r="AA1821" s="7">
        <f t="shared" si="2"/>
        <v>42727</v>
      </c>
      <c r="AB1821" s="14"/>
      <c r="AC1821" s="14"/>
      <c r="AD1821" s="14"/>
      <c r="AE1821" s="14"/>
      <c r="AF1821" s="14"/>
      <c r="AG1821" s="14"/>
      <c r="AH1821" s="14"/>
      <c r="AI1821" s="14"/>
      <c r="AJ1821" s="14"/>
      <c r="AK1821" s="14"/>
      <c r="AL1821" s="14"/>
      <c r="AM1821" s="14"/>
    </row>
    <row r="1822" ht="14.25" customHeight="1">
      <c r="AA1822" s="7">
        <f t="shared" si="2"/>
        <v>42728</v>
      </c>
      <c r="AB1822" s="14"/>
      <c r="AC1822" s="14"/>
      <c r="AD1822" s="14"/>
      <c r="AE1822" s="14"/>
      <c r="AF1822" s="14"/>
      <c r="AG1822" s="14"/>
      <c r="AH1822" s="14"/>
      <c r="AI1822" s="14"/>
      <c r="AJ1822" s="14"/>
      <c r="AK1822" s="14"/>
      <c r="AL1822" s="14"/>
      <c r="AM1822" s="14"/>
    </row>
    <row r="1823" ht="14.25" customHeight="1">
      <c r="AA1823" s="7">
        <f t="shared" si="2"/>
        <v>42729</v>
      </c>
      <c r="AB1823" s="14"/>
      <c r="AC1823" s="14"/>
      <c r="AD1823" s="14"/>
      <c r="AE1823" s="14"/>
      <c r="AF1823" s="14"/>
      <c r="AG1823" s="14"/>
      <c r="AH1823" s="14"/>
      <c r="AI1823" s="14"/>
      <c r="AJ1823" s="14"/>
      <c r="AK1823" s="14"/>
      <c r="AL1823" s="14"/>
      <c r="AM1823" s="14"/>
    </row>
    <row r="1824" ht="14.25" customHeight="1">
      <c r="AA1824" s="7">
        <f t="shared" si="2"/>
        <v>42730</v>
      </c>
      <c r="AB1824" s="14"/>
      <c r="AC1824" s="14"/>
      <c r="AD1824" s="14"/>
      <c r="AE1824" s="14"/>
      <c r="AF1824" s="14"/>
      <c r="AG1824" s="14"/>
      <c r="AH1824" s="14"/>
      <c r="AI1824" s="14"/>
      <c r="AJ1824" s="14"/>
      <c r="AK1824" s="14"/>
      <c r="AL1824" s="14"/>
      <c r="AM1824" s="14"/>
    </row>
    <row r="1825" ht="14.25" customHeight="1">
      <c r="AA1825" s="7">
        <f t="shared" si="2"/>
        <v>42731</v>
      </c>
      <c r="AB1825" s="14"/>
      <c r="AC1825" s="14"/>
      <c r="AD1825" s="14"/>
      <c r="AE1825" s="14"/>
      <c r="AF1825" s="14"/>
      <c r="AG1825" s="14"/>
      <c r="AH1825" s="14"/>
      <c r="AI1825" s="14"/>
      <c r="AJ1825" s="14"/>
      <c r="AK1825" s="14"/>
      <c r="AL1825" s="14"/>
      <c r="AM1825" s="14"/>
    </row>
    <row r="1826" ht="14.25" customHeight="1">
      <c r="AA1826" s="7">
        <f t="shared" si="2"/>
        <v>42732</v>
      </c>
      <c r="AB1826" s="14"/>
      <c r="AC1826" s="14"/>
      <c r="AD1826" s="14"/>
      <c r="AE1826" s="14"/>
      <c r="AF1826" s="14"/>
      <c r="AG1826" s="14"/>
      <c r="AH1826" s="14"/>
      <c r="AI1826" s="14"/>
      <c r="AJ1826" s="14"/>
      <c r="AK1826" s="14"/>
      <c r="AL1826" s="14"/>
      <c r="AM1826" s="14"/>
    </row>
    <row r="1827" ht="14.25" customHeight="1">
      <c r="AA1827" s="7">
        <f t="shared" si="2"/>
        <v>42733</v>
      </c>
      <c r="AB1827" s="14"/>
      <c r="AC1827" s="14"/>
      <c r="AD1827" s="14"/>
      <c r="AE1827" s="14"/>
      <c r="AF1827" s="14"/>
      <c r="AG1827" s="14"/>
      <c r="AH1827" s="14"/>
      <c r="AI1827" s="14"/>
      <c r="AJ1827" s="14"/>
      <c r="AK1827" s="14"/>
      <c r="AL1827" s="14"/>
      <c r="AM1827" s="14"/>
    </row>
    <row r="1828" ht="14.25" customHeight="1">
      <c r="AA1828" s="7">
        <f t="shared" si="2"/>
        <v>42734</v>
      </c>
      <c r="AB1828" s="14"/>
      <c r="AC1828" s="14"/>
      <c r="AD1828" s="14"/>
      <c r="AE1828" s="14"/>
      <c r="AF1828" s="14"/>
      <c r="AG1828" s="14"/>
      <c r="AH1828" s="14"/>
      <c r="AI1828" s="14"/>
      <c r="AJ1828" s="14"/>
      <c r="AK1828" s="14"/>
      <c r="AL1828" s="14"/>
      <c r="AM1828" s="14"/>
    </row>
    <row r="1829" ht="14.25" customHeight="1">
      <c r="AA1829" s="7">
        <f t="shared" si="2"/>
        <v>42735</v>
      </c>
      <c r="AB1829" s="14"/>
      <c r="AC1829" s="14"/>
      <c r="AD1829" s="14"/>
      <c r="AE1829" s="14"/>
      <c r="AF1829" s="14"/>
      <c r="AG1829" s="14"/>
      <c r="AH1829" s="14"/>
      <c r="AI1829" s="14"/>
      <c r="AJ1829" s="14"/>
      <c r="AK1829" s="14"/>
      <c r="AL1829" s="14"/>
      <c r="AM1829" s="14"/>
    </row>
    <row r="1830" ht="14.25" customHeight="1">
      <c r="AA1830" s="7">
        <f t="shared" si="2"/>
        <v>42736</v>
      </c>
      <c r="AB1830" s="14"/>
      <c r="AC1830" s="14"/>
      <c r="AD1830" s="14"/>
      <c r="AE1830" s="14"/>
      <c r="AF1830" s="14"/>
      <c r="AG1830" s="14"/>
      <c r="AH1830" s="14"/>
      <c r="AI1830" s="14"/>
      <c r="AJ1830" s="14"/>
      <c r="AK1830" s="14"/>
      <c r="AL1830" s="14"/>
      <c r="AM1830" s="14"/>
    </row>
    <row r="1831" ht="14.25" customHeight="1">
      <c r="AA1831" s="7">
        <f t="shared" si="2"/>
        <v>42737</v>
      </c>
      <c r="AB1831" s="14"/>
      <c r="AC1831" s="14"/>
      <c r="AD1831" s="14"/>
      <c r="AE1831" s="14"/>
      <c r="AF1831" s="14"/>
      <c r="AG1831" s="14"/>
      <c r="AH1831" s="14"/>
      <c r="AI1831" s="14"/>
      <c r="AJ1831" s="14"/>
      <c r="AK1831" s="14"/>
      <c r="AL1831" s="14"/>
      <c r="AM1831" s="14"/>
    </row>
    <row r="1832" ht="14.25" customHeight="1">
      <c r="AA1832" s="7">
        <f t="shared" si="2"/>
        <v>42738</v>
      </c>
      <c r="AB1832" s="14"/>
      <c r="AC1832" s="14"/>
      <c r="AD1832" s="14"/>
      <c r="AE1832" s="14"/>
      <c r="AF1832" s="14"/>
      <c r="AG1832" s="14"/>
      <c r="AH1832" s="14"/>
      <c r="AI1832" s="14"/>
      <c r="AJ1832" s="14"/>
      <c r="AK1832" s="14"/>
      <c r="AL1832" s="14"/>
      <c r="AM1832" s="14"/>
    </row>
    <row r="1833" ht="14.25" customHeight="1">
      <c r="AA1833" s="7">
        <f t="shared" si="2"/>
        <v>42739</v>
      </c>
      <c r="AB1833" s="14"/>
      <c r="AC1833" s="14"/>
      <c r="AD1833" s="14"/>
      <c r="AE1833" s="14"/>
      <c r="AF1833" s="14"/>
      <c r="AG1833" s="14"/>
      <c r="AH1833" s="14"/>
      <c r="AI1833" s="14"/>
      <c r="AJ1833" s="14"/>
      <c r="AK1833" s="14"/>
      <c r="AL1833" s="14"/>
      <c r="AM1833" s="14"/>
    </row>
    <row r="1834" ht="14.25" customHeight="1">
      <c r="AA1834" s="7">
        <f t="shared" si="2"/>
        <v>42740</v>
      </c>
      <c r="AB1834" s="14"/>
      <c r="AC1834" s="14"/>
      <c r="AD1834" s="14"/>
      <c r="AE1834" s="14"/>
      <c r="AF1834" s="14"/>
      <c r="AG1834" s="14"/>
      <c r="AH1834" s="14"/>
      <c r="AI1834" s="14"/>
      <c r="AJ1834" s="14"/>
      <c r="AK1834" s="14"/>
      <c r="AL1834" s="14"/>
      <c r="AM1834" s="14"/>
    </row>
    <row r="1835" ht="14.25" customHeight="1">
      <c r="AA1835" s="7">
        <f t="shared" si="2"/>
        <v>42741</v>
      </c>
      <c r="AB1835" s="14"/>
      <c r="AC1835" s="14"/>
      <c r="AD1835" s="14"/>
      <c r="AE1835" s="14"/>
      <c r="AF1835" s="14"/>
      <c r="AG1835" s="14"/>
      <c r="AH1835" s="14"/>
      <c r="AI1835" s="14"/>
      <c r="AJ1835" s="14"/>
      <c r="AK1835" s="14"/>
      <c r="AL1835" s="14"/>
      <c r="AM1835" s="14"/>
    </row>
    <row r="1836" ht="14.25" customHeight="1">
      <c r="AA1836" s="7">
        <f t="shared" si="2"/>
        <v>42742</v>
      </c>
      <c r="AB1836" s="14"/>
      <c r="AC1836" s="14"/>
      <c r="AD1836" s="14"/>
      <c r="AE1836" s="14"/>
      <c r="AF1836" s="14"/>
      <c r="AG1836" s="14"/>
      <c r="AH1836" s="14"/>
      <c r="AI1836" s="14"/>
      <c r="AJ1836" s="14"/>
      <c r="AK1836" s="14"/>
      <c r="AL1836" s="14"/>
      <c r="AM1836" s="14"/>
    </row>
    <row r="1837" ht="14.25" customHeight="1">
      <c r="AA1837" s="7">
        <f t="shared" si="2"/>
        <v>42743</v>
      </c>
      <c r="AB1837" s="14"/>
      <c r="AC1837" s="14"/>
      <c r="AD1837" s="14"/>
      <c r="AE1837" s="14"/>
      <c r="AF1837" s="14"/>
      <c r="AG1837" s="14"/>
      <c r="AH1837" s="14"/>
      <c r="AI1837" s="14"/>
      <c r="AJ1837" s="14"/>
      <c r="AK1837" s="14"/>
      <c r="AL1837" s="14"/>
      <c r="AM1837" s="14"/>
    </row>
    <row r="1838" ht="14.25" customHeight="1">
      <c r="AA1838" s="7">
        <f t="shared" si="2"/>
        <v>42744</v>
      </c>
      <c r="AB1838" s="14"/>
      <c r="AC1838" s="14"/>
      <c r="AD1838" s="14"/>
      <c r="AE1838" s="14"/>
      <c r="AF1838" s="14"/>
      <c r="AG1838" s="14"/>
      <c r="AH1838" s="14"/>
      <c r="AI1838" s="14"/>
      <c r="AJ1838" s="14"/>
      <c r="AK1838" s="14"/>
      <c r="AL1838" s="14"/>
      <c r="AM1838" s="14"/>
    </row>
    <row r="1839" ht="14.25" customHeight="1">
      <c r="AA1839" s="7">
        <f t="shared" si="2"/>
        <v>42745</v>
      </c>
      <c r="AB1839" s="14"/>
      <c r="AC1839" s="14"/>
      <c r="AD1839" s="14"/>
      <c r="AE1839" s="14"/>
      <c r="AF1839" s="14"/>
      <c r="AG1839" s="14"/>
      <c r="AH1839" s="14"/>
      <c r="AI1839" s="14"/>
      <c r="AJ1839" s="14"/>
      <c r="AK1839" s="14"/>
      <c r="AL1839" s="14"/>
      <c r="AM1839" s="14"/>
    </row>
    <row r="1840" ht="14.25" customHeight="1">
      <c r="AA1840" s="7">
        <f t="shared" si="2"/>
        <v>42746</v>
      </c>
      <c r="AB1840" s="14"/>
      <c r="AC1840" s="14"/>
      <c r="AD1840" s="14"/>
      <c r="AE1840" s="14"/>
      <c r="AF1840" s="14"/>
      <c r="AG1840" s="14"/>
      <c r="AH1840" s="14"/>
      <c r="AI1840" s="14"/>
      <c r="AJ1840" s="14"/>
      <c r="AK1840" s="14"/>
      <c r="AL1840" s="14"/>
      <c r="AM1840" s="14"/>
    </row>
    <row r="1841" ht="14.25" customHeight="1">
      <c r="AA1841" s="7">
        <f t="shared" si="2"/>
        <v>42747</v>
      </c>
      <c r="AB1841" s="14"/>
      <c r="AC1841" s="14"/>
      <c r="AD1841" s="14"/>
      <c r="AE1841" s="14"/>
      <c r="AF1841" s="14"/>
      <c r="AG1841" s="14"/>
      <c r="AH1841" s="14"/>
      <c r="AI1841" s="14"/>
      <c r="AJ1841" s="14"/>
      <c r="AK1841" s="14"/>
      <c r="AL1841" s="14"/>
      <c r="AM1841" s="14"/>
    </row>
    <row r="1842" ht="14.25" customHeight="1">
      <c r="AA1842" s="7">
        <f t="shared" si="2"/>
        <v>42748</v>
      </c>
      <c r="AB1842" s="14"/>
      <c r="AC1842" s="14"/>
      <c r="AD1842" s="14"/>
      <c r="AE1842" s="14"/>
      <c r="AF1842" s="14"/>
      <c r="AG1842" s="14"/>
      <c r="AH1842" s="14"/>
      <c r="AI1842" s="14"/>
      <c r="AJ1842" s="14"/>
      <c r="AK1842" s="14"/>
      <c r="AL1842" s="14"/>
      <c r="AM1842" s="14"/>
    </row>
    <row r="1843" ht="14.25" customHeight="1">
      <c r="AA1843" s="7">
        <f t="shared" si="2"/>
        <v>42749</v>
      </c>
      <c r="AB1843" s="14"/>
      <c r="AC1843" s="14"/>
      <c r="AD1843" s="14"/>
      <c r="AE1843" s="14"/>
      <c r="AF1843" s="14"/>
      <c r="AG1843" s="14"/>
      <c r="AH1843" s="14"/>
      <c r="AI1843" s="14"/>
      <c r="AJ1843" s="14"/>
      <c r="AK1843" s="14"/>
      <c r="AL1843" s="14"/>
      <c r="AM1843" s="14"/>
    </row>
    <row r="1844" ht="14.25" customHeight="1">
      <c r="AA1844" s="7">
        <f t="shared" si="2"/>
        <v>42750</v>
      </c>
      <c r="AB1844" s="14"/>
      <c r="AC1844" s="14"/>
      <c r="AD1844" s="14"/>
      <c r="AE1844" s="14"/>
      <c r="AF1844" s="14"/>
      <c r="AG1844" s="14"/>
      <c r="AH1844" s="14"/>
      <c r="AI1844" s="14"/>
      <c r="AJ1844" s="14"/>
      <c r="AK1844" s="14"/>
      <c r="AL1844" s="14"/>
      <c r="AM1844" s="14"/>
    </row>
    <row r="1845" ht="14.25" customHeight="1">
      <c r="AA1845" s="7">
        <f t="shared" si="2"/>
        <v>42751</v>
      </c>
      <c r="AB1845" s="14"/>
      <c r="AC1845" s="14"/>
      <c r="AD1845" s="14"/>
      <c r="AE1845" s="14"/>
      <c r="AF1845" s="14"/>
      <c r="AG1845" s="14"/>
      <c r="AH1845" s="14"/>
      <c r="AI1845" s="14"/>
      <c r="AJ1845" s="14"/>
      <c r="AK1845" s="14"/>
      <c r="AL1845" s="14"/>
      <c r="AM1845" s="14"/>
    </row>
    <row r="1846" ht="14.25" customHeight="1">
      <c r="AA1846" s="7">
        <f t="shared" si="2"/>
        <v>42752</v>
      </c>
      <c r="AB1846" s="14"/>
      <c r="AC1846" s="14"/>
      <c r="AD1846" s="14"/>
      <c r="AE1846" s="14"/>
      <c r="AF1846" s="14"/>
      <c r="AG1846" s="14"/>
      <c r="AH1846" s="14"/>
      <c r="AI1846" s="14"/>
      <c r="AJ1846" s="14"/>
      <c r="AK1846" s="14"/>
      <c r="AL1846" s="14"/>
      <c r="AM1846" s="14"/>
    </row>
    <row r="1847" ht="14.25" customHeight="1">
      <c r="AA1847" s="7">
        <f t="shared" si="2"/>
        <v>42753</v>
      </c>
      <c r="AB1847" s="14"/>
      <c r="AC1847" s="14"/>
      <c r="AD1847" s="14"/>
      <c r="AE1847" s="14"/>
      <c r="AF1847" s="14"/>
      <c r="AG1847" s="14"/>
      <c r="AH1847" s="14"/>
      <c r="AI1847" s="14"/>
      <c r="AJ1847" s="14"/>
      <c r="AK1847" s="14"/>
      <c r="AL1847" s="14"/>
      <c r="AM1847" s="14"/>
    </row>
    <row r="1848" ht="14.25" customHeight="1">
      <c r="AA1848" s="7">
        <f t="shared" si="2"/>
        <v>42754</v>
      </c>
      <c r="AB1848" s="14"/>
      <c r="AC1848" s="14"/>
      <c r="AD1848" s="14"/>
      <c r="AE1848" s="14"/>
      <c r="AF1848" s="14"/>
      <c r="AG1848" s="14"/>
      <c r="AH1848" s="14"/>
      <c r="AI1848" s="14"/>
      <c r="AJ1848" s="14"/>
      <c r="AK1848" s="14"/>
      <c r="AL1848" s="14"/>
      <c r="AM1848" s="14"/>
    </row>
    <row r="1849" ht="14.25" customHeight="1">
      <c r="AA1849" s="7">
        <f t="shared" si="2"/>
        <v>42755</v>
      </c>
      <c r="AB1849" s="14"/>
      <c r="AC1849" s="14"/>
      <c r="AD1849" s="14"/>
      <c r="AE1849" s="14"/>
      <c r="AF1849" s="14"/>
      <c r="AG1849" s="14"/>
      <c r="AH1849" s="14"/>
      <c r="AI1849" s="14"/>
      <c r="AJ1849" s="14"/>
      <c r="AK1849" s="14"/>
      <c r="AL1849" s="14"/>
      <c r="AM1849" s="14"/>
    </row>
    <row r="1850" ht="14.25" customHeight="1">
      <c r="AA1850" s="7">
        <f t="shared" si="2"/>
        <v>42756</v>
      </c>
      <c r="AB1850" s="14"/>
      <c r="AC1850" s="14"/>
      <c r="AD1850" s="14"/>
      <c r="AE1850" s="14"/>
      <c r="AF1850" s="14"/>
      <c r="AG1850" s="14"/>
      <c r="AH1850" s="14"/>
      <c r="AI1850" s="14"/>
      <c r="AJ1850" s="14"/>
      <c r="AK1850" s="14"/>
      <c r="AL1850" s="14"/>
      <c r="AM1850" s="14"/>
    </row>
    <row r="1851" ht="14.25" customHeight="1">
      <c r="AA1851" s="7">
        <f t="shared" si="2"/>
        <v>42757</v>
      </c>
      <c r="AB1851" s="14"/>
      <c r="AC1851" s="14"/>
      <c r="AD1851" s="14"/>
      <c r="AE1851" s="14"/>
      <c r="AF1851" s="14"/>
      <c r="AG1851" s="14"/>
      <c r="AH1851" s="14"/>
      <c r="AI1851" s="14"/>
      <c r="AJ1851" s="14"/>
      <c r="AK1851" s="14"/>
      <c r="AL1851" s="14"/>
      <c r="AM1851" s="14"/>
    </row>
    <row r="1852" ht="14.25" customHeight="1">
      <c r="AA1852" s="7">
        <f t="shared" si="2"/>
        <v>42758</v>
      </c>
      <c r="AB1852" s="14"/>
      <c r="AC1852" s="14"/>
      <c r="AD1852" s="14"/>
      <c r="AE1852" s="14"/>
      <c r="AF1852" s="14"/>
      <c r="AG1852" s="14"/>
      <c r="AH1852" s="14"/>
      <c r="AI1852" s="14"/>
      <c r="AJ1852" s="14"/>
      <c r="AK1852" s="14"/>
      <c r="AL1852" s="14"/>
      <c r="AM1852" s="14"/>
    </row>
    <row r="1853" ht="14.25" customHeight="1">
      <c r="AA1853" s="7">
        <f t="shared" si="2"/>
        <v>42759</v>
      </c>
      <c r="AB1853" s="14"/>
      <c r="AC1853" s="14"/>
      <c r="AD1853" s="14"/>
      <c r="AE1853" s="14"/>
      <c r="AF1853" s="14"/>
      <c r="AG1853" s="14"/>
      <c r="AH1853" s="14"/>
      <c r="AI1853" s="14"/>
      <c r="AJ1853" s="14"/>
      <c r="AK1853" s="14"/>
      <c r="AL1853" s="14"/>
      <c r="AM1853" s="14"/>
    </row>
    <row r="1854" ht="14.25" customHeight="1">
      <c r="AA1854" s="7">
        <f t="shared" si="2"/>
        <v>42760</v>
      </c>
      <c r="AB1854" s="14"/>
      <c r="AC1854" s="14"/>
      <c r="AD1854" s="14"/>
      <c r="AE1854" s="14"/>
      <c r="AF1854" s="14"/>
      <c r="AG1854" s="14"/>
      <c r="AH1854" s="14"/>
      <c r="AI1854" s="14"/>
      <c r="AJ1854" s="14"/>
      <c r="AK1854" s="14"/>
      <c r="AL1854" s="14"/>
      <c r="AM1854" s="14"/>
    </row>
    <row r="1855" ht="14.25" customHeight="1">
      <c r="AA1855" s="7">
        <f t="shared" si="2"/>
        <v>42761</v>
      </c>
      <c r="AB1855" s="14"/>
      <c r="AC1855" s="14"/>
      <c r="AD1855" s="14"/>
      <c r="AE1855" s="14"/>
      <c r="AF1855" s="14"/>
      <c r="AG1855" s="14"/>
      <c r="AH1855" s="14"/>
      <c r="AI1855" s="14"/>
      <c r="AJ1855" s="14"/>
      <c r="AK1855" s="14"/>
      <c r="AL1855" s="14"/>
      <c r="AM1855" s="14"/>
    </row>
    <row r="1856" ht="14.25" customHeight="1">
      <c r="AA1856" s="7">
        <f t="shared" si="2"/>
        <v>42762</v>
      </c>
      <c r="AB1856" s="14"/>
      <c r="AC1856" s="14"/>
      <c r="AD1856" s="14"/>
      <c r="AE1856" s="14"/>
      <c r="AF1856" s="14"/>
      <c r="AG1856" s="14"/>
      <c r="AH1856" s="14"/>
      <c r="AI1856" s="14"/>
      <c r="AJ1856" s="14"/>
      <c r="AK1856" s="14"/>
      <c r="AL1856" s="14"/>
      <c r="AM1856" s="14"/>
    </row>
    <row r="1857" ht="14.25" customHeight="1">
      <c r="AA1857" s="7">
        <f t="shared" si="2"/>
        <v>42763</v>
      </c>
      <c r="AB1857" s="14"/>
      <c r="AC1857" s="14"/>
      <c r="AD1857" s="14"/>
      <c r="AE1857" s="14"/>
      <c r="AF1857" s="14"/>
      <c r="AG1857" s="14"/>
      <c r="AH1857" s="14"/>
      <c r="AI1857" s="14"/>
      <c r="AJ1857" s="14"/>
      <c r="AK1857" s="14"/>
      <c r="AL1857" s="14"/>
      <c r="AM1857" s="14"/>
    </row>
    <row r="1858" ht="14.25" customHeight="1">
      <c r="AA1858" s="7">
        <f t="shared" si="2"/>
        <v>42764</v>
      </c>
      <c r="AB1858" s="14"/>
      <c r="AC1858" s="14"/>
      <c r="AD1858" s="14"/>
      <c r="AE1858" s="14"/>
      <c r="AF1858" s="14"/>
      <c r="AG1858" s="14"/>
      <c r="AH1858" s="14"/>
      <c r="AI1858" s="14"/>
      <c r="AJ1858" s="14"/>
      <c r="AK1858" s="14"/>
      <c r="AL1858" s="14"/>
      <c r="AM1858" s="14"/>
    </row>
    <row r="1859" ht="14.25" customHeight="1">
      <c r="AA1859" s="7">
        <f t="shared" si="2"/>
        <v>42765</v>
      </c>
      <c r="AB1859" s="14"/>
      <c r="AC1859" s="14"/>
      <c r="AD1859" s="14"/>
      <c r="AE1859" s="14"/>
      <c r="AF1859" s="14"/>
      <c r="AG1859" s="14"/>
      <c r="AH1859" s="14"/>
      <c r="AI1859" s="14"/>
      <c r="AJ1859" s="14"/>
      <c r="AK1859" s="14"/>
      <c r="AL1859" s="14"/>
      <c r="AM1859" s="14"/>
    </row>
    <row r="1860" ht="14.25" customHeight="1">
      <c r="AA1860" s="7">
        <f t="shared" si="2"/>
        <v>42766</v>
      </c>
      <c r="AB1860" s="14"/>
      <c r="AC1860" s="14"/>
      <c r="AD1860" s="14"/>
      <c r="AE1860" s="14"/>
      <c r="AF1860" s="14"/>
      <c r="AG1860" s="14"/>
      <c r="AH1860" s="14"/>
      <c r="AI1860" s="14"/>
      <c r="AJ1860" s="14"/>
      <c r="AK1860" s="14"/>
      <c r="AL1860" s="14"/>
      <c r="AM1860" s="14"/>
    </row>
    <row r="1861" ht="14.25" customHeight="1">
      <c r="AA1861" s="7">
        <f t="shared" si="2"/>
        <v>42767</v>
      </c>
      <c r="AB1861" s="14"/>
      <c r="AC1861" s="14"/>
      <c r="AD1861" s="14"/>
      <c r="AE1861" s="14"/>
      <c r="AF1861" s="14"/>
      <c r="AG1861" s="14"/>
      <c r="AH1861" s="14"/>
      <c r="AI1861" s="14"/>
      <c r="AJ1861" s="14"/>
      <c r="AK1861" s="14"/>
      <c r="AL1861" s="14"/>
      <c r="AM1861" s="14"/>
    </row>
    <row r="1862" ht="14.25" customHeight="1">
      <c r="AA1862" s="7">
        <f t="shared" si="2"/>
        <v>42768</v>
      </c>
      <c r="AB1862" s="14"/>
      <c r="AC1862" s="14"/>
      <c r="AD1862" s="14"/>
      <c r="AE1862" s="14"/>
      <c r="AF1862" s="14"/>
      <c r="AG1862" s="14"/>
      <c r="AH1862" s="14"/>
      <c r="AI1862" s="14"/>
      <c r="AJ1862" s="14"/>
      <c r="AK1862" s="14"/>
      <c r="AL1862" s="14"/>
      <c r="AM1862" s="14"/>
    </row>
    <row r="1863" ht="14.25" customHeight="1">
      <c r="AA1863" s="7">
        <f t="shared" si="2"/>
        <v>42769</v>
      </c>
      <c r="AB1863" s="14"/>
      <c r="AC1863" s="14"/>
      <c r="AD1863" s="14"/>
      <c r="AE1863" s="14"/>
      <c r="AF1863" s="14"/>
      <c r="AG1863" s="14"/>
      <c r="AH1863" s="14"/>
      <c r="AI1863" s="14"/>
      <c r="AJ1863" s="14"/>
      <c r="AK1863" s="14"/>
      <c r="AL1863" s="14"/>
      <c r="AM1863" s="14"/>
    </row>
    <row r="1864" ht="14.25" customHeight="1">
      <c r="AA1864" s="7">
        <f t="shared" si="2"/>
        <v>42770</v>
      </c>
      <c r="AB1864" s="14"/>
      <c r="AC1864" s="14"/>
      <c r="AD1864" s="14"/>
      <c r="AE1864" s="14"/>
      <c r="AF1864" s="14"/>
      <c r="AG1864" s="14"/>
      <c r="AH1864" s="14"/>
      <c r="AI1864" s="14"/>
      <c r="AJ1864" s="14"/>
      <c r="AK1864" s="14"/>
      <c r="AL1864" s="14"/>
      <c r="AM1864" s="14"/>
    </row>
    <row r="1865" ht="14.25" customHeight="1">
      <c r="AA1865" s="7">
        <f t="shared" si="2"/>
        <v>42771</v>
      </c>
      <c r="AB1865" s="14"/>
      <c r="AC1865" s="14"/>
      <c r="AD1865" s="14"/>
      <c r="AE1865" s="14"/>
      <c r="AF1865" s="14"/>
      <c r="AG1865" s="14"/>
      <c r="AH1865" s="14"/>
      <c r="AI1865" s="14"/>
      <c r="AJ1865" s="14"/>
      <c r="AK1865" s="14"/>
      <c r="AL1865" s="14"/>
      <c r="AM1865" s="14"/>
    </row>
    <row r="1866" ht="14.25" customHeight="1">
      <c r="AA1866" s="7">
        <f t="shared" si="2"/>
        <v>42772</v>
      </c>
      <c r="AB1866" s="14"/>
      <c r="AC1866" s="14"/>
      <c r="AD1866" s="14"/>
      <c r="AE1866" s="14"/>
      <c r="AF1866" s="14"/>
      <c r="AG1866" s="14"/>
      <c r="AH1866" s="14"/>
      <c r="AI1866" s="14"/>
      <c r="AJ1866" s="14"/>
      <c r="AK1866" s="14"/>
      <c r="AL1866" s="14"/>
      <c r="AM1866" s="14"/>
    </row>
    <row r="1867" ht="14.25" customHeight="1">
      <c r="AA1867" s="7">
        <f t="shared" si="2"/>
        <v>42773</v>
      </c>
      <c r="AB1867" s="14"/>
      <c r="AC1867" s="14"/>
      <c r="AD1867" s="14"/>
      <c r="AE1867" s="14"/>
      <c r="AF1867" s="14"/>
      <c r="AG1867" s="14"/>
      <c r="AH1867" s="14"/>
      <c r="AI1867" s="14"/>
      <c r="AJ1867" s="14"/>
      <c r="AK1867" s="14"/>
      <c r="AL1867" s="14"/>
      <c r="AM1867" s="14"/>
    </row>
    <row r="1868" ht="14.25" customHeight="1">
      <c r="AA1868" s="7">
        <f t="shared" si="2"/>
        <v>42774</v>
      </c>
      <c r="AB1868" s="14"/>
      <c r="AC1868" s="14"/>
      <c r="AD1868" s="14"/>
      <c r="AE1868" s="14"/>
      <c r="AF1868" s="14"/>
      <c r="AG1868" s="14"/>
      <c r="AH1868" s="14"/>
      <c r="AI1868" s="14"/>
      <c r="AJ1868" s="14"/>
      <c r="AK1868" s="14"/>
      <c r="AL1868" s="14"/>
      <c r="AM1868" s="14"/>
    </row>
    <row r="1869" ht="14.25" customHeight="1">
      <c r="AA1869" s="7">
        <f t="shared" si="2"/>
        <v>42775</v>
      </c>
      <c r="AB1869" s="14"/>
      <c r="AC1869" s="14"/>
      <c r="AD1869" s="14"/>
      <c r="AE1869" s="14"/>
      <c r="AF1869" s="14"/>
      <c r="AG1869" s="14"/>
      <c r="AH1869" s="14"/>
      <c r="AI1869" s="14"/>
      <c r="AJ1869" s="14"/>
      <c r="AK1869" s="14"/>
      <c r="AL1869" s="14"/>
      <c r="AM1869" s="14"/>
    </row>
    <row r="1870" ht="14.25" customHeight="1">
      <c r="AA1870" s="7">
        <f t="shared" si="2"/>
        <v>42776</v>
      </c>
      <c r="AB1870" s="14"/>
      <c r="AC1870" s="14"/>
      <c r="AD1870" s="14"/>
      <c r="AE1870" s="14"/>
      <c r="AF1870" s="14"/>
      <c r="AG1870" s="14"/>
      <c r="AH1870" s="14"/>
      <c r="AI1870" s="14"/>
      <c r="AJ1870" s="14"/>
      <c r="AK1870" s="14"/>
      <c r="AL1870" s="14"/>
      <c r="AM1870" s="14"/>
    </row>
    <row r="1871" ht="14.25" customHeight="1">
      <c r="AA1871" s="7">
        <f t="shared" si="2"/>
        <v>42777</v>
      </c>
      <c r="AB1871" s="14"/>
      <c r="AC1871" s="14"/>
      <c r="AD1871" s="14"/>
      <c r="AE1871" s="14"/>
      <c r="AF1871" s="14"/>
      <c r="AG1871" s="14"/>
      <c r="AH1871" s="14"/>
      <c r="AI1871" s="14"/>
      <c r="AJ1871" s="14"/>
      <c r="AK1871" s="14"/>
      <c r="AL1871" s="14"/>
      <c r="AM1871" s="14"/>
    </row>
    <row r="1872" ht="14.25" customHeight="1">
      <c r="AA1872" s="7">
        <f t="shared" si="2"/>
        <v>42778</v>
      </c>
      <c r="AB1872" s="14"/>
      <c r="AC1872" s="14"/>
      <c r="AD1872" s="14"/>
      <c r="AE1872" s="14"/>
      <c r="AF1872" s="14"/>
      <c r="AG1872" s="14"/>
      <c r="AH1872" s="14"/>
      <c r="AI1872" s="14"/>
      <c r="AJ1872" s="14"/>
      <c r="AK1872" s="14"/>
      <c r="AL1872" s="14"/>
      <c r="AM1872" s="14"/>
    </row>
    <row r="1873" ht="14.25" customHeight="1">
      <c r="AA1873" s="7">
        <f t="shared" si="2"/>
        <v>42779</v>
      </c>
      <c r="AB1873" s="14"/>
      <c r="AC1873" s="14"/>
      <c r="AD1873" s="14"/>
      <c r="AE1873" s="14"/>
      <c r="AF1873" s="14"/>
      <c r="AG1873" s="14"/>
      <c r="AH1873" s="14"/>
      <c r="AI1873" s="14"/>
      <c r="AJ1873" s="14"/>
      <c r="AK1873" s="14"/>
      <c r="AL1873" s="14"/>
      <c r="AM1873" s="14"/>
    </row>
    <row r="1874" ht="14.25" customHeight="1">
      <c r="AA1874" s="7">
        <f t="shared" si="2"/>
        <v>42780</v>
      </c>
      <c r="AB1874" s="14"/>
      <c r="AC1874" s="14"/>
      <c r="AD1874" s="14"/>
      <c r="AE1874" s="14"/>
      <c r="AF1874" s="14"/>
      <c r="AG1874" s="14"/>
      <c r="AH1874" s="14"/>
      <c r="AI1874" s="14"/>
      <c r="AJ1874" s="14"/>
      <c r="AK1874" s="14"/>
      <c r="AL1874" s="14"/>
      <c r="AM1874" s="14"/>
    </row>
    <row r="1875" ht="14.25" customHeight="1">
      <c r="AA1875" s="7">
        <f t="shared" si="2"/>
        <v>42781</v>
      </c>
      <c r="AB1875" s="14"/>
      <c r="AC1875" s="14"/>
      <c r="AD1875" s="14"/>
      <c r="AE1875" s="14"/>
      <c r="AF1875" s="14"/>
      <c r="AG1875" s="14"/>
      <c r="AH1875" s="14"/>
      <c r="AI1875" s="14"/>
      <c r="AJ1875" s="14"/>
      <c r="AK1875" s="14"/>
      <c r="AL1875" s="14"/>
      <c r="AM1875" s="14"/>
    </row>
    <row r="1876" ht="14.25" customHeight="1">
      <c r="AA1876" s="7">
        <f t="shared" si="2"/>
        <v>42782</v>
      </c>
      <c r="AB1876" s="14"/>
      <c r="AC1876" s="14"/>
      <c r="AD1876" s="14"/>
      <c r="AE1876" s="14"/>
      <c r="AF1876" s="14"/>
      <c r="AG1876" s="14"/>
      <c r="AH1876" s="14"/>
      <c r="AI1876" s="14"/>
      <c r="AJ1876" s="14"/>
      <c r="AK1876" s="14"/>
      <c r="AL1876" s="14"/>
      <c r="AM1876" s="14"/>
    </row>
    <row r="1877" ht="14.25" customHeight="1">
      <c r="AA1877" s="7">
        <f t="shared" si="2"/>
        <v>42783</v>
      </c>
      <c r="AB1877" s="14"/>
      <c r="AC1877" s="14"/>
      <c r="AD1877" s="14"/>
      <c r="AE1877" s="14"/>
      <c r="AF1877" s="14"/>
      <c r="AG1877" s="14"/>
      <c r="AH1877" s="14"/>
      <c r="AI1877" s="14"/>
      <c r="AJ1877" s="14"/>
      <c r="AK1877" s="14"/>
      <c r="AL1877" s="14"/>
      <c r="AM1877" s="14"/>
    </row>
    <row r="1878" ht="14.25" customHeight="1">
      <c r="AA1878" s="7">
        <f t="shared" si="2"/>
        <v>42784</v>
      </c>
      <c r="AB1878" s="14"/>
      <c r="AC1878" s="14"/>
      <c r="AD1878" s="14"/>
      <c r="AE1878" s="14"/>
      <c r="AF1878" s="14"/>
      <c r="AG1878" s="14"/>
      <c r="AH1878" s="14"/>
      <c r="AI1878" s="14"/>
      <c r="AJ1878" s="14"/>
      <c r="AK1878" s="14"/>
      <c r="AL1878" s="14"/>
      <c r="AM1878" s="14"/>
    </row>
    <row r="1879" ht="14.25" customHeight="1">
      <c r="AA1879" s="7">
        <f t="shared" si="2"/>
        <v>42785</v>
      </c>
      <c r="AB1879" s="14"/>
      <c r="AC1879" s="14"/>
      <c r="AD1879" s="14"/>
      <c r="AE1879" s="14"/>
      <c r="AF1879" s="14"/>
      <c r="AG1879" s="14"/>
      <c r="AH1879" s="14"/>
      <c r="AI1879" s="14"/>
      <c r="AJ1879" s="14"/>
      <c r="AK1879" s="14"/>
      <c r="AL1879" s="14"/>
      <c r="AM1879" s="14"/>
    </row>
    <row r="1880" ht="14.25" customHeight="1">
      <c r="AA1880" s="7">
        <f t="shared" si="2"/>
        <v>42786</v>
      </c>
      <c r="AB1880" s="14"/>
      <c r="AC1880" s="14"/>
      <c r="AD1880" s="14"/>
      <c r="AE1880" s="14"/>
      <c r="AF1880" s="14"/>
      <c r="AG1880" s="14"/>
      <c r="AH1880" s="14"/>
      <c r="AI1880" s="14"/>
      <c r="AJ1880" s="14"/>
      <c r="AK1880" s="14"/>
      <c r="AL1880" s="14"/>
      <c r="AM1880" s="14"/>
    </row>
    <row r="1881" ht="14.25" customHeight="1">
      <c r="AA1881" s="7">
        <f t="shared" si="2"/>
        <v>42787</v>
      </c>
      <c r="AB1881" s="14"/>
      <c r="AC1881" s="14"/>
      <c r="AD1881" s="14"/>
      <c r="AE1881" s="14"/>
      <c r="AF1881" s="14"/>
      <c r="AG1881" s="14"/>
      <c r="AH1881" s="14"/>
      <c r="AI1881" s="14"/>
      <c r="AJ1881" s="14"/>
      <c r="AK1881" s="14"/>
      <c r="AL1881" s="14"/>
      <c r="AM1881" s="14"/>
    </row>
    <row r="1882" ht="14.25" customHeight="1">
      <c r="AA1882" s="7">
        <f t="shared" si="2"/>
        <v>42788</v>
      </c>
      <c r="AB1882" s="14"/>
      <c r="AC1882" s="14"/>
      <c r="AD1882" s="14"/>
      <c r="AE1882" s="14"/>
      <c r="AF1882" s="14"/>
      <c r="AG1882" s="14"/>
      <c r="AH1882" s="14"/>
      <c r="AI1882" s="14"/>
      <c r="AJ1882" s="14"/>
      <c r="AK1882" s="14"/>
      <c r="AL1882" s="14"/>
      <c r="AM1882" s="14"/>
    </row>
    <row r="1883" ht="14.25" customHeight="1">
      <c r="AA1883" s="7">
        <f t="shared" si="2"/>
        <v>42789</v>
      </c>
      <c r="AB1883" s="14"/>
      <c r="AC1883" s="14"/>
      <c r="AD1883" s="14"/>
      <c r="AE1883" s="14"/>
      <c r="AF1883" s="14"/>
      <c r="AG1883" s="14"/>
      <c r="AH1883" s="14"/>
      <c r="AI1883" s="14"/>
      <c r="AJ1883" s="14"/>
      <c r="AK1883" s="14"/>
      <c r="AL1883" s="14"/>
      <c r="AM1883" s="14"/>
    </row>
    <row r="1884" ht="14.25" customHeight="1">
      <c r="AA1884" s="7">
        <f t="shared" si="2"/>
        <v>42790</v>
      </c>
      <c r="AB1884" s="14"/>
      <c r="AC1884" s="14"/>
      <c r="AD1884" s="14"/>
      <c r="AE1884" s="14"/>
      <c r="AF1884" s="14"/>
      <c r="AG1884" s="14"/>
      <c r="AH1884" s="14"/>
      <c r="AI1884" s="14"/>
      <c r="AJ1884" s="14"/>
      <c r="AK1884" s="14"/>
      <c r="AL1884" s="14"/>
      <c r="AM1884" s="14"/>
    </row>
    <row r="1885" ht="14.25" customHeight="1">
      <c r="AA1885" s="7">
        <f t="shared" si="2"/>
        <v>42791</v>
      </c>
      <c r="AB1885" s="14"/>
      <c r="AC1885" s="14"/>
      <c r="AD1885" s="14"/>
      <c r="AE1885" s="14"/>
      <c r="AF1885" s="14"/>
      <c r="AG1885" s="14"/>
      <c r="AH1885" s="14"/>
      <c r="AI1885" s="14"/>
      <c r="AJ1885" s="14"/>
      <c r="AK1885" s="14"/>
      <c r="AL1885" s="14"/>
      <c r="AM1885" s="14"/>
    </row>
    <row r="1886" ht="14.25" customHeight="1">
      <c r="AA1886" s="7">
        <f t="shared" si="2"/>
        <v>42792</v>
      </c>
      <c r="AB1886" s="14"/>
      <c r="AC1886" s="14"/>
      <c r="AD1886" s="14"/>
      <c r="AE1886" s="14"/>
      <c r="AF1886" s="14"/>
      <c r="AG1886" s="14"/>
      <c r="AH1886" s="14"/>
      <c r="AI1886" s="14"/>
      <c r="AJ1886" s="14"/>
      <c r="AK1886" s="14"/>
      <c r="AL1886" s="14"/>
      <c r="AM1886" s="14"/>
    </row>
    <row r="1887" ht="14.25" customHeight="1">
      <c r="AA1887" s="7">
        <f t="shared" si="2"/>
        <v>42793</v>
      </c>
      <c r="AB1887" s="14"/>
      <c r="AC1887" s="14"/>
      <c r="AD1887" s="14"/>
      <c r="AE1887" s="14"/>
      <c r="AF1887" s="14"/>
      <c r="AG1887" s="14"/>
      <c r="AH1887" s="14"/>
      <c r="AI1887" s="14"/>
      <c r="AJ1887" s="14"/>
      <c r="AK1887" s="14"/>
      <c r="AL1887" s="14"/>
      <c r="AM1887" s="14"/>
    </row>
    <row r="1888" ht="14.25" customHeight="1">
      <c r="AA1888" s="7">
        <f t="shared" si="2"/>
        <v>42794</v>
      </c>
      <c r="AB1888" s="14"/>
      <c r="AC1888" s="14"/>
      <c r="AD1888" s="14"/>
      <c r="AE1888" s="14"/>
      <c r="AF1888" s="14"/>
      <c r="AG1888" s="14"/>
      <c r="AH1888" s="14"/>
      <c r="AI1888" s="14"/>
      <c r="AJ1888" s="14"/>
      <c r="AK1888" s="14"/>
      <c r="AL1888" s="14"/>
      <c r="AM1888" s="14"/>
    </row>
    <row r="1889" ht="14.25" customHeight="1">
      <c r="AA1889" s="7">
        <f t="shared" si="2"/>
        <v>42795</v>
      </c>
      <c r="AB1889" s="14"/>
      <c r="AC1889" s="14"/>
      <c r="AD1889" s="14"/>
      <c r="AE1889" s="14"/>
      <c r="AF1889" s="14"/>
      <c r="AG1889" s="14"/>
      <c r="AH1889" s="14"/>
      <c r="AI1889" s="14"/>
      <c r="AJ1889" s="14"/>
      <c r="AK1889" s="14"/>
      <c r="AL1889" s="14"/>
      <c r="AM1889" s="14"/>
    </row>
    <row r="1890" ht="14.25" customHeight="1">
      <c r="AA1890" s="7">
        <f t="shared" si="2"/>
        <v>42796</v>
      </c>
      <c r="AB1890" s="14"/>
      <c r="AC1890" s="14"/>
      <c r="AD1890" s="14"/>
      <c r="AE1890" s="14"/>
      <c r="AF1890" s="14"/>
      <c r="AG1890" s="14"/>
      <c r="AH1890" s="14"/>
      <c r="AI1890" s="14"/>
      <c r="AJ1890" s="14"/>
      <c r="AK1890" s="14"/>
      <c r="AL1890" s="14"/>
      <c r="AM1890" s="14"/>
    </row>
    <row r="1891" ht="14.25" customHeight="1">
      <c r="AA1891" s="7">
        <f t="shared" si="2"/>
        <v>42797</v>
      </c>
      <c r="AB1891" s="14"/>
      <c r="AC1891" s="14"/>
      <c r="AD1891" s="14"/>
      <c r="AE1891" s="14"/>
      <c r="AF1891" s="14"/>
      <c r="AG1891" s="14"/>
      <c r="AH1891" s="14"/>
      <c r="AI1891" s="14"/>
      <c r="AJ1891" s="14"/>
      <c r="AK1891" s="14"/>
      <c r="AL1891" s="14"/>
      <c r="AM1891" s="14"/>
    </row>
    <row r="1892" ht="14.25" customHeight="1">
      <c r="AA1892" s="7">
        <f t="shared" si="2"/>
        <v>42798</v>
      </c>
      <c r="AB1892" s="14"/>
      <c r="AC1892" s="14"/>
      <c r="AD1892" s="14"/>
      <c r="AE1892" s="14"/>
      <c r="AF1892" s="14"/>
      <c r="AG1892" s="14"/>
      <c r="AH1892" s="14"/>
      <c r="AI1892" s="14"/>
      <c r="AJ1892" s="14"/>
      <c r="AK1892" s="14"/>
      <c r="AL1892" s="14"/>
      <c r="AM1892" s="14"/>
    </row>
    <row r="1893" ht="14.25" customHeight="1">
      <c r="AA1893" s="7">
        <f t="shared" si="2"/>
        <v>42799</v>
      </c>
      <c r="AB1893" s="14"/>
      <c r="AC1893" s="14"/>
      <c r="AD1893" s="14"/>
      <c r="AE1893" s="14"/>
      <c r="AF1893" s="14"/>
      <c r="AG1893" s="14"/>
      <c r="AH1893" s="14"/>
      <c r="AI1893" s="14"/>
      <c r="AJ1893" s="14"/>
      <c r="AK1893" s="14"/>
      <c r="AL1893" s="14"/>
      <c r="AM1893" s="14"/>
    </row>
    <row r="1894" ht="14.25" customHeight="1">
      <c r="AA1894" s="7">
        <f t="shared" si="2"/>
        <v>42800</v>
      </c>
      <c r="AB1894" s="14"/>
      <c r="AC1894" s="14"/>
      <c r="AD1894" s="14"/>
      <c r="AE1894" s="14"/>
      <c r="AF1894" s="14"/>
      <c r="AG1894" s="14"/>
      <c r="AH1894" s="14"/>
      <c r="AI1894" s="14"/>
      <c r="AJ1894" s="14"/>
      <c r="AK1894" s="14"/>
      <c r="AL1894" s="14"/>
      <c r="AM1894" s="14"/>
    </row>
    <row r="1895" ht="14.25" customHeight="1">
      <c r="AA1895" s="7">
        <f t="shared" si="2"/>
        <v>42801</v>
      </c>
      <c r="AB1895" s="14"/>
      <c r="AC1895" s="14"/>
      <c r="AD1895" s="14"/>
      <c r="AE1895" s="14"/>
      <c r="AF1895" s="14"/>
      <c r="AG1895" s="14"/>
      <c r="AH1895" s="14"/>
      <c r="AI1895" s="14"/>
      <c r="AJ1895" s="14"/>
      <c r="AK1895" s="14"/>
      <c r="AL1895" s="14"/>
      <c r="AM1895" s="14"/>
    </row>
    <row r="1896" ht="14.25" customHeight="1">
      <c r="AA1896" s="7">
        <f t="shared" si="2"/>
        <v>42802</v>
      </c>
      <c r="AB1896" s="14"/>
      <c r="AC1896" s="14"/>
      <c r="AD1896" s="14"/>
      <c r="AE1896" s="14"/>
      <c r="AF1896" s="14"/>
      <c r="AG1896" s="14"/>
      <c r="AH1896" s="14"/>
      <c r="AI1896" s="14"/>
      <c r="AJ1896" s="14"/>
      <c r="AK1896" s="14"/>
      <c r="AL1896" s="14"/>
      <c r="AM1896" s="14"/>
    </row>
    <row r="1897" ht="14.25" customHeight="1">
      <c r="AA1897" s="7">
        <f t="shared" si="2"/>
        <v>42803</v>
      </c>
      <c r="AB1897" s="14"/>
      <c r="AC1897" s="14"/>
      <c r="AD1897" s="14"/>
      <c r="AE1897" s="14"/>
      <c r="AF1897" s="14"/>
      <c r="AG1897" s="14"/>
      <c r="AH1897" s="14"/>
      <c r="AI1897" s="14"/>
      <c r="AJ1897" s="14"/>
      <c r="AK1897" s="14"/>
      <c r="AL1897" s="14"/>
      <c r="AM1897" s="14"/>
    </row>
    <row r="1898" ht="14.25" customHeight="1">
      <c r="AA1898" s="7">
        <f t="shared" si="2"/>
        <v>42804</v>
      </c>
      <c r="AB1898" s="14"/>
      <c r="AC1898" s="14"/>
      <c r="AD1898" s="14"/>
      <c r="AE1898" s="14"/>
      <c r="AF1898" s="14"/>
      <c r="AG1898" s="14"/>
      <c r="AH1898" s="14"/>
      <c r="AI1898" s="14"/>
      <c r="AJ1898" s="14"/>
      <c r="AK1898" s="14"/>
      <c r="AL1898" s="14"/>
      <c r="AM1898" s="14"/>
    </row>
    <row r="1899" ht="14.25" customHeight="1">
      <c r="AA1899" s="7">
        <f t="shared" si="2"/>
        <v>42805</v>
      </c>
      <c r="AB1899" s="14"/>
      <c r="AC1899" s="14"/>
      <c r="AD1899" s="14"/>
      <c r="AE1899" s="14"/>
      <c r="AF1899" s="14"/>
      <c r="AG1899" s="14"/>
      <c r="AH1899" s="14"/>
      <c r="AI1899" s="14"/>
      <c r="AJ1899" s="14"/>
      <c r="AK1899" s="14"/>
      <c r="AL1899" s="14"/>
      <c r="AM1899" s="14"/>
    </row>
    <row r="1900" ht="14.25" customHeight="1">
      <c r="AA1900" s="7">
        <f t="shared" si="2"/>
        <v>42806</v>
      </c>
      <c r="AB1900" s="14"/>
      <c r="AC1900" s="14"/>
      <c r="AD1900" s="14"/>
      <c r="AE1900" s="14"/>
      <c r="AF1900" s="14"/>
      <c r="AG1900" s="14"/>
      <c r="AH1900" s="14"/>
      <c r="AI1900" s="14"/>
      <c r="AJ1900" s="14"/>
      <c r="AK1900" s="14"/>
      <c r="AL1900" s="14"/>
      <c r="AM1900" s="14"/>
    </row>
    <row r="1901" ht="14.25" customHeight="1">
      <c r="AA1901" s="7">
        <f t="shared" si="2"/>
        <v>42807</v>
      </c>
      <c r="AB1901" s="14"/>
      <c r="AC1901" s="14"/>
      <c r="AD1901" s="14"/>
      <c r="AE1901" s="14"/>
      <c r="AF1901" s="14"/>
      <c r="AG1901" s="14"/>
      <c r="AH1901" s="14"/>
      <c r="AI1901" s="14"/>
      <c r="AJ1901" s="14"/>
      <c r="AK1901" s="14"/>
      <c r="AL1901" s="14"/>
      <c r="AM1901" s="14"/>
    </row>
    <row r="1902" ht="14.25" customHeight="1">
      <c r="AA1902" s="7">
        <f t="shared" si="2"/>
        <v>42808</v>
      </c>
      <c r="AB1902" s="14"/>
      <c r="AC1902" s="14"/>
      <c r="AD1902" s="14"/>
      <c r="AE1902" s="14"/>
      <c r="AF1902" s="14"/>
      <c r="AG1902" s="14"/>
      <c r="AH1902" s="14"/>
      <c r="AI1902" s="14"/>
      <c r="AJ1902" s="14"/>
      <c r="AK1902" s="14"/>
      <c r="AL1902" s="14"/>
      <c r="AM1902" s="14"/>
    </row>
    <row r="1903" ht="14.25" customHeight="1">
      <c r="AA1903" s="7">
        <f t="shared" si="2"/>
        <v>42809</v>
      </c>
      <c r="AB1903" s="14"/>
      <c r="AC1903" s="14"/>
      <c r="AD1903" s="14"/>
      <c r="AE1903" s="14"/>
      <c r="AF1903" s="14"/>
      <c r="AG1903" s="14"/>
      <c r="AH1903" s="14"/>
      <c r="AI1903" s="14"/>
      <c r="AJ1903" s="14"/>
      <c r="AK1903" s="14"/>
      <c r="AL1903" s="14"/>
      <c r="AM1903" s="14"/>
    </row>
    <row r="1904" ht="14.25" customHeight="1">
      <c r="AA1904" s="7">
        <f t="shared" si="2"/>
        <v>42810</v>
      </c>
      <c r="AB1904" s="14"/>
      <c r="AC1904" s="14"/>
      <c r="AD1904" s="14"/>
      <c r="AE1904" s="14"/>
      <c r="AF1904" s="14"/>
      <c r="AG1904" s="14"/>
      <c r="AH1904" s="14"/>
      <c r="AI1904" s="14"/>
      <c r="AJ1904" s="14"/>
      <c r="AK1904" s="14"/>
      <c r="AL1904" s="14"/>
      <c r="AM1904" s="14"/>
    </row>
    <row r="1905" ht="14.25" customHeight="1">
      <c r="AA1905" s="7">
        <f t="shared" si="2"/>
        <v>42811</v>
      </c>
      <c r="AB1905" s="14"/>
      <c r="AC1905" s="14"/>
      <c r="AD1905" s="14"/>
      <c r="AE1905" s="14"/>
      <c r="AF1905" s="14"/>
      <c r="AG1905" s="14"/>
      <c r="AH1905" s="14"/>
      <c r="AI1905" s="14"/>
      <c r="AJ1905" s="14"/>
      <c r="AK1905" s="14"/>
      <c r="AL1905" s="14"/>
      <c r="AM1905" s="14"/>
    </row>
    <row r="1906" ht="14.25" customHeight="1">
      <c r="AA1906" s="7">
        <f t="shared" si="2"/>
        <v>42812</v>
      </c>
      <c r="AB1906" s="14"/>
      <c r="AC1906" s="14"/>
      <c r="AD1906" s="14"/>
      <c r="AE1906" s="14"/>
      <c r="AF1906" s="14"/>
      <c r="AG1906" s="14"/>
      <c r="AH1906" s="14"/>
      <c r="AI1906" s="14"/>
      <c r="AJ1906" s="14"/>
      <c r="AK1906" s="14"/>
      <c r="AL1906" s="14"/>
      <c r="AM1906" s="14"/>
    </row>
    <row r="1907" ht="14.25" customHeight="1">
      <c r="AA1907" s="7">
        <f t="shared" si="2"/>
        <v>42813</v>
      </c>
      <c r="AB1907" s="14"/>
      <c r="AC1907" s="14"/>
      <c r="AD1907" s="14"/>
      <c r="AE1907" s="14"/>
      <c r="AF1907" s="14"/>
      <c r="AG1907" s="14"/>
      <c r="AH1907" s="14"/>
      <c r="AI1907" s="14"/>
      <c r="AJ1907" s="14"/>
      <c r="AK1907" s="14"/>
      <c r="AL1907" s="14"/>
      <c r="AM1907" s="14"/>
    </row>
    <row r="1908" ht="14.25" customHeight="1">
      <c r="AA1908" s="7">
        <f t="shared" si="2"/>
        <v>42814</v>
      </c>
      <c r="AB1908" s="14"/>
      <c r="AC1908" s="14"/>
      <c r="AD1908" s="14"/>
      <c r="AE1908" s="14"/>
      <c r="AF1908" s="14"/>
      <c r="AG1908" s="14"/>
      <c r="AH1908" s="14"/>
      <c r="AI1908" s="14"/>
      <c r="AJ1908" s="14"/>
      <c r="AK1908" s="14"/>
      <c r="AL1908" s="14"/>
      <c r="AM1908" s="14"/>
    </row>
    <row r="1909" ht="14.25" customHeight="1">
      <c r="AA1909" s="7">
        <f t="shared" si="2"/>
        <v>42815</v>
      </c>
      <c r="AB1909" s="14"/>
      <c r="AC1909" s="14"/>
      <c r="AD1909" s="14"/>
      <c r="AE1909" s="14"/>
      <c r="AF1909" s="14"/>
      <c r="AG1909" s="14"/>
      <c r="AH1909" s="14"/>
      <c r="AI1909" s="14"/>
      <c r="AJ1909" s="14"/>
      <c r="AK1909" s="14"/>
      <c r="AL1909" s="14"/>
      <c r="AM1909" s="14"/>
    </row>
    <row r="1910" ht="14.25" customHeight="1">
      <c r="AA1910" s="7">
        <f t="shared" si="2"/>
        <v>42816</v>
      </c>
      <c r="AB1910" s="14"/>
      <c r="AC1910" s="14"/>
      <c r="AD1910" s="14"/>
      <c r="AE1910" s="14"/>
      <c r="AF1910" s="14"/>
      <c r="AG1910" s="14"/>
      <c r="AH1910" s="14"/>
      <c r="AI1910" s="14"/>
      <c r="AJ1910" s="14"/>
      <c r="AK1910" s="14"/>
      <c r="AL1910" s="14"/>
      <c r="AM1910" s="14"/>
    </row>
    <row r="1911" ht="14.25" customHeight="1">
      <c r="AA1911" s="7">
        <f t="shared" si="2"/>
        <v>42817</v>
      </c>
      <c r="AB1911" s="14"/>
      <c r="AC1911" s="14"/>
      <c r="AD1911" s="14"/>
      <c r="AE1911" s="14"/>
      <c r="AF1911" s="14"/>
      <c r="AG1911" s="14"/>
      <c r="AH1911" s="14"/>
      <c r="AI1911" s="14"/>
      <c r="AJ1911" s="14"/>
      <c r="AK1911" s="14"/>
      <c r="AL1911" s="14"/>
      <c r="AM1911" s="14"/>
    </row>
    <row r="1912" ht="14.25" customHeight="1">
      <c r="AA1912" s="7">
        <f t="shared" si="2"/>
        <v>42818</v>
      </c>
      <c r="AB1912" s="14"/>
      <c r="AC1912" s="14"/>
      <c r="AD1912" s="14"/>
      <c r="AE1912" s="14"/>
      <c r="AF1912" s="14"/>
      <c r="AG1912" s="14"/>
      <c r="AH1912" s="14"/>
      <c r="AI1912" s="14"/>
      <c r="AJ1912" s="14"/>
      <c r="AK1912" s="14"/>
      <c r="AL1912" s="14"/>
      <c r="AM1912" s="14"/>
    </row>
    <row r="1913" ht="14.25" customHeight="1">
      <c r="AA1913" s="7">
        <f t="shared" si="2"/>
        <v>42819</v>
      </c>
      <c r="AB1913" s="14"/>
      <c r="AC1913" s="14"/>
      <c r="AD1913" s="14"/>
      <c r="AE1913" s="14"/>
      <c r="AF1913" s="14"/>
      <c r="AG1913" s="14"/>
      <c r="AH1913" s="14"/>
      <c r="AI1913" s="14"/>
      <c r="AJ1913" s="14"/>
      <c r="AK1913" s="14"/>
      <c r="AL1913" s="14"/>
      <c r="AM1913" s="14"/>
    </row>
    <row r="1914" ht="14.25" customHeight="1">
      <c r="AA1914" s="7">
        <f t="shared" si="2"/>
        <v>42820</v>
      </c>
      <c r="AB1914" s="14"/>
      <c r="AC1914" s="14"/>
      <c r="AD1914" s="14"/>
      <c r="AE1914" s="14"/>
      <c r="AF1914" s="14"/>
      <c r="AG1914" s="14"/>
      <c r="AH1914" s="14"/>
      <c r="AI1914" s="14"/>
      <c r="AJ1914" s="14"/>
      <c r="AK1914" s="14"/>
      <c r="AL1914" s="14"/>
      <c r="AM1914" s="14"/>
    </row>
    <row r="1915" ht="14.25" customHeight="1">
      <c r="AA1915" s="7">
        <f t="shared" si="2"/>
        <v>42821</v>
      </c>
      <c r="AB1915" s="14"/>
      <c r="AC1915" s="14"/>
      <c r="AD1915" s="14"/>
      <c r="AE1915" s="14"/>
      <c r="AF1915" s="14"/>
      <c r="AG1915" s="14"/>
      <c r="AH1915" s="14"/>
      <c r="AI1915" s="14"/>
      <c r="AJ1915" s="14"/>
      <c r="AK1915" s="14"/>
      <c r="AL1915" s="14"/>
      <c r="AM1915" s="14"/>
    </row>
    <row r="1916" ht="14.25" customHeight="1">
      <c r="AA1916" s="7">
        <f t="shared" si="2"/>
        <v>42822</v>
      </c>
      <c r="AB1916" s="14"/>
      <c r="AC1916" s="14"/>
      <c r="AD1916" s="14"/>
      <c r="AE1916" s="14"/>
      <c r="AF1916" s="14"/>
      <c r="AG1916" s="14"/>
      <c r="AH1916" s="14"/>
      <c r="AI1916" s="14"/>
      <c r="AJ1916" s="14"/>
      <c r="AK1916" s="14"/>
      <c r="AL1916" s="14"/>
      <c r="AM1916" s="14"/>
    </row>
    <row r="1917" ht="14.25" customHeight="1">
      <c r="AA1917" s="7">
        <f t="shared" si="2"/>
        <v>42823</v>
      </c>
      <c r="AB1917" s="14"/>
      <c r="AC1917" s="14"/>
      <c r="AD1917" s="14"/>
      <c r="AE1917" s="14"/>
      <c r="AF1917" s="14"/>
      <c r="AG1917" s="14"/>
      <c r="AH1917" s="14"/>
      <c r="AI1917" s="14"/>
      <c r="AJ1917" s="14"/>
      <c r="AK1917" s="14"/>
      <c r="AL1917" s="14"/>
      <c r="AM1917" s="14"/>
    </row>
    <row r="1918" ht="14.25" customHeight="1">
      <c r="AA1918" s="7">
        <f t="shared" si="2"/>
        <v>42824</v>
      </c>
      <c r="AB1918" s="14"/>
      <c r="AC1918" s="14"/>
      <c r="AD1918" s="14"/>
      <c r="AE1918" s="14"/>
      <c r="AF1918" s="14"/>
      <c r="AG1918" s="14"/>
      <c r="AH1918" s="14"/>
      <c r="AI1918" s="14"/>
      <c r="AJ1918" s="14"/>
      <c r="AK1918" s="14"/>
      <c r="AL1918" s="14"/>
      <c r="AM1918" s="14"/>
    </row>
    <row r="1919" ht="14.25" customHeight="1">
      <c r="AA1919" s="7">
        <f t="shared" si="2"/>
        <v>42825</v>
      </c>
      <c r="AB1919" s="14"/>
      <c r="AC1919" s="14"/>
      <c r="AD1919" s="14"/>
      <c r="AE1919" s="14"/>
      <c r="AF1919" s="14"/>
      <c r="AG1919" s="14"/>
      <c r="AH1919" s="14"/>
      <c r="AI1919" s="14"/>
      <c r="AJ1919" s="14"/>
      <c r="AK1919" s="14"/>
      <c r="AL1919" s="14"/>
      <c r="AM1919" s="14"/>
    </row>
    <row r="1920" ht="14.25" customHeight="1">
      <c r="AA1920" s="7">
        <f t="shared" si="2"/>
        <v>42826</v>
      </c>
      <c r="AB1920" s="14"/>
      <c r="AC1920" s="14"/>
      <c r="AD1920" s="14"/>
      <c r="AE1920" s="14"/>
      <c r="AF1920" s="14"/>
      <c r="AG1920" s="14"/>
      <c r="AH1920" s="14"/>
      <c r="AI1920" s="14"/>
      <c r="AJ1920" s="14"/>
      <c r="AK1920" s="14"/>
      <c r="AL1920" s="14"/>
      <c r="AM1920" s="14"/>
    </row>
    <row r="1921" ht="14.25" customHeight="1">
      <c r="AA1921" s="7">
        <f t="shared" si="2"/>
        <v>42827</v>
      </c>
      <c r="AB1921" s="14"/>
      <c r="AC1921" s="14"/>
      <c r="AD1921" s="14"/>
      <c r="AE1921" s="14"/>
      <c r="AF1921" s="14"/>
      <c r="AG1921" s="14"/>
      <c r="AH1921" s="14"/>
      <c r="AI1921" s="14"/>
      <c r="AJ1921" s="14"/>
      <c r="AK1921" s="14"/>
      <c r="AL1921" s="14"/>
      <c r="AM1921" s="14"/>
    </row>
    <row r="1922" ht="14.25" customHeight="1">
      <c r="AA1922" s="7">
        <f t="shared" si="2"/>
        <v>42828</v>
      </c>
      <c r="AB1922" s="14"/>
      <c r="AC1922" s="14"/>
      <c r="AD1922" s="14"/>
      <c r="AE1922" s="14"/>
      <c r="AF1922" s="14"/>
      <c r="AG1922" s="14"/>
      <c r="AH1922" s="14"/>
      <c r="AI1922" s="14"/>
      <c r="AJ1922" s="14"/>
      <c r="AK1922" s="14"/>
      <c r="AL1922" s="14"/>
      <c r="AM1922" s="14"/>
    </row>
    <row r="1923" ht="14.25" customHeight="1">
      <c r="AA1923" s="7">
        <f t="shared" si="2"/>
        <v>42829</v>
      </c>
      <c r="AB1923" s="14"/>
      <c r="AC1923" s="14"/>
      <c r="AD1923" s="14"/>
      <c r="AE1923" s="14"/>
      <c r="AF1923" s="14"/>
      <c r="AG1923" s="14"/>
      <c r="AH1923" s="14"/>
      <c r="AI1923" s="14"/>
      <c r="AJ1923" s="14"/>
      <c r="AK1923" s="14"/>
      <c r="AL1923" s="14"/>
      <c r="AM1923" s="14"/>
    </row>
    <row r="1924" ht="14.25" customHeight="1">
      <c r="AA1924" s="7">
        <f t="shared" si="2"/>
        <v>42830</v>
      </c>
      <c r="AB1924" s="14"/>
      <c r="AC1924" s="14"/>
      <c r="AD1924" s="14"/>
      <c r="AE1924" s="14"/>
      <c r="AF1924" s="14"/>
      <c r="AG1924" s="14"/>
      <c r="AH1924" s="14"/>
      <c r="AI1924" s="14"/>
      <c r="AJ1924" s="14"/>
      <c r="AK1924" s="14"/>
      <c r="AL1924" s="14"/>
      <c r="AM1924" s="14"/>
    </row>
    <row r="1925" ht="14.25" customHeight="1">
      <c r="AA1925" s="7">
        <f t="shared" si="2"/>
        <v>42831</v>
      </c>
      <c r="AB1925" s="14"/>
      <c r="AC1925" s="14"/>
      <c r="AD1925" s="14"/>
      <c r="AE1925" s="14"/>
      <c r="AF1925" s="14"/>
      <c r="AG1925" s="14"/>
      <c r="AH1925" s="14"/>
      <c r="AI1925" s="14"/>
      <c r="AJ1925" s="14"/>
      <c r="AK1925" s="14"/>
      <c r="AL1925" s="14"/>
      <c r="AM1925" s="14"/>
    </row>
    <row r="1926" ht="14.25" customHeight="1">
      <c r="AA1926" s="7">
        <f t="shared" si="2"/>
        <v>42832</v>
      </c>
      <c r="AB1926" s="14"/>
      <c r="AC1926" s="14"/>
      <c r="AD1926" s="14"/>
      <c r="AE1926" s="14"/>
      <c r="AF1926" s="14"/>
      <c r="AG1926" s="14"/>
      <c r="AH1926" s="14"/>
      <c r="AI1926" s="14"/>
      <c r="AJ1926" s="14"/>
      <c r="AK1926" s="14"/>
      <c r="AL1926" s="14"/>
      <c r="AM1926" s="14"/>
    </row>
    <row r="1927" ht="14.25" customHeight="1">
      <c r="AA1927" s="7">
        <f t="shared" si="2"/>
        <v>42833</v>
      </c>
      <c r="AB1927" s="14"/>
      <c r="AC1927" s="14"/>
      <c r="AD1927" s="14"/>
      <c r="AE1927" s="14"/>
      <c r="AF1927" s="14"/>
      <c r="AG1927" s="14"/>
      <c r="AH1927" s="14"/>
      <c r="AI1927" s="14"/>
      <c r="AJ1927" s="14"/>
      <c r="AK1927" s="14"/>
      <c r="AL1927" s="14"/>
      <c r="AM1927" s="14"/>
    </row>
    <row r="1928" ht="14.25" customHeight="1">
      <c r="AA1928" s="7">
        <f t="shared" si="2"/>
        <v>42834</v>
      </c>
      <c r="AB1928" s="14"/>
      <c r="AC1928" s="14"/>
      <c r="AD1928" s="14"/>
      <c r="AE1928" s="14"/>
      <c r="AF1928" s="14"/>
      <c r="AG1928" s="14"/>
      <c r="AH1928" s="14"/>
      <c r="AI1928" s="14"/>
      <c r="AJ1928" s="14"/>
      <c r="AK1928" s="14"/>
      <c r="AL1928" s="14"/>
      <c r="AM1928" s="14"/>
    </row>
    <row r="1929" ht="14.25" customHeight="1">
      <c r="AA1929" s="7">
        <f t="shared" si="2"/>
        <v>42835</v>
      </c>
      <c r="AB1929" s="14"/>
      <c r="AC1929" s="14"/>
      <c r="AD1929" s="14"/>
      <c r="AE1929" s="14"/>
      <c r="AF1929" s="14"/>
      <c r="AG1929" s="14"/>
      <c r="AH1929" s="14"/>
      <c r="AI1929" s="14"/>
      <c r="AJ1929" s="14"/>
      <c r="AK1929" s="14"/>
      <c r="AL1929" s="14"/>
      <c r="AM1929" s="14"/>
    </row>
    <row r="1930" ht="14.25" customHeight="1">
      <c r="AA1930" s="7">
        <f t="shared" si="2"/>
        <v>42836</v>
      </c>
      <c r="AB1930" s="14"/>
      <c r="AC1930" s="14"/>
      <c r="AD1930" s="14"/>
      <c r="AE1930" s="14"/>
      <c r="AF1930" s="14"/>
      <c r="AG1930" s="14"/>
      <c r="AH1930" s="14"/>
      <c r="AI1930" s="14"/>
      <c r="AJ1930" s="14"/>
      <c r="AK1930" s="14"/>
      <c r="AL1930" s="14"/>
      <c r="AM1930" s="14"/>
    </row>
    <row r="1931" ht="14.25" customHeight="1">
      <c r="AA1931" s="7">
        <f t="shared" si="2"/>
        <v>42837</v>
      </c>
      <c r="AB1931" s="14"/>
      <c r="AC1931" s="14"/>
      <c r="AD1931" s="14"/>
      <c r="AE1931" s="14"/>
      <c r="AF1931" s="14"/>
      <c r="AG1931" s="14"/>
      <c r="AH1931" s="14"/>
      <c r="AI1931" s="14"/>
      <c r="AJ1931" s="14"/>
      <c r="AK1931" s="14"/>
      <c r="AL1931" s="14"/>
      <c r="AM1931" s="14"/>
    </row>
    <row r="1932" ht="14.25" customHeight="1">
      <c r="AA1932" s="7">
        <f t="shared" si="2"/>
        <v>42838</v>
      </c>
      <c r="AB1932" s="14"/>
      <c r="AC1932" s="14"/>
      <c r="AD1932" s="14"/>
      <c r="AE1932" s="14"/>
      <c r="AF1932" s="14"/>
      <c r="AG1932" s="14"/>
      <c r="AH1932" s="14"/>
      <c r="AI1932" s="14"/>
      <c r="AJ1932" s="14"/>
      <c r="AK1932" s="14"/>
      <c r="AL1932" s="14"/>
      <c r="AM1932" s="14"/>
    </row>
    <row r="1933" ht="14.25" customHeight="1">
      <c r="AA1933" s="7">
        <f t="shared" si="2"/>
        <v>42839</v>
      </c>
      <c r="AB1933" s="14"/>
      <c r="AC1933" s="14"/>
      <c r="AD1933" s="14"/>
      <c r="AE1933" s="14"/>
      <c r="AF1933" s="14"/>
      <c r="AG1933" s="14"/>
      <c r="AH1933" s="14"/>
      <c r="AI1933" s="14"/>
      <c r="AJ1933" s="14"/>
      <c r="AK1933" s="14"/>
      <c r="AL1933" s="14"/>
      <c r="AM1933" s="14"/>
    </row>
    <row r="1934" ht="14.25" customHeight="1">
      <c r="AA1934" s="7">
        <f t="shared" si="2"/>
        <v>42840</v>
      </c>
      <c r="AB1934" s="14"/>
      <c r="AC1934" s="14"/>
      <c r="AD1934" s="14"/>
      <c r="AE1934" s="14"/>
      <c r="AF1934" s="14"/>
      <c r="AG1934" s="14"/>
      <c r="AH1934" s="14"/>
      <c r="AI1934" s="14"/>
      <c r="AJ1934" s="14"/>
      <c r="AK1934" s="14"/>
      <c r="AL1934" s="14"/>
      <c r="AM1934" s="14"/>
    </row>
    <row r="1935" ht="14.25" customHeight="1">
      <c r="AA1935" s="7">
        <f t="shared" si="2"/>
        <v>42841</v>
      </c>
      <c r="AB1935" s="14"/>
      <c r="AC1935" s="14"/>
      <c r="AD1935" s="14"/>
      <c r="AE1935" s="14"/>
      <c r="AF1935" s="14"/>
      <c r="AG1935" s="14"/>
      <c r="AH1935" s="14"/>
      <c r="AI1935" s="14"/>
      <c r="AJ1935" s="14"/>
      <c r="AK1935" s="14"/>
      <c r="AL1935" s="14"/>
      <c r="AM1935" s="14"/>
    </row>
    <row r="1936" ht="14.25" customHeight="1">
      <c r="AA1936" s="7">
        <f t="shared" si="2"/>
        <v>42842</v>
      </c>
      <c r="AB1936" s="14"/>
      <c r="AC1936" s="14"/>
      <c r="AD1936" s="14"/>
      <c r="AE1936" s="14"/>
      <c r="AF1936" s="14"/>
      <c r="AG1936" s="14"/>
      <c r="AH1936" s="14"/>
      <c r="AI1936" s="14"/>
      <c r="AJ1936" s="14"/>
      <c r="AK1936" s="14"/>
      <c r="AL1936" s="14"/>
      <c r="AM1936" s="14"/>
    </row>
    <row r="1937" ht="14.25" customHeight="1">
      <c r="AA1937" s="7">
        <f t="shared" si="2"/>
        <v>42843</v>
      </c>
      <c r="AB1937" s="14"/>
      <c r="AC1937" s="14"/>
      <c r="AD1937" s="14"/>
      <c r="AE1937" s="14"/>
      <c r="AF1937" s="14"/>
      <c r="AG1937" s="14"/>
      <c r="AH1937" s="14"/>
      <c r="AI1937" s="14"/>
      <c r="AJ1937" s="14"/>
      <c r="AK1937" s="14"/>
      <c r="AL1937" s="14"/>
      <c r="AM1937" s="14"/>
    </row>
    <row r="1938" ht="14.25" customHeight="1">
      <c r="AA1938" s="7">
        <f t="shared" si="2"/>
        <v>42844</v>
      </c>
      <c r="AB1938" s="14"/>
      <c r="AC1938" s="14"/>
      <c r="AD1938" s="14"/>
      <c r="AE1938" s="14"/>
      <c r="AF1938" s="14"/>
      <c r="AG1938" s="14"/>
      <c r="AH1938" s="14"/>
      <c r="AI1938" s="14"/>
      <c r="AJ1938" s="14"/>
      <c r="AK1938" s="14"/>
      <c r="AL1938" s="14"/>
      <c r="AM1938" s="14"/>
    </row>
    <row r="1939" ht="14.25" customHeight="1">
      <c r="AA1939" s="7">
        <f t="shared" si="2"/>
        <v>42845</v>
      </c>
      <c r="AB1939" s="14"/>
      <c r="AC1939" s="14"/>
      <c r="AD1939" s="14"/>
      <c r="AE1939" s="14"/>
      <c r="AF1939" s="14"/>
      <c r="AG1939" s="14"/>
      <c r="AH1939" s="14"/>
      <c r="AI1939" s="14"/>
      <c r="AJ1939" s="14"/>
      <c r="AK1939" s="14"/>
      <c r="AL1939" s="14"/>
      <c r="AM1939" s="14"/>
    </row>
    <row r="1940" ht="14.25" customHeight="1">
      <c r="AA1940" s="7">
        <f t="shared" si="2"/>
        <v>42846</v>
      </c>
      <c r="AB1940" s="14"/>
      <c r="AC1940" s="14"/>
      <c r="AD1940" s="14"/>
      <c r="AE1940" s="14"/>
      <c r="AF1940" s="14"/>
      <c r="AG1940" s="14"/>
      <c r="AH1940" s="14"/>
      <c r="AI1940" s="14"/>
      <c r="AJ1940" s="14"/>
      <c r="AK1940" s="14"/>
      <c r="AL1940" s="14"/>
      <c r="AM1940" s="14"/>
    </row>
    <row r="1941" ht="14.25" customHeight="1">
      <c r="AA1941" s="7">
        <f t="shared" si="2"/>
        <v>42847</v>
      </c>
      <c r="AB1941" s="14"/>
      <c r="AC1941" s="14"/>
      <c r="AD1941" s="14"/>
      <c r="AE1941" s="14"/>
      <c r="AF1941" s="14"/>
      <c r="AG1941" s="14"/>
      <c r="AH1941" s="14"/>
      <c r="AI1941" s="14"/>
      <c r="AJ1941" s="14"/>
      <c r="AK1941" s="14"/>
      <c r="AL1941" s="14"/>
      <c r="AM1941" s="14"/>
    </row>
    <row r="1942" ht="14.25" customHeight="1">
      <c r="AA1942" s="7">
        <f t="shared" si="2"/>
        <v>42848</v>
      </c>
      <c r="AB1942" s="14"/>
      <c r="AC1942" s="14"/>
      <c r="AD1942" s="14"/>
      <c r="AE1942" s="14"/>
      <c r="AF1942" s="14"/>
      <c r="AG1942" s="14"/>
      <c r="AH1942" s="14"/>
      <c r="AI1942" s="14"/>
      <c r="AJ1942" s="14"/>
      <c r="AK1942" s="14"/>
      <c r="AL1942" s="14"/>
      <c r="AM1942" s="14"/>
    </row>
    <row r="1943" ht="14.25" customHeight="1">
      <c r="AA1943" s="7">
        <f t="shared" si="2"/>
        <v>42849</v>
      </c>
      <c r="AB1943" s="14"/>
      <c r="AC1943" s="14"/>
      <c r="AD1943" s="14"/>
      <c r="AE1943" s="14"/>
      <c r="AF1943" s="14"/>
      <c r="AG1943" s="14"/>
      <c r="AH1943" s="14"/>
      <c r="AI1943" s="14"/>
      <c r="AJ1943" s="14"/>
      <c r="AK1943" s="14"/>
      <c r="AL1943" s="14"/>
      <c r="AM1943" s="14"/>
    </row>
    <row r="1944" ht="14.25" customHeight="1">
      <c r="AA1944" s="7">
        <f t="shared" si="2"/>
        <v>42850</v>
      </c>
      <c r="AB1944" s="14"/>
      <c r="AC1944" s="14"/>
      <c r="AD1944" s="14"/>
      <c r="AE1944" s="14"/>
      <c r="AF1944" s="14"/>
      <c r="AG1944" s="14"/>
      <c r="AH1944" s="14"/>
      <c r="AI1944" s="14"/>
      <c r="AJ1944" s="14"/>
      <c r="AK1944" s="14"/>
      <c r="AL1944" s="14"/>
      <c r="AM1944" s="14"/>
    </row>
    <row r="1945" ht="14.25" customHeight="1">
      <c r="AA1945" s="7">
        <f t="shared" si="2"/>
        <v>42851</v>
      </c>
      <c r="AB1945" s="14"/>
      <c r="AC1945" s="14"/>
      <c r="AD1945" s="14"/>
      <c r="AE1945" s="14"/>
      <c r="AF1945" s="14"/>
      <c r="AG1945" s="14"/>
      <c r="AH1945" s="14"/>
      <c r="AI1945" s="14"/>
      <c r="AJ1945" s="14"/>
      <c r="AK1945" s="14"/>
      <c r="AL1945" s="14"/>
      <c r="AM1945" s="14"/>
    </row>
    <row r="1946" ht="14.25" customHeight="1">
      <c r="AA1946" s="7">
        <f t="shared" si="2"/>
        <v>42852</v>
      </c>
      <c r="AB1946" s="14"/>
      <c r="AC1946" s="14"/>
      <c r="AD1946" s="14"/>
      <c r="AE1946" s="14"/>
      <c r="AF1946" s="14"/>
      <c r="AG1946" s="14"/>
      <c r="AH1946" s="14"/>
      <c r="AI1946" s="14"/>
      <c r="AJ1946" s="14"/>
      <c r="AK1946" s="14"/>
      <c r="AL1946" s="14"/>
      <c r="AM1946" s="14"/>
    </row>
    <row r="1947" ht="14.25" customHeight="1">
      <c r="AA1947" s="7">
        <f t="shared" si="2"/>
        <v>42853</v>
      </c>
      <c r="AB1947" s="14"/>
      <c r="AC1947" s="14"/>
      <c r="AD1947" s="14"/>
      <c r="AE1947" s="14"/>
      <c r="AF1947" s="14"/>
      <c r="AG1947" s="14"/>
      <c r="AH1947" s="14"/>
      <c r="AI1947" s="14"/>
      <c r="AJ1947" s="14"/>
      <c r="AK1947" s="14"/>
      <c r="AL1947" s="14"/>
      <c r="AM1947" s="14"/>
    </row>
    <row r="1948" ht="14.25" customHeight="1">
      <c r="AA1948" s="7">
        <f t="shared" si="2"/>
        <v>42854</v>
      </c>
      <c r="AB1948" s="14"/>
      <c r="AC1948" s="14"/>
      <c r="AD1948" s="14"/>
      <c r="AE1948" s="14"/>
      <c r="AF1948" s="14"/>
      <c r="AG1948" s="14"/>
      <c r="AH1948" s="14"/>
      <c r="AI1948" s="14"/>
      <c r="AJ1948" s="14"/>
      <c r="AK1948" s="14"/>
      <c r="AL1948" s="14"/>
      <c r="AM1948" s="14"/>
    </row>
    <row r="1949" ht="14.25" customHeight="1">
      <c r="AA1949" s="7">
        <f t="shared" si="2"/>
        <v>42855</v>
      </c>
      <c r="AB1949" s="14"/>
      <c r="AC1949" s="14"/>
      <c r="AD1949" s="14"/>
      <c r="AE1949" s="14"/>
      <c r="AF1949" s="14"/>
      <c r="AG1949" s="14"/>
      <c r="AH1949" s="14"/>
      <c r="AI1949" s="14"/>
      <c r="AJ1949" s="14"/>
      <c r="AK1949" s="14"/>
      <c r="AL1949" s="14"/>
      <c r="AM1949" s="14"/>
    </row>
    <row r="1950" ht="14.25" customHeight="1">
      <c r="AA1950" s="7">
        <f t="shared" si="2"/>
        <v>42856</v>
      </c>
      <c r="AB1950" s="14"/>
      <c r="AC1950" s="14"/>
      <c r="AD1950" s="14"/>
      <c r="AE1950" s="14"/>
      <c r="AF1950" s="14"/>
      <c r="AG1950" s="14"/>
      <c r="AH1950" s="14"/>
      <c r="AI1950" s="14"/>
      <c r="AJ1950" s="14"/>
      <c r="AK1950" s="14"/>
      <c r="AL1950" s="14"/>
      <c r="AM1950" s="14"/>
    </row>
    <row r="1951" ht="14.25" customHeight="1">
      <c r="AA1951" s="7">
        <f t="shared" si="2"/>
        <v>42857</v>
      </c>
      <c r="AB1951" s="14"/>
      <c r="AC1951" s="14"/>
      <c r="AD1951" s="14"/>
      <c r="AE1951" s="14"/>
      <c r="AF1951" s="14"/>
      <c r="AG1951" s="14"/>
      <c r="AH1951" s="14"/>
      <c r="AI1951" s="14"/>
      <c r="AJ1951" s="14"/>
      <c r="AK1951" s="14"/>
      <c r="AL1951" s="14"/>
      <c r="AM1951" s="14"/>
    </row>
    <row r="1952" ht="14.25" customHeight="1">
      <c r="AA1952" s="7">
        <f t="shared" si="2"/>
        <v>42858</v>
      </c>
      <c r="AB1952" s="14"/>
      <c r="AC1952" s="14"/>
      <c r="AD1952" s="14"/>
      <c r="AE1952" s="14"/>
      <c r="AF1952" s="14"/>
      <c r="AG1952" s="14"/>
      <c r="AH1952" s="14"/>
      <c r="AI1952" s="14"/>
      <c r="AJ1952" s="14"/>
      <c r="AK1952" s="14"/>
      <c r="AL1952" s="14"/>
      <c r="AM1952" s="14"/>
    </row>
    <row r="1953" ht="14.25" customHeight="1">
      <c r="AA1953" s="7">
        <f t="shared" si="2"/>
        <v>42859</v>
      </c>
      <c r="AB1953" s="14"/>
      <c r="AC1953" s="14"/>
      <c r="AD1953" s="14"/>
      <c r="AE1953" s="14"/>
      <c r="AF1953" s="14"/>
      <c r="AG1953" s="14"/>
      <c r="AH1953" s="14"/>
      <c r="AI1953" s="14"/>
      <c r="AJ1953" s="14"/>
      <c r="AK1953" s="14"/>
      <c r="AL1953" s="14"/>
      <c r="AM1953" s="14"/>
    </row>
    <row r="1954" ht="14.25" customHeight="1">
      <c r="AA1954" s="7">
        <f t="shared" si="2"/>
        <v>42860</v>
      </c>
      <c r="AB1954" s="14"/>
      <c r="AC1954" s="14"/>
      <c r="AD1954" s="14"/>
      <c r="AE1954" s="14"/>
      <c r="AF1954" s="14"/>
      <c r="AG1954" s="14"/>
      <c r="AH1954" s="14"/>
      <c r="AI1954" s="14"/>
      <c r="AJ1954" s="14"/>
      <c r="AK1954" s="14"/>
      <c r="AL1954" s="14"/>
      <c r="AM1954" s="14"/>
    </row>
    <row r="1955" ht="14.25" customHeight="1">
      <c r="AA1955" s="7">
        <f t="shared" si="2"/>
        <v>42861</v>
      </c>
      <c r="AB1955" s="14"/>
      <c r="AC1955" s="14"/>
      <c r="AD1955" s="14"/>
      <c r="AE1955" s="14"/>
      <c r="AF1955" s="14"/>
      <c r="AG1955" s="14"/>
      <c r="AH1955" s="14"/>
      <c r="AI1955" s="14"/>
      <c r="AJ1955" s="14"/>
      <c r="AK1955" s="14"/>
      <c r="AL1955" s="14"/>
      <c r="AM1955" s="14"/>
    </row>
    <row r="1956" ht="14.25" customHeight="1">
      <c r="AA1956" s="7">
        <f t="shared" si="2"/>
        <v>42862</v>
      </c>
      <c r="AB1956" s="14"/>
      <c r="AC1956" s="14"/>
      <c r="AD1956" s="14"/>
      <c r="AE1956" s="14"/>
      <c r="AF1956" s="14"/>
      <c r="AG1956" s="14"/>
      <c r="AH1956" s="14"/>
      <c r="AI1956" s="14"/>
      <c r="AJ1956" s="14"/>
      <c r="AK1956" s="14"/>
      <c r="AL1956" s="14"/>
      <c r="AM1956" s="14"/>
    </row>
    <row r="1957" ht="14.25" customHeight="1">
      <c r="AA1957" s="7">
        <f t="shared" si="2"/>
        <v>42863</v>
      </c>
      <c r="AB1957" s="14"/>
      <c r="AC1957" s="14"/>
      <c r="AD1957" s="14"/>
      <c r="AE1957" s="14"/>
      <c r="AF1957" s="14"/>
      <c r="AG1957" s="14"/>
      <c r="AH1957" s="14"/>
      <c r="AI1957" s="14"/>
      <c r="AJ1957" s="14"/>
      <c r="AK1957" s="14"/>
      <c r="AL1957" s="14"/>
      <c r="AM1957" s="14"/>
    </row>
    <row r="1958" ht="14.25" customHeight="1">
      <c r="AA1958" s="7">
        <f t="shared" si="2"/>
        <v>42864</v>
      </c>
      <c r="AB1958" s="14"/>
      <c r="AC1958" s="14"/>
      <c r="AD1958" s="14"/>
      <c r="AE1958" s="14"/>
      <c r="AF1958" s="14"/>
      <c r="AG1958" s="14"/>
      <c r="AH1958" s="14"/>
      <c r="AI1958" s="14"/>
      <c r="AJ1958" s="14"/>
      <c r="AK1958" s="14"/>
      <c r="AL1958" s="14"/>
      <c r="AM1958" s="14"/>
    </row>
    <row r="1959" ht="14.25" customHeight="1">
      <c r="AA1959" s="7">
        <f t="shared" si="2"/>
        <v>42865</v>
      </c>
      <c r="AB1959" s="14"/>
      <c r="AC1959" s="14"/>
      <c r="AD1959" s="14"/>
      <c r="AE1959" s="14"/>
      <c r="AF1959" s="14"/>
      <c r="AG1959" s="14"/>
      <c r="AH1959" s="14"/>
      <c r="AI1959" s="14"/>
      <c r="AJ1959" s="14"/>
      <c r="AK1959" s="14"/>
      <c r="AL1959" s="14"/>
      <c r="AM1959" s="14"/>
    </row>
    <row r="1960" ht="14.25" customHeight="1">
      <c r="AA1960" s="7">
        <f t="shared" si="2"/>
        <v>42866</v>
      </c>
      <c r="AB1960" s="14"/>
      <c r="AC1960" s="14"/>
      <c r="AD1960" s="14"/>
      <c r="AE1960" s="14"/>
      <c r="AF1960" s="14"/>
      <c r="AG1960" s="14"/>
      <c r="AH1960" s="14"/>
      <c r="AI1960" s="14"/>
      <c r="AJ1960" s="14"/>
      <c r="AK1960" s="14"/>
      <c r="AL1960" s="14"/>
      <c r="AM1960" s="14"/>
    </row>
    <row r="1961" ht="14.25" customHeight="1">
      <c r="AA1961" s="7">
        <f t="shared" si="2"/>
        <v>42867</v>
      </c>
      <c r="AB1961" s="14"/>
      <c r="AC1961" s="14"/>
      <c r="AD1961" s="14"/>
      <c r="AE1961" s="14"/>
      <c r="AF1961" s="14"/>
      <c r="AG1961" s="14"/>
      <c r="AH1961" s="14"/>
      <c r="AI1961" s="14"/>
      <c r="AJ1961" s="14"/>
      <c r="AK1961" s="14"/>
      <c r="AL1961" s="14"/>
      <c r="AM1961" s="14"/>
    </row>
    <row r="1962" ht="14.25" customHeight="1">
      <c r="AA1962" s="7">
        <f t="shared" si="2"/>
        <v>42868</v>
      </c>
      <c r="AB1962" s="14"/>
      <c r="AC1962" s="14"/>
      <c r="AD1962" s="14"/>
      <c r="AE1962" s="14"/>
      <c r="AF1962" s="14"/>
      <c r="AG1962" s="14"/>
      <c r="AH1962" s="14"/>
      <c r="AI1962" s="14"/>
      <c r="AJ1962" s="14"/>
      <c r="AK1962" s="14"/>
      <c r="AL1962" s="14"/>
      <c r="AM1962" s="14"/>
    </row>
    <row r="1963" ht="14.25" customHeight="1">
      <c r="AA1963" s="7">
        <f t="shared" si="2"/>
        <v>42869</v>
      </c>
      <c r="AB1963" s="14"/>
      <c r="AC1963" s="14"/>
      <c r="AD1963" s="14"/>
      <c r="AE1963" s="14"/>
      <c r="AF1963" s="14"/>
      <c r="AG1963" s="14"/>
      <c r="AH1963" s="14"/>
      <c r="AI1963" s="14"/>
      <c r="AJ1963" s="14"/>
      <c r="AK1963" s="14"/>
      <c r="AL1963" s="14"/>
      <c r="AM1963" s="14"/>
    </row>
    <row r="1964" ht="14.25" customHeight="1">
      <c r="AA1964" s="7">
        <f t="shared" si="2"/>
        <v>42870</v>
      </c>
      <c r="AB1964" s="14"/>
      <c r="AC1964" s="14"/>
      <c r="AD1964" s="14"/>
      <c r="AE1964" s="14"/>
      <c r="AF1964" s="14"/>
      <c r="AG1964" s="14"/>
      <c r="AH1964" s="14"/>
      <c r="AI1964" s="14"/>
      <c r="AJ1964" s="14"/>
      <c r="AK1964" s="14"/>
      <c r="AL1964" s="14"/>
      <c r="AM1964" s="14"/>
    </row>
    <row r="1965" ht="14.25" customHeight="1">
      <c r="AA1965" s="7">
        <f t="shared" si="2"/>
        <v>42871</v>
      </c>
      <c r="AB1965" s="14"/>
      <c r="AC1965" s="14"/>
      <c r="AD1965" s="14"/>
      <c r="AE1965" s="14"/>
      <c r="AF1965" s="14"/>
      <c r="AG1965" s="14"/>
      <c r="AH1965" s="14"/>
      <c r="AI1965" s="14"/>
      <c r="AJ1965" s="14"/>
      <c r="AK1965" s="14"/>
      <c r="AL1965" s="14"/>
      <c r="AM1965" s="14"/>
    </row>
    <row r="1966" ht="14.25" customHeight="1">
      <c r="AA1966" s="7">
        <f t="shared" si="2"/>
        <v>42872</v>
      </c>
      <c r="AB1966" s="14"/>
      <c r="AC1966" s="14"/>
      <c r="AD1966" s="14"/>
      <c r="AE1966" s="14"/>
      <c r="AF1966" s="14"/>
      <c r="AG1966" s="14"/>
      <c r="AH1966" s="14"/>
      <c r="AI1966" s="14"/>
      <c r="AJ1966" s="14"/>
      <c r="AK1966" s="14"/>
      <c r="AL1966" s="14"/>
      <c r="AM1966" s="14"/>
    </row>
    <row r="1967" ht="14.25" customHeight="1">
      <c r="AA1967" s="7">
        <f t="shared" si="2"/>
        <v>42873</v>
      </c>
      <c r="AB1967" s="14"/>
      <c r="AC1967" s="14"/>
      <c r="AD1967" s="14"/>
      <c r="AE1967" s="14"/>
      <c r="AF1967" s="14"/>
      <c r="AG1967" s="14"/>
      <c r="AH1967" s="14"/>
      <c r="AI1967" s="14"/>
      <c r="AJ1967" s="14"/>
      <c r="AK1967" s="14"/>
      <c r="AL1967" s="14"/>
      <c r="AM1967" s="14"/>
    </row>
    <row r="1968" ht="14.25" customHeight="1">
      <c r="AA1968" s="7">
        <f t="shared" si="2"/>
        <v>42874</v>
      </c>
      <c r="AB1968" s="14"/>
      <c r="AC1968" s="14"/>
      <c r="AD1968" s="14"/>
      <c r="AE1968" s="14"/>
      <c r="AF1968" s="14"/>
      <c r="AG1968" s="14"/>
      <c r="AH1968" s="14"/>
      <c r="AI1968" s="14"/>
      <c r="AJ1968" s="14"/>
      <c r="AK1968" s="14"/>
      <c r="AL1968" s="14"/>
      <c r="AM1968" s="14"/>
    </row>
    <row r="1969" ht="14.25" customHeight="1">
      <c r="AA1969" s="7">
        <f t="shared" si="2"/>
        <v>42875</v>
      </c>
      <c r="AB1969" s="14"/>
      <c r="AC1969" s="14"/>
      <c r="AD1969" s="14"/>
      <c r="AE1969" s="14"/>
      <c r="AF1969" s="14"/>
      <c r="AG1969" s="14"/>
      <c r="AH1969" s="14"/>
      <c r="AI1969" s="14"/>
      <c r="AJ1969" s="14"/>
      <c r="AK1969" s="14"/>
      <c r="AL1969" s="14"/>
      <c r="AM1969" s="14"/>
    </row>
    <row r="1970" ht="14.25" customHeight="1">
      <c r="AA1970" s="7">
        <f t="shared" si="2"/>
        <v>42876</v>
      </c>
      <c r="AB1970" s="14"/>
      <c r="AC1970" s="14"/>
      <c r="AD1970" s="14"/>
      <c r="AE1970" s="14"/>
      <c r="AF1970" s="14"/>
      <c r="AG1970" s="14"/>
      <c r="AH1970" s="14"/>
      <c r="AI1970" s="14"/>
      <c r="AJ1970" s="14"/>
      <c r="AK1970" s="14"/>
      <c r="AL1970" s="14"/>
      <c r="AM1970" s="14"/>
    </row>
    <row r="1971" ht="14.25" customHeight="1">
      <c r="AA1971" s="7">
        <f t="shared" si="2"/>
        <v>42877</v>
      </c>
      <c r="AB1971" s="14"/>
      <c r="AC1971" s="14"/>
      <c r="AD1971" s="14"/>
      <c r="AE1971" s="14"/>
      <c r="AF1971" s="14"/>
      <c r="AG1971" s="14"/>
      <c r="AH1971" s="14"/>
      <c r="AI1971" s="14"/>
      <c r="AJ1971" s="14"/>
      <c r="AK1971" s="14"/>
      <c r="AL1971" s="14"/>
      <c r="AM1971" s="14"/>
    </row>
    <row r="1972" ht="14.25" customHeight="1">
      <c r="AA1972" s="7">
        <f t="shared" si="2"/>
        <v>42878</v>
      </c>
      <c r="AB1972" s="14"/>
      <c r="AC1972" s="14"/>
      <c r="AD1972" s="14"/>
      <c r="AE1972" s="14"/>
      <c r="AF1972" s="14"/>
      <c r="AG1972" s="14"/>
      <c r="AH1972" s="14"/>
      <c r="AI1972" s="14"/>
      <c r="AJ1972" s="14"/>
      <c r="AK1972" s="14"/>
      <c r="AL1972" s="14"/>
      <c r="AM1972" s="14"/>
    </row>
    <row r="1973" ht="14.25" customHeight="1">
      <c r="AA1973" s="7">
        <f t="shared" si="2"/>
        <v>42879</v>
      </c>
      <c r="AB1973" s="14"/>
      <c r="AC1973" s="14"/>
      <c r="AD1973" s="14"/>
      <c r="AE1973" s="14"/>
      <c r="AF1973" s="14"/>
      <c r="AG1973" s="14"/>
      <c r="AH1973" s="14"/>
      <c r="AI1973" s="14"/>
      <c r="AJ1973" s="14"/>
      <c r="AK1973" s="14"/>
      <c r="AL1973" s="14"/>
      <c r="AM1973" s="14"/>
    </row>
    <row r="1974" ht="14.25" customHeight="1">
      <c r="AA1974" s="7">
        <f t="shared" si="2"/>
        <v>42880</v>
      </c>
      <c r="AB1974" s="14"/>
      <c r="AC1974" s="14"/>
      <c r="AD1974" s="14"/>
      <c r="AE1974" s="14"/>
      <c r="AF1974" s="14"/>
      <c r="AG1974" s="14"/>
      <c r="AH1974" s="14"/>
      <c r="AI1974" s="14"/>
      <c r="AJ1974" s="14"/>
      <c r="AK1974" s="14"/>
      <c r="AL1974" s="14"/>
      <c r="AM1974" s="14"/>
    </row>
    <row r="1975" ht="14.25" customHeight="1">
      <c r="AA1975" s="7">
        <f t="shared" si="2"/>
        <v>42881</v>
      </c>
      <c r="AB1975" s="14"/>
      <c r="AC1975" s="14"/>
      <c r="AD1975" s="14"/>
      <c r="AE1975" s="14"/>
      <c r="AF1975" s="14"/>
      <c r="AG1975" s="14"/>
      <c r="AH1975" s="14"/>
      <c r="AI1975" s="14"/>
      <c r="AJ1975" s="14"/>
      <c r="AK1975" s="14"/>
      <c r="AL1975" s="14"/>
      <c r="AM1975" s="14"/>
    </row>
    <row r="1976" ht="14.25" customHeight="1">
      <c r="AA1976" s="7">
        <f t="shared" si="2"/>
        <v>42882</v>
      </c>
      <c r="AB1976" s="14"/>
      <c r="AC1976" s="14"/>
      <c r="AD1976" s="14"/>
      <c r="AE1976" s="14"/>
      <c r="AF1976" s="14"/>
      <c r="AG1976" s="14"/>
      <c r="AH1976" s="14"/>
      <c r="AI1976" s="14"/>
      <c r="AJ1976" s="14"/>
      <c r="AK1976" s="14"/>
      <c r="AL1976" s="14"/>
      <c r="AM1976" s="14"/>
    </row>
    <row r="1977" ht="14.25" customHeight="1">
      <c r="AA1977" s="7">
        <f t="shared" si="2"/>
        <v>42883</v>
      </c>
      <c r="AB1977" s="14"/>
      <c r="AC1977" s="14"/>
      <c r="AD1977" s="14"/>
      <c r="AE1977" s="14"/>
      <c r="AF1977" s="14"/>
      <c r="AG1977" s="14"/>
      <c r="AH1977" s="14"/>
      <c r="AI1977" s="14"/>
      <c r="AJ1977" s="14"/>
      <c r="AK1977" s="14"/>
      <c r="AL1977" s="14"/>
      <c r="AM1977" s="14"/>
    </row>
    <row r="1978" ht="14.25" customHeight="1">
      <c r="AA1978" s="7">
        <f t="shared" si="2"/>
        <v>42884</v>
      </c>
      <c r="AB1978" s="14"/>
      <c r="AC1978" s="14"/>
      <c r="AD1978" s="14"/>
      <c r="AE1978" s="14"/>
      <c r="AF1978" s="14"/>
      <c r="AG1978" s="14"/>
      <c r="AH1978" s="14"/>
      <c r="AI1978" s="14"/>
      <c r="AJ1978" s="14"/>
      <c r="AK1978" s="14"/>
      <c r="AL1978" s="14"/>
      <c r="AM1978" s="14"/>
    </row>
    <row r="1979" ht="14.25" customHeight="1">
      <c r="AA1979" s="7">
        <f t="shared" si="2"/>
        <v>42885</v>
      </c>
      <c r="AB1979" s="14"/>
      <c r="AC1979" s="14"/>
      <c r="AD1979" s="14"/>
      <c r="AE1979" s="14"/>
      <c r="AF1979" s="14"/>
      <c r="AG1979" s="14"/>
      <c r="AH1979" s="14"/>
      <c r="AI1979" s="14"/>
      <c r="AJ1979" s="14"/>
      <c r="AK1979" s="14"/>
      <c r="AL1979" s="14"/>
      <c r="AM1979" s="14"/>
    </row>
    <row r="1980" ht="14.25" customHeight="1">
      <c r="AA1980" s="7">
        <f t="shared" si="2"/>
        <v>42886</v>
      </c>
      <c r="AB1980" s="14"/>
      <c r="AC1980" s="14"/>
      <c r="AD1980" s="14"/>
      <c r="AE1980" s="14"/>
      <c r="AF1980" s="14"/>
      <c r="AG1980" s="14"/>
      <c r="AH1980" s="14"/>
      <c r="AI1980" s="14"/>
      <c r="AJ1980" s="14"/>
      <c r="AK1980" s="14"/>
      <c r="AL1980" s="14"/>
      <c r="AM1980" s="14"/>
    </row>
    <row r="1981" ht="14.25" customHeight="1">
      <c r="AA1981" s="7">
        <f t="shared" si="2"/>
        <v>42887</v>
      </c>
      <c r="AB1981" s="14"/>
      <c r="AC1981" s="14"/>
      <c r="AD1981" s="14"/>
      <c r="AE1981" s="14"/>
      <c r="AF1981" s="14"/>
      <c r="AG1981" s="14"/>
      <c r="AH1981" s="14"/>
      <c r="AI1981" s="14"/>
      <c r="AJ1981" s="14"/>
      <c r="AK1981" s="14"/>
      <c r="AL1981" s="14"/>
      <c r="AM1981" s="14"/>
    </row>
    <row r="1982" ht="14.25" customHeight="1">
      <c r="AA1982" s="7">
        <f t="shared" si="2"/>
        <v>42888</v>
      </c>
      <c r="AB1982" s="14"/>
      <c r="AC1982" s="14"/>
      <c r="AD1982" s="14"/>
      <c r="AE1982" s="14"/>
      <c r="AF1982" s="14"/>
      <c r="AG1982" s="14"/>
      <c r="AH1982" s="14"/>
      <c r="AI1982" s="14"/>
      <c r="AJ1982" s="14"/>
      <c r="AK1982" s="14"/>
      <c r="AL1982" s="14"/>
      <c r="AM1982" s="14"/>
    </row>
    <row r="1983" ht="14.25" customHeight="1">
      <c r="AA1983" s="7">
        <f t="shared" si="2"/>
        <v>42889</v>
      </c>
      <c r="AB1983" s="14"/>
      <c r="AC1983" s="14"/>
      <c r="AD1983" s="14"/>
      <c r="AE1983" s="14"/>
      <c r="AF1983" s="14"/>
      <c r="AG1983" s="14"/>
      <c r="AH1983" s="14"/>
      <c r="AI1983" s="14"/>
      <c r="AJ1983" s="14"/>
      <c r="AK1983" s="14"/>
      <c r="AL1983" s="14"/>
      <c r="AM1983" s="14"/>
    </row>
    <row r="1984" ht="14.25" customHeight="1">
      <c r="AA1984" s="7">
        <f t="shared" si="2"/>
        <v>42890</v>
      </c>
      <c r="AB1984" s="14"/>
      <c r="AC1984" s="14"/>
      <c r="AD1984" s="14"/>
      <c r="AE1984" s="14"/>
      <c r="AF1984" s="14"/>
      <c r="AG1984" s="14"/>
      <c r="AH1984" s="14"/>
      <c r="AI1984" s="14"/>
      <c r="AJ1984" s="14"/>
      <c r="AK1984" s="14"/>
      <c r="AL1984" s="14"/>
      <c r="AM1984" s="14"/>
    </row>
    <row r="1985" ht="14.25" customHeight="1">
      <c r="AA1985" s="7">
        <f t="shared" si="2"/>
        <v>42891</v>
      </c>
      <c r="AB1985" s="14"/>
      <c r="AC1985" s="14"/>
      <c r="AD1985" s="14"/>
      <c r="AE1985" s="14"/>
      <c r="AF1985" s="14"/>
      <c r="AG1985" s="14"/>
      <c r="AH1985" s="14"/>
      <c r="AI1985" s="14"/>
      <c r="AJ1985" s="14"/>
      <c r="AK1985" s="14"/>
      <c r="AL1985" s="14"/>
      <c r="AM1985" s="14"/>
    </row>
    <row r="1986" ht="14.25" customHeight="1">
      <c r="AA1986" s="7">
        <f t="shared" si="2"/>
        <v>42892</v>
      </c>
      <c r="AB1986" s="14"/>
      <c r="AC1986" s="14"/>
      <c r="AD1986" s="14"/>
      <c r="AE1986" s="14"/>
      <c r="AF1986" s="14"/>
      <c r="AG1986" s="14"/>
      <c r="AH1986" s="14"/>
      <c r="AI1986" s="14"/>
      <c r="AJ1986" s="14"/>
      <c r="AK1986" s="14"/>
      <c r="AL1986" s="14"/>
      <c r="AM1986" s="14"/>
    </row>
    <row r="1987" ht="14.25" customHeight="1">
      <c r="AA1987" s="7">
        <f t="shared" si="2"/>
        <v>42893</v>
      </c>
      <c r="AB1987" s="14"/>
      <c r="AC1987" s="14"/>
      <c r="AD1987" s="14"/>
      <c r="AE1987" s="14"/>
      <c r="AF1987" s="14"/>
      <c r="AG1987" s="14"/>
      <c r="AH1987" s="14"/>
      <c r="AI1987" s="14"/>
      <c r="AJ1987" s="14"/>
      <c r="AK1987" s="14"/>
      <c r="AL1987" s="14"/>
      <c r="AM1987" s="14"/>
    </row>
    <row r="1988" ht="14.25" customHeight="1">
      <c r="AA1988" s="7">
        <f t="shared" si="2"/>
        <v>42894</v>
      </c>
      <c r="AB1988" s="14"/>
      <c r="AC1988" s="14"/>
      <c r="AD1988" s="14"/>
      <c r="AE1988" s="14"/>
      <c r="AF1988" s="14"/>
      <c r="AG1988" s="14"/>
      <c r="AH1988" s="14"/>
      <c r="AI1988" s="14"/>
      <c r="AJ1988" s="14"/>
      <c r="AK1988" s="14"/>
      <c r="AL1988" s="14"/>
      <c r="AM1988" s="14"/>
    </row>
    <row r="1989" ht="14.25" customHeight="1">
      <c r="AA1989" s="7">
        <f t="shared" si="2"/>
        <v>42895</v>
      </c>
      <c r="AB1989" s="14"/>
      <c r="AC1989" s="14"/>
      <c r="AD1989" s="14"/>
      <c r="AE1989" s="14"/>
      <c r="AF1989" s="14"/>
      <c r="AG1989" s="14"/>
      <c r="AH1989" s="14"/>
      <c r="AI1989" s="14"/>
      <c r="AJ1989" s="14"/>
      <c r="AK1989" s="14"/>
      <c r="AL1989" s="14"/>
      <c r="AM1989" s="14"/>
    </row>
    <row r="1990" ht="14.25" customHeight="1">
      <c r="AA1990" s="7">
        <f t="shared" si="2"/>
        <v>42896</v>
      </c>
      <c r="AB1990" s="14"/>
      <c r="AC1990" s="14"/>
      <c r="AD1990" s="14"/>
      <c r="AE1990" s="14"/>
      <c r="AF1990" s="14"/>
      <c r="AG1990" s="14"/>
      <c r="AH1990" s="14"/>
      <c r="AI1990" s="14"/>
      <c r="AJ1990" s="14"/>
      <c r="AK1990" s="14"/>
      <c r="AL1990" s="14"/>
      <c r="AM1990" s="14"/>
    </row>
    <row r="1991" ht="14.25" customHeight="1">
      <c r="AA1991" s="7">
        <f t="shared" si="2"/>
        <v>42897</v>
      </c>
      <c r="AB1991" s="14"/>
      <c r="AC1991" s="14"/>
      <c r="AD1991" s="14"/>
      <c r="AE1991" s="14"/>
      <c r="AF1991" s="14"/>
      <c r="AG1991" s="14"/>
      <c r="AH1991" s="14"/>
      <c r="AI1991" s="14"/>
      <c r="AJ1991" s="14"/>
      <c r="AK1991" s="14"/>
      <c r="AL1991" s="14"/>
      <c r="AM1991" s="14"/>
    </row>
    <row r="1992" ht="14.25" customHeight="1">
      <c r="AA1992" s="7">
        <f t="shared" si="2"/>
        <v>42898</v>
      </c>
      <c r="AB1992" s="14"/>
      <c r="AC1992" s="14"/>
      <c r="AD1992" s="14"/>
      <c r="AE1992" s="14"/>
      <c r="AF1992" s="14"/>
      <c r="AG1992" s="14"/>
      <c r="AH1992" s="14"/>
      <c r="AI1992" s="14"/>
      <c r="AJ1992" s="14"/>
      <c r="AK1992" s="14"/>
      <c r="AL1992" s="14"/>
      <c r="AM1992" s="14"/>
    </row>
    <row r="1993" ht="14.25" customHeight="1">
      <c r="AA1993" s="7">
        <f t="shared" si="2"/>
        <v>42899</v>
      </c>
      <c r="AB1993" s="14"/>
      <c r="AC1993" s="14"/>
      <c r="AD1993" s="14"/>
      <c r="AE1993" s="14"/>
      <c r="AF1993" s="14"/>
      <c r="AG1993" s="14"/>
      <c r="AH1993" s="14"/>
      <c r="AI1993" s="14"/>
      <c r="AJ1993" s="14"/>
      <c r="AK1993" s="14"/>
      <c r="AL1993" s="14"/>
      <c r="AM1993" s="14"/>
    </row>
    <row r="1994" ht="14.25" customHeight="1">
      <c r="AA1994" s="7">
        <f t="shared" si="2"/>
        <v>42900</v>
      </c>
      <c r="AB1994" s="14"/>
      <c r="AC1994" s="14"/>
      <c r="AD1994" s="14"/>
      <c r="AE1994" s="14"/>
      <c r="AF1994" s="14"/>
      <c r="AG1994" s="14"/>
      <c r="AH1994" s="14"/>
      <c r="AI1994" s="14"/>
      <c r="AJ1994" s="14"/>
      <c r="AK1994" s="14"/>
      <c r="AL1994" s="14"/>
      <c r="AM1994" s="14"/>
    </row>
    <row r="1995" ht="14.25" customHeight="1">
      <c r="AA1995" s="7">
        <f t="shared" si="2"/>
        <v>42901</v>
      </c>
      <c r="AB1995" s="14"/>
      <c r="AC1995" s="14"/>
      <c r="AD1995" s="14"/>
      <c r="AE1995" s="14"/>
      <c r="AF1995" s="14"/>
      <c r="AG1995" s="14"/>
      <c r="AH1995" s="14"/>
      <c r="AI1995" s="14"/>
      <c r="AJ1995" s="14"/>
      <c r="AK1995" s="14"/>
      <c r="AL1995" s="14"/>
      <c r="AM1995" s="14"/>
    </row>
    <row r="1996" ht="14.25" customHeight="1">
      <c r="AA1996" s="7">
        <f t="shared" si="2"/>
        <v>42902</v>
      </c>
      <c r="AB1996" s="14"/>
      <c r="AC1996" s="14"/>
      <c r="AD1996" s="14"/>
      <c r="AE1996" s="14"/>
      <c r="AF1996" s="14"/>
      <c r="AG1996" s="14"/>
      <c r="AH1996" s="14"/>
      <c r="AI1996" s="14"/>
      <c r="AJ1996" s="14"/>
      <c r="AK1996" s="14"/>
      <c r="AL1996" s="14"/>
      <c r="AM1996" s="14"/>
    </row>
    <row r="1997" ht="14.25" customHeight="1">
      <c r="AA1997" s="7">
        <f t="shared" si="2"/>
        <v>42903</v>
      </c>
      <c r="AB1997" s="14"/>
      <c r="AC1997" s="14"/>
      <c r="AD1997" s="14"/>
      <c r="AE1997" s="14"/>
      <c r="AF1997" s="14"/>
      <c r="AG1997" s="14"/>
      <c r="AH1997" s="14"/>
      <c r="AI1997" s="14"/>
      <c r="AJ1997" s="14"/>
      <c r="AK1997" s="14"/>
      <c r="AL1997" s="14"/>
      <c r="AM1997" s="14"/>
    </row>
    <row r="1998" ht="14.25" customHeight="1">
      <c r="AA1998" s="7">
        <f t="shared" si="2"/>
        <v>42904</v>
      </c>
      <c r="AB1998" s="14"/>
      <c r="AC1998" s="14"/>
      <c r="AD1998" s="14"/>
      <c r="AE1998" s="14"/>
      <c r="AF1998" s="14"/>
      <c r="AG1998" s="14"/>
      <c r="AH1998" s="14"/>
      <c r="AI1998" s="14"/>
      <c r="AJ1998" s="14"/>
      <c r="AK1998" s="14"/>
      <c r="AL1998" s="14"/>
      <c r="AM1998" s="14"/>
    </row>
    <row r="1999" ht="14.25" customHeight="1">
      <c r="AA1999" s="7">
        <f t="shared" si="2"/>
        <v>42905</v>
      </c>
      <c r="AB1999" s="14"/>
      <c r="AC1999" s="14"/>
      <c r="AD1999" s="14"/>
      <c r="AE1999" s="14"/>
      <c r="AF1999" s="14"/>
      <c r="AG1999" s="14"/>
      <c r="AH1999" s="14"/>
      <c r="AI1999" s="14"/>
      <c r="AJ1999" s="14"/>
      <c r="AK1999" s="14"/>
      <c r="AL1999" s="14"/>
      <c r="AM1999" s="14"/>
    </row>
    <row r="2000" ht="14.25" customHeight="1">
      <c r="AA2000" s="7">
        <f t="shared" si="2"/>
        <v>42906</v>
      </c>
      <c r="AB2000" s="14"/>
      <c r="AC2000" s="14"/>
      <c r="AD2000" s="14"/>
      <c r="AE2000" s="14"/>
      <c r="AF2000" s="14"/>
      <c r="AG2000" s="14"/>
      <c r="AH2000" s="14"/>
      <c r="AI2000" s="14"/>
      <c r="AJ2000" s="14"/>
      <c r="AK2000" s="14"/>
      <c r="AL2000" s="14"/>
      <c r="AM2000" s="14"/>
    </row>
    <row r="2001" ht="14.25" customHeight="1">
      <c r="AA2001" s="7">
        <f t="shared" si="2"/>
        <v>42907</v>
      </c>
      <c r="AB2001" s="14"/>
      <c r="AC2001" s="14"/>
      <c r="AD2001" s="14"/>
      <c r="AE2001" s="14"/>
      <c r="AF2001" s="14"/>
      <c r="AG2001" s="14"/>
      <c r="AH2001" s="14"/>
      <c r="AI2001" s="14"/>
      <c r="AJ2001" s="14"/>
      <c r="AK2001" s="14"/>
      <c r="AL2001" s="14"/>
      <c r="AM2001" s="14"/>
    </row>
    <row r="2002" ht="14.25" customHeight="1">
      <c r="AA2002" s="7">
        <f t="shared" si="2"/>
        <v>42908</v>
      </c>
      <c r="AB2002" s="14"/>
      <c r="AC2002" s="14"/>
      <c r="AD2002" s="14"/>
      <c r="AE2002" s="14"/>
      <c r="AF2002" s="14"/>
      <c r="AG2002" s="14"/>
      <c r="AH2002" s="14"/>
      <c r="AI2002" s="14"/>
      <c r="AJ2002" s="14"/>
      <c r="AK2002" s="14"/>
      <c r="AL2002" s="14"/>
      <c r="AM2002" s="14"/>
    </row>
    <row r="2003" ht="14.25" customHeight="1">
      <c r="AA2003" s="7">
        <f t="shared" si="2"/>
        <v>42909</v>
      </c>
      <c r="AB2003" s="14"/>
      <c r="AC2003" s="14"/>
      <c r="AD2003" s="14"/>
      <c r="AE2003" s="14"/>
      <c r="AF2003" s="14"/>
      <c r="AG2003" s="14"/>
      <c r="AH2003" s="14"/>
      <c r="AI2003" s="14"/>
      <c r="AJ2003" s="14"/>
      <c r="AK2003" s="14"/>
      <c r="AL2003" s="14"/>
      <c r="AM2003" s="14"/>
    </row>
    <row r="2004" ht="14.25" customHeight="1">
      <c r="AA2004" s="7">
        <f t="shared" si="2"/>
        <v>42910</v>
      </c>
      <c r="AB2004" s="14"/>
      <c r="AC2004" s="14"/>
      <c r="AD2004" s="14"/>
      <c r="AE2004" s="14"/>
      <c r="AF2004" s="14"/>
      <c r="AG2004" s="14"/>
      <c r="AH2004" s="14"/>
      <c r="AI2004" s="14"/>
      <c r="AJ2004" s="14"/>
      <c r="AK2004" s="14"/>
      <c r="AL2004" s="14"/>
      <c r="AM2004" s="14"/>
    </row>
    <row r="2005" ht="14.25" customHeight="1">
      <c r="AA2005" s="7">
        <f t="shared" si="2"/>
        <v>42911</v>
      </c>
      <c r="AB2005" s="14"/>
      <c r="AC2005" s="14"/>
      <c r="AD2005" s="14"/>
      <c r="AE2005" s="14"/>
      <c r="AF2005" s="14"/>
      <c r="AG2005" s="14"/>
      <c r="AH2005" s="14"/>
      <c r="AI2005" s="14"/>
      <c r="AJ2005" s="14"/>
      <c r="AK2005" s="14"/>
      <c r="AL2005" s="14"/>
      <c r="AM2005" s="14"/>
    </row>
    <row r="2006" ht="14.25" customHeight="1">
      <c r="AA2006" s="7">
        <f t="shared" si="2"/>
        <v>42912</v>
      </c>
      <c r="AB2006" s="14"/>
      <c r="AC2006" s="14"/>
      <c r="AD2006" s="14"/>
      <c r="AE2006" s="14"/>
      <c r="AF2006" s="14"/>
      <c r="AG2006" s="14"/>
      <c r="AH2006" s="14"/>
      <c r="AI2006" s="14"/>
      <c r="AJ2006" s="14"/>
      <c r="AK2006" s="14"/>
      <c r="AL2006" s="14"/>
      <c r="AM2006" s="14"/>
    </row>
    <row r="2007" ht="14.25" customHeight="1">
      <c r="AA2007" s="7">
        <f t="shared" si="2"/>
        <v>42913</v>
      </c>
      <c r="AB2007" s="14"/>
      <c r="AC2007" s="14"/>
      <c r="AD2007" s="14"/>
      <c r="AE2007" s="14"/>
      <c r="AF2007" s="14"/>
      <c r="AG2007" s="14"/>
      <c r="AH2007" s="14"/>
      <c r="AI2007" s="14"/>
      <c r="AJ2007" s="14"/>
      <c r="AK2007" s="14"/>
      <c r="AL2007" s="14"/>
      <c r="AM2007" s="14"/>
    </row>
    <row r="2008" ht="14.25" customHeight="1">
      <c r="AA2008" s="7">
        <f t="shared" si="2"/>
        <v>42914</v>
      </c>
      <c r="AB2008" s="14"/>
      <c r="AC2008" s="14"/>
      <c r="AD2008" s="14"/>
      <c r="AE2008" s="14"/>
      <c r="AF2008" s="14"/>
      <c r="AG2008" s="14"/>
      <c r="AH2008" s="14"/>
      <c r="AI2008" s="14"/>
      <c r="AJ2008" s="14"/>
      <c r="AK2008" s="14"/>
      <c r="AL2008" s="14"/>
      <c r="AM2008" s="14"/>
    </row>
    <row r="2009" ht="14.25" customHeight="1">
      <c r="AA2009" s="7">
        <f t="shared" si="2"/>
        <v>42915</v>
      </c>
      <c r="AB2009" s="14"/>
      <c r="AC2009" s="14"/>
      <c r="AD2009" s="14"/>
      <c r="AE2009" s="14"/>
      <c r="AF2009" s="14"/>
      <c r="AG2009" s="14"/>
      <c r="AH2009" s="14"/>
      <c r="AI2009" s="14"/>
      <c r="AJ2009" s="14"/>
      <c r="AK2009" s="14"/>
      <c r="AL2009" s="14"/>
      <c r="AM2009" s="14"/>
    </row>
    <row r="2010" ht="14.25" customHeight="1">
      <c r="AA2010" s="7">
        <f t="shared" si="2"/>
        <v>42916</v>
      </c>
      <c r="AB2010" s="14"/>
      <c r="AC2010" s="14"/>
      <c r="AD2010" s="14"/>
      <c r="AE2010" s="14"/>
      <c r="AF2010" s="14"/>
      <c r="AG2010" s="14"/>
      <c r="AH2010" s="14"/>
      <c r="AI2010" s="14"/>
      <c r="AJ2010" s="14"/>
      <c r="AK2010" s="14"/>
      <c r="AL2010" s="14"/>
      <c r="AM2010" s="14"/>
    </row>
    <row r="2011" ht="14.25" customHeight="1">
      <c r="AA2011" s="7">
        <f t="shared" si="2"/>
        <v>42917</v>
      </c>
      <c r="AB2011" s="14"/>
      <c r="AC2011" s="14"/>
      <c r="AD2011" s="14"/>
      <c r="AE2011" s="14"/>
      <c r="AF2011" s="14"/>
      <c r="AG2011" s="14"/>
      <c r="AH2011" s="14"/>
      <c r="AI2011" s="14"/>
      <c r="AJ2011" s="14"/>
      <c r="AK2011" s="14"/>
      <c r="AL2011" s="14"/>
      <c r="AM2011" s="14"/>
    </row>
    <row r="2012" ht="14.25" customHeight="1">
      <c r="AA2012" s="7">
        <f t="shared" si="2"/>
        <v>42918</v>
      </c>
      <c r="AB2012" s="14"/>
      <c r="AC2012" s="14"/>
      <c r="AD2012" s="14"/>
      <c r="AE2012" s="14"/>
      <c r="AF2012" s="14"/>
      <c r="AG2012" s="14"/>
      <c r="AH2012" s="14"/>
      <c r="AI2012" s="14"/>
      <c r="AJ2012" s="14"/>
      <c r="AK2012" s="14"/>
      <c r="AL2012" s="14"/>
      <c r="AM2012" s="14"/>
    </row>
    <row r="2013" ht="14.25" customHeight="1">
      <c r="AA2013" s="7">
        <f t="shared" si="2"/>
        <v>42919</v>
      </c>
      <c r="AB2013" s="14"/>
      <c r="AC2013" s="14"/>
      <c r="AD2013" s="14"/>
      <c r="AE2013" s="14"/>
      <c r="AF2013" s="14"/>
      <c r="AG2013" s="14"/>
      <c r="AH2013" s="14"/>
      <c r="AI2013" s="14"/>
      <c r="AJ2013" s="14"/>
      <c r="AK2013" s="14"/>
      <c r="AL2013" s="14"/>
      <c r="AM2013" s="14"/>
    </row>
    <row r="2014" ht="14.25" customHeight="1">
      <c r="AA2014" s="7">
        <f t="shared" si="2"/>
        <v>42920</v>
      </c>
      <c r="AB2014" s="14"/>
      <c r="AC2014" s="14"/>
      <c r="AD2014" s="14"/>
      <c r="AE2014" s="14"/>
      <c r="AF2014" s="14"/>
      <c r="AG2014" s="14"/>
      <c r="AH2014" s="14"/>
      <c r="AI2014" s="14"/>
      <c r="AJ2014" s="14"/>
      <c r="AK2014" s="14"/>
      <c r="AL2014" s="14"/>
      <c r="AM2014" s="14"/>
    </row>
    <row r="2015" ht="14.25" customHeight="1">
      <c r="AA2015" s="7">
        <f t="shared" si="2"/>
        <v>42921</v>
      </c>
      <c r="AB2015" s="14"/>
      <c r="AC2015" s="14"/>
      <c r="AD2015" s="14"/>
      <c r="AE2015" s="14"/>
      <c r="AF2015" s="14"/>
      <c r="AG2015" s="14"/>
      <c r="AH2015" s="14"/>
      <c r="AI2015" s="14"/>
      <c r="AJ2015" s="14"/>
      <c r="AK2015" s="14"/>
      <c r="AL2015" s="14"/>
      <c r="AM2015" s="14"/>
    </row>
    <row r="2016" ht="14.25" customHeight="1">
      <c r="AA2016" s="7">
        <f t="shared" si="2"/>
        <v>42922</v>
      </c>
      <c r="AB2016" s="14"/>
      <c r="AC2016" s="14"/>
      <c r="AD2016" s="14"/>
      <c r="AE2016" s="14"/>
      <c r="AF2016" s="14"/>
      <c r="AG2016" s="14"/>
      <c r="AH2016" s="14"/>
      <c r="AI2016" s="14"/>
      <c r="AJ2016" s="14"/>
      <c r="AK2016" s="14"/>
      <c r="AL2016" s="14"/>
      <c r="AM2016" s="14"/>
    </row>
    <row r="2017" ht="14.25" customHeight="1">
      <c r="AA2017" s="7">
        <f t="shared" si="2"/>
        <v>42923</v>
      </c>
      <c r="AB2017" s="14"/>
      <c r="AC2017" s="14"/>
      <c r="AD2017" s="14"/>
      <c r="AE2017" s="14"/>
      <c r="AF2017" s="14"/>
      <c r="AG2017" s="14"/>
      <c r="AH2017" s="14"/>
      <c r="AI2017" s="14"/>
      <c r="AJ2017" s="14"/>
      <c r="AK2017" s="14"/>
      <c r="AL2017" s="14"/>
      <c r="AM2017" s="14"/>
    </row>
    <row r="2018" ht="14.25" customHeight="1">
      <c r="AA2018" s="7">
        <f t="shared" si="2"/>
        <v>42924</v>
      </c>
      <c r="AB2018" s="14"/>
      <c r="AC2018" s="14"/>
      <c r="AD2018" s="14"/>
      <c r="AE2018" s="14"/>
      <c r="AF2018" s="14"/>
      <c r="AG2018" s="14"/>
      <c r="AH2018" s="14"/>
      <c r="AI2018" s="14"/>
      <c r="AJ2018" s="14"/>
      <c r="AK2018" s="14"/>
      <c r="AL2018" s="14"/>
      <c r="AM2018" s="14"/>
    </row>
    <row r="2019" ht="14.25" customHeight="1">
      <c r="AA2019" s="7">
        <f t="shared" si="2"/>
        <v>42925</v>
      </c>
      <c r="AB2019" s="14"/>
      <c r="AC2019" s="14"/>
      <c r="AD2019" s="14"/>
      <c r="AE2019" s="14"/>
      <c r="AF2019" s="14"/>
      <c r="AG2019" s="14"/>
      <c r="AH2019" s="14"/>
      <c r="AI2019" s="14"/>
      <c r="AJ2019" s="14"/>
      <c r="AK2019" s="14"/>
      <c r="AL2019" s="14"/>
      <c r="AM2019" s="14"/>
    </row>
    <row r="2020" ht="14.25" customHeight="1">
      <c r="AA2020" s="7">
        <f t="shared" si="2"/>
        <v>42926</v>
      </c>
      <c r="AB2020" s="14"/>
      <c r="AC2020" s="14"/>
      <c r="AD2020" s="14"/>
      <c r="AE2020" s="14"/>
      <c r="AF2020" s="14"/>
      <c r="AG2020" s="14"/>
      <c r="AH2020" s="14"/>
      <c r="AI2020" s="14"/>
      <c r="AJ2020" s="14"/>
      <c r="AK2020" s="14"/>
      <c r="AL2020" s="14"/>
      <c r="AM2020" s="14"/>
    </row>
    <row r="2021" ht="14.25" customHeight="1">
      <c r="AA2021" s="7">
        <f t="shared" si="2"/>
        <v>42927</v>
      </c>
      <c r="AB2021" s="14"/>
      <c r="AC2021" s="14"/>
      <c r="AD2021" s="14"/>
      <c r="AE2021" s="14"/>
      <c r="AF2021" s="14"/>
      <c r="AG2021" s="14"/>
      <c r="AH2021" s="14"/>
      <c r="AI2021" s="14"/>
      <c r="AJ2021" s="14"/>
      <c r="AK2021" s="14"/>
      <c r="AL2021" s="14"/>
      <c r="AM2021" s="14"/>
    </row>
    <row r="2022" ht="14.25" customHeight="1">
      <c r="AA2022" s="7">
        <f t="shared" si="2"/>
        <v>42928</v>
      </c>
      <c r="AB2022" s="14"/>
      <c r="AC2022" s="14"/>
      <c r="AD2022" s="14"/>
      <c r="AE2022" s="14"/>
      <c r="AF2022" s="14"/>
      <c r="AG2022" s="14"/>
      <c r="AH2022" s="14"/>
      <c r="AI2022" s="14"/>
      <c r="AJ2022" s="14"/>
      <c r="AK2022" s="14"/>
      <c r="AL2022" s="14"/>
      <c r="AM2022" s="14"/>
    </row>
    <row r="2023" ht="14.25" customHeight="1">
      <c r="AA2023" s="7">
        <f t="shared" si="2"/>
        <v>42929</v>
      </c>
      <c r="AB2023" s="14"/>
      <c r="AC2023" s="14"/>
      <c r="AD2023" s="14"/>
      <c r="AE2023" s="14"/>
      <c r="AF2023" s="14"/>
      <c r="AG2023" s="14"/>
      <c r="AH2023" s="14"/>
      <c r="AI2023" s="14"/>
      <c r="AJ2023" s="14"/>
      <c r="AK2023" s="14"/>
      <c r="AL2023" s="14"/>
      <c r="AM2023" s="14"/>
    </row>
    <row r="2024" ht="14.25" customHeight="1">
      <c r="AA2024" s="7">
        <f t="shared" si="2"/>
        <v>42930</v>
      </c>
      <c r="AB2024" s="14"/>
      <c r="AC2024" s="14"/>
      <c r="AD2024" s="14"/>
      <c r="AE2024" s="14"/>
      <c r="AF2024" s="14"/>
      <c r="AG2024" s="14"/>
      <c r="AH2024" s="14"/>
      <c r="AI2024" s="14"/>
      <c r="AJ2024" s="14"/>
      <c r="AK2024" s="14"/>
      <c r="AL2024" s="14"/>
      <c r="AM2024" s="14"/>
    </row>
    <row r="2025" ht="14.25" customHeight="1">
      <c r="AA2025" s="7">
        <f t="shared" si="2"/>
        <v>42931</v>
      </c>
      <c r="AB2025" s="14"/>
      <c r="AC2025" s="14"/>
      <c r="AD2025" s="14"/>
      <c r="AE2025" s="14"/>
      <c r="AF2025" s="14"/>
      <c r="AG2025" s="14"/>
      <c r="AH2025" s="14"/>
      <c r="AI2025" s="14"/>
      <c r="AJ2025" s="14"/>
      <c r="AK2025" s="14"/>
      <c r="AL2025" s="14"/>
      <c r="AM2025" s="14"/>
    </row>
    <row r="2026" ht="14.25" customHeight="1">
      <c r="AA2026" s="7">
        <f t="shared" si="2"/>
        <v>42932</v>
      </c>
      <c r="AB2026" s="14"/>
      <c r="AC2026" s="14"/>
      <c r="AD2026" s="14"/>
      <c r="AE2026" s="14"/>
      <c r="AF2026" s="14"/>
      <c r="AG2026" s="14"/>
      <c r="AH2026" s="14"/>
      <c r="AI2026" s="14"/>
      <c r="AJ2026" s="14"/>
      <c r="AK2026" s="14"/>
      <c r="AL2026" s="14"/>
      <c r="AM2026" s="14"/>
    </row>
    <row r="2027" ht="14.25" customHeight="1">
      <c r="AA2027" s="7">
        <f t="shared" si="2"/>
        <v>42933</v>
      </c>
      <c r="AB2027" s="14"/>
      <c r="AC2027" s="14"/>
      <c r="AD2027" s="14"/>
      <c r="AE2027" s="14"/>
      <c r="AF2027" s="14"/>
      <c r="AG2027" s="14"/>
      <c r="AH2027" s="14"/>
      <c r="AI2027" s="14"/>
      <c r="AJ2027" s="14"/>
      <c r="AK2027" s="14"/>
      <c r="AL2027" s="14"/>
      <c r="AM2027" s="14"/>
    </row>
    <row r="2028" ht="14.25" customHeight="1">
      <c r="AA2028" s="7">
        <f t="shared" si="2"/>
        <v>42934</v>
      </c>
      <c r="AB2028" s="14"/>
      <c r="AC2028" s="14"/>
      <c r="AD2028" s="14"/>
      <c r="AE2028" s="14"/>
      <c r="AF2028" s="14"/>
      <c r="AG2028" s="14"/>
      <c r="AH2028" s="14"/>
      <c r="AI2028" s="14"/>
      <c r="AJ2028" s="14"/>
      <c r="AK2028" s="14"/>
      <c r="AL2028" s="14"/>
      <c r="AM2028" s="14"/>
    </row>
    <row r="2029" ht="14.25" customHeight="1">
      <c r="AA2029" s="7">
        <f t="shared" si="2"/>
        <v>42935</v>
      </c>
      <c r="AB2029" s="14"/>
      <c r="AC2029" s="14"/>
      <c r="AD2029" s="14"/>
      <c r="AE2029" s="14"/>
      <c r="AF2029" s="14"/>
      <c r="AG2029" s="14"/>
      <c r="AH2029" s="14"/>
      <c r="AI2029" s="14"/>
      <c r="AJ2029" s="14"/>
      <c r="AK2029" s="14"/>
      <c r="AL2029" s="14"/>
      <c r="AM2029" s="14"/>
    </row>
    <row r="2030" ht="14.25" customHeight="1">
      <c r="AA2030" s="7">
        <f t="shared" si="2"/>
        <v>42936</v>
      </c>
      <c r="AB2030" s="14"/>
      <c r="AC2030" s="14"/>
      <c r="AD2030" s="14"/>
      <c r="AE2030" s="14"/>
      <c r="AF2030" s="14"/>
      <c r="AG2030" s="14"/>
      <c r="AH2030" s="14"/>
      <c r="AI2030" s="14"/>
      <c r="AJ2030" s="14"/>
      <c r="AK2030" s="14"/>
      <c r="AL2030" s="14"/>
      <c r="AM2030" s="14"/>
    </row>
    <row r="2031" ht="14.25" customHeight="1">
      <c r="AA2031" s="7">
        <f t="shared" si="2"/>
        <v>42937</v>
      </c>
      <c r="AB2031" s="14"/>
      <c r="AC2031" s="14"/>
      <c r="AD2031" s="14"/>
      <c r="AE2031" s="14"/>
      <c r="AF2031" s="14"/>
      <c r="AG2031" s="14"/>
      <c r="AH2031" s="14"/>
      <c r="AI2031" s="14"/>
      <c r="AJ2031" s="14"/>
      <c r="AK2031" s="14"/>
      <c r="AL2031" s="14"/>
      <c r="AM2031" s="14"/>
    </row>
    <row r="2032" ht="14.25" customHeight="1">
      <c r="AA2032" s="7">
        <f t="shared" si="2"/>
        <v>42938</v>
      </c>
      <c r="AB2032" s="14"/>
      <c r="AC2032" s="14"/>
      <c r="AD2032" s="14"/>
      <c r="AE2032" s="14"/>
      <c r="AF2032" s="14"/>
      <c r="AG2032" s="14"/>
      <c r="AH2032" s="14"/>
      <c r="AI2032" s="14"/>
      <c r="AJ2032" s="14"/>
      <c r="AK2032" s="14"/>
      <c r="AL2032" s="14"/>
      <c r="AM2032" s="14"/>
    </row>
    <row r="2033" ht="14.25" customHeight="1">
      <c r="AA2033" s="7">
        <f t="shared" si="2"/>
        <v>42939</v>
      </c>
      <c r="AB2033" s="14"/>
      <c r="AC2033" s="14"/>
      <c r="AD2033" s="14"/>
      <c r="AE2033" s="14"/>
      <c r="AF2033" s="14"/>
      <c r="AG2033" s="14"/>
      <c r="AH2033" s="14"/>
      <c r="AI2033" s="14"/>
      <c r="AJ2033" s="14"/>
      <c r="AK2033" s="14"/>
      <c r="AL2033" s="14"/>
      <c r="AM2033" s="14"/>
    </row>
    <row r="2034" ht="14.25" customHeight="1">
      <c r="AA2034" s="7">
        <f t="shared" si="2"/>
        <v>42940</v>
      </c>
      <c r="AB2034" s="14"/>
      <c r="AC2034" s="14"/>
      <c r="AD2034" s="14"/>
      <c r="AE2034" s="14"/>
      <c r="AF2034" s="14"/>
      <c r="AG2034" s="14"/>
      <c r="AH2034" s="14"/>
      <c r="AI2034" s="14"/>
      <c r="AJ2034" s="14"/>
      <c r="AK2034" s="14"/>
      <c r="AL2034" s="14"/>
      <c r="AM2034" s="14"/>
    </row>
    <row r="2035" ht="14.25" customHeight="1">
      <c r="AA2035" s="7">
        <f t="shared" si="2"/>
        <v>42941</v>
      </c>
      <c r="AB2035" s="14"/>
      <c r="AC2035" s="14"/>
      <c r="AD2035" s="14"/>
      <c r="AE2035" s="14"/>
      <c r="AF2035" s="14"/>
      <c r="AG2035" s="14"/>
      <c r="AH2035" s="14"/>
      <c r="AI2035" s="14"/>
      <c r="AJ2035" s="14"/>
      <c r="AK2035" s="14"/>
      <c r="AL2035" s="14"/>
      <c r="AM2035" s="14"/>
    </row>
    <row r="2036" ht="14.25" customHeight="1">
      <c r="AA2036" s="7">
        <f t="shared" si="2"/>
        <v>42942</v>
      </c>
      <c r="AB2036" s="14"/>
      <c r="AC2036" s="14"/>
      <c r="AD2036" s="14"/>
      <c r="AE2036" s="14"/>
      <c r="AF2036" s="14"/>
      <c r="AG2036" s="14"/>
      <c r="AH2036" s="14"/>
      <c r="AI2036" s="14"/>
      <c r="AJ2036" s="14"/>
      <c r="AK2036" s="14"/>
      <c r="AL2036" s="14"/>
      <c r="AM2036" s="14"/>
    </row>
    <row r="2037" ht="14.25" customHeight="1">
      <c r="AA2037" s="7">
        <f t="shared" si="2"/>
        <v>42943</v>
      </c>
      <c r="AB2037" s="14"/>
      <c r="AC2037" s="14"/>
      <c r="AD2037" s="14"/>
      <c r="AE2037" s="14"/>
      <c r="AF2037" s="14"/>
      <c r="AG2037" s="14"/>
      <c r="AH2037" s="14"/>
      <c r="AI2037" s="14"/>
      <c r="AJ2037" s="14"/>
      <c r="AK2037" s="14"/>
      <c r="AL2037" s="14"/>
      <c r="AM2037" s="14"/>
    </row>
    <row r="2038" ht="14.25" customHeight="1">
      <c r="AA2038" s="7">
        <f t="shared" si="2"/>
        <v>42944</v>
      </c>
      <c r="AB2038" s="14"/>
      <c r="AC2038" s="14"/>
      <c r="AD2038" s="14"/>
      <c r="AE2038" s="14"/>
      <c r="AF2038" s="14"/>
      <c r="AG2038" s="14"/>
      <c r="AH2038" s="14"/>
      <c r="AI2038" s="14"/>
      <c r="AJ2038" s="14"/>
      <c r="AK2038" s="14"/>
      <c r="AL2038" s="14"/>
      <c r="AM2038" s="14"/>
    </row>
    <row r="2039" ht="14.25" customHeight="1">
      <c r="AA2039" s="7">
        <f t="shared" si="2"/>
        <v>42945</v>
      </c>
      <c r="AB2039" s="14"/>
      <c r="AC2039" s="14"/>
      <c r="AD2039" s="14"/>
      <c r="AE2039" s="14"/>
      <c r="AF2039" s="14"/>
      <c r="AG2039" s="14"/>
      <c r="AH2039" s="14"/>
      <c r="AI2039" s="14"/>
      <c r="AJ2039" s="14"/>
      <c r="AK2039" s="14"/>
      <c r="AL2039" s="14"/>
      <c r="AM2039" s="14"/>
    </row>
    <row r="2040" ht="14.25" customHeight="1">
      <c r="AA2040" s="7">
        <f t="shared" si="2"/>
        <v>42946</v>
      </c>
      <c r="AB2040" s="14"/>
      <c r="AC2040" s="14"/>
      <c r="AD2040" s="14"/>
      <c r="AE2040" s="14"/>
      <c r="AF2040" s="14"/>
      <c r="AG2040" s="14"/>
      <c r="AH2040" s="14"/>
      <c r="AI2040" s="14"/>
      <c r="AJ2040" s="14"/>
      <c r="AK2040" s="14"/>
      <c r="AL2040" s="14"/>
      <c r="AM2040" s="14"/>
    </row>
    <row r="2041" ht="14.25" customHeight="1">
      <c r="AA2041" s="7">
        <f t="shared" si="2"/>
        <v>42947</v>
      </c>
      <c r="AB2041" s="14"/>
      <c r="AC2041" s="14"/>
      <c r="AD2041" s="14"/>
      <c r="AE2041" s="14"/>
      <c r="AF2041" s="14"/>
      <c r="AG2041" s="14"/>
      <c r="AH2041" s="14"/>
      <c r="AI2041" s="14"/>
      <c r="AJ2041" s="14"/>
      <c r="AK2041" s="14"/>
      <c r="AL2041" s="14"/>
      <c r="AM2041" s="14"/>
    </row>
    <row r="2042" ht="14.25" customHeight="1">
      <c r="AA2042" s="7">
        <f t="shared" si="2"/>
        <v>42948</v>
      </c>
      <c r="AB2042" s="14"/>
      <c r="AC2042" s="14"/>
      <c r="AD2042" s="14"/>
      <c r="AE2042" s="14"/>
      <c r="AF2042" s="14"/>
      <c r="AG2042" s="14"/>
      <c r="AH2042" s="14"/>
      <c r="AI2042" s="14"/>
      <c r="AJ2042" s="14"/>
      <c r="AK2042" s="14"/>
      <c r="AL2042" s="14"/>
      <c r="AM2042" s="14"/>
    </row>
    <row r="2043" ht="14.25" customHeight="1">
      <c r="AA2043" s="7">
        <f t="shared" si="2"/>
        <v>42949</v>
      </c>
      <c r="AB2043" s="14"/>
      <c r="AC2043" s="14"/>
      <c r="AD2043" s="14"/>
      <c r="AE2043" s="14"/>
      <c r="AF2043" s="14"/>
      <c r="AG2043" s="14"/>
      <c r="AH2043" s="14"/>
      <c r="AI2043" s="14"/>
      <c r="AJ2043" s="14"/>
      <c r="AK2043" s="14"/>
      <c r="AL2043" s="14"/>
      <c r="AM2043" s="14"/>
    </row>
    <row r="2044" ht="14.25" customHeight="1">
      <c r="AA2044" s="7">
        <f t="shared" si="2"/>
        <v>42950</v>
      </c>
      <c r="AB2044" s="14"/>
      <c r="AC2044" s="14"/>
      <c r="AD2044" s="14"/>
      <c r="AE2044" s="14"/>
      <c r="AF2044" s="14"/>
      <c r="AG2044" s="14"/>
      <c r="AH2044" s="14"/>
      <c r="AI2044" s="14"/>
      <c r="AJ2044" s="14"/>
      <c r="AK2044" s="14"/>
      <c r="AL2044" s="14"/>
      <c r="AM2044" s="14"/>
    </row>
    <row r="2045" ht="14.25" customHeight="1">
      <c r="AA2045" s="7">
        <f t="shared" si="2"/>
        <v>42951</v>
      </c>
      <c r="AB2045" s="14"/>
      <c r="AC2045" s="14"/>
      <c r="AD2045" s="14"/>
      <c r="AE2045" s="14"/>
      <c r="AF2045" s="14"/>
      <c r="AG2045" s="14"/>
      <c r="AH2045" s="14"/>
      <c r="AI2045" s="14"/>
      <c r="AJ2045" s="14"/>
      <c r="AK2045" s="14"/>
      <c r="AL2045" s="14"/>
      <c r="AM2045" s="14"/>
    </row>
    <row r="2046" ht="14.25" customHeight="1">
      <c r="AA2046" s="7">
        <f t="shared" si="2"/>
        <v>42952</v>
      </c>
      <c r="AB2046" s="14"/>
      <c r="AC2046" s="14"/>
      <c r="AD2046" s="14"/>
      <c r="AE2046" s="14"/>
      <c r="AF2046" s="14"/>
      <c r="AG2046" s="14"/>
      <c r="AH2046" s="14"/>
      <c r="AI2046" s="14"/>
      <c r="AJ2046" s="14"/>
      <c r="AK2046" s="14"/>
      <c r="AL2046" s="14"/>
      <c r="AM2046" s="14"/>
    </row>
    <row r="2047" ht="14.25" customHeight="1">
      <c r="AA2047" s="7">
        <f t="shared" si="2"/>
        <v>42953</v>
      </c>
      <c r="AB2047" s="14"/>
      <c r="AC2047" s="14"/>
      <c r="AD2047" s="14"/>
      <c r="AE2047" s="14"/>
      <c r="AF2047" s="14"/>
      <c r="AG2047" s="14"/>
      <c r="AH2047" s="14"/>
      <c r="AI2047" s="14"/>
      <c r="AJ2047" s="14"/>
      <c r="AK2047" s="14"/>
      <c r="AL2047" s="14"/>
      <c r="AM2047" s="14"/>
    </row>
    <row r="2048" ht="14.25" customHeight="1">
      <c r="AA2048" s="7">
        <f t="shared" si="2"/>
        <v>42954</v>
      </c>
      <c r="AB2048" s="14"/>
      <c r="AC2048" s="14"/>
      <c r="AD2048" s="14"/>
      <c r="AE2048" s="14"/>
      <c r="AF2048" s="14"/>
      <c r="AG2048" s="14"/>
      <c r="AH2048" s="14"/>
      <c r="AI2048" s="14"/>
      <c r="AJ2048" s="14"/>
      <c r="AK2048" s="14"/>
      <c r="AL2048" s="14"/>
      <c r="AM2048" s="14"/>
    </row>
    <row r="2049" ht="14.25" customHeight="1">
      <c r="AA2049" s="7">
        <f t="shared" si="2"/>
        <v>42955</v>
      </c>
      <c r="AB2049" s="14"/>
      <c r="AC2049" s="14"/>
      <c r="AD2049" s="14"/>
      <c r="AE2049" s="14"/>
      <c r="AF2049" s="14"/>
      <c r="AG2049" s="14"/>
      <c r="AH2049" s="14"/>
      <c r="AI2049" s="14"/>
      <c r="AJ2049" s="14"/>
      <c r="AK2049" s="14"/>
      <c r="AL2049" s="14"/>
      <c r="AM2049" s="14"/>
    </row>
    <row r="2050" ht="14.25" customHeight="1">
      <c r="AA2050" s="7">
        <f t="shared" si="2"/>
        <v>42956</v>
      </c>
      <c r="AB2050" s="14"/>
      <c r="AC2050" s="14"/>
      <c r="AD2050" s="14"/>
      <c r="AE2050" s="14"/>
      <c r="AF2050" s="14"/>
      <c r="AG2050" s="14"/>
      <c r="AH2050" s="14"/>
      <c r="AI2050" s="14"/>
      <c r="AJ2050" s="14"/>
      <c r="AK2050" s="14"/>
      <c r="AL2050" s="14"/>
      <c r="AM2050" s="14"/>
    </row>
    <row r="2051" ht="14.25" customHeight="1">
      <c r="AA2051" s="7">
        <f t="shared" si="2"/>
        <v>42957</v>
      </c>
      <c r="AB2051" s="14"/>
      <c r="AC2051" s="14"/>
      <c r="AD2051" s="14"/>
      <c r="AE2051" s="14"/>
      <c r="AF2051" s="14"/>
      <c r="AG2051" s="14"/>
      <c r="AH2051" s="14"/>
      <c r="AI2051" s="14"/>
      <c r="AJ2051" s="14"/>
      <c r="AK2051" s="14"/>
      <c r="AL2051" s="14"/>
      <c r="AM2051" s="14"/>
    </row>
    <row r="2052" ht="14.25" customHeight="1">
      <c r="AA2052" s="7">
        <f t="shared" si="2"/>
        <v>42958</v>
      </c>
      <c r="AB2052" s="14"/>
      <c r="AC2052" s="14"/>
      <c r="AD2052" s="14"/>
      <c r="AE2052" s="14"/>
      <c r="AF2052" s="14"/>
      <c r="AG2052" s="14"/>
      <c r="AH2052" s="14"/>
      <c r="AI2052" s="14"/>
      <c r="AJ2052" s="14"/>
      <c r="AK2052" s="14"/>
      <c r="AL2052" s="14"/>
      <c r="AM2052" s="14"/>
    </row>
    <row r="2053" ht="14.25" customHeight="1">
      <c r="AA2053" s="7">
        <f t="shared" si="2"/>
        <v>42959</v>
      </c>
      <c r="AB2053" s="14"/>
      <c r="AC2053" s="14"/>
      <c r="AD2053" s="14"/>
      <c r="AE2053" s="14"/>
      <c r="AF2053" s="14"/>
      <c r="AG2053" s="14"/>
      <c r="AH2053" s="14"/>
      <c r="AI2053" s="14"/>
      <c r="AJ2053" s="14"/>
      <c r="AK2053" s="14"/>
      <c r="AL2053" s="14"/>
      <c r="AM2053" s="14"/>
    </row>
    <row r="2054" ht="14.25" customHeight="1">
      <c r="AA2054" s="7">
        <f t="shared" si="2"/>
        <v>42960</v>
      </c>
      <c r="AB2054" s="14"/>
      <c r="AC2054" s="14"/>
      <c r="AD2054" s="14"/>
      <c r="AE2054" s="14"/>
      <c r="AF2054" s="14"/>
      <c r="AG2054" s="14"/>
      <c r="AH2054" s="14"/>
      <c r="AI2054" s="14"/>
      <c r="AJ2054" s="14"/>
      <c r="AK2054" s="14"/>
      <c r="AL2054" s="14"/>
      <c r="AM2054" s="14"/>
    </row>
    <row r="2055" ht="14.25" customHeight="1">
      <c r="AA2055" s="7">
        <f t="shared" si="2"/>
        <v>42961</v>
      </c>
      <c r="AB2055" s="14"/>
      <c r="AC2055" s="14"/>
      <c r="AD2055" s="14"/>
      <c r="AE2055" s="14"/>
      <c r="AF2055" s="14"/>
      <c r="AG2055" s="14"/>
      <c r="AH2055" s="14"/>
      <c r="AI2055" s="14"/>
      <c r="AJ2055" s="14"/>
      <c r="AK2055" s="14"/>
      <c r="AL2055" s="14"/>
      <c r="AM2055" s="14"/>
    </row>
    <row r="2056" ht="14.25" customHeight="1">
      <c r="AA2056" s="7">
        <f t="shared" si="2"/>
        <v>42962</v>
      </c>
      <c r="AB2056" s="14"/>
      <c r="AC2056" s="14"/>
      <c r="AD2056" s="14"/>
      <c r="AE2056" s="14"/>
      <c r="AF2056" s="14"/>
      <c r="AG2056" s="14"/>
      <c r="AH2056" s="14"/>
      <c r="AI2056" s="14"/>
      <c r="AJ2056" s="14"/>
      <c r="AK2056" s="14"/>
      <c r="AL2056" s="14"/>
      <c r="AM2056" s="14"/>
    </row>
    <row r="2057" ht="14.25" customHeight="1">
      <c r="AA2057" s="7">
        <f t="shared" si="2"/>
        <v>42963</v>
      </c>
      <c r="AB2057" s="14"/>
      <c r="AC2057" s="14"/>
      <c r="AD2057" s="14"/>
      <c r="AE2057" s="14"/>
      <c r="AF2057" s="14"/>
      <c r="AG2057" s="14"/>
      <c r="AH2057" s="14"/>
      <c r="AI2057" s="14"/>
      <c r="AJ2057" s="14"/>
      <c r="AK2057" s="14"/>
      <c r="AL2057" s="14"/>
      <c r="AM2057" s="14"/>
    </row>
    <row r="2058" ht="14.25" customHeight="1">
      <c r="AA2058" s="7">
        <f t="shared" si="2"/>
        <v>42964</v>
      </c>
      <c r="AB2058" s="14"/>
      <c r="AC2058" s="14"/>
      <c r="AD2058" s="14"/>
      <c r="AE2058" s="14"/>
      <c r="AF2058" s="14"/>
      <c r="AG2058" s="14"/>
      <c r="AH2058" s="14"/>
      <c r="AI2058" s="14"/>
      <c r="AJ2058" s="14"/>
      <c r="AK2058" s="14"/>
      <c r="AL2058" s="14"/>
      <c r="AM2058" s="14"/>
    </row>
    <row r="2059" ht="14.25" customHeight="1">
      <c r="AA2059" s="7">
        <f t="shared" si="2"/>
        <v>42965</v>
      </c>
      <c r="AB2059" s="14"/>
      <c r="AC2059" s="14"/>
      <c r="AD2059" s="14"/>
      <c r="AE2059" s="14"/>
      <c r="AF2059" s="14"/>
      <c r="AG2059" s="14"/>
      <c r="AH2059" s="14"/>
      <c r="AI2059" s="14"/>
      <c r="AJ2059" s="14"/>
      <c r="AK2059" s="14"/>
      <c r="AL2059" s="14"/>
      <c r="AM2059" s="14"/>
    </row>
    <row r="2060" ht="14.25" customHeight="1">
      <c r="AA2060" s="7">
        <f t="shared" si="2"/>
        <v>42966</v>
      </c>
      <c r="AB2060" s="14"/>
      <c r="AC2060" s="14"/>
      <c r="AD2060" s="14"/>
      <c r="AE2060" s="14"/>
      <c r="AF2060" s="14"/>
      <c r="AG2060" s="14"/>
      <c r="AH2060" s="14"/>
      <c r="AI2060" s="14"/>
      <c r="AJ2060" s="14"/>
      <c r="AK2060" s="14"/>
      <c r="AL2060" s="14"/>
      <c r="AM2060" s="14"/>
    </row>
    <row r="2061" ht="14.25" customHeight="1">
      <c r="AA2061" s="7">
        <f t="shared" si="2"/>
        <v>42967</v>
      </c>
      <c r="AB2061" s="14"/>
      <c r="AC2061" s="14"/>
      <c r="AD2061" s="14"/>
      <c r="AE2061" s="14"/>
      <c r="AF2061" s="14"/>
      <c r="AG2061" s="14"/>
      <c r="AH2061" s="14"/>
      <c r="AI2061" s="14"/>
      <c r="AJ2061" s="14"/>
      <c r="AK2061" s="14"/>
      <c r="AL2061" s="14"/>
      <c r="AM2061" s="14"/>
    </row>
    <row r="2062" ht="14.25" customHeight="1">
      <c r="AA2062" s="7">
        <f t="shared" si="2"/>
        <v>42968</v>
      </c>
      <c r="AB2062" s="14"/>
      <c r="AC2062" s="14"/>
      <c r="AD2062" s="14"/>
      <c r="AE2062" s="14"/>
      <c r="AF2062" s="14"/>
      <c r="AG2062" s="14"/>
      <c r="AH2062" s="14"/>
      <c r="AI2062" s="14"/>
      <c r="AJ2062" s="14"/>
      <c r="AK2062" s="14"/>
      <c r="AL2062" s="14"/>
      <c r="AM2062" s="14"/>
    </row>
    <row r="2063" ht="14.25" customHeight="1">
      <c r="AA2063" s="7">
        <f t="shared" si="2"/>
        <v>42969</v>
      </c>
      <c r="AB2063" s="14"/>
      <c r="AC2063" s="14"/>
      <c r="AD2063" s="14"/>
      <c r="AE2063" s="14"/>
      <c r="AF2063" s="14"/>
      <c r="AG2063" s="14"/>
      <c r="AH2063" s="14"/>
      <c r="AI2063" s="14"/>
      <c r="AJ2063" s="14"/>
      <c r="AK2063" s="14"/>
      <c r="AL2063" s="14"/>
      <c r="AM2063" s="14"/>
    </row>
    <row r="2064" ht="14.25" customHeight="1">
      <c r="AA2064" s="7">
        <f t="shared" si="2"/>
        <v>42970</v>
      </c>
      <c r="AB2064" s="14"/>
      <c r="AC2064" s="14"/>
      <c r="AD2064" s="14"/>
      <c r="AE2064" s="14"/>
      <c r="AF2064" s="14"/>
      <c r="AG2064" s="14"/>
      <c r="AH2064" s="14"/>
      <c r="AI2064" s="14"/>
      <c r="AJ2064" s="14"/>
      <c r="AK2064" s="14"/>
      <c r="AL2064" s="14"/>
      <c r="AM2064" s="14"/>
    </row>
    <row r="2065" ht="14.25" customHeight="1">
      <c r="AA2065" s="7">
        <f t="shared" si="2"/>
        <v>42971</v>
      </c>
      <c r="AB2065" s="14"/>
      <c r="AC2065" s="14"/>
      <c r="AD2065" s="14"/>
      <c r="AE2065" s="14"/>
      <c r="AF2065" s="14"/>
      <c r="AG2065" s="14"/>
      <c r="AH2065" s="14"/>
      <c r="AI2065" s="14"/>
      <c r="AJ2065" s="14"/>
      <c r="AK2065" s="14"/>
      <c r="AL2065" s="14"/>
      <c r="AM2065" s="14"/>
    </row>
    <row r="2066" ht="14.25" customHeight="1">
      <c r="AA2066" s="7">
        <f t="shared" si="2"/>
        <v>42972</v>
      </c>
      <c r="AB2066" s="14"/>
      <c r="AC2066" s="14"/>
      <c r="AD2066" s="14"/>
      <c r="AE2066" s="14"/>
      <c r="AF2066" s="14"/>
      <c r="AG2066" s="14"/>
      <c r="AH2066" s="14"/>
      <c r="AI2066" s="14"/>
      <c r="AJ2066" s="14"/>
      <c r="AK2066" s="14"/>
      <c r="AL2066" s="14"/>
      <c r="AM2066" s="14"/>
    </row>
    <row r="2067" ht="14.25" customHeight="1">
      <c r="AA2067" s="7">
        <f t="shared" si="2"/>
        <v>42973</v>
      </c>
      <c r="AB2067" s="14"/>
      <c r="AC2067" s="14"/>
      <c r="AD2067" s="14"/>
      <c r="AE2067" s="14"/>
      <c r="AF2067" s="14"/>
      <c r="AG2067" s="14"/>
      <c r="AH2067" s="14"/>
      <c r="AI2067" s="14"/>
      <c r="AJ2067" s="14"/>
      <c r="AK2067" s="14"/>
      <c r="AL2067" s="14"/>
      <c r="AM2067" s="14"/>
    </row>
    <row r="2068" ht="14.25" customHeight="1">
      <c r="AA2068" s="7">
        <f t="shared" si="2"/>
        <v>42974</v>
      </c>
      <c r="AB2068" s="14"/>
      <c r="AC2068" s="14"/>
      <c r="AD2068" s="14"/>
      <c r="AE2068" s="14"/>
      <c r="AF2068" s="14"/>
      <c r="AG2068" s="14"/>
      <c r="AH2068" s="14"/>
      <c r="AI2068" s="14"/>
      <c r="AJ2068" s="14"/>
      <c r="AK2068" s="14"/>
      <c r="AL2068" s="14"/>
      <c r="AM2068" s="14"/>
    </row>
    <row r="2069" ht="14.25" customHeight="1">
      <c r="AA2069" s="7">
        <f t="shared" si="2"/>
        <v>42975</v>
      </c>
      <c r="AB2069" s="14"/>
      <c r="AC2069" s="14"/>
      <c r="AD2069" s="14"/>
      <c r="AE2069" s="14"/>
      <c r="AF2069" s="14"/>
      <c r="AG2069" s="14"/>
      <c r="AH2069" s="14"/>
      <c r="AI2069" s="14"/>
      <c r="AJ2069" s="14"/>
      <c r="AK2069" s="14"/>
      <c r="AL2069" s="14"/>
      <c r="AM2069" s="14"/>
    </row>
    <row r="2070" ht="14.25" customHeight="1">
      <c r="AA2070" s="7">
        <f t="shared" si="2"/>
        <v>42976</v>
      </c>
      <c r="AB2070" s="14"/>
      <c r="AC2070" s="14"/>
      <c r="AD2070" s="14"/>
      <c r="AE2070" s="14"/>
      <c r="AF2070" s="14"/>
      <c r="AG2070" s="14"/>
      <c r="AH2070" s="14"/>
      <c r="AI2070" s="14"/>
      <c r="AJ2070" s="14"/>
      <c r="AK2070" s="14"/>
      <c r="AL2070" s="14"/>
      <c r="AM2070" s="14"/>
    </row>
    <row r="2071" ht="14.25" customHeight="1">
      <c r="AA2071" s="7">
        <f t="shared" si="2"/>
        <v>42977</v>
      </c>
      <c r="AB2071" s="14"/>
      <c r="AC2071" s="14"/>
      <c r="AD2071" s="14"/>
      <c r="AE2071" s="14"/>
      <c r="AF2071" s="14"/>
      <c r="AG2071" s="14"/>
      <c r="AH2071" s="14"/>
      <c r="AI2071" s="14"/>
      <c r="AJ2071" s="14"/>
      <c r="AK2071" s="14"/>
      <c r="AL2071" s="14"/>
      <c r="AM2071" s="14"/>
    </row>
    <row r="2072" ht="14.25" customHeight="1">
      <c r="AA2072" s="7">
        <f t="shared" si="2"/>
        <v>42978</v>
      </c>
      <c r="AB2072" s="14"/>
      <c r="AC2072" s="14"/>
      <c r="AD2072" s="14"/>
      <c r="AE2072" s="14"/>
      <c r="AF2072" s="14"/>
      <c r="AG2072" s="14"/>
      <c r="AH2072" s="14"/>
      <c r="AI2072" s="14"/>
      <c r="AJ2072" s="14"/>
      <c r="AK2072" s="14"/>
      <c r="AL2072" s="14"/>
      <c r="AM2072" s="14"/>
    </row>
    <row r="2073" ht="14.25" customHeight="1">
      <c r="AA2073" s="7">
        <f t="shared" si="2"/>
        <v>42979</v>
      </c>
      <c r="AB2073" s="14"/>
      <c r="AC2073" s="14"/>
      <c r="AD2073" s="14"/>
      <c r="AE2073" s="14"/>
      <c r="AF2073" s="14"/>
      <c r="AG2073" s="14"/>
      <c r="AH2073" s="14"/>
      <c r="AI2073" s="14"/>
      <c r="AJ2073" s="14"/>
      <c r="AK2073" s="14"/>
      <c r="AL2073" s="14"/>
      <c r="AM2073" s="14"/>
    </row>
    <row r="2074" ht="14.25" customHeight="1">
      <c r="AA2074" s="7">
        <f t="shared" si="2"/>
        <v>42980</v>
      </c>
      <c r="AB2074" s="14"/>
      <c r="AC2074" s="14"/>
      <c r="AD2074" s="14"/>
      <c r="AE2074" s="14"/>
      <c r="AF2074" s="14"/>
      <c r="AG2074" s="14"/>
      <c r="AH2074" s="14"/>
      <c r="AI2074" s="14"/>
      <c r="AJ2074" s="14"/>
      <c r="AK2074" s="14"/>
      <c r="AL2074" s="14"/>
      <c r="AM2074" s="14"/>
    </row>
    <row r="2075" ht="14.25" customHeight="1">
      <c r="AA2075" s="7">
        <f t="shared" si="2"/>
        <v>42981</v>
      </c>
      <c r="AB2075" s="14"/>
      <c r="AC2075" s="14"/>
      <c r="AD2075" s="14"/>
      <c r="AE2075" s="14"/>
      <c r="AF2075" s="14"/>
      <c r="AG2075" s="14"/>
      <c r="AH2075" s="14"/>
      <c r="AI2075" s="14"/>
      <c r="AJ2075" s="14"/>
      <c r="AK2075" s="14"/>
      <c r="AL2075" s="14"/>
      <c r="AM2075" s="14"/>
    </row>
    <row r="2076" ht="14.25" customHeight="1">
      <c r="AA2076" s="7">
        <f t="shared" si="2"/>
        <v>42982</v>
      </c>
      <c r="AB2076" s="14"/>
      <c r="AC2076" s="14"/>
      <c r="AD2076" s="14"/>
      <c r="AE2076" s="14"/>
      <c r="AF2076" s="14"/>
      <c r="AG2076" s="14"/>
      <c r="AH2076" s="14"/>
      <c r="AI2076" s="14"/>
      <c r="AJ2076" s="14"/>
      <c r="AK2076" s="14"/>
      <c r="AL2076" s="14"/>
      <c r="AM2076" s="14"/>
    </row>
    <row r="2077" ht="14.25" customHeight="1">
      <c r="AA2077" s="7">
        <f t="shared" si="2"/>
        <v>42983</v>
      </c>
      <c r="AB2077" s="14"/>
      <c r="AC2077" s="14"/>
      <c r="AD2077" s="14"/>
      <c r="AE2077" s="14"/>
      <c r="AF2077" s="14"/>
      <c r="AG2077" s="14"/>
      <c r="AH2077" s="14"/>
      <c r="AI2077" s="14"/>
      <c r="AJ2077" s="14"/>
      <c r="AK2077" s="14"/>
      <c r="AL2077" s="14"/>
      <c r="AM2077" s="14"/>
    </row>
    <row r="2078" ht="14.25" customHeight="1">
      <c r="AA2078" s="7">
        <f t="shared" si="2"/>
        <v>42984</v>
      </c>
      <c r="AB2078" s="14"/>
      <c r="AC2078" s="14"/>
      <c r="AD2078" s="14"/>
      <c r="AE2078" s="14"/>
      <c r="AF2078" s="14"/>
      <c r="AG2078" s="14"/>
      <c r="AH2078" s="14"/>
      <c r="AI2078" s="14"/>
      <c r="AJ2078" s="14"/>
      <c r="AK2078" s="14"/>
      <c r="AL2078" s="14"/>
      <c r="AM2078" s="14"/>
    </row>
    <row r="2079" ht="14.25" customHeight="1">
      <c r="AA2079" s="7">
        <f t="shared" si="2"/>
        <v>42985</v>
      </c>
      <c r="AB2079" s="14"/>
      <c r="AC2079" s="14"/>
      <c r="AD2079" s="14"/>
      <c r="AE2079" s="14"/>
      <c r="AF2079" s="14"/>
      <c r="AG2079" s="14"/>
      <c r="AH2079" s="14"/>
      <c r="AI2079" s="14"/>
      <c r="AJ2079" s="14"/>
      <c r="AK2079" s="14"/>
      <c r="AL2079" s="14"/>
      <c r="AM2079" s="14"/>
    </row>
    <row r="2080" ht="14.25" customHeight="1">
      <c r="AA2080" s="7">
        <f t="shared" si="2"/>
        <v>42986</v>
      </c>
      <c r="AB2080" s="14"/>
      <c r="AC2080" s="14"/>
      <c r="AD2080" s="14"/>
      <c r="AE2080" s="14"/>
      <c r="AF2080" s="14"/>
      <c r="AG2080" s="14"/>
      <c r="AH2080" s="14"/>
      <c r="AI2080" s="14"/>
      <c r="AJ2080" s="14"/>
      <c r="AK2080" s="14"/>
      <c r="AL2080" s="14"/>
      <c r="AM2080" s="14"/>
    </row>
    <row r="2081" ht="14.25" customHeight="1">
      <c r="AA2081" s="7">
        <f t="shared" si="2"/>
        <v>42987</v>
      </c>
      <c r="AB2081" s="14"/>
      <c r="AC2081" s="14"/>
      <c r="AD2081" s="14"/>
      <c r="AE2081" s="14"/>
      <c r="AF2081" s="14"/>
      <c r="AG2081" s="14"/>
      <c r="AH2081" s="14"/>
      <c r="AI2081" s="14"/>
      <c r="AJ2081" s="14"/>
      <c r="AK2081" s="14"/>
      <c r="AL2081" s="14"/>
      <c r="AM2081" s="14"/>
    </row>
    <row r="2082" ht="14.25" customHeight="1">
      <c r="AA2082" s="7">
        <f t="shared" si="2"/>
        <v>42988</v>
      </c>
      <c r="AB2082" s="14"/>
      <c r="AC2082" s="14"/>
      <c r="AD2082" s="14"/>
      <c r="AE2082" s="14"/>
      <c r="AF2082" s="14"/>
      <c r="AG2082" s="14"/>
      <c r="AH2082" s="14"/>
      <c r="AI2082" s="14"/>
      <c r="AJ2082" s="14"/>
      <c r="AK2082" s="14"/>
      <c r="AL2082" s="14"/>
      <c r="AM2082" s="14"/>
    </row>
    <row r="2083" ht="14.25" customHeight="1">
      <c r="AA2083" s="7">
        <f t="shared" si="2"/>
        <v>42989</v>
      </c>
      <c r="AB2083" s="14"/>
      <c r="AC2083" s="14"/>
      <c r="AD2083" s="14"/>
      <c r="AE2083" s="14"/>
      <c r="AF2083" s="14"/>
      <c r="AG2083" s="14"/>
      <c r="AH2083" s="14"/>
      <c r="AI2083" s="14"/>
      <c r="AJ2083" s="14"/>
      <c r="AK2083" s="14"/>
      <c r="AL2083" s="14"/>
      <c r="AM2083" s="14"/>
    </row>
    <row r="2084" ht="14.25" customHeight="1">
      <c r="AA2084" s="7">
        <f t="shared" si="2"/>
        <v>42990</v>
      </c>
      <c r="AB2084" s="14"/>
      <c r="AC2084" s="14"/>
      <c r="AD2084" s="14"/>
      <c r="AE2084" s="14"/>
      <c r="AF2084" s="14"/>
      <c r="AG2084" s="14"/>
      <c r="AH2084" s="14"/>
      <c r="AI2084" s="14"/>
      <c r="AJ2084" s="14"/>
      <c r="AK2084" s="14"/>
      <c r="AL2084" s="14"/>
      <c r="AM2084" s="14"/>
    </row>
    <row r="2085" ht="14.25" customHeight="1">
      <c r="AA2085" s="7">
        <f t="shared" si="2"/>
        <v>42991</v>
      </c>
      <c r="AB2085" s="14"/>
      <c r="AC2085" s="14"/>
      <c r="AD2085" s="14"/>
      <c r="AE2085" s="14"/>
      <c r="AF2085" s="14"/>
      <c r="AG2085" s="14"/>
      <c r="AH2085" s="14"/>
      <c r="AI2085" s="14"/>
      <c r="AJ2085" s="14"/>
      <c r="AK2085" s="14"/>
      <c r="AL2085" s="14"/>
      <c r="AM2085" s="14"/>
    </row>
    <row r="2086" ht="14.25" customHeight="1">
      <c r="AA2086" s="7">
        <f t="shared" si="2"/>
        <v>42992</v>
      </c>
      <c r="AB2086" s="14"/>
      <c r="AC2086" s="14"/>
      <c r="AD2086" s="14"/>
      <c r="AE2086" s="14"/>
      <c r="AF2086" s="14"/>
      <c r="AG2086" s="14"/>
      <c r="AH2086" s="14"/>
      <c r="AI2086" s="14"/>
      <c r="AJ2086" s="14"/>
      <c r="AK2086" s="14"/>
      <c r="AL2086" s="14"/>
      <c r="AM2086" s="14"/>
    </row>
    <row r="2087" ht="14.25" customHeight="1">
      <c r="AA2087" s="7">
        <f t="shared" si="2"/>
        <v>42993</v>
      </c>
      <c r="AB2087" s="14"/>
      <c r="AC2087" s="14"/>
      <c r="AD2087" s="14"/>
      <c r="AE2087" s="14"/>
      <c r="AF2087" s="14"/>
      <c r="AG2087" s="14"/>
      <c r="AH2087" s="14"/>
      <c r="AI2087" s="14"/>
      <c r="AJ2087" s="14"/>
      <c r="AK2087" s="14"/>
      <c r="AL2087" s="14"/>
      <c r="AM2087" s="14"/>
    </row>
    <row r="2088" ht="14.25" customHeight="1">
      <c r="AA2088" s="7">
        <f t="shared" si="2"/>
        <v>42994</v>
      </c>
      <c r="AB2088" s="14"/>
      <c r="AC2088" s="14"/>
      <c r="AD2088" s="14"/>
      <c r="AE2088" s="14"/>
      <c r="AF2088" s="14"/>
      <c r="AG2088" s="14"/>
      <c r="AH2088" s="14"/>
      <c r="AI2088" s="14"/>
      <c r="AJ2088" s="14"/>
      <c r="AK2088" s="14"/>
      <c r="AL2088" s="14"/>
      <c r="AM2088" s="14"/>
    </row>
    <row r="2089" ht="14.25" customHeight="1">
      <c r="AA2089" s="7">
        <f t="shared" si="2"/>
        <v>42995</v>
      </c>
      <c r="AB2089" s="14"/>
      <c r="AC2089" s="14"/>
      <c r="AD2089" s="14"/>
      <c r="AE2089" s="14"/>
      <c r="AF2089" s="14"/>
      <c r="AG2089" s="14"/>
      <c r="AH2089" s="14"/>
      <c r="AI2089" s="14"/>
      <c r="AJ2089" s="14"/>
      <c r="AK2089" s="14"/>
      <c r="AL2089" s="14"/>
      <c r="AM2089" s="14"/>
    </row>
    <row r="2090" ht="14.25" customHeight="1">
      <c r="AA2090" s="7">
        <f t="shared" si="2"/>
        <v>42996</v>
      </c>
      <c r="AB2090" s="14"/>
      <c r="AC2090" s="14"/>
      <c r="AD2090" s="14"/>
      <c r="AE2090" s="14"/>
      <c r="AF2090" s="14"/>
      <c r="AG2090" s="14"/>
      <c r="AH2090" s="14"/>
      <c r="AI2090" s="14"/>
      <c r="AJ2090" s="14"/>
      <c r="AK2090" s="14"/>
      <c r="AL2090" s="14"/>
      <c r="AM2090" s="14"/>
    </row>
    <row r="2091" ht="14.25" customHeight="1">
      <c r="AA2091" s="7">
        <f t="shared" si="2"/>
        <v>42997</v>
      </c>
      <c r="AB2091" s="14"/>
      <c r="AC2091" s="14"/>
      <c r="AD2091" s="14"/>
      <c r="AE2091" s="14"/>
      <c r="AF2091" s="14"/>
      <c r="AG2091" s="14"/>
      <c r="AH2091" s="14"/>
      <c r="AI2091" s="14"/>
      <c r="AJ2091" s="14"/>
      <c r="AK2091" s="14"/>
      <c r="AL2091" s="14"/>
      <c r="AM2091" s="14"/>
    </row>
    <row r="2092" ht="14.25" customHeight="1">
      <c r="AA2092" s="7">
        <f t="shared" si="2"/>
        <v>42998</v>
      </c>
      <c r="AB2092" s="14"/>
      <c r="AC2092" s="14"/>
      <c r="AD2092" s="14"/>
      <c r="AE2092" s="14"/>
      <c r="AF2092" s="14"/>
      <c r="AG2092" s="14"/>
      <c r="AH2092" s="14"/>
      <c r="AI2092" s="14"/>
      <c r="AJ2092" s="14"/>
      <c r="AK2092" s="14"/>
      <c r="AL2092" s="14"/>
      <c r="AM2092" s="14"/>
    </row>
    <row r="2093" ht="14.25" customHeight="1">
      <c r="AA2093" s="7">
        <f t="shared" si="2"/>
        <v>42999</v>
      </c>
      <c r="AB2093" s="14"/>
      <c r="AC2093" s="14"/>
      <c r="AD2093" s="14"/>
      <c r="AE2093" s="14"/>
      <c r="AF2093" s="14"/>
      <c r="AG2093" s="14"/>
      <c r="AH2093" s="14"/>
      <c r="AI2093" s="14"/>
      <c r="AJ2093" s="14"/>
      <c r="AK2093" s="14"/>
      <c r="AL2093" s="14"/>
      <c r="AM2093" s="14"/>
    </row>
    <row r="2094" ht="14.25" customHeight="1">
      <c r="AA2094" s="7">
        <f t="shared" si="2"/>
        <v>43000</v>
      </c>
      <c r="AB2094" s="14"/>
      <c r="AC2094" s="14"/>
      <c r="AD2094" s="14"/>
      <c r="AE2094" s="14"/>
      <c r="AF2094" s="14"/>
      <c r="AG2094" s="14"/>
      <c r="AH2094" s="14"/>
      <c r="AI2094" s="14"/>
      <c r="AJ2094" s="14"/>
      <c r="AK2094" s="14"/>
      <c r="AL2094" s="14"/>
      <c r="AM2094" s="14"/>
    </row>
    <row r="2095" ht="14.25" customHeight="1">
      <c r="AA2095" s="7">
        <f t="shared" si="2"/>
        <v>43001</v>
      </c>
      <c r="AB2095" s="14"/>
      <c r="AC2095" s="14"/>
      <c r="AD2095" s="14"/>
      <c r="AE2095" s="14"/>
      <c r="AF2095" s="14"/>
      <c r="AG2095" s="14"/>
      <c r="AH2095" s="14"/>
      <c r="AI2095" s="14"/>
      <c r="AJ2095" s="14"/>
      <c r="AK2095" s="14"/>
      <c r="AL2095" s="14"/>
      <c r="AM2095" s="14"/>
    </row>
    <row r="2096" ht="14.25" customHeight="1">
      <c r="AA2096" s="7">
        <f t="shared" si="2"/>
        <v>43002</v>
      </c>
      <c r="AB2096" s="14"/>
      <c r="AC2096" s="14"/>
      <c r="AD2096" s="14"/>
      <c r="AE2096" s="14"/>
      <c r="AF2096" s="14"/>
      <c r="AG2096" s="14"/>
      <c r="AH2096" s="14"/>
      <c r="AI2096" s="14"/>
      <c r="AJ2096" s="14"/>
      <c r="AK2096" s="14"/>
      <c r="AL2096" s="14"/>
      <c r="AM2096" s="14"/>
    </row>
    <row r="2097" ht="14.25" customHeight="1">
      <c r="AA2097" s="7">
        <f t="shared" si="2"/>
        <v>43003</v>
      </c>
      <c r="AB2097" s="14"/>
      <c r="AC2097" s="14"/>
      <c r="AD2097" s="14"/>
      <c r="AE2097" s="14"/>
      <c r="AF2097" s="14"/>
      <c r="AG2097" s="14"/>
      <c r="AH2097" s="14"/>
      <c r="AI2097" s="14"/>
      <c r="AJ2097" s="14"/>
      <c r="AK2097" s="14"/>
      <c r="AL2097" s="14"/>
      <c r="AM2097" s="14"/>
    </row>
    <row r="2098" ht="14.25" customHeight="1">
      <c r="AA2098" s="7">
        <f t="shared" si="2"/>
        <v>43004</v>
      </c>
      <c r="AB2098" s="14"/>
      <c r="AC2098" s="14"/>
      <c r="AD2098" s="14"/>
      <c r="AE2098" s="14"/>
      <c r="AF2098" s="14"/>
      <c r="AG2098" s="14"/>
      <c r="AH2098" s="14"/>
      <c r="AI2098" s="14"/>
      <c r="AJ2098" s="14"/>
      <c r="AK2098" s="14"/>
      <c r="AL2098" s="14"/>
      <c r="AM2098" s="14"/>
    </row>
    <row r="2099" ht="14.25" customHeight="1">
      <c r="AA2099" s="7">
        <f t="shared" si="2"/>
        <v>43005</v>
      </c>
      <c r="AB2099" s="14"/>
      <c r="AC2099" s="14"/>
      <c r="AD2099" s="14"/>
      <c r="AE2099" s="14"/>
      <c r="AF2099" s="14"/>
      <c r="AG2099" s="14"/>
      <c r="AH2099" s="14"/>
      <c r="AI2099" s="14"/>
      <c r="AJ2099" s="14"/>
      <c r="AK2099" s="14"/>
      <c r="AL2099" s="14"/>
      <c r="AM2099" s="14"/>
    </row>
    <row r="2100" ht="14.25" customHeight="1">
      <c r="AA2100" s="7">
        <f t="shared" si="2"/>
        <v>43006</v>
      </c>
      <c r="AB2100" s="14"/>
      <c r="AC2100" s="14"/>
      <c r="AD2100" s="14"/>
      <c r="AE2100" s="14"/>
      <c r="AF2100" s="14"/>
      <c r="AG2100" s="14"/>
      <c r="AH2100" s="14"/>
      <c r="AI2100" s="14"/>
      <c r="AJ2100" s="14"/>
      <c r="AK2100" s="14"/>
      <c r="AL2100" s="14"/>
      <c r="AM2100" s="14"/>
    </row>
    <row r="2101" ht="14.25" customHeight="1">
      <c r="AA2101" s="7">
        <f t="shared" si="2"/>
        <v>43007</v>
      </c>
      <c r="AB2101" s="14"/>
      <c r="AC2101" s="14"/>
      <c r="AD2101" s="14"/>
      <c r="AE2101" s="14"/>
      <c r="AF2101" s="14"/>
      <c r="AG2101" s="14"/>
      <c r="AH2101" s="14"/>
      <c r="AI2101" s="14"/>
      <c r="AJ2101" s="14"/>
      <c r="AK2101" s="14"/>
      <c r="AL2101" s="14"/>
      <c r="AM2101" s="14"/>
    </row>
    <row r="2102" ht="14.25" customHeight="1">
      <c r="AA2102" s="7">
        <f t="shared" si="2"/>
        <v>43008</v>
      </c>
      <c r="AB2102" s="14"/>
      <c r="AC2102" s="14"/>
      <c r="AD2102" s="14"/>
      <c r="AE2102" s="14"/>
      <c r="AF2102" s="14"/>
      <c r="AG2102" s="14"/>
      <c r="AH2102" s="14"/>
      <c r="AI2102" s="14"/>
      <c r="AJ2102" s="14"/>
      <c r="AK2102" s="14"/>
      <c r="AL2102" s="14"/>
      <c r="AM2102" s="14"/>
    </row>
    <row r="2103" ht="14.25" customHeight="1">
      <c r="AA2103" s="7">
        <f t="shared" si="2"/>
        <v>43009</v>
      </c>
      <c r="AB2103" s="14"/>
      <c r="AC2103" s="14"/>
      <c r="AD2103" s="14"/>
      <c r="AE2103" s="14"/>
      <c r="AF2103" s="14"/>
      <c r="AG2103" s="14"/>
      <c r="AH2103" s="14"/>
      <c r="AI2103" s="14"/>
      <c r="AJ2103" s="14"/>
      <c r="AK2103" s="14"/>
      <c r="AL2103" s="14"/>
      <c r="AM2103" s="14"/>
    </row>
    <row r="2104" ht="14.25" customHeight="1">
      <c r="AA2104" s="7">
        <f t="shared" si="2"/>
        <v>43010</v>
      </c>
      <c r="AB2104" s="14"/>
      <c r="AC2104" s="14"/>
      <c r="AD2104" s="14"/>
      <c r="AE2104" s="14"/>
      <c r="AF2104" s="14"/>
      <c r="AG2104" s="14"/>
      <c r="AH2104" s="14"/>
      <c r="AI2104" s="14"/>
      <c r="AJ2104" s="14"/>
      <c r="AK2104" s="14"/>
      <c r="AL2104" s="14"/>
      <c r="AM2104" s="14"/>
    </row>
    <row r="2105" ht="14.25" customHeight="1">
      <c r="AA2105" s="7">
        <f t="shared" si="2"/>
        <v>43011</v>
      </c>
      <c r="AB2105" s="14"/>
      <c r="AC2105" s="14"/>
      <c r="AD2105" s="14"/>
      <c r="AE2105" s="14"/>
      <c r="AF2105" s="14"/>
      <c r="AG2105" s="14"/>
      <c r="AH2105" s="14"/>
      <c r="AI2105" s="14"/>
      <c r="AJ2105" s="14"/>
      <c r="AK2105" s="14"/>
      <c r="AL2105" s="14"/>
      <c r="AM2105" s="14"/>
    </row>
    <row r="2106" ht="14.25" customHeight="1">
      <c r="AA2106" s="7">
        <f t="shared" si="2"/>
        <v>43012</v>
      </c>
      <c r="AB2106" s="14"/>
      <c r="AC2106" s="14"/>
      <c r="AD2106" s="14"/>
      <c r="AE2106" s="14"/>
      <c r="AF2106" s="14"/>
      <c r="AG2106" s="14"/>
      <c r="AH2106" s="14"/>
      <c r="AI2106" s="14"/>
      <c r="AJ2106" s="14"/>
      <c r="AK2106" s="14"/>
      <c r="AL2106" s="14"/>
      <c r="AM2106" s="14"/>
    </row>
    <row r="2107" ht="14.25" customHeight="1">
      <c r="AA2107" s="7">
        <f t="shared" si="2"/>
        <v>43013</v>
      </c>
      <c r="AB2107" s="14"/>
      <c r="AC2107" s="14"/>
      <c r="AD2107" s="14"/>
      <c r="AE2107" s="14"/>
      <c r="AF2107" s="14"/>
      <c r="AG2107" s="14"/>
      <c r="AH2107" s="14"/>
      <c r="AI2107" s="14"/>
      <c r="AJ2107" s="14"/>
      <c r="AK2107" s="14"/>
      <c r="AL2107" s="14"/>
      <c r="AM2107" s="14"/>
    </row>
    <row r="2108" ht="14.25" customHeight="1">
      <c r="AA2108" s="7">
        <f t="shared" si="2"/>
        <v>43014</v>
      </c>
      <c r="AB2108" s="14"/>
      <c r="AC2108" s="14"/>
      <c r="AD2108" s="14"/>
      <c r="AE2108" s="14"/>
      <c r="AF2108" s="14"/>
      <c r="AG2108" s="14"/>
      <c r="AH2108" s="14"/>
      <c r="AI2108" s="14"/>
      <c r="AJ2108" s="14"/>
      <c r="AK2108" s="14"/>
      <c r="AL2108" s="14"/>
      <c r="AM2108" s="14"/>
    </row>
    <row r="2109" ht="14.25" customHeight="1">
      <c r="AA2109" s="7">
        <f t="shared" si="2"/>
        <v>43015</v>
      </c>
      <c r="AB2109" s="14"/>
      <c r="AC2109" s="14"/>
      <c r="AD2109" s="14"/>
      <c r="AE2109" s="14"/>
      <c r="AF2109" s="14"/>
      <c r="AG2109" s="14"/>
      <c r="AH2109" s="14"/>
      <c r="AI2109" s="14"/>
      <c r="AJ2109" s="14"/>
      <c r="AK2109" s="14"/>
      <c r="AL2109" s="14"/>
      <c r="AM2109" s="14"/>
    </row>
    <row r="2110" ht="14.25" customHeight="1">
      <c r="AA2110" s="7">
        <f t="shared" si="2"/>
        <v>43016</v>
      </c>
      <c r="AB2110" s="14"/>
      <c r="AC2110" s="14"/>
      <c r="AD2110" s="14"/>
      <c r="AE2110" s="14"/>
      <c r="AF2110" s="14"/>
      <c r="AG2110" s="14"/>
      <c r="AH2110" s="14"/>
      <c r="AI2110" s="14"/>
      <c r="AJ2110" s="14"/>
      <c r="AK2110" s="14"/>
      <c r="AL2110" s="14"/>
      <c r="AM2110" s="14"/>
    </row>
    <row r="2111" ht="14.25" customHeight="1">
      <c r="AA2111" s="7">
        <f t="shared" si="2"/>
        <v>43017</v>
      </c>
      <c r="AB2111" s="14"/>
      <c r="AC2111" s="14"/>
      <c r="AD2111" s="14"/>
      <c r="AE2111" s="14"/>
      <c r="AF2111" s="14"/>
      <c r="AG2111" s="14"/>
      <c r="AH2111" s="14"/>
      <c r="AI2111" s="14"/>
      <c r="AJ2111" s="14"/>
      <c r="AK2111" s="14"/>
      <c r="AL2111" s="14"/>
      <c r="AM2111" s="14"/>
    </row>
    <row r="2112" ht="14.25" customHeight="1">
      <c r="AA2112" s="7">
        <f t="shared" si="2"/>
        <v>43018</v>
      </c>
      <c r="AB2112" s="14"/>
      <c r="AC2112" s="14"/>
      <c r="AD2112" s="14"/>
      <c r="AE2112" s="14"/>
      <c r="AF2112" s="14"/>
      <c r="AG2112" s="14"/>
      <c r="AH2112" s="14"/>
      <c r="AI2112" s="14"/>
      <c r="AJ2112" s="14"/>
      <c r="AK2112" s="14"/>
      <c r="AL2112" s="14"/>
      <c r="AM2112" s="14"/>
    </row>
    <row r="2113" ht="14.25" customHeight="1">
      <c r="AA2113" s="7">
        <f t="shared" si="2"/>
        <v>43019</v>
      </c>
      <c r="AB2113" s="14"/>
      <c r="AC2113" s="14"/>
      <c r="AD2113" s="14"/>
      <c r="AE2113" s="14"/>
      <c r="AF2113" s="14"/>
      <c r="AG2113" s="14"/>
      <c r="AH2113" s="14"/>
      <c r="AI2113" s="14"/>
      <c r="AJ2113" s="14"/>
      <c r="AK2113" s="14"/>
      <c r="AL2113" s="14"/>
      <c r="AM2113" s="14"/>
    </row>
    <row r="2114" ht="14.25" customHeight="1">
      <c r="AA2114" s="7">
        <f t="shared" si="2"/>
        <v>43020</v>
      </c>
      <c r="AB2114" s="14"/>
      <c r="AC2114" s="14"/>
      <c r="AD2114" s="14"/>
      <c r="AE2114" s="14"/>
      <c r="AF2114" s="14"/>
      <c r="AG2114" s="14"/>
      <c r="AH2114" s="14"/>
      <c r="AI2114" s="14"/>
      <c r="AJ2114" s="14"/>
      <c r="AK2114" s="14"/>
      <c r="AL2114" s="14"/>
      <c r="AM2114" s="14"/>
    </row>
    <row r="2115" ht="14.25" customHeight="1">
      <c r="AA2115" s="7">
        <f t="shared" si="2"/>
        <v>43021</v>
      </c>
      <c r="AB2115" s="14"/>
      <c r="AC2115" s="14"/>
      <c r="AD2115" s="14"/>
      <c r="AE2115" s="14"/>
      <c r="AF2115" s="14"/>
      <c r="AG2115" s="14"/>
      <c r="AH2115" s="14"/>
      <c r="AI2115" s="14"/>
      <c r="AJ2115" s="14"/>
      <c r="AK2115" s="14"/>
      <c r="AL2115" s="14"/>
      <c r="AM2115" s="14"/>
    </row>
    <row r="2116" ht="14.25" customHeight="1">
      <c r="AA2116" s="7">
        <f t="shared" si="2"/>
        <v>43022</v>
      </c>
      <c r="AB2116" s="14"/>
      <c r="AC2116" s="14"/>
      <c r="AD2116" s="14"/>
      <c r="AE2116" s="14"/>
      <c r="AF2116" s="14"/>
      <c r="AG2116" s="14"/>
      <c r="AH2116" s="14"/>
      <c r="AI2116" s="14"/>
      <c r="AJ2116" s="14"/>
      <c r="AK2116" s="14"/>
      <c r="AL2116" s="14"/>
      <c r="AM2116" s="14"/>
    </row>
    <row r="2117" ht="14.25" customHeight="1">
      <c r="AA2117" s="7">
        <f t="shared" si="2"/>
        <v>43023</v>
      </c>
      <c r="AB2117" s="14"/>
      <c r="AC2117" s="14"/>
      <c r="AD2117" s="14"/>
      <c r="AE2117" s="14"/>
      <c r="AF2117" s="14"/>
      <c r="AG2117" s="14"/>
      <c r="AH2117" s="14"/>
      <c r="AI2117" s="14"/>
      <c r="AJ2117" s="14"/>
      <c r="AK2117" s="14"/>
      <c r="AL2117" s="14"/>
      <c r="AM2117" s="14"/>
    </row>
    <row r="2118" ht="14.25" customHeight="1">
      <c r="AA2118" s="7">
        <f t="shared" si="2"/>
        <v>43024</v>
      </c>
      <c r="AB2118" s="14"/>
      <c r="AC2118" s="14"/>
      <c r="AD2118" s="14"/>
      <c r="AE2118" s="14"/>
      <c r="AF2118" s="14"/>
      <c r="AG2118" s="14"/>
      <c r="AH2118" s="14"/>
      <c r="AI2118" s="14"/>
      <c r="AJ2118" s="14"/>
      <c r="AK2118" s="14"/>
      <c r="AL2118" s="14"/>
      <c r="AM2118" s="14"/>
    </row>
    <row r="2119" ht="14.25" customHeight="1">
      <c r="AA2119" s="7">
        <f t="shared" si="2"/>
        <v>43025</v>
      </c>
      <c r="AB2119" s="14"/>
      <c r="AC2119" s="14"/>
      <c r="AD2119" s="14"/>
      <c r="AE2119" s="14"/>
      <c r="AF2119" s="14"/>
      <c r="AG2119" s="14"/>
      <c r="AH2119" s="14"/>
      <c r="AI2119" s="14"/>
      <c r="AJ2119" s="14"/>
      <c r="AK2119" s="14"/>
      <c r="AL2119" s="14"/>
      <c r="AM2119" s="14"/>
    </row>
    <row r="2120" ht="14.25" customHeight="1">
      <c r="AA2120" s="7">
        <f t="shared" si="2"/>
        <v>43026</v>
      </c>
      <c r="AB2120" s="14"/>
      <c r="AC2120" s="14"/>
      <c r="AD2120" s="14"/>
      <c r="AE2120" s="14"/>
      <c r="AF2120" s="14"/>
      <c r="AG2120" s="14"/>
      <c r="AH2120" s="14"/>
      <c r="AI2120" s="14"/>
      <c r="AJ2120" s="14"/>
      <c r="AK2120" s="14"/>
      <c r="AL2120" s="14"/>
      <c r="AM2120" s="14"/>
    </row>
    <row r="2121" ht="14.25" customHeight="1">
      <c r="AA2121" s="7">
        <f t="shared" si="2"/>
        <v>43027</v>
      </c>
      <c r="AB2121" s="14"/>
      <c r="AC2121" s="14"/>
      <c r="AD2121" s="14"/>
      <c r="AE2121" s="14"/>
      <c r="AF2121" s="14"/>
      <c r="AG2121" s="14"/>
      <c r="AH2121" s="14"/>
      <c r="AI2121" s="14"/>
      <c r="AJ2121" s="14"/>
      <c r="AK2121" s="14"/>
      <c r="AL2121" s="14"/>
      <c r="AM2121" s="14"/>
    </row>
    <row r="2122" ht="14.25" customHeight="1">
      <c r="AA2122" s="7">
        <f t="shared" si="2"/>
        <v>43028</v>
      </c>
      <c r="AB2122" s="14"/>
      <c r="AC2122" s="14"/>
      <c r="AD2122" s="14"/>
      <c r="AE2122" s="14"/>
      <c r="AF2122" s="14"/>
      <c r="AG2122" s="14"/>
      <c r="AH2122" s="14"/>
      <c r="AI2122" s="14"/>
      <c r="AJ2122" s="14"/>
      <c r="AK2122" s="14"/>
      <c r="AL2122" s="14"/>
      <c r="AM2122" s="14"/>
    </row>
    <row r="2123" ht="14.25" customHeight="1">
      <c r="AA2123" s="7">
        <f t="shared" si="2"/>
        <v>43029</v>
      </c>
      <c r="AB2123" s="14"/>
      <c r="AC2123" s="14"/>
      <c r="AD2123" s="14"/>
      <c r="AE2123" s="14"/>
      <c r="AF2123" s="14"/>
      <c r="AG2123" s="14"/>
      <c r="AH2123" s="14"/>
      <c r="AI2123" s="14"/>
      <c r="AJ2123" s="14"/>
      <c r="AK2123" s="14"/>
      <c r="AL2123" s="14"/>
      <c r="AM2123" s="14"/>
    </row>
    <row r="2124" ht="14.25" customHeight="1">
      <c r="AA2124" s="7">
        <f t="shared" si="2"/>
        <v>43030</v>
      </c>
      <c r="AB2124" s="14"/>
      <c r="AC2124" s="14"/>
      <c r="AD2124" s="14"/>
      <c r="AE2124" s="14"/>
      <c r="AF2124" s="14"/>
      <c r="AG2124" s="14"/>
      <c r="AH2124" s="14"/>
      <c r="AI2124" s="14"/>
      <c r="AJ2124" s="14"/>
      <c r="AK2124" s="14"/>
      <c r="AL2124" s="14"/>
      <c r="AM2124" s="14"/>
    </row>
    <row r="2125" ht="14.25" customHeight="1">
      <c r="AA2125" s="7">
        <f t="shared" si="2"/>
        <v>43031</v>
      </c>
      <c r="AB2125" s="14"/>
      <c r="AC2125" s="14"/>
      <c r="AD2125" s="14"/>
      <c r="AE2125" s="14"/>
      <c r="AF2125" s="14"/>
      <c r="AG2125" s="14"/>
      <c r="AH2125" s="14"/>
      <c r="AI2125" s="14"/>
      <c r="AJ2125" s="14"/>
      <c r="AK2125" s="14"/>
      <c r="AL2125" s="14"/>
      <c r="AM2125" s="14"/>
    </row>
    <row r="2126" ht="14.25" customHeight="1">
      <c r="AA2126" s="7">
        <f t="shared" si="2"/>
        <v>43032</v>
      </c>
      <c r="AB2126" s="14"/>
      <c r="AC2126" s="14"/>
      <c r="AD2126" s="14"/>
      <c r="AE2126" s="14"/>
      <c r="AF2126" s="14"/>
      <c r="AG2126" s="14"/>
      <c r="AH2126" s="14"/>
      <c r="AI2126" s="14"/>
      <c r="AJ2126" s="14"/>
      <c r="AK2126" s="14"/>
      <c r="AL2126" s="14"/>
      <c r="AM2126" s="14"/>
    </row>
    <row r="2127" ht="14.25" customHeight="1">
      <c r="AA2127" s="7">
        <f t="shared" si="2"/>
        <v>43033</v>
      </c>
      <c r="AB2127" s="14"/>
      <c r="AC2127" s="14"/>
      <c r="AD2127" s="14"/>
      <c r="AE2127" s="14"/>
      <c r="AF2127" s="14"/>
      <c r="AG2127" s="14"/>
      <c r="AH2127" s="14"/>
      <c r="AI2127" s="14"/>
      <c r="AJ2127" s="14"/>
      <c r="AK2127" s="14"/>
      <c r="AL2127" s="14"/>
      <c r="AM2127" s="14"/>
    </row>
    <row r="2128" ht="14.25" customHeight="1">
      <c r="AA2128" s="7">
        <f t="shared" si="2"/>
        <v>43034</v>
      </c>
      <c r="AB2128" s="14"/>
      <c r="AC2128" s="14"/>
      <c r="AD2128" s="14"/>
      <c r="AE2128" s="14"/>
      <c r="AF2128" s="14"/>
      <c r="AG2128" s="14"/>
      <c r="AH2128" s="14"/>
      <c r="AI2128" s="14"/>
      <c r="AJ2128" s="14"/>
      <c r="AK2128" s="14"/>
      <c r="AL2128" s="14"/>
      <c r="AM2128" s="14"/>
    </row>
    <row r="2129" ht="14.25" customHeight="1">
      <c r="AA2129" s="7">
        <f t="shared" si="2"/>
        <v>43035</v>
      </c>
      <c r="AB2129" s="14"/>
      <c r="AC2129" s="14"/>
      <c r="AD2129" s="14"/>
      <c r="AE2129" s="14"/>
      <c r="AF2129" s="14"/>
      <c r="AG2129" s="14"/>
      <c r="AH2129" s="14"/>
      <c r="AI2129" s="14"/>
      <c r="AJ2129" s="14"/>
      <c r="AK2129" s="14"/>
      <c r="AL2129" s="14"/>
      <c r="AM2129" s="14"/>
    </row>
    <row r="2130" ht="14.25" customHeight="1">
      <c r="AA2130" s="7">
        <f t="shared" si="2"/>
        <v>43036</v>
      </c>
      <c r="AB2130" s="14"/>
      <c r="AC2130" s="14"/>
      <c r="AD2130" s="14"/>
      <c r="AE2130" s="14"/>
      <c r="AF2130" s="14"/>
      <c r="AG2130" s="14"/>
      <c r="AH2130" s="14"/>
      <c r="AI2130" s="14"/>
      <c r="AJ2130" s="14"/>
      <c r="AK2130" s="14"/>
      <c r="AL2130" s="14"/>
      <c r="AM2130" s="14"/>
    </row>
    <row r="2131" ht="14.25" customHeight="1">
      <c r="AA2131" s="7">
        <f t="shared" si="2"/>
        <v>43037</v>
      </c>
      <c r="AB2131" s="14"/>
      <c r="AC2131" s="14"/>
      <c r="AD2131" s="14"/>
      <c r="AE2131" s="14"/>
      <c r="AF2131" s="14"/>
      <c r="AG2131" s="14"/>
      <c r="AH2131" s="14"/>
      <c r="AI2131" s="14"/>
      <c r="AJ2131" s="14"/>
      <c r="AK2131" s="14"/>
      <c r="AL2131" s="14"/>
      <c r="AM2131" s="14"/>
    </row>
    <row r="2132" ht="14.25" customHeight="1">
      <c r="AA2132" s="7">
        <f t="shared" si="2"/>
        <v>43038</v>
      </c>
      <c r="AB2132" s="14"/>
      <c r="AC2132" s="14"/>
      <c r="AD2132" s="14"/>
      <c r="AE2132" s="14"/>
      <c r="AF2132" s="14"/>
      <c r="AG2132" s="14"/>
      <c r="AH2132" s="14"/>
      <c r="AI2132" s="14"/>
      <c r="AJ2132" s="14"/>
      <c r="AK2132" s="14"/>
      <c r="AL2132" s="14"/>
      <c r="AM2132" s="14"/>
    </row>
    <row r="2133" ht="14.25" customHeight="1">
      <c r="AA2133" s="7">
        <f t="shared" si="2"/>
        <v>43039</v>
      </c>
      <c r="AB2133" s="14"/>
      <c r="AC2133" s="14"/>
      <c r="AD2133" s="14"/>
      <c r="AE2133" s="14"/>
      <c r="AF2133" s="14"/>
      <c r="AG2133" s="14"/>
      <c r="AH2133" s="14"/>
      <c r="AI2133" s="14"/>
      <c r="AJ2133" s="14"/>
      <c r="AK2133" s="14"/>
      <c r="AL2133" s="14"/>
      <c r="AM2133" s="14"/>
    </row>
    <row r="2134" ht="14.25" customHeight="1">
      <c r="AA2134" s="7">
        <f t="shared" si="2"/>
        <v>43040</v>
      </c>
      <c r="AB2134" s="14"/>
      <c r="AC2134" s="14"/>
      <c r="AD2134" s="14"/>
      <c r="AE2134" s="14"/>
      <c r="AF2134" s="14"/>
      <c r="AG2134" s="14"/>
      <c r="AH2134" s="14"/>
      <c r="AI2134" s="14"/>
      <c r="AJ2134" s="14"/>
      <c r="AK2134" s="14"/>
      <c r="AL2134" s="14"/>
      <c r="AM2134" s="14"/>
    </row>
    <row r="2135" ht="14.25" customHeight="1">
      <c r="AA2135" s="7">
        <f t="shared" si="2"/>
        <v>43041</v>
      </c>
      <c r="AB2135" s="14"/>
      <c r="AC2135" s="14"/>
      <c r="AD2135" s="14"/>
      <c r="AE2135" s="14"/>
      <c r="AF2135" s="14"/>
      <c r="AG2135" s="14"/>
      <c r="AH2135" s="14"/>
      <c r="AI2135" s="14"/>
      <c r="AJ2135" s="14"/>
      <c r="AK2135" s="14"/>
      <c r="AL2135" s="14"/>
      <c r="AM2135" s="14"/>
    </row>
    <row r="2136" ht="14.25" customHeight="1">
      <c r="AA2136" s="7">
        <f t="shared" si="2"/>
        <v>43042</v>
      </c>
      <c r="AB2136" s="14"/>
      <c r="AC2136" s="14"/>
      <c r="AD2136" s="14"/>
      <c r="AE2136" s="14"/>
      <c r="AF2136" s="14"/>
      <c r="AG2136" s="14"/>
      <c r="AH2136" s="14"/>
      <c r="AI2136" s="14"/>
      <c r="AJ2136" s="14"/>
      <c r="AK2136" s="14"/>
      <c r="AL2136" s="14"/>
      <c r="AM2136" s="14"/>
    </row>
    <row r="2137" ht="14.25" customHeight="1">
      <c r="AA2137" s="7">
        <f t="shared" si="2"/>
        <v>43043</v>
      </c>
      <c r="AB2137" s="14"/>
      <c r="AC2137" s="14"/>
      <c r="AD2137" s="14"/>
      <c r="AE2137" s="14"/>
      <c r="AF2137" s="14"/>
      <c r="AG2137" s="14"/>
      <c r="AH2137" s="14"/>
      <c r="AI2137" s="14"/>
      <c r="AJ2137" s="14"/>
      <c r="AK2137" s="14"/>
      <c r="AL2137" s="14"/>
      <c r="AM2137" s="14"/>
    </row>
    <row r="2138" ht="14.25" customHeight="1">
      <c r="AA2138" s="7">
        <f t="shared" si="2"/>
        <v>43044</v>
      </c>
      <c r="AB2138" s="14"/>
      <c r="AC2138" s="14"/>
      <c r="AD2138" s="14"/>
      <c r="AE2138" s="14"/>
      <c r="AF2138" s="14"/>
      <c r="AG2138" s="14"/>
      <c r="AH2138" s="14"/>
      <c r="AI2138" s="14"/>
      <c r="AJ2138" s="14"/>
      <c r="AK2138" s="14"/>
      <c r="AL2138" s="14"/>
      <c r="AM2138" s="14"/>
    </row>
    <row r="2139" ht="14.25" customHeight="1">
      <c r="AA2139" s="7">
        <f t="shared" si="2"/>
        <v>43045</v>
      </c>
      <c r="AB2139" s="14"/>
      <c r="AC2139" s="14"/>
      <c r="AD2139" s="14"/>
      <c r="AE2139" s="14"/>
      <c r="AF2139" s="14"/>
      <c r="AG2139" s="14"/>
      <c r="AH2139" s="14"/>
      <c r="AI2139" s="14"/>
      <c r="AJ2139" s="14"/>
      <c r="AK2139" s="14"/>
      <c r="AL2139" s="14"/>
      <c r="AM2139" s="14"/>
    </row>
    <row r="2140" ht="14.25" customHeight="1">
      <c r="AA2140" s="7">
        <f t="shared" si="2"/>
        <v>43046</v>
      </c>
      <c r="AB2140" s="14"/>
      <c r="AC2140" s="14"/>
      <c r="AD2140" s="14"/>
      <c r="AE2140" s="14"/>
      <c r="AF2140" s="14"/>
      <c r="AG2140" s="14"/>
      <c r="AH2140" s="14"/>
      <c r="AI2140" s="14"/>
      <c r="AJ2140" s="14"/>
      <c r="AK2140" s="14"/>
      <c r="AL2140" s="14"/>
      <c r="AM2140" s="14"/>
    </row>
    <row r="2141" ht="14.25" customHeight="1">
      <c r="AA2141" s="7">
        <f t="shared" si="2"/>
        <v>43047</v>
      </c>
      <c r="AB2141" s="14"/>
      <c r="AC2141" s="14"/>
      <c r="AD2141" s="14"/>
      <c r="AE2141" s="14"/>
      <c r="AF2141" s="14"/>
      <c r="AG2141" s="14"/>
      <c r="AH2141" s="14"/>
      <c r="AI2141" s="14"/>
      <c r="AJ2141" s="14"/>
      <c r="AK2141" s="14"/>
      <c r="AL2141" s="14"/>
      <c r="AM2141" s="14"/>
    </row>
    <row r="2142" ht="14.25" customHeight="1">
      <c r="AA2142" s="7">
        <f t="shared" si="2"/>
        <v>43048</v>
      </c>
      <c r="AB2142" s="14"/>
      <c r="AC2142" s="14"/>
      <c r="AD2142" s="14"/>
      <c r="AE2142" s="14"/>
      <c r="AF2142" s="14"/>
      <c r="AG2142" s="14"/>
      <c r="AH2142" s="14"/>
      <c r="AI2142" s="14"/>
      <c r="AJ2142" s="14"/>
      <c r="AK2142" s="14"/>
      <c r="AL2142" s="14"/>
      <c r="AM2142" s="14"/>
    </row>
    <row r="2143" ht="14.25" customHeight="1">
      <c r="AA2143" s="7">
        <f t="shared" si="2"/>
        <v>43049</v>
      </c>
      <c r="AB2143" s="14"/>
      <c r="AC2143" s="14"/>
      <c r="AD2143" s="14"/>
      <c r="AE2143" s="14"/>
      <c r="AF2143" s="14"/>
      <c r="AG2143" s="14"/>
      <c r="AH2143" s="14"/>
      <c r="AI2143" s="14"/>
      <c r="AJ2143" s="14"/>
      <c r="AK2143" s="14"/>
      <c r="AL2143" s="14"/>
      <c r="AM2143" s="14"/>
    </row>
    <row r="2144" ht="14.25" customHeight="1">
      <c r="AA2144" s="7">
        <f t="shared" si="2"/>
        <v>43050</v>
      </c>
      <c r="AB2144" s="14"/>
      <c r="AC2144" s="14"/>
      <c r="AD2144" s="14"/>
      <c r="AE2144" s="14"/>
      <c r="AF2144" s="14"/>
      <c r="AG2144" s="14"/>
      <c r="AH2144" s="14"/>
      <c r="AI2144" s="14"/>
      <c r="AJ2144" s="14"/>
      <c r="AK2144" s="14"/>
      <c r="AL2144" s="14"/>
      <c r="AM2144" s="14"/>
    </row>
    <row r="2145" ht="14.25" customHeight="1">
      <c r="AA2145" s="7">
        <f t="shared" si="2"/>
        <v>43051</v>
      </c>
      <c r="AB2145" s="14"/>
      <c r="AC2145" s="14"/>
      <c r="AD2145" s="14"/>
      <c r="AE2145" s="14"/>
      <c r="AF2145" s="14"/>
      <c r="AG2145" s="14"/>
      <c r="AH2145" s="14"/>
      <c r="AI2145" s="14"/>
      <c r="AJ2145" s="14"/>
      <c r="AK2145" s="14"/>
      <c r="AL2145" s="14"/>
      <c r="AM2145" s="14"/>
    </row>
    <row r="2146" ht="14.25" customHeight="1">
      <c r="AA2146" s="7">
        <f t="shared" si="2"/>
        <v>43052</v>
      </c>
      <c r="AB2146" s="14"/>
      <c r="AC2146" s="14"/>
      <c r="AD2146" s="14"/>
      <c r="AE2146" s="14"/>
      <c r="AF2146" s="14"/>
      <c r="AG2146" s="14"/>
      <c r="AH2146" s="14"/>
      <c r="AI2146" s="14"/>
      <c r="AJ2146" s="14"/>
      <c r="AK2146" s="14"/>
      <c r="AL2146" s="14"/>
      <c r="AM2146" s="14"/>
    </row>
    <row r="2147" ht="14.25" customHeight="1">
      <c r="AA2147" s="7">
        <f t="shared" si="2"/>
        <v>43053</v>
      </c>
      <c r="AB2147" s="14"/>
      <c r="AC2147" s="14"/>
      <c r="AD2147" s="14"/>
      <c r="AE2147" s="14"/>
      <c r="AF2147" s="14"/>
      <c r="AG2147" s="14"/>
      <c r="AH2147" s="14"/>
      <c r="AI2147" s="14"/>
      <c r="AJ2147" s="14"/>
      <c r="AK2147" s="14"/>
      <c r="AL2147" s="14"/>
      <c r="AM2147" s="14"/>
    </row>
    <row r="2148" ht="14.25" customHeight="1">
      <c r="AA2148" s="7">
        <f t="shared" si="2"/>
        <v>43054</v>
      </c>
      <c r="AB2148" s="14"/>
      <c r="AC2148" s="14"/>
      <c r="AD2148" s="14"/>
      <c r="AE2148" s="14"/>
      <c r="AF2148" s="14"/>
      <c r="AG2148" s="14"/>
      <c r="AH2148" s="14"/>
      <c r="AI2148" s="14"/>
      <c r="AJ2148" s="14"/>
      <c r="AK2148" s="14"/>
      <c r="AL2148" s="14"/>
      <c r="AM2148" s="14"/>
    </row>
    <row r="2149" ht="14.25" customHeight="1">
      <c r="AA2149" s="7">
        <f t="shared" si="2"/>
        <v>43055</v>
      </c>
      <c r="AB2149" s="14"/>
      <c r="AC2149" s="14"/>
      <c r="AD2149" s="14"/>
      <c r="AE2149" s="14"/>
      <c r="AF2149" s="14"/>
      <c r="AG2149" s="14"/>
      <c r="AH2149" s="14"/>
      <c r="AI2149" s="14"/>
      <c r="AJ2149" s="14"/>
      <c r="AK2149" s="14"/>
      <c r="AL2149" s="14"/>
      <c r="AM2149" s="14"/>
    </row>
    <row r="2150" ht="14.25" customHeight="1">
      <c r="AA2150" s="7">
        <f t="shared" si="2"/>
        <v>43056</v>
      </c>
      <c r="AB2150" s="14"/>
      <c r="AC2150" s="14"/>
      <c r="AD2150" s="14"/>
      <c r="AE2150" s="14"/>
      <c r="AF2150" s="14"/>
      <c r="AG2150" s="14"/>
      <c r="AH2150" s="14"/>
      <c r="AI2150" s="14"/>
      <c r="AJ2150" s="14"/>
      <c r="AK2150" s="14"/>
      <c r="AL2150" s="14"/>
      <c r="AM2150" s="14"/>
    </row>
    <row r="2151" ht="14.25" customHeight="1">
      <c r="AA2151" s="7">
        <f t="shared" si="2"/>
        <v>43057</v>
      </c>
      <c r="AB2151" s="14"/>
      <c r="AC2151" s="14"/>
      <c r="AD2151" s="14"/>
      <c r="AE2151" s="14"/>
      <c r="AF2151" s="14"/>
      <c r="AG2151" s="14"/>
      <c r="AH2151" s="14"/>
      <c r="AI2151" s="14"/>
      <c r="AJ2151" s="14"/>
      <c r="AK2151" s="14"/>
      <c r="AL2151" s="14"/>
      <c r="AM2151" s="14"/>
    </row>
    <row r="2152" ht="14.25" customHeight="1">
      <c r="AA2152" s="7">
        <f t="shared" si="2"/>
        <v>43058</v>
      </c>
      <c r="AB2152" s="14"/>
      <c r="AC2152" s="14"/>
      <c r="AD2152" s="14"/>
      <c r="AE2152" s="14"/>
      <c r="AF2152" s="14"/>
      <c r="AG2152" s="14"/>
      <c r="AH2152" s="14"/>
      <c r="AI2152" s="14"/>
      <c r="AJ2152" s="14"/>
      <c r="AK2152" s="14"/>
      <c r="AL2152" s="14"/>
      <c r="AM2152" s="14"/>
    </row>
    <row r="2153" ht="14.25" customHeight="1">
      <c r="AA2153" s="7">
        <f t="shared" si="2"/>
        <v>43059</v>
      </c>
      <c r="AB2153" s="14"/>
      <c r="AC2153" s="14"/>
      <c r="AD2153" s="14"/>
      <c r="AE2153" s="14"/>
      <c r="AF2153" s="14"/>
      <c r="AG2153" s="14"/>
      <c r="AH2153" s="14"/>
      <c r="AI2153" s="14"/>
      <c r="AJ2153" s="14"/>
      <c r="AK2153" s="14"/>
      <c r="AL2153" s="14"/>
      <c r="AM2153" s="14"/>
    </row>
    <row r="2154" ht="14.25" customHeight="1">
      <c r="AA2154" s="7">
        <f t="shared" si="2"/>
        <v>43060</v>
      </c>
      <c r="AB2154" s="14"/>
      <c r="AC2154" s="14"/>
      <c r="AD2154" s="14"/>
      <c r="AE2154" s="14"/>
      <c r="AF2154" s="14"/>
      <c r="AG2154" s="14"/>
      <c r="AH2154" s="14"/>
      <c r="AI2154" s="14"/>
      <c r="AJ2154" s="14"/>
      <c r="AK2154" s="14"/>
      <c r="AL2154" s="14"/>
      <c r="AM2154" s="14"/>
    </row>
    <row r="2155" ht="14.25" customHeight="1">
      <c r="AA2155" s="7">
        <f t="shared" si="2"/>
        <v>43061</v>
      </c>
      <c r="AB2155" s="14"/>
      <c r="AC2155" s="14"/>
      <c r="AD2155" s="14"/>
      <c r="AE2155" s="14"/>
      <c r="AF2155" s="14"/>
      <c r="AG2155" s="14"/>
      <c r="AH2155" s="14"/>
      <c r="AI2155" s="14"/>
      <c r="AJ2155" s="14"/>
      <c r="AK2155" s="14"/>
      <c r="AL2155" s="14"/>
      <c r="AM2155" s="14"/>
    </row>
    <row r="2156" ht="14.25" customHeight="1">
      <c r="AA2156" s="7">
        <f t="shared" si="2"/>
        <v>43062</v>
      </c>
      <c r="AB2156" s="14"/>
      <c r="AC2156" s="14"/>
      <c r="AD2156" s="14"/>
      <c r="AE2156" s="14"/>
      <c r="AF2156" s="14"/>
      <c r="AG2156" s="14"/>
      <c r="AH2156" s="14"/>
      <c r="AI2156" s="14"/>
      <c r="AJ2156" s="14"/>
      <c r="AK2156" s="14"/>
      <c r="AL2156" s="14"/>
      <c r="AM2156" s="14"/>
    </row>
    <row r="2157" ht="14.25" customHeight="1">
      <c r="AA2157" s="7">
        <f t="shared" si="2"/>
        <v>43063</v>
      </c>
      <c r="AB2157" s="14"/>
      <c r="AC2157" s="14"/>
      <c r="AD2157" s="14"/>
      <c r="AE2157" s="14"/>
      <c r="AF2157" s="14"/>
      <c r="AG2157" s="14"/>
      <c r="AH2157" s="14"/>
      <c r="AI2157" s="14"/>
      <c r="AJ2157" s="14"/>
      <c r="AK2157" s="14"/>
      <c r="AL2157" s="14"/>
      <c r="AM2157" s="14"/>
    </row>
    <row r="2158" ht="14.25" customHeight="1">
      <c r="AA2158" s="7">
        <f t="shared" si="2"/>
        <v>43064</v>
      </c>
      <c r="AB2158" s="14"/>
      <c r="AC2158" s="14"/>
      <c r="AD2158" s="14"/>
      <c r="AE2158" s="14"/>
      <c r="AF2158" s="14"/>
      <c r="AG2158" s="14"/>
      <c r="AH2158" s="14"/>
      <c r="AI2158" s="14"/>
      <c r="AJ2158" s="14"/>
      <c r="AK2158" s="14"/>
      <c r="AL2158" s="14"/>
      <c r="AM2158" s="14"/>
    </row>
    <row r="2159" ht="14.25" customHeight="1">
      <c r="AA2159" s="7">
        <f t="shared" si="2"/>
        <v>43065</v>
      </c>
      <c r="AB2159" s="14"/>
      <c r="AC2159" s="14"/>
      <c r="AD2159" s="14"/>
      <c r="AE2159" s="14"/>
      <c r="AF2159" s="14"/>
      <c r="AG2159" s="14"/>
      <c r="AH2159" s="14"/>
      <c r="AI2159" s="14"/>
      <c r="AJ2159" s="14"/>
      <c r="AK2159" s="14"/>
      <c r="AL2159" s="14"/>
      <c r="AM2159" s="14"/>
    </row>
    <row r="2160" ht="14.25" customHeight="1">
      <c r="AA2160" s="7">
        <f t="shared" si="2"/>
        <v>43066</v>
      </c>
      <c r="AB2160" s="14"/>
      <c r="AC2160" s="14"/>
      <c r="AD2160" s="14"/>
      <c r="AE2160" s="14"/>
      <c r="AF2160" s="14"/>
      <c r="AG2160" s="14"/>
      <c r="AH2160" s="14"/>
      <c r="AI2160" s="14"/>
      <c r="AJ2160" s="14"/>
      <c r="AK2160" s="14"/>
      <c r="AL2160" s="14"/>
      <c r="AM2160" s="14"/>
    </row>
    <row r="2161" ht="14.25" customHeight="1">
      <c r="AA2161" s="7">
        <f t="shared" si="2"/>
        <v>43067</v>
      </c>
      <c r="AB2161" s="14"/>
      <c r="AC2161" s="14"/>
      <c r="AD2161" s="14"/>
      <c r="AE2161" s="14"/>
      <c r="AF2161" s="14"/>
      <c r="AG2161" s="14"/>
      <c r="AH2161" s="14"/>
      <c r="AI2161" s="14"/>
      <c r="AJ2161" s="14"/>
      <c r="AK2161" s="14"/>
      <c r="AL2161" s="14"/>
      <c r="AM2161" s="14"/>
    </row>
    <row r="2162" ht="14.25" customHeight="1">
      <c r="AA2162" s="7">
        <f t="shared" si="2"/>
        <v>43068</v>
      </c>
      <c r="AB2162" s="14"/>
      <c r="AC2162" s="14"/>
      <c r="AD2162" s="14"/>
      <c r="AE2162" s="14"/>
      <c r="AF2162" s="14"/>
      <c r="AG2162" s="14"/>
      <c r="AH2162" s="14"/>
      <c r="AI2162" s="14"/>
      <c r="AJ2162" s="14"/>
      <c r="AK2162" s="14"/>
      <c r="AL2162" s="14"/>
      <c r="AM2162" s="14"/>
    </row>
    <row r="2163" ht="14.25" customHeight="1">
      <c r="AA2163" s="7">
        <f t="shared" si="2"/>
        <v>43069</v>
      </c>
      <c r="AB2163" s="14"/>
      <c r="AC2163" s="14"/>
      <c r="AD2163" s="14"/>
      <c r="AE2163" s="14"/>
      <c r="AF2163" s="14"/>
      <c r="AG2163" s="14"/>
      <c r="AH2163" s="14"/>
      <c r="AI2163" s="14"/>
      <c r="AJ2163" s="14"/>
      <c r="AK2163" s="14"/>
      <c r="AL2163" s="14"/>
      <c r="AM2163" s="14"/>
    </row>
    <row r="2164" ht="14.25" customHeight="1">
      <c r="AA2164" s="7">
        <f t="shared" si="2"/>
        <v>43070</v>
      </c>
      <c r="AB2164" s="14"/>
      <c r="AC2164" s="14"/>
      <c r="AD2164" s="14"/>
      <c r="AE2164" s="14"/>
      <c r="AF2164" s="14"/>
      <c r="AG2164" s="14"/>
      <c r="AH2164" s="14"/>
      <c r="AI2164" s="14"/>
      <c r="AJ2164" s="14"/>
      <c r="AK2164" s="14"/>
      <c r="AL2164" s="14"/>
      <c r="AM2164" s="14"/>
    </row>
    <row r="2165" ht="14.25" customHeight="1">
      <c r="AA2165" s="7">
        <f t="shared" si="2"/>
        <v>43071</v>
      </c>
      <c r="AB2165" s="14"/>
      <c r="AC2165" s="14"/>
      <c r="AD2165" s="14"/>
      <c r="AE2165" s="14"/>
      <c r="AF2165" s="14"/>
      <c r="AG2165" s="14"/>
      <c r="AH2165" s="14"/>
      <c r="AI2165" s="14"/>
      <c r="AJ2165" s="14"/>
      <c r="AK2165" s="14"/>
      <c r="AL2165" s="14"/>
      <c r="AM2165" s="14"/>
    </row>
    <row r="2166" ht="14.25" customHeight="1">
      <c r="AA2166" s="7">
        <f t="shared" si="2"/>
        <v>43072</v>
      </c>
      <c r="AB2166" s="14"/>
      <c r="AC2166" s="14"/>
      <c r="AD2166" s="14"/>
      <c r="AE2166" s="14"/>
      <c r="AF2166" s="14"/>
      <c r="AG2166" s="14"/>
      <c r="AH2166" s="14"/>
      <c r="AI2166" s="14"/>
      <c r="AJ2166" s="14"/>
      <c r="AK2166" s="14"/>
      <c r="AL2166" s="14"/>
      <c r="AM2166" s="14"/>
    </row>
    <row r="2167" ht="14.25" customHeight="1">
      <c r="AA2167" s="7">
        <f t="shared" si="2"/>
        <v>43073</v>
      </c>
      <c r="AB2167" s="14"/>
      <c r="AC2167" s="14"/>
      <c r="AD2167" s="14"/>
      <c r="AE2167" s="14"/>
      <c r="AF2167" s="14"/>
      <c r="AG2167" s="14"/>
      <c r="AH2167" s="14"/>
      <c r="AI2167" s="14"/>
      <c r="AJ2167" s="14"/>
      <c r="AK2167" s="14"/>
      <c r="AL2167" s="14"/>
      <c r="AM2167" s="14"/>
    </row>
    <row r="2168" ht="14.25" customHeight="1">
      <c r="AA2168" s="7">
        <f t="shared" si="2"/>
        <v>43074</v>
      </c>
      <c r="AB2168" s="14"/>
      <c r="AC2168" s="14"/>
      <c r="AD2168" s="14"/>
      <c r="AE2168" s="14"/>
      <c r="AF2168" s="14"/>
      <c r="AG2168" s="14"/>
      <c r="AH2168" s="14"/>
      <c r="AI2168" s="14"/>
      <c r="AJ2168" s="14"/>
      <c r="AK2168" s="14"/>
      <c r="AL2168" s="14"/>
      <c r="AM2168" s="14"/>
    </row>
    <row r="2169" ht="14.25" customHeight="1">
      <c r="AA2169" s="7">
        <f t="shared" si="2"/>
        <v>43075</v>
      </c>
      <c r="AB2169" s="14"/>
      <c r="AC2169" s="14"/>
      <c r="AD2169" s="14"/>
      <c r="AE2169" s="14"/>
      <c r="AF2169" s="14"/>
      <c r="AG2169" s="14"/>
      <c r="AH2169" s="14"/>
      <c r="AI2169" s="14"/>
      <c r="AJ2169" s="14"/>
      <c r="AK2169" s="14"/>
      <c r="AL2169" s="14"/>
      <c r="AM2169" s="14"/>
    </row>
    <row r="2170" ht="14.25" customHeight="1">
      <c r="AA2170" s="7">
        <f t="shared" si="2"/>
        <v>43076</v>
      </c>
      <c r="AB2170" s="14"/>
      <c r="AC2170" s="14"/>
      <c r="AD2170" s="14"/>
      <c r="AE2170" s="14"/>
      <c r="AF2170" s="14"/>
      <c r="AG2170" s="14"/>
      <c r="AH2170" s="14"/>
      <c r="AI2170" s="14"/>
      <c r="AJ2170" s="14"/>
      <c r="AK2170" s="14"/>
      <c r="AL2170" s="14"/>
      <c r="AM2170" s="14"/>
    </row>
    <row r="2171" ht="14.25" customHeight="1">
      <c r="AA2171" s="7">
        <f t="shared" si="2"/>
        <v>43077</v>
      </c>
      <c r="AB2171" s="14"/>
      <c r="AC2171" s="14"/>
      <c r="AD2171" s="14"/>
      <c r="AE2171" s="14"/>
      <c r="AF2171" s="14"/>
      <c r="AG2171" s="14"/>
      <c r="AH2171" s="14"/>
      <c r="AI2171" s="14"/>
      <c r="AJ2171" s="14"/>
      <c r="AK2171" s="14"/>
      <c r="AL2171" s="14"/>
      <c r="AM2171" s="14"/>
    </row>
    <row r="2172" ht="14.25" customHeight="1">
      <c r="AA2172" s="7">
        <f t="shared" si="2"/>
        <v>43078</v>
      </c>
      <c r="AB2172" s="14"/>
      <c r="AC2172" s="14"/>
      <c r="AD2172" s="14"/>
      <c r="AE2172" s="14"/>
      <c r="AF2172" s="14"/>
      <c r="AG2172" s="14"/>
      <c r="AH2172" s="14"/>
      <c r="AI2172" s="14"/>
      <c r="AJ2172" s="14"/>
      <c r="AK2172" s="14"/>
      <c r="AL2172" s="14"/>
      <c r="AM2172" s="14"/>
    </row>
    <row r="2173" ht="14.25" customHeight="1">
      <c r="AA2173" s="7">
        <f t="shared" si="2"/>
        <v>43079</v>
      </c>
      <c r="AB2173" s="14"/>
      <c r="AC2173" s="14"/>
      <c r="AD2173" s="14"/>
      <c r="AE2173" s="14"/>
      <c r="AF2173" s="14"/>
      <c r="AG2173" s="14"/>
      <c r="AH2173" s="14"/>
      <c r="AI2173" s="14"/>
      <c r="AJ2173" s="14"/>
      <c r="AK2173" s="14"/>
      <c r="AL2173" s="14"/>
      <c r="AM2173" s="14"/>
    </row>
    <row r="2174" ht="14.25" customHeight="1">
      <c r="AA2174" s="7">
        <f t="shared" si="2"/>
        <v>43080</v>
      </c>
      <c r="AB2174" s="14"/>
      <c r="AC2174" s="14"/>
      <c r="AD2174" s="14"/>
      <c r="AE2174" s="14"/>
      <c r="AF2174" s="14"/>
      <c r="AG2174" s="14"/>
      <c r="AH2174" s="14"/>
      <c r="AI2174" s="14"/>
      <c r="AJ2174" s="14"/>
      <c r="AK2174" s="14"/>
      <c r="AL2174" s="14"/>
      <c r="AM2174" s="14"/>
    </row>
    <row r="2175" ht="14.25" customHeight="1">
      <c r="AA2175" s="7">
        <f t="shared" si="2"/>
        <v>43081</v>
      </c>
      <c r="AB2175" s="14"/>
      <c r="AC2175" s="14"/>
      <c r="AD2175" s="14"/>
      <c r="AE2175" s="14"/>
      <c r="AF2175" s="14"/>
      <c r="AG2175" s="14"/>
      <c r="AH2175" s="14"/>
      <c r="AI2175" s="14"/>
      <c r="AJ2175" s="14"/>
      <c r="AK2175" s="14"/>
      <c r="AL2175" s="14"/>
      <c r="AM2175" s="14"/>
    </row>
    <row r="2176" ht="14.25" customHeight="1">
      <c r="AA2176" s="7">
        <f t="shared" si="2"/>
        <v>43082</v>
      </c>
      <c r="AB2176" s="14"/>
      <c r="AC2176" s="14"/>
      <c r="AD2176" s="14"/>
      <c r="AE2176" s="14"/>
      <c r="AF2176" s="14"/>
      <c r="AG2176" s="14"/>
      <c r="AH2176" s="14"/>
      <c r="AI2176" s="14"/>
      <c r="AJ2176" s="14"/>
      <c r="AK2176" s="14"/>
      <c r="AL2176" s="14"/>
      <c r="AM2176" s="14"/>
    </row>
    <row r="2177" ht="14.25" customHeight="1">
      <c r="AA2177" s="7">
        <f t="shared" si="2"/>
        <v>43083</v>
      </c>
      <c r="AB2177" s="14"/>
      <c r="AC2177" s="14"/>
      <c r="AD2177" s="14"/>
      <c r="AE2177" s="14"/>
      <c r="AF2177" s="14"/>
      <c r="AG2177" s="14"/>
      <c r="AH2177" s="14"/>
      <c r="AI2177" s="14"/>
      <c r="AJ2177" s="14"/>
      <c r="AK2177" s="14"/>
      <c r="AL2177" s="14"/>
      <c r="AM2177" s="14"/>
    </row>
    <row r="2178" ht="14.25" customHeight="1">
      <c r="AA2178" s="7">
        <f t="shared" si="2"/>
        <v>43084</v>
      </c>
      <c r="AB2178" s="14"/>
      <c r="AC2178" s="14"/>
      <c r="AD2178" s="14"/>
      <c r="AE2178" s="14"/>
      <c r="AF2178" s="14"/>
      <c r="AG2178" s="14"/>
      <c r="AH2178" s="14"/>
      <c r="AI2178" s="14"/>
      <c r="AJ2178" s="14"/>
      <c r="AK2178" s="14"/>
      <c r="AL2178" s="14"/>
      <c r="AM2178" s="14"/>
    </row>
    <row r="2179" ht="14.25" customHeight="1">
      <c r="AA2179" s="7">
        <f t="shared" si="2"/>
        <v>43085</v>
      </c>
      <c r="AB2179" s="14"/>
      <c r="AC2179" s="14"/>
      <c r="AD2179" s="14"/>
      <c r="AE2179" s="14"/>
      <c r="AF2179" s="14"/>
      <c r="AG2179" s="14"/>
      <c r="AH2179" s="14"/>
      <c r="AI2179" s="14"/>
      <c r="AJ2179" s="14"/>
      <c r="AK2179" s="14"/>
      <c r="AL2179" s="14"/>
      <c r="AM2179" s="14"/>
    </row>
    <row r="2180" ht="14.25" customHeight="1">
      <c r="AA2180" s="7">
        <f t="shared" si="2"/>
        <v>43086</v>
      </c>
      <c r="AB2180" s="14"/>
      <c r="AC2180" s="14"/>
      <c r="AD2180" s="14"/>
      <c r="AE2180" s="14"/>
      <c r="AF2180" s="14"/>
      <c r="AG2180" s="14"/>
      <c r="AH2180" s="14"/>
      <c r="AI2180" s="14"/>
      <c r="AJ2180" s="14"/>
      <c r="AK2180" s="14"/>
      <c r="AL2180" s="14"/>
      <c r="AM2180" s="14"/>
    </row>
    <row r="2181" ht="14.25" customHeight="1">
      <c r="AA2181" s="7">
        <f t="shared" si="2"/>
        <v>43087</v>
      </c>
      <c r="AB2181" s="14"/>
      <c r="AC2181" s="14"/>
      <c r="AD2181" s="14"/>
      <c r="AE2181" s="14"/>
      <c r="AF2181" s="14"/>
      <c r="AG2181" s="14"/>
      <c r="AH2181" s="14"/>
      <c r="AI2181" s="14"/>
      <c r="AJ2181" s="14"/>
      <c r="AK2181" s="14"/>
      <c r="AL2181" s="14"/>
      <c r="AM2181" s="14"/>
    </row>
    <row r="2182" ht="14.25" customHeight="1">
      <c r="AA2182" s="7">
        <f t="shared" si="2"/>
        <v>43088</v>
      </c>
      <c r="AB2182" s="14"/>
      <c r="AC2182" s="14"/>
      <c r="AD2182" s="14"/>
      <c r="AE2182" s="14"/>
      <c r="AF2182" s="14"/>
      <c r="AG2182" s="14"/>
      <c r="AH2182" s="14"/>
      <c r="AI2182" s="14"/>
      <c r="AJ2182" s="14"/>
      <c r="AK2182" s="14"/>
      <c r="AL2182" s="14"/>
      <c r="AM2182" s="14"/>
    </row>
    <row r="2183" ht="14.25" customHeight="1">
      <c r="AA2183" s="7">
        <f t="shared" si="2"/>
        <v>43089</v>
      </c>
      <c r="AB2183" s="14"/>
      <c r="AC2183" s="14"/>
      <c r="AD2183" s="14"/>
      <c r="AE2183" s="14"/>
      <c r="AF2183" s="14"/>
      <c r="AG2183" s="14"/>
      <c r="AH2183" s="14"/>
      <c r="AI2183" s="14"/>
      <c r="AJ2183" s="14"/>
      <c r="AK2183" s="14"/>
      <c r="AL2183" s="14"/>
      <c r="AM2183" s="14"/>
    </row>
    <row r="2184" ht="14.25" customHeight="1">
      <c r="AA2184" s="7">
        <f t="shared" si="2"/>
        <v>43090</v>
      </c>
      <c r="AB2184" s="14"/>
      <c r="AC2184" s="14"/>
      <c r="AD2184" s="14"/>
      <c r="AE2184" s="14"/>
      <c r="AF2184" s="14"/>
      <c r="AG2184" s="14"/>
      <c r="AH2184" s="14"/>
      <c r="AI2184" s="14"/>
      <c r="AJ2184" s="14"/>
      <c r="AK2184" s="14"/>
      <c r="AL2184" s="14"/>
      <c r="AM2184" s="14"/>
    </row>
    <row r="2185" ht="14.25" customHeight="1">
      <c r="AA2185" s="7">
        <f t="shared" si="2"/>
        <v>43091</v>
      </c>
      <c r="AB2185" s="14"/>
      <c r="AC2185" s="14"/>
      <c r="AD2185" s="14"/>
      <c r="AE2185" s="14"/>
      <c r="AF2185" s="14"/>
      <c r="AG2185" s="14"/>
      <c r="AH2185" s="14"/>
      <c r="AI2185" s="14"/>
      <c r="AJ2185" s="14"/>
      <c r="AK2185" s="14"/>
      <c r="AL2185" s="14"/>
      <c r="AM2185" s="14"/>
    </row>
    <row r="2186" ht="14.25" customHeight="1">
      <c r="AA2186" s="7">
        <f t="shared" si="2"/>
        <v>43092</v>
      </c>
      <c r="AB2186" s="14"/>
      <c r="AC2186" s="14"/>
      <c r="AD2186" s="14"/>
      <c r="AE2186" s="14"/>
      <c r="AF2186" s="14"/>
      <c r="AG2186" s="14"/>
      <c r="AH2186" s="14"/>
      <c r="AI2186" s="14"/>
      <c r="AJ2186" s="14"/>
      <c r="AK2186" s="14"/>
      <c r="AL2186" s="14"/>
      <c r="AM2186" s="14"/>
    </row>
    <row r="2187" ht="14.25" customHeight="1">
      <c r="AA2187" s="7">
        <f t="shared" si="2"/>
        <v>43093</v>
      </c>
      <c r="AB2187" s="14"/>
      <c r="AC2187" s="14"/>
      <c r="AD2187" s="14"/>
      <c r="AE2187" s="14"/>
      <c r="AF2187" s="14"/>
      <c r="AG2187" s="14"/>
      <c r="AH2187" s="14"/>
      <c r="AI2187" s="14"/>
      <c r="AJ2187" s="14"/>
      <c r="AK2187" s="14"/>
      <c r="AL2187" s="14"/>
      <c r="AM2187" s="14"/>
    </row>
    <row r="2188" ht="14.25" customHeight="1">
      <c r="AA2188" s="7">
        <f t="shared" si="2"/>
        <v>43094</v>
      </c>
      <c r="AB2188" s="14"/>
      <c r="AC2188" s="14"/>
      <c r="AD2188" s="14"/>
      <c r="AE2188" s="14"/>
      <c r="AF2188" s="14"/>
      <c r="AG2188" s="14"/>
      <c r="AH2188" s="14"/>
      <c r="AI2188" s="14"/>
      <c r="AJ2188" s="14"/>
      <c r="AK2188" s="14"/>
      <c r="AL2188" s="14"/>
      <c r="AM2188" s="14"/>
    </row>
    <row r="2189" ht="14.25" customHeight="1">
      <c r="AA2189" s="7">
        <f t="shared" si="2"/>
        <v>43095</v>
      </c>
      <c r="AB2189" s="14"/>
      <c r="AC2189" s="14"/>
      <c r="AD2189" s="14"/>
      <c r="AE2189" s="14"/>
      <c r="AF2189" s="14"/>
      <c r="AG2189" s="14"/>
      <c r="AH2189" s="14"/>
      <c r="AI2189" s="14"/>
      <c r="AJ2189" s="14"/>
      <c r="AK2189" s="14"/>
      <c r="AL2189" s="14"/>
      <c r="AM2189" s="14"/>
    </row>
    <row r="2190" ht="14.25" customHeight="1">
      <c r="AA2190" s="7">
        <f t="shared" si="2"/>
        <v>43096</v>
      </c>
      <c r="AB2190" s="14"/>
      <c r="AC2190" s="14"/>
      <c r="AD2190" s="14"/>
      <c r="AE2190" s="14"/>
      <c r="AF2190" s="14"/>
      <c r="AG2190" s="14"/>
      <c r="AH2190" s="14"/>
      <c r="AI2190" s="14"/>
      <c r="AJ2190" s="14"/>
      <c r="AK2190" s="14"/>
      <c r="AL2190" s="14"/>
      <c r="AM2190" s="14"/>
    </row>
    <row r="2191" ht="14.25" customHeight="1">
      <c r="AA2191" s="7">
        <f t="shared" si="2"/>
        <v>43097</v>
      </c>
      <c r="AB2191" s="14"/>
      <c r="AC2191" s="14"/>
      <c r="AD2191" s="14"/>
      <c r="AE2191" s="14"/>
      <c r="AF2191" s="14"/>
      <c r="AG2191" s="14"/>
      <c r="AH2191" s="14"/>
      <c r="AI2191" s="14"/>
      <c r="AJ2191" s="14"/>
      <c r="AK2191" s="14"/>
      <c r="AL2191" s="14"/>
      <c r="AM2191" s="14"/>
    </row>
    <row r="2192" ht="14.25" customHeight="1">
      <c r="AA2192" s="7">
        <f t="shared" si="2"/>
        <v>43098</v>
      </c>
      <c r="AB2192" s="14"/>
      <c r="AC2192" s="14"/>
      <c r="AD2192" s="14"/>
      <c r="AE2192" s="14"/>
      <c r="AF2192" s="14"/>
      <c r="AG2192" s="14"/>
      <c r="AH2192" s="14"/>
      <c r="AI2192" s="14"/>
      <c r="AJ2192" s="14"/>
      <c r="AK2192" s="14"/>
      <c r="AL2192" s="14"/>
      <c r="AM2192" s="14"/>
    </row>
    <row r="2193" ht="14.25" customHeight="1">
      <c r="AA2193" s="7">
        <f t="shared" si="2"/>
        <v>43099</v>
      </c>
      <c r="AB2193" s="14"/>
      <c r="AC2193" s="14"/>
      <c r="AD2193" s="14"/>
      <c r="AE2193" s="14"/>
      <c r="AF2193" s="14"/>
      <c r="AG2193" s="14"/>
      <c r="AH2193" s="14"/>
      <c r="AI2193" s="14"/>
      <c r="AJ2193" s="14"/>
      <c r="AK2193" s="14"/>
      <c r="AL2193" s="14"/>
      <c r="AM2193" s="14"/>
    </row>
    <row r="2194" ht="14.25" customHeight="1">
      <c r="AA2194" s="7">
        <f t="shared" si="2"/>
        <v>43100</v>
      </c>
      <c r="AB2194" s="14"/>
      <c r="AC2194" s="14"/>
      <c r="AD2194" s="14"/>
      <c r="AE2194" s="14"/>
      <c r="AF2194" s="14"/>
      <c r="AG2194" s="14"/>
      <c r="AH2194" s="14"/>
      <c r="AI2194" s="14"/>
      <c r="AJ2194" s="14"/>
      <c r="AK2194" s="14"/>
      <c r="AL2194" s="14"/>
      <c r="AM2194" s="14"/>
    </row>
    <row r="2195" ht="14.25" customHeight="1">
      <c r="AA2195" s="7">
        <f t="shared" si="2"/>
        <v>43101</v>
      </c>
      <c r="AB2195" s="14"/>
      <c r="AC2195" s="14"/>
      <c r="AD2195" s="14"/>
      <c r="AE2195" s="14"/>
      <c r="AF2195" s="14"/>
      <c r="AG2195" s="14"/>
      <c r="AH2195" s="14"/>
      <c r="AI2195" s="14"/>
      <c r="AJ2195" s="14"/>
      <c r="AK2195" s="14"/>
      <c r="AL2195" s="14"/>
      <c r="AM2195" s="14"/>
    </row>
    <row r="2196" ht="14.25" customHeight="1">
      <c r="AA2196" s="7">
        <f t="shared" si="2"/>
        <v>43102</v>
      </c>
      <c r="AB2196" s="14"/>
      <c r="AC2196" s="14"/>
      <c r="AD2196" s="14"/>
      <c r="AE2196" s="14"/>
      <c r="AF2196" s="14"/>
      <c r="AG2196" s="14"/>
      <c r="AH2196" s="14"/>
      <c r="AI2196" s="14"/>
      <c r="AJ2196" s="14"/>
      <c r="AK2196" s="14"/>
      <c r="AL2196" s="14"/>
      <c r="AM2196" s="14"/>
    </row>
    <row r="2197" ht="14.25" customHeight="1">
      <c r="AA2197" s="7">
        <f t="shared" si="2"/>
        <v>43103</v>
      </c>
      <c r="AB2197" s="14"/>
      <c r="AC2197" s="14"/>
      <c r="AD2197" s="14"/>
      <c r="AE2197" s="14"/>
      <c r="AF2197" s="14"/>
      <c r="AG2197" s="14"/>
      <c r="AH2197" s="14"/>
      <c r="AI2197" s="14"/>
      <c r="AJ2197" s="14"/>
      <c r="AK2197" s="14"/>
      <c r="AL2197" s="14"/>
      <c r="AM2197" s="14"/>
    </row>
    <row r="2198" ht="14.25" customHeight="1">
      <c r="AA2198" s="7">
        <f t="shared" si="2"/>
        <v>43104</v>
      </c>
      <c r="AB2198" s="14"/>
      <c r="AC2198" s="14"/>
      <c r="AD2198" s="14"/>
      <c r="AE2198" s="14"/>
      <c r="AF2198" s="14"/>
      <c r="AG2198" s="14"/>
      <c r="AH2198" s="14"/>
      <c r="AI2198" s="14"/>
      <c r="AJ2198" s="14"/>
      <c r="AK2198" s="14"/>
      <c r="AL2198" s="14"/>
      <c r="AM2198" s="14"/>
    </row>
    <row r="2199" ht="14.25" customHeight="1">
      <c r="AA2199" s="7">
        <f t="shared" si="2"/>
        <v>43105</v>
      </c>
      <c r="AB2199" s="14"/>
      <c r="AC2199" s="14"/>
      <c r="AD2199" s="14"/>
      <c r="AE2199" s="14"/>
      <c r="AF2199" s="14"/>
      <c r="AG2199" s="14"/>
      <c r="AH2199" s="14"/>
      <c r="AI2199" s="14"/>
      <c r="AJ2199" s="14"/>
      <c r="AK2199" s="14"/>
      <c r="AL2199" s="14"/>
      <c r="AM2199" s="14"/>
    </row>
    <row r="2200" ht="14.25" customHeight="1">
      <c r="AA2200" s="7">
        <f t="shared" si="2"/>
        <v>43106</v>
      </c>
      <c r="AB2200" s="14"/>
      <c r="AC2200" s="14"/>
      <c r="AD2200" s="14"/>
      <c r="AE2200" s="14"/>
      <c r="AF2200" s="14"/>
      <c r="AG2200" s="14"/>
      <c r="AH2200" s="14"/>
      <c r="AI2200" s="14"/>
      <c r="AJ2200" s="14"/>
      <c r="AK2200" s="14"/>
      <c r="AL2200" s="14"/>
      <c r="AM2200" s="14"/>
    </row>
    <row r="2201" ht="14.25" customHeight="1">
      <c r="AA2201" s="7">
        <f t="shared" si="2"/>
        <v>43107</v>
      </c>
      <c r="AB2201" s="14"/>
      <c r="AC2201" s="14"/>
      <c r="AD2201" s="14"/>
      <c r="AE2201" s="14"/>
      <c r="AF2201" s="14"/>
      <c r="AG2201" s="14"/>
      <c r="AH2201" s="14"/>
      <c r="AI2201" s="14"/>
      <c r="AJ2201" s="14"/>
      <c r="AK2201" s="14"/>
      <c r="AL2201" s="14"/>
      <c r="AM2201" s="14"/>
    </row>
    <row r="2202" ht="14.25" customHeight="1">
      <c r="AA2202" s="7">
        <f t="shared" si="2"/>
        <v>43108</v>
      </c>
      <c r="AB2202" s="14"/>
      <c r="AC2202" s="14"/>
      <c r="AD2202" s="14"/>
      <c r="AE2202" s="14"/>
      <c r="AF2202" s="14"/>
      <c r="AG2202" s="14"/>
      <c r="AH2202" s="14"/>
      <c r="AI2202" s="14"/>
      <c r="AJ2202" s="14"/>
      <c r="AK2202" s="14"/>
      <c r="AL2202" s="14"/>
      <c r="AM2202" s="14"/>
    </row>
    <row r="2203" ht="14.25" customHeight="1">
      <c r="AA2203" s="7">
        <f t="shared" si="2"/>
        <v>43109</v>
      </c>
      <c r="AB2203" s="14"/>
      <c r="AC2203" s="14"/>
      <c r="AD2203" s="14"/>
      <c r="AE2203" s="14"/>
      <c r="AF2203" s="14"/>
      <c r="AG2203" s="14"/>
      <c r="AH2203" s="14"/>
      <c r="AI2203" s="14"/>
      <c r="AJ2203" s="14"/>
      <c r="AK2203" s="14"/>
      <c r="AL2203" s="14"/>
      <c r="AM2203" s="14"/>
    </row>
    <row r="2204" ht="14.25" customHeight="1">
      <c r="AA2204" s="7">
        <f t="shared" si="2"/>
        <v>43110</v>
      </c>
      <c r="AB2204" s="14"/>
      <c r="AC2204" s="14"/>
      <c r="AD2204" s="14"/>
      <c r="AE2204" s="14"/>
      <c r="AF2204" s="14"/>
      <c r="AG2204" s="14"/>
      <c r="AH2204" s="14"/>
      <c r="AI2204" s="14"/>
      <c r="AJ2204" s="14"/>
      <c r="AK2204" s="14"/>
      <c r="AL2204" s="14"/>
      <c r="AM2204" s="14"/>
    </row>
    <row r="2205" ht="14.25" customHeight="1">
      <c r="AA2205" s="7">
        <f t="shared" si="2"/>
        <v>43111</v>
      </c>
      <c r="AB2205" s="14"/>
      <c r="AC2205" s="14"/>
      <c r="AD2205" s="14"/>
      <c r="AE2205" s="14"/>
      <c r="AF2205" s="14"/>
      <c r="AG2205" s="14"/>
      <c r="AH2205" s="14"/>
      <c r="AI2205" s="14"/>
      <c r="AJ2205" s="14"/>
      <c r="AK2205" s="14"/>
      <c r="AL2205" s="14"/>
      <c r="AM2205" s="14"/>
    </row>
    <row r="2206" ht="14.25" customHeight="1">
      <c r="AA2206" s="7">
        <f t="shared" si="2"/>
        <v>43112</v>
      </c>
      <c r="AB2206" s="14"/>
      <c r="AC2206" s="14"/>
      <c r="AD2206" s="14"/>
      <c r="AE2206" s="14"/>
      <c r="AF2206" s="14"/>
      <c r="AG2206" s="14"/>
      <c r="AH2206" s="14"/>
      <c r="AI2206" s="14"/>
      <c r="AJ2206" s="14"/>
      <c r="AK2206" s="14"/>
      <c r="AL2206" s="14"/>
      <c r="AM2206" s="14"/>
    </row>
    <row r="2207" ht="14.25" customHeight="1">
      <c r="AA2207" s="7">
        <f t="shared" si="2"/>
        <v>43113</v>
      </c>
      <c r="AB2207" s="14"/>
      <c r="AC2207" s="14"/>
      <c r="AD2207" s="14"/>
      <c r="AE2207" s="14"/>
      <c r="AF2207" s="14"/>
      <c r="AG2207" s="14"/>
      <c r="AH2207" s="14"/>
      <c r="AI2207" s="14"/>
      <c r="AJ2207" s="14"/>
      <c r="AK2207" s="14"/>
      <c r="AL2207" s="14"/>
      <c r="AM2207" s="14"/>
    </row>
    <row r="2208" ht="14.25" customHeight="1">
      <c r="AA2208" s="7">
        <f t="shared" si="2"/>
        <v>43114</v>
      </c>
      <c r="AB2208" s="14"/>
      <c r="AC2208" s="14"/>
      <c r="AD2208" s="14"/>
      <c r="AE2208" s="14"/>
      <c r="AF2208" s="14"/>
      <c r="AG2208" s="14"/>
      <c r="AH2208" s="14"/>
      <c r="AI2208" s="14"/>
      <c r="AJ2208" s="14"/>
      <c r="AK2208" s="14"/>
      <c r="AL2208" s="14"/>
      <c r="AM2208" s="14"/>
    </row>
    <row r="2209" ht="14.25" customHeight="1">
      <c r="AA2209" s="7">
        <f t="shared" si="2"/>
        <v>43115</v>
      </c>
      <c r="AB2209" s="14"/>
      <c r="AC2209" s="14"/>
      <c r="AD2209" s="14"/>
      <c r="AE2209" s="14"/>
      <c r="AF2209" s="14"/>
      <c r="AG2209" s="14"/>
      <c r="AH2209" s="14"/>
      <c r="AI2209" s="14"/>
      <c r="AJ2209" s="14"/>
      <c r="AK2209" s="14"/>
      <c r="AL2209" s="14"/>
      <c r="AM2209" s="14"/>
    </row>
    <row r="2210" ht="14.25" customHeight="1">
      <c r="AA2210" s="7">
        <f t="shared" si="2"/>
        <v>43116</v>
      </c>
      <c r="AB2210" s="14"/>
      <c r="AC2210" s="14"/>
      <c r="AD2210" s="14"/>
      <c r="AE2210" s="14"/>
      <c r="AF2210" s="14"/>
      <c r="AG2210" s="14"/>
      <c r="AH2210" s="14"/>
      <c r="AI2210" s="14"/>
      <c r="AJ2210" s="14"/>
      <c r="AK2210" s="14"/>
      <c r="AL2210" s="14"/>
      <c r="AM2210" s="14"/>
    </row>
    <row r="2211" ht="14.25" customHeight="1">
      <c r="AA2211" s="7">
        <f t="shared" si="2"/>
        <v>43117</v>
      </c>
      <c r="AB2211" s="14"/>
      <c r="AC2211" s="14"/>
      <c r="AD2211" s="14"/>
      <c r="AE2211" s="14"/>
      <c r="AF2211" s="14"/>
      <c r="AG2211" s="14"/>
      <c r="AH2211" s="14"/>
      <c r="AI2211" s="14"/>
      <c r="AJ2211" s="14"/>
      <c r="AK2211" s="14"/>
      <c r="AL2211" s="14"/>
      <c r="AM2211" s="14"/>
    </row>
    <row r="2212" ht="14.25" customHeight="1">
      <c r="AA2212" s="7">
        <f t="shared" si="2"/>
        <v>43118</v>
      </c>
      <c r="AB2212" s="14"/>
      <c r="AC2212" s="14"/>
      <c r="AD2212" s="14"/>
      <c r="AE2212" s="14"/>
      <c r="AF2212" s="14"/>
      <c r="AG2212" s="14"/>
      <c r="AH2212" s="14"/>
      <c r="AI2212" s="14"/>
      <c r="AJ2212" s="14"/>
      <c r="AK2212" s="14"/>
      <c r="AL2212" s="14"/>
      <c r="AM2212" s="14"/>
    </row>
    <row r="2213" ht="14.25" customHeight="1">
      <c r="AA2213" s="7">
        <f t="shared" si="2"/>
        <v>43119</v>
      </c>
      <c r="AB2213" s="14"/>
      <c r="AC2213" s="14"/>
      <c r="AD2213" s="14"/>
      <c r="AE2213" s="14"/>
      <c r="AF2213" s="14"/>
      <c r="AG2213" s="14"/>
      <c r="AH2213" s="14"/>
      <c r="AI2213" s="14"/>
      <c r="AJ2213" s="14"/>
      <c r="AK2213" s="14"/>
      <c r="AL2213" s="14"/>
      <c r="AM2213" s="14"/>
    </row>
    <row r="2214" ht="14.25" customHeight="1">
      <c r="AA2214" s="7">
        <f t="shared" si="2"/>
        <v>43120</v>
      </c>
      <c r="AB2214" s="14"/>
      <c r="AC2214" s="14"/>
      <c r="AD2214" s="14"/>
      <c r="AE2214" s="14"/>
      <c r="AF2214" s="14"/>
      <c r="AG2214" s="14"/>
      <c r="AH2214" s="14"/>
      <c r="AI2214" s="14"/>
      <c r="AJ2214" s="14"/>
      <c r="AK2214" s="14"/>
      <c r="AL2214" s="14"/>
      <c r="AM2214" s="14"/>
    </row>
    <row r="2215" ht="14.25" customHeight="1">
      <c r="AA2215" s="7">
        <f t="shared" si="2"/>
        <v>43121</v>
      </c>
      <c r="AB2215" s="14"/>
      <c r="AC2215" s="14"/>
      <c r="AD2215" s="14"/>
      <c r="AE2215" s="14"/>
      <c r="AF2215" s="14"/>
      <c r="AG2215" s="14"/>
      <c r="AH2215" s="14"/>
      <c r="AI2215" s="14"/>
      <c r="AJ2215" s="14"/>
      <c r="AK2215" s="14"/>
      <c r="AL2215" s="14"/>
      <c r="AM2215" s="14"/>
    </row>
    <row r="2216" ht="14.25" customHeight="1">
      <c r="AA2216" s="7">
        <f t="shared" si="2"/>
        <v>43122</v>
      </c>
      <c r="AB2216" s="14"/>
      <c r="AC2216" s="14"/>
      <c r="AD2216" s="14"/>
      <c r="AE2216" s="14"/>
      <c r="AF2216" s="14"/>
      <c r="AG2216" s="14"/>
      <c r="AH2216" s="14"/>
      <c r="AI2216" s="14"/>
      <c r="AJ2216" s="14"/>
      <c r="AK2216" s="14"/>
      <c r="AL2216" s="14"/>
      <c r="AM2216" s="14"/>
    </row>
    <row r="2217" ht="14.25" customHeight="1">
      <c r="AA2217" s="7">
        <f t="shared" si="2"/>
        <v>43123</v>
      </c>
      <c r="AB2217" s="14"/>
      <c r="AC2217" s="14"/>
      <c r="AD2217" s="14"/>
      <c r="AE2217" s="14"/>
      <c r="AF2217" s="14"/>
      <c r="AG2217" s="14"/>
      <c r="AH2217" s="14"/>
      <c r="AI2217" s="14"/>
      <c r="AJ2217" s="14"/>
      <c r="AK2217" s="14"/>
      <c r="AL2217" s="14"/>
      <c r="AM2217" s="14"/>
    </row>
    <row r="2218" ht="14.25" customHeight="1">
      <c r="AA2218" s="7">
        <f t="shared" si="2"/>
        <v>43124</v>
      </c>
      <c r="AB2218" s="14"/>
      <c r="AC2218" s="14"/>
      <c r="AD2218" s="14"/>
      <c r="AE2218" s="14"/>
      <c r="AF2218" s="14"/>
      <c r="AG2218" s="14"/>
      <c r="AH2218" s="14"/>
      <c r="AI2218" s="14"/>
      <c r="AJ2218" s="14"/>
      <c r="AK2218" s="14"/>
      <c r="AL2218" s="14"/>
      <c r="AM2218" s="14"/>
    </row>
    <row r="2219" ht="14.25" customHeight="1">
      <c r="AA2219" s="7">
        <f t="shared" si="2"/>
        <v>43125</v>
      </c>
      <c r="AB2219" s="14"/>
      <c r="AC2219" s="14"/>
      <c r="AD2219" s="14"/>
      <c r="AE2219" s="14"/>
      <c r="AF2219" s="14"/>
      <c r="AG2219" s="14"/>
      <c r="AH2219" s="14"/>
      <c r="AI2219" s="14"/>
      <c r="AJ2219" s="14"/>
      <c r="AK2219" s="14"/>
      <c r="AL2219" s="14"/>
      <c r="AM2219" s="14"/>
    </row>
    <row r="2220" ht="14.25" customHeight="1">
      <c r="AA2220" s="7">
        <f t="shared" si="2"/>
        <v>43126</v>
      </c>
      <c r="AB2220" s="14"/>
      <c r="AC2220" s="14"/>
      <c r="AD2220" s="14"/>
      <c r="AE2220" s="14"/>
      <c r="AF2220" s="14"/>
      <c r="AG2220" s="14"/>
      <c r="AH2220" s="14"/>
      <c r="AI2220" s="14"/>
      <c r="AJ2220" s="14"/>
      <c r="AK2220" s="14"/>
      <c r="AL2220" s="14"/>
      <c r="AM2220" s="14"/>
    </row>
    <row r="2221" ht="14.25" customHeight="1">
      <c r="AA2221" s="7">
        <f t="shared" si="2"/>
        <v>43127</v>
      </c>
      <c r="AB2221" s="14"/>
      <c r="AC2221" s="14"/>
      <c r="AD2221" s="14"/>
      <c r="AE2221" s="14"/>
      <c r="AF2221" s="14"/>
      <c r="AG2221" s="14"/>
      <c r="AH2221" s="14"/>
      <c r="AI2221" s="14"/>
      <c r="AJ2221" s="14"/>
      <c r="AK2221" s="14"/>
      <c r="AL2221" s="14"/>
      <c r="AM2221" s="14"/>
    </row>
    <row r="2222" ht="14.25" customHeight="1">
      <c r="AA2222" s="7">
        <f t="shared" si="2"/>
        <v>43128</v>
      </c>
      <c r="AB2222" s="14"/>
      <c r="AC2222" s="14"/>
      <c r="AD2222" s="14"/>
      <c r="AE2222" s="14"/>
      <c r="AF2222" s="14"/>
      <c r="AG2222" s="14"/>
      <c r="AH2222" s="14"/>
      <c r="AI2222" s="14"/>
      <c r="AJ2222" s="14"/>
      <c r="AK2222" s="14"/>
      <c r="AL2222" s="14"/>
      <c r="AM2222" s="14"/>
    </row>
    <row r="2223" ht="14.25" customHeight="1">
      <c r="AA2223" s="7">
        <f t="shared" si="2"/>
        <v>43129</v>
      </c>
      <c r="AB2223" s="14"/>
      <c r="AC2223" s="14"/>
      <c r="AD2223" s="14"/>
      <c r="AE2223" s="14"/>
      <c r="AF2223" s="14"/>
      <c r="AG2223" s="14"/>
      <c r="AH2223" s="14"/>
      <c r="AI2223" s="14"/>
      <c r="AJ2223" s="14"/>
      <c r="AK2223" s="14"/>
      <c r="AL2223" s="14"/>
      <c r="AM2223" s="14"/>
    </row>
    <row r="2224" ht="14.25" customHeight="1">
      <c r="AA2224" s="7">
        <f t="shared" si="2"/>
        <v>43130</v>
      </c>
      <c r="AB2224" s="14"/>
      <c r="AC2224" s="14"/>
      <c r="AD2224" s="14"/>
      <c r="AE2224" s="14"/>
      <c r="AF2224" s="14"/>
      <c r="AG2224" s="14"/>
      <c r="AH2224" s="14"/>
      <c r="AI2224" s="14"/>
      <c r="AJ2224" s="14"/>
      <c r="AK2224" s="14"/>
      <c r="AL2224" s="14"/>
      <c r="AM2224" s="14"/>
    </row>
    <row r="2225" ht="14.25" customHeight="1">
      <c r="AA2225" s="7">
        <f t="shared" si="2"/>
        <v>43131</v>
      </c>
      <c r="AB2225" s="14"/>
      <c r="AC2225" s="14"/>
      <c r="AD2225" s="14"/>
      <c r="AE2225" s="14"/>
      <c r="AF2225" s="14"/>
      <c r="AG2225" s="14"/>
      <c r="AH2225" s="14"/>
      <c r="AI2225" s="14"/>
      <c r="AJ2225" s="14"/>
      <c r="AK2225" s="14"/>
      <c r="AL2225" s="14"/>
      <c r="AM2225" s="14"/>
    </row>
    <row r="2226" ht="14.25" customHeight="1">
      <c r="AA2226" s="7">
        <f t="shared" si="2"/>
        <v>43132</v>
      </c>
      <c r="AB2226" s="14"/>
      <c r="AC2226" s="14"/>
      <c r="AD2226" s="14"/>
      <c r="AE2226" s="14"/>
      <c r="AF2226" s="14"/>
      <c r="AG2226" s="14"/>
      <c r="AH2226" s="14"/>
      <c r="AI2226" s="14"/>
      <c r="AJ2226" s="14"/>
      <c r="AK2226" s="14"/>
      <c r="AL2226" s="14"/>
      <c r="AM2226" s="14"/>
    </row>
    <row r="2227" ht="14.25" customHeight="1">
      <c r="AA2227" s="7">
        <f t="shared" si="2"/>
        <v>43133</v>
      </c>
      <c r="AB2227" s="14"/>
      <c r="AC2227" s="14"/>
      <c r="AD2227" s="14"/>
      <c r="AE2227" s="14"/>
      <c r="AF2227" s="14"/>
      <c r="AG2227" s="14"/>
      <c r="AH2227" s="14"/>
      <c r="AI2227" s="14"/>
      <c r="AJ2227" s="14"/>
      <c r="AK2227" s="14"/>
      <c r="AL2227" s="14"/>
      <c r="AM2227" s="14"/>
    </row>
    <row r="2228" ht="14.25" customHeight="1">
      <c r="AA2228" s="7">
        <f t="shared" si="2"/>
        <v>43134</v>
      </c>
      <c r="AB2228" s="14"/>
      <c r="AC2228" s="14"/>
      <c r="AD2228" s="14"/>
      <c r="AE2228" s="14"/>
      <c r="AF2228" s="14"/>
      <c r="AG2228" s="14"/>
      <c r="AH2228" s="14"/>
      <c r="AI2228" s="14"/>
      <c r="AJ2228" s="14"/>
      <c r="AK2228" s="14"/>
      <c r="AL2228" s="14"/>
      <c r="AM2228" s="14"/>
    </row>
    <row r="2229" ht="14.25" customHeight="1">
      <c r="AA2229" s="7">
        <f t="shared" si="2"/>
        <v>43135</v>
      </c>
      <c r="AB2229" s="14"/>
      <c r="AC2229" s="14"/>
      <c r="AD2229" s="14"/>
      <c r="AE2229" s="14"/>
      <c r="AF2229" s="14"/>
      <c r="AG2229" s="14"/>
      <c r="AH2229" s="14"/>
      <c r="AI2229" s="14"/>
      <c r="AJ2229" s="14"/>
      <c r="AK2229" s="14"/>
      <c r="AL2229" s="14"/>
      <c r="AM2229" s="14"/>
    </row>
    <row r="2230" ht="14.25" customHeight="1">
      <c r="AA2230" s="7">
        <f t="shared" si="2"/>
        <v>43136</v>
      </c>
      <c r="AB2230" s="14"/>
      <c r="AC2230" s="14"/>
      <c r="AD2230" s="14"/>
      <c r="AE2230" s="14"/>
      <c r="AF2230" s="14"/>
      <c r="AG2230" s="14"/>
      <c r="AH2230" s="14"/>
      <c r="AI2230" s="14"/>
      <c r="AJ2230" s="14"/>
      <c r="AK2230" s="14"/>
      <c r="AL2230" s="14"/>
      <c r="AM2230" s="14"/>
    </row>
    <row r="2231" ht="14.25" customHeight="1">
      <c r="AA2231" s="7">
        <f t="shared" si="2"/>
        <v>43137</v>
      </c>
      <c r="AB2231" s="14"/>
      <c r="AC2231" s="14"/>
      <c r="AD2231" s="14"/>
      <c r="AE2231" s="14"/>
      <c r="AF2231" s="14"/>
      <c r="AG2231" s="14"/>
      <c r="AH2231" s="14"/>
      <c r="AI2231" s="14"/>
      <c r="AJ2231" s="14"/>
      <c r="AK2231" s="14"/>
      <c r="AL2231" s="14"/>
      <c r="AM2231" s="14"/>
    </row>
    <row r="2232" ht="14.25" customHeight="1">
      <c r="AA2232" s="7">
        <f t="shared" si="2"/>
        <v>43138</v>
      </c>
      <c r="AB2232" s="14"/>
      <c r="AC2232" s="14"/>
      <c r="AD2232" s="14"/>
      <c r="AE2232" s="14"/>
      <c r="AF2232" s="14"/>
      <c r="AG2232" s="14"/>
      <c r="AH2232" s="14"/>
      <c r="AI2232" s="14"/>
      <c r="AJ2232" s="14"/>
      <c r="AK2232" s="14"/>
      <c r="AL2232" s="14"/>
      <c r="AM2232" s="14"/>
    </row>
    <row r="2233" ht="14.25" customHeight="1">
      <c r="AA2233" s="7">
        <f t="shared" si="2"/>
        <v>43139</v>
      </c>
      <c r="AB2233" s="14"/>
      <c r="AC2233" s="14"/>
      <c r="AD2233" s="14"/>
      <c r="AE2233" s="14"/>
      <c r="AF2233" s="14"/>
      <c r="AG2233" s="14"/>
      <c r="AH2233" s="14"/>
      <c r="AI2233" s="14"/>
      <c r="AJ2233" s="14"/>
      <c r="AK2233" s="14"/>
      <c r="AL2233" s="14"/>
      <c r="AM2233" s="14"/>
    </row>
    <row r="2234" ht="14.25" customHeight="1">
      <c r="AA2234" s="7">
        <f t="shared" si="2"/>
        <v>43140</v>
      </c>
      <c r="AB2234" s="14"/>
      <c r="AC2234" s="14"/>
      <c r="AD2234" s="14"/>
      <c r="AE2234" s="14"/>
      <c r="AF2234" s="14"/>
      <c r="AG2234" s="14"/>
      <c r="AH2234" s="14"/>
      <c r="AI2234" s="14"/>
      <c r="AJ2234" s="14"/>
      <c r="AK2234" s="14"/>
      <c r="AL2234" s="14"/>
      <c r="AM2234" s="14"/>
    </row>
    <row r="2235" ht="14.25" customHeight="1">
      <c r="AA2235" s="7">
        <f t="shared" si="2"/>
        <v>43141</v>
      </c>
      <c r="AB2235" s="14"/>
      <c r="AC2235" s="14"/>
      <c r="AD2235" s="14"/>
      <c r="AE2235" s="14"/>
      <c r="AF2235" s="14"/>
      <c r="AG2235" s="14"/>
      <c r="AH2235" s="14"/>
      <c r="AI2235" s="14"/>
      <c r="AJ2235" s="14"/>
      <c r="AK2235" s="14"/>
      <c r="AL2235" s="14"/>
      <c r="AM2235" s="14"/>
    </row>
    <row r="2236" ht="14.25" customHeight="1">
      <c r="AA2236" s="7">
        <f t="shared" si="2"/>
        <v>43142</v>
      </c>
      <c r="AB2236" s="14"/>
      <c r="AC2236" s="14"/>
      <c r="AD2236" s="14"/>
      <c r="AE2236" s="14"/>
      <c r="AF2236" s="14"/>
      <c r="AG2236" s="14"/>
      <c r="AH2236" s="14"/>
      <c r="AI2236" s="14"/>
      <c r="AJ2236" s="14"/>
      <c r="AK2236" s="14"/>
      <c r="AL2236" s="14"/>
      <c r="AM2236" s="14"/>
    </row>
    <row r="2237" ht="14.25" customHeight="1">
      <c r="AA2237" s="7">
        <f t="shared" si="2"/>
        <v>43143</v>
      </c>
      <c r="AB2237" s="14"/>
      <c r="AC2237" s="14"/>
      <c r="AD2237" s="14"/>
      <c r="AE2237" s="14"/>
      <c r="AF2237" s="14"/>
      <c r="AG2237" s="14"/>
      <c r="AH2237" s="14"/>
      <c r="AI2237" s="14"/>
      <c r="AJ2237" s="14"/>
      <c r="AK2237" s="14"/>
      <c r="AL2237" s="14"/>
      <c r="AM2237" s="14"/>
    </row>
    <row r="2238" ht="14.25" customHeight="1">
      <c r="AA2238" s="7">
        <f t="shared" si="2"/>
        <v>43144</v>
      </c>
      <c r="AB2238" s="14"/>
      <c r="AC2238" s="14"/>
      <c r="AD2238" s="14"/>
      <c r="AE2238" s="14"/>
      <c r="AF2238" s="14"/>
      <c r="AG2238" s="14"/>
      <c r="AH2238" s="14"/>
      <c r="AI2238" s="14"/>
      <c r="AJ2238" s="14"/>
      <c r="AK2238" s="14"/>
      <c r="AL2238" s="14"/>
      <c r="AM2238" s="14"/>
    </row>
    <row r="2239" ht="14.25" customHeight="1">
      <c r="AA2239" s="7">
        <f t="shared" si="2"/>
        <v>43145</v>
      </c>
      <c r="AB2239" s="14"/>
      <c r="AC2239" s="14"/>
      <c r="AD2239" s="14"/>
      <c r="AE2239" s="14"/>
      <c r="AF2239" s="14"/>
      <c r="AG2239" s="14"/>
      <c r="AH2239" s="14"/>
      <c r="AI2239" s="14"/>
      <c r="AJ2239" s="14"/>
      <c r="AK2239" s="14"/>
      <c r="AL2239" s="14"/>
      <c r="AM2239" s="14"/>
    </row>
    <row r="2240" ht="14.25" customHeight="1">
      <c r="AA2240" s="7">
        <f t="shared" si="2"/>
        <v>43146</v>
      </c>
      <c r="AB2240" s="14"/>
      <c r="AC2240" s="14"/>
      <c r="AD2240" s="14"/>
      <c r="AE2240" s="14"/>
      <c r="AF2240" s="14"/>
      <c r="AG2240" s="14"/>
      <c r="AH2240" s="14"/>
      <c r="AI2240" s="14"/>
      <c r="AJ2240" s="14"/>
      <c r="AK2240" s="14"/>
      <c r="AL2240" s="14"/>
      <c r="AM2240" s="14"/>
    </row>
    <row r="2241" ht="14.25" customHeight="1">
      <c r="AA2241" s="7">
        <f t="shared" si="2"/>
        <v>43147</v>
      </c>
      <c r="AB2241" s="14"/>
      <c r="AC2241" s="14"/>
      <c r="AD2241" s="14"/>
      <c r="AE2241" s="14"/>
      <c r="AF2241" s="14"/>
      <c r="AG2241" s="14"/>
      <c r="AH2241" s="14"/>
      <c r="AI2241" s="14"/>
      <c r="AJ2241" s="14"/>
      <c r="AK2241" s="14"/>
      <c r="AL2241" s="14"/>
      <c r="AM2241" s="14"/>
    </row>
    <row r="2242" ht="14.25" customHeight="1">
      <c r="AA2242" s="7">
        <f t="shared" si="2"/>
        <v>43148</v>
      </c>
      <c r="AB2242" s="14"/>
      <c r="AC2242" s="14"/>
      <c r="AD2242" s="14"/>
      <c r="AE2242" s="14"/>
      <c r="AF2242" s="14"/>
      <c r="AG2242" s="14"/>
      <c r="AH2242" s="14"/>
      <c r="AI2242" s="14"/>
      <c r="AJ2242" s="14"/>
      <c r="AK2242" s="14"/>
      <c r="AL2242" s="14"/>
      <c r="AM2242" s="14"/>
    </row>
    <row r="2243" ht="14.25" customHeight="1">
      <c r="AA2243" s="7">
        <f t="shared" si="2"/>
        <v>43149</v>
      </c>
      <c r="AB2243" s="14"/>
      <c r="AC2243" s="14"/>
      <c r="AD2243" s="14"/>
      <c r="AE2243" s="14"/>
      <c r="AF2243" s="14"/>
      <c r="AG2243" s="14"/>
      <c r="AH2243" s="14"/>
      <c r="AI2243" s="14"/>
      <c r="AJ2243" s="14"/>
      <c r="AK2243" s="14"/>
      <c r="AL2243" s="14"/>
      <c r="AM2243" s="14"/>
    </row>
    <row r="2244" ht="14.25" customHeight="1">
      <c r="AA2244" s="7">
        <f t="shared" si="2"/>
        <v>43150</v>
      </c>
      <c r="AB2244" s="14"/>
      <c r="AC2244" s="14"/>
      <c r="AD2244" s="14"/>
      <c r="AE2244" s="14"/>
      <c r="AF2244" s="14"/>
      <c r="AG2244" s="14"/>
      <c r="AH2244" s="14"/>
      <c r="AI2244" s="14"/>
      <c r="AJ2244" s="14"/>
      <c r="AK2244" s="14"/>
      <c r="AL2244" s="14"/>
      <c r="AM2244" s="14"/>
    </row>
    <row r="2245" ht="14.25" customHeight="1">
      <c r="AA2245" s="7">
        <f t="shared" si="2"/>
        <v>43151</v>
      </c>
      <c r="AB2245" s="14"/>
      <c r="AC2245" s="14"/>
      <c r="AD2245" s="14"/>
      <c r="AE2245" s="14"/>
      <c r="AF2245" s="14"/>
      <c r="AG2245" s="14"/>
      <c r="AH2245" s="14"/>
      <c r="AI2245" s="14"/>
      <c r="AJ2245" s="14"/>
      <c r="AK2245" s="14"/>
      <c r="AL2245" s="14"/>
      <c r="AM2245" s="14"/>
    </row>
    <row r="2246" ht="14.25" customHeight="1">
      <c r="AA2246" s="7">
        <f t="shared" si="2"/>
        <v>43152</v>
      </c>
      <c r="AB2246" s="14"/>
      <c r="AC2246" s="14"/>
      <c r="AD2246" s="14"/>
      <c r="AE2246" s="14"/>
      <c r="AF2246" s="14"/>
      <c r="AG2246" s="14"/>
      <c r="AH2246" s="14"/>
      <c r="AI2246" s="14"/>
      <c r="AJ2246" s="14"/>
      <c r="AK2246" s="14"/>
      <c r="AL2246" s="14"/>
      <c r="AM2246" s="14"/>
    </row>
    <row r="2247" ht="14.25" customHeight="1">
      <c r="AA2247" s="7">
        <f t="shared" si="2"/>
        <v>43153</v>
      </c>
      <c r="AB2247" s="14"/>
      <c r="AC2247" s="14"/>
      <c r="AD2247" s="14"/>
      <c r="AE2247" s="14"/>
      <c r="AF2247" s="14"/>
      <c r="AG2247" s="14"/>
      <c r="AH2247" s="14"/>
      <c r="AI2247" s="14"/>
      <c r="AJ2247" s="14"/>
      <c r="AK2247" s="14"/>
      <c r="AL2247" s="14"/>
      <c r="AM2247" s="14"/>
    </row>
    <row r="2248" ht="14.25" customHeight="1">
      <c r="AA2248" s="7">
        <f t="shared" si="2"/>
        <v>43154</v>
      </c>
      <c r="AB2248" s="14"/>
      <c r="AC2248" s="14"/>
      <c r="AD2248" s="14"/>
      <c r="AE2248" s="14"/>
      <c r="AF2248" s="14"/>
      <c r="AG2248" s="14"/>
      <c r="AH2248" s="14"/>
      <c r="AI2248" s="14"/>
      <c r="AJ2248" s="14"/>
      <c r="AK2248" s="14"/>
      <c r="AL2248" s="14"/>
      <c r="AM2248" s="14"/>
    </row>
    <row r="2249" ht="14.25" customHeight="1">
      <c r="AA2249" s="7">
        <f t="shared" si="2"/>
        <v>43155</v>
      </c>
      <c r="AB2249" s="14"/>
      <c r="AC2249" s="14"/>
      <c r="AD2249" s="14"/>
      <c r="AE2249" s="14"/>
      <c r="AF2249" s="14"/>
      <c r="AG2249" s="14"/>
      <c r="AH2249" s="14"/>
      <c r="AI2249" s="14"/>
      <c r="AJ2249" s="14"/>
      <c r="AK2249" s="14"/>
      <c r="AL2249" s="14"/>
      <c r="AM2249" s="14"/>
    </row>
    <row r="2250" ht="14.25" customHeight="1">
      <c r="AA2250" s="7">
        <f t="shared" si="2"/>
        <v>43156</v>
      </c>
      <c r="AB2250" s="14"/>
      <c r="AC2250" s="14"/>
      <c r="AD2250" s="14"/>
      <c r="AE2250" s="14"/>
      <c r="AF2250" s="14"/>
      <c r="AG2250" s="14"/>
      <c r="AH2250" s="14"/>
      <c r="AI2250" s="14"/>
      <c r="AJ2250" s="14"/>
      <c r="AK2250" s="14"/>
      <c r="AL2250" s="14"/>
      <c r="AM2250" s="14"/>
    </row>
    <row r="2251" ht="14.25" customHeight="1">
      <c r="AA2251" s="7">
        <f t="shared" si="2"/>
        <v>43157</v>
      </c>
      <c r="AB2251" s="14"/>
      <c r="AC2251" s="14"/>
      <c r="AD2251" s="14"/>
      <c r="AE2251" s="14"/>
      <c r="AF2251" s="14"/>
      <c r="AG2251" s="14"/>
      <c r="AH2251" s="14"/>
      <c r="AI2251" s="14"/>
      <c r="AJ2251" s="14"/>
      <c r="AK2251" s="14"/>
      <c r="AL2251" s="14"/>
      <c r="AM2251" s="14"/>
    </row>
    <row r="2252" ht="14.25" customHeight="1">
      <c r="AA2252" s="7">
        <f t="shared" si="2"/>
        <v>43158</v>
      </c>
      <c r="AB2252" s="14"/>
      <c r="AC2252" s="14"/>
      <c r="AD2252" s="14"/>
      <c r="AE2252" s="14"/>
      <c r="AF2252" s="14"/>
      <c r="AG2252" s="14"/>
      <c r="AH2252" s="14"/>
      <c r="AI2252" s="14"/>
      <c r="AJ2252" s="14"/>
      <c r="AK2252" s="14"/>
      <c r="AL2252" s="14"/>
      <c r="AM2252" s="14"/>
    </row>
    <row r="2253" ht="14.25" customHeight="1">
      <c r="AA2253" s="7">
        <f t="shared" si="2"/>
        <v>43159</v>
      </c>
      <c r="AB2253" s="14"/>
      <c r="AC2253" s="14"/>
      <c r="AD2253" s="14"/>
      <c r="AE2253" s="14"/>
      <c r="AF2253" s="14"/>
      <c r="AG2253" s="14"/>
      <c r="AH2253" s="14"/>
      <c r="AI2253" s="14"/>
      <c r="AJ2253" s="14"/>
      <c r="AK2253" s="14"/>
      <c r="AL2253" s="14"/>
      <c r="AM2253" s="14"/>
    </row>
    <row r="2254" ht="14.25" customHeight="1">
      <c r="AA2254" s="7">
        <f t="shared" si="2"/>
        <v>43160</v>
      </c>
      <c r="AB2254" s="14"/>
      <c r="AC2254" s="14"/>
      <c r="AD2254" s="14"/>
      <c r="AE2254" s="14"/>
      <c r="AF2254" s="14"/>
      <c r="AG2254" s="14"/>
      <c r="AH2254" s="14"/>
      <c r="AI2254" s="14"/>
      <c r="AJ2254" s="14"/>
      <c r="AK2254" s="14"/>
      <c r="AL2254" s="14"/>
      <c r="AM2254" s="14"/>
    </row>
    <row r="2255" ht="14.25" customHeight="1">
      <c r="AA2255" s="7">
        <f t="shared" si="2"/>
        <v>43161</v>
      </c>
      <c r="AB2255" s="14"/>
      <c r="AC2255" s="14"/>
      <c r="AD2255" s="14"/>
      <c r="AE2255" s="14"/>
      <c r="AF2255" s="14"/>
      <c r="AG2255" s="14"/>
      <c r="AH2255" s="14"/>
      <c r="AI2255" s="14"/>
      <c r="AJ2255" s="14"/>
      <c r="AK2255" s="14"/>
      <c r="AL2255" s="14"/>
      <c r="AM2255" s="14"/>
    </row>
    <row r="2256" ht="14.25" customHeight="1">
      <c r="AA2256" s="7">
        <f t="shared" si="2"/>
        <v>43162</v>
      </c>
      <c r="AB2256" s="14"/>
      <c r="AC2256" s="14"/>
      <c r="AD2256" s="14"/>
      <c r="AE2256" s="14"/>
      <c r="AF2256" s="14"/>
      <c r="AG2256" s="14"/>
      <c r="AH2256" s="14"/>
      <c r="AI2256" s="14"/>
      <c r="AJ2256" s="14"/>
      <c r="AK2256" s="14"/>
      <c r="AL2256" s="14"/>
      <c r="AM2256" s="14"/>
    </row>
    <row r="2257" ht="14.25" customHeight="1">
      <c r="AA2257" s="7">
        <f t="shared" si="2"/>
        <v>43163</v>
      </c>
      <c r="AB2257" s="14"/>
      <c r="AC2257" s="14"/>
      <c r="AD2257" s="14"/>
      <c r="AE2257" s="14"/>
      <c r="AF2257" s="14"/>
      <c r="AG2257" s="14"/>
      <c r="AH2257" s="14"/>
      <c r="AI2257" s="14"/>
      <c r="AJ2257" s="14"/>
      <c r="AK2257" s="14"/>
      <c r="AL2257" s="14"/>
      <c r="AM2257" s="14"/>
    </row>
    <row r="2258" ht="14.25" customHeight="1">
      <c r="AA2258" s="7">
        <f t="shared" si="2"/>
        <v>43164</v>
      </c>
      <c r="AB2258" s="14"/>
      <c r="AC2258" s="14"/>
      <c r="AD2258" s="14"/>
      <c r="AE2258" s="14"/>
      <c r="AF2258" s="14"/>
      <c r="AG2258" s="14"/>
      <c r="AH2258" s="14"/>
      <c r="AI2258" s="14"/>
      <c r="AJ2258" s="14"/>
      <c r="AK2258" s="14"/>
      <c r="AL2258" s="14"/>
      <c r="AM2258" s="14"/>
    </row>
    <row r="2259" ht="14.25" customHeight="1">
      <c r="AA2259" s="7">
        <f t="shared" si="2"/>
        <v>43165</v>
      </c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</row>
    <row r="2260" ht="14.25" customHeight="1">
      <c r="AA2260" s="7">
        <f t="shared" si="2"/>
        <v>43166</v>
      </c>
      <c r="AB2260" s="14"/>
      <c r="AC2260" s="14"/>
      <c r="AD2260" s="14"/>
      <c r="AE2260" s="14"/>
      <c r="AF2260" s="14"/>
      <c r="AG2260" s="14"/>
      <c r="AH2260" s="14"/>
      <c r="AI2260" s="14"/>
      <c r="AJ2260" s="14"/>
      <c r="AK2260" s="14"/>
      <c r="AL2260" s="14"/>
      <c r="AM2260" s="14"/>
    </row>
    <row r="2261" ht="14.25" customHeight="1">
      <c r="AA2261" s="7">
        <f t="shared" si="2"/>
        <v>43167</v>
      </c>
      <c r="AB2261" s="14"/>
      <c r="AC2261" s="14"/>
      <c r="AD2261" s="14"/>
      <c r="AE2261" s="14"/>
      <c r="AF2261" s="14"/>
      <c r="AG2261" s="14"/>
      <c r="AH2261" s="14"/>
      <c r="AI2261" s="14"/>
      <c r="AJ2261" s="14"/>
      <c r="AK2261" s="14"/>
      <c r="AL2261" s="14"/>
      <c r="AM2261" s="14"/>
    </row>
    <row r="2262" ht="14.25" customHeight="1">
      <c r="AA2262" s="7">
        <f t="shared" si="2"/>
        <v>43168</v>
      </c>
      <c r="AB2262" s="14"/>
      <c r="AC2262" s="14"/>
      <c r="AD2262" s="14"/>
      <c r="AE2262" s="14"/>
      <c r="AF2262" s="14"/>
      <c r="AG2262" s="14"/>
      <c r="AH2262" s="14"/>
      <c r="AI2262" s="14"/>
      <c r="AJ2262" s="14"/>
      <c r="AK2262" s="14"/>
      <c r="AL2262" s="14"/>
      <c r="AM2262" s="14"/>
    </row>
    <row r="2263" ht="14.25" customHeight="1">
      <c r="AA2263" s="7">
        <f t="shared" si="2"/>
        <v>43169</v>
      </c>
      <c r="AB2263" s="14"/>
      <c r="AC2263" s="14"/>
      <c r="AD2263" s="14"/>
      <c r="AE2263" s="14"/>
      <c r="AF2263" s="14"/>
      <c r="AG2263" s="14"/>
      <c r="AH2263" s="14"/>
      <c r="AI2263" s="14"/>
      <c r="AJ2263" s="14"/>
      <c r="AK2263" s="14"/>
      <c r="AL2263" s="14"/>
      <c r="AM2263" s="14"/>
    </row>
    <row r="2264" ht="14.25" customHeight="1">
      <c r="AA2264" s="7">
        <f t="shared" si="2"/>
        <v>43170</v>
      </c>
      <c r="AB2264" s="14"/>
      <c r="AC2264" s="14"/>
      <c r="AD2264" s="14"/>
      <c r="AE2264" s="14"/>
      <c r="AF2264" s="14"/>
      <c r="AG2264" s="14"/>
      <c r="AH2264" s="14"/>
      <c r="AI2264" s="14"/>
      <c r="AJ2264" s="14"/>
      <c r="AK2264" s="14"/>
      <c r="AL2264" s="14"/>
      <c r="AM2264" s="14"/>
    </row>
    <row r="2265" ht="14.25" customHeight="1">
      <c r="AA2265" s="7">
        <f t="shared" si="2"/>
        <v>43171</v>
      </c>
      <c r="AB2265" s="14"/>
      <c r="AC2265" s="14"/>
      <c r="AD2265" s="14"/>
      <c r="AE2265" s="14"/>
      <c r="AF2265" s="14"/>
      <c r="AG2265" s="14"/>
      <c r="AH2265" s="14"/>
      <c r="AI2265" s="14"/>
      <c r="AJ2265" s="14"/>
      <c r="AK2265" s="14"/>
      <c r="AL2265" s="14"/>
      <c r="AM2265" s="14"/>
    </row>
    <row r="2266" ht="14.25" customHeight="1">
      <c r="AA2266" s="7">
        <f t="shared" si="2"/>
        <v>43172</v>
      </c>
      <c r="AB2266" s="14"/>
      <c r="AC2266" s="14"/>
      <c r="AD2266" s="14"/>
      <c r="AE2266" s="14"/>
      <c r="AF2266" s="14"/>
      <c r="AG2266" s="14"/>
      <c r="AH2266" s="14"/>
      <c r="AI2266" s="14"/>
      <c r="AJ2266" s="14"/>
      <c r="AK2266" s="14"/>
      <c r="AL2266" s="14"/>
      <c r="AM2266" s="14"/>
    </row>
    <row r="2267" ht="14.25" customHeight="1">
      <c r="AA2267" s="7">
        <f t="shared" si="2"/>
        <v>43173</v>
      </c>
      <c r="AB2267" s="14"/>
      <c r="AC2267" s="14"/>
      <c r="AD2267" s="14"/>
      <c r="AE2267" s="14"/>
      <c r="AF2267" s="14"/>
      <c r="AG2267" s="14"/>
      <c r="AH2267" s="14"/>
      <c r="AI2267" s="14"/>
      <c r="AJ2267" s="14"/>
      <c r="AK2267" s="14"/>
      <c r="AL2267" s="14"/>
      <c r="AM2267" s="14"/>
    </row>
    <row r="2268" ht="14.25" customHeight="1">
      <c r="AA2268" s="7">
        <f t="shared" si="2"/>
        <v>43174</v>
      </c>
      <c r="AB2268" s="14"/>
      <c r="AC2268" s="14"/>
      <c r="AD2268" s="14"/>
      <c r="AE2268" s="14"/>
      <c r="AF2268" s="14"/>
      <c r="AG2268" s="14"/>
      <c r="AH2268" s="14"/>
      <c r="AI2268" s="14"/>
      <c r="AJ2268" s="14"/>
      <c r="AK2268" s="14"/>
      <c r="AL2268" s="14"/>
      <c r="AM2268" s="14"/>
    </row>
    <row r="2269" ht="14.25" customHeight="1">
      <c r="AA2269" s="7">
        <f t="shared" si="2"/>
        <v>43175</v>
      </c>
      <c r="AB2269" s="14"/>
      <c r="AC2269" s="14"/>
      <c r="AD2269" s="14"/>
      <c r="AE2269" s="14"/>
      <c r="AF2269" s="14"/>
      <c r="AG2269" s="14"/>
      <c r="AH2269" s="14"/>
      <c r="AI2269" s="14"/>
      <c r="AJ2269" s="14"/>
      <c r="AK2269" s="14"/>
      <c r="AL2269" s="14"/>
      <c r="AM2269" s="14"/>
    </row>
    <row r="2270" ht="14.25" customHeight="1">
      <c r="AA2270" s="7">
        <f t="shared" si="2"/>
        <v>43176</v>
      </c>
      <c r="AB2270" s="14"/>
      <c r="AC2270" s="14"/>
      <c r="AD2270" s="14"/>
      <c r="AE2270" s="14"/>
      <c r="AF2270" s="14"/>
      <c r="AG2270" s="14"/>
      <c r="AH2270" s="14"/>
      <c r="AI2270" s="14"/>
      <c r="AJ2270" s="14"/>
      <c r="AK2270" s="14"/>
      <c r="AL2270" s="14"/>
      <c r="AM2270" s="14"/>
    </row>
    <row r="2271" ht="14.25" customHeight="1">
      <c r="AA2271" s="7">
        <f t="shared" si="2"/>
        <v>43177</v>
      </c>
      <c r="AB2271" s="14"/>
      <c r="AC2271" s="14"/>
      <c r="AD2271" s="14"/>
      <c r="AE2271" s="14"/>
      <c r="AF2271" s="14"/>
      <c r="AG2271" s="14"/>
      <c r="AH2271" s="14"/>
      <c r="AI2271" s="14"/>
      <c r="AJ2271" s="14"/>
      <c r="AK2271" s="14"/>
      <c r="AL2271" s="14"/>
      <c r="AM2271" s="14"/>
    </row>
    <row r="2272" ht="14.25" customHeight="1">
      <c r="AA2272" s="7">
        <f t="shared" si="2"/>
        <v>43178</v>
      </c>
      <c r="AB2272" s="14"/>
      <c r="AC2272" s="14"/>
      <c r="AD2272" s="14"/>
      <c r="AE2272" s="14"/>
      <c r="AF2272" s="14"/>
      <c r="AG2272" s="14"/>
      <c r="AH2272" s="14"/>
      <c r="AI2272" s="14"/>
      <c r="AJ2272" s="14"/>
      <c r="AK2272" s="14"/>
      <c r="AL2272" s="14"/>
      <c r="AM2272" s="14"/>
    </row>
    <row r="2273" ht="14.25" customHeight="1">
      <c r="AA2273" s="7">
        <f t="shared" si="2"/>
        <v>43179</v>
      </c>
      <c r="AB2273" s="14"/>
      <c r="AC2273" s="14"/>
      <c r="AD2273" s="14"/>
      <c r="AE2273" s="14"/>
      <c r="AF2273" s="14"/>
      <c r="AG2273" s="14"/>
      <c r="AH2273" s="14"/>
      <c r="AI2273" s="14"/>
      <c r="AJ2273" s="14"/>
      <c r="AK2273" s="14"/>
      <c r="AL2273" s="14"/>
      <c r="AM2273" s="14"/>
    </row>
    <row r="2274" ht="14.25" customHeight="1">
      <c r="AA2274" s="7">
        <f t="shared" si="2"/>
        <v>43180</v>
      </c>
      <c r="AB2274" s="14"/>
      <c r="AC2274" s="14"/>
      <c r="AD2274" s="14"/>
      <c r="AE2274" s="14"/>
      <c r="AF2274" s="14"/>
      <c r="AG2274" s="14"/>
      <c r="AH2274" s="14"/>
      <c r="AI2274" s="14"/>
      <c r="AJ2274" s="14"/>
      <c r="AK2274" s="14"/>
      <c r="AL2274" s="14"/>
      <c r="AM2274" s="14"/>
    </row>
    <row r="2275" ht="14.25" customHeight="1">
      <c r="AA2275" s="7">
        <f t="shared" si="2"/>
        <v>43181</v>
      </c>
      <c r="AB2275" s="14"/>
      <c r="AC2275" s="14"/>
      <c r="AD2275" s="14"/>
      <c r="AE2275" s="14"/>
      <c r="AF2275" s="14"/>
      <c r="AG2275" s="14"/>
      <c r="AH2275" s="14"/>
      <c r="AI2275" s="14"/>
      <c r="AJ2275" s="14"/>
      <c r="AK2275" s="14"/>
      <c r="AL2275" s="14"/>
      <c r="AM2275" s="14"/>
    </row>
    <row r="2276" ht="14.25" customHeight="1">
      <c r="AA2276" s="7">
        <f t="shared" si="2"/>
        <v>43182</v>
      </c>
      <c r="AB2276" s="14"/>
      <c r="AC2276" s="14"/>
      <c r="AD2276" s="14"/>
      <c r="AE2276" s="14"/>
      <c r="AF2276" s="14"/>
      <c r="AG2276" s="14"/>
      <c r="AH2276" s="14"/>
      <c r="AI2276" s="14"/>
      <c r="AJ2276" s="14"/>
      <c r="AK2276" s="14"/>
      <c r="AL2276" s="14"/>
      <c r="AM2276" s="14"/>
    </row>
    <row r="2277" ht="14.25" customHeight="1">
      <c r="AA2277" s="7">
        <f t="shared" si="2"/>
        <v>43183</v>
      </c>
      <c r="AB2277" s="14"/>
      <c r="AC2277" s="14"/>
      <c r="AD2277" s="14"/>
      <c r="AE2277" s="14"/>
      <c r="AF2277" s="14"/>
      <c r="AG2277" s="14"/>
      <c r="AH2277" s="14"/>
      <c r="AI2277" s="14"/>
      <c r="AJ2277" s="14"/>
      <c r="AK2277" s="14"/>
      <c r="AL2277" s="14"/>
      <c r="AM2277" s="14"/>
    </row>
    <row r="2278" ht="14.25" customHeight="1">
      <c r="AA2278" s="7">
        <f t="shared" si="2"/>
        <v>43184</v>
      </c>
      <c r="AB2278" s="14"/>
      <c r="AC2278" s="14"/>
      <c r="AD2278" s="14"/>
      <c r="AE2278" s="14"/>
      <c r="AF2278" s="14"/>
      <c r="AG2278" s="14"/>
      <c r="AH2278" s="14"/>
      <c r="AI2278" s="14"/>
      <c r="AJ2278" s="14"/>
      <c r="AK2278" s="14"/>
      <c r="AL2278" s="14"/>
      <c r="AM2278" s="14"/>
    </row>
    <row r="2279" ht="14.25" customHeight="1">
      <c r="AA2279" s="7">
        <f t="shared" si="2"/>
        <v>43185</v>
      </c>
      <c r="AB2279" s="14"/>
      <c r="AC2279" s="14"/>
      <c r="AD2279" s="14"/>
      <c r="AE2279" s="14"/>
      <c r="AF2279" s="14"/>
      <c r="AG2279" s="14"/>
      <c r="AH2279" s="14"/>
      <c r="AI2279" s="14"/>
      <c r="AJ2279" s="14"/>
      <c r="AK2279" s="14"/>
      <c r="AL2279" s="14"/>
      <c r="AM2279" s="14"/>
    </row>
    <row r="2280" ht="14.25" customHeight="1">
      <c r="AA2280" s="7">
        <f t="shared" si="2"/>
        <v>43186</v>
      </c>
      <c r="AB2280" s="14"/>
      <c r="AC2280" s="14"/>
      <c r="AD2280" s="14"/>
      <c r="AE2280" s="14"/>
      <c r="AF2280" s="14"/>
      <c r="AG2280" s="14"/>
      <c r="AH2280" s="14"/>
      <c r="AI2280" s="14"/>
      <c r="AJ2280" s="14"/>
      <c r="AK2280" s="14"/>
      <c r="AL2280" s="14"/>
      <c r="AM2280" s="14"/>
    </row>
    <row r="2281" ht="14.25" customHeight="1">
      <c r="AA2281" s="7">
        <f t="shared" si="2"/>
        <v>43187</v>
      </c>
      <c r="AB2281" s="14"/>
      <c r="AC2281" s="14"/>
      <c r="AD2281" s="14"/>
      <c r="AE2281" s="14"/>
      <c r="AF2281" s="14"/>
      <c r="AG2281" s="14"/>
      <c r="AH2281" s="14"/>
      <c r="AI2281" s="14"/>
      <c r="AJ2281" s="14"/>
      <c r="AK2281" s="14"/>
      <c r="AL2281" s="14"/>
      <c r="AM2281" s="14"/>
    </row>
    <row r="2282" ht="14.25" customHeight="1">
      <c r="AA2282" s="7">
        <f t="shared" si="2"/>
        <v>43188</v>
      </c>
      <c r="AB2282" s="14"/>
      <c r="AC2282" s="14"/>
      <c r="AD2282" s="14"/>
      <c r="AE2282" s="14"/>
      <c r="AF2282" s="14"/>
      <c r="AG2282" s="14"/>
      <c r="AH2282" s="14"/>
      <c r="AI2282" s="14"/>
      <c r="AJ2282" s="14"/>
      <c r="AK2282" s="14"/>
      <c r="AL2282" s="14"/>
      <c r="AM2282" s="14"/>
    </row>
    <row r="2283" ht="14.25" customHeight="1">
      <c r="AA2283" s="7">
        <f t="shared" si="2"/>
        <v>43189</v>
      </c>
      <c r="AB2283" s="14"/>
      <c r="AC2283" s="14"/>
      <c r="AD2283" s="14"/>
      <c r="AE2283" s="14"/>
      <c r="AF2283" s="14"/>
      <c r="AG2283" s="14"/>
      <c r="AH2283" s="14"/>
      <c r="AI2283" s="14"/>
      <c r="AJ2283" s="14"/>
      <c r="AK2283" s="14"/>
      <c r="AL2283" s="14"/>
      <c r="AM2283" s="14"/>
    </row>
    <row r="2284" ht="14.25" customHeight="1">
      <c r="AA2284" s="7">
        <f t="shared" si="2"/>
        <v>43190</v>
      </c>
      <c r="AB2284" s="14"/>
      <c r="AC2284" s="14"/>
      <c r="AD2284" s="14"/>
      <c r="AE2284" s="14"/>
      <c r="AF2284" s="14"/>
      <c r="AG2284" s="14"/>
      <c r="AH2284" s="14"/>
      <c r="AI2284" s="14"/>
      <c r="AJ2284" s="14"/>
      <c r="AK2284" s="14"/>
      <c r="AL2284" s="14"/>
      <c r="AM2284" s="14"/>
    </row>
    <row r="2285" ht="14.25" customHeight="1">
      <c r="AA2285" s="7">
        <f t="shared" si="2"/>
        <v>43191</v>
      </c>
      <c r="AB2285" s="14"/>
      <c r="AC2285" s="14"/>
      <c r="AD2285" s="14"/>
      <c r="AE2285" s="14"/>
      <c r="AF2285" s="14"/>
      <c r="AG2285" s="14"/>
      <c r="AH2285" s="14"/>
      <c r="AI2285" s="14"/>
      <c r="AJ2285" s="14"/>
      <c r="AK2285" s="14"/>
      <c r="AL2285" s="14"/>
      <c r="AM2285" s="14"/>
    </row>
    <row r="2286" ht="14.25" customHeight="1">
      <c r="AA2286" s="7">
        <f t="shared" si="2"/>
        <v>43192</v>
      </c>
      <c r="AB2286" s="14"/>
      <c r="AC2286" s="14"/>
      <c r="AD2286" s="14"/>
      <c r="AE2286" s="14"/>
      <c r="AF2286" s="14"/>
      <c r="AG2286" s="14"/>
      <c r="AH2286" s="14"/>
      <c r="AI2286" s="14"/>
      <c r="AJ2286" s="14"/>
      <c r="AK2286" s="14"/>
      <c r="AL2286" s="14"/>
      <c r="AM2286" s="14"/>
    </row>
    <row r="2287" ht="14.25" customHeight="1">
      <c r="AA2287" s="7">
        <f t="shared" si="2"/>
        <v>43193</v>
      </c>
      <c r="AB2287" s="14"/>
      <c r="AC2287" s="14"/>
      <c r="AD2287" s="14"/>
      <c r="AE2287" s="14"/>
      <c r="AF2287" s="14"/>
      <c r="AG2287" s="14"/>
      <c r="AH2287" s="14"/>
      <c r="AI2287" s="14"/>
      <c r="AJ2287" s="14"/>
      <c r="AK2287" s="14"/>
      <c r="AL2287" s="14"/>
      <c r="AM2287" s="14"/>
    </row>
    <row r="2288" ht="14.25" customHeight="1">
      <c r="AA2288" s="7">
        <f t="shared" si="2"/>
        <v>43194</v>
      </c>
      <c r="AB2288" s="14"/>
      <c r="AC2288" s="14"/>
      <c r="AD2288" s="14"/>
      <c r="AE2288" s="14"/>
      <c r="AF2288" s="14"/>
      <c r="AG2288" s="14"/>
      <c r="AH2288" s="14"/>
      <c r="AI2288" s="14"/>
      <c r="AJ2288" s="14"/>
      <c r="AK2288" s="14"/>
      <c r="AL2288" s="14"/>
      <c r="AM2288" s="14"/>
    </row>
    <row r="2289" ht="14.25" customHeight="1">
      <c r="AA2289" s="7">
        <f t="shared" si="2"/>
        <v>43195</v>
      </c>
      <c r="AB2289" s="14"/>
      <c r="AC2289" s="14"/>
      <c r="AD2289" s="14"/>
      <c r="AE2289" s="14"/>
      <c r="AF2289" s="14"/>
      <c r="AG2289" s="14"/>
      <c r="AH2289" s="14"/>
      <c r="AI2289" s="14"/>
      <c r="AJ2289" s="14"/>
      <c r="AK2289" s="14"/>
      <c r="AL2289" s="14"/>
      <c r="AM2289" s="14"/>
    </row>
    <row r="2290" ht="14.25" customHeight="1">
      <c r="AA2290" s="7">
        <f t="shared" si="2"/>
        <v>43196</v>
      </c>
      <c r="AB2290" s="14"/>
      <c r="AC2290" s="14"/>
      <c r="AD2290" s="14"/>
      <c r="AE2290" s="14"/>
      <c r="AF2290" s="14"/>
      <c r="AG2290" s="14"/>
      <c r="AH2290" s="14"/>
      <c r="AI2290" s="14"/>
      <c r="AJ2290" s="14"/>
      <c r="AK2290" s="14"/>
      <c r="AL2290" s="14"/>
      <c r="AM2290" s="14"/>
    </row>
    <row r="2291" ht="14.25" customHeight="1">
      <c r="AA2291" s="7">
        <f t="shared" si="2"/>
        <v>43197</v>
      </c>
      <c r="AB2291" s="14"/>
      <c r="AC2291" s="14"/>
      <c r="AD2291" s="14"/>
      <c r="AE2291" s="14"/>
      <c r="AF2291" s="14"/>
      <c r="AG2291" s="14"/>
      <c r="AH2291" s="14"/>
      <c r="AI2291" s="14"/>
      <c r="AJ2291" s="14"/>
      <c r="AK2291" s="14"/>
      <c r="AL2291" s="14"/>
      <c r="AM2291" s="14"/>
    </row>
    <row r="2292" ht="14.25" customHeight="1">
      <c r="AA2292" s="7">
        <f t="shared" si="2"/>
        <v>43198</v>
      </c>
      <c r="AB2292" s="14"/>
      <c r="AC2292" s="14"/>
      <c r="AD2292" s="14"/>
      <c r="AE2292" s="14"/>
      <c r="AF2292" s="14"/>
      <c r="AG2292" s="14"/>
      <c r="AH2292" s="14"/>
      <c r="AI2292" s="14"/>
      <c r="AJ2292" s="14"/>
      <c r="AK2292" s="14"/>
      <c r="AL2292" s="14"/>
      <c r="AM2292" s="14"/>
    </row>
    <row r="2293" ht="14.25" customHeight="1">
      <c r="AA2293" s="7">
        <f t="shared" si="2"/>
        <v>43199</v>
      </c>
      <c r="AB2293" s="14"/>
      <c r="AC2293" s="14"/>
      <c r="AD2293" s="14"/>
      <c r="AE2293" s="14"/>
      <c r="AF2293" s="14"/>
      <c r="AG2293" s="14"/>
      <c r="AH2293" s="14"/>
      <c r="AI2293" s="14"/>
      <c r="AJ2293" s="14"/>
      <c r="AK2293" s="14"/>
      <c r="AL2293" s="14"/>
      <c r="AM2293" s="14"/>
    </row>
    <row r="2294" ht="14.25" customHeight="1">
      <c r="AA2294" s="7">
        <f t="shared" si="2"/>
        <v>43200</v>
      </c>
      <c r="AB2294" s="14"/>
      <c r="AC2294" s="14"/>
      <c r="AD2294" s="14"/>
      <c r="AE2294" s="14"/>
      <c r="AF2294" s="14"/>
      <c r="AG2294" s="14"/>
      <c r="AH2294" s="14"/>
      <c r="AI2294" s="14"/>
      <c r="AJ2294" s="14"/>
      <c r="AK2294" s="14"/>
      <c r="AL2294" s="14"/>
      <c r="AM2294" s="14"/>
    </row>
    <row r="2295" ht="14.25" customHeight="1">
      <c r="AA2295" s="7">
        <f t="shared" si="2"/>
        <v>43201</v>
      </c>
      <c r="AB2295" s="14"/>
      <c r="AC2295" s="14"/>
      <c r="AD2295" s="14"/>
      <c r="AE2295" s="14"/>
      <c r="AF2295" s="14"/>
      <c r="AG2295" s="14"/>
      <c r="AH2295" s="14"/>
      <c r="AI2295" s="14"/>
      <c r="AJ2295" s="14"/>
      <c r="AK2295" s="14"/>
      <c r="AL2295" s="14"/>
      <c r="AM2295" s="14"/>
    </row>
    <row r="2296" ht="14.25" customHeight="1">
      <c r="AA2296" s="7">
        <f t="shared" si="2"/>
        <v>43202</v>
      </c>
      <c r="AB2296" s="14"/>
      <c r="AC2296" s="14"/>
      <c r="AD2296" s="14"/>
      <c r="AE2296" s="14"/>
      <c r="AF2296" s="14"/>
      <c r="AG2296" s="14"/>
      <c r="AH2296" s="14"/>
      <c r="AI2296" s="14"/>
      <c r="AJ2296" s="14"/>
      <c r="AK2296" s="14"/>
      <c r="AL2296" s="14"/>
      <c r="AM2296" s="14"/>
    </row>
    <row r="2297" ht="14.25" customHeight="1">
      <c r="AA2297" s="7">
        <f t="shared" si="2"/>
        <v>43203</v>
      </c>
      <c r="AB2297" s="14"/>
      <c r="AC2297" s="14"/>
      <c r="AD2297" s="14"/>
      <c r="AE2297" s="14"/>
      <c r="AF2297" s="14"/>
      <c r="AG2297" s="14"/>
      <c r="AH2297" s="14"/>
      <c r="AI2297" s="14"/>
      <c r="AJ2297" s="14"/>
      <c r="AK2297" s="14"/>
      <c r="AL2297" s="14"/>
      <c r="AM2297" s="14"/>
    </row>
    <row r="2298" ht="14.25" customHeight="1">
      <c r="AA2298" s="7">
        <f t="shared" si="2"/>
        <v>43204</v>
      </c>
      <c r="AB2298" s="14"/>
      <c r="AC2298" s="14"/>
      <c r="AD2298" s="14"/>
      <c r="AE2298" s="14"/>
      <c r="AF2298" s="14"/>
      <c r="AG2298" s="14"/>
      <c r="AH2298" s="14"/>
      <c r="AI2298" s="14"/>
      <c r="AJ2298" s="14"/>
      <c r="AK2298" s="14"/>
      <c r="AL2298" s="14"/>
      <c r="AM2298" s="14"/>
    </row>
    <row r="2299" ht="14.25" customHeight="1">
      <c r="AA2299" s="7">
        <f t="shared" si="2"/>
        <v>43205</v>
      </c>
      <c r="AB2299" s="14"/>
      <c r="AC2299" s="14"/>
      <c r="AD2299" s="14"/>
      <c r="AE2299" s="14"/>
      <c r="AF2299" s="14"/>
      <c r="AG2299" s="14"/>
      <c r="AH2299" s="14"/>
      <c r="AI2299" s="14"/>
      <c r="AJ2299" s="14"/>
      <c r="AK2299" s="14"/>
      <c r="AL2299" s="14"/>
      <c r="AM2299" s="14"/>
    </row>
    <row r="2300" ht="14.25" customHeight="1">
      <c r="AA2300" s="7">
        <f t="shared" si="2"/>
        <v>43206</v>
      </c>
      <c r="AB2300" s="14"/>
      <c r="AC2300" s="14"/>
      <c r="AD2300" s="14"/>
      <c r="AE2300" s="14"/>
      <c r="AF2300" s="14"/>
      <c r="AG2300" s="14"/>
      <c r="AH2300" s="14"/>
      <c r="AI2300" s="14"/>
      <c r="AJ2300" s="14"/>
      <c r="AK2300" s="14"/>
      <c r="AL2300" s="14"/>
      <c r="AM2300" s="14"/>
    </row>
    <row r="2301" ht="14.25" customHeight="1">
      <c r="AA2301" s="7">
        <f t="shared" si="2"/>
        <v>43207</v>
      </c>
      <c r="AB2301" s="14"/>
      <c r="AC2301" s="14"/>
      <c r="AD2301" s="14"/>
      <c r="AE2301" s="14"/>
      <c r="AF2301" s="14"/>
      <c r="AG2301" s="14"/>
      <c r="AH2301" s="14"/>
      <c r="AI2301" s="14"/>
      <c r="AJ2301" s="14"/>
      <c r="AK2301" s="14"/>
      <c r="AL2301" s="14"/>
      <c r="AM2301" s="14"/>
    </row>
    <row r="2302" ht="14.25" customHeight="1">
      <c r="AA2302" s="7">
        <f t="shared" si="2"/>
        <v>43208</v>
      </c>
      <c r="AB2302" s="14"/>
      <c r="AC2302" s="14"/>
      <c r="AD2302" s="14"/>
      <c r="AE2302" s="14"/>
      <c r="AF2302" s="14"/>
      <c r="AG2302" s="14"/>
      <c r="AH2302" s="14"/>
      <c r="AI2302" s="14"/>
      <c r="AJ2302" s="14"/>
      <c r="AK2302" s="14"/>
      <c r="AL2302" s="14"/>
      <c r="AM2302" s="14"/>
    </row>
    <row r="2303" ht="14.25" customHeight="1">
      <c r="AA2303" s="7">
        <f t="shared" si="2"/>
        <v>43209</v>
      </c>
      <c r="AB2303" s="14"/>
      <c r="AC2303" s="14"/>
      <c r="AD2303" s="14"/>
      <c r="AE2303" s="14"/>
      <c r="AF2303" s="14"/>
      <c r="AG2303" s="14"/>
      <c r="AH2303" s="14"/>
      <c r="AI2303" s="14"/>
      <c r="AJ2303" s="14"/>
      <c r="AK2303" s="14"/>
      <c r="AL2303" s="14"/>
      <c r="AM2303" s="14"/>
    </row>
    <row r="2304" ht="14.25" customHeight="1">
      <c r="AA2304" s="7">
        <f t="shared" si="2"/>
        <v>43210</v>
      </c>
      <c r="AB2304" s="14"/>
      <c r="AC2304" s="14"/>
      <c r="AD2304" s="14"/>
      <c r="AE2304" s="14"/>
      <c r="AF2304" s="14"/>
      <c r="AG2304" s="14"/>
      <c r="AH2304" s="14"/>
      <c r="AI2304" s="14"/>
      <c r="AJ2304" s="14"/>
      <c r="AK2304" s="14"/>
      <c r="AL2304" s="14"/>
      <c r="AM2304" s="14"/>
    </row>
    <row r="2305" ht="14.25" customHeight="1">
      <c r="AA2305" s="7">
        <f t="shared" si="2"/>
        <v>43211</v>
      </c>
      <c r="AB2305" s="14"/>
      <c r="AC2305" s="14"/>
      <c r="AD2305" s="14"/>
      <c r="AE2305" s="14"/>
      <c r="AF2305" s="14"/>
      <c r="AG2305" s="14"/>
      <c r="AH2305" s="14"/>
      <c r="AI2305" s="14"/>
      <c r="AJ2305" s="14"/>
      <c r="AK2305" s="14"/>
      <c r="AL2305" s="14"/>
      <c r="AM2305" s="14"/>
    </row>
    <row r="2306" ht="14.25" customHeight="1">
      <c r="AA2306" s="7">
        <f t="shared" si="2"/>
        <v>43212</v>
      </c>
      <c r="AB2306" s="14"/>
      <c r="AC2306" s="14"/>
      <c r="AD2306" s="14"/>
      <c r="AE2306" s="14"/>
      <c r="AF2306" s="14"/>
      <c r="AG2306" s="14"/>
      <c r="AH2306" s="14"/>
      <c r="AI2306" s="14"/>
      <c r="AJ2306" s="14"/>
      <c r="AK2306" s="14"/>
      <c r="AL2306" s="14"/>
      <c r="AM2306" s="14"/>
    </row>
    <row r="2307" ht="14.25" customHeight="1">
      <c r="AA2307" s="7">
        <f t="shared" si="2"/>
        <v>43213</v>
      </c>
      <c r="AB2307" s="14"/>
      <c r="AC2307" s="14"/>
      <c r="AD2307" s="14"/>
      <c r="AE2307" s="14"/>
      <c r="AF2307" s="14"/>
      <c r="AG2307" s="14"/>
      <c r="AH2307" s="14"/>
      <c r="AI2307" s="14"/>
      <c r="AJ2307" s="14"/>
      <c r="AK2307" s="14"/>
      <c r="AL2307" s="14"/>
      <c r="AM2307" s="14"/>
    </row>
    <row r="2308" ht="14.25" customHeight="1">
      <c r="AA2308" s="7">
        <f t="shared" si="2"/>
        <v>43214</v>
      </c>
      <c r="AB2308" s="14"/>
      <c r="AC2308" s="14"/>
      <c r="AD2308" s="14"/>
      <c r="AE2308" s="14"/>
      <c r="AF2308" s="14"/>
      <c r="AG2308" s="14"/>
      <c r="AH2308" s="14"/>
      <c r="AI2308" s="14"/>
      <c r="AJ2308" s="14"/>
      <c r="AK2308" s="14"/>
      <c r="AL2308" s="14"/>
      <c r="AM2308" s="14"/>
    </row>
    <row r="2309" ht="14.25" customHeight="1">
      <c r="AA2309" s="7">
        <f t="shared" si="2"/>
        <v>43215</v>
      </c>
      <c r="AB2309" s="14"/>
      <c r="AC2309" s="14"/>
      <c r="AD2309" s="14"/>
      <c r="AE2309" s="14"/>
      <c r="AF2309" s="14"/>
      <c r="AG2309" s="14"/>
      <c r="AH2309" s="14"/>
      <c r="AI2309" s="14"/>
      <c r="AJ2309" s="14"/>
      <c r="AK2309" s="14"/>
      <c r="AL2309" s="14"/>
      <c r="AM2309" s="14"/>
    </row>
    <row r="2310" ht="14.25" customHeight="1">
      <c r="AA2310" s="7">
        <f t="shared" si="2"/>
        <v>43216</v>
      </c>
      <c r="AB2310" s="14"/>
      <c r="AC2310" s="14"/>
      <c r="AD2310" s="14"/>
      <c r="AE2310" s="14"/>
      <c r="AF2310" s="14"/>
      <c r="AG2310" s="14"/>
      <c r="AH2310" s="14"/>
      <c r="AI2310" s="14"/>
      <c r="AJ2310" s="14"/>
      <c r="AK2310" s="14"/>
      <c r="AL2310" s="14"/>
      <c r="AM2310" s="14"/>
    </row>
    <row r="2311" ht="14.25" customHeight="1">
      <c r="AA2311" s="7">
        <f t="shared" si="2"/>
        <v>43217</v>
      </c>
      <c r="AB2311" s="14"/>
      <c r="AC2311" s="14"/>
      <c r="AD2311" s="14"/>
      <c r="AE2311" s="14"/>
      <c r="AF2311" s="14"/>
      <c r="AG2311" s="14"/>
      <c r="AH2311" s="14"/>
      <c r="AI2311" s="14"/>
      <c r="AJ2311" s="14"/>
      <c r="AK2311" s="14"/>
      <c r="AL2311" s="14"/>
      <c r="AM2311" s="14"/>
    </row>
    <row r="2312" ht="14.25" customHeight="1">
      <c r="AA2312" s="7">
        <f t="shared" si="2"/>
        <v>43218</v>
      </c>
      <c r="AB2312" s="14"/>
      <c r="AC2312" s="14"/>
      <c r="AD2312" s="14"/>
      <c r="AE2312" s="14"/>
      <c r="AF2312" s="14"/>
      <c r="AG2312" s="14"/>
      <c r="AH2312" s="14"/>
      <c r="AI2312" s="14"/>
      <c r="AJ2312" s="14"/>
      <c r="AK2312" s="14"/>
      <c r="AL2312" s="14"/>
      <c r="AM2312" s="14"/>
    </row>
    <row r="2313" ht="14.25" customHeight="1">
      <c r="AA2313" s="7">
        <f t="shared" si="2"/>
        <v>43219</v>
      </c>
      <c r="AB2313" s="14"/>
      <c r="AC2313" s="14"/>
      <c r="AD2313" s="14"/>
      <c r="AE2313" s="14"/>
      <c r="AF2313" s="14"/>
      <c r="AG2313" s="14"/>
      <c r="AH2313" s="14"/>
      <c r="AI2313" s="14"/>
      <c r="AJ2313" s="14"/>
      <c r="AK2313" s="14"/>
      <c r="AL2313" s="14"/>
      <c r="AM2313" s="14"/>
    </row>
    <row r="2314" ht="14.25" customHeight="1">
      <c r="AA2314" s="7">
        <f t="shared" si="2"/>
        <v>43220</v>
      </c>
      <c r="AB2314" s="14"/>
      <c r="AC2314" s="14"/>
      <c r="AD2314" s="14"/>
      <c r="AE2314" s="14"/>
      <c r="AF2314" s="14"/>
      <c r="AG2314" s="14"/>
      <c r="AH2314" s="14"/>
      <c r="AI2314" s="14"/>
      <c r="AJ2314" s="14"/>
      <c r="AK2314" s="14"/>
      <c r="AL2314" s="14"/>
      <c r="AM2314" s="14"/>
    </row>
    <row r="2315" ht="14.25" customHeight="1">
      <c r="AA2315" s="7">
        <f t="shared" si="2"/>
        <v>43221</v>
      </c>
      <c r="AB2315" s="14"/>
      <c r="AC2315" s="14"/>
      <c r="AD2315" s="14"/>
      <c r="AE2315" s="14"/>
      <c r="AF2315" s="14"/>
      <c r="AG2315" s="14"/>
      <c r="AH2315" s="14"/>
      <c r="AI2315" s="14"/>
      <c r="AJ2315" s="14"/>
      <c r="AK2315" s="14"/>
      <c r="AL2315" s="14"/>
      <c r="AM2315" s="14"/>
    </row>
    <row r="2316" ht="14.25" customHeight="1">
      <c r="AA2316" s="7">
        <f t="shared" si="2"/>
        <v>43222</v>
      </c>
      <c r="AB2316" s="14"/>
      <c r="AC2316" s="14"/>
      <c r="AD2316" s="14"/>
      <c r="AE2316" s="14"/>
      <c r="AF2316" s="14"/>
      <c r="AG2316" s="14"/>
      <c r="AH2316" s="14"/>
      <c r="AI2316" s="14"/>
      <c r="AJ2316" s="14"/>
      <c r="AK2316" s="14"/>
      <c r="AL2316" s="14"/>
      <c r="AM2316" s="14"/>
    </row>
    <row r="2317" ht="14.25" customHeight="1">
      <c r="AA2317" s="7">
        <f t="shared" si="2"/>
        <v>43223</v>
      </c>
      <c r="AB2317" s="14"/>
      <c r="AC2317" s="14"/>
      <c r="AD2317" s="14"/>
      <c r="AE2317" s="14"/>
      <c r="AF2317" s="14"/>
      <c r="AG2317" s="14"/>
      <c r="AH2317" s="14"/>
      <c r="AI2317" s="14"/>
      <c r="AJ2317" s="14"/>
      <c r="AK2317" s="14"/>
      <c r="AL2317" s="14"/>
      <c r="AM2317" s="14"/>
    </row>
    <row r="2318" ht="14.25" customHeight="1">
      <c r="AA2318" s="7">
        <f t="shared" si="2"/>
        <v>43224</v>
      </c>
      <c r="AB2318" s="14"/>
      <c r="AC2318" s="14"/>
      <c r="AD2318" s="14"/>
      <c r="AE2318" s="14"/>
      <c r="AF2318" s="14"/>
      <c r="AG2318" s="14"/>
      <c r="AH2318" s="14"/>
      <c r="AI2318" s="14"/>
      <c r="AJ2318" s="14"/>
      <c r="AK2318" s="14"/>
      <c r="AL2318" s="14"/>
      <c r="AM2318" s="14"/>
    </row>
    <row r="2319" ht="14.25" customHeight="1">
      <c r="AA2319" s="7">
        <f t="shared" si="2"/>
        <v>43225</v>
      </c>
      <c r="AB2319" s="14"/>
      <c r="AC2319" s="14"/>
      <c r="AD2319" s="14"/>
      <c r="AE2319" s="14"/>
      <c r="AF2319" s="14"/>
      <c r="AG2319" s="14"/>
      <c r="AH2319" s="14"/>
      <c r="AI2319" s="14"/>
      <c r="AJ2319" s="14"/>
      <c r="AK2319" s="14"/>
      <c r="AL2319" s="14"/>
      <c r="AM2319" s="14"/>
    </row>
    <row r="2320" ht="14.25" customHeight="1">
      <c r="AA2320" s="7">
        <f t="shared" si="2"/>
        <v>43226</v>
      </c>
      <c r="AB2320" s="14"/>
      <c r="AC2320" s="14"/>
      <c r="AD2320" s="14"/>
      <c r="AE2320" s="14"/>
      <c r="AF2320" s="14"/>
      <c r="AG2320" s="14"/>
      <c r="AH2320" s="14"/>
      <c r="AI2320" s="14"/>
      <c r="AJ2320" s="14"/>
      <c r="AK2320" s="14"/>
      <c r="AL2320" s="14"/>
      <c r="AM2320" s="14"/>
    </row>
    <row r="2321" ht="14.25" customHeight="1">
      <c r="AA2321" s="7">
        <f t="shared" si="2"/>
        <v>43227</v>
      </c>
      <c r="AB2321" s="14"/>
      <c r="AC2321" s="14"/>
      <c r="AD2321" s="14"/>
      <c r="AE2321" s="14"/>
      <c r="AF2321" s="14"/>
      <c r="AG2321" s="14"/>
      <c r="AH2321" s="14"/>
      <c r="AI2321" s="14"/>
      <c r="AJ2321" s="14"/>
      <c r="AK2321" s="14"/>
      <c r="AL2321" s="14"/>
      <c r="AM2321" s="14"/>
    </row>
    <row r="2322" ht="14.25" customHeight="1">
      <c r="AA2322" s="7">
        <f t="shared" si="2"/>
        <v>43228</v>
      </c>
      <c r="AB2322" s="14"/>
      <c r="AC2322" s="14"/>
      <c r="AD2322" s="14"/>
      <c r="AE2322" s="14"/>
      <c r="AF2322" s="14"/>
      <c r="AG2322" s="14"/>
      <c r="AH2322" s="14"/>
      <c r="AI2322" s="14"/>
      <c r="AJ2322" s="14"/>
      <c r="AK2322" s="14"/>
      <c r="AL2322" s="14"/>
      <c r="AM2322" s="14"/>
    </row>
    <row r="2323" ht="14.25" customHeight="1">
      <c r="AA2323" s="7">
        <f t="shared" si="2"/>
        <v>43229</v>
      </c>
      <c r="AB2323" s="14"/>
      <c r="AC2323" s="14"/>
      <c r="AD2323" s="14"/>
      <c r="AE2323" s="14"/>
      <c r="AF2323" s="14"/>
      <c r="AG2323" s="14"/>
      <c r="AH2323" s="14"/>
      <c r="AI2323" s="14"/>
      <c r="AJ2323" s="14"/>
      <c r="AK2323" s="14"/>
      <c r="AL2323" s="14"/>
      <c r="AM2323" s="14"/>
    </row>
    <row r="2324" ht="14.25" customHeight="1">
      <c r="AA2324" s="7">
        <f t="shared" si="2"/>
        <v>43230</v>
      </c>
      <c r="AB2324" s="14"/>
      <c r="AC2324" s="14"/>
      <c r="AD2324" s="14"/>
      <c r="AE2324" s="14"/>
      <c r="AF2324" s="14"/>
      <c r="AG2324" s="14"/>
      <c r="AH2324" s="14"/>
      <c r="AI2324" s="14"/>
      <c r="AJ2324" s="14"/>
      <c r="AK2324" s="14"/>
      <c r="AL2324" s="14"/>
      <c r="AM2324" s="14"/>
    </row>
    <row r="2325" ht="14.25" customHeight="1">
      <c r="AA2325" s="7">
        <f t="shared" si="2"/>
        <v>43231</v>
      </c>
      <c r="AB2325" s="14"/>
      <c r="AC2325" s="14"/>
      <c r="AD2325" s="14"/>
      <c r="AE2325" s="14"/>
      <c r="AF2325" s="14"/>
      <c r="AG2325" s="14"/>
      <c r="AH2325" s="14"/>
      <c r="AI2325" s="14"/>
      <c r="AJ2325" s="14"/>
      <c r="AK2325" s="14"/>
      <c r="AL2325" s="14"/>
      <c r="AM2325" s="14"/>
    </row>
    <row r="2326" ht="14.25" customHeight="1">
      <c r="AA2326" s="7">
        <f t="shared" si="2"/>
        <v>43232</v>
      </c>
      <c r="AB2326" s="14"/>
      <c r="AC2326" s="14"/>
      <c r="AD2326" s="14"/>
      <c r="AE2326" s="14"/>
      <c r="AF2326" s="14"/>
      <c r="AG2326" s="14"/>
      <c r="AH2326" s="14"/>
      <c r="AI2326" s="14"/>
      <c r="AJ2326" s="14"/>
      <c r="AK2326" s="14"/>
      <c r="AL2326" s="14"/>
      <c r="AM2326" s="14"/>
    </row>
    <row r="2327" ht="14.25" customHeight="1">
      <c r="AA2327" s="7">
        <f t="shared" si="2"/>
        <v>43233</v>
      </c>
      <c r="AB2327" s="14"/>
      <c r="AC2327" s="14"/>
      <c r="AD2327" s="14"/>
      <c r="AE2327" s="14"/>
      <c r="AF2327" s="14"/>
      <c r="AG2327" s="14"/>
      <c r="AH2327" s="14"/>
      <c r="AI2327" s="14"/>
      <c r="AJ2327" s="14"/>
      <c r="AK2327" s="14"/>
      <c r="AL2327" s="14"/>
      <c r="AM2327" s="14"/>
    </row>
    <row r="2328" ht="14.25" customHeight="1">
      <c r="AA2328" s="7">
        <f t="shared" si="2"/>
        <v>43234</v>
      </c>
      <c r="AB2328" s="14"/>
      <c r="AC2328" s="14"/>
      <c r="AD2328" s="14"/>
      <c r="AE2328" s="14"/>
      <c r="AF2328" s="14"/>
      <c r="AG2328" s="14"/>
      <c r="AH2328" s="14"/>
      <c r="AI2328" s="14"/>
      <c r="AJ2328" s="14"/>
      <c r="AK2328" s="14"/>
      <c r="AL2328" s="14"/>
      <c r="AM2328" s="14"/>
    </row>
    <row r="2329" ht="14.25" customHeight="1">
      <c r="AA2329" s="7">
        <f t="shared" si="2"/>
        <v>43235</v>
      </c>
      <c r="AB2329" s="14"/>
      <c r="AC2329" s="14"/>
      <c r="AD2329" s="14"/>
      <c r="AE2329" s="14"/>
      <c r="AF2329" s="14"/>
      <c r="AG2329" s="14"/>
      <c r="AH2329" s="14"/>
      <c r="AI2329" s="14"/>
      <c r="AJ2329" s="14"/>
      <c r="AK2329" s="14"/>
      <c r="AL2329" s="14"/>
      <c r="AM2329" s="14"/>
    </row>
    <row r="2330" ht="14.25" customHeight="1">
      <c r="AA2330" s="7">
        <f t="shared" si="2"/>
        <v>43236</v>
      </c>
      <c r="AB2330" s="14"/>
      <c r="AC2330" s="14"/>
      <c r="AD2330" s="14"/>
      <c r="AE2330" s="14"/>
      <c r="AF2330" s="14"/>
      <c r="AG2330" s="14"/>
      <c r="AH2330" s="14"/>
      <c r="AI2330" s="14"/>
      <c r="AJ2330" s="14"/>
      <c r="AK2330" s="14"/>
      <c r="AL2330" s="14"/>
      <c r="AM2330" s="14"/>
    </row>
    <row r="2331" ht="14.25" customHeight="1">
      <c r="AA2331" s="7">
        <f t="shared" si="2"/>
        <v>43237</v>
      </c>
      <c r="AB2331" s="14"/>
      <c r="AC2331" s="14"/>
      <c r="AD2331" s="14"/>
      <c r="AE2331" s="14"/>
      <c r="AF2331" s="14"/>
      <c r="AG2331" s="14"/>
      <c r="AH2331" s="14"/>
      <c r="AI2331" s="14"/>
      <c r="AJ2331" s="14"/>
      <c r="AK2331" s="14"/>
      <c r="AL2331" s="14"/>
      <c r="AM2331" s="14"/>
    </row>
    <row r="2332" ht="14.25" customHeight="1">
      <c r="AA2332" s="7">
        <f t="shared" si="2"/>
        <v>43238</v>
      </c>
      <c r="AB2332" s="14"/>
      <c r="AC2332" s="14"/>
      <c r="AD2332" s="14"/>
      <c r="AE2332" s="14"/>
      <c r="AF2332" s="14"/>
      <c r="AG2332" s="14"/>
      <c r="AH2332" s="14"/>
      <c r="AI2332" s="14"/>
      <c r="AJ2332" s="14"/>
      <c r="AK2332" s="14"/>
      <c r="AL2332" s="14"/>
      <c r="AM2332" s="14"/>
    </row>
    <row r="2333" ht="14.25" customHeight="1">
      <c r="AA2333" s="7">
        <f t="shared" si="2"/>
        <v>43239</v>
      </c>
      <c r="AB2333" s="14"/>
      <c r="AC2333" s="14"/>
      <c r="AD2333" s="14"/>
      <c r="AE2333" s="14"/>
      <c r="AF2333" s="14"/>
      <c r="AG2333" s="14"/>
      <c r="AH2333" s="14"/>
      <c r="AI2333" s="14"/>
      <c r="AJ2333" s="14"/>
      <c r="AK2333" s="14"/>
      <c r="AL2333" s="14"/>
      <c r="AM2333" s="14"/>
    </row>
    <row r="2334" ht="14.25" customHeight="1">
      <c r="AA2334" s="7">
        <f t="shared" si="2"/>
        <v>43240</v>
      </c>
      <c r="AB2334" s="14"/>
      <c r="AC2334" s="14"/>
      <c r="AD2334" s="14"/>
      <c r="AE2334" s="14"/>
      <c r="AF2334" s="14"/>
      <c r="AG2334" s="14"/>
      <c r="AH2334" s="14"/>
      <c r="AI2334" s="14"/>
      <c r="AJ2334" s="14"/>
      <c r="AK2334" s="14"/>
      <c r="AL2334" s="14"/>
      <c r="AM2334" s="14"/>
    </row>
    <row r="2335" ht="14.25" customHeight="1">
      <c r="AA2335" s="7">
        <f t="shared" si="2"/>
        <v>43241</v>
      </c>
      <c r="AB2335" s="14"/>
      <c r="AC2335" s="14"/>
      <c r="AD2335" s="14"/>
      <c r="AE2335" s="14"/>
      <c r="AF2335" s="14"/>
      <c r="AG2335" s="14"/>
      <c r="AH2335" s="14"/>
      <c r="AI2335" s="14"/>
      <c r="AJ2335" s="14"/>
      <c r="AK2335" s="14"/>
      <c r="AL2335" s="14"/>
      <c r="AM2335" s="14"/>
    </row>
    <row r="2336" ht="14.25" customHeight="1">
      <c r="AA2336" s="7">
        <f t="shared" si="2"/>
        <v>43242</v>
      </c>
      <c r="AB2336" s="14"/>
      <c r="AC2336" s="14"/>
      <c r="AD2336" s="14"/>
      <c r="AE2336" s="14"/>
      <c r="AF2336" s="14"/>
      <c r="AG2336" s="14"/>
      <c r="AH2336" s="14"/>
      <c r="AI2336" s="14"/>
      <c r="AJ2336" s="14"/>
      <c r="AK2336" s="14"/>
      <c r="AL2336" s="14"/>
      <c r="AM2336" s="14"/>
    </row>
    <row r="2337" ht="14.25" customHeight="1">
      <c r="AA2337" s="7">
        <f t="shared" si="2"/>
        <v>43243</v>
      </c>
      <c r="AB2337" s="14"/>
      <c r="AC2337" s="14"/>
      <c r="AD2337" s="14"/>
      <c r="AE2337" s="14"/>
      <c r="AF2337" s="14"/>
      <c r="AG2337" s="14"/>
      <c r="AH2337" s="14"/>
      <c r="AI2337" s="14"/>
      <c r="AJ2337" s="14"/>
      <c r="AK2337" s="14"/>
      <c r="AL2337" s="14"/>
      <c r="AM2337" s="14"/>
    </row>
    <row r="2338" ht="14.25" customHeight="1">
      <c r="AA2338" s="7">
        <f t="shared" si="2"/>
        <v>43244</v>
      </c>
      <c r="AB2338" s="14"/>
      <c r="AC2338" s="14"/>
      <c r="AD2338" s="14"/>
      <c r="AE2338" s="14"/>
      <c r="AF2338" s="14"/>
      <c r="AG2338" s="14"/>
      <c r="AH2338" s="14"/>
      <c r="AI2338" s="14"/>
      <c r="AJ2338" s="14"/>
      <c r="AK2338" s="14"/>
      <c r="AL2338" s="14"/>
      <c r="AM2338" s="14"/>
    </row>
    <row r="2339" ht="14.25" customHeight="1">
      <c r="AA2339" s="7">
        <f t="shared" si="2"/>
        <v>43245</v>
      </c>
      <c r="AB2339" s="14"/>
      <c r="AC2339" s="14"/>
      <c r="AD2339" s="14"/>
      <c r="AE2339" s="14"/>
      <c r="AF2339" s="14"/>
      <c r="AG2339" s="14"/>
      <c r="AH2339" s="14"/>
      <c r="AI2339" s="14"/>
      <c r="AJ2339" s="14"/>
      <c r="AK2339" s="14"/>
      <c r="AL2339" s="14"/>
      <c r="AM2339" s="14"/>
    </row>
    <row r="2340" ht="14.25" customHeight="1">
      <c r="AA2340" s="7">
        <f t="shared" si="2"/>
        <v>43246</v>
      </c>
      <c r="AB2340" s="14"/>
      <c r="AC2340" s="14"/>
      <c r="AD2340" s="14"/>
      <c r="AE2340" s="14"/>
      <c r="AF2340" s="14"/>
      <c r="AG2340" s="14"/>
      <c r="AH2340" s="14"/>
      <c r="AI2340" s="14"/>
      <c r="AJ2340" s="14"/>
      <c r="AK2340" s="14"/>
      <c r="AL2340" s="14"/>
      <c r="AM2340" s="14"/>
    </row>
    <row r="2341" ht="14.25" customHeight="1">
      <c r="AA2341" s="7">
        <f t="shared" si="2"/>
        <v>43247</v>
      </c>
      <c r="AB2341" s="14"/>
      <c r="AC2341" s="14"/>
      <c r="AD2341" s="14"/>
      <c r="AE2341" s="14"/>
      <c r="AF2341" s="14"/>
      <c r="AG2341" s="14"/>
      <c r="AH2341" s="14"/>
      <c r="AI2341" s="14"/>
      <c r="AJ2341" s="14"/>
      <c r="AK2341" s="14"/>
      <c r="AL2341" s="14"/>
      <c r="AM2341" s="14"/>
    </row>
    <row r="2342" ht="14.25" customHeight="1">
      <c r="AA2342" s="7">
        <f t="shared" si="2"/>
        <v>43248</v>
      </c>
      <c r="AB2342" s="14"/>
      <c r="AC2342" s="14"/>
      <c r="AD2342" s="14"/>
      <c r="AE2342" s="14"/>
      <c r="AF2342" s="14"/>
      <c r="AG2342" s="14"/>
      <c r="AH2342" s="14"/>
      <c r="AI2342" s="14"/>
      <c r="AJ2342" s="14"/>
      <c r="AK2342" s="14"/>
      <c r="AL2342" s="14"/>
      <c r="AM2342" s="14"/>
    </row>
    <row r="2343" ht="14.25" customHeight="1">
      <c r="AA2343" s="7">
        <f t="shared" si="2"/>
        <v>43249</v>
      </c>
      <c r="AB2343" s="14"/>
      <c r="AC2343" s="14"/>
      <c r="AD2343" s="14"/>
      <c r="AE2343" s="14"/>
      <c r="AF2343" s="14"/>
      <c r="AG2343" s="14"/>
      <c r="AH2343" s="14"/>
      <c r="AI2343" s="14"/>
      <c r="AJ2343" s="14"/>
      <c r="AK2343" s="14"/>
      <c r="AL2343" s="14"/>
      <c r="AM2343" s="14"/>
    </row>
    <row r="2344" ht="14.25" customHeight="1">
      <c r="AA2344" s="7">
        <f t="shared" si="2"/>
        <v>43250</v>
      </c>
      <c r="AB2344" s="14"/>
      <c r="AC2344" s="14"/>
      <c r="AD2344" s="14"/>
      <c r="AE2344" s="14"/>
      <c r="AF2344" s="14"/>
      <c r="AG2344" s="14"/>
      <c r="AH2344" s="14"/>
      <c r="AI2344" s="14"/>
      <c r="AJ2344" s="14"/>
      <c r="AK2344" s="14"/>
      <c r="AL2344" s="14"/>
      <c r="AM2344" s="14"/>
    </row>
    <row r="2345" ht="14.25" customHeight="1">
      <c r="AA2345" s="7">
        <f t="shared" si="2"/>
        <v>43251</v>
      </c>
      <c r="AB2345" s="14"/>
      <c r="AC2345" s="14"/>
      <c r="AD2345" s="14"/>
      <c r="AE2345" s="14"/>
      <c r="AF2345" s="14"/>
      <c r="AG2345" s="14"/>
      <c r="AH2345" s="14"/>
      <c r="AI2345" s="14"/>
      <c r="AJ2345" s="14"/>
      <c r="AK2345" s="14"/>
      <c r="AL2345" s="14"/>
      <c r="AM2345" s="14"/>
    </row>
    <row r="2346" ht="14.25" customHeight="1">
      <c r="AA2346" s="7">
        <f t="shared" si="2"/>
        <v>43252</v>
      </c>
      <c r="AB2346" s="14"/>
      <c r="AC2346" s="14"/>
      <c r="AD2346" s="14"/>
      <c r="AE2346" s="14"/>
      <c r="AF2346" s="14"/>
      <c r="AG2346" s="14"/>
      <c r="AH2346" s="14"/>
      <c r="AI2346" s="14"/>
      <c r="AJ2346" s="14"/>
      <c r="AK2346" s="14"/>
      <c r="AL2346" s="14"/>
      <c r="AM2346" s="14"/>
    </row>
    <row r="2347" ht="14.25" customHeight="1">
      <c r="AA2347" s="7">
        <f t="shared" si="2"/>
        <v>43253</v>
      </c>
      <c r="AB2347" s="14"/>
      <c r="AC2347" s="14"/>
      <c r="AD2347" s="14"/>
      <c r="AE2347" s="14"/>
      <c r="AF2347" s="14"/>
      <c r="AG2347" s="14"/>
      <c r="AH2347" s="14"/>
      <c r="AI2347" s="14"/>
      <c r="AJ2347" s="14"/>
      <c r="AK2347" s="14"/>
      <c r="AL2347" s="14"/>
      <c r="AM2347" s="14"/>
    </row>
    <row r="2348" ht="14.25" customHeight="1">
      <c r="AA2348" s="7">
        <f t="shared" si="2"/>
        <v>43254</v>
      </c>
      <c r="AB2348" s="14"/>
      <c r="AC2348" s="14"/>
      <c r="AD2348" s="14"/>
      <c r="AE2348" s="14"/>
      <c r="AF2348" s="14"/>
      <c r="AG2348" s="14"/>
      <c r="AH2348" s="14"/>
      <c r="AI2348" s="14"/>
      <c r="AJ2348" s="14"/>
      <c r="AK2348" s="14"/>
      <c r="AL2348" s="14"/>
      <c r="AM2348" s="14"/>
    </row>
    <row r="2349" ht="14.25" customHeight="1">
      <c r="AA2349" s="7">
        <f t="shared" si="2"/>
        <v>43255</v>
      </c>
      <c r="AB2349" s="14"/>
      <c r="AC2349" s="14"/>
      <c r="AD2349" s="14"/>
      <c r="AE2349" s="14"/>
      <c r="AF2349" s="14"/>
      <c r="AG2349" s="14"/>
      <c r="AH2349" s="14"/>
      <c r="AI2349" s="14"/>
      <c r="AJ2349" s="14"/>
      <c r="AK2349" s="14"/>
      <c r="AL2349" s="14"/>
      <c r="AM2349" s="14"/>
    </row>
    <row r="2350" ht="14.25" customHeight="1">
      <c r="AA2350" s="7">
        <f t="shared" si="2"/>
        <v>43256</v>
      </c>
      <c r="AB2350" s="14"/>
      <c r="AC2350" s="14"/>
      <c r="AD2350" s="14"/>
      <c r="AE2350" s="14"/>
      <c r="AF2350" s="14"/>
      <c r="AG2350" s="14"/>
      <c r="AH2350" s="14"/>
      <c r="AI2350" s="14"/>
      <c r="AJ2350" s="14"/>
      <c r="AK2350" s="14"/>
      <c r="AL2350" s="14"/>
      <c r="AM2350" s="14"/>
    </row>
    <row r="2351" ht="14.25" customHeight="1">
      <c r="AA2351" s="7">
        <f t="shared" si="2"/>
        <v>43257</v>
      </c>
      <c r="AB2351" s="14"/>
      <c r="AC2351" s="14"/>
      <c r="AD2351" s="14"/>
      <c r="AE2351" s="14"/>
      <c r="AF2351" s="14"/>
      <c r="AG2351" s="14"/>
      <c r="AH2351" s="14"/>
      <c r="AI2351" s="14"/>
      <c r="AJ2351" s="14"/>
      <c r="AK2351" s="14"/>
      <c r="AL2351" s="14"/>
      <c r="AM2351" s="14"/>
    </row>
    <row r="2352" ht="14.25" customHeight="1">
      <c r="AA2352" s="7">
        <f t="shared" si="2"/>
        <v>43258</v>
      </c>
      <c r="AB2352" s="14"/>
      <c r="AC2352" s="14"/>
      <c r="AD2352" s="14"/>
      <c r="AE2352" s="14"/>
      <c r="AF2352" s="14"/>
      <c r="AG2352" s="14"/>
      <c r="AH2352" s="14"/>
      <c r="AI2352" s="14"/>
      <c r="AJ2352" s="14"/>
      <c r="AK2352" s="14"/>
      <c r="AL2352" s="14"/>
      <c r="AM2352" s="14"/>
    </row>
    <row r="2353" ht="14.25" customHeight="1">
      <c r="AA2353" s="7">
        <f t="shared" si="2"/>
        <v>43259</v>
      </c>
      <c r="AB2353" s="14"/>
      <c r="AC2353" s="14"/>
      <c r="AD2353" s="14"/>
      <c r="AE2353" s="14"/>
      <c r="AF2353" s="14"/>
      <c r="AG2353" s="14"/>
      <c r="AH2353" s="14"/>
      <c r="AI2353" s="14"/>
      <c r="AJ2353" s="14"/>
      <c r="AK2353" s="14"/>
      <c r="AL2353" s="14"/>
      <c r="AM2353" s="14"/>
    </row>
    <row r="2354" ht="14.25" customHeight="1">
      <c r="AA2354" s="7">
        <f t="shared" si="2"/>
        <v>43260</v>
      </c>
      <c r="AB2354" s="14"/>
      <c r="AC2354" s="14"/>
      <c r="AD2354" s="14"/>
      <c r="AE2354" s="14"/>
      <c r="AF2354" s="14"/>
      <c r="AG2354" s="14"/>
      <c r="AH2354" s="14"/>
      <c r="AI2354" s="14"/>
      <c r="AJ2354" s="14"/>
      <c r="AK2354" s="14"/>
      <c r="AL2354" s="14"/>
      <c r="AM2354" s="14"/>
    </row>
    <row r="2355" ht="14.25" customHeight="1">
      <c r="AA2355" s="7">
        <f t="shared" si="2"/>
        <v>43261</v>
      </c>
      <c r="AB2355" s="14"/>
      <c r="AC2355" s="14"/>
      <c r="AD2355" s="14"/>
      <c r="AE2355" s="14"/>
      <c r="AF2355" s="14"/>
      <c r="AG2355" s="14"/>
      <c r="AH2355" s="14"/>
      <c r="AI2355" s="14"/>
      <c r="AJ2355" s="14"/>
      <c r="AK2355" s="14"/>
      <c r="AL2355" s="14"/>
      <c r="AM2355" s="14"/>
    </row>
    <row r="2356" ht="14.25" customHeight="1">
      <c r="AA2356" s="7">
        <f t="shared" si="2"/>
        <v>43262</v>
      </c>
      <c r="AB2356" s="14"/>
      <c r="AC2356" s="14"/>
      <c r="AD2356" s="14"/>
      <c r="AE2356" s="14"/>
      <c r="AF2356" s="14"/>
      <c r="AG2356" s="14"/>
      <c r="AH2356" s="14"/>
      <c r="AI2356" s="14"/>
      <c r="AJ2356" s="14"/>
      <c r="AK2356" s="14"/>
      <c r="AL2356" s="14"/>
      <c r="AM2356" s="14"/>
    </row>
    <row r="2357" ht="14.25" customHeight="1">
      <c r="AA2357" s="7">
        <f t="shared" si="2"/>
        <v>43263</v>
      </c>
      <c r="AB2357" s="14"/>
      <c r="AC2357" s="14"/>
      <c r="AD2357" s="14"/>
      <c r="AE2357" s="14"/>
      <c r="AF2357" s="14"/>
      <c r="AG2357" s="14"/>
      <c r="AH2357" s="14"/>
      <c r="AI2357" s="14"/>
      <c r="AJ2357" s="14"/>
      <c r="AK2357" s="14"/>
      <c r="AL2357" s="14"/>
      <c r="AM2357" s="14"/>
    </row>
    <row r="2358" ht="14.25" customHeight="1">
      <c r="AA2358" s="7">
        <f t="shared" si="2"/>
        <v>43264</v>
      </c>
      <c r="AB2358" s="14"/>
      <c r="AC2358" s="14"/>
      <c r="AD2358" s="14"/>
      <c r="AE2358" s="14"/>
      <c r="AF2358" s="14"/>
      <c r="AG2358" s="14"/>
      <c r="AH2358" s="14"/>
      <c r="AI2358" s="14"/>
      <c r="AJ2358" s="14"/>
      <c r="AK2358" s="14"/>
      <c r="AL2358" s="14"/>
      <c r="AM2358" s="14"/>
    </row>
    <row r="2359" ht="14.25" customHeight="1">
      <c r="AA2359" s="7">
        <f t="shared" si="2"/>
        <v>43265</v>
      </c>
      <c r="AB2359" s="14"/>
      <c r="AC2359" s="14"/>
      <c r="AD2359" s="14"/>
      <c r="AE2359" s="14"/>
      <c r="AF2359" s="14"/>
      <c r="AG2359" s="14"/>
      <c r="AH2359" s="14"/>
      <c r="AI2359" s="14"/>
      <c r="AJ2359" s="14"/>
      <c r="AK2359" s="14"/>
      <c r="AL2359" s="14"/>
      <c r="AM2359" s="14"/>
    </row>
    <row r="2360" ht="14.25" customHeight="1">
      <c r="AA2360" s="7">
        <f t="shared" si="2"/>
        <v>43266</v>
      </c>
      <c r="AB2360" s="14"/>
      <c r="AC2360" s="14"/>
      <c r="AD2360" s="14"/>
      <c r="AE2360" s="14"/>
      <c r="AF2360" s="14"/>
      <c r="AG2360" s="14"/>
      <c r="AH2360" s="14"/>
      <c r="AI2360" s="14"/>
      <c r="AJ2360" s="14"/>
      <c r="AK2360" s="14"/>
      <c r="AL2360" s="14"/>
      <c r="AM2360" s="14"/>
    </row>
    <row r="2361" ht="14.25" customHeight="1">
      <c r="AA2361" s="7">
        <f t="shared" si="2"/>
        <v>43267</v>
      </c>
      <c r="AB2361" s="14"/>
      <c r="AC2361" s="14"/>
      <c r="AD2361" s="14"/>
      <c r="AE2361" s="14"/>
      <c r="AF2361" s="14"/>
      <c r="AG2361" s="14"/>
      <c r="AH2361" s="14"/>
      <c r="AI2361" s="14"/>
      <c r="AJ2361" s="14"/>
      <c r="AK2361" s="14"/>
      <c r="AL2361" s="14"/>
      <c r="AM2361" s="14"/>
    </row>
    <row r="2362" ht="14.25" customHeight="1">
      <c r="AA2362" s="7">
        <f t="shared" si="2"/>
        <v>43268</v>
      </c>
      <c r="AB2362" s="14"/>
      <c r="AC2362" s="14"/>
      <c r="AD2362" s="14"/>
      <c r="AE2362" s="14"/>
      <c r="AF2362" s="14"/>
      <c r="AG2362" s="14"/>
      <c r="AH2362" s="14"/>
      <c r="AI2362" s="14"/>
      <c r="AJ2362" s="14"/>
      <c r="AK2362" s="14"/>
      <c r="AL2362" s="14"/>
      <c r="AM2362" s="14"/>
    </row>
    <row r="2363" ht="14.25" customHeight="1">
      <c r="AA2363" s="7">
        <f t="shared" si="2"/>
        <v>43269</v>
      </c>
      <c r="AB2363" s="14"/>
      <c r="AC2363" s="14"/>
      <c r="AD2363" s="14"/>
      <c r="AE2363" s="14"/>
      <c r="AF2363" s="14"/>
      <c r="AG2363" s="14"/>
      <c r="AH2363" s="14"/>
      <c r="AI2363" s="14"/>
      <c r="AJ2363" s="14"/>
      <c r="AK2363" s="14"/>
      <c r="AL2363" s="14"/>
      <c r="AM2363" s="14"/>
    </row>
    <row r="2364" ht="14.25" customHeight="1">
      <c r="AA2364" s="7">
        <f t="shared" si="2"/>
        <v>43270</v>
      </c>
      <c r="AB2364" s="14"/>
      <c r="AC2364" s="14"/>
      <c r="AD2364" s="14"/>
      <c r="AE2364" s="14"/>
      <c r="AF2364" s="14"/>
      <c r="AG2364" s="14"/>
      <c r="AH2364" s="14"/>
      <c r="AI2364" s="14"/>
      <c r="AJ2364" s="14"/>
      <c r="AK2364" s="14"/>
      <c r="AL2364" s="14"/>
      <c r="AM2364" s="14"/>
    </row>
    <row r="2365" ht="14.25" customHeight="1">
      <c r="AA2365" s="7">
        <f t="shared" si="2"/>
        <v>43271</v>
      </c>
      <c r="AB2365" s="14"/>
      <c r="AC2365" s="14"/>
      <c r="AD2365" s="14"/>
      <c r="AE2365" s="14"/>
      <c r="AF2365" s="14"/>
      <c r="AG2365" s="14"/>
      <c r="AH2365" s="14"/>
      <c r="AI2365" s="14"/>
      <c r="AJ2365" s="14"/>
      <c r="AK2365" s="14"/>
      <c r="AL2365" s="14"/>
      <c r="AM2365" s="14"/>
    </row>
    <row r="2366" ht="14.25" customHeight="1">
      <c r="AA2366" s="7">
        <f t="shared" si="2"/>
        <v>43272</v>
      </c>
      <c r="AB2366" s="14"/>
      <c r="AC2366" s="14"/>
      <c r="AD2366" s="14"/>
      <c r="AE2366" s="14"/>
      <c r="AF2366" s="14"/>
      <c r="AG2366" s="14"/>
      <c r="AH2366" s="14"/>
      <c r="AI2366" s="14"/>
      <c r="AJ2366" s="14"/>
      <c r="AK2366" s="14"/>
      <c r="AL2366" s="14"/>
      <c r="AM2366" s="14"/>
    </row>
    <row r="2367" ht="14.25" customHeight="1">
      <c r="AA2367" s="7">
        <f t="shared" si="2"/>
        <v>43273</v>
      </c>
      <c r="AB2367" s="14"/>
      <c r="AC2367" s="14"/>
      <c r="AD2367" s="14"/>
      <c r="AE2367" s="14"/>
      <c r="AF2367" s="14"/>
      <c r="AG2367" s="14"/>
      <c r="AH2367" s="14"/>
      <c r="AI2367" s="14"/>
      <c r="AJ2367" s="14"/>
      <c r="AK2367" s="14"/>
      <c r="AL2367" s="14"/>
      <c r="AM2367" s="14"/>
    </row>
    <row r="2368" ht="14.25" customHeight="1">
      <c r="AA2368" s="7">
        <f t="shared" si="2"/>
        <v>43274</v>
      </c>
      <c r="AB2368" s="14"/>
      <c r="AC2368" s="14"/>
      <c r="AD2368" s="14"/>
      <c r="AE2368" s="14"/>
      <c r="AF2368" s="14"/>
      <c r="AG2368" s="14"/>
      <c r="AH2368" s="14"/>
      <c r="AI2368" s="14"/>
      <c r="AJ2368" s="14"/>
      <c r="AK2368" s="14"/>
      <c r="AL2368" s="14"/>
      <c r="AM2368" s="14"/>
    </row>
    <row r="2369" ht="14.25" customHeight="1">
      <c r="AA2369" s="7">
        <f t="shared" si="2"/>
        <v>43275</v>
      </c>
      <c r="AB2369" s="14"/>
      <c r="AC2369" s="14"/>
      <c r="AD2369" s="14"/>
      <c r="AE2369" s="14"/>
      <c r="AF2369" s="14"/>
      <c r="AG2369" s="14"/>
      <c r="AH2369" s="14"/>
      <c r="AI2369" s="14"/>
      <c r="AJ2369" s="14"/>
      <c r="AK2369" s="14"/>
      <c r="AL2369" s="14"/>
      <c r="AM2369" s="14"/>
    </row>
    <row r="2370" ht="14.25" customHeight="1">
      <c r="AA2370" s="7">
        <f t="shared" si="2"/>
        <v>43276</v>
      </c>
      <c r="AB2370" s="14"/>
      <c r="AC2370" s="14"/>
      <c r="AD2370" s="14"/>
      <c r="AE2370" s="14"/>
      <c r="AF2370" s="14"/>
      <c r="AG2370" s="14"/>
      <c r="AH2370" s="14"/>
      <c r="AI2370" s="14"/>
      <c r="AJ2370" s="14"/>
      <c r="AK2370" s="14"/>
      <c r="AL2370" s="14"/>
      <c r="AM2370" s="14"/>
    </row>
    <row r="2371" ht="14.25" customHeight="1">
      <c r="AA2371" s="7">
        <f t="shared" si="2"/>
        <v>43277</v>
      </c>
      <c r="AB2371" s="14"/>
      <c r="AC2371" s="14"/>
      <c r="AD2371" s="14"/>
      <c r="AE2371" s="14"/>
      <c r="AF2371" s="14"/>
      <c r="AG2371" s="14"/>
      <c r="AH2371" s="14"/>
      <c r="AI2371" s="14"/>
      <c r="AJ2371" s="14"/>
      <c r="AK2371" s="14"/>
      <c r="AL2371" s="14"/>
      <c r="AM2371" s="14"/>
    </row>
    <row r="2372" ht="14.25" customHeight="1">
      <c r="AA2372" s="7">
        <f t="shared" si="2"/>
        <v>43278</v>
      </c>
      <c r="AB2372" s="14"/>
      <c r="AC2372" s="14"/>
      <c r="AD2372" s="14"/>
      <c r="AE2372" s="14"/>
      <c r="AF2372" s="14"/>
      <c r="AG2372" s="14"/>
      <c r="AH2372" s="14"/>
      <c r="AI2372" s="14"/>
      <c r="AJ2372" s="14"/>
      <c r="AK2372" s="14"/>
      <c r="AL2372" s="14"/>
      <c r="AM2372" s="14"/>
    </row>
    <row r="2373" ht="14.25" customHeight="1">
      <c r="AA2373" s="7">
        <f t="shared" si="2"/>
        <v>43279</v>
      </c>
      <c r="AB2373" s="14"/>
      <c r="AC2373" s="14"/>
      <c r="AD2373" s="14"/>
      <c r="AE2373" s="14"/>
      <c r="AF2373" s="14"/>
      <c r="AG2373" s="14"/>
      <c r="AH2373" s="14"/>
      <c r="AI2373" s="14"/>
      <c r="AJ2373" s="14"/>
      <c r="AK2373" s="14"/>
      <c r="AL2373" s="14"/>
      <c r="AM2373" s="14"/>
    </row>
    <row r="2374" ht="14.25" customHeight="1">
      <c r="AA2374" s="7">
        <f t="shared" si="2"/>
        <v>43280</v>
      </c>
      <c r="AB2374" s="14"/>
      <c r="AC2374" s="14"/>
      <c r="AD2374" s="14"/>
      <c r="AE2374" s="14"/>
      <c r="AF2374" s="14"/>
      <c r="AG2374" s="14"/>
      <c r="AH2374" s="14"/>
      <c r="AI2374" s="14"/>
      <c r="AJ2374" s="14"/>
      <c r="AK2374" s="14"/>
      <c r="AL2374" s="14"/>
      <c r="AM2374" s="14"/>
    </row>
    <row r="2375" ht="14.25" customHeight="1">
      <c r="AA2375" s="7">
        <f t="shared" si="2"/>
        <v>43281</v>
      </c>
      <c r="AB2375" s="14"/>
      <c r="AC2375" s="14"/>
      <c r="AD2375" s="14"/>
      <c r="AE2375" s="14"/>
      <c r="AF2375" s="14"/>
      <c r="AG2375" s="14"/>
      <c r="AH2375" s="14"/>
      <c r="AI2375" s="14"/>
      <c r="AJ2375" s="14"/>
      <c r="AK2375" s="14"/>
      <c r="AL2375" s="14"/>
      <c r="AM2375" s="14"/>
    </row>
    <row r="2376" ht="14.25" customHeight="1">
      <c r="AA2376" s="7">
        <f t="shared" si="2"/>
        <v>43282</v>
      </c>
      <c r="AB2376" s="14"/>
      <c r="AC2376" s="14"/>
      <c r="AD2376" s="14"/>
      <c r="AE2376" s="14"/>
      <c r="AF2376" s="14"/>
      <c r="AG2376" s="14"/>
      <c r="AH2376" s="14"/>
      <c r="AI2376" s="14"/>
      <c r="AJ2376" s="14"/>
      <c r="AK2376" s="14"/>
      <c r="AL2376" s="14"/>
      <c r="AM2376" s="14"/>
    </row>
    <row r="2377" ht="14.25" customHeight="1">
      <c r="AA2377" s="7">
        <f t="shared" si="2"/>
        <v>43283</v>
      </c>
      <c r="AB2377" s="14"/>
      <c r="AC2377" s="14"/>
      <c r="AD2377" s="14"/>
      <c r="AE2377" s="14"/>
      <c r="AF2377" s="14"/>
      <c r="AG2377" s="14"/>
      <c r="AH2377" s="14"/>
      <c r="AI2377" s="14"/>
      <c r="AJ2377" s="14"/>
      <c r="AK2377" s="14"/>
      <c r="AL2377" s="14"/>
      <c r="AM2377" s="14"/>
    </row>
    <row r="2378" ht="14.25" customHeight="1">
      <c r="AA2378" s="7">
        <f t="shared" si="2"/>
        <v>43284</v>
      </c>
      <c r="AB2378" s="14"/>
      <c r="AC2378" s="14"/>
      <c r="AD2378" s="14"/>
      <c r="AE2378" s="14"/>
      <c r="AF2378" s="14"/>
      <c r="AG2378" s="14"/>
      <c r="AH2378" s="14"/>
      <c r="AI2378" s="14"/>
      <c r="AJ2378" s="14"/>
      <c r="AK2378" s="14"/>
      <c r="AL2378" s="14"/>
      <c r="AM2378" s="14"/>
    </row>
    <row r="2379" ht="14.25" customHeight="1">
      <c r="AA2379" s="7">
        <f t="shared" si="2"/>
        <v>43285</v>
      </c>
      <c r="AB2379" s="14"/>
      <c r="AC2379" s="14"/>
      <c r="AD2379" s="14"/>
      <c r="AE2379" s="14"/>
      <c r="AF2379" s="14"/>
      <c r="AG2379" s="14"/>
      <c r="AH2379" s="14"/>
      <c r="AI2379" s="14"/>
      <c r="AJ2379" s="14"/>
      <c r="AK2379" s="14"/>
      <c r="AL2379" s="14"/>
      <c r="AM2379" s="14"/>
    </row>
    <row r="2380" ht="14.25" customHeight="1">
      <c r="AA2380" s="7">
        <f t="shared" si="2"/>
        <v>43286</v>
      </c>
      <c r="AB2380" s="14"/>
      <c r="AC2380" s="14"/>
      <c r="AD2380" s="14"/>
      <c r="AE2380" s="14"/>
      <c r="AF2380" s="14"/>
      <c r="AG2380" s="14"/>
      <c r="AH2380" s="14"/>
      <c r="AI2380" s="14"/>
      <c r="AJ2380" s="14"/>
      <c r="AK2380" s="14"/>
      <c r="AL2380" s="14"/>
      <c r="AM2380" s="14"/>
    </row>
    <row r="2381" ht="14.25" customHeight="1">
      <c r="AA2381" s="7">
        <f t="shared" si="2"/>
        <v>43287</v>
      </c>
      <c r="AB2381" s="14"/>
      <c r="AC2381" s="14"/>
      <c r="AD2381" s="14"/>
      <c r="AE2381" s="14"/>
      <c r="AF2381" s="14"/>
      <c r="AG2381" s="14"/>
      <c r="AH2381" s="14"/>
      <c r="AI2381" s="14"/>
      <c r="AJ2381" s="14"/>
      <c r="AK2381" s="14"/>
      <c r="AL2381" s="14"/>
      <c r="AM2381" s="14"/>
    </row>
    <row r="2382" ht="14.25" customHeight="1">
      <c r="AA2382" s="7">
        <f t="shared" si="2"/>
        <v>43288</v>
      </c>
      <c r="AB2382" s="14"/>
      <c r="AC2382" s="14"/>
      <c r="AD2382" s="14"/>
      <c r="AE2382" s="14"/>
      <c r="AF2382" s="14"/>
      <c r="AG2382" s="14"/>
      <c r="AH2382" s="14"/>
      <c r="AI2382" s="14"/>
      <c r="AJ2382" s="14"/>
      <c r="AK2382" s="14"/>
      <c r="AL2382" s="14"/>
      <c r="AM2382" s="14"/>
    </row>
    <row r="2383" ht="14.25" customHeight="1">
      <c r="AA2383" s="7">
        <f t="shared" si="2"/>
        <v>43289</v>
      </c>
      <c r="AB2383" s="14"/>
      <c r="AC2383" s="14"/>
      <c r="AD2383" s="14"/>
      <c r="AE2383" s="14"/>
      <c r="AF2383" s="14"/>
      <c r="AG2383" s="14"/>
      <c r="AH2383" s="14"/>
      <c r="AI2383" s="14"/>
      <c r="AJ2383" s="14"/>
      <c r="AK2383" s="14"/>
      <c r="AL2383" s="14"/>
      <c r="AM2383" s="14"/>
    </row>
    <row r="2384" ht="14.25" customHeight="1">
      <c r="AA2384" s="7">
        <f t="shared" si="2"/>
        <v>43290</v>
      </c>
      <c r="AB2384" s="14"/>
      <c r="AC2384" s="14"/>
      <c r="AD2384" s="14"/>
      <c r="AE2384" s="14"/>
      <c r="AF2384" s="14"/>
      <c r="AG2384" s="14"/>
      <c r="AH2384" s="14"/>
      <c r="AI2384" s="14"/>
      <c r="AJ2384" s="14"/>
      <c r="AK2384" s="14"/>
      <c r="AL2384" s="14"/>
      <c r="AM2384" s="14"/>
    </row>
    <row r="2385" ht="14.25" customHeight="1">
      <c r="AA2385" s="7">
        <f t="shared" si="2"/>
        <v>43291</v>
      </c>
      <c r="AB2385" s="14"/>
      <c r="AC2385" s="14"/>
      <c r="AD2385" s="14"/>
      <c r="AE2385" s="14"/>
      <c r="AF2385" s="14"/>
      <c r="AG2385" s="14"/>
      <c r="AH2385" s="14"/>
      <c r="AI2385" s="14"/>
      <c r="AJ2385" s="14"/>
      <c r="AK2385" s="14"/>
      <c r="AL2385" s="14"/>
      <c r="AM2385" s="14"/>
    </row>
    <row r="2386" ht="14.25" customHeight="1">
      <c r="AA2386" s="7">
        <f t="shared" si="2"/>
        <v>43292</v>
      </c>
      <c r="AB2386" s="14"/>
      <c r="AC2386" s="14"/>
      <c r="AD2386" s="14"/>
      <c r="AE2386" s="14"/>
      <c r="AF2386" s="14"/>
      <c r="AG2386" s="14"/>
      <c r="AH2386" s="14"/>
      <c r="AI2386" s="14"/>
      <c r="AJ2386" s="14"/>
      <c r="AK2386" s="14"/>
      <c r="AL2386" s="14"/>
      <c r="AM2386" s="14"/>
    </row>
    <row r="2387" ht="14.25" customHeight="1">
      <c r="AA2387" s="7">
        <f t="shared" si="2"/>
        <v>43293</v>
      </c>
      <c r="AB2387" s="14"/>
      <c r="AC2387" s="14"/>
      <c r="AD2387" s="14"/>
      <c r="AE2387" s="14"/>
      <c r="AF2387" s="14"/>
      <c r="AG2387" s="14"/>
      <c r="AH2387" s="14"/>
      <c r="AI2387" s="14"/>
      <c r="AJ2387" s="14"/>
      <c r="AK2387" s="14"/>
      <c r="AL2387" s="14"/>
      <c r="AM2387" s="14"/>
    </row>
    <row r="2388" ht="14.25" customHeight="1">
      <c r="AA2388" s="7">
        <f t="shared" si="2"/>
        <v>43294</v>
      </c>
      <c r="AB2388" s="14"/>
      <c r="AC2388" s="14"/>
      <c r="AD2388" s="14"/>
      <c r="AE2388" s="14"/>
      <c r="AF2388" s="14"/>
      <c r="AG2388" s="14"/>
      <c r="AH2388" s="14"/>
      <c r="AI2388" s="14"/>
      <c r="AJ2388" s="14"/>
      <c r="AK2388" s="14"/>
      <c r="AL2388" s="14"/>
      <c r="AM2388" s="14"/>
    </row>
    <row r="2389" ht="14.25" customHeight="1">
      <c r="AA2389" s="7">
        <f t="shared" si="2"/>
        <v>43295</v>
      </c>
      <c r="AB2389" s="14"/>
      <c r="AC2389" s="14"/>
      <c r="AD2389" s="14"/>
      <c r="AE2389" s="14"/>
      <c r="AF2389" s="14"/>
      <c r="AG2389" s="14"/>
      <c r="AH2389" s="14"/>
      <c r="AI2389" s="14"/>
      <c r="AJ2389" s="14"/>
      <c r="AK2389" s="14"/>
      <c r="AL2389" s="14"/>
      <c r="AM2389" s="14"/>
    </row>
    <row r="2390" ht="14.25" customHeight="1">
      <c r="AA2390" s="7">
        <f t="shared" si="2"/>
        <v>43296</v>
      </c>
      <c r="AB2390" s="14"/>
      <c r="AC2390" s="14"/>
      <c r="AD2390" s="14"/>
      <c r="AE2390" s="14"/>
      <c r="AF2390" s="14"/>
      <c r="AG2390" s="14"/>
      <c r="AH2390" s="14"/>
      <c r="AI2390" s="14"/>
      <c r="AJ2390" s="14"/>
      <c r="AK2390" s="14"/>
      <c r="AL2390" s="14"/>
      <c r="AM2390" s="14"/>
    </row>
    <row r="2391" ht="14.25" customHeight="1">
      <c r="AA2391" s="7">
        <f t="shared" si="2"/>
        <v>43297</v>
      </c>
      <c r="AB2391" s="14"/>
      <c r="AC2391" s="14"/>
      <c r="AD2391" s="14"/>
      <c r="AE2391" s="14"/>
      <c r="AF2391" s="14"/>
      <c r="AG2391" s="14"/>
      <c r="AH2391" s="14"/>
      <c r="AI2391" s="14"/>
      <c r="AJ2391" s="14"/>
      <c r="AK2391" s="14"/>
      <c r="AL2391" s="14"/>
      <c r="AM2391" s="14"/>
    </row>
    <row r="2392" ht="14.25" customHeight="1">
      <c r="AA2392" s="7">
        <f t="shared" si="2"/>
        <v>43298</v>
      </c>
      <c r="AB2392" s="14"/>
      <c r="AC2392" s="14"/>
      <c r="AD2392" s="14"/>
      <c r="AE2392" s="14"/>
      <c r="AF2392" s="14"/>
      <c r="AG2392" s="14"/>
      <c r="AH2392" s="14"/>
      <c r="AI2392" s="14"/>
      <c r="AJ2392" s="14"/>
      <c r="AK2392" s="14"/>
      <c r="AL2392" s="14"/>
      <c r="AM2392" s="14"/>
    </row>
    <row r="2393" ht="14.25" customHeight="1">
      <c r="AA2393" s="7">
        <f t="shared" si="2"/>
        <v>43299</v>
      </c>
      <c r="AB2393" s="14"/>
      <c r="AC2393" s="14"/>
      <c r="AD2393" s="14"/>
      <c r="AE2393" s="14"/>
      <c r="AF2393" s="14"/>
      <c r="AG2393" s="14"/>
      <c r="AH2393" s="14"/>
      <c r="AI2393" s="14"/>
      <c r="AJ2393" s="14"/>
      <c r="AK2393" s="14"/>
      <c r="AL2393" s="14"/>
      <c r="AM2393" s="14"/>
    </row>
    <row r="2394" ht="14.25" customHeight="1">
      <c r="AA2394" s="7">
        <f t="shared" si="2"/>
        <v>43300</v>
      </c>
      <c r="AB2394" s="14"/>
      <c r="AC2394" s="14"/>
      <c r="AD2394" s="14"/>
      <c r="AE2394" s="14"/>
      <c r="AF2394" s="14"/>
      <c r="AG2394" s="14"/>
      <c r="AH2394" s="14"/>
      <c r="AI2394" s="14"/>
      <c r="AJ2394" s="14"/>
      <c r="AK2394" s="14"/>
      <c r="AL2394" s="14"/>
      <c r="AM2394" s="14"/>
    </row>
    <row r="2395" ht="14.25" customHeight="1">
      <c r="AA2395" s="7">
        <f t="shared" si="2"/>
        <v>43301</v>
      </c>
      <c r="AB2395" s="14"/>
      <c r="AC2395" s="14"/>
      <c r="AD2395" s="14"/>
      <c r="AE2395" s="14"/>
      <c r="AF2395" s="14"/>
      <c r="AG2395" s="14"/>
      <c r="AH2395" s="14"/>
      <c r="AI2395" s="14"/>
      <c r="AJ2395" s="14"/>
      <c r="AK2395" s="14"/>
      <c r="AL2395" s="14"/>
      <c r="AM2395" s="14"/>
    </row>
    <row r="2396" ht="14.25" customHeight="1">
      <c r="AA2396" s="7">
        <f t="shared" si="2"/>
        <v>43302</v>
      </c>
      <c r="AB2396" s="14"/>
      <c r="AC2396" s="14"/>
      <c r="AD2396" s="14"/>
      <c r="AE2396" s="14"/>
      <c r="AF2396" s="14"/>
      <c r="AG2396" s="14"/>
      <c r="AH2396" s="14"/>
      <c r="AI2396" s="14"/>
      <c r="AJ2396" s="14"/>
      <c r="AK2396" s="14"/>
      <c r="AL2396" s="14"/>
      <c r="AM2396" s="14"/>
    </row>
    <row r="2397" ht="14.25" customHeight="1">
      <c r="AA2397" s="7">
        <f t="shared" si="2"/>
        <v>43303</v>
      </c>
      <c r="AB2397" s="14"/>
      <c r="AC2397" s="14"/>
      <c r="AD2397" s="14"/>
      <c r="AE2397" s="14"/>
      <c r="AF2397" s="14"/>
      <c r="AG2397" s="14"/>
      <c r="AH2397" s="14"/>
      <c r="AI2397" s="14"/>
      <c r="AJ2397" s="14"/>
      <c r="AK2397" s="14"/>
      <c r="AL2397" s="14"/>
      <c r="AM2397" s="14"/>
    </row>
    <row r="2398" ht="14.25" customHeight="1">
      <c r="AA2398" s="7">
        <f t="shared" si="2"/>
        <v>43304</v>
      </c>
      <c r="AB2398" s="14"/>
      <c r="AC2398" s="14"/>
      <c r="AD2398" s="14"/>
      <c r="AE2398" s="14"/>
      <c r="AF2398" s="14"/>
      <c r="AG2398" s="14"/>
      <c r="AH2398" s="14"/>
      <c r="AI2398" s="14"/>
      <c r="AJ2398" s="14"/>
      <c r="AK2398" s="14"/>
      <c r="AL2398" s="14"/>
      <c r="AM2398" s="14"/>
    </row>
    <row r="2399" ht="14.25" customHeight="1">
      <c r="AA2399" s="7">
        <f t="shared" si="2"/>
        <v>43305</v>
      </c>
      <c r="AB2399" s="14"/>
      <c r="AC2399" s="14"/>
      <c r="AD2399" s="14"/>
      <c r="AE2399" s="14"/>
      <c r="AF2399" s="14"/>
      <c r="AG2399" s="14"/>
      <c r="AH2399" s="14"/>
      <c r="AI2399" s="14"/>
      <c r="AJ2399" s="14"/>
      <c r="AK2399" s="14"/>
      <c r="AL2399" s="14"/>
      <c r="AM2399" s="14"/>
    </row>
    <row r="2400" ht="14.25" customHeight="1">
      <c r="AA2400" s="7">
        <f t="shared" si="2"/>
        <v>43306</v>
      </c>
      <c r="AB2400" s="14"/>
      <c r="AC2400" s="14"/>
      <c r="AD2400" s="14"/>
      <c r="AE2400" s="14"/>
      <c r="AF2400" s="14"/>
      <c r="AG2400" s="14"/>
      <c r="AH2400" s="14"/>
      <c r="AI2400" s="14"/>
      <c r="AJ2400" s="14"/>
      <c r="AK2400" s="14"/>
      <c r="AL2400" s="14"/>
      <c r="AM2400" s="14"/>
    </row>
    <row r="2401" ht="14.25" customHeight="1">
      <c r="AA2401" s="7">
        <f t="shared" si="2"/>
        <v>43307</v>
      </c>
      <c r="AB2401" s="14"/>
      <c r="AC2401" s="14"/>
      <c r="AD2401" s="14"/>
      <c r="AE2401" s="14"/>
      <c r="AF2401" s="14"/>
      <c r="AG2401" s="14"/>
      <c r="AH2401" s="14"/>
      <c r="AI2401" s="14"/>
      <c r="AJ2401" s="14"/>
      <c r="AK2401" s="14"/>
      <c r="AL2401" s="14"/>
      <c r="AM2401" s="14"/>
    </row>
    <row r="2402" ht="14.25" customHeight="1">
      <c r="AA2402" s="7">
        <f t="shared" si="2"/>
        <v>43308</v>
      </c>
      <c r="AB2402" s="14"/>
      <c r="AC2402" s="14"/>
      <c r="AD2402" s="14"/>
      <c r="AE2402" s="14"/>
      <c r="AF2402" s="14"/>
      <c r="AG2402" s="14"/>
      <c r="AH2402" s="14"/>
      <c r="AI2402" s="14"/>
      <c r="AJ2402" s="14"/>
      <c r="AK2402" s="14"/>
      <c r="AL2402" s="14"/>
      <c r="AM2402" s="14"/>
    </row>
    <row r="2403" ht="14.25" customHeight="1">
      <c r="AA2403" s="7">
        <f t="shared" si="2"/>
        <v>43309</v>
      </c>
      <c r="AB2403" s="14"/>
      <c r="AC2403" s="14"/>
      <c r="AD2403" s="14"/>
      <c r="AE2403" s="14"/>
      <c r="AF2403" s="14"/>
      <c r="AG2403" s="14"/>
      <c r="AH2403" s="14"/>
      <c r="AI2403" s="14"/>
      <c r="AJ2403" s="14"/>
      <c r="AK2403" s="14"/>
      <c r="AL2403" s="14"/>
      <c r="AM2403" s="14"/>
    </row>
    <row r="2404" ht="14.25" customHeight="1">
      <c r="AA2404" s="7">
        <f t="shared" si="2"/>
        <v>43310</v>
      </c>
      <c r="AB2404" s="14"/>
      <c r="AC2404" s="14"/>
      <c r="AD2404" s="14"/>
      <c r="AE2404" s="14"/>
      <c r="AF2404" s="14"/>
      <c r="AG2404" s="14"/>
      <c r="AH2404" s="14"/>
      <c r="AI2404" s="14"/>
      <c r="AJ2404" s="14"/>
      <c r="AK2404" s="14"/>
      <c r="AL2404" s="14"/>
      <c r="AM2404" s="14"/>
    </row>
    <row r="2405" ht="14.25" customHeight="1">
      <c r="AA2405" s="7">
        <f t="shared" si="2"/>
        <v>43311</v>
      </c>
      <c r="AB2405" s="14"/>
      <c r="AC2405" s="14"/>
      <c r="AD2405" s="14"/>
      <c r="AE2405" s="14"/>
      <c r="AF2405" s="14"/>
      <c r="AG2405" s="14"/>
      <c r="AH2405" s="14"/>
      <c r="AI2405" s="14"/>
      <c r="AJ2405" s="14"/>
      <c r="AK2405" s="14"/>
      <c r="AL2405" s="14"/>
      <c r="AM2405" s="14"/>
    </row>
    <row r="2406" ht="14.25" customHeight="1">
      <c r="AA2406" s="7">
        <f t="shared" si="2"/>
        <v>43312</v>
      </c>
      <c r="AB2406" s="14"/>
      <c r="AC2406" s="14"/>
      <c r="AD2406" s="14"/>
      <c r="AE2406" s="14"/>
      <c r="AF2406" s="14"/>
      <c r="AG2406" s="14"/>
      <c r="AH2406" s="14"/>
      <c r="AI2406" s="14"/>
      <c r="AJ2406" s="14"/>
      <c r="AK2406" s="14"/>
      <c r="AL2406" s="14"/>
      <c r="AM2406" s="14"/>
    </row>
    <row r="2407" ht="14.25" customHeight="1">
      <c r="AA2407" s="7">
        <f t="shared" si="2"/>
        <v>43313</v>
      </c>
      <c r="AB2407" s="14"/>
      <c r="AC2407" s="14"/>
      <c r="AD2407" s="14"/>
      <c r="AE2407" s="14"/>
      <c r="AF2407" s="14"/>
      <c r="AG2407" s="14"/>
      <c r="AH2407" s="14"/>
      <c r="AI2407" s="14"/>
      <c r="AJ2407" s="14"/>
      <c r="AK2407" s="14"/>
      <c r="AL2407" s="14"/>
      <c r="AM2407" s="14"/>
    </row>
    <row r="2408" ht="14.25" customHeight="1">
      <c r="AA2408" s="7">
        <f t="shared" si="2"/>
        <v>43314</v>
      </c>
      <c r="AB2408" s="14"/>
      <c r="AC2408" s="14"/>
      <c r="AD2408" s="14"/>
      <c r="AE2408" s="14"/>
      <c r="AF2408" s="14"/>
      <c r="AG2408" s="14"/>
      <c r="AH2408" s="14"/>
      <c r="AI2408" s="14"/>
      <c r="AJ2408" s="14"/>
      <c r="AK2408" s="14"/>
      <c r="AL2408" s="14"/>
      <c r="AM2408" s="14"/>
    </row>
    <row r="2409" ht="14.25" customHeight="1">
      <c r="AA2409" s="7">
        <f t="shared" si="2"/>
        <v>43315</v>
      </c>
      <c r="AB2409" s="14"/>
      <c r="AC2409" s="14"/>
      <c r="AD2409" s="14"/>
      <c r="AE2409" s="14"/>
      <c r="AF2409" s="14"/>
      <c r="AG2409" s="14"/>
      <c r="AH2409" s="14"/>
      <c r="AI2409" s="14"/>
      <c r="AJ2409" s="14"/>
      <c r="AK2409" s="14"/>
      <c r="AL2409" s="14"/>
      <c r="AM2409" s="14"/>
    </row>
    <row r="2410" ht="14.25" customHeight="1">
      <c r="AA2410" s="7">
        <f t="shared" si="2"/>
        <v>43316</v>
      </c>
      <c r="AB2410" s="14"/>
      <c r="AC2410" s="14"/>
      <c r="AD2410" s="14"/>
      <c r="AE2410" s="14"/>
      <c r="AF2410" s="14"/>
      <c r="AG2410" s="14"/>
      <c r="AH2410" s="14"/>
      <c r="AI2410" s="14"/>
      <c r="AJ2410" s="14"/>
      <c r="AK2410" s="14"/>
      <c r="AL2410" s="14"/>
      <c r="AM2410" s="14"/>
    </row>
    <row r="2411" ht="14.25" customHeight="1">
      <c r="AA2411" s="7">
        <f t="shared" si="2"/>
        <v>43317</v>
      </c>
      <c r="AB2411" s="14"/>
      <c r="AC2411" s="14"/>
      <c r="AD2411" s="14"/>
      <c r="AE2411" s="14"/>
      <c r="AF2411" s="14"/>
      <c r="AG2411" s="14"/>
      <c r="AH2411" s="14"/>
      <c r="AI2411" s="14"/>
      <c r="AJ2411" s="14"/>
      <c r="AK2411" s="14"/>
      <c r="AL2411" s="14"/>
      <c r="AM2411" s="14"/>
    </row>
    <row r="2412" ht="14.25" customHeight="1">
      <c r="AA2412" s="7">
        <f t="shared" si="2"/>
        <v>43318</v>
      </c>
      <c r="AB2412" s="14"/>
      <c r="AC2412" s="14"/>
      <c r="AD2412" s="14"/>
      <c r="AE2412" s="14"/>
      <c r="AF2412" s="14"/>
      <c r="AG2412" s="14"/>
      <c r="AH2412" s="14"/>
      <c r="AI2412" s="14"/>
      <c r="AJ2412" s="14"/>
      <c r="AK2412" s="14"/>
      <c r="AL2412" s="14"/>
      <c r="AM2412" s="14"/>
    </row>
    <row r="2413" ht="14.25" customHeight="1">
      <c r="AA2413" s="7">
        <f t="shared" si="2"/>
        <v>43319</v>
      </c>
      <c r="AB2413" s="14"/>
      <c r="AC2413" s="14"/>
      <c r="AD2413" s="14"/>
      <c r="AE2413" s="14"/>
      <c r="AF2413" s="14"/>
      <c r="AG2413" s="14"/>
      <c r="AH2413" s="14"/>
      <c r="AI2413" s="14"/>
      <c r="AJ2413" s="14"/>
      <c r="AK2413" s="14"/>
      <c r="AL2413" s="14"/>
      <c r="AM2413" s="14"/>
    </row>
    <row r="2414" ht="14.25" customHeight="1">
      <c r="AA2414" s="7">
        <f t="shared" si="2"/>
        <v>43320</v>
      </c>
      <c r="AB2414" s="14"/>
      <c r="AC2414" s="14"/>
      <c r="AD2414" s="14"/>
      <c r="AE2414" s="14"/>
      <c r="AF2414" s="14"/>
      <c r="AG2414" s="14"/>
      <c r="AH2414" s="14"/>
      <c r="AI2414" s="14"/>
      <c r="AJ2414" s="14"/>
      <c r="AK2414" s="14"/>
      <c r="AL2414" s="14"/>
      <c r="AM2414" s="14"/>
    </row>
    <row r="2415" ht="14.25" customHeight="1">
      <c r="AA2415" s="7">
        <f t="shared" si="2"/>
        <v>43321</v>
      </c>
      <c r="AB2415" s="14"/>
      <c r="AC2415" s="14"/>
      <c r="AD2415" s="14"/>
      <c r="AE2415" s="14"/>
      <c r="AF2415" s="14"/>
      <c r="AG2415" s="14"/>
      <c r="AH2415" s="14"/>
      <c r="AI2415" s="14"/>
      <c r="AJ2415" s="14"/>
      <c r="AK2415" s="14"/>
      <c r="AL2415" s="14"/>
      <c r="AM2415" s="14"/>
    </row>
    <row r="2416" ht="14.25" customHeight="1">
      <c r="AA2416" s="7">
        <f t="shared" si="2"/>
        <v>43322</v>
      </c>
      <c r="AB2416" s="14"/>
      <c r="AC2416" s="14"/>
      <c r="AD2416" s="14"/>
      <c r="AE2416" s="14"/>
      <c r="AF2416" s="14"/>
      <c r="AG2416" s="14"/>
      <c r="AH2416" s="14"/>
      <c r="AI2416" s="14"/>
      <c r="AJ2416" s="14"/>
      <c r="AK2416" s="14"/>
      <c r="AL2416" s="14"/>
      <c r="AM2416" s="14"/>
    </row>
    <row r="2417" ht="14.25" customHeight="1">
      <c r="AA2417" s="7">
        <f t="shared" si="2"/>
        <v>43323</v>
      </c>
      <c r="AB2417" s="14"/>
      <c r="AC2417" s="14"/>
      <c r="AD2417" s="14"/>
      <c r="AE2417" s="14"/>
      <c r="AF2417" s="14"/>
      <c r="AG2417" s="14"/>
      <c r="AH2417" s="14"/>
      <c r="AI2417" s="14"/>
      <c r="AJ2417" s="14"/>
      <c r="AK2417" s="14"/>
      <c r="AL2417" s="14"/>
      <c r="AM2417" s="14"/>
    </row>
    <row r="2418" ht="14.25" customHeight="1">
      <c r="AA2418" s="7">
        <f t="shared" si="2"/>
        <v>43324</v>
      </c>
      <c r="AB2418" s="14"/>
      <c r="AC2418" s="14"/>
      <c r="AD2418" s="14"/>
      <c r="AE2418" s="14"/>
      <c r="AF2418" s="14"/>
      <c r="AG2418" s="14"/>
      <c r="AH2418" s="14"/>
      <c r="AI2418" s="14"/>
      <c r="AJ2418" s="14"/>
      <c r="AK2418" s="14"/>
      <c r="AL2418" s="14"/>
      <c r="AM2418" s="14"/>
    </row>
    <row r="2419" ht="14.25" customHeight="1">
      <c r="AA2419" s="7">
        <f t="shared" si="2"/>
        <v>43325</v>
      </c>
      <c r="AB2419" s="14"/>
      <c r="AC2419" s="14"/>
      <c r="AD2419" s="14"/>
      <c r="AE2419" s="14"/>
      <c r="AF2419" s="14"/>
      <c r="AG2419" s="14"/>
      <c r="AH2419" s="14"/>
      <c r="AI2419" s="14"/>
      <c r="AJ2419" s="14"/>
      <c r="AK2419" s="14"/>
      <c r="AL2419" s="14"/>
      <c r="AM2419" s="14"/>
    </row>
    <row r="2420" ht="14.25" customHeight="1">
      <c r="AA2420" s="7">
        <f t="shared" si="2"/>
        <v>43326</v>
      </c>
      <c r="AB2420" s="14"/>
      <c r="AC2420" s="14"/>
      <c r="AD2420" s="14"/>
      <c r="AE2420" s="14"/>
      <c r="AF2420" s="14"/>
      <c r="AG2420" s="14"/>
      <c r="AH2420" s="14"/>
      <c r="AI2420" s="14"/>
      <c r="AJ2420" s="14"/>
      <c r="AK2420" s="14"/>
      <c r="AL2420" s="14"/>
      <c r="AM2420" s="14"/>
    </row>
    <row r="2421" ht="14.25" customHeight="1">
      <c r="AA2421" s="7">
        <f t="shared" si="2"/>
        <v>43327</v>
      </c>
      <c r="AB2421" s="14"/>
      <c r="AC2421" s="14"/>
      <c r="AD2421" s="14"/>
      <c r="AE2421" s="14"/>
      <c r="AF2421" s="14"/>
      <c r="AG2421" s="14"/>
      <c r="AH2421" s="14"/>
      <c r="AI2421" s="14"/>
      <c r="AJ2421" s="14"/>
      <c r="AK2421" s="14"/>
      <c r="AL2421" s="14"/>
      <c r="AM2421" s="14"/>
    </row>
    <row r="2422" ht="14.25" customHeight="1">
      <c r="AA2422" s="7">
        <f t="shared" si="2"/>
        <v>43328</v>
      </c>
      <c r="AB2422" s="14"/>
      <c r="AC2422" s="14"/>
      <c r="AD2422" s="14"/>
      <c r="AE2422" s="14"/>
      <c r="AF2422" s="14"/>
      <c r="AG2422" s="14"/>
      <c r="AH2422" s="14"/>
      <c r="AI2422" s="14"/>
      <c r="AJ2422" s="14"/>
      <c r="AK2422" s="14"/>
      <c r="AL2422" s="14"/>
      <c r="AM2422" s="14"/>
    </row>
    <row r="2423" ht="14.25" customHeight="1">
      <c r="AA2423" s="7">
        <f t="shared" si="2"/>
        <v>43329</v>
      </c>
      <c r="AB2423" s="14"/>
      <c r="AC2423" s="14"/>
      <c r="AD2423" s="14"/>
      <c r="AE2423" s="14"/>
      <c r="AF2423" s="14"/>
      <c r="AG2423" s="14"/>
      <c r="AH2423" s="14"/>
      <c r="AI2423" s="14"/>
      <c r="AJ2423" s="14"/>
      <c r="AK2423" s="14"/>
      <c r="AL2423" s="14"/>
      <c r="AM2423" s="14"/>
    </row>
    <row r="2424" ht="14.25" customHeight="1">
      <c r="AA2424" s="7">
        <f t="shared" si="2"/>
        <v>43330</v>
      </c>
      <c r="AB2424" s="14"/>
      <c r="AC2424" s="14"/>
      <c r="AD2424" s="14"/>
      <c r="AE2424" s="14"/>
      <c r="AF2424" s="14"/>
      <c r="AG2424" s="14"/>
      <c r="AH2424" s="14"/>
      <c r="AI2424" s="14"/>
      <c r="AJ2424" s="14"/>
      <c r="AK2424" s="14"/>
      <c r="AL2424" s="14"/>
      <c r="AM2424" s="14"/>
    </row>
    <row r="2425" ht="14.25" customHeight="1">
      <c r="AA2425" s="7">
        <f t="shared" si="2"/>
        <v>43331</v>
      </c>
      <c r="AB2425" s="14"/>
      <c r="AC2425" s="14"/>
      <c r="AD2425" s="14"/>
      <c r="AE2425" s="14"/>
      <c r="AF2425" s="14"/>
      <c r="AG2425" s="14"/>
      <c r="AH2425" s="14"/>
      <c r="AI2425" s="14"/>
      <c r="AJ2425" s="14"/>
      <c r="AK2425" s="14"/>
      <c r="AL2425" s="14"/>
      <c r="AM2425" s="14"/>
    </row>
    <row r="2426" ht="14.25" customHeight="1">
      <c r="AA2426" s="7">
        <f t="shared" si="2"/>
        <v>43332</v>
      </c>
      <c r="AB2426" s="14"/>
      <c r="AC2426" s="14"/>
      <c r="AD2426" s="14"/>
      <c r="AE2426" s="14"/>
      <c r="AF2426" s="14"/>
      <c r="AG2426" s="14"/>
      <c r="AH2426" s="14"/>
      <c r="AI2426" s="14"/>
      <c r="AJ2426" s="14"/>
      <c r="AK2426" s="14"/>
      <c r="AL2426" s="14"/>
      <c r="AM2426" s="14"/>
    </row>
    <row r="2427" ht="14.25" customHeight="1">
      <c r="AA2427" s="7">
        <f t="shared" si="2"/>
        <v>43333</v>
      </c>
      <c r="AB2427" s="14"/>
      <c r="AC2427" s="14"/>
      <c r="AD2427" s="14"/>
      <c r="AE2427" s="14"/>
      <c r="AF2427" s="14"/>
      <c r="AG2427" s="14"/>
      <c r="AH2427" s="14"/>
      <c r="AI2427" s="14"/>
      <c r="AJ2427" s="14"/>
      <c r="AK2427" s="14"/>
      <c r="AL2427" s="14"/>
      <c r="AM2427" s="14"/>
    </row>
    <row r="2428" ht="14.25" customHeight="1">
      <c r="AA2428" s="7">
        <f t="shared" si="2"/>
        <v>43334</v>
      </c>
      <c r="AB2428" s="14"/>
      <c r="AC2428" s="14"/>
      <c r="AD2428" s="14"/>
      <c r="AE2428" s="14"/>
      <c r="AF2428" s="14"/>
      <c r="AG2428" s="14"/>
      <c r="AH2428" s="14"/>
      <c r="AI2428" s="14"/>
      <c r="AJ2428" s="14"/>
      <c r="AK2428" s="14"/>
      <c r="AL2428" s="14"/>
      <c r="AM2428" s="14"/>
    </row>
    <row r="2429" ht="14.25" customHeight="1">
      <c r="AA2429" s="7">
        <f t="shared" si="2"/>
        <v>43335</v>
      </c>
      <c r="AB2429" s="14"/>
      <c r="AC2429" s="14"/>
      <c r="AD2429" s="14"/>
      <c r="AE2429" s="14"/>
      <c r="AF2429" s="14"/>
      <c r="AG2429" s="14"/>
      <c r="AH2429" s="14"/>
      <c r="AI2429" s="14"/>
      <c r="AJ2429" s="14"/>
      <c r="AK2429" s="14"/>
      <c r="AL2429" s="14"/>
      <c r="AM2429" s="14"/>
    </row>
    <row r="2430" ht="14.25" customHeight="1">
      <c r="AA2430" s="7">
        <f t="shared" si="2"/>
        <v>43336</v>
      </c>
      <c r="AB2430" s="14"/>
      <c r="AC2430" s="14"/>
      <c r="AD2430" s="14"/>
      <c r="AE2430" s="14"/>
      <c r="AF2430" s="14"/>
      <c r="AG2430" s="14"/>
      <c r="AH2430" s="14"/>
      <c r="AI2430" s="14"/>
      <c r="AJ2430" s="14"/>
      <c r="AK2430" s="14"/>
      <c r="AL2430" s="14"/>
      <c r="AM2430" s="14"/>
    </row>
    <row r="2431" ht="14.25" customHeight="1">
      <c r="AA2431" s="7">
        <f t="shared" si="2"/>
        <v>43337</v>
      </c>
      <c r="AB2431" s="14"/>
      <c r="AC2431" s="14"/>
      <c r="AD2431" s="14"/>
      <c r="AE2431" s="14"/>
      <c r="AF2431" s="14"/>
      <c r="AG2431" s="14"/>
      <c r="AH2431" s="14"/>
      <c r="AI2431" s="14"/>
      <c r="AJ2431" s="14"/>
      <c r="AK2431" s="14"/>
      <c r="AL2431" s="14"/>
      <c r="AM2431" s="14"/>
    </row>
    <row r="2432" ht="14.25" customHeight="1">
      <c r="AA2432" s="7">
        <f t="shared" si="2"/>
        <v>43338</v>
      </c>
      <c r="AB2432" s="14"/>
      <c r="AC2432" s="14"/>
      <c r="AD2432" s="14"/>
      <c r="AE2432" s="14"/>
      <c r="AF2432" s="14"/>
      <c r="AG2432" s="14"/>
      <c r="AH2432" s="14"/>
      <c r="AI2432" s="14"/>
      <c r="AJ2432" s="14"/>
      <c r="AK2432" s="14"/>
      <c r="AL2432" s="14"/>
      <c r="AM2432" s="14"/>
    </row>
    <row r="2433" ht="14.25" customHeight="1">
      <c r="AA2433" s="7">
        <f t="shared" si="2"/>
        <v>43339</v>
      </c>
      <c r="AB2433" s="14"/>
      <c r="AC2433" s="14"/>
      <c r="AD2433" s="14"/>
      <c r="AE2433" s="14"/>
      <c r="AF2433" s="14"/>
      <c r="AG2433" s="14"/>
      <c r="AH2433" s="14"/>
      <c r="AI2433" s="14"/>
      <c r="AJ2433" s="14"/>
      <c r="AK2433" s="14"/>
      <c r="AL2433" s="14"/>
      <c r="AM2433" s="14"/>
    </row>
    <row r="2434" ht="14.25" customHeight="1">
      <c r="AA2434" s="7">
        <f t="shared" si="2"/>
        <v>43340</v>
      </c>
      <c r="AB2434" s="14"/>
      <c r="AC2434" s="14"/>
      <c r="AD2434" s="14"/>
      <c r="AE2434" s="14"/>
      <c r="AF2434" s="14"/>
      <c r="AG2434" s="14"/>
      <c r="AH2434" s="14"/>
      <c r="AI2434" s="14"/>
      <c r="AJ2434" s="14"/>
      <c r="AK2434" s="14"/>
      <c r="AL2434" s="14"/>
      <c r="AM2434" s="14"/>
    </row>
    <row r="2435" ht="14.25" customHeight="1">
      <c r="AA2435" s="7">
        <f t="shared" si="2"/>
        <v>43341</v>
      </c>
      <c r="AB2435" s="14"/>
      <c r="AC2435" s="14"/>
      <c r="AD2435" s="14"/>
      <c r="AE2435" s="14"/>
      <c r="AF2435" s="14"/>
      <c r="AG2435" s="14"/>
      <c r="AH2435" s="14"/>
      <c r="AI2435" s="14"/>
      <c r="AJ2435" s="14"/>
      <c r="AK2435" s="14"/>
      <c r="AL2435" s="14"/>
      <c r="AM2435" s="14"/>
    </row>
    <row r="2436" ht="14.25" customHeight="1">
      <c r="AA2436" s="7">
        <f t="shared" si="2"/>
        <v>43342</v>
      </c>
      <c r="AB2436" s="14"/>
      <c r="AC2436" s="14"/>
      <c r="AD2436" s="14"/>
      <c r="AE2436" s="14"/>
      <c r="AF2436" s="14"/>
      <c r="AG2436" s="14"/>
      <c r="AH2436" s="14"/>
      <c r="AI2436" s="14"/>
      <c r="AJ2436" s="14"/>
      <c r="AK2436" s="14"/>
      <c r="AL2436" s="14"/>
      <c r="AM2436" s="14"/>
    </row>
    <row r="2437" ht="14.25" customHeight="1">
      <c r="AA2437" s="7">
        <f t="shared" si="2"/>
        <v>43343</v>
      </c>
      <c r="AB2437" s="14"/>
      <c r="AC2437" s="14"/>
      <c r="AD2437" s="14"/>
      <c r="AE2437" s="14"/>
      <c r="AF2437" s="14"/>
      <c r="AG2437" s="14"/>
      <c r="AH2437" s="14"/>
      <c r="AI2437" s="14"/>
      <c r="AJ2437" s="14"/>
      <c r="AK2437" s="14"/>
      <c r="AL2437" s="14"/>
      <c r="AM2437" s="14"/>
    </row>
    <row r="2438" ht="14.25" customHeight="1">
      <c r="AA2438" s="7">
        <f t="shared" si="2"/>
        <v>43344</v>
      </c>
      <c r="AB2438" s="14"/>
      <c r="AC2438" s="14"/>
      <c r="AD2438" s="14"/>
      <c r="AE2438" s="14"/>
      <c r="AF2438" s="14"/>
      <c r="AG2438" s="14"/>
      <c r="AH2438" s="14"/>
      <c r="AI2438" s="14"/>
      <c r="AJ2438" s="14"/>
      <c r="AK2438" s="14"/>
      <c r="AL2438" s="14"/>
      <c r="AM2438" s="14"/>
    </row>
    <row r="2439" ht="14.25" customHeight="1">
      <c r="AA2439" s="7">
        <f t="shared" si="2"/>
        <v>43345</v>
      </c>
      <c r="AB2439" s="14"/>
      <c r="AC2439" s="14"/>
      <c r="AD2439" s="14"/>
      <c r="AE2439" s="14"/>
      <c r="AF2439" s="14"/>
      <c r="AG2439" s="14"/>
      <c r="AH2439" s="14"/>
      <c r="AI2439" s="14"/>
      <c r="AJ2439" s="14"/>
      <c r="AK2439" s="14"/>
      <c r="AL2439" s="14"/>
      <c r="AM2439" s="14"/>
    </row>
    <row r="2440" ht="14.25" customHeight="1">
      <c r="AA2440" s="7">
        <f t="shared" si="2"/>
        <v>43346</v>
      </c>
      <c r="AB2440" s="14"/>
      <c r="AC2440" s="14"/>
      <c r="AD2440" s="14"/>
      <c r="AE2440" s="14"/>
      <c r="AF2440" s="14"/>
      <c r="AG2440" s="14"/>
      <c r="AH2440" s="14"/>
      <c r="AI2440" s="14"/>
      <c r="AJ2440" s="14"/>
      <c r="AK2440" s="14"/>
      <c r="AL2440" s="14"/>
      <c r="AM2440" s="14"/>
    </row>
    <row r="2441" ht="14.25" customHeight="1">
      <c r="AA2441" s="7">
        <f t="shared" si="2"/>
        <v>43347</v>
      </c>
      <c r="AB2441" s="14"/>
      <c r="AC2441" s="14"/>
      <c r="AD2441" s="14"/>
      <c r="AE2441" s="14"/>
      <c r="AF2441" s="14"/>
      <c r="AG2441" s="14"/>
      <c r="AH2441" s="14"/>
      <c r="AI2441" s="14"/>
      <c r="AJ2441" s="14"/>
      <c r="AK2441" s="14"/>
      <c r="AL2441" s="14"/>
      <c r="AM2441" s="14"/>
    </row>
    <row r="2442" ht="14.25" customHeight="1">
      <c r="AA2442" s="7">
        <f t="shared" si="2"/>
        <v>43348</v>
      </c>
      <c r="AB2442" s="14"/>
      <c r="AC2442" s="14"/>
      <c r="AD2442" s="14"/>
      <c r="AE2442" s="14"/>
      <c r="AF2442" s="14"/>
      <c r="AG2442" s="14"/>
      <c r="AH2442" s="14"/>
      <c r="AI2442" s="14"/>
      <c r="AJ2442" s="14"/>
      <c r="AK2442" s="14"/>
      <c r="AL2442" s="14"/>
      <c r="AM2442" s="14"/>
    </row>
    <row r="2443" ht="14.25" customHeight="1">
      <c r="AA2443" s="7">
        <f t="shared" si="2"/>
        <v>43349</v>
      </c>
      <c r="AB2443" s="14"/>
      <c r="AC2443" s="14"/>
      <c r="AD2443" s="14"/>
      <c r="AE2443" s="14"/>
      <c r="AF2443" s="14"/>
      <c r="AG2443" s="14"/>
      <c r="AH2443" s="14"/>
      <c r="AI2443" s="14"/>
      <c r="AJ2443" s="14"/>
      <c r="AK2443" s="14"/>
      <c r="AL2443" s="14"/>
      <c r="AM2443" s="14"/>
    </row>
    <row r="2444" ht="14.25" customHeight="1">
      <c r="AA2444" s="7">
        <f t="shared" si="2"/>
        <v>43350</v>
      </c>
      <c r="AB2444" s="14"/>
      <c r="AC2444" s="14"/>
      <c r="AD2444" s="14"/>
      <c r="AE2444" s="14"/>
      <c r="AF2444" s="14"/>
      <c r="AG2444" s="14"/>
      <c r="AH2444" s="14"/>
      <c r="AI2444" s="14"/>
      <c r="AJ2444" s="14"/>
      <c r="AK2444" s="14"/>
      <c r="AL2444" s="14"/>
      <c r="AM2444" s="14"/>
    </row>
    <row r="2445" ht="14.25" customHeight="1">
      <c r="AA2445" s="7">
        <f t="shared" si="2"/>
        <v>43351</v>
      </c>
      <c r="AB2445" s="14"/>
      <c r="AC2445" s="14"/>
      <c r="AD2445" s="14"/>
      <c r="AE2445" s="14"/>
      <c r="AF2445" s="14"/>
      <c r="AG2445" s="14"/>
      <c r="AH2445" s="14"/>
      <c r="AI2445" s="14"/>
      <c r="AJ2445" s="14"/>
      <c r="AK2445" s="14"/>
      <c r="AL2445" s="14"/>
      <c r="AM2445" s="14"/>
    </row>
    <row r="2446" ht="14.25" customHeight="1">
      <c r="AA2446" s="7">
        <f t="shared" si="2"/>
        <v>43352</v>
      </c>
      <c r="AB2446" s="14"/>
      <c r="AC2446" s="14"/>
      <c r="AD2446" s="14"/>
      <c r="AE2446" s="14"/>
      <c r="AF2446" s="14"/>
      <c r="AG2446" s="14"/>
      <c r="AH2446" s="14"/>
      <c r="AI2446" s="14"/>
      <c r="AJ2446" s="14"/>
      <c r="AK2446" s="14"/>
      <c r="AL2446" s="14"/>
      <c r="AM2446" s="14"/>
    </row>
    <row r="2447" ht="14.25" customHeight="1">
      <c r="AA2447" s="7">
        <f t="shared" si="2"/>
        <v>43353</v>
      </c>
      <c r="AB2447" s="14"/>
      <c r="AC2447" s="14"/>
      <c r="AD2447" s="14"/>
      <c r="AE2447" s="14"/>
      <c r="AF2447" s="14"/>
      <c r="AG2447" s="14"/>
      <c r="AH2447" s="14"/>
      <c r="AI2447" s="14"/>
      <c r="AJ2447" s="14"/>
      <c r="AK2447" s="14"/>
      <c r="AL2447" s="14"/>
      <c r="AM2447" s="14"/>
    </row>
    <row r="2448" ht="14.25" customHeight="1">
      <c r="AA2448" s="7">
        <f t="shared" si="2"/>
        <v>43354</v>
      </c>
      <c r="AB2448" s="14"/>
      <c r="AC2448" s="14"/>
      <c r="AD2448" s="14"/>
      <c r="AE2448" s="14"/>
      <c r="AF2448" s="14"/>
      <c r="AG2448" s="14"/>
      <c r="AH2448" s="14"/>
      <c r="AI2448" s="14"/>
      <c r="AJ2448" s="14"/>
      <c r="AK2448" s="14"/>
      <c r="AL2448" s="14"/>
      <c r="AM2448" s="14"/>
    </row>
    <row r="2449" ht="14.25" customHeight="1">
      <c r="AA2449" s="7">
        <f t="shared" si="2"/>
        <v>43355</v>
      </c>
      <c r="AB2449" s="14"/>
      <c r="AC2449" s="14"/>
      <c r="AD2449" s="14"/>
      <c r="AE2449" s="14"/>
      <c r="AF2449" s="14"/>
      <c r="AG2449" s="14"/>
      <c r="AH2449" s="14"/>
      <c r="AI2449" s="14"/>
      <c r="AJ2449" s="14"/>
      <c r="AK2449" s="14"/>
      <c r="AL2449" s="14"/>
      <c r="AM2449" s="14"/>
    </row>
    <row r="2450" ht="14.25" customHeight="1">
      <c r="AA2450" s="7">
        <f t="shared" si="2"/>
        <v>43356</v>
      </c>
      <c r="AB2450" s="14"/>
      <c r="AC2450" s="14"/>
      <c r="AD2450" s="14"/>
      <c r="AE2450" s="14"/>
      <c r="AF2450" s="14"/>
      <c r="AG2450" s="14"/>
      <c r="AH2450" s="14"/>
      <c r="AI2450" s="14"/>
      <c r="AJ2450" s="14"/>
      <c r="AK2450" s="14"/>
      <c r="AL2450" s="14"/>
      <c r="AM2450" s="14"/>
    </row>
    <row r="2451" ht="14.25" customHeight="1">
      <c r="AA2451" s="7">
        <f t="shared" si="2"/>
        <v>43357</v>
      </c>
      <c r="AB2451" s="14"/>
      <c r="AC2451" s="14"/>
      <c r="AD2451" s="14"/>
      <c r="AE2451" s="14"/>
      <c r="AF2451" s="14"/>
      <c r="AG2451" s="14"/>
      <c r="AH2451" s="14"/>
      <c r="AI2451" s="14"/>
      <c r="AJ2451" s="14"/>
      <c r="AK2451" s="14"/>
      <c r="AL2451" s="14"/>
      <c r="AM2451" s="14"/>
    </row>
    <row r="2452" ht="14.25" customHeight="1">
      <c r="AA2452" s="7">
        <f t="shared" si="2"/>
        <v>43358</v>
      </c>
      <c r="AB2452" s="14"/>
      <c r="AC2452" s="14"/>
      <c r="AD2452" s="14"/>
      <c r="AE2452" s="14"/>
      <c r="AF2452" s="14"/>
      <c r="AG2452" s="14"/>
      <c r="AH2452" s="14"/>
      <c r="AI2452" s="14"/>
      <c r="AJ2452" s="14"/>
      <c r="AK2452" s="14"/>
      <c r="AL2452" s="14"/>
      <c r="AM2452" s="14"/>
    </row>
    <row r="2453" ht="14.25" customHeight="1">
      <c r="AA2453" s="7">
        <f t="shared" si="2"/>
        <v>43359</v>
      </c>
      <c r="AB2453" s="14"/>
      <c r="AC2453" s="14"/>
      <c r="AD2453" s="14"/>
      <c r="AE2453" s="14"/>
      <c r="AF2453" s="14"/>
      <c r="AG2453" s="14"/>
      <c r="AH2453" s="14"/>
      <c r="AI2453" s="14"/>
      <c r="AJ2453" s="14"/>
      <c r="AK2453" s="14"/>
      <c r="AL2453" s="14"/>
      <c r="AM2453" s="14"/>
    </row>
    <row r="2454" ht="14.25" customHeight="1">
      <c r="AA2454" s="7">
        <f t="shared" si="2"/>
        <v>43360</v>
      </c>
      <c r="AB2454" s="14"/>
      <c r="AC2454" s="14"/>
      <c r="AD2454" s="14"/>
      <c r="AE2454" s="14"/>
      <c r="AF2454" s="14"/>
      <c r="AG2454" s="14"/>
      <c r="AH2454" s="14"/>
      <c r="AI2454" s="14"/>
      <c r="AJ2454" s="14"/>
      <c r="AK2454" s="14"/>
      <c r="AL2454" s="14"/>
      <c r="AM2454" s="14"/>
    </row>
    <row r="2455" ht="14.25" customHeight="1">
      <c r="AA2455" s="7">
        <f t="shared" si="2"/>
        <v>43361</v>
      </c>
      <c r="AB2455" s="14"/>
      <c r="AC2455" s="14"/>
      <c r="AD2455" s="14"/>
      <c r="AE2455" s="14"/>
      <c r="AF2455" s="14"/>
      <c r="AG2455" s="14"/>
      <c r="AH2455" s="14"/>
      <c r="AI2455" s="14"/>
      <c r="AJ2455" s="14"/>
      <c r="AK2455" s="14"/>
      <c r="AL2455" s="14"/>
      <c r="AM2455" s="14"/>
    </row>
    <row r="2456" ht="14.25" customHeight="1">
      <c r="AA2456" s="7">
        <f t="shared" si="2"/>
        <v>43362</v>
      </c>
      <c r="AB2456" s="14"/>
      <c r="AC2456" s="14"/>
      <c r="AD2456" s="14"/>
      <c r="AE2456" s="14"/>
      <c r="AF2456" s="14"/>
      <c r="AG2456" s="14"/>
      <c r="AH2456" s="14"/>
      <c r="AI2456" s="14"/>
      <c r="AJ2456" s="14"/>
      <c r="AK2456" s="14"/>
      <c r="AL2456" s="14"/>
      <c r="AM2456" s="14"/>
    </row>
    <row r="2457" ht="14.25" customHeight="1">
      <c r="AA2457" s="7">
        <f t="shared" si="2"/>
        <v>43363</v>
      </c>
      <c r="AB2457" s="14"/>
      <c r="AC2457" s="14"/>
      <c r="AD2457" s="14"/>
      <c r="AE2457" s="14"/>
      <c r="AF2457" s="14"/>
      <c r="AG2457" s="14"/>
      <c r="AH2457" s="14"/>
      <c r="AI2457" s="14"/>
      <c r="AJ2457" s="14"/>
      <c r="AK2457" s="14"/>
      <c r="AL2457" s="14"/>
      <c r="AM2457" s="14"/>
    </row>
    <row r="2458" ht="14.25" customHeight="1">
      <c r="AA2458" s="7">
        <f t="shared" si="2"/>
        <v>43364</v>
      </c>
      <c r="AB2458" s="14"/>
      <c r="AC2458" s="14"/>
      <c r="AD2458" s="14"/>
      <c r="AE2458" s="14"/>
      <c r="AF2458" s="14"/>
      <c r="AG2458" s="14"/>
      <c r="AH2458" s="14"/>
      <c r="AI2458" s="14"/>
      <c r="AJ2458" s="14"/>
      <c r="AK2458" s="14"/>
      <c r="AL2458" s="14"/>
      <c r="AM2458" s="14"/>
    </row>
    <row r="2459" ht="14.25" customHeight="1">
      <c r="AA2459" s="7">
        <f t="shared" si="2"/>
        <v>43365</v>
      </c>
      <c r="AB2459" s="14"/>
      <c r="AC2459" s="14"/>
      <c r="AD2459" s="14"/>
      <c r="AE2459" s="14"/>
      <c r="AF2459" s="14"/>
      <c r="AG2459" s="14"/>
      <c r="AH2459" s="14"/>
      <c r="AI2459" s="14"/>
      <c r="AJ2459" s="14"/>
      <c r="AK2459" s="14"/>
      <c r="AL2459" s="14"/>
      <c r="AM2459" s="14"/>
    </row>
    <row r="2460" ht="14.25" customHeight="1">
      <c r="AA2460" s="7">
        <f t="shared" si="2"/>
        <v>43366</v>
      </c>
      <c r="AB2460" s="14"/>
      <c r="AC2460" s="14"/>
      <c r="AD2460" s="14"/>
      <c r="AE2460" s="14"/>
      <c r="AF2460" s="14"/>
      <c r="AG2460" s="14"/>
      <c r="AH2460" s="14"/>
      <c r="AI2460" s="14"/>
      <c r="AJ2460" s="14"/>
      <c r="AK2460" s="14"/>
      <c r="AL2460" s="14"/>
      <c r="AM2460" s="14"/>
    </row>
    <row r="2461" ht="14.25" customHeight="1">
      <c r="AA2461" s="7">
        <f t="shared" si="2"/>
        <v>43367</v>
      </c>
      <c r="AB2461" s="14"/>
      <c r="AC2461" s="14"/>
      <c r="AD2461" s="14"/>
      <c r="AE2461" s="14"/>
      <c r="AF2461" s="14"/>
      <c r="AG2461" s="14"/>
      <c r="AH2461" s="14"/>
      <c r="AI2461" s="14"/>
      <c r="AJ2461" s="14"/>
      <c r="AK2461" s="14"/>
      <c r="AL2461" s="14"/>
      <c r="AM2461" s="14"/>
    </row>
    <row r="2462" ht="14.25" customHeight="1">
      <c r="AA2462" s="7">
        <f t="shared" si="2"/>
        <v>43368</v>
      </c>
      <c r="AB2462" s="14"/>
      <c r="AC2462" s="14"/>
      <c r="AD2462" s="14"/>
      <c r="AE2462" s="14"/>
      <c r="AF2462" s="14"/>
      <c r="AG2462" s="14"/>
      <c r="AH2462" s="14"/>
      <c r="AI2462" s="14"/>
      <c r="AJ2462" s="14"/>
      <c r="AK2462" s="14"/>
      <c r="AL2462" s="14"/>
      <c r="AM2462" s="14"/>
    </row>
    <row r="2463" ht="14.25" customHeight="1">
      <c r="AA2463" s="7">
        <f t="shared" si="2"/>
        <v>43369</v>
      </c>
      <c r="AB2463" s="14"/>
      <c r="AC2463" s="14"/>
      <c r="AD2463" s="14"/>
      <c r="AE2463" s="14"/>
      <c r="AF2463" s="14"/>
      <c r="AG2463" s="14"/>
      <c r="AH2463" s="14"/>
      <c r="AI2463" s="14"/>
      <c r="AJ2463" s="14"/>
      <c r="AK2463" s="14"/>
      <c r="AL2463" s="14"/>
      <c r="AM2463" s="14"/>
    </row>
    <row r="2464" ht="14.25" customHeight="1">
      <c r="AA2464" s="7">
        <f t="shared" si="2"/>
        <v>43370</v>
      </c>
      <c r="AB2464" s="14"/>
      <c r="AC2464" s="14"/>
      <c r="AD2464" s="14"/>
      <c r="AE2464" s="14"/>
      <c r="AF2464" s="14"/>
      <c r="AG2464" s="14"/>
      <c r="AH2464" s="14"/>
      <c r="AI2464" s="14"/>
      <c r="AJ2464" s="14"/>
      <c r="AK2464" s="14"/>
      <c r="AL2464" s="14"/>
      <c r="AM2464" s="14"/>
    </row>
    <row r="2465" ht="14.25" customHeight="1">
      <c r="AA2465" s="7">
        <f t="shared" si="2"/>
        <v>43371</v>
      </c>
      <c r="AB2465" s="14"/>
      <c r="AC2465" s="14"/>
      <c r="AD2465" s="14"/>
      <c r="AE2465" s="14"/>
      <c r="AF2465" s="14"/>
      <c r="AG2465" s="14"/>
      <c r="AH2465" s="14"/>
      <c r="AI2465" s="14"/>
      <c r="AJ2465" s="14"/>
      <c r="AK2465" s="14"/>
      <c r="AL2465" s="14"/>
      <c r="AM2465" s="14"/>
    </row>
    <row r="2466" ht="14.25" customHeight="1">
      <c r="AA2466" s="7">
        <f t="shared" si="2"/>
        <v>43372</v>
      </c>
      <c r="AB2466" s="14"/>
      <c r="AC2466" s="14"/>
      <c r="AD2466" s="14"/>
      <c r="AE2466" s="14"/>
      <c r="AF2466" s="14"/>
      <c r="AG2466" s="14"/>
      <c r="AH2466" s="14"/>
      <c r="AI2466" s="14"/>
      <c r="AJ2466" s="14"/>
      <c r="AK2466" s="14"/>
      <c r="AL2466" s="14"/>
      <c r="AM2466" s="14"/>
    </row>
    <row r="2467" ht="14.25" customHeight="1">
      <c r="AA2467" s="7">
        <f t="shared" si="2"/>
        <v>43373</v>
      </c>
      <c r="AB2467" s="14"/>
      <c r="AC2467" s="14"/>
      <c r="AD2467" s="14"/>
      <c r="AE2467" s="14"/>
      <c r="AF2467" s="14"/>
      <c r="AG2467" s="14"/>
      <c r="AH2467" s="14"/>
      <c r="AI2467" s="14"/>
      <c r="AJ2467" s="14"/>
      <c r="AK2467" s="14"/>
      <c r="AL2467" s="14"/>
      <c r="AM2467" s="14"/>
    </row>
    <row r="2468" ht="14.25" customHeight="1">
      <c r="AA2468" s="7">
        <f t="shared" si="2"/>
        <v>43374</v>
      </c>
      <c r="AB2468" s="14"/>
      <c r="AC2468" s="14"/>
      <c r="AD2468" s="14"/>
      <c r="AE2468" s="14"/>
      <c r="AF2468" s="14"/>
      <c r="AG2468" s="14"/>
      <c r="AH2468" s="14"/>
      <c r="AI2468" s="14"/>
      <c r="AJ2468" s="14"/>
      <c r="AK2468" s="14"/>
      <c r="AL2468" s="14"/>
      <c r="AM2468" s="14"/>
    </row>
    <row r="2469" ht="14.25" customHeight="1">
      <c r="AA2469" s="7">
        <f t="shared" si="2"/>
        <v>43375</v>
      </c>
      <c r="AB2469" s="14"/>
      <c r="AC2469" s="14"/>
      <c r="AD2469" s="14"/>
      <c r="AE2469" s="14"/>
      <c r="AF2469" s="14"/>
      <c r="AG2469" s="14"/>
      <c r="AH2469" s="14"/>
      <c r="AI2469" s="14"/>
      <c r="AJ2469" s="14"/>
      <c r="AK2469" s="14"/>
      <c r="AL2469" s="14"/>
      <c r="AM2469" s="14"/>
    </row>
    <row r="2470" ht="14.25" customHeight="1">
      <c r="AA2470" s="7">
        <f t="shared" si="2"/>
        <v>43376</v>
      </c>
      <c r="AB2470" s="14"/>
      <c r="AC2470" s="14"/>
      <c r="AD2470" s="14"/>
      <c r="AE2470" s="14"/>
      <c r="AF2470" s="14"/>
      <c r="AG2470" s="14"/>
      <c r="AH2470" s="14"/>
      <c r="AI2470" s="14"/>
      <c r="AJ2470" s="14"/>
      <c r="AK2470" s="14"/>
      <c r="AL2470" s="14"/>
      <c r="AM2470" s="14"/>
    </row>
    <row r="2471" ht="14.25" customHeight="1">
      <c r="AA2471" s="7">
        <f t="shared" si="2"/>
        <v>43377</v>
      </c>
      <c r="AB2471" s="14"/>
      <c r="AC2471" s="14"/>
      <c r="AD2471" s="14"/>
      <c r="AE2471" s="14"/>
      <c r="AF2471" s="14"/>
      <c r="AG2471" s="14"/>
      <c r="AH2471" s="14"/>
      <c r="AI2471" s="14"/>
      <c r="AJ2471" s="14"/>
      <c r="AK2471" s="14"/>
      <c r="AL2471" s="14"/>
      <c r="AM2471" s="14"/>
    </row>
    <row r="2472" ht="14.25" customHeight="1">
      <c r="AA2472" s="7">
        <f t="shared" si="2"/>
        <v>43378</v>
      </c>
      <c r="AB2472" s="14"/>
      <c r="AC2472" s="14"/>
      <c r="AD2472" s="14"/>
      <c r="AE2472" s="14"/>
      <c r="AF2472" s="14"/>
      <c r="AG2472" s="14"/>
      <c r="AH2472" s="14"/>
      <c r="AI2472" s="14"/>
      <c r="AJ2472" s="14"/>
      <c r="AK2472" s="14"/>
      <c r="AL2472" s="14"/>
      <c r="AM2472" s="14"/>
    </row>
    <row r="2473" ht="14.25" customHeight="1">
      <c r="AA2473" s="7">
        <f t="shared" si="2"/>
        <v>43379</v>
      </c>
      <c r="AB2473" s="14"/>
      <c r="AC2473" s="14"/>
      <c r="AD2473" s="14"/>
      <c r="AE2473" s="14"/>
      <c r="AF2473" s="14"/>
      <c r="AG2473" s="14"/>
      <c r="AH2473" s="14"/>
      <c r="AI2473" s="14"/>
      <c r="AJ2473" s="14"/>
      <c r="AK2473" s="14"/>
      <c r="AL2473" s="14"/>
      <c r="AM2473" s="14"/>
    </row>
    <row r="2474" ht="14.25" customHeight="1">
      <c r="AA2474" s="7">
        <f t="shared" si="2"/>
        <v>43380</v>
      </c>
      <c r="AB2474" s="14"/>
      <c r="AC2474" s="14"/>
      <c r="AD2474" s="14"/>
      <c r="AE2474" s="14"/>
      <c r="AF2474" s="14"/>
      <c r="AG2474" s="14"/>
      <c r="AH2474" s="14"/>
      <c r="AI2474" s="14"/>
      <c r="AJ2474" s="14"/>
      <c r="AK2474" s="14"/>
      <c r="AL2474" s="14"/>
      <c r="AM2474" s="14"/>
    </row>
    <row r="2475" ht="14.25" customHeight="1">
      <c r="AA2475" s="7">
        <f t="shared" si="2"/>
        <v>43381</v>
      </c>
      <c r="AB2475" s="14"/>
      <c r="AC2475" s="14"/>
      <c r="AD2475" s="14"/>
      <c r="AE2475" s="14"/>
      <c r="AF2475" s="14"/>
      <c r="AG2475" s="14"/>
      <c r="AH2475" s="14"/>
      <c r="AI2475" s="14"/>
      <c r="AJ2475" s="14"/>
      <c r="AK2475" s="14"/>
      <c r="AL2475" s="14"/>
      <c r="AM2475" s="14"/>
    </row>
    <row r="2476" ht="14.25" customHeight="1">
      <c r="AA2476" s="7">
        <f t="shared" si="2"/>
        <v>43382</v>
      </c>
      <c r="AB2476" s="14"/>
      <c r="AC2476" s="14"/>
      <c r="AD2476" s="14"/>
      <c r="AE2476" s="14"/>
      <c r="AF2476" s="14"/>
      <c r="AG2476" s="14"/>
      <c r="AH2476" s="14"/>
      <c r="AI2476" s="14"/>
      <c r="AJ2476" s="14"/>
      <c r="AK2476" s="14"/>
      <c r="AL2476" s="14"/>
      <c r="AM2476" s="14"/>
    </row>
    <row r="2477" ht="14.25" customHeight="1">
      <c r="AA2477" s="7">
        <f t="shared" si="2"/>
        <v>43383</v>
      </c>
      <c r="AB2477" s="14"/>
      <c r="AC2477" s="14"/>
      <c r="AD2477" s="14"/>
      <c r="AE2477" s="14"/>
      <c r="AF2477" s="14"/>
      <c r="AG2477" s="14"/>
      <c r="AH2477" s="14"/>
      <c r="AI2477" s="14"/>
      <c r="AJ2477" s="14"/>
      <c r="AK2477" s="14"/>
      <c r="AL2477" s="14"/>
      <c r="AM2477" s="14"/>
    </row>
    <row r="2478" ht="14.25" customHeight="1">
      <c r="AA2478" s="7">
        <f t="shared" si="2"/>
        <v>43384</v>
      </c>
      <c r="AB2478" s="14"/>
      <c r="AC2478" s="14"/>
      <c r="AD2478" s="14"/>
      <c r="AE2478" s="14"/>
      <c r="AF2478" s="14"/>
      <c r="AG2478" s="14"/>
      <c r="AH2478" s="14"/>
      <c r="AI2478" s="14"/>
      <c r="AJ2478" s="14"/>
      <c r="AK2478" s="14"/>
      <c r="AL2478" s="14"/>
      <c r="AM2478" s="14"/>
    </row>
    <row r="2479" ht="14.25" customHeight="1">
      <c r="AA2479" s="7">
        <f t="shared" si="2"/>
        <v>43385</v>
      </c>
      <c r="AB2479" s="14"/>
      <c r="AC2479" s="14"/>
      <c r="AD2479" s="14"/>
      <c r="AE2479" s="14"/>
      <c r="AF2479" s="14"/>
      <c r="AG2479" s="14"/>
      <c r="AH2479" s="14"/>
      <c r="AI2479" s="14"/>
      <c r="AJ2479" s="14"/>
      <c r="AK2479" s="14"/>
      <c r="AL2479" s="14"/>
      <c r="AM2479" s="14"/>
    </row>
    <row r="2480" ht="14.25" customHeight="1">
      <c r="AA2480" s="7">
        <f t="shared" si="2"/>
        <v>43386</v>
      </c>
      <c r="AB2480" s="14"/>
      <c r="AC2480" s="14"/>
      <c r="AD2480" s="14"/>
      <c r="AE2480" s="14"/>
      <c r="AF2480" s="14"/>
      <c r="AG2480" s="14"/>
      <c r="AH2480" s="14"/>
      <c r="AI2480" s="14"/>
      <c r="AJ2480" s="14"/>
      <c r="AK2480" s="14"/>
      <c r="AL2480" s="14"/>
      <c r="AM2480" s="14"/>
    </row>
    <row r="2481" ht="14.25" customHeight="1">
      <c r="AA2481" s="7">
        <f t="shared" si="2"/>
        <v>43387</v>
      </c>
      <c r="AB2481" s="14"/>
      <c r="AC2481" s="14"/>
      <c r="AD2481" s="14"/>
      <c r="AE2481" s="14"/>
      <c r="AF2481" s="14"/>
      <c r="AG2481" s="14"/>
      <c r="AH2481" s="14"/>
      <c r="AI2481" s="14"/>
      <c r="AJ2481" s="14"/>
      <c r="AK2481" s="14"/>
      <c r="AL2481" s="14"/>
      <c r="AM2481" s="14"/>
    </row>
    <row r="2482" ht="14.25" customHeight="1">
      <c r="AA2482" s="7">
        <f t="shared" si="2"/>
        <v>43388</v>
      </c>
      <c r="AB2482" s="14"/>
      <c r="AC2482" s="14"/>
      <c r="AD2482" s="14"/>
      <c r="AE2482" s="14"/>
      <c r="AF2482" s="14"/>
      <c r="AG2482" s="14"/>
      <c r="AH2482" s="14"/>
      <c r="AI2482" s="14"/>
      <c r="AJ2482" s="14"/>
      <c r="AK2482" s="14"/>
      <c r="AL2482" s="14"/>
      <c r="AM2482" s="14"/>
    </row>
    <row r="2483" ht="14.25" customHeight="1">
      <c r="AA2483" s="7">
        <f t="shared" si="2"/>
        <v>43389</v>
      </c>
      <c r="AB2483" s="14"/>
      <c r="AC2483" s="14"/>
      <c r="AD2483" s="14"/>
      <c r="AE2483" s="14"/>
      <c r="AF2483" s="14"/>
      <c r="AG2483" s="14"/>
      <c r="AH2483" s="14"/>
      <c r="AI2483" s="14"/>
      <c r="AJ2483" s="14"/>
      <c r="AK2483" s="14"/>
      <c r="AL2483" s="14"/>
      <c r="AM2483" s="14"/>
    </row>
    <row r="2484" ht="14.25" customHeight="1">
      <c r="AA2484" s="7">
        <f t="shared" si="2"/>
        <v>43390</v>
      </c>
      <c r="AB2484" s="14"/>
      <c r="AC2484" s="14"/>
      <c r="AD2484" s="14"/>
      <c r="AE2484" s="14"/>
      <c r="AF2484" s="14"/>
      <c r="AG2484" s="14"/>
      <c r="AH2484" s="14"/>
      <c r="AI2484" s="14"/>
      <c r="AJ2484" s="14"/>
      <c r="AK2484" s="14"/>
      <c r="AL2484" s="14"/>
      <c r="AM2484" s="14"/>
    </row>
    <row r="2485" ht="14.25" customHeight="1">
      <c r="AA2485" s="7">
        <f t="shared" si="2"/>
        <v>43391</v>
      </c>
      <c r="AB2485" s="14"/>
      <c r="AC2485" s="14"/>
      <c r="AD2485" s="14"/>
      <c r="AE2485" s="14"/>
      <c r="AF2485" s="14"/>
      <c r="AG2485" s="14"/>
      <c r="AH2485" s="14"/>
      <c r="AI2485" s="14"/>
      <c r="AJ2485" s="14"/>
      <c r="AK2485" s="14"/>
      <c r="AL2485" s="14"/>
      <c r="AM2485" s="14"/>
    </row>
    <row r="2486" ht="14.25" customHeight="1">
      <c r="AA2486" s="7">
        <f t="shared" si="2"/>
        <v>43392</v>
      </c>
      <c r="AB2486" s="14"/>
      <c r="AC2486" s="14"/>
      <c r="AD2486" s="14"/>
      <c r="AE2486" s="14"/>
      <c r="AF2486" s="14"/>
      <c r="AG2486" s="14"/>
      <c r="AH2486" s="14"/>
      <c r="AI2486" s="14"/>
      <c r="AJ2486" s="14"/>
      <c r="AK2486" s="14"/>
      <c r="AL2486" s="14"/>
      <c r="AM2486" s="14"/>
    </row>
    <row r="2487" ht="14.25" customHeight="1">
      <c r="AA2487" s="7">
        <f t="shared" si="2"/>
        <v>43393</v>
      </c>
      <c r="AB2487" s="14"/>
      <c r="AC2487" s="14"/>
      <c r="AD2487" s="14"/>
      <c r="AE2487" s="14"/>
      <c r="AF2487" s="14"/>
      <c r="AG2487" s="14"/>
      <c r="AH2487" s="14"/>
      <c r="AI2487" s="14"/>
      <c r="AJ2487" s="14"/>
      <c r="AK2487" s="14"/>
      <c r="AL2487" s="14"/>
      <c r="AM2487" s="14"/>
    </row>
    <row r="2488" ht="14.25" customHeight="1">
      <c r="AA2488" s="7">
        <f t="shared" si="2"/>
        <v>43394</v>
      </c>
      <c r="AB2488" s="14"/>
      <c r="AC2488" s="14"/>
      <c r="AD2488" s="14"/>
      <c r="AE2488" s="14"/>
      <c r="AF2488" s="14"/>
      <c r="AG2488" s="14"/>
      <c r="AH2488" s="14"/>
      <c r="AI2488" s="14"/>
      <c r="AJ2488" s="14"/>
      <c r="AK2488" s="14"/>
      <c r="AL2488" s="14"/>
      <c r="AM2488" s="14"/>
    </row>
    <row r="2489" ht="14.25" customHeight="1">
      <c r="AA2489" s="7">
        <f t="shared" si="2"/>
        <v>43395</v>
      </c>
      <c r="AB2489" s="14"/>
      <c r="AC2489" s="14"/>
      <c r="AD2489" s="14"/>
      <c r="AE2489" s="14"/>
      <c r="AF2489" s="14"/>
      <c r="AG2489" s="14"/>
      <c r="AH2489" s="14"/>
      <c r="AI2489" s="14"/>
      <c r="AJ2489" s="14"/>
      <c r="AK2489" s="14"/>
      <c r="AL2489" s="14"/>
      <c r="AM2489" s="14"/>
    </row>
    <row r="2490" ht="14.25" customHeight="1">
      <c r="AA2490" s="7">
        <f t="shared" si="2"/>
        <v>43396</v>
      </c>
      <c r="AB2490" s="14"/>
      <c r="AC2490" s="14"/>
      <c r="AD2490" s="14"/>
      <c r="AE2490" s="14"/>
      <c r="AF2490" s="14"/>
      <c r="AG2490" s="14"/>
      <c r="AH2490" s="14"/>
      <c r="AI2490" s="14"/>
      <c r="AJ2490" s="14"/>
      <c r="AK2490" s="14"/>
      <c r="AL2490" s="14"/>
      <c r="AM2490" s="14"/>
    </row>
    <row r="2491" ht="14.25" customHeight="1">
      <c r="AA2491" s="7">
        <f t="shared" si="2"/>
        <v>43397</v>
      </c>
      <c r="AB2491" s="14"/>
      <c r="AC2491" s="14"/>
      <c r="AD2491" s="14"/>
      <c r="AE2491" s="14"/>
      <c r="AF2491" s="14"/>
      <c r="AG2491" s="14"/>
      <c r="AH2491" s="14"/>
      <c r="AI2491" s="14"/>
      <c r="AJ2491" s="14"/>
      <c r="AK2491" s="14"/>
      <c r="AL2491" s="14"/>
      <c r="AM2491" s="14"/>
    </row>
    <row r="2492" ht="14.25" customHeight="1">
      <c r="AA2492" s="7">
        <f t="shared" si="2"/>
        <v>43398</v>
      </c>
      <c r="AB2492" s="14"/>
      <c r="AC2492" s="14"/>
      <c r="AD2492" s="14"/>
      <c r="AE2492" s="14"/>
      <c r="AF2492" s="14"/>
      <c r="AG2492" s="14"/>
      <c r="AH2492" s="14"/>
      <c r="AI2492" s="14"/>
      <c r="AJ2492" s="14"/>
      <c r="AK2492" s="14"/>
      <c r="AL2492" s="14"/>
      <c r="AM2492" s="14"/>
    </row>
    <row r="2493" ht="14.25" customHeight="1">
      <c r="AA2493" s="7">
        <f t="shared" si="2"/>
        <v>43399</v>
      </c>
      <c r="AB2493" s="14"/>
      <c r="AC2493" s="14"/>
      <c r="AD2493" s="14"/>
      <c r="AE2493" s="14"/>
      <c r="AF2493" s="14"/>
      <c r="AG2493" s="14"/>
      <c r="AH2493" s="14"/>
      <c r="AI2493" s="14"/>
      <c r="AJ2493" s="14"/>
      <c r="AK2493" s="14"/>
      <c r="AL2493" s="14"/>
      <c r="AM2493" s="14"/>
    </row>
    <row r="2494" ht="14.25" customHeight="1">
      <c r="AA2494" s="7">
        <f t="shared" si="2"/>
        <v>43400</v>
      </c>
      <c r="AB2494" s="14"/>
      <c r="AC2494" s="14"/>
      <c r="AD2494" s="14"/>
      <c r="AE2494" s="14"/>
      <c r="AF2494" s="14"/>
      <c r="AG2494" s="14"/>
      <c r="AH2494" s="14"/>
      <c r="AI2494" s="14"/>
      <c r="AJ2494" s="14"/>
      <c r="AK2494" s="14"/>
      <c r="AL2494" s="14"/>
      <c r="AM2494" s="14"/>
    </row>
    <row r="2495" ht="14.25" customHeight="1">
      <c r="AA2495" s="7">
        <f t="shared" si="2"/>
        <v>43401</v>
      </c>
      <c r="AB2495" s="14"/>
      <c r="AC2495" s="14"/>
      <c r="AD2495" s="14"/>
      <c r="AE2495" s="14"/>
      <c r="AF2495" s="14"/>
      <c r="AG2495" s="14"/>
      <c r="AH2495" s="14"/>
      <c r="AI2495" s="14"/>
      <c r="AJ2495" s="14"/>
      <c r="AK2495" s="14"/>
      <c r="AL2495" s="14"/>
      <c r="AM2495" s="14"/>
    </row>
    <row r="2496" ht="14.25" customHeight="1">
      <c r="AA2496" s="7">
        <f t="shared" si="2"/>
        <v>43402</v>
      </c>
      <c r="AB2496" s="14"/>
      <c r="AC2496" s="14"/>
      <c r="AD2496" s="14"/>
      <c r="AE2496" s="14"/>
      <c r="AF2496" s="14"/>
      <c r="AG2496" s="14"/>
      <c r="AH2496" s="14"/>
      <c r="AI2496" s="14"/>
      <c r="AJ2496" s="14"/>
      <c r="AK2496" s="14"/>
      <c r="AL2496" s="14"/>
      <c r="AM2496" s="14"/>
    </row>
    <row r="2497" ht="14.25" customHeight="1">
      <c r="AA2497" s="7">
        <f t="shared" si="2"/>
        <v>43403</v>
      </c>
      <c r="AB2497" s="14"/>
      <c r="AC2497" s="14"/>
      <c r="AD2497" s="14"/>
      <c r="AE2497" s="14"/>
      <c r="AF2497" s="14"/>
      <c r="AG2497" s="14"/>
      <c r="AH2497" s="14"/>
      <c r="AI2497" s="14"/>
      <c r="AJ2497" s="14"/>
      <c r="AK2497" s="14"/>
      <c r="AL2497" s="14"/>
      <c r="AM2497" s="14"/>
    </row>
    <row r="2498" ht="14.25" customHeight="1">
      <c r="AA2498" s="7">
        <f t="shared" si="2"/>
        <v>43404</v>
      </c>
      <c r="AB2498" s="14"/>
      <c r="AC2498" s="14"/>
      <c r="AD2498" s="14"/>
      <c r="AE2498" s="14"/>
      <c r="AF2498" s="14"/>
      <c r="AG2498" s="14"/>
      <c r="AH2498" s="14"/>
      <c r="AI2498" s="14"/>
      <c r="AJ2498" s="14"/>
      <c r="AK2498" s="14"/>
      <c r="AL2498" s="14"/>
      <c r="AM2498" s="14"/>
    </row>
    <row r="2499" ht="14.25" customHeight="1">
      <c r="AA2499" s="7">
        <f t="shared" si="2"/>
        <v>43405</v>
      </c>
      <c r="AB2499" s="14"/>
      <c r="AC2499" s="14"/>
      <c r="AD2499" s="14"/>
      <c r="AE2499" s="14"/>
      <c r="AF2499" s="14"/>
      <c r="AG2499" s="14"/>
      <c r="AH2499" s="14"/>
      <c r="AI2499" s="14"/>
      <c r="AJ2499" s="14"/>
      <c r="AK2499" s="14"/>
      <c r="AL2499" s="14"/>
      <c r="AM2499" s="14"/>
    </row>
    <row r="2500" ht="14.25" customHeight="1">
      <c r="AA2500" s="7">
        <f t="shared" si="2"/>
        <v>43406</v>
      </c>
      <c r="AB2500" s="14"/>
      <c r="AC2500" s="14"/>
      <c r="AD2500" s="14"/>
      <c r="AE2500" s="14"/>
      <c r="AF2500" s="14"/>
      <c r="AG2500" s="14"/>
      <c r="AH2500" s="14"/>
      <c r="AI2500" s="14"/>
      <c r="AJ2500" s="14"/>
      <c r="AK2500" s="14"/>
      <c r="AL2500" s="14"/>
      <c r="AM2500" s="14"/>
    </row>
    <row r="2501" ht="14.25" customHeight="1">
      <c r="AA2501" s="7">
        <f t="shared" si="2"/>
        <v>43407</v>
      </c>
      <c r="AB2501" s="14"/>
      <c r="AC2501" s="14"/>
      <c r="AD2501" s="14"/>
      <c r="AE2501" s="14"/>
      <c r="AF2501" s="14"/>
      <c r="AG2501" s="14"/>
      <c r="AH2501" s="14"/>
      <c r="AI2501" s="14"/>
      <c r="AJ2501" s="14"/>
      <c r="AK2501" s="14"/>
      <c r="AL2501" s="14"/>
      <c r="AM2501" s="14"/>
    </row>
    <row r="2502" ht="14.25" customHeight="1">
      <c r="AA2502" s="7">
        <f t="shared" si="2"/>
        <v>43408</v>
      </c>
      <c r="AB2502" s="14"/>
      <c r="AC2502" s="14"/>
      <c r="AD2502" s="14"/>
      <c r="AE2502" s="14"/>
      <c r="AF2502" s="14"/>
      <c r="AG2502" s="14"/>
      <c r="AH2502" s="14"/>
      <c r="AI2502" s="14"/>
      <c r="AJ2502" s="14"/>
      <c r="AK2502" s="14"/>
      <c r="AL2502" s="14"/>
      <c r="AM2502" s="14"/>
    </row>
    <row r="2503" ht="14.25" customHeight="1">
      <c r="AA2503" s="7">
        <f t="shared" si="2"/>
        <v>43409</v>
      </c>
      <c r="AB2503" s="14"/>
      <c r="AC2503" s="14"/>
      <c r="AD2503" s="14"/>
      <c r="AE2503" s="14"/>
      <c r="AF2503" s="14"/>
      <c r="AG2503" s="14"/>
      <c r="AH2503" s="14"/>
      <c r="AI2503" s="14"/>
      <c r="AJ2503" s="14"/>
      <c r="AK2503" s="14"/>
      <c r="AL2503" s="14"/>
      <c r="AM2503" s="14"/>
    </row>
    <row r="2504" ht="14.25" customHeight="1">
      <c r="AA2504" s="7">
        <f t="shared" si="2"/>
        <v>43410</v>
      </c>
      <c r="AB2504" s="14"/>
      <c r="AC2504" s="14"/>
      <c r="AD2504" s="14"/>
      <c r="AE2504" s="14"/>
      <c r="AF2504" s="14"/>
      <c r="AG2504" s="14"/>
      <c r="AH2504" s="14"/>
      <c r="AI2504" s="14"/>
      <c r="AJ2504" s="14"/>
      <c r="AK2504" s="14"/>
      <c r="AL2504" s="14"/>
      <c r="AM2504" s="14"/>
    </row>
    <row r="2505" ht="14.25" customHeight="1">
      <c r="AA2505" s="7">
        <f t="shared" si="2"/>
        <v>43411</v>
      </c>
      <c r="AB2505" s="14"/>
      <c r="AC2505" s="14"/>
      <c r="AD2505" s="14"/>
      <c r="AE2505" s="14"/>
      <c r="AF2505" s="14"/>
      <c r="AG2505" s="14"/>
      <c r="AH2505" s="14"/>
      <c r="AI2505" s="14"/>
      <c r="AJ2505" s="14"/>
      <c r="AK2505" s="14"/>
      <c r="AL2505" s="14"/>
      <c r="AM2505" s="14"/>
    </row>
    <row r="2506" ht="14.25" customHeight="1">
      <c r="AA2506" s="7">
        <f t="shared" si="2"/>
        <v>43412</v>
      </c>
      <c r="AB2506" s="14"/>
      <c r="AC2506" s="14"/>
      <c r="AD2506" s="14"/>
      <c r="AE2506" s="14"/>
      <c r="AF2506" s="14"/>
      <c r="AG2506" s="14"/>
      <c r="AH2506" s="14"/>
      <c r="AI2506" s="14"/>
      <c r="AJ2506" s="14"/>
      <c r="AK2506" s="14"/>
      <c r="AL2506" s="14"/>
      <c r="AM2506" s="14"/>
    </row>
    <row r="2507" ht="14.25" customHeight="1">
      <c r="AA2507" s="7">
        <f t="shared" si="2"/>
        <v>43413</v>
      </c>
      <c r="AB2507" s="14"/>
      <c r="AC2507" s="14"/>
      <c r="AD2507" s="14"/>
      <c r="AE2507" s="14"/>
      <c r="AF2507" s="14"/>
      <c r="AG2507" s="14"/>
      <c r="AH2507" s="14"/>
      <c r="AI2507" s="14"/>
      <c r="AJ2507" s="14"/>
      <c r="AK2507" s="14"/>
      <c r="AL2507" s="14"/>
      <c r="AM2507" s="14"/>
    </row>
    <row r="2508" ht="14.25" customHeight="1">
      <c r="AA2508" s="7">
        <f t="shared" si="2"/>
        <v>43414</v>
      </c>
      <c r="AB2508" s="14"/>
      <c r="AC2508" s="14"/>
      <c r="AD2508" s="14"/>
      <c r="AE2508" s="14"/>
      <c r="AF2508" s="14"/>
      <c r="AG2508" s="14"/>
      <c r="AH2508" s="14"/>
      <c r="AI2508" s="14"/>
      <c r="AJ2508" s="14"/>
      <c r="AK2508" s="14"/>
      <c r="AL2508" s="14"/>
      <c r="AM2508" s="14"/>
    </row>
    <row r="2509" ht="14.25" customHeight="1">
      <c r="AA2509" s="7">
        <f t="shared" si="2"/>
        <v>43415</v>
      </c>
      <c r="AB2509" s="14"/>
      <c r="AC2509" s="14"/>
      <c r="AD2509" s="14"/>
      <c r="AE2509" s="14"/>
      <c r="AF2509" s="14"/>
      <c r="AG2509" s="14"/>
      <c r="AH2509" s="14"/>
      <c r="AI2509" s="14"/>
      <c r="AJ2509" s="14"/>
      <c r="AK2509" s="14"/>
      <c r="AL2509" s="14"/>
      <c r="AM2509" s="14"/>
    </row>
    <row r="2510" ht="14.25" customHeight="1">
      <c r="AA2510" s="7">
        <f t="shared" si="2"/>
        <v>43416</v>
      </c>
      <c r="AB2510" s="14"/>
      <c r="AC2510" s="14"/>
      <c r="AD2510" s="14"/>
      <c r="AE2510" s="14"/>
      <c r="AF2510" s="14"/>
      <c r="AG2510" s="14"/>
      <c r="AH2510" s="14"/>
      <c r="AI2510" s="14"/>
      <c r="AJ2510" s="14"/>
      <c r="AK2510" s="14"/>
      <c r="AL2510" s="14"/>
      <c r="AM2510" s="14"/>
    </row>
    <row r="2511" ht="14.25" customHeight="1">
      <c r="AA2511" s="7">
        <f t="shared" si="2"/>
        <v>43417</v>
      </c>
      <c r="AB2511" s="14"/>
      <c r="AC2511" s="14"/>
      <c r="AD2511" s="14"/>
      <c r="AE2511" s="14"/>
      <c r="AF2511" s="14"/>
      <c r="AG2511" s="14"/>
      <c r="AH2511" s="14"/>
      <c r="AI2511" s="14"/>
      <c r="AJ2511" s="14"/>
      <c r="AK2511" s="14"/>
      <c r="AL2511" s="14"/>
      <c r="AM2511" s="14"/>
    </row>
    <row r="2512" ht="14.25" customHeight="1">
      <c r="AA2512" s="7">
        <f t="shared" si="2"/>
        <v>43418</v>
      </c>
      <c r="AB2512" s="14"/>
      <c r="AC2512" s="14"/>
      <c r="AD2512" s="14"/>
      <c r="AE2512" s="14"/>
      <c r="AF2512" s="14"/>
      <c r="AG2512" s="14"/>
      <c r="AH2512" s="14"/>
      <c r="AI2512" s="14"/>
      <c r="AJ2512" s="14"/>
      <c r="AK2512" s="14"/>
      <c r="AL2512" s="14"/>
      <c r="AM2512" s="14"/>
    </row>
    <row r="2513" ht="14.25" customHeight="1">
      <c r="AA2513" s="7">
        <f t="shared" si="2"/>
        <v>43419</v>
      </c>
      <c r="AB2513" s="14"/>
      <c r="AC2513" s="14"/>
      <c r="AD2513" s="14"/>
      <c r="AE2513" s="14"/>
      <c r="AF2513" s="14"/>
      <c r="AG2513" s="14"/>
      <c r="AH2513" s="14"/>
      <c r="AI2513" s="14"/>
      <c r="AJ2513" s="14"/>
      <c r="AK2513" s="14"/>
      <c r="AL2513" s="14"/>
      <c r="AM2513" s="14"/>
    </row>
    <row r="2514" ht="14.25" customHeight="1">
      <c r="AA2514" s="7">
        <f t="shared" si="2"/>
        <v>43420</v>
      </c>
      <c r="AB2514" s="14"/>
      <c r="AC2514" s="14"/>
      <c r="AD2514" s="14"/>
      <c r="AE2514" s="14"/>
      <c r="AF2514" s="14"/>
      <c r="AG2514" s="14"/>
      <c r="AH2514" s="14"/>
      <c r="AI2514" s="14"/>
      <c r="AJ2514" s="14"/>
      <c r="AK2514" s="14"/>
      <c r="AL2514" s="14"/>
      <c r="AM2514" s="14"/>
    </row>
    <row r="2515" ht="14.25" customHeight="1">
      <c r="AA2515" s="7">
        <f t="shared" si="2"/>
        <v>43421</v>
      </c>
      <c r="AB2515" s="14"/>
      <c r="AC2515" s="14"/>
      <c r="AD2515" s="14"/>
      <c r="AE2515" s="14"/>
      <c r="AF2515" s="14"/>
      <c r="AG2515" s="14"/>
      <c r="AH2515" s="14"/>
      <c r="AI2515" s="14"/>
      <c r="AJ2515" s="14"/>
      <c r="AK2515" s="14"/>
      <c r="AL2515" s="14"/>
      <c r="AM2515" s="14"/>
    </row>
    <row r="2516" ht="14.25" customHeight="1">
      <c r="AA2516" s="7">
        <f t="shared" si="2"/>
        <v>43422</v>
      </c>
      <c r="AB2516" s="14"/>
      <c r="AC2516" s="14"/>
      <c r="AD2516" s="14"/>
      <c r="AE2516" s="14"/>
      <c r="AF2516" s="14"/>
      <c r="AG2516" s="14"/>
      <c r="AH2516" s="14"/>
      <c r="AI2516" s="14"/>
      <c r="AJ2516" s="14"/>
      <c r="AK2516" s="14"/>
      <c r="AL2516" s="14"/>
      <c r="AM2516" s="14"/>
    </row>
    <row r="2517" ht="14.25" customHeight="1">
      <c r="AA2517" s="7">
        <f t="shared" si="2"/>
        <v>43423</v>
      </c>
      <c r="AB2517" s="14"/>
      <c r="AC2517" s="14"/>
      <c r="AD2517" s="14"/>
      <c r="AE2517" s="14"/>
      <c r="AF2517" s="14"/>
      <c r="AG2517" s="14"/>
      <c r="AH2517" s="14"/>
      <c r="AI2517" s="14"/>
      <c r="AJ2517" s="14"/>
      <c r="AK2517" s="14"/>
      <c r="AL2517" s="14"/>
      <c r="AM2517" s="14"/>
    </row>
    <row r="2518" ht="14.25" customHeight="1">
      <c r="AA2518" s="7">
        <f t="shared" si="2"/>
        <v>43424</v>
      </c>
      <c r="AB2518" s="14"/>
      <c r="AC2518" s="14"/>
      <c r="AD2518" s="14"/>
      <c r="AE2518" s="14"/>
      <c r="AF2518" s="14"/>
      <c r="AG2518" s="14"/>
      <c r="AH2518" s="14"/>
      <c r="AI2518" s="14"/>
      <c r="AJ2518" s="14"/>
      <c r="AK2518" s="14"/>
      <c r="AL2518" s="14"/>
      <c r="AM2518" s="14"/>
    </row>
    <row r="2519" ht="14.25" customHeight="1">
      <c r="AA2519" s="7">
        <f t="shared" si="2"/>
        <v>43425</v>
      </c>
      <c r="AB2519" s="14"/>
      <c r="AC2519" s="14"/>
      <c r="AD2519" s="14"/>
      <c r="AE2519" s="14"/>
      <c r="AF2519" s="14"/>
      <c r="AG2519" s="14"/>
      <c r="AH2519" s="14"/>
      <c r="AI2519" s="14"/>
      <c r="AJ2519" s="14"/>
      <c r="AK2519" s="14"/>
      <c r="AL2519" s="14"/>
      <c r="AM2519" s="14"/>
    </row>
    <row r="2520" ht="14.25" customHeight="1">
      <c r="AA2520" s="7">
        <f t="shared" si="2"/>
        <v>43426</v>
      </c>
      <c r="AB2520" s="14"/>
      <c r="AC2520" s="14"/>
      <c r="AD2520" s="14"/>
      <c r="AE2520" s="14"/>
      <c r="AF2520" s="14"/>
      <c r="AG2520" s="14"/>
      <c r="AH2520" s="14"/>
      <c r="AI2520" s="14"/>
      <c r="AJ2520" s="14"/>
      <c r="AK2520" s="14"/>
      <c r="AL2520" s="14"/>
      <c r="AM2520" s="14"/>
    </row>
    <row r="2521" ht="14.25" customHeight="1">
      <c r="AA2521" s="7">
        <f t="shared" si="2"/>
        <v>43427</v>
      </c>
      <c r="AB2521" s="14"/>
      <c r="AC2521" s="14"/>
      <c r="AD2521" s="14"/>
      <c r="AE2521" s="14"/>
      <c r="AF2521" s="14"/>
      <c r="AG2521" s="14"/>
      <c r="AH2521" s="14"/>
      <c r="AI2521" s="14"/>
      <c r="AJ2521" s="14"/>
      <c r="AK2521" s="14"/>
      <c r="AL2521" s="14"/>
      <c r="AM2521" s="14"/>
    </row>
    <row r="2522" ht="14.25" customHeight="1">
      <c r="AA2522" s="7">
        <f t="shared" si="2"/>
        <v>43428</v>
      </c>
      <c r="AB2522" s="14"/>
      <c r="AC2522" s="14"/>
      <c r="AD2522" s="14"/>
      <c r="AE2522" s="14"/>
      <c r="AF2522" s="14"/>
      <c r="AG2522" s="14"/>
      <c r="AH2522" s="14"/>
      <c r="AI2522" s="14"/>
      <c r="AJ2522" s="14"/>
      <c r="AK2522" s="14"/>
      <c r="AL2522" s="14"/>
      <c r="AM2522" s="14"/>
    </row>
    <row r="2523" ht="14.25" customHeight="1">
      <c r="AA2523" s="7">
        <f t="shared" si="2"/>
        <v>43429</v>
      </c>
      <c r="AB2523" s="14"/>
      <c r="AC2523" s="14"/>
      <c r="AD2523" s="14"/>
      <c r="AE2523" s="14"/>
      <c r="AF2523" s="14"/>
      <c r="AG2523" s="14"/>
      <c r="AH2523" s="14"/>
      <c r="AI2523" s="14"/>
      <c r="AJ2523" s="14"/>
      <c r="AK2523" s="14"/>
      <c r="AL2523" s="14"/>
      <c r="AM2523" s="14"/>
    </row>
    <row r="2524" ht="14.25" customHeight="1">
      <c r="AA2524" s="7">
        <f t="shared" si="2"/>
        <v>43430</v>
      </c>
      <c r="AB2524" s="14"/>
      <c r="AC2524" s="14"/>
      <c r="AD2524" s="14"/>
      <c r="AE2524" s="14"/>
      <c r="AF2524" s="14"/>
      <c r="AG2524" s="14"/>
      <c r="AH2524" s="14"/>
      <c r="AI2524" s="14"/>
      <c r="AJ2524" s="14"/>
      <c r="AK2524" s="14"/>
      <c r="AL2524" s="14"/>
      <c r="AM2524" s="14"/>
    </row>
    <row r="2525" ht="14.25" customHeight="1">
      <c r="AA2525" s="7">
        <f t="shared" si="2"/>
        <v>43431</v>
      </c>
      <c r="AB2525" s="14"/>
      <c r="AC2525" s="14"/>
      <c r="AD2525" s="14"/>
      <c r="AE2525" s="14"/>
      <c r="AF2525" s="14"/>
      <c r="AG2525" s="14"/>
      <c r="AH2525" s="14"/>
      <c r="AI2525" s="14"/>
      <c r="AJ2525" s="14"/>
      <c r="AK2525" s="14"/>
      <c r="AL2525" s="14"/>
      <c r="AM2525" s="14"/>
    </row>
    <row r="2526" ht="14.25" customHeight="1">
      <c r="AA2526" s="7">
        <f t="shared" si="2"/>
        <v>43432</v>
      </c>
      <c r="AB2526" s="14"/>
      <c r="AC2526" s="14"/>
      <c r="AD2526" s="14"/>
      <c r="AE2526" s="14"/>
      <c r="AF2526" s="14"/>
      <c r="AG2526" s="14"/>
      <c r="AH2526" s="14"/>
      <c r="AI2526" s="14"/>
      <c r="AJ2526" s="14"/>
      <c r="AK2526" s="14"/>
      <c r="AL2526" s="14"/>
      <c r="AM2526" s="14"/>
    </row>
    <row r="2527" ht="14.25" customHeight="1">
      <c r="AA2527" s="7">
        <f t="shared" si="2"/>
        <v>43433</v>
      </c>
      <c r="AB2527" s="14"/>
      <c r="AC2527" s="14"/>
      <c r="AD2527" s="14"/>
      <c r="AE2527" s="14"/>
      <c r="AF2527" s="14"/>
      <c r="AG2527" s="14"/>
      <c r="AH2527" s="14"/>
      <c r="AI2527" s="14"/>
      <c r="AJ2527" s="14"/>
      <c r="AK2527" s="14"/>
      <c r="AL2527" s="14"/>
      <c r="AM2527" s="14"/>
    </row>
    <row r="2528" ht="14.25" customHeight="1">
      <c r="AA2528" s="7">
        <f t="shared" si="2"/>
        <v>43434</v>
      </c>
      <c r="AB2528" s="14"/>
      <c r="AC2528" s="14"/>
      <c r="AD2528" s="14"/>
      <c r="AE2528" s="14"/>
      <c r="AF2528" s="14"/>
      <c r="AG2528" s="14"/>
      <c r="AH2528" s="14"/>
      <c r="AI2528" s="14"/>
      <c r="AJ2528" s="14"/>
      <c r="AK2528" s="14"/>
      <c r="AL2528" s="14"/>
      <c r="AM2528" s="14"/>
    </row>
    <row r="2529" ht="14.25" customHeight="1">
      <c r="AA2529" s="7">
        <f t="shared" si="2"/>
        <v>43435</v>
      </c>
      <c r="AB2529" s="14"/>
      <c r="AC2529" s="14"/>
      <c r="AD2529" s="14"/>
      <c r="AE2529" s="14"/>
      <c r="AF2529" s="14"/>
      <c r="AG2529" s="14"/>
      <c r="AH2529" s="14"/>
      <c r="AI2529" s="14"/>
      <c r="AJ2529" s="14"/>
      <c r="AK2529" s="14"/>
      <c r="AL2529" s="14"/>
      <c r="AM2529" s="14"/>
    </row>
    <row r="2530" ht="14.25" customHeight="1">
      <c r="AA2530" s="7">
        <f t="shared" si="2"/>
        <v>43436</v>
      </c>
      <c r="AB2530" s="14"/>
      <c r="AC2530" s="14"/>
      <c r="AD2530" s="14"/>
      <c r="AE2530" s="14"/>
      <c r="AF2530" s="14"/>
      <c r="AG2530" s="14"/>
      <c r="AH2530" s="14"/>
      <c r="AI2530" s="14"/>
      <c r="AJ2530" s="14"/>
      <c r="AK2530" s="14"/>
      <c r="AL2530" s="14"/>
      <c r="AM2530" s="14"/>
    </row>
    <row r="2531" ht="14.25" customHeight="1">
      <c r="AA2531" s="7">
        <f t="shared" si="2"/>
        <v>43437</v>
      </c>
      <c r="AB2531" s="14"/>
      <c r="AC2531" s="14"/>
      <c r="AD2531" s="14"/>
      <c r="AE2531" s="14"/>
      <c r="AF2531" s="14"/>
      <c r="AG2531" s="14"/>
      <c r="AH2531" s="14"/>
      <c r="AI2531" s="14"/>
      <c r="AJ2531" s="14"/>
      <c r="AK2531" s="14"/>
      <c r="AL2531" s="14"/>
      <c r="AM2531" s="14"/>
    </row>
    <row r="2532" ht="14.25" customHeight="1">
      <c r="AA2532" s="7">
        <f t="shared" si="2"/>
        <v>43438</v>
      </c>
      <c r="AB2532" s="14"/>
      <c r="AC2532" s="14"/>
      <c r="AD2532" s="14"/>
      <c r="AE2532" s="14"/>
      <c r="AF2532" s="14"/>
      <c r="AG2532" s="14"/>
      <c r="AH2532" s="14"/>
      <c r="AI2532" s="14"/>
      <c r="AJ2532" s="14"/>
      <c r="AK2532" s="14"/>
      <c r="AL2532" s="14"/>
      <c r="AM2532" s="14"/>
    </row>
    <row r="2533" ht="14.25" customHeight="1">
      <c r="AA2533" s="7">
        <f t="shared" si="2"/>
        <v>43439</v>
      </c>
      <c r="AB2533" s="14"/>
      <c r="AC2533" s="14"/>
      <c r="AD2533" s="14"/>
      <c r="AE2533" s="14"/>
      <c r="AF2533" s="14"/>
      <c r="AG2533" s="14"/>
      <c r="AH2533" s="14"/>
      <c r="AI2533" s="14"/>
      <c r="AJ2533" s="14"/>
      <c r="AK2533" s="14"/>
      <c r="AL2533" s="14"/>
      <c r="AM2533" s="14"/>
    </row>
    <row r="2534" ht="14.25" customHeight="1">
      <c r="AA2534" s="7">
        <f t="shared" si="2"/>
        <v>43440</v>
      </c>
      <c r="AB2534" s="14"/>
      <c r="AC2534" s="14"/>
      <c r="AD2534" s="14"/>
      <c r="AE2534" s="14"/>
      <c r="AF2534" s="14"/>
      <c r="AG2534" s="14"/>
      <c r="AH2534" s="14"/>
      <c r="AI2534" s="14"/>
      <c r="AJ2534" s="14"/>
      <c r="AK2534" s="14"/>
      <c r="AL2534" s="14"/>
      <c r="AM2534" s="14"/>
    </row>
    <row r="2535" ht="14.25" customHeight="1">
      <c r="AA2535" s="7">
        <f t="shared" si="2"/>
        <v>43441</v>
      </c>
      <c r="AB2535" s="14"/>
      <c r="AC2535" s="14"/>
      <c r="AD2535" s="14"/>
      <c r="AE2535" s="14"/>
      <c r="AF2535" s="14"/>
      <c r="AG2535" s="14"/>
      <c r="AH2535" s="14"/>
      <c r="AI2535" s="14"/>
      <c r="AJ2535" s="14"/>
      <c r="AK2535" s="14"/>
      <c r="AL2535" s="14"/>
      <c r="AM2535" s="14"/>
    </row>
    <row r="2536" ht="14.25" customHeight="1">
      <c r="AA2536" s="7">
        <f t="shared" si="2"/>
        <v>43442</v>
      </c>
      <c r="AB2536" s="14"/>
      <c r="AC2536" s="14"/>
      <c r="AD2536" s="14"/>
      <c r="AE2536" s="14"/>
      <c r="AF2536" s="14"/>
      <c r="AG2536" s="14"/>
      <c r="AH2536" s="14"/>
      <c r="AI2536" s="14"/>
      <c r="AJ2536" s="14"/>
      <c r="AK2536" s="14"/>
      <c r="AL2536" s="14"/>
      <c r="AM2536" s="14"/>
    </row>
    <row r="2537" ht="14.25" customHeight="1">
      <c r="AA2537" s="7">
        <f t="shared" si="2"/>
        <v>43443</v>
      </c>
      <c r="AB2537" s="14"/>
      <c r="AC2537" s="14"/>
      <c r="AD2537" s="14"/>
      <c r="AE2537" s="14"/>
      <c r="AF2537" s="14"/>
      <c r="AG2537" s="14"/>
      <c r="AH2537" s="14"/>
      <c r="AI2537" s="14"/>
      <c r="AJ2537" s="14"/>
      <c r="AK2537" s="14"/>
      <c r="AL2537" s="14"/>
      <c r="AM2537" s="14"/>
    </row>
    <row r="2538" ht="14.25" customHeight="1">
      <c r="AA2538" s="7">
        <f t="shared" si="2"/>
        <v>43444</v>
      </c>
      <c r="AB2538" s="14"/>
      <c r="AC2538" s="14"/>
      <c r="AD2538" s="14"/>
      <c r="AE2538" s="14"/>
      <c r="AF2538" s="14"/>
      <c r="AG2538" s="14"/>
      <c r="AH2538" s="14"/>
      <c r="AI2538" s="14"/>
      <c r="AJ2538" s="14"/>
      <c r="AK2538" s="14"/>
      <c r="AL2538" s="14"/>
      <c r="AM2538" s="14"/>
    </row>
    <row r="2539" ht="14.25" customHeight="1">
      <c r="AA2539" s="7">
        <f t="shared" si="2"/>
        <v>43445</v>
      </c>
      <c r="AB2539" s="14"/>
      <c r="AC2539" s="14"/>
      <c r="AD2539" s="14"/>
      <c r="AE2539" s="14"/>
      <c r="AF2539" s="14"/>
      <c r="AG2539" s="14"/>
      <c r="AH2539" s="14"/>
      <c r="AI2539" s="14"/>
      <c r="AJ2539" s="14"/>
      <c r="AK2539" s="14"/>
      <c r="AL2539" s="14"/>
      <c r="AM2539" s="14"/>
    </row>
    <row r="2540" ht="14.25" customHeight="1">
      <c r="AA2540" s="7">
        <f t="shared" si="2"/>
        <v>43446</v>
      </c>
      <c r="AB2540" s="14"/>
      <c r="AC2540" s="14"/>
      <c r="AD2540" s="14"/>
      <c r="AE2540" s="14"/>
      <c r="AF2540" s="14"/>
      <c r="AG2540" s="14"/>
      <c r="AH2540" s="14"/>
      <c r="AI2540" s="14"/>
      <c r="AJ2540" s="14"/>
      <c r="AK2540" s="14"/>
      <c r="AL2540" s="14"/>
      <c r="AM2540" s="14"/>
    </row>
    <row r="2541" ht="14.25" customHeight="1">
      <c r="AA2541" s="7">
        <f t="shared" si="2"/>
        <v>43447</v>
      </c>
      <c r="AB2541" s="14"/>
      <c r="AC2541" s="14"/>
      <c r="AD2541" s="14"/>
      <c r="AE2541" s="14"/>
      <c r="AF2541" s="14"/>
      <c r="AG2541" s="14"/>
      <c r="AH2541" s="14"/>
      <c r="AI2541" s="14"/>
      <c r="AJ2541" s="14"/>
      <c r="AK2541" s="14"/>
      <c r="AL2541" s="14"/>
      <c r="AM2541" s="14"/>
    </row>
    <row r="2542" ht="14.25" customHeight="1">
      <c r="AA2542" s="7">
        <f t="shared" si="2"/>
        <v>43448</v>
      </c>
      <c r="AB2542" s="14"/>
      <c r="AC2542" s="14"/>
      <c r="AD2542" s="14"/>
      <c r="AE2542" s="14"/>
      <c r="AF2542" s="14"/>
      <c r="AG2542" s="14"/>
      <c r="AH2542" s="14"/>
      <c r="AI2542" s="14"/>
      <c r="AJ2542" s="14"/>
      <c r="AK2542" s="14"/>
      <c r="AL2542" s="14"/>
      <c r="AM2542" s="14"/>
    </row>
    <row r="2543" ht="14.25" customHeight="1">
      <c r="AA2543" s="7">
        <f t="shared" si="2"/>
        <v>43449</v>
      </c>
      <c r="AB2543" s="14"/>
      <c r="AC2543" s="14"/>
      <c r="AD2543" s="14"/>
      <c r="AE2543" s="14"/>
      <c r="AF2543" s="14"/>
      <c r="AG2543" s="14"/>
      <c r="AH2543" s="14"/>
      <c r="AI2543" s="14"/>
      <c r="AJ2543" s="14"/>
      <c r="AK2543" s="14"/>
      <c r="AL2543" s="14"/>
      <c r="AM2543" s="14"/>
    </row>
    <row r="2544" ht="14.25" customHeight="1">
      <c r="AA2544" s="7">
        <f t="shared" si="2"/>
        <v>43450</v>
      </c>
      <c r="AB2544" s="14"/>
      <c r="AC2544" s="14"/>
      <c r="AD2544" s="14"/>
      <c r="AE2544" s="14"/>
      <c r="AF2544" s="14"/>
      <c r="AG2544" s="14"/>
      <c r="AH2544" s="14"/>
      <c r="AI2544" s="14"/>
      <c r="AJ2544" s="14"/>
      <c r="AK2544" s="14"/>
      <c r="AL2544" s="14"/>
      <c r="AM2544" s="14"/>
    </row>
    <row r="2545" ht="14.25" customHeight="1">
      <c r="AA2545" s="7">
        <f t="shared" si="2"/>
        <v>43451</v>
      </c>
      <c r="AB2545" s="14"/>
      <c r="AC2545" s="14"/>
      <c r="AD2545" s="14"/>
      <c r="AE2545" s="14"/>
      <c r="AF2545" s="14"/>
      <c r="AG2545" s="14"/>
      <c r="AH2545" s="14"/>
      <c r="AI2545" s="14"/>
      <c r="AJ2545" s="14"/>
      <c r="AK2545" s="14"/>
      <c r="AL2545" s="14"/>
      <c r="AM2545" s="14"/>
    </row>
    <row r="2546" ht="14.25" customHeight="1">
      <c r="AA2546" s="7">
        <f t="shared" si="2"/>
        <v>43452</v>
      </c>
      <c r="AB2546" s="14"/>
      <c r="AC2546" s="14"/>
      <c r="AD2546" s="14"/>
      <c r="AE2546" s="14"/>
      <c r="AF2546" s="14"/>
      <c r="AG2546" s="14"/>
      <c r="AH2546" s="14"/>
      <c r="AI2546" s="14"/>
      <c r="AJ2546" s="14"/>
      <c r="AK2546" s="14"/>
      <c r="AL2546" s="14"/>
      <c r="AM2546" s="14"/>
    </row>
    <row r="2547" ht="14.25" customHeight="1">
      <c r="AA2547" s="7">
        <f t="shared" si="2"/>
        <v>43453</v>
      </c>
      <c r="AB2547" s="14"/>
      <c r="AC2547" s="14"/>
      <c r="AD2547" s="14"/>
      <c r="AE2547" s="14"/>
      <c r="AF2547" s="14"/>
      <c r="AG2547" s="14"/>
      <c r="AH2547" s="14"/>
      <c r="AI2547" s="14"/>
      <c r="AJ2547" s="14"/>
      <c r="AK2547" s="14"/>
      <c r="AL2547" s="14"/>
      <c r="AM2547" s="14"/>
    </row>
    <row r="2548" ht="14.25" customHeight="1">
      <c r="AA2548" s="7">
        <f t="shared" si="2"/>
        <v>43454</v>
      </c>
      <c r="AB2548" s="14"/>
      <c r="AC2548" s="14"/>
      <c r="AD2548" s="14"/>
      <c r="AE2548" s="14"/>
      <c r="AF2548" s="14"/>
      <c r="AG2548" s="14"/>
      <c r="AH2548" s="14"/>
      <c r="AI2548" s="14"/>
      <c r="AJ2548" s="14"/>
      <c r="AK2548" s="14"/>
      <c r="AL2548" s="14"/>
      <c r="AM2548" s="14"/>
    </row>
    <row r="2549" ht="14.25" customHeight="1">
      <c r="AA2549" s="7">
        <f t="shared" si="2"/>
        <v>43455</v>
      </c>
      <c r="AB2549" s="14"/>
      <c r="AC2549" s="14"/>
      <c r="AD2549" s="14"/>
      <c r="AE2549" s="14"/>
      <c r="AF2549" s="14"/>
      <c r="AG2549" s="14"/>
      <c r="AH2549" s="14"/>
      <c r="AI2549" s="14"/>
      <c r="AJ2549" s="14"/>
      <c r="AK2549" s="14"/>
      <c r="AL2549" s="14"/>
      <c r="AM2549" s="14"/>
    </row>
    <row r="2550" ht="14.25" customHeight="1">
      <c r="AA2550" s="7">
        <f t="shared" si="2"/>
        <v>43456</v>
      </c>
      <c r="AB2550" s="14"/>
      <c r="AC2550" s="14"/>
      <c r="AD2550" s="14"/>
      <c r="AE2550" s="14"/>
      <c r="AF2550" s="14"/>
      <c r="AG2550" s="14"/>
      <c r="AH2550" s="14"/>
      <c r="AI2550" s="14"/>
      <c r="AJ2550" s="14"/>
      <c r="AK2550" s="14"/>
      <c r="AL2550" s="14"/>
      <c r="AM2550" s="14"/>
    </row>
    <row r="2551" ht="14.25" customHeight="1">
      <c r="AA2551" s="7">
        <f t="shared" si="2"/>
        <v>43457</v>
      </c>
      <c r="AB2551" s="14"/>
      <c r="AC2551" s="14"/>
      <c r="AD2551" s="14"/>
      <c r="AE2551" s="14"/>
      <c r="AF2551" s="14"/>
      <c r="AG2551" s="14"/>
      <c r="AH2551" s="14"/>
      <c r="AI2551" s="14"/>
      <c r="AJ2551" s="14"/>
      <c r="AK2551" s="14"/>
      <c r="AL2551" s="14"/>
      <c r="AM2551" s="14"/>
    </row>
    <row r="2552" ht="14.25" customHeight="1">
      <c r="AA2552" s="7">
        <f t="shared" si="2"/>
        <v>43458</v>
      </c>
      <c r="AB2552" s="14"/>
      <c r="AC2552" s="14"/>
      <c r="AD2552" s="14"/>
      <c r="AE2552" s="14"/>
      <c r="AF2552" s="14"/>
      <c r="AG2552" s="14"/>
      <c r="AH2552" s="14"/>
      <c r="AI2552" s="14"/>
      <c r="AJ2552" s="14"/>
      <c r="AK2552" s="14"/>
      <c r="AL2552" s="14"/>
      <c r="AM2552" s="14"/>
    </row>
    <row r="2553" ht="14.25" customHeight="1">
      <c r="AA2553" s="7">
        <f t="shared" si="2"/>
        <v>43459</v>
      </c>
      <c r="AB2553" s="14"/>
      <c r="AC2553" s="14"/>
      <c r="AD2553" s="14"/>
      <c r="AE2553" s="14"/>
      <c r="AF2553" s="14"/>
      <c r="AG2553" s="14"/>
      <c r="AH2553" s="14"/>
      <c r="AI2553" s="14"/>
      <c r="AJ2553" s="14"/>
      <c r="AK2553" s="14"/>
      <c r="AL2553" s="14"/>
      <c r="AM2553" s="14"/>
    </row>
    <row r="2554" ht="14.25" customHeight="1">
      <c r="AA2554" s="7">
        <f t="shared" si="2"/>
        <v>43460</v>
      </c>
      <c r="AB2554" s="14"/>
      <c r="AC2554" s="14"/>
      <c r="AD2554" s="14"/>
      <c r="AE2554" s="14"/>
      <c r="AF2554" s="14"/>
      <c r="AG2554" s="14"/>
      <c r="AH2554" s="14"/>
      <c r="AI2554" s="14"/>
      <c r="AJ2554" s="14"/>
      <c r="AK2554" s="14"/>
      <c r="AL2554" s="14"/>
      <c r="AM2554" s="14"/>
    </row>
    <row r="2555" ht="14.25" customHeight="1">
      <c r="AA2555" s="7">
        <f t="shared" si="2"/>
        <v>43461</v>
      </c>
      <c r="AB2555" s="14"/>
      <c r="AC2555" s="14"/>
      <c r="AD2555" s="14"/>
      <c r="AE2555" s="14"/>
      <c r="AF2555" s="14"/>
      <c r="AG2555" s="14"/>
      <c r="AH2555" s="14"/>
      <c r="AI2555" s="14"/>
      <c r="AJ2555" s="14"/>
      <c r="AK2555" s="14"/>
      <c r="AL2555" s="14"/>
      <c r="AM2555" s="14"/>
    </row>
    <row r="2556" ht="14.25" customHeight="1">
      <c r="AA2556" s="7">
        <f t="shared" si="2"/>
        <v>43462</v>
      </c>
      <c r="AB2556" s="14"/>
      <c r="AC2556" s="14"/>
      <c r="AD2556" s="14"/>
      <c r="AE2556" s="14"/>
      <c r="AF2556" s="14"/>
      <c r="AG2556" s="14"/>
      <c r="AH2556" s="14"/>
      <c r="AI2556" s="14"/>
      <c r="AJ2556" s="14"/>
      <c r="AK2556" s="14"/>
      <c r="AL2556" s="14"/>
      <c r="AM2556" s="14"/>
    </row>
    <row r="2557" ht="14.25" customHeight="1">
      <c r="AA2557" s="7">
        <f t="shared" si="2"/>
        <v>43463</v>
      </c>
      <c r="AB2557" s="14"/>
      <c r="AC2557" s="14"/>
      <c r="AD2557" s="14"/>
      <c r="AE2557" s="14"/>
      <c r="AF2557" s="14"/>
      <c r="AG2557" s="14"/>
      <c r="AH2557" s="14"/>
      <c r="AI2557" s="14"/>
      <c r="AJ2557" s="14"/>
      <c r="AK2557" s="14"/>
      <c r="AL2557" s="14"/>
      <c r="AM2557" s="14"/>
    </row>
    <row r="2558" ht="14.25" customHeight="1">
      <c r="AA2558" s="7">
        <f t="shared" si="2"/>
        <v>43464</v>
      </c>
      <c r="AB2558" s="14"/>
      <c r="AC2558" s="14"/>
      <c r="AD2558" s="14"/>
      <c r="AE2558" s="14"/>
      <c r="AF2558" s="14"/>
      <c r="AG2558" s="14"/>
      <c r="AH2558" s="14"/>
      <c r="AI2558" s="14"/>
      <c r="AJ2558" s="14"/>
      <c r="AK2558" s="14"/>
      <c r="AL2558" s="14"/>
      <c r="AM2558" s="14"/>
    </row>
    <row r="2559" ht="14.25" customHeight="1">
      <c r="AA2559" s="7">
        <f t="shared" si="2"/>
        <v>43465</v>
      </c>
      <c r="AB2559" s="14"/>
      <c r="AC2559" s="14"/>
      <c r="AD2559" s="14"/>
      <c r="AE2559" s="14"/>
      <c r="AF2559" s="14"/>
      <c r="AG2559" s="14"/>
      <c r="AH2559" s="14"/>
      <c r="AI2559" s="14"/>
      <c r="AJ2559" s="14"/>
      <c r="AK2559" s="14"/>
      <c r="AL2559" s="14"/>
      <c r="AM2559" s="14"/>
    </row>
    <row r="2560" ht="14.25" customHeight="1">
      <c r="AA2560" s="7">
        <f t="shared" si="2"/>
        <v>43466</v>
      </c>
      <c r="AB2560" s="14"/>
      <c r="AC2560" s="14"/>
      <c r="AD2560" s="14"/>
      <c r="AE2560" s="14"/>
      <c r="AF2560" s="14"/>
      <c r="AG2560" s="14"/>
      <c r="AH2560" s="14"/>
      <c r="AI2560" s="14"/>
      <c r="AJ2560" s="14"/>
      <c r="AK2560" s="14"/>
      <c r="AL2560" s="14"/>
      <c r="AM2560" s="14"/>
    </row>
    <row r="2561" ht="14.25" customHeight="1">
      <c r="AA2561" s="7">
        <f t="shared" si="2"/>
        <v>43467</v>
      </c>
      <c r="AB2561" s="14"/>
      <c r="AC2561" s="14"/>
      <c r="AD2561" s="14"/>
      <c r="AE2561" s="14"/>
      <c r="AF2561" s="14"/>
      <c r="AG2561" s="14"/>
      <c r="AH2561" s="14"/>
      <c r="AI2561" s="14"/>
      <c r="AJ2561" s="14"/>
      <c r="AK2561" s="14"/>
      <c r="AL2561" s="14"/>
      <c r="AM2561" s="14"/>
    </row>
    <row r="2562" ht="14.25" customHeight="1">
      <c r="AA2562" s="7">
        <f t="shared" si="2"/>
        <v>43468</v>
      </c>
      <c r="AB2562" s="14"/>
      <c r="AC2562" s="14"/>
      <c r="AD2562" s="14"/>
      <c r="AE2562" s="14"/>
      <c r="AF2562" s="14"/>
      <c r="AG2562" s="14"/>
      <c r="AH2562" s="14"/>
      <c r="AI2562" s="14"/>
      <c r="AJ2562" s="14"/>
      <c r="AK2562" s="14"/>
      <c r="AL2562" s="14"/>
      <c r="AM2562" s="14"/>
    </row>
    <row r="2563" ht="14.25" customHeight="1">
      <c r="AA2563" s="7">
        <f t="shared" si="2"/>
        <v>43469</v>
      </c>
      <c r="AB2563" s="14"/>
      <c r="AC2563" s="14"/>
      <c r="AD2563" s="14"/>
      <c r="AE2563" s="14"/>
      <c r="AF2563" s="14"/>
      <c r="AG2563" s="14"/>
      <c r="AH2563" s="14"/>
      <c r="AI2563" s="14"/>
      <c r="AJ2563" s="14"/>
      <c r="AK2563" s="14"/>
      <c r="AL2563" s="14"/>
      <c r="AM2563" s="14"/>
    </row>
    <row r="2564" ht="14.25" customHeight="1">
      <c r="AA2564" s="7">
        <f t="shared" si="2"/>
        <v>43470</v>
      </c>
      <c r="AB2564" s="14"/>
      <c r="AC2564" s="14"/>
      <c r="AD2564" s="14"/>
      <c r="AE2564" s="14"/>
      <c r="AF2564" s="14"/>
      <c r="AG2564" s="14"/>
      <c r="AH2564" s="14"/>
      <c r="AI2564" s="14"/>
      <c r="AJ2564" s="14"/>
      <c r="AK2564" s="14"/>
      <c r="AL2564" s="14"/>
      <c r="AM2564" s="14"/>
    </row>
    <row r="2565" ht="14.25" customHeight="1">
      <c r="AA2565" s="7">
        <f t="shared" si="2"/>
        <v>43471</v>
      </c>
      <c r="AB2565" s="14"/>
      <c r="AC2565" s="14"/>
      <c r="AD2565" s="14"/>
      <c r="AE2565" s="14"/>
      <c r="AF2565" s="14"/>
      <c r="AG2565" s="14"/>
      <c r="AH2565" s="14"/>
      <c r="AI2565" s="14"/>
      <c r="AJ2565" s="14"/>
      <c r="AK2565" s="14"/>
      <c r="AL2565" s="14"/>
      <c r="AM2565" s="14"/>
    </row>
    <row r="2566" ht="14.25" customHeight="1">
      <c r="AA2566" s="7">
        <f t="shared" si="2"/>
        <v>43472</v>
      </c>
      <c r="AB2566" s="14"/>
      <c r="AC2566" s="14"/>
      <c r="AD2566" s="14"/>
      <c r="AE2566" s="14"/>
      <c r="AF2566" s="14"/>
      <c r="AG2566" s="14"/>
      <c r="AH2566" s="14"/>
      <c r="AI2566" s="14"/>
      <c r="AJ2566" s="14"/>
      <c r="AK2566" s="14"/>
      <c r="AL2566" s="14"/>
      <c r="AM2566" s="14"/>
    </row>
    <row r="2567" ht="14.25" customHeight="1">
      <c r="AA2567" s="7">
        <f t="shared" si="2"/>
        <v>43473</v>
      </c>
      <c r="AB2567" s="14"/>
      <c r="AC2567" s="14"/>
      <c r="AD2567" s="14"/>
      <c r="AE2567" s="14"/>
      <c r="AF2567" s="14"/>
      <c r="AG2567" s="14"/>
      <c r="AH2567" s="14"/>
      <c r="AI2567" s="14"/>
      <c r="AJ2567" s="14"/>
      <c r="AK2567" s="14"/>
      <c r="AL2567" s="14"/>
      <c r="AM2567" s="14"/>
    </row>
    <row r="2568" ht="14.25" customHeight="1">
      <c r="AA2568" s="7">
        <f t="shared" si="2"/>
        <v>43474</v>
      </c>
      <c r="AB2568" s="14"/>
      <c r="AC2568" s="14"/>
      <c r="AD2568" s="14"/>
      <c r="AE2568" s="14"/>
      <c r="AF2568" s="14"/>
      <c r="AG2568" s="14"/>
      <c r="AH2568" s="14"/>
      <c r="AI2568" s="14"/>
      <c r="AJ2568" s="14"/>
      <c r="AK2568" s="14"/>
      <c r="AL2568" s="14"/>
      <c r="AM2568" s="14"/>
    </row>
    <row r="2569" ht="14.25" customHeight="1">
      <c r="AA2569" s="7">
        <f t="shared" si="2"/>
        <v>43475</v>
      </c>
      <c r="AB2569" s="14"/>
      <c r="AC2569" s="14"/>
      <c r="AD2569" s="14"/>
      <c r="AE2569" s="14"/>
      <c r="AF2569" s="14"/>
      <c r="AG2569" s="14"/>
      <c r="AH2569" s="14"/>
      <c r="AI2569" s="14"/>
      <c r="AJ2569" s="14"/>
      <c r="AK2569" s="14"/>
      <c r="AL2569" s="14"/>
      <c r="AM2569" s="14"/>
    </row>
    <row r="2570" ht="14.25" customHeight="1">
      <c r="AA2570" s="7">
        <f t="shared" si="2"/>
        <v>43476</v>
      </c>
      <c r="AB2570" s="14"/>
      <c r="AC2570" s="14"/>
      <c r="AD2570" s="14"/>
      <c r="AE2570" s="14"/>
      <c r="AF2570" s="14"/>
      <c r="AG2570" s="14"/>
      <c r="AH2570" s="14"/>
      <c r="AI2570" s="14"/>
      <c r="AJ2570" s="14"/>
      <c r="AK2570" s="14"/>
      <c r="AL2570" s="14"/>
      <c r="AM2570" s="14"/>
    </row>
    <row r="2571" ht="14.25" customHeight="1">
      <c r="AA2571" s="7">
        <f t="shared" si="2"/>
        <v>43477</v>
      </c>
      <c r="AB2571" s="14"/>
      <c r="AC2571" s="14"/>
      <c r="AD2571" s="14"/>
      <c r="AE2571" s="14"/>
      <c r="AF2571" s="14"/>
      <c r="AG2571" s="14"/>
      <c r="AH2571" s="14"/>
      <c r="AI2571" s="14"/>
      <c r="AJ2571" s="14"/>
      <c r="AK2571" s="14"/>
      <c r="AL2571" s="14"/>
      <c r="AM2571" s="14"/>
    </row>
    <row r="2572" ht="14.25" customHeight="1">
      <c r="AA2572" s="7">
        <f t="shared" si="2"/>
        <v>43478</v>
      </c>
      <c r="AB2572" s="14"/>
      <c r="AC2572" s="14"/>
      <c r="AD2572" s="14"/>
      <c r="AE2572" s="14"/>
      <c r="AF2572" s="14"/>
      <c r="AG2572" s="14"/>
      <c r="AH2572" s="14"/>
      <c r="AI2572" s="14"/>
      <c r="AJ2572" s="14"/>
      <c r="AK2572" s="14"/>
      <c r="AL2572" s="14"/>
      <c r="AM2572" s="14"/>
    </row>
    <row r="2573" ht="14.25" customHeight="1">
      <c r="AA2573" s="7">
        <f t="shared" si="2"/>
        <v>43479</v>
      </c>
      <c r="AB2573" s="14"/>
      <c r="AC2573" s="14"/>
      <c r="AD2573" s="14"/>
      <c r="AE2573" s="14"/>
      <c r="AF2573" s="14"/>
      <c r="AG2573" s="14"/>
      <c r="AH2573" s="14"/>
      <c r="AI2573" s="14"/>
      <c r="AJ2573" s="14"/>
      <c r="AK2573" s="14"/>
      <c r="AL2573" s="14"/>
      <c r="AM2573" s="14"/>
    </row>
    <row r="2574" ht="14.25" customHeight="1">
      <c r="AA2574" s="7">
        <f t="shared" si="2"/>
        <v>43480</v>
      </c>
      <c r="AB2574" s="14"/>
      <c r="AC2574" s="14"/>
      <c r="AD2574" s="14"/>
      <c r="AE2574" s="14"/>
      <c r="AF2574" s="14"/>
      <c r="AG2574" s="14"/>
      <c r="AH2574" s="14"/>
      <c r="AI2574" s="14"/>
      <c r="AJ2574" s="14"/>
      <c r="AK2574" s="14"/>
      <c r="AL2574" s="14"/>
      <c r="AM2574" s="14"/>
    </row>
    <row r="2575" ht="14.25" customHeight="1">
      <c r="AA2575" s="7">
        <f t="shared" si="2"/>
        <v>43481</v>
      </c>
      <c r="AB2575" s="14"/>
      <c r="AC2575" s="14"/>
      <c r="AD2575" s="14"/>
      <c r="AE2575" s="14"/>
      <c r="AF2575" s="14"/>
      <c r="AG2575" s="14"/>
      <c r="AH2575" s="14"/>
      <c r="AI2575" s="14"/>
      <c r="AJ2575" s="14"/>
      <c r="AK2575" s="14"/>
      <c r="AL2575" s="14"/>
      <c r="AM2575" s="14"/>
    </row>
    <row r="2576" ht="14.25" customHeight="1">
      <c r="AA2576" s="7">
        <f t="shared" si="2"/>
        <v>43482</v>
      </c>
      <c r="AB2576" s="14"/>
      <c r="AC2576" s="14"/>
      <c r="AD2576" s="14"/>
      <c r="AE2576" s="14"/>
      <c r="AF2576" s="14"/>
      <c r="AG2576" s="14"/>
      <c r="AH2576" s="14"/>
      <c r="AI2576" s="14"/>
      <c r="AJ2576" s="14"/>
      <c r="AK2576" s="14"/>
      <c r="AL2576" s="14"/>
      <c r="AM2576" s="14"/>
    </row>
    <row r="2577" ht="14.25" customHeight="1">
      <c r="AA2577" s="7">
        <f t="shared" si="2"/>
        <v>43483</v>
      </c>
      <c r="AB2577" s="14"/>
      <c r="AC2577" s="14"/>
      <c r="AD2577" s="14"/>
      <c r="AE2577" s="14"/>
      <c r="AF2577" s="14"/>
      <c r="AG2577" s="14"/>
      <c r="AH2577" s="14"/>
      <c r="AI2577" s="14"/>
      <c r="AJ2577" s="14"/>
      <c r="AK2577" s="14"/>
      <c r="AL2577" s="14"/>
      <c r="AM2577" s="14"/>
    </row>
    <row r="2578" ht="14.25" customHeight="1">
      <c r="AA2578" s="7">
        <f t="shared" si="2"/>
        <v>43484</v>
      </c>
      <c r="AB2578" s="14"/>
      <c r="AC2578" s="14"/>
      <c r="AD2578" s="14"/>
      <c r="AE2578" s="14"/>
      <c r="AF2578" s="14"/>
      <c r="AG2578" s="14"/>
      <c r="AH2578" s="14"/>
      <c r="AI2578" s="14"/>
      <c r="AJ2578" s="14"/>
      <c r="AK2578" s="14"/>
      <c r="AL2578" s="14"/>
      <c r="AM2578" s="14"/>
    </row>
    <row r="2579" ht="14.25" customHeight="1">
      <c r="AA2579" s="7">
        <f t="shared" si="2"/>
        <v>43485</v>
      </c>
      <c r="AB2579" s="14"/>
      <c r="AC2579" s="14"/>
      <c r="AD2579" s="14"/>
      <c r="AE2579" s="14"/>
      <c r="AF2579" s="14"/>
      <c r="AG2579" s="14"/>
      <c r="AH2579" s="14"/>
      <c r="AI2579" s="14"/>
      <c r="AJ2579" s="14"/>
      <c r="AK2579" s="14"/>
      <c r="AL2579" s="14"/>
      <c r="AM2579" s="14"/>
    </row>
    <row r="2580" ht="14.25" customHeight="1">
      <c r="AA2580" s="7">
        <f t="shared" si="2"/>
        <v>43486</v>
      </c>
      <c r="AB2580" s="14"/>
      <c r="AC2580" s="14"/>
      <c r="AD2580" s="14"/>
      <c r="AE2580" s="14"/>
      <c r="AF2580" s="14"/>
      <c r="AG2580" s="14"/>
      <c r="AH2580" s="14"/>
      <c r="AI2580" s="14"/>
      <c r="AJ2580" s="14"/>
      <c r="AK2580" s="14"/>
      <c r="AL2580" s="14"/>
      <c r="AM2580" s="14"/>
    </row>
    <row r="2581" ht="14.25" customHeight="1">
      <c r="AA2581" s="7">
        <f t="shared" si="2"/>
        <v>43487</v>
      </c>
      <c r="AB2581" s="14"/>
      <c r="AC2581" s="14"/>
      <c r="AD2581" s="14"/>
      <c r="AE2581" s="14"/>
      <c r="AF2581" s="14"/>
      <c r="AG2581" s="14"/>
      <c r="AH2581" s="14"/>
      <c r="AI2581" s="14"/>
      <c r="AJ2581" s="14"/>
      <c r="AK2581" s="14"/>
      <c r="AL2581" s="14"/>
      <c r="AM2581" s="14"/>
    </row>
    <row r="2582" ht="14.25" customHeight="1">
      <c r="AA2582" s="7">
        <f t="shared" si="2"/>
        <v>43488</v>
      </c>
      <c r="AB2582" s="14"/>
      <c r="AC2582" s="14"/>
      <c r="AD2582" s="14"/>
      <c r="AE2582" s="14"/>
      <c r="AF2582" s="14"/>
      <c r="AG2582" s="14"/>
      <c r="AH2582" s="14"/>
      <c r="AI2582" s="14"/>
      <c r="AJ2582" s="14"/>
      <c r="AK2582" s="14"/>
      <c r="AL2582" s="14"/>
      <c r="AM2582" s="14"/>
    </row>
    <row r="2583" ht="14.25" customHeight="1">
      <c r="AA2583" s="7">
        <f t="shared" si="2"/>
        <v>43489</v>
      </c>
      <c r="AB2583" s="14"/>
      <c r="AC2583" s="14"/>
      <c r="AD2583" s="14"/>
      <c r="AE2583" s="14"/>
      <c r="AF2583" s="14"/>
      <c r="AG2583" s="14"/>
      <c r="AH2583" s="14"/>
      <c r="AI2583" s="14"/>
      <c r="AJ2583" s="14"/>
      <c r="AK2583" s="14"/>
      <c r="AL2583" s="14"/>
      <c r="AM2583" s="14"/>
    </row>
    <row r="2584" ht="14.25" customHeight="1">
      <c r="AA2584" s="7">
        <f t="shared" si="2"/>
        <v>43490</v>
      </c>
      <c r="AB2584" s="14"/>
      <c r="AC2584" s="14"/>
      <c r="AD2584" s="14"/>
      <c r="AE2584" s="14"/>
      <c r="AF2584" s="14"/>
      <c r="AG2584" s="14"/>
      <c r="AH2584" s="14"/>
      <c r="AI2584" s="14"/>
      <c r="AJ2584" s="14"/>
      <c r="AK2584" s="14"/>
      <c r="AL2584" s="14"/>
      <c r="AM2584" s="14"/>
    </row>
    <row r="2585" ht="14.25" customHeight="1">
      <c r="AA2585" s="7">
        <f t="shared" si="2"/>
        <v>43491</v>
      </c>
      <c r="AB2585" s="14"/>
      <c r="AC2585" s="14"/>
      <c r="AD2585" s="14"/>
      <c r="AE2585" s="14"/>
      <c r="AF2585" s="14"/>
      <c r="AG2585" s="14"/>
      <c r="AH2585" s="14"/>
      <c r="AI2585" s="14"/>
      <c r="AJ2585" s="14"/>
      <c r="AK2585" s="14"/>
      <c r="AL2585" s="14"/>
      <c r="AM2585" s="14"/>
    </row>
    <row r="2586" ht="14.25" customHeight="1">
      <c r="AA2586" s="7">
        <f t="shared" si="2"/>
        <v>43492</v>
      </c>
      <c r="AB2586" s="14"/>
      <c r="AC2586" s="14"/>
      <c r="AD2586" s="14"/>
      <c r="AE2586" s="14"/>
      <c r="AF2586" s="14"/>
      <c r="AG2586" s="14"/>
      <c r="AH2586" s="14"/>
      <c r="AI2586" s="14"/>
      <c r="AJ2586" s="14"/>
      <c r="AK2586" s="14"/>
      <c r="AL2586" s="14"/>
      <c r="AM2586" s="14"/>
    </row>
    <row r="2587" ht="14.25" customHeight="1">
      <c r="AA2587" s="7">
        <f t="shared" si="2"/>
        <v>43493</v>
      </c>
      <c r="AB2587" s="14"/>
      <c r="AC2587" s="14"/>
      <c r="AD2587" s="14"/>
      <c r="AE2587" s="14"/>
      <c r="AF2587" s="14"/>
      <c r="AG2587" s="14"/>
      <c r="AH2587" s="14"/>
      <c r="AI2587" s="14"/>
      <c r="AJ2587" s="14"/>
      <c r="AK2587" s="14"/>
      <c r="AL2587" s="14"/>
      <c r="AM2587" s="14"/>
    </row>
    <row r="2588" ht="14.25" customHeight="1">
      <c r="AA2588" s="7">
        <f t="shared" si="2"/>
        <v>43494</v>
      </c>
      <c r="AB2588" s="14"/>
      <c r="AC2588" s="14"/>
      <c r="AD2588" s="14"/>
      <c r="AE2588" s="14"/>
      <c r="AF2588" s="14"/>
      <c r="AG2588" s="14"/>
      <c r="AH2588" s="14"/>
      <c r="AI2588" s="14"/>
      <c r="AJ2588" s="14"/>
      <c r="AK2588" s="14"/>
      <c r="AL2588" s="14"/>
      <c r="AM2588" s="14"/>
    </row>
    <row r="2589" ht="14.25" customHeight="1">
      <c r="AA2589" s="7">
        <f t="shared" si="2"/>
        <v>43495</v>
      </c>
      <c r="AB2589" s="14"/>
      <c r="AC2589" s="14"/>
      <c r="AD2589" s="14"/>
      <c r="AE2589" s="14"/>
      <c r="AF2589" s="14"/>
      <c r="AG2589" s="14"/>
      <c r="AH2589" s="14"/>
      <c r="AI2589" s="14"/>
      <c r="AJ2589" s="14"/>
      <c r="AK2589" s="14"/>
      <c r="AL2589" s="14"/>
      <c r="AM2589" s="14"/>
    </row>
    <row r="2590" ht="14.25" customHeight="1">
      <c r="AA2590" s="7">
        <f t="shared" si="2"/>
        <v>43496</v>
      </c>
      <c r="AB2590" s="14"/>
      <c r="AC2590" s="14"/>
      <c r="AD2590" s="14"/>
      <c r="AE2590" s="14"/>
      <c r="AF2590" s="14"/>
      <c r="AG2590" s="14"/>
      <c r="AH2590" s="14"/>
      <c r="AI2590" s="14"/>
      <c r="AJ2590" s="14"/>
      <c r="AK2590" s="14"/>
      <c r="AL2590" s="14"/>
      <c r="AM2590" s="14"/>
    </row>
    <row r="2591" ht="14.25" customHeight="1">
      <c r="AA2591" s="7">
        <f t="shared" si="2"/>
        <v>43497</v>
      </c>
      <c r="AB2591" s="14"/>
      <c r="AC2591" s="14"/>
      <c r="AD2591" s="14"/>
      <c r="AE2591" s="14"/>
      <c r="AF2591" s="14"/>
      <c r="AG2591" s="14"/>
      <c r="AH2591" s="14"/>
      <c r="AI2591" s="14"/>
      <c r="AJ2591" s="14"/>
      <c r="AK2591" s="14"/>
      <c r="AL2591" s="14"/>
      <c r="AM2591" s="14"/>
    </row>
    <row r="2592" ht="14.25" customHeight="1">
      <c r="AA2592" s="7">
        <f t="shared" si="2"/>
        <v>43498</v>
      </c>
      <c r="AB2592" s="14"/>
      <c r="AC2592" s="14"/>
      <c r="AD2592" s="14"/>
      <c r="AE2592" s="14"/>
      <c r="AF2592" s="14"/>
      <c r="AG2592" s="14"/>
      <c r="AH2592" s="14"/>
      <c r="AI2592" s="14"/>
      <c r="AJ2592" s="14"/>
      <c r="AK2592" s="14"/>
      <c r="AL2592" s="14"/>
      <c r="AM2592" s="14"/>
    </row>
    <row r="2593" ht="14.25" customHeight="1">
      <c r="AA2593" s="7">
        <f t="shared" si="2"/>
        <v>43499</v>
      </c>
      <c r="AB2593" s="14"/>
      <c r="AC2593" s="14"/>
      <c r="AD2593" s="14"/>
      <c r="AE2593" s="14"/>
      <c r="AF2593" s="14"/>
      <c r="AG2593" s="14"/>
      <c r="AH2593" s="14"/>
      <c r="AI2593" s="14"/>
      <c r="AJ2593" s="14"/>
      <c r="AK2593" s="14"/>
      <c r="AL2593" s="14"/>
      <c r="AM2593" s="14"/>
    </row>
    <row r="2594" ht="14.25" customHeight="1">
      <c r="AA2594" s="7">
        <f t="shared" si="2"/>
        <v>43500</v>
      </c>
      <c r="AB2594" s="14"/>
      <c r="AC2594" s="14"/>
      <c r="AD2594" s="14"/>
      <c r="AE2594" s="14"/>
      <c r="AF2594" s="14"/>
      <c r="AG2594" s="14"/>
      <c r="AH2594" s="14"/>
      <c r="AI2594" s="14"/>
      <c r="AJ2594" s="14"/>
      <c r="AK2594" s="14"/>
      <c r="AL2594" s="14"/>
      <c r="AM2594" s="14"/>
    </row>
    <row r="2595" ht="14.25" customHeight="1">
      <c r="AA2595" s="7">
        <f t="shared" si="2"/>
        <v>43501</v>
      </c>
      <c r="AB2595" s="14"/>
      <c r="AC2595" s="14"/>
      <c r="AD2595" s="14"/>
      <c r="AE2595" s="14"/>
      <c r="AF2595" s="14"/>
      <c r="AG2595" s="14"/>
      <c r="AH2595" s="14"/>
      <c r="AI2595" s="14"/>
      <c r="AJ2595" s="14"/>
      <c r="AK2595" s="14"/>
      <c r="AL2595" s="14"/>
      <c r="AM2595" s="14"/>
    </row>
    <row r="2596" ht="14.25" customHeight="1">
      <c r="AA2596" s="7">
        <f t="shared" si="2"/>
        <v>43502</v>
      </c>
      <c r="AB2596" s="14"/>
      <c r="AC2596" s="14"/>
      <c r="AD2596" s="14"/>
      <c r="AE2596" s="14"/>
      <c r="AF2596" s="14"/>
      <c r="AG2596" s="14"/>
      <c r="AH2596" s="14"/>
      <c r="AI2596" s="14"/>
      <c r="AJ2596" s="14"/>
      <c r="AK2596" s="14"/>
      <c r="AL2596" s="14"/>
      <c r="AM2596" s="14"/>
    </row>
    <row r="2597" ht="14.25" customHeight="1">
      <c r="AA2597" s="7">
        <f t="shared" si="2"/>
        <v>43503</v>
      </c>
      <c r="AB2597" s="14"/>
      <c r="AC2597" s="14"/>
      <c r="AD2597" s="14"/>
      <c r="AE2597" s="14"/>
      <c r="AF2597" s="14"/>
      <c r="AG2597" s="14"/>
      <c r="AH2597" s="14"/>
      <c r="AI2597" s="14"/>
      <c r="AJ2597" s="14"/>
      <c r="AK2597" s="14"/>
      <c r="AL2597" s="14"/>
      <c r="AM2597" s="14"/>
    </row>
    <row r="2598" ht="14.25" customHeight="1">
      <c r="AA2598" s="7">
        <f t="shared" si="2"/>
        <v>43504</v>
      </c>
      <c r="AB2598" s="14"/>
      <c r="AC2598" s="14"/>
      <c r="AD2598" s="14"/>
      <c r="AE2598" s="14"/>
      <c r="AF2598" s="14"/>
      <c r="AG2598" s="14"/>
      <c r="AH2598" s="14"/>
      <c r="AI2598" s="14"/>
      <c r="AJ2598" s="14"/>
      <c r="AK2598" s="14"/>
      <c r="AL2598" s="14"/>
      <c r="AM2598" s="14"/>
    </row>
    <row r="2599" ht="14.25" customHeight="1">
      <c r="AA2599" s="7">
        <f t="shared" si="2"/>
        <v>43505</v>
      </c>
      <c r="AB2599" s="14"/>
      <c r="AC2599" s="14"/>
      <c r="AD2599" s="14"/>
      <c r="AE2599" s="14"/>
      <c r="AF2599" s="14"/>
      <c r="AG2599" s="14"/>
      <c r="AH2599" s="14"/>
      <c r="AI2599" s="14"/>
      <c r="AJ2599" s="14"/>
      <c r="AK2599" s="14"/>
      <c r="AL2599" s="14"/>
      <c r="AM2599" s="14"/>
    </row>
    <row r="2600" ht="14.25" customHeight="1">
      <c r="AA2600" s="7">
        <f t="shared" si="2"/>
        <v>43506</v>
      </c>
      <c r="AB2600" s="14"/>
      <c r="AC2600" s="14"/>
      <c r="AD2600" s="14"/>
      <c r="AE2600" s="14"/>
      <c r="AF2600" s="14"/>
      <c r="AG2600" s="14"/>
      <c r="AH2600" s="14"/>
      <c r="AI2600" s="14"/>
      <c r="AJ2600" s="14"/>
      <c r="AK2600" s="14"/>
      <c r="AL2600" s="14"/>
      <c r="AM2600" s="14"/>
    </row>
    <row r="2601" ht="14.25" customHeight="1">
      <c r="AA2601" s="7">
        <f t="shared" si="2"/>
        <v>43507</v>
      </c>
      <c r="AB2601" s="14"/>
      <c r="AC2601" s="14"/>
      <c r="AD2601" s="14"/>
      <c r="AE2601" s="14"/>
      <c r="AF2601" s="14"/>
      <c r="AG2601" s="14"/>
      <c r="AH2601" s="14"/>
      <c r="AI2601" s="14"/>
      <c r="AJ2601" s="14"/>
      <c r="AK2601" s="14"/>
      <c r="AL2601" s="14"/>
      <c r="AM2601" s="14"/>
    </row>
    <row r="2602" ht="14.25" customHeight="1">
      <c r="AA2602" s="7">
        <f t="shared" si="2"/>
        <v>43508</v>
      </c>
      <c r="AB2602" s="14"/>
      <c r="AC2602" s="14"/>
      <c r="AD2602" s="14"/>
      <c r="AE2602" s="14"/>
      <c r="AF2602" s="14"/>
      <c r="AG2602" s="14"/>
      <c r="AH2602" s="14"/>
      <c r="AI2602" s="14"/>
      <c r="AJ2602" s="14"/>
      <c r="AK2602" s="14"/>
      <c r="AL2602" s="14"/>
      <c r="AM2602" s="14"/>
    </row>
    <row r="2603" ht="14.25" customHeight="1">
      <c r="AA2603" s="7">
        <f t="shared" si="2"/>
        <v>43509</v>
      </c>
      <c r="AB2603" s="14"/>
      <c r="AC2603" s="14"/>
      <c r="AD2603" s="14"/>
      <c r="AE2603" s="14"/>
      <c r="AF2603" s="14"/>
      <c r="AG2603" s="14"/>
      <c r="AH2603" s="14"/>
      <c r="AI2603" s="14"/>
      <c r="AJ2603" s="14"/>
      <c r="AK2603" s="14"/>
      <c r="AL2603" s="14"/>
      <c r="AM2603" s="14"/>
    </row>
    <row r="2604" ht="14.25" customHeight="1">
      <c r="AA2604" s="7">
        <f t="shared" si="2"/>
        <v>43510</v>
      </c>
      <c r="AB2604" s="14"/>
      <c r="AC2604" s="14"/>
      <c r="AD2604" s="14"/>
      <c r="AE2604" s="14"/>
      <c r="AF2604" s="14"/>
      <c r="AG2604" s="14"/>
      <c r="AH2604" s="14"/>
      <c r="AI2604" s="14"/>
      <c r="AJ2604" s="14"/>
      <c r="AK2604" s="14"/>
      <c r="AL2604" s="14"/>
      <c r="AM2604" s="14"/>
    </row>
    <row r="2605" ht="14.25" customHeight="1">
      <c r="AA2605" s="7">
        <f t="shared" si="2"/>
        <v>43511</v>
      </c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</row>
    <row r="2606" ht="14.25" customHeight="1">
      <c r="AA2606" s="7">
        <f t="shared" si="2"/>
        <v>43512</v>
      </c>
      <c r="AB2606" s="14"/>
      <c r="AC2606" s="14"/>
      <c r="AD2606" s="14"/>
      <c r="AE2606" s="14"/>
      <c r="AF2606" s="14"/>
      <c r="AG2606" s="14"/>
      <c r="AH2606" s="14"/>
      <c r="AI2606" s="14"/>
      <c r="AJ2606" s="14"/>
      <c r="AK2606" s="14"/>
      <c r="AL2606" s="14"/>
      <c r="AM2606" s="14"/>
    </row>
    <row r="2607" ht="14.25" customHeight="1">
      <c r="AA2607" s="7">
        <f t="shared" si="2"/>
        <v>43513</v>
      </c>
      <c r="AB2607" s="14"/>
      <c r="AC2607" s="14"/>
      <c r="AD2607" s="14"/>
      <c r="AE2607" s="14"/>
      <c r="AF2607" s="14"/>
      <c r="AG2607" s="14"/>
      <c r="AH2607" s="14"/>
      <c r="AI2607" s="14"/>
      <c r="AJ2607" s="14"/>
      <c r="AK2607" s="14"/>
      <c r="AL2607" s="14"/>
      <c r="AM2607" s="14"/>
    </row>
    <row r="2608" ht="14.25" customHeight="1">
      <c r="AA2608" s="7">
        <f t="shared" si="2"/>
        <v>43514</v>
      </c>
      <c r="AB2608" s="14"/>
      <c r="AC2608" s="14"/>
      <c r="AD2608" s="14"/>
      <c r="AE2608" s="14"/>
      <c r="AF2608" s="14"/>
      <c r="AG2608" s="14"/>
      <c r="AH2608" s="14"/>
      <c r="AI2608" s="14"/>
      <c r="AJ2608" s="14"/>
      <c r="AK2608" s="14"/>
      <c r="AL2608" s="14"/>
      <c r="AM2608" s="14"/>
    </row>
    <row r="2609" ht="14.25" customHeight="1">
      <c r="AA2609" s="7">
        <f t="shared" si="2"/>
        <v>43515</v>
      </c>
      <c r="AB2609" s="14"/>
      <c r="AC2609" s="14"/>
      <c r="AD2609" s="14"/>
      <c r="AE2609" s="14"/>
      <c r="AF2609" s="14"/>
      <c r="AG2609" s="14"/>
      <c r="AH2609" s="14"/>
      <c r="AI2609" s="14"/>
      <c r="AJ2609" s="14"/>
      <c r="AK2609" s="14"/>
      <c r="AL2609" s="14"/>
      <c r="AM2609" s="14"/>
    </row>
    <row r="2610" ht="14.25" customHeight="1">
      <c r="AA2610" s="7">
        <f t="shared" si="2"/>
        <v>43516</v>
      </c>
      <c r="AB2610" s="14"/>
      <c r="AC2610" s="14"/>
      <c r="AD2610" s="14"/>
      <c r="AE2610" s="14"/>
      <c r="AF2610" s="14"/>
      <c r="AG2610" s="14"/>
      <c r="AH2610" s="14"/>
      <c r="AI2610" s="14"/>
      <c r="AJ2610" s="14"/>
      <c r="AK2610" s="14"/>
      <c r="AL2610" s="14"/>
      <c r="AM2610" s="14"/>
    </row>
    <row r="2611" ht="14.25" customHeight="1">
      <c r="AA2611" s="7">
        <f t="shared" si="2"/>
        <v>43517</v>
      </c>
      <c r="AB2611" s="14"/>
      <c r="AC2611" s="14"/>
      <c r="AD2611" s="14"/>
      <c r="AE2611" s="14"/>
      <c r="AF2611" s="14"/>
      <c r="AG2611" s="14"/>
      <c r="AH2611" s="14"/>
      <c r="AI2611" s="14"/>
      <c r="AJ2611" s="14"/>
      <c r="AK2611" s="14"/>
      <c r="AL2611" s="14"/>
      <c r="AM2611" s="14"/>
    </row>
    <row r="2612" ht="14.25" customHeight="1">
      <c r="AA2612" s="7">
        <f t="shared" si="2"/>
        <v>43518</v>
      </c>
      <c r="AB2612" s="14"/>
      <c r="AC2612" s="14"/>
      <c r="AD2612" s="14"/>
      <c r="AE2612" s="14"/>
      <c r="AF2612" s="14"/>
      <c r="AG2612" s="14"/>
      <c r="AH2612" s="14"/>
      <c r="AI2612" s="14"/>
      <c r="AJ2612" s="14"/>
      <c r="AK2612" s="14"/>
      <c r="AL2612" s="14"/>
      <c r="AM2612" s="14"/>
    </row>
    <row r="2613" ht="14.25" customHeight="1">
      <c r="AA2613" s="7">
        <f t="shared" si="2"/>
        <v>43519</v>
      </c>
      <c r="AB2613" s="14"/>
      <c r="AC2613" s="14"/>
      <c r="AD2613" s="14"/>
      <c r="AE2613" s="14"/>
      <c r="AF2613" s="14"/>
      <c r="AG2613" s="14"/>
      <c r="AH2613" s="14"/>
      <c r="AI2613" s="14"/>
      <c r="AJ2613" s="14"/>
      <c r="AK2613" s="14"/>
      <c r="AL2613" s="14"/>
      <c r="AM2613" s="14"/>
    </row>
    <row r="2614" ht="14.25" customHeight="1">
      <c r="AA2614" s="7">
        <f t="shared" si="2"/>
        <v>43520</v>
      </c>
      <c r="AB2614" s="14"/>
      <c r="AC2614" s="14"/>
      <c r="AD2614" s="14"/>
      <c r="AE2614" s="14"/>
      <c r="AF2614" s="14"/>
      <c r="AG2614" s="14"/>
      <c r="AH2614" s="14"/>
      <c r="AI2614" s="14"/>
      <c r="AJ2614" s="14"/>
      <c r="AK2614" s="14"/>
      <c r="AL2614" s="14"/>
      <c r="AM2614" s="14"/>
    </row>
    <row r="2615" ht="14.25" customHeight="1">
      <c r="AA2615" s="7">
        <f t="shared" si="2"/>
        <v>43521</v>
      </c>
      <c r="AB2615" s="14"/>
      <c r="AC2615" s="14"/>
      <c r="AD2615" s="14"/>
      <c r="AE2615" s="14"/>
      <c r="AF2615" s="14"/>
      <c r="AG2615" s="14"/>
      <c r="AH2615" s="14"/>
      <c r="AI2615" s="14"/>
      <c r="AJ2615" s="14"/>
      <c r="AK2615" s="14"/>
      <c r="AL2615" s="14"/>
      <c r="AM2615" s="14"/>
    </row>
    <row r="2616" ht="14.25" customHeight="1">
      <c r="AA2616" s="7">
        <f t="shared" si="2"/>
        <v>43522</v>
      </c>
      <c r="AB2616" s="14"/>
      <c r="AC2616" s="14"/>
      <c r="AD2616" s="14"/>
      <c r="AE2616" s="14"/>
      <c r="AF2616" s="14"/>
      <c r="AG2616" s="14"/>
      <c r="AH2616" s="14"/>
      <c r="AI2616" s="14"/>
      <c r="AJ2616" s="14"/>
      <c r="AK2616" s="14"/>
      <c r="AL2616" s="14"/>
      <c r="AM2616" s="14"/>
    </row>
    <row r="2617" ht="14.25" customHeight="1">
      <c r="AA2617" s="7">
        <f t="shared" si="2"/>
        <v>43523</v>
      </c>
      <c r="AB2617" s="14"/>
      <c r="AC2617" s="14"/>
      <c r="AD2617" s="14"/>
      <c r="AE2617" s="14"/>
      <c r="AF2617" s="14"/>
      <c r="AG2617" s="14"/>
      <c r="AH2617" s="14"/>
      <c r="AI2617" s="14"/>
      <c r="AJ2617" s="14"/>
      <c r="AK2617" s="14"/>
      <c r="AL2617" s="14"/>
      <c r="AM2617" s="14"/>
    </row>
    <row r="2618" ht="14.25" customHeight="1">
      <c r="AA2618" s="7">
        <f t="shared" si="2"/>
        <v>43524</v>
      </c>
      <c r="AB2618" s="14"/>
      <c r="AC2618" s="14"/>
      <c r="AD2618" s="14"/>
      <c r="AE2618" s="14"/>
      <c r="AF2618" s="14"/>
      <c r="AG2618" s="14"/>
      <c r="AH2618" s="14"/>
      <c r="AI2618" s="14"/>
      <c r="AJ2618" s="14"/>
      <c r="AK2618" s="14"/>
      <c r="AL2618" s="14"/>
      <c r="AM2618" s="14"/>
    </row>
    <row r="2619" ht="14.25" customHeight="1">
      <c r="AA2619" s="7">
        <f t="shared" si="2"/>
        <v>43525</v>
      </c>
      <c r="AB2619" s="14"/>
      <c r="AC2619" s="14"/>
      <c r="AD2619" s="14"/>
      <c r="AE2619" s="14"/>
      <c r="AF2619" s="14"/>
      <c r="AG2619" s="14"/>
      <c r="AH2619" s="14"/>
      <c r="AI2619" s="14"/>
      <c r="AJ2619" s="14"/>
      <c r="AK2619" s="14"/>
      <c r="AL2619" s="14"/>
      <c r="AM2619" s="14"/>
    </row>
    <row r="2620" ht="14.25" customHeight="1">
      <c r="AA2620" s="7">
        <f t="shared" si="2"/>
        <v>43526</v>
      </c>
      <c r="AB2620" s="14"/>
      <c r="AC2620" s="14"/>
      <c r="AD2620" s="14"/>
      <c r="AE2620" s="14"/>
      <c r="AF2620" s="14"/>
      <c r="AG2620" s="14"/>
      <c r="AH2620" s="14"/>
      <c r="AI2620" s="14"/>
      <c r="AJ2620" s="14"/>
      <c r="AK2620" s="14"/>
      <c r="AL2620" s="14"/>
      <c r="AM2620" s="14"/>
    </row>
    <row r="2621" ht="14.25" customHeight="1">
      <c r="AA2621" s="7">
        <f t="shared" si="2"/>
        <v>43527</v>
      </c>
      <c r="AB2621" s="14"/>
      <c r="AC2621" s="14"/>
      <c r="AD2621" s="14"/>
      <c r="AE2621" s="14"/>
      <c r="AF2621" s="14"/>
      <c r="AG2621" s="14"/>
      <c r="AH2621" s="14"/>
      <c r="AI2621" s="14"/>
      <c r="AJ2621" s="14"/>
      <c r="AK2621" s="14"/>
      <c r="AL2621" s="14"/>
      <c r="AM2621" s="14"/>
    </row>
    <row r="2622" ht="14.25" customHeight="1">
      <c r="AA2622" s="7">
        <f t="shared" si="2"/>
        <v>43528</v>
      </c>
      <c r="AB2622" s="14"/>
      <c r="AC2622" s="14"/>
      <c r="AD2622" s="14"/>
      <c r="AE2622" s="14"/>
      <c r="AF2622" s="14"/>
      <c r="AG2622" s="14"/>
      <c r="AH2622" s="14"/>
      <c r="AI2622" s="14"/>
      <c r="AJ2622" s="14"/>
      <c r="AK2622" s="14"/>
      <c r="AL2622" s="14"/>
      <c r="AM2622" s="14"/>
    </row>
    <row r="2623" ht="14.25" customHeight="1">
      <c r="AA2623" s="7">
        <f t="shared" si="2"/>
        <v>43529</v>
      </c>
      <c r="AB2623" s="14"/>
      <c r="AC2623" s="14"/>
      <c r="AD2623" s="14"/>
      <c r="AE2623" s="14"/>
      <c r="AF2623" s="14"/>
      <c r="AG2623" s="14"/>
      <c r="AH2623" s="14"/>
      <c r="AI2623" s="14"/>
      <c r="AJ2623" s="14"/>
      <c r="AK2623" s="14"/>
      <c r="AL2623" s="14"/>
      <c r="AM2623" s="14"/>
    </row>
    <row r="2624" ht="14.25" customHeight="1">
      <c r="AA2624" s="7">
        <f t="shared" si="2"/>
        <v>43530</v>
      </c>
      <c r="AB2624" s="14"/>
      <c r="AC2624" s="14"/>
      <c r="AD2624" s="14"/>
      <c r="AE2624" s="14"/>
      <c r="AF2624" s="14"/>
      <c r="AG2624" s="14"/>
      <c r="AH2624" s="14"/>
      <c r="AI2624" s="14"/>
      <c r="AJ2624" s="14"/>
      <c r="AK2624" s="14"/>
      <c r="AL2624" s="14"/>
      <c r="AM2624" s="14"/>
    </row>
    <row r="2625" ht="14.25" customHeight="1">
      <c r="AA2625" s="7">
        <f t="shared" si="2"/>
        <v>43531</v>
      </c>
      <c r="AB2625" s="14"/>
      <c r="AC2625" s="14"/>
      <c r="AD2625" s="14"/>
      <c r="AE2625" s="14"/>
      <c r="AF2625" s="14"/>
      <c r="AG2625" s="14"/>
      <c r="AH2625" s="14"/>
      <c r="AI2625" s="14"/>
      <c r="AJ2625" s="14"/>
      <c r="AK2625" s="14"/>
      <c r="AL2625" s="14"/>
      <c r="AM2625" s="14"/>
    </row>
    <row r="2626" ht="14.25" customHeight="1">
      <c r="AA2626" s="7">
        <f t="shared" si="2"/>
        <v>43532</v>
      </c>
      <c r="AB2626" s="14"/>
      <c r="AC2626" s="14"/>
      <c r="AD2626" s="14"/>
      <c r="AE2626" s="14"/>
      <c r="AF2626" s="14"/>
      <c r="AG2626" s="14"/>
      <c r="AH2626" s="14"/>
      <c r="AI2626" s="14"/>
      <c r="AJ2626" s="14"/>
      <c r="AK2626" s="14"/>
      <c r="AL2626" s="14"/>
      <c r="AM2626" s="14"/>
    </row>
    <row r="2627" ht="14.25" customHeight="1">
      <c r="AA2627" s="7">
        <f t="shared" si="2"/>
        <v>43533</v>
      </c>
      <c r="AB2627" s="14"/>
      <c r="AC2627" s="14"/>
      <c r="AD2627" s="14"/>
      <c r="AE2627" s="14"/>
      <c r="AF2627" s="14"/>
      <c r="AG2627" s="14"/>
      <c r="AH2627" s="14"/>
      <c r="AI2627" s="14"/>
      <c r="AJ2627" s="14"/>
      <c r="AK2627" s="14"/>
      <c r="AL2627" s="14"/>
      <c r="AM2627" s="14"/>
    </row>
    <row r="2628" ht="14.25" customHeight="1">
      <c r="AA2628" s="7">
        <f t="shared" si="2"/>
        <v>43534</v>
      </c>
      <c r="AB2628" s="14"/>
      <c r="AC2628" s="14"/>
      <c r="AD2628" s="14"/>
      <c r="AE2628" s="14"/>
      <c r="AF2628" s="14"/>
      <c r="AG2628" s="14"/>
      <c r="AH2628" s="14"/>
      <c r="AI2628" s="14"/>
      <c r="AJ2628" s="14"/>
      <c r="AK2628" s="14"/>
      <c r="AL2628" s="14"/>
      <c r="AM2628" s="14"/>
    </row>
    <row r="2629" ht="14.25" customHeight="1">
      <c r="AA2629" s="7">
        <f t="shared" si="2"/>
        <v>43535</v>
      </c>
      <c r="AB2629" s="14"/>
      <c r="AC2629" s="14"/>
      <c r="AD2629" s="14"/>
      <c r="AE2629" s="14"/>
      <c r="AF2629" s="14"/>
      <c r="AG2629" s="14"/>
      <c r="AH2629" s="14"/>
      <c r="AI2629" s="14"/>
      <c r="AJ2629" s="14"/>
      <c r="AK2629" s="14"/>
      <c r="AL2629" s="14"/>
      <c r="AM2629" s="14"/>
    </row>
    <row r="2630" ht="14.25" customHeight="1">
      <c r="AA2630" s="7">
        <f t="shared" si="2"/>
        <v>43536</v>
      </c>
      <c r="AB2630" s="14"/>
      <c r="AC2630" s="14"/>
      <c r="AD2630" s="14"/>
      <c r="AE2630" s="14"/>
      <c r="AF2630" s="14"/>
      <c r="AG2630" s="14"/>
      <c r="AH2630" s="14"/>
      <c r="AI2630" s="14"/>
      <c r="AJ2630" s="14"/>
      <c r="AK2630" s="14"/>
      <c r="AL2630" s="14"/>
      <c r="AM2630" s="14"/>
    </row>
    <row r="2631" ht="14.25" customHeight="1">
      <c r="AA2631" s="7">
        <f t="shared" si="2"/>
        <v>43537</v>
      </c>
      <c r="AB2631" s="14"/>
      <c r="AC2631" s="14"/>
      <c r="AD2631" s="14"/>
      <c r="AE2631" s="14"/>
      <c r="AF2631" s="14"/>
      <c r="AG2631" s="14"/>
      <c r="AH2631" s="14"/>
      <c r="AI2631" s="14"/>
      <c r="AJ2631" s="14"/>
      <c r="AK2631" s="14"/>
      <c r="AL2631" s="14"/>
      <c r="AM2631" s="14"/>
    </row>
    <row r="2632" ht="14.25" customHeight="1">
      <c r="AA2632" s="7">
        <f t="shared" si="2"/>
        <v>43538</v>
      </c>
      <c r="AB2632" s="14"/>
      <c r="AC2632" s="14"/>
      <c r="AD2632" s="14"/>
      <c r="AE2632" s="14"/>
      <c r="AF2632" s="14"/>
      <c r="AG2632" s="14"/>
      <c r="AH2632" s="14"/>
      <c r="AI2632" s="14"/>
      <c r="AJ2632" s="14"/>
      <c r="AK2632" s="14"/>
      <c r="AL2632" s="14"/>
      <c r="AM2632" s="14"/>
    </row>
    <row r="2633" ht="14.25" customHeight="1">
      <c r="AA2633" s="7">
        <f t="shared" si="2"/>
        <v>43539</v>
      </c>
      <c r="AB2633" s="14"/>
      <c r="AC2633" s="14"/>
      <c r="AD2633" s="14"/>
      <c r="AE2633" s="14"/>
      <c r="AF2633" s="14"/>
      <c r="AG2633" s="14"/>
      <c r="AH2633" s="14"/>
      <c r="AI2633" s="14"/>
      <c r="AJ2633" s="14"/>
      <c r="AK2633" s="14"/>
      <c r="AL2633" s="14"/>
      <c r="AM2633" s="14"/>
    </row>
    <row r="2634" ht="14.25" customHeight="1">
      <c r="AA2634" s="7">
        <f t="shared" si="2"/>
        <v>43540</v>
      </c>
      <c r="AB2634" s="14"/>
      <c r="AC2634" s="14"/>
      <c r="AD2634" s="14"/>
      <c r="AE2634" s="14"/>
      <c r="AF2634" s="14"/>
      <c r="AG2634" s="14"/>
      <c r="AH2634" s="14"/>
      <c r="AI2634" s="14"/>
      <c r="AJ2634" s="14"/>
      <c r="AK2634" s="14"/>
      <c r="AL2634" s="14"/>
      <c r="AM2634" s="14"/>
    </row>
    <row r="2635" ht="14.25" customHeight="1">
      <c r="AA2635" s="7">
        <f t="shared" si="2"/>
        <v>43541</v>
      </c>
      <c r="AB2635" s="14"/>
      <c r="AC2635" s="14"/>
      <c r="AD2635" s="14"/>
      <c r="AE2635" s="14"/>
      <c r="AF2635" s="14"/>
      <c r="AG2635" s="14"/>
      <c r="AH2635" s="14"/>
      <c r="AI2635" s="14"/>
      <c r="AJ2635" s="14"/>
      <c r="AK2635" s="14"/>
      <c r="AL2635" s="14"/>
      <c r="AM2635" s="14"/>
    </row>
    <row r="2636" ht="14.25" customHeight="1">
      <c r="AA2636" s="7">
        <f t="shared" si="2"/>
        <v>43542</v>
      </c>
      <c r="AB2636" s="14"/>
      <c r="AC2636" s="14"/>
      <c r="AD2636" s="14"/>
      <c r="AE2636" s="14"/>
      <c r="AF2636" s="14"/>
      <c r="AG2636" s="14"/>
      <c r="AH2636" s="14"/>
      <c r="AI2636" s="14"/>
      <c r="AJ2636" s="14"/>
      <c r="AK2636" s="14"/>
      <c r="AL2636" s="14"/>
      <c r="AM2636" s="14"/>
    </row>
    <row r="2637" ht="14.25" customHeight="1">
      <c r="AA2637" s="7">
        <f t="shared" si="2"/>
        <v>43543</v>
      </c>
      <c r="AB2637" s="14"/>
      <c r="AC2637" s="14"/>
      <c r="AD2637" s="14"/>
      <c r="AE2637" s="14"/>
      <c r="AF2637" s="14"/>
      <c r="AG2637" s="14"/>
      <c r="AH2637" s="14"/>
      <c r="AI2637" s="14"/>
      <c r="AJ2637" s="14"/>
      <c r="AK2637" s="14"/>
      <c r="AL2637" s="14"/>
      <c r="AM2637" s="14"/>
    </row>
    <row r="2638" ht="14.25" customHeight="1">
      <c r="AA2638" s="7">
        <f t="shared" si="2"/>
        <v>43544</v>
      </c>
      <c r="AB2638" s="14"/>
      <c r="AC2638" s="14"/>
      <c r="AD2638" s="14"/>
      <c r="AE2638" s="14"/>
      <c r="AF2638" s="14"/>
      <c r="AG2638" s="14"/>
      <c r="AH2638" s="14"/>
      <c r="AI2638" s="14"/>
      <c r="AJ2638" s="14"/>
      <c r="AK2638" s="14"/>
      <c r="AL2638" s="14"/>
      <c r="AM2638" s="14"/>
    </row>
    <row r="2639" ht="14.25" customHeight="1">
      <c r="AA2639" s="7">
        <f t="shared" si="2"/>
        <v>43545</v>
      </c>
      <c r="AB2639" s="14"/>
      <c r="AC2639" s="14"/>
      <c r="AD2639" s="14"/>
      <c r="AE2639" s="14"/>
      <c r="AF2639" s="14"/>
      <c r="AG2639" s="14"/>
      <c r="AH2639" s="14"/>
      <c r="AI2639" s="14"/>
      <c r="AJ2639" s="14"/>
      <c r="AK2639" s="14"/>
      <c r="AL2639" s="14"/>
      <c r="AM2639" s="14"/>
    </row>
    <row r="2640" ht="14.25" customHeight="1">
      <c r="AA2640" s="7">
        <f t="shared" si="2"/>
        <v>43546</v>
      </c>
      <c r="AB2640" s="14"/>
      <c r="AC2640" s="14"/>
      <c r="AD2640" s="14"/>
      <c r="AE2640" s="14"/>
      <c r="AF2640" s="14"/>
      <c r="AG2640" s="14"/>
      <c r="AH2640" s="14"/>
      <c r="AI2640" s="14"/>
      <c r="AJ2640" s="14"/>
      <c r="AK2640" s="14"/>
      <c r="AL2640" s="14"/>
      <c r="AM2640" s="14"/>
    </row>
    <row r="2641" ht="14.25" customHeight="1">
      <c r="AA2641" s="7">
        <f t="shared" si="2"/>
        <v>43547</v>
      </c>
      <c r="AB2641" s="14"/>
      <c r="AC2641" s="14"/>
      <c r="AD2641" s="14"/>
      <c r="AE2641" s="14"/>
      <c r="AF2641" s="14"/>
      <c r="AG2641" s="14"/>
      <c r="AH2641" s="14"/>
      <c r="AI2641" s="14"/>
      <c r="AJ2641" s="14"/>
      <c r="AK2641" s="14"/>
      <c r="AL2641" s="14"/>
      <c r="AM2641" s="14"/>
    </row>
    <row r="2642" ht="14.25" customHeight="1">
      <c r="AA2642" s="7">
        <f t="shared" si="2"/>
        <v>43548</v>
      </c>
      <c r="AB2642" s="14"/>
      <c r="AC2642" s="14"/>
      <c r="AD2642" s="14"/>
      <c r="AE2642" s="14"/>
      <c r="AF2642" s="14"/>
      <c r="AG2642" s="14"/>
      <c r="AH2642" s="14"/>
      <c r="AI2642" s="14"/>
      <c r="AJ2642" s="14"/>
      <c r="AK2642" s="14"/>
      <c r="AL2642" s="14"/>
      <c r="AM2642" s="14"/>
    </row>
    <row r="2643" ht="14.25" customHeight="1">
      <c r="AA2643" s="7">
        <f t="shared" si="2"/>
        <v>43549</v>
      </c>
      <c r="AB2643" s="14"/>
      <c r="AC2643" s="14"/>
      <c r="AD2643" s="14"/>
      <c r="AE2643" s="14"/>
      <c r="AF2643" s="14"/>
      <c r="AG2643" s="14"/>
      <c r="AH2643" s="14"/>
      <c r="AI2643" s="14"/>
      <c r="AJ2643" s="14"/>
      <c r="AK2643" s="14"/>
      <c r="AL2643" s="14"/>
      <c r="AM2643" s="14"/>
    </row>
    <row r="2644" ht="14.25" customHeight="1">
      <c r="AA2644" s="7">
        <f t="shared" si="2"/>
        <v>43550</v>
      </c>
      <c r="AB2644" s="14"/>
      <c r="AC2644" s="14"/>
      <c r="AD2644" s="14"/>
      <c r="AE2644" s="14"/>
      <c r="AF2644" s="14"/>
      <c r="AG2644" s="14"/>
      <c r="AH2644" s="14"/>
      <c r="AI2644" s="14"/>
      <c r="AJ2644" s="14"/>
      <c r="AK2644" s="14"/>
      <c r="AL2644" s="14"/>
      <c r="AM2644" s="14"/>
    </row>
    <row r="2645" ht="14.25" customHeight="1">
      <c r="AA2645" s="7">
        <f t="shared" si="2"/>
        <v>43551</v>
      </c>
      <c r="AB2645" s="14"/>
      <c r="AC2645" s="14"/>
      <c r="AD2645" s="14"/>
      <c r="AE2645" s="14"/>
      <c r="AF2645" s="14"/>
      <c r="AG2645" s="14"/>
      <c r="AH2645" s="14"/>
      <c r="AI2645" s="14"/>
      <c r="AJ2645" s="14"/>
      <c r="AK2645" s="14"/>
      <c r="AL2645" s="14"/>
      <c r="AM2645" s="14"/>
    </row>
    <row r="2646" ht="14.25" customHeight="1">
      <c r="AA2646" s="7">
        <f t="shared" si="2"/>
        <v>43552</v>
      </c>
      <c r="AB2646" s="14"/>
      <c r="AC2646" s="14"/>
      <c r="AD2646" s="14"/>
      <c r="AE2646" s="14"/>
      <c r="AF2646" s="14"/>
      <c r="AG2646" s="14"/>
      <c r="AH2646" s="14"/>
      <c r="AI2646" s="14"/>
      <c r="AJ2646" s="14"/>
      <c r="AK2646" s="14"/>
      <c r="AL2646" s="14"/>
      <c r="AM2646" s="14"/>
    </row>
    <row r="2647" ht="14.25" customHeight="1">
      <c r="AA2647" s="7">
        <f t="shared" si="2"/>
        <v>43553</v>
      </c>
      <c r="AB2647" s="14"/>
      <c r="AC2647" s="14"/>
      <c r="AD2647" s="14"/>
      <c r="AE2647" s="14"/>
      <c r="AF2647" s="14"/>
      <c r="AG2647" s="14"/>
      <c r="AH2647" s="14"/>
      <c r="AI2647" s="14"/>
      <c r="AJ2647" s="14"/>
      <c r="AK2647" s="14"/>
      <c r="AL2647" s="14"/>
      <c r="AM2647" s="14"/>
    </row>
    <row r="2648" ht="14.25" customHeight="1">
      <c r="AA2648" s="7">
        <f t="shared" si="2"/>
        <v>43554</v>
      </c>
      <c r="AB2648" s="14"/>
      <c r="AC2648" s="14"/>
      <c r="AD2648" s="14"/>
      <c r="AE2648" s="14"/>
      <c r="AF2648" s="14"/>
      <c r="AG2648" s="14"/>
      <c r="AH2648" s="14"/>
      <c r="AI2648" s="14"/>
      <c r="AJ2648" s="14"/>
      <c r="AK2648" s="14"/>
      <c r="AL2648" s="14"/>
      <c r="AM2648" s="14"/>
    </row>
    <row r="2649" ht="14.25" customHeight="1">
      <c r="AA2649" s="7">
        <f t="shared" si="2"/>
        <v>43555</v>
      </c>
      <c r="AB2649" s="14"/>
      <c r="AC2649" s="14"/>
      <c r="AD2649" s="14"/>
      <c r="AE2649" s="14"/>
      <c r="AF2649" s="14"/>
      <c r="AG2649" s="14"/>
      <c r="AH2649" s="14"/>
      <c r="AI2649" s="14"/>
      <c r="AJ2649" s="14"/>
      <c r="AK2649" s="14"/>
      <c r="AL2649" s="14"/>
      <c r="AM2649" s="14"/>
    </row>
    <row r="2650" ht="14.25" customHeight="1">
      <c r="AA2650" s="7">
        <f t="shared" si="2"/>
        <v>43556</v>
      </c>
      <c r="AB2650" s="14"/>
      <c r="AC2650" s="14"/>
      <c r="AD2650" s="14"/>
      <c r="AE2650" s="14"/>
      <c r="AF2650" s="14"/>
      <c r="AG2650" s="14"/>
      <c r="AH2650" s="14"/>
      <c r="AI2650" s="14"/>
      <c r="AJ2650" s="14"/>
      <c r="AK2650" s="14"/>
      <c r="AL2650" s="14"/>
      <c r="AM2650" s="14"/>
    </row>
    <row r="2651" ht="14.25" customHeight="1">
      <c r="AA2651" s="7">
        <f t="shared" si="2"/>
        <v>43557</v>
      </c>
      <c r="AB2651" s="14"/>
      <c r="AC2651" s="14"/>
      <c r="AD2651" s="14"/>
      <c r="AE2651" s="14"/>
      <c r="AF2651" s="14"/>
      <c r="AG2651" s="14"/>
      <c r="AH2651" s="14"/>
      <c r="AI2651" s="14"/>
      <c r="AJ2651" s="14"/>
      <c r="AK2651" s="14"/>
      <c r="AL2651" s="14"/>
      <c r="AM2651" s="14"/>
    </row>
    <row r="2652" ht="14.25" customHeight="1">
      <c r="AA2652" s="7">
        <f t="shared" si="2"/>
        <v>43558</v>
      </c>
      <c r="AB2652" s="14"/>
      <c r="AC2652" s="14"/>
      <c r="AD2652" s="14"/>
      <c r="AE2652" s="14"/>
      <c r="AF2652" s="14"/>
      <c r="AG2652" s="14"/>
      <c r="AH2652" s="14"/>
      <c r="AI2652" s="14"/>
      <c r="AJ2652" s="14"/>
      <c r="AK2652" s="14"/>
      <c r="AL2652" s="14"/>
      <c r="AM2652" s="14"/>
    </row>
    <row r="2653" ht="14.25" customHeight="1">
      <c r="AA2653" s="7">
        <f t="shared" si="2"/>
        <v>43559</v>
      </c>
      <c r="AB2653" s="14"/>
      <c r="AC2653" s="14"/>
      <c r="AD2653" s="14"/>
      <c r="AE2653" s="14"/>
      <c r="AF2653" s="14"/>
      <c r="AG2653" s="14"/>
      <c r="AH2653" s="14"/>
      <c r="AI2653" s="14"/>
      <c r="AJ2653" s="14"/>
      <c r="AK2653" s="14"/>
      <c r="AL2653" s="14"/>
      <c r="AM2653" s="14"/>
    </row>
    <row r="2654" ht="14.25" customHeight="1">
      <c r="AA2654" s="7">
        <f t="shared" si="2"/>
        <v>43560</v>
      </c>
      <c r="AB2654" s="14"/>
      <c r="AC2654" s="14"/>
      <c r="AD2654" s="14"/>
      <c r="AE2654" s="14"/>
      <c r="AF2654" s="14"/>
      <c r="AG2654" s="14"/>
      <c r="AH2654" s="14"/>
      <c r="AI2654" s="14"/>
      <c r="AJ2654" s="14"/>
      <c r="AK2654" s="14"/>
      <c r="AL2654" s="14"/>
      <c r="AM2654" s="14"/>
    </row>
    <row r="2655" ht="14.25" customHeight="1">
      <c r="AA2655" s="7">
        <f t="shared" si="2"/>
        <v>43561</v>
      </c>
      <c r="AB2655" s="14"/>
      <c r="AC2655" s="14"/>
      <c r="AD2655" s="14"/>
      <c r="AE2655" s="14"/>
      <c r="AF2655" s="14"/>
      <c r="AG2655" s="14"/>
      <c r="AH2655" s="14"/>
      <c r="AI2655" s="14"/>
      <c r="AJ2655" s="14"/>
      <c r="AK2655" s="14"/>
      <c r="AL2655" s="14"/>
      <c r="AM2655" s="14"/>
    </row>
    <row r="2656" ht="14.25" customHeight="1">
      <c r="AA2656" s="7">
        <f t="shared" si="2"/>
        <v>43562</v>
      </c>
      <c r="AB2656" s="14"/>
      <c r="AC2656" s="14"/>
      <c r="AD2656" s="14"/>
      <c r="AE2656" s="14"/>
      <c r="AF2656" s="14"/>
      <c r="AG2656" s="14"/>
      <c r="AH2656" s="14"/>
      <c r="AI2656" s="14"/>
      <c r="AJ2656" s="14"/>
      <c r="AK2656" s="14"/>
      <c r="AL2656" s="14"/>
      <c r="AM2656" s="14"/>
    </row>
    <row r="2657" ht="14.25" customHeight="1">
      <c r="AA2657" s="7">
        <f t="shared" si="2"/>
        <v>43563</v>
      </c>
      <c r="AB2657" s="14"/>
      <c r="AC2657" s="14"/>
      <c r="AD2657" s="14"/>
      <c r="AE2657" s="14"/>
      <c r="AF2657" s="14"/>
      <c r="AG2657" s="14"/>
      <c r="AH2657" s="14"/>
      <c r="AI2657" s="14"/>
      <c r="AJ2657" s="14"/>
      <c r="AK2657" s="14"/>
      <c r="AL2657" s="14"/>
      <c r="AM2657" s="14"/>
    </row>
    <row r="2658" ht="14.25" customHeight="1">
      <c r="AA2658" s="7">
        <f t="shared" si="2"/>
        <v>43564</v>
      </c>
      <c r="AB2658" s="14"/>
      <c r="AC2658" s="14"/>
      <c r="AD2658" s="14"/>
      <c r="AE2658" s="14"/>
      <c r="AF2658" s="14"/>
      <c r="AG2658" s="14"/>
      <c r="AH2658" s="14"/>
      <c r="AI2658" s="14"/>
      <c r="AJ2658" s="14"/>
      <c r="AK2658" s="14"/>
      <c r="AL2658" s="14"/>
      <c r="AM2658" s="14"/>
    </row>
    <row r="2659" ht="14.25" customHeight="1">
      <c r="AA2659" s="7">
        <f t="shared" si="2"/>
        <v>43565</v>
      </c>
      <c r="AB2659" s="14"/>
      <c r="AC2659" s="14"/>
      <c r="AD2659" s="14"/>
      <c r="AE2659" s="14"/>
      <c r="AF2659" s="14"/>
      <c r="AG2659" s="14"/>
      <c r="AH2659" s="14"/>
      <c r="AI2659" s="14"/>
      <c r="AJ2659" s="14"/>
      <c r="AK2659" s="14"/>
      <c r="AL2659" s="14"/>
      <c r="AM2659" s="14"/>
    </row>
    <row r="2660" ht="14.25" customHeight="1">
      <c r="AA2660" s="7">
        <f t="shared" si="2"/>
        <v>43566</v>
      </c>
      <c r="AB2660" s="14"/>
      <c r="AC2660" s="14"/>
      <c r="AD2660" s="14"/>
      <c r="AE2660" s="14"/>
      <c r="AF2660" s="14"/>
      <c r="AG2660" s="14"/>
      <c r="AH2660" s="14"/>
      <c r="AI2660" s="14"/>
      <c r="AJ2660" s="14"/>
      <c r="AK2660" s="14"/>
      <c r="AL2660" s="14"/>
      <c r="AM2660" s="14"/>
    </row>
    <row r="2661" ht="14.25" customHeight="1">
      <c r="AA2661" s="7">
        <f t="shared" si="2"/>
        <v>43567</v>
      </c>
      <c r="AB2661" s="14"/>
      <c r="AC2661" s="14"/>
      <c r="AD2661" s="14"/>
      <c r="AE2661" s="14"/>
      <c r="AF2661" s="14"/>
      <c r="AG2661" s="14"/>
      <c r="AH2661" s="14"/>
      <c r="AI2661" s="14"/>
      <c r="AJ2661" s="14"/>
      <c r="AK2661" s="14"/>
      <c r="AL2661" s="14"/>
      <c r="AM2661" s="14"/>
    </row>
    <row r="2662" ht="14.25" customHeight="1">
      <c r="AA2662" s="7">
        <f t="shared" si="2"/>
        <v>43568</v>
      </c>
      <c r="AB2662" s="14"/>
      <c r="AC2662" s="14"/>
      <c r="AD2662" s="14"/>
      <c r="AE2662" s="14"/>
      <c r="AF2662" s="14"/>
      <c r="AG2662" s="14"/>
      <c r="AH2662" s="14"/>
      <c r="AI2662" s="14"/>
      <c r="AJ2662" s="14"/>
      <c r="AK2662" s="14"/>
      <c r="AL2662" s="14"/>
      <c r="AM2662" s="14"/>
    </row>
    <row r="2663" ht="14.25" customHeight="1">
      <c r="AA2663" s="7">
        <f t="shared" si="2"/>
        <v>43569</v>
      </c>
      <c r="AB2663" s="14"/>
      <c r="AC2663" s="14"/>
      <c r="AD2663" s="14"/>
      <c r="AE2663" s="14"/>
      <c r="AF2663" s="14"/>
      <c r="AG2663" s="14"/>
      <c r="AH2663" s="14"/>
      <c r="AI2663" s="14"/>
      <c r="AJ2663" s="14"/>
      <c r="AK2663" s="14"/>
      <c r="AL2663" s="14"/>
      <c r="AM2663" s="14"/>
    </row>
    <row r="2664" ht="14.25" customHeight="1">
      <c r="AA2664" s="7">
        <f t="shared" si="2"/>
        <v>43570</v>
      </c>
      <c r="AB2664" s="14"/>
      <c r="AC2664" s="14"/>
      <c r="AD2664" s="14"/>
      <c r="AE2664" s="14"/>
      <c r="AF2664" s="14"/>
      <c r="AG2664" s="14"/>
      <c r="AH2664" s="14"/>
      <c r="AI2664" s="14"/>
      <c r="AJ2664" s="14"/>
      <c r="AK2664" s="14"/>
      <c r="AL2664" s="14"/>
      <c r="AM2664" s="14"/>
    </row>
    <row r="2665" ht="14.25" customHeight="1">
      <c r="AA2665" s="7">
        <f t="shared" si="2"/>
        <v>43571</v>
      </c>
      <c r="AB2665" s="14"/>
      <c r="AC2665" s="14"/>
      <c r="AD2665" s="14"/>
      <c r="AE2665" s="14"/>
      <c r="AF2665" s="14"/>
      <c r="AG2665" s="14"/>
      <c r="AH2665" s="14"/>
      <c r="AI2665" s="14"/>
      <c r="AJ2665" s="14"/>
      <c r="AK2665" s="14"/>
      <c r="AL2665" s="14"/>
      <c r="AM2665" s="14"/>
    </row>
    <row r="2666" ht="14.25" customHeight="1">
      <c r="AA2666" s="7">
        <f t="shared" si="2"/>
        <v>43572</v>
      </c>
      <c r="AB2666" s="14"/>
      <c r="AC2666" s="14"/>
      <c r="AD2666" s="14"/>
      <c r="AE2666" s="14"/>
      <c r="AF2666" s="14"/>
      <c r="AG2666" s="14"/>
      <c r="AH2666" s="14"/>
      <c r="AI2666" s="14"/>
      <c r="AJ2666" s="14"/>
      <c r="AK2666" s="14"/>
      <c r="AL2666" s="14"/>
      <c r="AM2666" s="14"/>
    </row>
    <row r="2667" ht="14.25" customHeight="1">
      <c r="AA2667" s="7">
        <f t="shared" si="2"/>
        <v>43573</v>
      </c>
      <c r="AB2667" s="14"/>
      <c r="AC2667" s="14"/>
      <c r="AD2667" s="14"/>
      <c r="AE2667" s="14"/>
      <c r="AF2667" s="14"/>
      <c r="AG2667" s="14"/>
      <c r="AH2667" s="14"/>
      <c r="AI2667" s="14"/>
      <c r="AJ2667" s="14"/>
      <c r="AK2667" s="14"/>
      <c r="AL2667" s="14"/>
      <c r="AM2667" s="14"/>
    </row>
    <row r="2668" ht="14.25" customHeight="1">
      <c r="AA2668" s="7">
        <f t="shared" si="2"/>
        <v>43574</v>
      </c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</row>
    <row r="2669" ht="14.25" customHeight="1">
      <c r="AA2669" s="7">
        <f t="shared" si="2"/>
        <v>43575</v>
      </c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</row>
    <row r="2670" ht="14.25" customHeight="1">
      <c r="AA2670" s="7">
        <f t="shared" si="2"/>
        <v>43576</v>
      </c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</row>
    <row r="2671" ht="14.25" customHeight="1">
      <c r="AA2671" s="7">
        <f t="shared" si="2"/>
        <v>43577</v>
      </c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</row>
    <row r="2672" ht="14.25" customHeight="1">
      <c r="AA2672" s="7">
        <f t="shared" si="2"/>
        <v>43578</v>
      </c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</row>
    <row r="2673" ht="14.25" customHeight="1">
      <c r="AA2673" s="7">
        <f t="shared" si="2"/>
        <v>43579</v>
      </c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</row>
    <row r="2674" ht="14.25" customHeight="1">
      <c r="AA2674" s="7">
        <f t="shared" si="2"/>
        <v>43580</v>
      </c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</row>
    <row r="2675" ht="14.25" customHeight="1">
      <c r="AA2675" s="7">
        <f t="shared" si="2"/>
        <v>43581</v>
      </c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</row>
    <row r="2676" ht="14.25" customHeight="1">
      <c r="AA2676" s="7">
        <f t="shared" si="2"/>
        <v>43582</v>
      </c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</row>
    <row r="2677" ht="14.25" customHeight="1">
      <c r="AA2677" s="7">
        <f t="shared" si="2"/>
        <v>43583</v>
      </c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</row>
    <row r="2678" ht="14.25" customHeight="1">
      <c r="AA2678" s="7">
        <f t="shared" si="2"/>
        <v>43584</v>
      </c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</row>
    <row r="2679" ht="14.25" customHeight="1">
      <c r="AA2679" s="7">
        <f t="shared" si="2"/>
        <v>43585</v>
      </c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</row>
    <row r="2680" ht="14.25" customHeight="1">
      <c r="AA2680" s="7">
        <f t="shared" si="2"/>
        <v>43586</v>
      </c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</row>
    <row r="2681" ht="14.25" customHeight="1">
      <c r="AA2681" s="7">
        <f t="shared" si="2"/>
        <v>43587</v>
      </c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</row>
    <row r="2682" ht="14.25" customHeight="1">
      <c r="AA2682" s="7">
        <f t="shared" si="2"/>
        <v>43588</v>
      </c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</row>
    <row r="2683" ht="14.25" customHeight="1">
      <c r="AA2683" s="7">
        <f t="shared" si="2"/>
        <v>43589</v>
      </c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</row>
    <row r="2684" ht="14.25" customHeight="1">
      <c r="AA2684" s="7">
        <f t="shared" si="2"/>
        <v>43590</v>
      </c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</row>
    <row r="2685" ht="14.25" customHeight="1">
      <c r="AA2685" s="7">
        <f t="shared" si="2"/>
        <v>43591</v>
      </c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</row>
    <row r="2686" ht="14.25" customHeight="1">
      <c r="AA2686" s="7">
        <f t="shared" si="2"/>
        <v>43592</v>
      </c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</row>
    <row r="2687" ht="14.25" customHeight="1">
      <c r="AA2687" s="7">
        <f t="shared" si="2"/>
        <v>43593</v>
      </c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</row>
    <row r="2688" ht="14.25" customHeight="1">
      <c r="AA2688" s="7">
        <f t="shared" si="2"/>
        <v>43594</v>
      </c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</row>
    <row r="2689" ht="14.25" customHeight="1">
      <c r="AA2689" s="7">
        <f t="shared" si="2"/>
        <v>43595</v>
      </c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</row>
    <row r="2690" ht="14.25" customHeight="1">
      <c r="AA2690" s="7">
        <f t="shared" si="2"/>
        <v>43596</v>
      </c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</row>
    <row r="2691" ht="14.25" customHeight="1">
      <c r="AA2691" s="7">
        <f t="shared" si="2"/>
        <v>43597</v>
      </c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</row>
    <row r="2692" ht="14.25" customHeight="1">
      <c r="AA2692" s="7">
        <f t="shared" si="2"/>
        <v>43598</v>
      </c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</row>
    <row r="2693" ht="14.25" customHeight="1">
      <c r="AA2693" s="7">
        <f t="shared" si="2"/>
        <v>43599</v>
      </c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</row>
    <row r="2694" ht="14.25" customHeight="1">
      <c r="AA2694" s="7">
        <f t="shared" si="2"/>
        <v>43600</v>
      </c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</row>
    <row r="2695" ht="14.25" customHeight="1">
      <c r="AA2695" s="7">
        <f t="shared" si="2"/>
        <v>43601</v>
      </c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</row>
    <row r="2696" ht="14.25" customHeight="1">
      <c r="AA2696" s="7">
        <f t="shared" si="2"/>
        <v>43602</v>
      </c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</row>
    <row r="2697" ht="14.25" customHeight="1">
      <c r="AA2697" s="7">
        <f t="shared" si="2"/>
        <v>43603</v>
      </c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</row>
    <row r="2698" ht="14.25" customHeight="1">
      <c r="AA2698" s="7">
        <f t="shared" si="2"/>
        <v>43604</v>
      </c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</row>
    <row r="2699" ht="14.25" customHeight="1">
      <c r="AA2699" s="7">
        <f t="shared" si="2"/>
        <v>43605</v>
      </c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</row>
    <row r="2700" ht="14.25" customHeight="1">
      <c r="AA2700" s="7">
        <f t="shared" si="2"/>
        <v>43606</v>
      </c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</row>
    <row r="2701" ht="14.25" customHeight="1">
      <c r="AA2701" s="7">
        <f t="shared" si="2"/>
        <v>43607</v>
      </c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</row>
    <row r="2702" ht="14.25" customHeight="1">
      <c r="AA2702" s="7">
        <f t="shared" si="2"/>
        <v>43608</v>
      </c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</row>
    <row r="2703" ht="14.25" customHeight="1">
      <c r="AA2703" s="7">
        <f t="shared" si="2"/>
        <v>43609</v>
      </c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</row>
    <row r="2704" ht="14.25" customHeight="1">
      <c r="AA2704" s="7">
        <f t="shared" si="2"/>
        <v>43610</v>
      </c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</row>
    <row r="2705" ht="14.25" customHeight="1">
      <c r="AA2705" s="7">
        <f t="shared" si="2"/>
        <v>43611</v>
      </c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</row>
    <row r="2706" ht="14.25" customHeight="1">
      <c r="AA2706" s="7">
        <f t="shared" si="2"/>
        <v>43612</v>
      </c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</row>
    <row r="2707" ht="14.25" customHeight="1">
      <c r="AA2707" s="7">
        <f t="shared" si="2"/>
        <v>43613</v>
      </c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</row>
    <row r="2708" ht="14.25" customHeight="1">
      <c r="AA2708" s="7">
        <f t="shared" si="2"/>
        <v>43614</v>
      </c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</row>
    <row r="2709" ht="14.25" customHeight="1">
      <c r="AA2709" s="7">
        <f t="shared" si="2"/>
        <v>43615</v>
      </c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</row>
    <row r="2710" ht="14.25" customHeight="1">
      <c r="AA2710" s="7">
        <f t="shared" si="2"/>
        <v>43616</v>
      </c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</row>
    <row r="2711" ht="14.25" customHeight="1">
      <c r="AA2711" s="7">
        <f t="shared" si="2"/>
        <v>43617</v>
      </c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</row>
    <row r="2712" ht="14.25" customHeight="1">
      <c r="AA2712" s="7">
        <f t="shared" si="2"/>
        <v>43618</v>
      </c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</row>
    <row r="2713" ht="14.25" customHeight="1">
      <c r="AA2713" s="7">
        <f t="shared" si="2"/>
        <v>43619</v>
      </c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</row>
    <row r="2714" ht="14.25" customHeight="1">
      <c r="AA2714" s="7">
        <f t="shared" si="2"/>
        <v>43620</v>
      </c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</row>
    <row r="2715" ht="14.25" customHeight="1">
      <c r="AA2715" s="7">
        <f t="shared" si="2"/>
        <v>43621</v>
      </c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</row>
    <row r="2716" ht="14.25" customHeight="1">
      <c r="AA2716" s="7">
        <f t="shared" si="2"/>
        <v>43622</v>
      </c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</row>
    <row r="2717" ht="14.25" customHeight="1">
      <c r="AA2717" s="7">
        <f t="shared" si="2"/>
        <v>43623</v>
      </c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</row>
    <row r="2718" ht="14.25" customHeight="1">
      <c r="AA2718" s="7">
        <f t="shared" si="2"/>
        <v>43624</v>
      </c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</row>
    <row r="2719" ht="14.25" customHeight="1">
      <c r="AA2719" s="7">
        <f t="shared" si="2"/>
        <v>43625</v>
      </c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</row>
    <row r="2720" ht="14.25" customHeight="1">
      <c r="AA2720" s="7">
        <f t="shared" si="2"/>
        <v>43626</v>
      </c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</row>
    <row r="2721" ht="14.25" customHeight="1">
      <c r="AA2721" s="7">
        <f t="shared" si="2"/>
        <v>43627</v>
      </c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</row>
    <row r="2722" ht="14.25" customHeight="1">
      <c r="AA2722" s="7">
        <f t="shared" si="2"/>
        <v>43628</v>
      </c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</row>
    <row r="2723" ht="14.25" customHeight="1">
      <c r="AA2723" s="7">
        <f t="shared" si="2"/>
        <v>43629</v>
      </c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</row>
    <row r="2724" ht="14.25" customHeight="1">
      <c r="AA2724" s="7">
        <f t="shared" si="2"/>
        <v>43630</v>
      </c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</row>
    <row r="2725" ht="14.25" customHeight="1">
      <c r="AA2725" s="7">
        <f t="shared" si="2"/>
        <v>43631</v>
      </c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</row>
    <row r="2726" ht="14.25" customHeight="1">
      <c r="AA2726" s="7">
        <f t="shared" si="2"/>
        <v>43632</v>
      </c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</row>
    <row r="2727" ht="14.25" customHeight="1">
      <c r="AA2727" s="7">
        <f t="shared" si="2"/>
        <v>43633</v>
      </c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</row>
    <row r="2728" ht="14.25" customHeight="1">
      <c r="AA2728" s="7">
        <f t="shared" si="2"/>
        <v>43634</v>
      </c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</row>
    <row r="2729" ht="14.25" customHeight="1">
      <c r="AA2729" s="7">
        <f t="shared" si="2"/>
        <v>43635</v>
      </c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</row>
    <row r="2730" ht="14.25" customHeight="1">
      <c r="AA2730" s="7">
        <f t="shared" si="2"/>
        <v>43636</v>
      </c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</row>
    <row r="2731" ht="14.25" customHeight="1">
      <c r="AA2731" s="7">
        <f t="shared" si="2"/>
        <v>43637</v>
      </c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</row>
    <row r="2732" ht="14.25" customHeight="1">
      <c r="AA2732" s="7">
        <f t="shared" si="2"/>
        <v>43638</v>
      </c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</row>
    <row r="2733" ht="14.25" customHeight="1">
      <c r="AA2733" s="7">
        <f t="shared" si="2"/>
        <v>43639</v>
      </c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</row>
    <row r="2734" ht="14.25" customHeight="1">
      <c r="AA2734" s="7">
        <f t="shared" si="2"/>
        <v>43640</v>
      </c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</row>
    <row r="2735" ht="14.25" customHeight="1">
      <c r="AA2735" s="7">
        <f t="shared" si="2"/>
        <v>43641</v>
      </c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</row>
    <row r="2736" ht="14.25" customHeight="1">
      <c r="AA2736" s="7">
        <f t="shared" si="2"/>
        <v>43642</v>
      </c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</row>
    <row r="2737" ht="14.25" customHeight="1">
      <c r="AA2737" s="7">
        <f t="shared" si="2"/>
        <v>43643</v>
      </c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</row>
    <row r="2738" ht="14.25" customHeight="1">
      <c r="AA2738" s="7">
        <f t="shared" si="2"/>
        <v>43644</v>
      </c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</row>
    <row r="2739" ht="14.25" customHeight="1">
      <c r="AA2739" s="7">
        <f t="shared" si="2"/>
        <v>43645</v>
      </c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</row>
    <row r="2740" ht="14.25" customHeight="1">
      <c r="AA2740" s="7">
        <f t="shared" si="2"/>
        <v>43646</v>
      </c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</row>
    <row r="2741" ht="14.25" customHeight="1">
      <c r="AA2741" s="7">
        <f t="shared" si="2"/>
        <v>43647</v>
      </c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</row>
    <row r="2742" ht="14.25" customHeight="1">
      <c r="AA2742" s="7">
        <f t="shared" si="2"/>
        <v>43648</v>
      </c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</row>
    <row r="2743" ht="14.25" customHeight="1">
      <c r="AA2743" s="7">
        <f t="shared" si="2"/>
        <v>43649</v>
      </c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</row>
    <row r="2744" ht="14.25" customHeight="1">
      <c r="AA2744" s="7">
        <f t="shared" si="2"/>
        <v>43650</v>
      </c>
      <c r="AB2744" s="14"/>
      <c r="AC2744" s="14"/>
      <c r="AD2744" s="14"/>
      <c r="AE2744" s="14"/>
      <c r="AF2744" s="14"/>
      <c r="AG2744" s="14"/>
      <c r="AH2744" s="14"/>
      <c r="AI2744" s="14"/>
      <c r="AJ2744" s="14"/>
      <c r="AK2744" s="14"/>
      <c r="AL2744" s="14"/>
      <c r="AM2744" s="14"/>
    </row>
    <row r="2745" ht="14.25" customHeight="1">
      <c r="AA2745" s="7">
        <f t="shared" si="2"/>
        <v>43651</v>
      </c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</row>
    <row r="2746" ht="14.25" customHeight="1">
      <c r="AA2746" s="7">
        <f t="shared" si="2"/>
        <v>43652</v>
      </c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</row>
    <row r="2747" ht="14.25" customHeight="1">
      <c r="AA2747" s="7">
        <f t="shared" si="2"/>
        <v>43653</v>
      </c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</row>
    <row r="2748" ht="14.25" customHeight="1">
      <c r="AA2748" s="7">
        <f t="shared" si="2"/>
        <v>43654</v>
      </c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</row>
    <row r="2749" ht="14.25" customHeight="1">
      <c r="AA2749" s="7">
        <f t="shared" si="2"/>
        <v>43655</v>
      </c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</row>
    <row r="2750" ht="14.25" customHeight="1">
      <c r="AA2750" s="7">
        <f t="shared" si="2"/>
        <v>43656</v>
      </c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</row>
    <row r="2751" ht="14.25" customHeight="1">
      <c r="AA2751" s="7">
        <f t="shared" si="2"/>
        <v>43657</v>
      </c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</row>
    <row r="2752" ht="14.25" customHeight="1">
      <c r="AA2752" s="7">
        <f t="shared" si="2"/>
        <v>43658</v>
      </c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</row>
    <row r="2753" ht="14.25" customHeight="1">
      <c r="AA2753" s="7">
        <f t="shared" si="2"/>
        <v>43659</v>
      </c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</row>
    <row r="2754" ht="14.25" customHeight="1">
      <c r="AA2754" s="7">
        <f t="shared" si="2"/>
        <v>43660</v>
      </c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</row>
    <row r="2755" ht="14.25" customHeight="1">
      <c r="AA2755" s="7">
        <f t="shared" si="2"/>
        <v>43661</v>
      </c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</row>
    <row r="2756" ht="14.25" customHeight="1">
      <c r="AA2756" s="7">
        <f t="shared" si="2"/>
        <v>43662</v>
      </c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</row>
    <row r="2757" ht="14.25" customHeight="1">
      <c r="AA2757" s="7">
        <f t="shared" si="2"/>
        <v>43663</v>
      </c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</row>
    <row r="2758" ht="14.25" customHeight="1">
      <c r="AA2758" s="7">
        <f t="shared" si="2"/>
        <v>43664</v>
      </c>
      <c r="AB2758" s="14"/>
      <c r="AC2758" s="14"/>
      <c r="AD2758" s="14"/>
      <c r="AE2758" s="14"/>
      <c r="AF2758" s="14"/>
      <c r="AG2758" s="14"/>
      <c r="AH2758" s="14"/>
      <c r="AI2758" s="14"/>
      <c r="AJ2758" s="14"/>
      <c r="AK2758" s="14"/>
      <c r="AL2758" s="14"/>
      <c r="AM2758" s="14"/>
    </row>
    <row r="2759" ht="14.25" customHeight="1">
      <c r="AA2759" s="7">
        <f t="shared" si="2"/>
        <v>43665</v>
      </c>
      <c r="AB2759" s="14"/>
      <c r="AC2759" s="14"/>
      <c r="AD2759" s="14"/>
      <c r="AE2759" s="14"/>
      <c r="AF2759" s="14"/>
      <c r="AG2759" s="14"/>
      <c r="AH2759" s="14"/>
      <c r="AI2759" s="14"/>
      <c r="AJ2759" s="14"/>
      <c r="AK2759" s="14"/>
      <c r="AL2759" s="14"/>
      <c r="AM2759" s="14"/>
    </row>
    <row r="2760" ht="14.25" customHeight="1">
      <c r="AA2760" s="7">
        <f t="shared" si="2"/>
        <v>43666</v>
      </c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</row>
    <row r="2761" ht="14.25" customHeight="1">
      <c r="AA2761" s="7">
        <f t="shared" si="2"/>
        <v>43667</v>
      </c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</row>
    <row r="2762" ht="14.25" customHeight="1">
      <c r="AA2762" s="7">
        <f t="shared" si="2"/>
        <v>43668</v>
      </c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</row>
    <row r="2763" ht="14.25" customHeight="1">
      <c r="AA2763" s="7">
        <f t="shared" si="2"/>
        <v>43669</v>
      </c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</row>
    <row r="2764" ht="14.25" customHeight="1">
      <c r="AA2764" s="7">
        <f t="shared" si="2"/>
        <v>43670</v>
      </c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</row>
    <row r="2765" ht="14.25" customHeight="1">
      <c r="AA2765" s="7">
        <f t="shared" si="2"/>
        <v>43671</v>
      </c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</row>
    <row r="2766" ht="14.25" customHeight="1">
      <c r="AA2766" s="7">
        <f t="shared" si="2"/>
        <v>43672</v>
      </c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</row>
    <row r="2767" ht="14.25" customHeight="1">
      <c r="AA2767" s="7">
        <f t="shared" si="2"/>
        <v>43673</v>
      </c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</row>
    <row r="2768" ht="14.25" customHeight="1">
      <c r="AA2768" s="7">
        <f t="shared" si="2"/>
        <v>43674</v>
      </c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</row>
    <row r="2769" ht="14.25" customHeight="1">
      <c r="AA2769" s="7">
        <f t="shared" si="2"/>
        <v>43675</v>
      </c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</row>
    <row r="2770" ht="14.25" customHeight="1">
      <c r="AA2770" s="7">
        <f t="shared" si="2"/>
        <v>43676</v>
      </c>
      <c r="AB2770" s="14"/>
      <c r="AC2770" s="14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</row>
    <row r="2771" ht="14.25" customHeight="1">
      <c r="AA2771" s="7">
        <f t="shared" si="2"/>
        <v>43677</v>
      </c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</row>
    <row r="2772" ht="14.25" customHeight="1">
      <c r="AA2772" s="7">
        <f t="shared" si="2"/>
        <v>43678</v>
      </c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</row>
    <row r="2773" ht="14.25" customHeight="1">
      <c r="AA2773" s="7">
        <f t="shared" si="2"/>
        <v>43679</v>
      </c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</row>
    <row r="2774" ht="14.25" customHeight="1">
      <c r="AA2774" s="7">
        <f t="shared" si="2"/>
        <v>43680</v>
      </c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</row>
    <row r="2775" ht="14.25" customHeight="1">
      <c r="AA2775" s="7">
        <f t="shared" si="2"/>
        <v>43681</v>
      </c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</row>
    <row r="2776" ht="14.25" customHeight="1">
      <c r="AA2776" s="7">
        <f t="shared" si="2"/>
        <v>43682</v>
      </c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</row>
    <row r="2777" ht="14.25" customHeight="1">
      <c r="AA2777" s="7">
        <f t="shared" si="2"/>
        <v>43683</v>
      </c>
      <c r="AB2777" s="14"/>
      <c r="AC2777" s="14"/>
      <c r="AD2777" s="14"/>
      <c r="AE2777" s="14"/>
      <c r="AF2777" s="14"/>
      <c r="AG2777" s="14"/>
      <c r="AH2777" s="14"/>
      <c r="AI2777" s="14"/>
      <c r="AJ2777" s="14"/>
      <c r="AK2777" s="14"/>
      <c r="AL2777" s="14"/>
      <c r="AM2777" s="14"/>
    </row>
    <row r="2778" ht="14.25" customHeight="1">
      <c r="AA2778" s="7">
        <f t="shared" si="2"/>
        <v>43684</v>
      </c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</row>
    <row r="2779" ht="14.25" customHeight="1">
      <c r="AA2779" s="7">
        <f t="shared" si="2"/>
        <v>43685</v>
      </c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</row>
    <row r="2780" ht="14.25" customHeight="1">
      <c r="AA2780" s="7">
        <f t="shared" si="2"/>
        <v>43686</v>
      </c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</row>
    <row r="2781" ht="14.25" customHeight="1">
      <c r="AA2781" s="7">
        <f t="shared" si="2"/>
        <v>43687</v>
      </c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</row>
    <row r="2782" ht="14.25" customHeight="1">
      <c r="AA2782" s="7">
        <f t="shared" si="2"/>
        <v>43688</v>
      </c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</row>
    <row r="2783" ht="14.25" customHeight="1">
      <c r="AA2783" s="7">
        <f t="shared" si="2"/>
        <v>43689</v>
      </c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</row>
    <row r="2784" ht="14.25" customHeight="1">
      <c r="AA2784" s="7">
        <f t="shared" si="2"/>
        <v>43690</v>
      </c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</row>
    <row r="2785" ht="14.25" customHeight="1">
      <c r="AA2785" s="7">
        <f t="shared" si="2"/>
        <v>43691</v>
      </c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</row>
    <row r="2786" ht="14.25" customHeight="1">
      <c r="AA2786" s="7">
        <f t="shared" si="2"/>
        <v>43692</v>
      </c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</row>
    <row r="2787" ht="14.25" customHeight="1">
      <c r="AA2787" s="7">
        <f t="shared" si="2"/>
        <v>43693</v>
      </c>
      <c r="AB2787" s="14"/>
      <c r="AC2787" s="14"/>
      <c r="AD2787" s="14"/>
      <c r="AE2787" s="14"/>
      <c r="AF2787" s="14"/>
      <c r="AG2787" s="14"/>
      <c r="AH2787" s="14"/>
      <c r="AI2787" s="14"/>
      <c r="AJ2787" s="14"/>
      <c r="AK2787" s="14"/>
      <c r="AL2787" s="14"/>
      <c r="AM2787" s="14"/>
    </row>
    <row r="2788" ht="14.25" customHeight="1">
      <c r="AA2788" s="7">
        <f t="shared" si="2"/>
        <v>43694</v>
      </c>
      <c r="AB2788" s="14"/>
      <c r="AC2788" s="14"/>
      <c r="AD2788" s="14"/>
      <c r="AE2788" s="14"/>
      <c r="AF2788" s="14"/>
      <c r="AG2788" s="14"/>
      <c r="AH2788" s="14"/>
      <c r="AI2788" s="14"/>
      <c r="AJ2788" s="14"/>
      <c r="AK2788" s="14"/>
      <c r="AL2788" s="14"/>
      <c r="AM2788" s="14"/>
    </row>
    <row r="2789" ht="14.25" customHeight="1">
      <c r="AA2789" s="7">
        <f t="shared" si="2"/>
        <v>43695</v>
      </c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</row>
    <row r="2790" ht="14.25" customHeight="1">
      <c r="AA2790" s="7">
        <f t="shared" si="2"/>
        <v>43696</v>
      </c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</row>
    <row r="2791" ht="14.25" customHeight="1">
      <c r="AA2791" s="7">
        <f t="shared" si="2"/>
        <v>43697</v>
      </c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</row>
    <row r="2792" ht="14.25" customHeight="1">
      <c r="AA2792" s="7">
        <f t="shared" si="2"/>
        <v>43698</v>
      </c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</row>
    <row r="2793" ht="14.25" customHeight="1">
      <c r="AA2793" s="7">
        <f t="shared" si="2"/>
        <v>43699</v>
      </c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</row>
    <row r="2794" ht="14.25" customHeight="1">
      <c r="AA2794" s="7">
        <f t="shared" si="2"/>
        <v>43700</v>
      </c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</row>
    <row r="2795" ht="14.25" customHeight="1">
      <c r="AA2795" s="7">
        <f t="shared" si="2"/>
        <v>43701</v>
      </c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</row>
    <row r="2796" ht="14.25" customHeight="1">
      <c r="AA2796" s="7">
        <f t="shared" si="2"/>
        <v>43702</v>
      </c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</row>
    <row r="2797" ht="14.25" customHeight="1">
      <c r="AA2797" s="7">
        <f t="shared" si="2"/>
        <v>43703</v>
      </c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</row>
    <row r="2798" ht="14.25" customHeight="1">
      <c r="AA2798" s="7">
        <f t="shared" si="2"/>
        <v>43704</v>
      </c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</row>
    <row r="2799" ht="14.25" customHeight="1">
      <c r="AA2799" s="7">
        <f t="shared" si="2"/>
        <v>43705</v>
      </c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</row>
    <row r="2800" ht="14.25" customHeight="1">
      <c r="AA2800" s="7">
        <f t="shared" si="2"/>
        <v>43706</v>
      </c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</row>
    <row r="2801" ht="14.25" customHeight="1">
      <c r="AA2801" s="7">
        <f t="shared" si="2"/>
        <v>43707</v>
      </c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</row>
    <row r="2802" ht="14.25" customHeight="1">
      <c r="AA2802" s="7">
        <f t="shared" si="2"/>
        <v>43708</v>
      </c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</row>
    <row r="2803" ht="14.25" customHeight="1">
      <c r="AA2803" s="7">
        <f t="shared" si="2"/>
        <v>43709</v>
      </c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</row>
    <row r="2804" ht="14.25" customHeight="1">
      <c r="AA2804" s="7">
        <f t="shared" si="2"/>
        <v>43710</v>
      </c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</row>
    <row r="2805" ht="14.25" customHeight="1">
      <c r="AA2805" s="7">
        <f t="shared" si="2"/>
        <v>43711</v>
      </c>
      <c r="AB2805" s="14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</row>
    <row r="2806" ht="14.25" customHeight="1">
      <c r="AA2806" s="7">
        <f t="shared" si="2"/>
        <v>43712</v>
      </c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</row>
    <row r="2807" ht="14.25" customHeight="1">
      <c r="AA2807" s="7">
        <f t="shared" si="2"/>
        <v>43713</v>
      </c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</row>
    <row r="2808" ht="14.25" customHeight="1">
      <c r="AA2808" s="7">
        <f t="shared" si="2"/>
        <v>43714</v>
      </c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</row>
    <row r="2809" ht="14.25" customHeight="1">
      <c r="AA2809" s="7">
        <f t="shared" si="2"/>
        <v>43715</v>
      </c>
      <c r="AB2809" s="14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</row>
    <row r="2810" ht="14.25" customHeight="1">
      <c r="AA2810" s="7">
        <f t="shared" si="2"/>
        <v>43716</v>
      </c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</row>
    <row r="2811" ht="14.25" customHeight="1">
      <c r="AA2811" s="7">
        <f t="shared" si="2"/>
        <v>43717</v>
      </c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</row>
    <row r="2812" ht="14.25" customHeight="1">
      <c r="AA2812" s="7">
        <f t="shared" si="2"/>
        <v>43718</v>
      </c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</row>
    <row r="2813" ht="14.25" customHeight="1">
      <c r="AA2813" s="7">
        <f t="shared" si="2"/>
        <v>43719</v>
      </c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</row>
    <row r="2814" ht="14.25" customHeight="1">
      <c r="AA2814" s="7">
        <f t="shared" si="2"/>
        <v>43720</v>
      </c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</row>
    <row r="2815" ht="14.25" customHeight="1">
      <c r="AA2815" s="7">
        <f t="shared" si="2"/>
        <v>43721</v>
      </c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</row>
    <row r="2816" ht="14.25" customHeight="1">
      <c r="AA2816" s="7">
        <f t="shared" si="2"/>
        <v>43722</v>
      </c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</row>
    <row r="2817" ht="14.25" customHeight="1">
      <c r="AA2817" s="7">
        <f t="shared" si="2"/>
        <v>43723</v>
      </c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</row>
    <row r="2818" ht="14.25" customHeight="1">
      <c r="AA2818" s="7">
        <f t="shared" si="2"/>
        <v>43724</v>
      </c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</row>
    <row r="2819" ht="14.25" customHeight="1">
      <c r="AA2819" s="7">
        <f t="shared" si="2"/>
        <v>43725</v>
      </c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</row>
    <row r="2820" ht="14.25" customHeight="1">
      <c r="AA2820" s="7">
        <f t="shared" si="2"/>
        <v>43726</v>
      </c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</row>
    <row r="2821" ht="14.25" customHeight="1">
      <c r="AA2821" s="7">
        <f t="shared" si="2"/>
        <v>43727</v>
      </c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</row>
    <row r="2822" ht="14.25" customHeight="1">
      <c r="AA2822" s="7">
        <f t="shared" si="2"/>
        <v>43728</v>
      </c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</row>
    <row r="2823" ht="14.25" customHeight="1">
      <c r="AA2823" s="7">
        <f t="shared" si="2"/>
        <v>43729</v>
      </c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</row>
    <row r="2824" ht="14.25" customHeight="1">
      <c r="AA2824" s="7">
        <f t="shared" si="2"/>
        <v>43730</v>
      </c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</row>
    <row r="2825" ht="14.25" customHeight="1">
      <c r="AA2825" s="7">
        <f t="shared" si="2"/>
        <v>43731</v>
      </c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</row>
    <row r="2826" ht="14.25" customHeight="1">
      <c r="AA2826" s="7">
        <f t="shared" si="2"/>
        <v>43732</v>
      </c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</row>
    <row r="2827" ht="14.25" customHeight="1">
      <c r="AA2827" s="7">
        <f t="shared" si="2"/>
        <v>43733</v>
      </c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</row>
    <row r="2828" ht="14.25" customHeight="1">
      <c r="AA2828" s="7">
        <f t="shared" si="2"/>
        <v>43734</v>
      </c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</row>
    <row r="2829" ht="14.25" customHeight="1">
      <c r="AA2829" s="7">
        <f t="shared" si="2"/>
        <v>43735</v>
      </c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</row>
    <row r="2830" ht="14.25" customHeight="1">
      <c r="AA2830" s="7">
        <f t="shared" si="2"/>
        <v>43736</v>
      </c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</row>
    <row r="2831" ht="14.25" customHeight="1">
      <c r="AA2831" s="7">
        <f t="shared" si="2"/>
        <v>43737</v>
      </c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</row>
    <row r="2832" ht="14.25" customHeight="1">
      <c r="AA2832" s="7">
        <f t="shared" si="2"/>
        <v>43738</v>
      </c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</row>
    <row r="2833" ht="14.25" customHeight="1">
      <c r="AA2833" s="7">
        <f t="shared" si="2"/>
        <v>43739</v>
      </c>
      <c r="AB2833" s="14"/>
      <c r="AC2833" s="14"/>
      <c r="AD2833" s="14"/>
      <c r="AE2833" s="14"/>
      <c r="AF2833" s="14"/>
      <c r="AG2833" s="14"/>
      <c r="AH2833" s="14"/>
      <c r="AI2833" s="14"/>
      <c r="AJ2833" s="14"/>
      <c r="AK2833" s="14"/>
      <c r="AL2833" s="14"/>
      <c r="AM2833" s="14"/>
    </row>
    <row r="2834" ht="14.25" customHeight="1">
      <c r="AA2834" s="7">
        <f t="shared" si="2"/>
        <v>43740</v>
      </c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</row>
    <row r="2835" ht="14.25" customHeight="1">
      <c r="AA2835" s="7">
        <f t="shared" si="2"/>
        <v>43741</v>
      </c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</row>
    <row r="2836" ht="14.25" customHeight="1">
      <c r="AA2836" s="7">
        <f t="shared" si="2"/>
        <v>43742</v>
      </c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</row>
    <row r="2837" ht="14.25" customHeight="1">
      <c r="AA2837" s="7">
        <f t="shared" si="2"/>
        <v>43743</v>
      </c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</row>
    <row r="2838" ht="14.25" customHeight="1">
      <c r="AA2838" s="7">
        <f t="shared" si="2"/>
        <v>43744</v>
      </c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</row>
    <row r="2839" ht="14.25" customHeight="1">
      <c r="AA2839" s="7">
        <f t="shared" si="2"/>
        <v>43745</v>
      </c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</row>
    <row r="2840" ht="14.25" customHeight="1">
      <c r="AA2840" s="7">
        <f t="shared" si="2"/>
        <v>43746</v>
      </c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</row>
    <row r="2841" ht="14.25" customHeight="1">
      <c r="AA2841" s="7">
        <f t="shared" si="2"/>
        <v>43747</v>
      </c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</row>
    <row r="2842" ht="14.25" customHeight="1">
      <c r="AA2842" s="7">
        <f t="shared" si="2"/>
        <v>43748</v>
      </c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</row>
    <row r="2843" ht="14.25" customHeight="1">
      <c r="AA2843" s="7">
        <f t="shared" si="2"/>
        <v>43749</v>
      </c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</row>
    <row r="2844" ht="14.25" customHeight="1">
      <c r="AA2844" s="7">
        <f t="shared" si="2"/>
        <v>43750</v>
      </c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</row>
    <row r="2845" ht="14.25" customHeight="1">
      <c r="AA2845" s="7">
        <f t="shared" si="2"/>
        <v>43751</v>
      </c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</row>
    <row r="2846" ht="14.25" customHeight="1">
      <c r="AA2846" s="7">
        <f t="shared" si="2"/>
        <v>43752</v>
      </c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</row>
    <row r="2847" ht="14.25" customHeight="1">
      <c r="AA2847" s="7">
        <f t="shared" si="2"/>
        <v>43753</v>
      </c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</row>
    <row r="2848" ht="14.25" customHeight="1">
      <c r="AA2848" s="7">
        <f t="shared" si="2"/>
        <v>43754</v>
      </c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</row>
    <row r="2849" ht="14.25" customHeight="1">
      <c r="AA2849" s="7">
        <f t="shared" si="2"/>
        <v>43755</v>
      </c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</row>
    <row r="2850" ht="14.25" customHeight="1">
      <c r="AA2850" s="7">
        <f t="shared" si="2"/>
        <v>43756</v>
      </c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</row>
    <row r="2851" ht="14.25" customHeight="1">
      <c r="AA2851" s="7">
        <f t="shared" si="2"/>
        <v>43757</v>
      </c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</row>
    <row r="2852" ht="14.25" customHeight="1">
      <c r="AA2852" s="7">
        <f t="shared" si="2"/>
        <v>43758</v>
      </c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</row>
    <row r="2853" ht="14.25" customHeight="1">
      <c r="AA2853" s="7">
        <f t="shared" si="2"/>
        <v>43759</v>
      </c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</row>
    <row r="2854" ht="14.25" customHeight="1">
      <c r="AA2854" s="7">
        <f t="shared" si="2"/>
        <v>43760</v>
      </c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</row>
    <row r="2855" ht="14.25" customHeight="1">
      <c r="AA2855" s="7">
        <f t="shared" si="2"/>
        <v>43761</v>
      </c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</row>
    <row r="2856" ht="14.25" customHeight="1">
      <c r="AA2856" s="7">
        <f t="shared" si="2"/>
        <v>43762</v>
      </c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</row>
    <row r="2857" ht="14.25" customHeight="1">
      <c r="AA2857" s="7">
        <f t="shared" si="2"/>
        <v>43763</v>
      </c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</row>
    <row r="2858" ht="14.25" customHeight="1">
      <c r="AA2858" s="7">
        <f t="shared" si="2"/>
        <v>43764</v>
      </c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</row>
    <row r="2859" ht="14.25" customHeight="1">
      <c r="AA2859" s="7">
        <f t="shared" si="2"/>
        <v>43765</v>
      </c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</row>
    <row r="2860" ht="14.25" customHeight="1">
      <c r="AA2860" s="7">
        <f t="shared" si="2"/>
        <v>43766</v>
      </c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</row>
    <row r="2861" ht="14.25" customHeight="1">
      <c r="AA2861" s="7">
        <f t="shared" si="2"/>
        <v>43767</v>
      </c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</row>
    <row r="2862" ht="14.25" customHeight="1">
      <c r="AA2862" s="7">
        <f t="shared" si="2"/>
        <v>43768</v>
      </c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</row>
    <row r="2863" ht="14.25" customHeight="1">
      <c r="AA2863" s="7">
        <f t="shared" si="2"/>
        <v>43769</v>
      </c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</row>
    <row r="2864" ht="14.25" customHeight="1">
      <c r="AA2864" s="7">
        <f t="shared" si="2"/>
        <v>43770</v>
      </c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</row>
    <row r="2865" ht="14.25" customHeight="1">
      <c r="AA2865" s="7">
        <f t="shared" si="2"/>
        <v>43771</v>
      </c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</row>
    <row r="2866" ht="14.25" customHeight="1">
      <c r="AA2866" s="7">
        <f t="shared" si="2"/>
        <v>43772</v>
      </c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</row>
    <row r="2867" ht="14.25" customHeight="1">
      <c r="AA2867" s="7">
        <f t="shared" si="2"/>
        <v>43773</v>
      </c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</row>
    <row r="2868" ht="14.25" customHeight="1">
      <c r="AA2868" s="7">
        <f t="shared" si="2"/>
        <v>43774</v>
      </c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</row>
    <row r="2869" ht="14.25" customHeight="1">
      <c r="AA2869" s="7">
        <f t="shared" si="2"/>
        <v>43775</v>
      </c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</row>
    <row r="2870" ht="14.25" customHeight="1">
      <c r="AA2870" s="7">
        <f t="shared" si="2"/>
        <v>43776</v>
      </c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</row>
    <row r="2871" ht="14.25" customHeight="1">
      <c r="AA2871" s="7">
        <f t="shared" si="2"/>
        <v>43777</v>
      </c>
      <c r="AB2871" s="14"/>
      <c r="AC2871" s="14"/>
      <c r="AD2871" s="14"/>
      <c r="AE2871" s="14"/>
      <c r="AF2871" s="14"/>
      <c r="AG2871" s="14"/>
      <c r="AH2871" s="14"/>
      <c r="AI2871" s="14"/>
      <c r="AJ2871" s="14"/>
      <c r="AK2871" s="14"/>
      <c r="AL2871" s="14"/>
      <c r="AM2871" s="14"/>
    </row>
    <row r="2872" ht="14.25" customHeight="1">
      <c r="AA2872" s="7">
        <f t="shared" si="2"/>
        <v>43778</v>
      </c>
      <c r="AB2872" s="14"/>
      <c r="AC2872" s="14"/>
      <c r="AD2872" s="14"/>
      <c r="AE2872" s="14"/>
      <c r="AF2872" s="14"/>
      <c r="AG2872" s="14"/>
      <c r="AH2872" s="14"/>
      <c r="AI2872" s="14"/>
      <c r="AJ2872" s="14"/>
      <c r="AK2872" s="14"/>
      <c r="AL2872" s="14"/>
      <c r="AM2872" s="14"/>
    </row>
    <row r="2873" ht="14.25" customHeight="1">
      <c r="AA2873" s="7">
        <f t="shared" si="2"/>
        <v>43779</v>
      </c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</row>
    <row r="2874" ht="14.25" customHeight="1">
      <c r="AA2874" s="7">
        <f t="shared" si="2"/>
        <v>43780</v>
      </c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</row>
    <row r="2875" ht="14.25" customHeight="1">
      <c r="AA2875" s="7">
        <f t="shared" si="2"/>
        <v>43781</v>
      </c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</row>
    <row r="2876" ht="14.25" customHeight="1">
      <c r="AA2876" s="7">
        <f t="shared" si="2"/>
        <v>43782</v>
      </c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</row>
    <row r="2877" ht="14.25" customHeight="1">
      <c r="AA2877" s="7">
        <f t="shared" si="2"/>
        <v>43783</v>
      </c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</row>
    <row r="2878" ht="14.25" customHeight="1">
      <c r="AA2878" s="7">
        <f t="shared" si="2"/>
        <v>43784</v>
      </c>
      <c r="AB2878" s="14"/>
      <c r="AC2878" s="14"/>
      <c r="AD2878" s="14"/>
      <c r="AE2878" s="14"/>
      <c r="AF2878" s="14"/>
      <c r="AG2878" s="14"/>
      <c r="AH2878" s="14"/>
      <c r="AI2878" s="14"/>
      <c r="AJ2878" s="14"/>
      <c r="AK2878" s="14"/>
      <c r="AL2878" s="14"/>
      <c r="AM2878" s="14"/>
    </row>
    <row r="2879" ht="14.25" customHeight="1">
      <c r="AA2879" s="7">
        <f t="shared" si="2"/>
        <v>43785</v>
      </c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</row>
    <row r="2880" ht="14.25" customHeight="1">
      <c r="AA2880" s="7">
        <f t="shared" si="2"/>
        <v>43786</v>
      </c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</row>
    <row r="2881" ht="14.25" customHeight="1">
      <c r="AA2881" s="7">
        <f t="shared" si="2"/>
        <v>43787</v>
      </c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</row>
    <row r="2882" ht="14.25" customHeight="1">
      <c r="AA2882" s="7">
        <f t="shared" si="2"/>
        <v>43788</v>
      </c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</row>
    <row r="2883" ht="14.25" customHeight="1">
      <c r="AA2883" s="7">
        <f t="shared" si="2"/>
        <v>43789</v>
      </c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14"/>
      <c r="AM2883" s="14"/>
    </row>
    <row r="2884" ht="14.25" customHeight="1">
      <c r="AA2884" s="7">
        <f t="shared" si="2"/>
        <v>43790</v>
      </c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</row>
    <row r="2885" ht="14.25" customHeight="1">
      <c r="AA2885" s="7">
        <f t="shared" si="2"/>
        <v>43791</v>
      </c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</row>
    <row r="2886" ht="14.25" customHeight="1">
      <c r="AA2886" s="7">
        <f t="shared" si="2"/>
        <v>43792</v>
      </c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</row>
    <row r="2887" ht="14.25" customHeight="1">
      <c r="AA2887" s="7">
        <f t="shared" si="2"/>
        <v>43793</v>
      </c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</row>
    <row r="2888" ht="14.25" customHeight="1">
      <c r="AA2888" s="7">
        <f t="shared" si="2"/>
        <v>43794</v>
      </c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</row>
    <row r="2889" ht="14.25" customHeight="1">
      <c r="AA2889" s="7">
        <f t="shared" si="2"/>
        <v>43795</v>
      </c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</row>
    <row r="2890" ht="14.25" customHeight="1">
      <c r="AA2890" s="7">
        <f t="shared" si="2"/>
        <v>43796</v>
      </c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14"/>
      <c r="AM2890" s="14"/>
    </row>
    <row r="2891" ht="14.25" customHeight="1">
      <c r="AA2891" s="7">
        <f t="shared" si="2"/>
        <v>43797</v>
      </c>
      <c r="AB2891" s="14"/>
      <c r="AC2891" s="14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</row>
    <row r="2892" ht="14.25" customHeight="1">
      <c r="AA2892" s="7">
        <f t="shared" si="2"/>
        <v>43798</v>
      </c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</row>
    <row r="2893" ht="14.25" customHeight="1">
      <c r="AA2893" s="7">
        <f t="shared" si="2"/>
        <v>43799</v>
      </c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</row>
    <row r="2894" ht="14.25" customHeight="1">
      <c r="AA2894" s="7">
        <f t="shared" si="2"/>
        <v>43800</v>
      </c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</row>
    <row r="2895" ht="14.25" customHeight="1">
      <c r="AA2895" s="7">
        <f t="shared" si="2"/>
        <v>43801</v>
      </c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</row>
    <row r="2896" ht="14.25" customHeight="1">
      <c r="AA2896" s="7">
        <f t="shared" si="2"/>
        <v>43802</v>
      </c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</row>
    <row r="2897" ht="14.25" customHeight="1">
      <c r="AA2897" s="7">
        <f t="shared" si="2"/>
        <v>43803</v>
      </c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</row>
    <row r="2898" ht="14.25" customHeight="1">
      <c r="AA2898" s="7">
        <f t="shared" si="2"/>
        <v>43804</v>
      </c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</row>
    <row r="2899" ht="14.25" customHeight="1">
      <c r="AA2899" s="7">
        <f t="shared" si="2"/>
        <v>43805</v>
      </c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</row>
    <row r="2900" ht="14.25" customHeight="1">
      <c r="AA2900" s="7">
        <f t="shared" si="2"/>
        <v>43806</v>
      </c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</row>
    <row r="2901" ht="14.25" customHeight="1">
      <c r="AA2901" s="7">
        <f t="shared" si="2"/>
        <v>43807</v>
      </c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</row>
    <row r="2902" ht="14.25" customHeight="1">
      <c r="AA2902" s="7">
        <f t="shared" si="2"/>
        <v>43808</v>
      </c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</row>
    <row r="2903" ht="14.25" customHeight="1">
      <c r="AA2903" s="7">
        <f t="shared" si="2"/>
        <v>43809</v>
      </c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</row>
    <row r="2904" ht="14.25" customHeight="1">
      <c r="AA2904" s="7">
        <f t="shared" si="2"/>
        <v>43810</v>
      </c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</row>
    <row r="2905" ht="14.25" customHeight="1">
      <c r="AA2905" s="7">
        <f t="shared" si="2"/>
        <v>43811</v>
      </c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</row>
    <row r="2906" ht="14.25" customHeight="1">
      <c r="AA2906" s="7">
        <f t="shared" si="2"/>
        <v>43812</v>
      </c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</row>
    <row r="2907" ht="14.25" customHeight="1">
      <c r="AA2907" s="7">
        <f t="shared" si="2"/>
        <v>43813</v>
      </c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</row>
    <row r="2908" ht="14.25" customHeight="1">
      <c r="AA2908" s="7">
        <f t="shared" si="2"/>
        <v>43814</v>
      </c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</row>
    <row r="2909" ht="14.25" customHeight="1">
      <c r="AA2909" s="7">
        <f t="shared" si="2"/>
        <v>43815</v>
      </c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</row>
    <row r="2910" ht="14.25" customHeight="1">
      <c r="AA2910" s="7">
        <f t="shared" si="2"/>
        <v>43816</v>
      </c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</row>
    <row r="2911" ht="14.25" customHeight="1">
      <c r="AA2911" s="7">
        <f t="shared" si="2"/>
        <v>43817</v>
      </c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</row>
    <row r="2912" ht="14.25" customHeight="1">
      <c r="AA2912" s="7">
        <f t="shared" si="2"/>
        <v>43818</v>
      </c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</row>
    <row r="2913" ht="14.25" customHeight="1">
      <c r="AA2913" s="7">
        <f t="shared" si="2"/>
        <v>43819</v>
      </c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</row>
    <row r="2914" ht="14.25" customHeight="1">
      <c r="AA2914" s="7">
        <f t="shared" si="2"/>
        <v>43820</v>
      </c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</row>
    <row r="2915" ht="14.25" customHeight="1">
      <c r="AA2915" s="7">
        <f t="shared" si="2"/>
        <v>43821</v>
      </c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</row>
    <row r="2916" ht="14.25" customHeight="1">
      <c r="AA2916" s="7">
        <f t="shared" si="2"/>
        <v>43822</v>
      </c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</row>
    <row r="2917" ht="14.25" customHeight="1">
      <c r="AA2917" s="7">
        <f t="shared" si="2"/>
        <v>43823</v>
      </c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</row>
    <row r="2918" ht="14.25" customHeight="1">
      <c r="AA2918" s="7">
        <f t="shared" si="2"/>
        <v>43824</v>
      </c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</row>
    <row r="2919" ht="14.25" customHeight="1">
      <c r="AA2919" s="7">
        <f t="shared" si="2"/>
        <v>43825</v>
      </c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</row>
    <row r="2920" ht="14.25" customHeight="1">
      <c r="AA2920" s="7">
        <f t="shared" si="2"/>
        <v>43826</v>
      </c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</row>
    <row r="2921" ht="14.25" customHeight="1">
      <c r="AA2921" s="7">
        <f t="shared" si="2"/>
        <v>43827</v>
      </c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</row>
    <row r="2922" ht="14.25" customHeight="1">
      <c r="AA2922" s="7">
        <f t="shared" si="2"/>
        <v>43828</v>
      </c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</row>
    <row r="2923" ht="14.25" customHeight="1">
      <c r="AA2923" s="7">
        <f t="shared" si="2"/>
        <v>43829</v>
      </c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</row>
    <row r="2924" ht="14.25" customHeight="1">
      <c r="AA2924" s="7">
        <f t="shared" si="2"/>
        <v>43830</v>
      </c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</row>
    <row r="2925" ht="14.25" customHeight="1">
      <c r="AA2925" s="7">
        <f t="shared" si="2"/>
        <v>43831</v>
      </c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</row>
    <row r="2926" ht="14.25" customHeight="1">
      <c r="AA2926" s="7">
        <f t="shared" si="2"/>
        <v>43832</v>
      </c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</row>
    <row r="2927" ht="14.25" customHeight="1">
      <c r="AA2927" s="7">
        <f t="shared" si="2"/>
        <v>43833</v>
      </c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</row>
    <row r="2928" ht="14.25" customHeight="1">
      <c r="AA2928" s="7">
        <f t="shared" si="2"/>
        <v>43834</v>
      </c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</row>
    <row r="2929" ht="14.25" customHeight="1">
      <c r="AA2929" s="7">
        <f t="shared" si="2"/>
        <v>43835</v>
      </c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</row>
    <row r="2930" ht="14.25" customHeight="1">
      <c r="AA2930" s="7">
        <f t="shared" si="2"/>
        <v>43836</v>
      </c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</row>
    <row r="2931" ht="14.25" customHeight="1">
      <c r="AA2931" s="7">
        <f t="shared" si="2"/>
        <v>43837</v>
      </c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</row>
    <row r="2932" ht="14.25" customHeight="1">
      <c r="AA2932" s="7">
        <f t="shared" si="2"/>
        <v>43838</v>
      </c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</row>
    <row r="2933" ht="14.25" customHeight="1">
      <c r="AA2933" s="7">
        <f t="shared" si="2"/>
        <v>43839</v>
      </c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</row>
    <row r="2934" ht="14.25" customHeight="1">
      <c r="AA2934" s="7">
        <f t="shared" si="2"/>
        <v>43840</v>
      </c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</row>
    <row r="2935" ht="14.25" customHeight="1">
      <c r="AA2935" s="7">
        <f t="shared" si="2"/>
        <v>43841</v>
      </c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</row>
    <row r="2936" ht="14.25" customHeight="1">
      <c r="AA2936" s="7">
        <f t="shared" si="2"/>
        <v>43842</v>
      </c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14"/>
      <c r="AM2936" s="14"/>
    </row>
    <row r="2937" ht="14.25" customHeight="1">
      <c r="AA2937" s="7">
        <f t="shared" si="2"/>
        <v>43843</v>
      </c>
      <c r="AB2937" s="14"/>
      <c r="AC2937" s="14"/>
      <c r="AD2937" s="14"/>
      <c r="AE2937" s="14"/>
      <c r="AF2937" s="14"/>
      <c r="AG2937" s="14"/>
      <c r="AH2937" s="14"/>
      <c r="AI2937" s="14"/>
      <c r="AJ2937" s="14"/>
      <c r="AK2937" s="14"/>
      <c r="AL2937" s="14"/>
      <c r="AM2937" s="14"/>
    </row>
    <row r="2938" ht="14.25" customHeight="1">
      <c r="AA2938" s="7">
        <f t="shared" si="2"/>
        <v>43844</v>
      </c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</row>
    <row r="2939" ht="14.25" customHeight="1">
      <c r="AA2939" s="7">
        <f t="shared" si="2"/>
        <v>43845</v>
      </c>
      <c r="AB2939" s="14"/>
      <c r="AC2939" s="14"/>
      <c r="AD2939" s="14"/>
      <c r="AE2939" s="14"/>
      <c r="AF2939" s="14"/>
      <c r="AG2939" s="14"/>
      <c r="AH2939" s="14"/>
      <c r="AI2939" s="14"/>
      <c r="AJ2939" s="14"/>
      <c r="AK2939" s="14"/>
      <c r="AL2939" s="14"/>
      <c r="AM2939" s="14"/>
    </row>
    <row r="2940" ht="14.25" customHeight="1">
      <c r="AA2940" s="7">
        <f t="shared" si="2"/>
        <v>43846</v>
      </c>
      <c r="AB2940" s="14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</row>
    <row r="2941" ht="14.25" customHeight="1">
      <c r="AA2941" s="7">
        <f t="shared" si="2"/>
        <v>43847</v>
      </c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</row>
    <row r="2942" ht="14.25" customHeight="1">
      <c r="AA2942" s="7">
        <f t="shared" si="2"/>
        <v>43848</v>
      </c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</row>
    <row r="2943" ht="14.25" customHeight="1">
      <c r="AA2943" s="7">
        <f t="shared" si="2"/>
        <v>43849</v>
      </c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</row>
    <row r="2944" ht="14.25" customHeight="1">
      <c r="AA2944" s="7">
        <f t="shared" si="2"/>
        <v>43850</v>
      </c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</row>
    <row r="2945" ht="14.25" customHeight="1">
      <c r="AA2945" s="7">
        <f t="shared" si="2"/>
        <v>43851</v>
      </c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</row>
    <row r="2946" ht="14.25" customHeight="1">
      <c r="AA2946" s="7">
        <f t="shared" si="2"/>
        <v>43852</v>
      </c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</row>
    <row r="2947" ht="14.25" customHeight="1">
      <c r="AA2947" s="7">
        <f t="shared" si="2"/>
        <v>43853</v>
      </c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</row>
    <row r="2948" ht="14.25" customHeight="1">
      <c r="AA2948" s="7">
        <f t="shared" si="2"/>
        <v>43854</v>
      </c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</row>
    <row r="2949" ht="14.25" customHeight="1">
      <c r="AA2949" s="7">
        <f t="shared" si="2"/>
        <v>43855</v>
      </c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</row>
    <row r="2950" ht="14.25" customHeight="1">
      <c r="AA2950" s="7">
        <f t="shared" si="2"/>
        <v>43856</v>
      </c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</row>
    <row r="2951" ht="14.25" customHeight="1">
      <c r="AA2951" s="7">
        <f t="shared" si="2"/>
        <v>43857</v>
      </c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</row>
    <row r="2952" ht="14.25" customHeight="1">
      <c r="AA2952" s="7">
        <f t="shared" si="2"/>
        <v>43858</v>
      </c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</row>
    <row r="2953" ht="14.25" customHeight="1">
      <c r="AA2953" s="7">
        <f t="shared" si="2"/>
        <v>43859</v>
      </c>
      <c r="AB2953" s="14"/>
      <c r="AC2953" s="14"/>
      <c r="AD2953" s="14"/>
      <c r="AE2953" s="14"/>
      <c r="AF2953" s="14"/>
      <c r="AG2953" s="14"/>
      <c r="AH2953" s="14"/>
      <c r="AI2953" s="14"/>
      <c r="AJ2953" s="14"/>
      <c r="AK2953" s="14"/>
      <c r="AL2953" s="14"/>
      <c r="AM2953" s="14"/>
    </row>
    <row r="2954" ht="14.25" customHeight="1">
      <c r="AA2954" s="7">
        <f t="shared" si="2"/>
        <v>43860</v>
      </c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</row>
    <row r="2955" ht="14.25" customHeight="1">
      <c r="AA2955" s="7">
        <f t="shared" si="2"/>
        <v>43861</v>
      </c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</row>
    <row r="2956" ht="14.25" customHeight="1">
      <c r="AA2956" s="7">
        <f t="shared" si="2"/>
        <v>43862</v>
      </c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</row>
    <row r="2957" ht="14.25" customHeight="1">
      <c r="AA2957" s="7">
        <f t="shared" si="2"/>
        <v>43863</v>
      </c>
      <c r="AB2957" s="14"/>
      <c r="AC2957" s="14"/>
      <c r="AD2957" s="14"/>
      <c r="AE2957" s="14"/>
      <c r="AF2957" s="14"/>
      <c r="AG2957" s="14"/>
      <c r="AH2957" s="14"/>
      <c r="AI2957" s="14"/>
      <c r="AJ2957" s="14"/>
      <c r="AK2957" s="14"/>
      <c r="AL2957" s="14"/>
      <c r="AM2957" s="14"/>
    </row>
    <row r="2958" ht="14.25" customHeight="1">
      <c r="AA2958" s="7">
        <f t="shared" si="2"/>
        <v>43864</v>
      </c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</row>
    <row r="2959" ht="14.25" customHeight="1">
      <c r="AA2959" s="7">
        <f t="shared" si="2"/>
        <v>43865</v>
      </c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</row>
    <row r="2960" ht="14.25" customHeight="1">
      <c r="AA2960" s="7">
        <f t="shared" si="2"/>
        <v>43866</v>
      </c>
      <c r="AB2960" s="14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</row>
    <row r="2961" ht="14.25" customHeight="1">
      <c r="AA2961" s="7">
        <f t="shared" si="2"/>
        <v>43867</v>
      </c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</row>
    <row r="2962" ht="14.25" customHeight="1">
      <c r="AA2962" s="7">
        <f t="shared" si="2"/>
        <v>43868</v>
      </c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</row>
    <row r="2963" ht="14.25" customHeight="1">
      <c r="AA2963" s="7">
        <f t="shared" si="2"/>
        <v>43869</v>
      </c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</row>
    <row r="2964" ht="14.25" customHeight="1">
      <c r="AA2964" s="7">
        <f t="shared" si="2"/>
        <v>43870</v>
      </c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</row>
    <row r="2965" ht="14.25" customHeight="1">
      <c r="AA2965" s="7">
        <f t="shared" si="2"/>
        <v>43871</v>
      </c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</row>
    <row r="2966" ht="14.25" customHeight="1">
      <c r="AA2966" s="7">
        <f t="shared" si="2"/>
        <v>43872</v>
      </c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</row>
    <row r="2967" ht="14.25" customHeight="1">
      <c r="AA2967" s="7">
        <f t="shared" si="2"/>
        <v>43873</v>
      </c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</row>
    <row r="2968" ht="14.25" customHeight="1">
      <c r="AA2968" s="7">
        <f t="shared" si="2"/>
        <v>43874</v>
      </c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</row>
    <row r="2969" ht="14.25" customHeight="1">
      <c r="AA2969" s="7">
        <f t="shared" si="2"/>
        <v>43875</v>
      </c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</row>
    <row r="2970" ht="14.25" customHeight="1">
      <c r="AA2970" s="7">
        <f t="shared" si="2"/>
        <v>43876</v>
      </c>
      <c r="AB2970" s="14"/>
      <c r="AC2970" s="14"/>
      <c r="AD2970" s="14"/>
      <c r="AE2970" s="14"/>
      <c r="AF2970" s="14"/>
      <c r="AG2970" s="14"/>
      <c r="AH2970" s="14"/>
      <c r="AI2970" s="14"/>
      <c r="AJ2970" s="14"/>
      <c r="AK2970" s="14"/>
      <c r="AL2970" s="14"/>
      <c r="AM2970" s="14"/>
    </row>
    <row r="2971" ht="14.25" customHeight="1">
      <c r="AA2971" s="7">
        <f t="shared" si="2"/>
        <v>43877</v>
      </c>
      <c r="AB2971" s="14"/>
      <c r="AC2971" s="14"/>
      <c r="AD2971" s="14"/>
      <c r="AE2971" s="14"/>
      <c r="AF2971" s="14"/>
      <c r="AG2971" s="14"/>
      <c r="AH2971" s="14"/>
      <c r="AI2971" s="14"/>
      <c r="AJ2971" s="14"/>
      <c r="AK2971" s="14"/>
      <c r="AL2971" s="14"/>
      <c r="AM2971" s="14"/>
    </row>
    <row r="2972" ht="14.25" customHeight="1">
      <c r="AA2972" s="7">
        <f t="shared" si="2"/>
        <v>43878</v>
      </c>
      <c r="AB2972" s="14"/>
      <c r="AC2972" s="14"/>
      <c r="AD2972" s="14"/>
      <c r="AE2972" s="14"/>
      <c r="AF2972" s="14"/>
      <c r="AG2972" s="14"/>
      <c r="AH2972" s="14"/>
      <c r="AI2972" s="14"/>
      <c r="AJ2972" s="14"/>
      <c r="AK2972" s="14"/>
      <c r="AL2972" s="14"/>
      <c r="AM2972" s="14"/>
    </row>
    <row r="2973" ht="14.25" customHeight="1">
      <c r="AA2973" s="7">
        <f t="shared" si="2"/>
        <v>43879</v>
      </c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</row>
    <row r="2974" ht="14.25" customHeight="1">
      <c r="AA2974" s="7">
        <f t="shared" si="2"/>
        <v>43880</v>
      </c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</row>
    <row r="2975" ht="14.25" customHeight="1">
      <c r="AA2975" s="7">
        <f t="shared" si="2"/>
        <v>43881</v>
      </c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</row>
    <row r="2976" ht="14.25" customHeight="1">
      <c r="AA2976" s="7">
        <f t="shared" si="2"/>
        <v>43882</v>
      </c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</row>
    <row r="2977" ht="14.25" customHeight="1">
      <c r="AA2977" s="7">
        <f t="shared" si="2"/>
        <v>43883</v>
      </c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</row>
    <row r="2978" ht="14.25" customHeight="1">
      <c r="AA2978" s="7">
        <f t="shared" si="2"/>
        <v>43884</v>
      </c>
      <c r="AB2978" s="14"/>
      <c r="AC2978" s="14"/>
      <c r="AD2978" s="14"/>
      <c r="AE2978" s="14"/>
      <c r="AF2978" s="14"/>
      <c r="AG2978" s="14"/>
      <c r="AH2978" s="14"/>
      <c r="AI2978" s="14"/>
      <c r="AJ2978" s="14"/>
      <c r="AK2978" s="14"/>
      <c r="AL2978" s="14"/>
      <c r="AM2978" s="14"/>
    </row>
    <row r="2979" ht="14.25" customHeight="1">
      <c r="AA2979" s="7">
        <f t="shared" si="2"/>
        <v>43885</v>
      </c>
      <c r="AB2979" s="14"/>
      <c r="AC2979" s="14"/>
      <c r="AD2979" s="14"/>
      <c r="AE2979" s="14"/>
      <c r="AF2979" s="14"/>
      <c r="AG2979" s="14"/>
      <c r="AH2979" s="14"/>
      <c r="AI2979" s="14"/>
      <c r="AJ2979" s="14"/>
      <c r="AK2979" s="14"/>
      <c r="AL2979" s="14"/>
      <c r="AM2979" s="14"/>
    </row>
    <row r="2980" ht="14.25" customHeight="1">
      <c r="AA2980" s="7">
        <f t="shared" si="2"/>
        <v>43886</v>
      </c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</row>
    <row r="2981" ht="14.25" customHeight="1">
      <c r="AA2981" s="7">
        <f t="shared" si="2"/>
        <v>43887</v>
      </c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</row>
    <row r="2982" ht="14.25" customHeight="1">
      <c r="AA2982" s="7">
        <f t="shared" si="2"/>
        <v>43888</v>
      </c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</row>
    <row r="2983" ht="14.25" customHeight="1">
      <c r="AA2983" s="7">
        <f t="shared" si="2"/>
        <v>43889</v>
      </c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</row>
    <row r="2984" ht="14.25" customHeight="1">
      <c r="AA2984" s="7">
        <f t="shared" si="2"/>
        <v>43890</v>
      </c>
      <c r="AB2984" s="14"/>
      <c r="AC2984" s="14"/>
      <c r="AD2984" s="14"/>
      <c r="AE2984" s="14"/>
      <c r="AF2984" s="14"/>
      <c r="AG2984" s="14"/>
      <c r="AH2984" s="14"/>
      <c r="AI2984" s="14"/>
      <c r="AJ2984" s="14"/>
      <c r="AK2984" s="14"/>
      <c r="AL2984" s="14"/>
      <c r="AM2984" s="14"/>
    </row>
    <row r="2985" ht="14.25" customHeight="1">
      <c r="AA2985" s="7">
        <f t="shared" si="2"/>
        <v>43891</v>
      </c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</row>
    <row r="2986" ht="14.25" customHeight="1">
      <c r="AA2986" s="7">
        <f t="shared" si="2"/>
        <v>43892</v>
      </c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</row>
    <row r="2987" ht="14.25" customHeight="1">
      <c r="AA2987" s="7">
        <f t="shared" si="2"/>
        <v>43893</v>
      </c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</row>
    <row r="2988" ht="14.25" customHeight="1">
      <c r="AA2988" s="7">
        <f t="shared" si="2"/>
        <v>43894</v>
      </c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</row>
    <row r="2989" ht="14.25" customHeight="1">
      <c r="AA2989" s="7">
        <f t="shared" si="2"/>
        <v>43895</v>
      </c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</row>
    <row r="2990" ht="14.25" customHeight="1">
      <c r="AA2990" s="7">
        <f t="shared" si="2"/>
        <v>43896</v>
      </c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</row>
    <row r="2991" ht="14.25" customHeight="1">
      <c r="AA2991" s="7">
        <f t="shared" si="2"/>
        <v>43897</v>
      </c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</row>
    <row r="2992" ht="14.25" customHeight="1">
      <c r="AA2992" s="7">
        <f t="shared" si="2"/>
        <v>43898</v>
      </c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</row>
    <row r="2993" ht="14.25" customHeight="1">
      <c r="AA2993" s="7">
        <f t="shared" si="2"/>
        <v>43899</v>
      </c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</row>
    <row r="2994" ht="14.25" customHeight="1">
      <c r="AA2994" s="7">
        <f t="shared" si="2"/>
        <v>43900</v>
      </c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</row>
    <row r="2995" ht="14.25" customHeight="1">
      <c r="AA2995" s="7">
        <f t="shared" si="2"/>
        <v>43901</v>
      </c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</row>
    <row r="2996" ht="14.25" customHeight="1">
      <c r="AA2996" s="7">
        <f t="shared" si="2"/>
        <v>43902</v>
      </c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</row>
    <row r="2997" ht="14.25" customHeight="1">
      <c r="AA2997" s="7">
        <f t="shared" si="2"/>
        <v>43903</v>
      </c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</row>
    <row r="2998" ht="14.25" customHeight="1">
      <c r="AA2998" s="7">
        <f t="shared" si="2"/>
        <v>43904</v>
      </c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</row>
    <row r="2999" ht="14.25" customHeight="1">
      <c r="AA2999" s="7">
        <f t="shared" si="2"/>
        <v>43905</v>
      </c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</row>
    <row r="3000" ht="14.25" customHeight="1">
      <c r="AA3000" s="7">
        <f t="shared" si="2"/>
        <v>43906</v>
      </c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</row>
    <row r="3001" ht="14.25" customHeight="1">
      <c r="AA3001" s="7">
        <f t="shared" si="2"/>
        <v>43907</v>
      </c>
      <c r="AB3001" s="14"/>
      <c r="AC3001" s="14"/>
      <c r="AD3001" s="14"/>
      <c r="AE3001" s="14"/>
      <c r="AF3001" s="14"/>
      <c r="AG3001" s="14"/>
      <c r="AH3001" s="14"/>
      <c r="AI3001" s="14"/>
      <c r="AJ3001" s="14"/>
      <c r="AK3001" s="14"/>
      <c r="AL3001" s="14"/>
      <c r="AM3001" s="14"/>
    </row>
    <row r="3002" ht="14.25" customHeight="1">
      <c r="AA3002" s="7">
        <f t="shared" si="2"/>
        <v>43908</v>
      </c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</row>
    <row r="3003" ht="14.25" customHeight="1">
      <c r="AA3003" s="7">
        <f t="shared" si="2"/>
        <v>43909</v>
      </c>
      <c r="AB3003" s="14"/>
      <c r="AC3003" s="14"/>
      <c r="AD3003" s="14"/>
      <c r="AE3003" s="14"/>
      <c r="AF3003" s="14"/>
      <c r="AG3003" s="14"/>
      <c r="AH3003" s="14"/>
      <c r="AI3003" s="14"/>
      <c r="AJ3003" s="14"/>
      <c r="AK3003" s="14"/>
      <c r="AL3003" s="14"/>
      <c r="AM3003" s="14"/>
    </row>
    <row r="3004" ht="14.25" customHeight="1">
      <c r="AA3004" s="7">
        <f t="shared" si="2"/>
        <v>43910</v>
      </c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</row>
    <row r="3005" ht="14.25" customHeight="1">
      <c r="AA3005" s="7">
        <f t="shared" si="2"/>
        <v>43911</v>
      </c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</row>
    <row r="3006" ht="14.25" customHeight="1">
      <c r="AA3006" s="7">
        <f t="shared" si="2"/>
        <v>43912</v>
      </c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</row>
    <row r="3007" ht="14.25" customHeight="1">
      <c r="AA3007" s="7">
        <f t="shared" si="2"/>
        <v>43913</v>
      </c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</row>
    <row r="3008" ht="14.25" customHeight="1">
      <c r="AA3008" s="7">
        <f t="shared" si="2"/>
        <v>43914</v>
      </c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</row>
    <row r="3009" ht="14.25" customHeight="1">
      <c r="AA3009" s="7">
        <f t="shared" si="2"/>
        <v>43915</v>
      </c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</row>
    <row r="3010" ht="14.25" customHeight="1">
      <c r="AA3010" s="7">
        <f t="shared" si="2"/>
        <v>43916</v>
      </c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</row>
    <row r="3011" ht="14.25" customHeight="1">
      <c r="AA3011" s="7">
        <f t="shared" si="2"/>
        <v>43917</v>
      </c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</row>
    <row r="3012" ht="14.25" customHeight="1">
      <c r="AA3012" s="7">
        <f t="shared" si="2"/>
        <v>43918</v>
      </c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</row>
    <row r="3013" ht="14.25" customHeight="1">
      <c r="AA3013" s="7">
        <f t="shared" si="2"/>
        <v>43919</v>
      </c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</row>
    <row r="3014" ht="14.25" customHeight="1">
      <c r="AA3014" s="7">
        <f t="shared" si="2"/>
        <v>43920</v>
      </c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</row>
    <row r="3015" ht="14.25" customHeight="1">
      <c r="AA3015" s="7">
        <f t="shared" si="2"/>
        <v>43921</v>
      </c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</row>
    <row r="3016" ht="14.25" customHeight="1">
      <c r="AA3016" s="7">
        <f t="shared" si="2"/>
        <v>43922</v>
      </c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</row>
    <row r="3017" ht="14.25" customHeight="1">
      <c r="AA3017" s="7">
        <f t="shared" si="2"/>
        <v>43923</v>
      </c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</row>
    <row r="3018" ht="14.25" customHeight="1">
      <c r="AA3018" s="7">
        <f t="shared" si="2"/>
        <v>43924</v>
      </c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</row>
    <row r="3019" ht="14.25" customHeight="1">
      <c r="AA3019" s="7">
        <f t="shared" si="2"/>
        <v>43925</v>
      </c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</row>
    <row r="3020" ht="14.25" customHeight="1">
      <c r="AA3020" s="7">
        <f t="shared" si="2"/>
        <v>43926</v>
      </c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</row>
    <row r="3021" ht="14.25" customHeight="1">
      <c r="AA3021" s="7">
        <f t="shared" si="2"/>
        <v>43927</v>
      </c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</row>
    <row r="3022" ht="14.25" customHeight="1">
      <c r="AA3022" s="7">
        <f t="shared" si="2"/>
        <v>43928</v>
      </c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</row>
    <row r="3023" ht="14.25" customHeight="1">
      <c r="AA3023" s="7">
        <f t="shared" si="2"/>
        <v>43929</v>
      </c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</row>
    <row r="3024" ht="14.25" customHeight="1">
      <c r="AA3024" s="7">
        <f t="shared" si="2"/>
        <v>43930</v>
      </c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</row>
    <row r="3025" ht="14.25" customHeight="1">
      <c r="AA3025" s="7">
        <f t="shared" si="2"/>
        <v>43931</v>
      </c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</row>
    <row r="3026" ht="14.25" customHeight="1">
      <c r="AA3026" s="7">
        <f t="shared" si="2"/>
        <v>43932</v>
      </c>
      <c r="AB3026" s="14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</row>
    <row r="3027" ht="14.25" customHeight="1">
      <c r="AA3027" s="7">
        <f t="shared" si="2"/>
        <v>43933</v>
      </c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</row>
    <row r="3028" ht="14.25" customHeight="1">
      <c r="AA3028" s="7">
        <f t="shared" si="2"/>
        <v>43934</v>
      </c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</row>
    <row r="3029" ht="14.25" customHeight="1">
      <c r="AA3029" s="7">
        <f t="shared" si="2"/>
        <v>43935</v>
      </c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</row>
    <row r="3030" ht="14.25" customHeight="1">
      <c r="AA3030" s="7">
        <f t="shared" si="2"/>
        <v>43936</v>
      </c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</row>
    <row r="3031" ht="14.25" customHeight="1">
      <c r="AA3031" s="7">
        <f t="shared" si="2"/>
        <v>43937</v>
      </c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</row>
    <row r="3032" ht="14.25" customHeight="1">
      <c r="AA3032" s="7">
        <f t="shared" si="2"/>
        <v>43938</v>
      </c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</row>
    <row r="3033" ht="14.25" customHeight="1">
      <c r="AA3033" s="7">
        <f t="shared" si="2"/>
        <v>43939</v>
      </c>
      <c r="AB3033" s="14"/>
      <c r="AC3033" s="14"/>
      <c r="AD3033" s="14"/>
      <c r="AE3033" s="14"/>
      <c r="AF3033" s="14"/>
      <c r="AG3033" s="14"/>
      <c r="AH3033" s="14"/>
      <c r="AI3033" s="14"/>
      <c r="AJ3033" s="14"/>
      <c r="AK3033" s="14"/>
      <c r="AL3033" s="14"/>
      <c r="AM3033" s="14"/>
    </row>
    <row r="3034" ht="14.25" customHeight="1">
      <c r="AA3034" s="7">
        <f t="shared" si="2"/>
        <v>43940</v>
      </c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</row>
    <row r="3035" ht="14.25" customHeight="1">
      <c r="AA3035" s="7">
        <f t="shared" si="2"/>
        <v>43941</v>
      </c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</row>
    <row r="3036" ht="14.25" customHeight="1">
      <c r="AA3036" s="7">
        <f t="shared" si="2"/>
        <v>43942</v>
      </c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</row>
    <row r="3037" ht="14.25" customHeight="1">
      <c r="AA3037" s="7">
        <f t="shared" si="2"/>
        <v>43943</v>
      </c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</row>
    <row r="3038" ht="14.25" customHeight="1">
      <c r="AA3038" s="7">
        <f t="shared" si="2"/>
        <v>43944</v>
      </c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</row>
    <row r="3039" ht="14.25" customHeight="1">
      <c r="AA3039" s="7">
        <f t="shared" si="2"/>
        <v>43945</v>
      </c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</row>
    <row r="3040" ht="14.25" customHeight="1">
      <c r="AA3040" s="7">
        <f t="shared" si="2"/>
        <v>43946</v>
      </c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</row>
    <row r="3041" ht="14.25" customHeight="1">
      <c r="AA3041" s="7">
        <f t="shared" si="2"/>
        <v>43947</v>
      </c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</row>
    <row r="3042" ht="14.25" customHeight="1">
      <c r="AA3042" s="7">
        <f t="shared" si="2"/>
        <v>43948</v>
      </c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</row>
    <row r="3043" ht="14.25" customHeight="1">
      <c r="AA3043" s="7">
        <f t="shared" si="2"/>
        <v>43949</v>
      </c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</row>
    <row r="3044" ht="14.25" customHeight="1">
      <c r="AA3044" s="7">
        <f t="shared" si="2"/>
        <v>43950</v>
      </c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</row>
    <row r="3045" ht="14.25" customHeight="1">
      <c r="AA3045" s="7">
        <f t="shared" si="2"/>
        <v>43951</v>
      </c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</row>
    <row r="3046" ht="14.25" customHeight="1">
      <c r="AA3046" s="7">
        <f t="shared" si="2"/>
        <v>43952</v>
      </c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</row>
    <row r="3047" ht="14.25" customHeight="1">
      <c r="AA3047" s="7">
        <f t="shared" si="2"/>
        <v>43953</v>
      </c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</row>
    <row r="3048" ht="14.25" customHeight="1">
      <c r="AA3048" s="7">
        <f t="shared" si="2"/>
        <v>43954</v>
      </c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</row>
    <row r="3049" ht="14.25" customHeight="1">
      <c r="AA3049" s="7">
        <f t="shared" si="2"/>
        <v>43955</v>
      </c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</row>
    <row r="3050" ht="14.25" customHeight="1">
      <c r="AA3050" s="7">
        <f t="shared" si="2"/>
        <v>43956</v>
      </c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</row>
    <row r="3051" ht="14.25" customHeight="1">
      <c r="AA3051" s="7">
        <f t="shared" si="2"/>
        <v>43957</v>
      </c>
      <c r="AB3051" s="14"/>
      <c r="AC3051" s="14"/>
      <c r="AD3051" s="14"/>
      <c r="AE3051" s="14"/>
      <c r="AF3051" s="14"/>
      <c r="AG3051" s="14"/>
      <c r="AH3051" s="14"/>
      <c r="AI3051" s="14"/>
      <c r="AJ3051" s="14"/>
      <c r="AK3051" s="14"/>
      <c r="AL3051" s="14"/>
      <c r="AM3051" s="14"/>
    </row>
    <row r="3052" ht="14.25" customHeight="1">
      <c r="AA3052" s="7">
        <f t="shared" si="2"/>
        <v>43958</v>
      </c>
      <c r="AB3052" s="14"/>
      <c r="AC3052" s="14"/>
      <c r="AD3052" s="14"/>
      <c r="AE3052" s="14"/>
      <c r="AF3052" s="14"/>
      <c r="AG3052" s="14"/>
      <c r="AH3052" s="14"/>
      <c r="AI3052" s="14"/>
      <c r="AJ3052" s="14"/>
      <c r="AK3052" s="14"/>
      <c r="AL3052" s="14"/>
      <c r="AM3052" s="14"/>
    </row>
    <row r="3053" ht="14.25" customHeight="1">
      <c r="AA3053" s="7">
        <f t="shared" si="2"/>
        <v>43959</v>
      </c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</row>
    <row r="3054" ht="14.25" customHeight="1">
      <c r="AA3054" s="7">
        <f t="shared" si="2"/>
        <v>43960</v>
      </c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</row>
    <row r="3055" ht="14.25" customHeight="1">
      <c r="AA3055" s="7">
        <f t="shared" si="2"/>
        <v>43961</v>
      </c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</row>
    <row r="3056" ht="14.25" customHeight="1">
      <c r="AA3056" s="7">
        <f t="shared" si="2"/>
        <v>43962</v>
      </c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</row>
    <row r="3057" ht="14.25" customHeight="1">
      <c r="AA3057" s="7">
        <f t="shared" si="2"/>
        <v>43963</v>
      </c>
      <c r="AB3057" s="14"/>
      <c r="AC3057" s="14"/>
      <c r="AD3057" s="14"/>
      <c r="AE3057" s="14"/>
      <c r="AF3057" s="14"/>
      <c r="AG3057" s="14"/>
      <c r="AH3057" s="14"/>
      <c r="AI3057" s="14"/>
      <c r="AJ3057" s="14"/>
      <c r="AK3057" s="14"/>
      <c r="AL3057" s="14"/>
      <c r="AM3057" s="14"/>
    </row>
    <row r="3058" ht="14.25" customHeight="1">
      <c r="AA3058" s="7">
        <f t="shared" si="2"/>
        <v>43964</v>
      </c>
      <c r="AB3058" s="14"/>
      <c r="AC3058" s="14"/>
      <c r="AD3058" s="14"/>
      <c r="AE3058" s="14"/>
      <c r="AF3058" s="14"/>
      <c r="AG3058" s="14"/>
      <c r="AH3058" s="14"/>
      <c r="AI3058" s="14"/>
      <c r="AJ3058" s="14"/>
      <c r="AK3058" s="14"/>
      <c r="AL3058" s="14"/>
      <c r="AM3058" s="14"/>
    </row>
    <row r="3059" ht="14.25" customHeight="1">
      <c r="AA3059" s="7">
        <f t="shared" si="2"/>
        <v>43965</v>
      </c>
      <c r="AB3059" s="14"/>
      <c r="AC3059" s="14"/>
      <c r="AD3059" s="14"/>
      <c r="AE3059" s="14"/>
      <c r="AF3059" s="14"/>
      <c r="AG3059" s="14"/>
      <c r="AH3059" s="14"/>
      <c r="AI3059" s="14"/>
      <c r="AJ3059" s="14"/>
      <c r="AK3059" s="14"/>
      <c r="AL3059" s="14"/>
      <c r="AM3059" s="14"/>
    </row>
    <row r="3060" ht="14.25" customHeight="1">
      <c r="AA3060" s="7">
        <f t="shared" si="2"/>
        <v>43966</v>
      </c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</row>
    <row r="3061" ht="14.25" customHeight="1">
      <c r="AA3061" s="7">
        <f t="shared" si="2"/>
        <v>43967</v>
      </c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14"/>
      <c r="AM3061" s="14"/>
    </row>
    <row r="3062" ht="14.25" customHeight="1">
      <c r="AA3062" s="7">
        <f t="shared" si="2"/>
        <v>43968</v>
      </c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</row>
    <row r="3063" ht="14.25" customHeight="1">
      <c r="AA3063" s="7">
        <f t="shared" si="2"/>
        <v>43969</v>
      </c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</row>
    <row r="3064" ht="14.25" customHeight="1">
      <c r="AA3064" s="7">
        <f t="shared" si="2"/>
        <v>43970</v>
      </c>
      <c r="AB3064" s="14"/>
      <c r="AC3064" s="14"/>
      <c r="AD3064" s="14"/>
      <c r="AE3064" s="14"/>
      <c r="AF3064" s="14"/>
      <c r="AG3064" s="14"/>
      <c r="AH3064" s="14"/>
      <c r="AI3064" s="14"/>
      <c r="AJ3064" s="14"/>
      <c r="AK3064" s="14"/>
      <c r="AL3064" s="14"/>
      <c r="AM3064" s="14"/>
    </row>
    <row r="3065" ht="14.25" customHeight="1">
      <c r="AA3065" s="7">
        <f t="shared" si="2"/>
        <v>43971</v>
      </c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</row>
    <row r="3066" ht="14.25" customHeight="1">
      <c r="AA3066" s="7">
        <f t="shared" si="2"/>
        <v>43972</v>
      </c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</row>
    <row r="3067" ht="14.25" customHeight="1">
      <c r="AA3067" s="7">
        <f t="shared" si="2"/>
        <v>43973</v>
      </c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</row>
    <row r="3068" ht="14.25" customHeight="1">
      <c r="AA3068" s="7">
        <f t="shared" si="2"/>
        <v>43974</v>
      </c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</row>
    <row r="3069" ht="14.25" customHeight="1">
      <c r="AA3069" s="7">
        <f t="shared" si="2"/>
        <v>43975</v>
      </c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</row>
    <row r="3070" ht="14.25" customHeight="1">
      <c r="AA3070" s="7">
        <f t="shared" si="2"/>
        <v>43976</v>
      </c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</row>
    <row r="3071" ht="14.25" customHeight="1">
      <c r="AA3071" s="7">
        <f t="shared" si="2"/>
        <v>43977</v>
      </c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</row>
    <row r="3072" ht="14.25" customHeight="1">
      <c r="AA3072" s="7">
        <f t="shared" si="2"/>
        <v>43978</v>
      </c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14"/>
      <c r="AM3072" s="14"/>
    </row>
    <row r="3073" ht="14.25" customHeight="1">
      <c r="AA3073" s="7">
        <f t="shared" si="2"/>
        <v>43979</v>
      </c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</row>
    <row r="3074" ht="14.25" customHeight="1">
      <c r="AA3074" s="7">
        <f t="shared" si="2"/>
        <v>43980</v>
      </c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</row>
    <row r="3075" ht="14.25" customHeight="1">
      <c r="AA3075" s="7">
        <f t="shared" si="2"/>
        <v>43981</v>
      </c>
      <c r="AB3075" s="14"/>
      <c r="AC3075" s="14"/>
      <c r="AD3075" s="14"/>
      <c r="AE3075" s="14"/>
      <c r="AF3075" s="14"/>
      <c r="AG3075" s="14"/>
      <c r="AH3075" s="14"/>
      <c r="AI3075" s="14"/>
      <c r="AJ3075" s="14"/>
      <c r="AK3075" s="14"/>
      <c r="AL3075" s="14"/>
      <c r="AM3075" s="14"/>
    </row>
    <row r="3076" ht="14.25" customHeight="1">
      <c r="AA3076" s="7">
        <f t="shared" si="2"/>
        <v>43982</v>
      </c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</row>
    <row r="3077" ht="14.25" customHeight="1">
      <c r="AA3077" s="7">
        <f t="shared" si="2"/>
        <v>43983</v>
      </c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</row>
    <row r="3078" ht="14.25" customHeight="1">
      <c r="AA3078" s="7">
        <f t="shared" si="2"/>
        <v>43984</v>
      </c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</row>
    <row r="3079" ht="14.25" customHeight="1">
      <c r="AA3079" s="7">
        <f t="shared" si="2"/>
        <v>43985</v>
      </c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</row>
    <row r="3080" ht="14.25" customHeight="1">
      <c r="AA3080" s="7">
        <f t="shared" si="2"/>
        <v>43986</v>
      </c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</row>
    <row r="3081" ht="14.25" customHeight="1">
      <c r="AA3081" s="7">
        <f t="shared" si="2"/>
        <v>43987</v>
      </c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</row>
    <row r="3082" ht="14.25" customHeight="1">
      <c r="AA3082" s="7">
        <f t="shared" si="2"/>
        <v>43988</v>
      </c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</row>
    <row r="3083" ht="14.25" customHeight="1">
      <c r="AA3083" s="7">
        <f t="shared" si="2"/>
        <v>43989</v>
      </c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</row>
    <row r="3084" ht="14.25" customHeight="1">
      <c r="AA3084" s="7">
        <f t="shared" si="2"/>
        <v>43990</v>
      </c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</row>
    <row r="3085" ht="14.25" customHeight="1">
      <c r="AA3085" s="7">
        <f t="shared" si="2"/>
        <v>43991</v>
      </c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</row>
    <row r="3086" ht="14.25" customHeight="1">
      <c r="AA3086" s="7">
        <f t="shared" si="2"/>
        <v>43992</v>
      </c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</row>
    <row r="3087" ht="14.25" customHeight="1">
      <c r="AA3087" s="7">
        <f t="shared" si="2"/>
        <v>43993</v>
      </c>
      <c r="AB3087" s="14"/>
      <c r="AC3087" s="14"/>
      <c r="AD3087" s="14"/>
      <c r="AE3087" s="14"/>
      <c r="AF3087" s="14"/>
      <c r="AG3087" s="14"/>
      <c r="AH3087" s="14"/>
      <c r="AI3087" s="14"/>
      <c r="AJ3087" s="14"/>
      <c r="AK3087" s="14"/>
      <c r="AL3087" s="14"/>
      <c r="AM3087" s="14"/>
    </row>
    <row r="3088" ht="14.25" customHeight="1">
      <c r="AA3088" s="7">
        <f t="shared" si="2"/>
        <v>43994</v>
      </c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</row>
    <row r="3089" ht="14.25" customHeight="1">
      <c r="AA3089" s="7">
        <f t="shared" si="2"/>
        <v>43995</v>
      </c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</row>
    <row r="3090" ht="14.25" customHeight="1">
      <c r="AA3090" s="7">
        <f t="shared" si="2"/>
        <v>43996</v>
      </c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</row>
    <row r="3091" ht="14.25" customHeight="1">
      <c r="AA3091" s="7">
        <f t="shared" si="2"/>
        <v>43997</v>
      </c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</row>
    <row r="3092" ht="14.25" customHeight="1">
      <c r="AA3092" s="7">
        <f t="shared" si="2"/>
        <v>43998</v>
      </c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14"/>
      <c r="AM3092" s="14"/>
    </row>
    <row r="3093" ht="14.25" customHeight="1">
      <c r="AA3093" s="7">
        <f t="shared" si="2"/>
        <v>43999</v>
      </c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</row>
    <row r="3094" ht="14.25" customHeight="1">
      <c r="AA3094" s="7">
        <f t="shared" si="2"/>
        <v>44000</v>
      </c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</row>
    <row r="3095" ht="14.25" customHeight="1">
      <c r="AA3095" s="7">
        <f t="shared" si="2"/>
        <v>44001</v>
      </c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</row>
    <row r="3096" ht="14.25" customHeight="1">
      <c r="AA3096" s="7">
        <f t="shared" si="2"/>
        <v>44002</v>
      </c>
      <c r="AB3096" s="14"/>
      <c r="AC3096" s="14"/>
      <c r="AD3096" s="14"/>
      <c r="AE3096" s="14"/>
      <c r="AF3096" s="14"/>
      <c r="AG3096" s="14"/>
      <c r="AH3096" s="14"/>
      <c r="AI3096" s="14"/>
      <c r="AJ3096" s="14"/>
      <c r="AK3096" s="14"/>
      <c r="AL3096" s="14"/>
      <c r="AM3096" s="14"/>
    </row>
    <row r="3097" ht="14.25" customHeight="1">
      <c r="AA3097" s="7">
        <f t="shared" si="2"/>
        <v>44003</v>
      </c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</row>
    <row r="3098" ht="14.25" customHeight="1">
      <c r="AA3098" s="7">
        <f t="shared" si="2"/>
        <v>44004</v>
      </c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</row>
    <row r="3099" ht="14.25" customHeight="1">
      <c r="AA3099" s="7">
        <f t="shared" si="2"/>
        <v>44005</v>
      </c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</row>
    <row r="3100" ht="14.25" customHeight="1">
      <c r="AA3100" s="7">
        <f t="shared" si="2"/>
        <v>44006</v>
      </c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</row>
    <row r="3101" ht="14.25" customHeight="1">
      <c r="AA3101" s="7">
        <f t="shared" si="2"/>
        <v>44007</v>
      </c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</row>
    <row r="3102" ht="14.25" customHeight="1">
      <c r="AA3102" s="7">
        <f t="shared" si="2"/>
        <v>44008</v>
      </c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</row>
    <row r="3103" ht="14.25" customHeight="1">
      <c r="AA3103" s="7">
        <f t="shared" si="2"/>
        <v>44009</v>
      </c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</row>
    <row r="3104" ht="14.25" customHeight="1">
      <c r="AA3104" s="7">
        <f t="shared" si="2"/>
        <v>44010</v>
      </c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</row>
    <row r="3105" ht="14.25" customHeight="1">
      <c r="AA3105" s="7">
        <f t="shared" si="2"/>
        <v>44011</v>
      </c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</row>
    <row r="3106" ht="14.25" customHeight="1">
      <c r="AA3106" s="7">
        <f t="shared" si="2"/>
        <v>44012</v>
      </c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</row>
    <row r="3107" ht="14.25" customHeight="1">
      <c r="AA3107" s="7">
        <f t="shared" si="2"/>
        <v>44013</v>
      </c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</row>
    <row r="3108" ht="14.25" customHeight="1">
      <c r="AA3108" s="7">
        <f t="shared" si="2"/>
        <v>44014</v>
      </c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</row>
    <row r="3109" ht="14.25" customHeight="1">
      <c r="AA3109" s="7">
        <f t="shared" si="2"/>
        <v>44015</v>
      </c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</row>
    <row r="3110" ht="14.25" customHeight="1">
      <c r="AA3110" s="7">
        <f t="shared" si="2"/>
        <v>44016</v>
      </c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</row>
    <row r="3111" ht="14.25" customHeight="1">
      <c r="AA3111" s="7">
        <f t="shared" si="2"/>
        <v>44017</v>
      </c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</row>
    <row r="3112" ht="14.25" customHeight="1">
      <c r="AA3112" s="7">
        <f t="shared" si="2"/>
        <v>44018</v>
      </c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</row>
    <row r="3113" ht="14.25" customHeight="1">
      <c r="AA3113" s="7">
        <f t="shared" si="2"/>
        <v>44019</v>
      </c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</row>
    <row r="3114" ht="14.25" customHeight="1">
      <c r="AA3114" s="7">
        <f t="shared" si="2"/>
        <v>44020</v>
      </c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</row>
    <row r="3115" ht="14.25" customHeight="1">
      <c r="AA3115" s="7">
        <f t="shared" si="2"/>
        <v>44021</v>
      </c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</row>
    <row r="3116" ht="14.25" customHeight="1">
      <c r="AA3116" s="7">
        <f t="shared" si="2"/>
        <v>44022</v>
      </c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</row>
    <row r="3117" ht="14.25" customHeight="1">
      <c r="AA3117" s="7">
        <f t="shared" si="2"/>
        <v>44023</v>
      </c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</row>
    <row r="3118" ht="14.25" customHeight="1">
      <c r="AA3118" s="7">
        <f t="shared" si="2"/>
        <v>44024</v>
      </c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</row>
    <row r="3119" ht="14.25" customHeight="1">
      <c r="AA3119" s="7">
        <f t="shared" si="2"/>
        <v>44025</v>
      </c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</row>
    <row r="3120" ht="14.25" customHeight="1">
      <c r="AA3120" s="7">
        <f t="shared" si="2"/>
        <v>44026</v>
      </c>
      <c r="AB3120" s="14"/>
      <c r="AC3120" s="14"/>
      <c r="AD3120" s="14"/>
      <c r="AE3120" s="14"/>
      <c r="AF3120" s="14"/>
      <c r="AG3120" s="14"/>
      <c r="AH3120" s="14"/>
      <c r="AI3120" s="14"/>
      <c r="AJ3120" s="14"/>
      <c r="AK3120" s="14"/>
      <c r="AL3120" s="14"/>
      <c r="AM3120" s="14"/>
    </row>
    <row r="3121" ht="14.25" customHeight="1">
      <c r="AA3121" s="7">
        <f t="shared" si="2"/>
        <v>44027</v>
      </c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</row>
    <row r="3122" ht="14.25" customHeight="1">
      <c r="AA3122" s="7">
        <f t="shared" si="2"/>
        <v>44028</v>
      </c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</row>
    <row r="3123" ht="14.25" customHeight="1">
      <c r="AA3123" s="7">
        <f t="shared" si="2"/>
        <v>44029</v>
      </c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</row>
    <row r="3124" ht="14.25" customHeight="1">
      <c r="AA3124" s="7">
        <f t="shared" si="2"/>
        <v>44030</v>
      </c>
      <c r="AB3124" s="14"/>
      <c r="AC3124" s="14"/>
      <c r="AD3124" s="14"/>
      <c r="AE3124" s="14"/>
      <c r="AF3124" s="14"/>
      <c r="AG3124" s="14"/>
      <c r="AH3124" s="14"/>
      <c r="AI3124" s="14"/>
      <c r="AJ3124" s="14"/>
      <c r="AK3124" s="14"/>
      <c r="AL3124" s="14"/>
      <c r="AM3124" s="14"/>
    </row>
    <row r="3125" ht="14.25" customHeight="1">
      <c r="AA3125" s="7">
        <f t="shared" si="2"/>
        <v>44031</v>
      </c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</row>
    <row r="3126" ht="14.25" customHeight="1">
      <c r="AA3126" s="7">
        <f t="shared" si="2"/>
        <v>44032</v>
      </c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</row>
    <row r="3127" ht="14.25" customHeight="1">
      <c r="AA3127" s="7">
        <f t="shared" si="2"/>
        <v>44033</v>
      </c>
      <c r="AB3127" s="14"/>
      <c r="AC3127" s="14"/>
      <c r="AD3127" s="14"/>
      <c r="AE3127" s="14"/>
      <c r="AF3127" s="14"/>
      <c r="AG3127" s="14"/>
      <c r="AH3127" s="14"/>
      <c r="AI3127" s="14"/>
      <c r="AJ3127" s="14"/>
      <c r="AK3127" s="14"/>
      <c r="AL3127" s="14"/>
      <c r="AM3127" s="14"/>
    </row>
    <row r="3128" ht="14.25" customHeight="1">
      <c r="AA3128" s="7">
        <f t="shared" si="2"/>
        <v>44034</v>
      </c>
      <c r="AB3128" s="14"/>
      <c r="AC3128" s="14"/>
      <c r="AD3128" s="14"/>
      <c r="AE3128" s="14"/>
      <c r="AF3128" s="14"/>
      <c r="AG3128" s="14"/>
      <c r="AH3128" s="14"/>
      <c r="AI3128" s="14"/>
      <c r="AJ3128" s="14"/>
      <c r="AK3128" s="14"/>
      <c r="AL3128" s="14"/>
      <c r="AM3128" s="14"/>
    </row>
    <row r="3129" ht="14.25" customHeight="1">
      <c r="AA3129" s="7">
        <f t="shared" si="2"/>
        <v>44035</v>
      </c>
      <c r="AB3129" s="14"/>
      <c r="AC3129" s="14"/>
      <c r="AD3129" s="14"/>
      <c r="AE3129" s="14"/>
      <c r="AF3129" s="14"/>
      <c r="AG3129" s="14"/>
      <c r="AH3129" s="14"/>
      <c r="AI3129" s="14"/>
      <c r="AJ3129" s="14"/>
      <c r="AK3129" s="14"/>
      <c r="AL3129" s="14"/>
      <c r="AM3129" s="14"/>
    </row>
    <row r="3130" ht="14.25" customHeight="1">
      <c r="AA3130" s="7">
        <f t="shared" si="2"/>
        <v>44036</v>
      </c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</row>
    <row r="3131" ht="14.25" customHeight="1">
      <c r="AA3131" s="7">
        <f t="shared" si="2"/>
        <v>44037</v>
      </c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</row>
    <row r="3132" ht="14.25" customHeight="1">
      <c r="AA3132" s="7">
        <f t="shared" si="2"/>
        <v>44038</v>
      </c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</row>
    <row r="3133" ht="14.25" customHeight="1">
      <c r="AA3133" s="7">
        <f t="shared" si="2"/>
        <v>44039</v>
      </c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</row>
    <row r="3134" ht="14.25" customHeight="1">
      <c r="AA3134" s="7">
        <f t="shared" si="2"/>
        <v>44040</v>
      </c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</row>
    <row r="3135" ht="14.25" customHeight="1">
      <c r="AA3135" s="7">
        <f t="shared" si="2"/>
        <v>44041</v>
      </c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</row>
    <row r="3136" ht="14.25" customHeight="1">
      <c r="AA3136" s="7">
        <f t="shared" si="2"/>
        <v>44042</v>
      </c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</row>
    <row r="3137" ht="14.25" customHeight="1">
      <c r="AA3137" s="7">
        <f t="shared" si="2"/>
        <v>44043</v>
      </c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</row>
    <row r="3138" ht="14.25" customHeight="1">
      <c r="AA3138" s="7">
        <f t="shared" si="2"/>
        <v>44044</v>
      </c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</row>
    <row r="3139" ht="14.25" customHeight="1">
      <c r="AA3139" s="7">
        <f t="shared" si="2"/>
        <v>44045</v>
      </c>
      <c r="AB3139" s="14"/>
      <c r="AC3139" s="14"/>
      <c r="AD3139" s="14"/>
      <c r="AE3139" s="14"/>
      <c r="AF3139" s="14"/>
      <c r="AG3139" s="14"/>
      <c r="AH3139" s="14"/>
      <c r="AI3139" s="14"/>
      <c r="AJ3139" s="14"/>
      <c r="AK3139" s="14"/>
      <c r="AL3139" s="14"/>
      <c r="AM3139" s="14"/>
    </row>
    <row r="3140" ht="14.25" customHeight="1">
      <c r="AA3140" s="7">
        <f t="shared" si="2"/>
        <v>44046</v>
      </c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</row>
    <row r="3141" ht="14.25" customHeight="1">
      <c r="AA3141" s="7">
        <f t="shared" si="2"/>
        <v>44047</v>
      </c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</row>
    <row r="3142" ht="14.25" customHeight="1">
      <c r="AA3142" s="7">
        <f t="shared" si="2"/>
        <v>44048</v>
      </c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</row>
    <row r="3143" ht="14.25" customHeight="1">
      <c r="AA3143" s="7">
        <f t="shared" si="2"/>
        <v>44049</v>
      </c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</row>
    <row r="3144" ht="14.25" customHeight="1">
      <c r="AA3144" s="7">
        <f t="shared" si="2"/>
        <v>44050</v>
      </c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</row>
    <row r="3145" ht="14.25" customHeight="1">
      <c r="AA3145" s="7">
        <f t="shared" si="2"/>
        <v>44051</v>
      </c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</row>
    <row r="3146" ht="14.25" customHeight="1">
      <c r="AA3146" s="7">
        <f t="shared" si="2"/>
        <v>44052</v>
      </c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</row>
    <row r="3147" ht="14.25" customHeight="1">
      <c r="AA3147" s="7">
        <f t="shared" si="2"/>
        <v>44053</v>
      </c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</row>
    <row r="3148" ht="14.25" customHeight="1">
      <c r="AA3148" s="7">
        <f t="shared" si="2"/>
        <v>44054</v>
      </c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</row>
    <row r="3149" ht="14.25" customHeight="1">
      <c r="AA3149" s="7">
        <f t="shared" si="2"/>
        <v>44055</v>
      </c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</row>
    <row r="3150" ht="14.25" customHeight="1">
      <c r="AA3150" s="7">
        <f t="shared" si="2"/>
        <v>44056</v>
      </c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</row>
    <row r="3151" ht="14.25" customHeight="1">
      <c r="AA3151" s="7">
        <f t="shared" si="2"/>
        <v>44057</v>
      </c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</row>
    <row r="3152" ht="14.25" customHeight="1">
      <c r="AA3152" s="7">
        <f t="shared" si="2"/>
        <v>44058</v>
      </c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</row>
    <row r="3153" ht="14.25" customHeight="1">
      <c r="AA3153" s="7">
        <f t="shared" si="2"/>
        <v>44059</v>
      </c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</row>
    <row r="3154" ht="14.25" customHeight="1">
      <c r="AA3154" s="7">
        <f t="shared" si="2"/>
        <v>44060</v>
      </c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</row>
    <row r="3155" ht="14.25" customHeight="1">
      <c r="AA3155" s="7">
        <f t="shared" si="2"/>
        <v>44061</v>
      </c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</row>
    <row r="3156" ht="14.25" customHeight="1">
      <c r="AA3156" s="7">
        <f t="shared" si="2"/>
        <v>44062</v>
      </c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</row>
    <row r="3157" ht="14.25" customHeight="1">
      <c r="AA3157" s="7">
        <f t="shared" si="2"/>
        <v>44063</v>
      </c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</row>
    <row r="3158" ht="14.25" customHeight="1">
      <c r="AA3158" s="7">
        <f t="shared" si="2"/>
        <v>44064</v>
      </c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</row>
    <row r="3159" ht="14.25" customHeight="1">
      <c r="AA3159" s="7">
        <f t="shared" si="2"/>
        <v>44065</v>
      </c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</row>
    <row r="3160" ht="14.25" customHeight="1">
      <c r="AA3160" s="7">
        <f t="shared" si="2"/>
        <v>44066</v>
      </c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</row>
    <row r="3161" ht="14.25" customHeight="1">
      <c r="AA3161" s="7">
        <f t="shared" si="2"/>
        <v>44067</v>
      </c>
      <c r="AB3161" s="14"/>
      <c r="AC3161" s="14"/>
      <c r="AD3161" s="14"/>
      <c r="AE3161" s="14"/>
      <c r="AF3161" s="14"/>
      <c r="AG3161" s="14"/>
      <c r="AH3161" s="14"/>
      <c r="AI3161" s="14"/>
      <c r="AJ3161" s="14"/>
      <c r="AK3161" s="14"/>
      <c r="AL3161" s="14"/>
      <c r="AM3161" s="14"/>
    </row>
    <row r="3162" ht="14.25" customHeight="1">
      <c r="AA3162" s="7">
        <f t="shared" si="2"/>
        <v>44068</v>
      </c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</row>
    <row r="3163" ht="14.25" customHeight="1">
      <c r="AA3163" s="7">
        <f t="shared" si="2"/>
        <v>44069</v>
      </c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</row>
    <row r="3164" ht="14.25" customHeight="1">
      <c r="AA3164" s="7">
        <f t="shared" si="2"/>
        <v>44070</v>
      </c>
      <c r="AB3164" s="14"/>
      <c r="AC3164" s="14"/>
      <c r="AD3164" s="14"/>
      <c r="AE3164" s="14"/>
      <c r="AF3164" s="14"/>
      <c r="AG3164" s="14"/>
      <c r="AH3164" s="14"/>
      <c r="AI3164" s="14"/>
      <c r="AJ3164" s="14"/>
      <c r="AK3164" s="14"/>
      <c r="AL3164" s="14"/>
      <c r="AM3164" s="14"/>
    </row>
    <row r="3165" ht="14.25" customHeight="1">
      <c r="AA3165" s="7">
        <f t="shared" si="2"/>
        <v>44071</v>
      </c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</row>
    <row r="3166" ht="14.25" customHeight="1">
      <c r="AA3166" s="7">
        <f t="shared" si="2"/>
        <v>44072</v>
      </c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</row>
    <row r="3167" ht="14.25" customHeight="1">
      <c r="AA3167" s="7">
        <f t="shared" si="2"/>
        <v>44073</v>
      </c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</row>
    <row r="3168" ht="14.25" customHeight="1">
      <c r="AA3168" s="7">
        <f t="shared" si="2"/>
        <v>44074</v>
      </c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</row>
    <row r="3169" ht="14.25" customHeight="1">
      <c r="AA3169" s="7">
        <f t="shared" si="2"/>
        <v>44075</v>
      </c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</row>
    <row r="3170" ht="14.25" customHeight="1">
      <c r="AA3170" s="7">
        <f t="shared" si="2"/>
        <v>44076</v>
      </c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</row>
    <row r="3171" ht="14.25" customHeight="1">
      <c r="AA3171" s="7">
        <f t="shared" si="2"/>
        <v>44077</v>
      </c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</row>
    <row r="3172" ht="14.25" customHeight="1">
      <c r="AA3172" s="7">
        <f t="shared" si="2"/>
        <v>44078</v>
      </c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</row>
    <row r="3173" ht="14.25" customHeight="1">
      <c r="AA3173" s="7">
        <f t="shared" si="2"/>
        <v>44079</v>
      </c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</row>
    <row r="3174" ht="14.25" customHeight="1">
      <c r="AA3174" s="7">
        <f t="shared" si="2"/>
        <v>44080</v>
      </c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</row>
    <row r="3175" ht="14.25" customHeight="1">
      <c r="AA3175" s="7">
        <f t="shared" si="2"/>
        <v>44081</v>
      </c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</row>
    <row r="3176" ht="14.25" customHeight="1">
      <c r="AA3176" s="7">
        <f t="shared" si="2"/>
        <v>44082</v>
      </c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</row>
    <row r="3177" ht="14.25" customHeight="1">
      <c r="AA3177" s="7">
        <f t="shared" si="2"/>
        <v>44083</v>
      </c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</row>
    <row r="3178" ht="14.25" customHeight="1">
      <c r="AA3178" s="7">
        <f t="shared" si="2"/>
        <v>44084</v>
      </c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</row>
    <row r="3179" ht="14.25" customHeight="1">
      <c r="AA3179" s="7">
        <f t="shared" si="2"/>
        <v>44085</v>
      </c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</row>
    <row r="3180" ht="14.25" customHeight="1">
      <c r="AA3180" s="7">
        <f t="shared" si="2"/>
        <v>44086</v>
      </c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</row>
    <row r="3181" ht="14.25" customHeight="1">
      <c r="AA3181" s="7">
        <f t="shared" si="2"/>
        <v>44087</v>
      </c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</row>
    <row r="3182" ht="14.25" customHeight="1">
      <c r="AA3182" s="7">
        <f t="shared" si="2"/>
        <v>44088</v>
      </c>
      <c r="AB3182" s="14"/>
      <c r="AC3182" s="14"/>
      <c r="AD3182" s="14"/>
      <c r="AE3182" s="14"/>
      <c r="AF3182" s="14"/>
      <c r="AG3182" s="14"/>
      <c r="AH3182" s="14"/>
      <c r="AI3182" s="14"/>
      <c r="AJ3182" s="14"/>
      <c r="AK3182" s="14"/>
      <c r="AL3182" s="14"/>
      <c r="AM3182" s="14"/>
    </row>
    <row r="3183" ht="14.25" customHeight="1">
      <c r="AA3183" s="7">
        <f t="shared" si="2"/>
        <v>44089</v>
      </c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</row>
    <row r="3184" ht="14.25" customHeight="1">
      <c r="AA3184" s="7">
        <f t="shared" si="2"/>
        <v>44090</v>
      </c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</row>
    <row r="3185" ht="14.25" customHeight="1">
      <c r="AA3185" s="7">
        <f t="shared" si="2"/>
        <v>44091</v>
      </c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</row>
    <row r="3186" ht="14.25" customHeight="1">
      <c r="AA3186" s="7">
        <f t="shared" si="2"/>
        <v>44092</v>
      </c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</row>
    <row r="3187" ht="14.25" customHeight="1">
      <c r="AA3187" s="7">
        <f t="shared" si="2"/>
        <v>44093</v>
      </c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</row>
    <row r="3188" ht="14.25" customHeight="1">
      <c r="AA3188" s="7">
        <f t="shared" si="2"/>
        <v>44094</v>
      </c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</row>
    <row r="3189" ht="14.25" customHeight="1">
      <c r="AA3189" s="7">
        <f t="shared" si="2"/>
        <v>44095</v>
      </c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</row>
    <row r="3190" ht="14.25" customHeight="1">
      <c r="AA3190" s="7">
        <f t="shared" si="2"/>
        <v>44096</v>
      </c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</row>
    <row r="3191" ht="14.25" customHeight="1">
      <c r="AA3191" s="7">
        <f t="shared" si="2"/>
        <v>44097</v>
      </c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</row>
    <row r="3192" ht="14.25" customHeight="1">
      <c r="AA3192" s="7">
        <f t="shared" si="2"/>
        <v>44098</v>
      </c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</row>
    <row r="3193" ht="14.25" customHeight="1">
      <c r="AA3193" s="7">
        <f t="shared" si="2"/>
        <v>44099</v>
      </c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</row>
    <row r="3194" ht="14.25" customHeight="1">
      <c r="AA3194" s="7">
        <f t="shared" si="2"/>
        <v>44100</v>
      </c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</row>
    <row r="3195" ht="14.25" customHeight="1">
      <c r="AA3195" s="7">
        <f t="shared" si="2"/>
        <v>44101</v>
      </c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</row>
    <row r="3196" ht="14.25" customHeight="1">
      <c r="AA3196" s="7">
        <f t="shared" si="2"/>
        <v>44102</v>
      </c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</row>
    <row r="3197" ht="14.25" customHeight="1">
      <c r="AA3197" s="7">
        <f t="shared" si="2"/>
        <v>44103</v>
      </c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</row>
    <row r="3198" ht="14.25" customHeight="1">
      <c r="AA3198" s="7">
        <f t="shared" si="2"/>
        <v>44104</v>
      </c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</row>
    <row r="3199" ht="14.25" customHeight="1">
      <c r="AA3199" s="7">
        <f t="shared" si="2"/>
        <v>44105</v>
      </c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</row>
    <row r="3200" ht="14.25" customHeight="1">
      <c r="AA3200" s="7">
        <f t="shared" si="2"/>
        <v>44106</v>
      </c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</row>
    <row r="3201" ht="14.25" customHeight="1">
      <c r="AA3201" s="7">
        <f t="shared" si="2"/>
        <v>44107</v>
      </c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</row>
    <row r="3202" ht="14.25" customHeight="1">
      <c r="AA3202" s="7">
        <f t="shared" si="2"/>
        <v>44108</v>
      </c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</row>
    <row r="3203" ht="14.25" customHeight="1">
      <c r="AA3203" s="7">
        <f t="shared" si="2"/>
        <v>44109</v>
      </c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</row>
    <row r="3204" ht="14.25" customHeight="1">
      <c r="AA3204" s="7">
        <f t="shared" si="2"/>
        <v>44110</v>
      </c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</row>
    <row r="3205" ht="14.25" customHeight="1">
      <c r="AA3205" s="7">
        <f t="shared" si="2"/>
        <v>44111</v>
      </c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</row>
    <row r="3206" ht="14.25" customHeight="1">
      <c r="AA3206" s="7">
        <f t="shared" si="2"/>
        <v>44112</v>
      </c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</row>
    <row r="3207" ht="14.25" customHeight="1">
      <c r="AA3207" s="7">
        <f t="shared" si="2"/>
        <v>44113</v>
      </c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</row>
    <row r="3208" ht="14.25" customHeight="1">
      <c r="AA3208" s="7">
        <f t="shared" si="2"/>
        <v>44114</v>
      </c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</row>
    <row r="3209" ht="14.25" customHeight="1">
      <c r="AA3209" s="7">
        <f t="shared" si="2"/>
        <v>44115</v>
      </c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</row>
    <row r="3210" ht="14.25" customHeight="1">
      <c r="AA3210" s="7">
        <f t="shared" si="2"/>
        <v>44116</v>
      </c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</row>
    <row r="3211" ht="14.25" customHeight="1">
      <c r="AA3211" s="7">
        <f t="shared" si="2"/>
        <v>44117</v>
      </c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</row>
    <row r="3212" ht="14.25" customHeight="1">
      <c r="AA3212" s="7">
        <f t="shared" si="2"/>
        <v>44118</v>
      </c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</row>
    <row r="3213" ht="14.25" customHeight="1">
      <c r="AA3213" s="7">
        <f t="shared" si="2"/>
        <v>44119</v>
      </c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</row>
    <row r="3214" ht="14.25" customHeight="1">
      <c r="AA3214" s="7">
        <f t="shared" si="2"/>
        <v>44120</v>
      </c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</row>
    <row r="3215" ht="14.25" customHeight="1">
      <c r="AA3215" s="7">
        <f t="shared" si="2"/>
        <v>44121</v>
      </c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</row>
    <row r="3216" ht="14.25" customHeight="1">
      <c r="AA3216" s="7">
        <f t="shared" si="2"/>
        <v>44122</v>
      </c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</row>
    <row r="3217" ht="14.25" customHeight="1">
      <c r="AA3217" s="7">
        <f t="shared" si="2"/>
        <v>44123</v>
      </c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</row>
    <row r="3218" ht="14.25" customHeight="1">
      <c r="AA3218" s="7">
        <f t="shared" si="2"/>
        <v>44124</v>
      </c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</row>
    <row r="3219" ht="14.25" customHeight="1">
      <c r="AA3219" s="7">
        <f t="shared" si="2"/>
        <v>44125</v>
      </c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</row>
    <row r="3220" ht="14.25" customHeight="1">
      <c r="AA3220" s="7">
        <f t="shared" si="2"/>
        <v>44126</v>
      </c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</row>
    <row r="3221" ht="14.25" customHeight="1">
      <c r="AA3221" s="7">
        <f t="shared" si="2"/>
        <v>44127</v>
      </c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</row>
    <row r="3222" ht="14.25" customHeight="1">
      <c r="AA3222" s="7">
        <f t="shared" si="2"/>
        <v>44128</v>
      </c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</row>
    <row r="3223" ht="14.25" customHeight="1">
      <c r="AA3223" s="7">
        <f t="shared" si="2"/>
        <v>44129</v>
      </c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</row>
    <row r="3224" ht="14.25" customHeight="1">
      <c r="AA3224" s="7">
        <f t="shared" si="2"/>
        <v>44130</v>
      </c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</row>
    <row r="3225" ht="14.25" customHeight="1">
      <c r="AA3225" s="7">
        <f t="shared" si="2"/>
        <v>44131</v>
      </c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</row>
    <row r="3226" ht="14.25" customHeight="1">
      <c r="AA3226" s="7">
        <f t="shared" si="2"/>
        <v>44132</v>
      </c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</row>
    <row r="3227" ht="14.25" customHeight="1">
      <c r="AA3227" s="7">
        <f t="shared" si="2"/>
        <v>44133</v>
      </c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</row>
    <row r="3228" ht="14.25" customHeight="1">
      <c r="AA3228" s="7">
        <f t="shared" si="2"/>
        <v>44134</v>
      </c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</row>
    <row r="3229" ht="14.25" customHeight="1">
      <c r="AA3229" s="7">
        <f t="shared" si="2"/>
        <v>44135</v>
      </c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</row>
    <row r="3230" ht="14.25" customHeight="1">
      <c r="AA3230" s="7">
        <f t="shared" si="2"/>
        <v>44136</v>
      </c>
      <c r="AB3230" s="14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</row>
    <row r="3231" ht="14.25" customHeight="1">
      <c r="AA3231" s="7">
        <f t="shared" si="2"/>
        <v>44137</v>
      </c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</row>
    <row r="3232" ht="14.25" customHeight="1">
      <c r="AA3232" s="7">
        <f t="shared" si="2"/>
        <v>44138</v>
      </c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</row>
    <row r="3233" ht="14.25" customHeight="1">
      <c r="AA3233" s="7">
        <f t="shared" si="2"/>
        <v>44139</v>
      </c>
      <c r="AB3233" s="14"/>
      <c r="AC3233" s="14"/>
      <c r="AD3233" s="14"/>
      <c r="AE3233" s="14"/>
      <c r="AF3233" s="14"/>
      <c r="AG3233" s="14"/>
      <c r="AH3233" s="14"/>
      <c r="AI3233" s="14"/>
      <c r="AJ3233" s="14"/>
      <c r="AK3233" s="14"/>
      <c r="AL3233" s="14"/>
      <c r="AM3233" s="14"/>
    </row>
    <row r="3234" ht="14.25" customHeight="1">
      <c r="AA3234" s="7">
        <f t="shared" si="2"/>
        <v>44140</v>
      </c>
      <c r="AB3234" s="14"/>
      <c r="AC3234" s="14"/>
      <c r="AD3234" s="14"/>
      <c r="AE3234" s="14"/>
      <c r="AF3234" s="14"/>
      <c r="AG3234" s="14"/>
      <c r="AH3234" s="14"/>
      <c r="AI3234" s="14"/>
      <c r="AJ3234" s="14"/>
      <c r="AK3234" s="14"/>
      <c r="AL3234" s="14"/>
      <c r="AM3234" s="14"/>
    </row>
    <row r="3235" ht="14.25" customHeight="1">
      <c r="AA3235" s="7">
        <f t="shared" si="2"/>
        <v>44141</v>
      </c>
      <c r="AB3235" s="14"/>
      <c r="AC3235" s="14"/>
      <c r="AD3235" s="14"/>
      <c r="AE3235" s="14"/>
      <c r="AF3235" s="14"/>
      <c r="AG3235" s="14"/>
      <c r="AH3235" s="14"/>
      <c r="AI3235" s="14"/>
      <c r="AJ3235" s="14"/>
      <c r="AK3235" s="14"/>
      <c r="AL3235" s="14"/>
      <c r="AM3235" s="14"/>
    </row>
    <row r="3236" ht="14.25" customHeight="1">
      <c r="AA3236" s="7">
        <f t="shared" si="2"/>
        <v>44142</v>
      </c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</row>
    <row r="3237" ht="14.25" customHeight="1">
      <c r="AA3237" s="7">
        <f t="shared" si="2"/>
        <v>44143</v>
      </c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</row>
    <row r="3238" ht="14.25" customHeight="1">
      <c r="AA3238" s="7">
        <f t="shared" si="2"/>
        <v>44144</v>
      </c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</row>
    <row r="3239" ht="14.25" customHeight="1">
      <c r="AA3239" s="7">
        <f t="shared" si="2"/>
        <v>44145</v>
      </c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</row>
    <row r="3240" ht="14.25" customHeight="1">
      <c r="AA3240" s="7">
        <f t="shared" si="2"/>
        <v>44146</v>
      </c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</row>
    <row r="3241" ht="14.25" customHeight="1">
      <c r="AA3241" s="7">
        <f t="shared" si="2"/>
        <v>44147</v>
      </c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</row>
    <row r="3242" ht="14.25" customHeight="1">
      <c r="AA3242" s="7">
        <f t="shared" si="2"/>
        <v>44148</v>
      </c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</row>
    <row r="3243" ht="14.25" customHeight="1">
      <c r="AA3243" s="7">
        <f t="shared" si="2"/>
        <v>44149</v>
      </c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</row>
    <row r="3244" ht="14.25" customHeight="1">
      <c r="AA3244" s="7">
        <f t="shared" si="2"/>
        <v>44150</v>
      </c>
      <c r="AB3244" s="14"/>
      <c r="AC3244" s="14"/>
      <c r="AD3244" s="14"/>
      <c r="AE3244" s="14"/>
      <c r="AF3244" s="14"/>
      <c r="AG3244" s="14"/>
      <c r="AH3244" s="14"/>
      <c r="AI3244" s="14"/>
      <c r="AJ3244" s="14"/>
      <c r="AK3244" s="14"/>
      <c r="AL3244" s="14"/>
      <c r="AM3244" s="14"/>
    </row>
    <row r="3245" ht="14.25" customHeight="1">
      <c r="AA3245" s="7">
        <f t="shared" si="2"/>
        <v>44151</v>
      </c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</row>
    <row r="3246" ht="14.25" customHeight="1">
      <c r="AA3246" s="7">
        <f t="shared" si="2"/>
        <v>44152</v>
      </c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</row>
    <row r="3247" ht="14.25" customHeight="1">
      <c r="AA3247" s="7">
        <f t="shared" si="2"/>
        <v>44153</v>
      </c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</row>
    <row r="3248" ht="14.25" customHeight="1">
      <c r="AA3248" s="7">
        <f t="shared" si="2"/>
        <v>44154</v>
      </c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</row>
    <row r="3249" ht="14.25" customHeight="1">
      <c r="AA3249" s="7">
        <f t="shared" si="2"/>
        <v>44155</v>
      </c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</row>
    <row r="3250" ht="14.25" customHeight="1">
      <c r="AA3250" s="7">
        <f t="shared" si="2"/>
        <v>44156</v>
      </c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</row>
    <row r="3251" ht="14.25" customHeight="1">
      <c r="AA3251" s="7">
        <f t="shared" si="2"/>
        <v>44157</v>
      </c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</row>
    <row r="3252" ht="14.25" customHeight="1">
      <c r="AA3252" s="7">
        <f t="shared" si="2"/>
        <v>44158</v>
      </c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</row>
    <row r="3253" ht="14.25" customHeight="1">
      <c r="AA3253" s="7">
        <f t="shared" si="2"/>
        <v>44159</v>
      </c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</row>
    <row r="3254" ht="14.25" customHeight="1">
      <c r="AA3254" s="7">
        <f t="shared" si="2"/>
        <v>44160</v>
      </c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</row>
    <row r="3255" ht="14.25" customHeight="1">
      <c r="AA3255" s="7">
        <f t="shared" si="2"/>
        <v>44161</v>
      </c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</row>
    <row r="3256" ht="14.25" customHeight="1">
      <c r="AA3256" s="7">
        <f t="shared" si="2"/>
        <v>44162</v>
      </c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</row>
    <row r="3257" ht="14.25" customHeight="1">
      <c r="AA3257" s="7">
        <f t="shared" si="2"/>
        <v>44163</v>
      </c>
      <c r="AB3257" s="14"/>
      <c r="AC3257" s="14"/>
      <c r="AD3257" s="14"/>
      <c r="AE3257" s="14"/>
      <c r="AF3257" s="14"/>
      <c r="AG3257" s="14"/>
      <c r="AH3257" s="14"/>
      <c r="AI3257" s="14"/>
      <c r="AJ3257" s="14"/>
      <c r="AK3257" s="14"/>
      <c r="AL3257" s="14"/>
      <c r="AM3257" s="14"/>
    </row>
    <row r="3258" ht="14.25" customHeight="1">
      <c r="AA3258" s="7">
        <f t="shared" si="2"/>
        <v>44164</v>
      </c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</row>
    <row r="3259" ht="14.25" customHeight="1">
      <c r="AA3259" s="7">
        <f t="shared" si="2"/>
        <v>44165</v>
      </c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</row>
    <row r="3260" ht="14.25" customHeight="1">
      <c r="AA3260" s="7">
        <f t="shared" si="2"/>
        <v>44166</v>
      </c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</row>
    <row r="3261" ht="14.25" customHeight="1">
      <c r="AA3261" s="7">
        <f t="shared" si="2"/>
        <v>44167</v>
      </c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</row>
    <row r="3262" ht="14.25" customHeight="1">
      <c r="AA3262" s="7">
        <f t="shared" si="2"/>
        <v>44168</v>
      </c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</row>
    <row r="3263" ht="14.25" customHeight="1">
      <c r="AA3263" s="7">
        <f t="shared" si="2"/>
        <v>44169</v>
      </c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</row>
    <row r="3264" ht="14.25" customHeight="1">
      <c r="AA3264" s="7">
        <f t="shared" si="2"/>
        <v>44170</v>
      </c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</row>
    <row r="3265" ht="14.25" customHeight="1">
      <c r="AA3265" s="7">
        <f t="shared" si="2"/>
        <v>44171</v>
      </c>
      <c r="AB3265" s="14"/>
      <c r="AC3265" s="14"/>
      <c r="AD3265" s="14"/>
      <c r="AE3265" s="14"/>
      <c r="AF3265" s="14"/>
      <c r="AG3265" s="14"/>
      <c r="AH3265" s="14"/>
      <c r="AI3265" s="14"/>
      <c r="AJ3265" s="14"/>
      <c r="AK3265" s="14"/>
      <c r="AL3265" s="14"/>
      <c r="AM3265" s="14"/>
    </row>
    <row r="3266" ht="14.25" customHeight="1">
      <c r="AA3266" s="7">
        <f t="shared" si="2"/>
        <v>44172</v>
      </c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</row>
    <row r="3267" ht="14.25" customHeight="1">
      <c r="AA3267" s="7">
        <f t="shared" si="2"/>
        <v>44173</v>
      </c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</row>
    <row r="3268" ht="14.25" customHeight="1">
      <c r="AA3268" s="7">
        <f t="shared" si="2"/>
        <v>44174</v>
      </c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</row>
    <row r="3269" ht="14.25" customHeight="1">
      <c r="AA3269" s="7">
        <f t="shared" si="2"/>
        <v>44175</v>
      </c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</row>
    <row r="3270" ht="14.25" customHeight="1">
      <c r="AA3270" s="7">
        <f t="shared" si="2"/>
        <v>44176</v>
      </c>
      <c r="AB3270" s="14"/>
      <c r="AC3270" s="14"/>
      <c r="AD3270" s="14"/>
      <c r="AE3270" s="14"/>
      <c r="AF3270" s="14"/>
      <c r="AG3270" s="14"/>
      <c r="AH3270" s="14"/>
      <c r="AI3270" s="14"/>
      <c r="AJ3270" s="14"/>
      <c r="AK3270" s="14"/>
      <c r="AL3270" s="14"/>
      <c r="AM3270" s="14"/>
    </row>
    <row r="3271" ht="14.25" customHeight="1">
      <c r="AA3271" s="7">
        <f t="shared" si="2"/>
        <v>44177</v>
      </c>
      <c r="AB3271" s="14"/>
      <c r="AC3271" s="14"/>
      <c r="AD3271" s="14"/>
      <c r="AE3271" s="14"/>
      <c r="AF3271" s="14"/>
      <c r="AG3271" s="14"/>
      <c r="AH3271" s="14"/>
      <c r="AI3271" s="14"/>
      <c r="AJ3271" s="14"/>
      <c r="AK3271" s="14"/>
      <c r="AL3271" s="14"/>
      <c r="AM3271" s="14"/>
    </row>
    <row r="3272" ht="14.25" customHeight="1">
      <c r="AA3272" s="7">
        <f t="shared" si="2"/>
        <v>44178</v>
      </c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</row>
    <row r="3273" ht="14.25" customHeight="1">
      <c r="AA3273" s="7">
        <f t="shared" si="2"/>
        <v>44179</v>
      </c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</row>
    <row r="3274" ht="14.25" customHeight="1">
      <c r="AA3274" s="7">
        <f t="shared" si="2"/>
        <v>44180</v>
      </c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</row>
    <row r="3275" ht="14.25" customHeight="1">
      <c r="AA3275" s="7">
        <f t="shared" si="2"/>
        <v>44181</v>
      </c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</row>
    <row r="3276" ht="14.25" customHeight="1">
      <c r="AA3276" s="7">
        <f t="shared" si="2"/>
        <v>44182</v>
      </c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</row>
    <row r="3277" ht="14.25" customHeight="1">
      <c r="AA3277" s="7">
        <f t="shared" si="2"/>
        <v>44183</v>
      </c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</row>
    <row r="3278" ht="14.25" customHeight="1">
      <c r="AA3278" s="7">
        <f t="shared" si="2"/>
        <v>44184</v>
      </c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</row>
    <row r="3279" ht="14.25" customHeight="1">
      <c r="AA3279" s="7">
        <f t="shared" si="2"/>
        <v>44185</v>
      </c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</row>
    <row r="3280" ht="14.25" customHeight="1">
      <c r="AA3280" s="7">
        <f t="shared" si="2"/>
        <v>44186</v>
      </c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</row>
    <row r="3281" ht="14.25" customHeight="1">
      <c r="AA3281" s="7">
        <f t="shared" si="2"/>
        <v>44187</v>
      </c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</row>
    <row r="3282" ht="14.25" customHeight="1">
      <c r="AA3282" s="7">
        <f t="shared" si="2"/>
        <v>44188</v>
      </c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</row>
    <row r="3283" ht="14.25" customHeight="1">
      <c r="AA3283" s="7">
        <f t="shared" si="2"/>
        <v>44189</v>
      </c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</row>
    <row r="3284" ht="14.25" customHeight="1">
      <c r="AA3284" s="7">
        <f t="shared" si="2"/>
        <v>44190</v>
      </c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</row>
    <row r="3285" ht="14.25" customHeight="1">
      <c r="AA3285" s="7">
        <f t="shared" si="2"/>
        <v>44191</v>
      </c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</row>
    <row r="3286" ht="14.25" customHeight="1">
      <c r="AA3286" s="7">
        <f t="shared" si="2"/>
        <v>44192</v>
      </c>
      <c r="AB3286" s="14"/>
      <c r="AC3286" s="14"/>
      <c r="AD3286" s="14"/>
      <c r="AE3286" s="14"/>
      <c r="AF3286" s="14"/>
      <c r="AG3286" s="14"/>
      <c r="AH3286" s="14"/>
      <c r="AI3286" s="14"/>
      <c r="AJ3286" s="14"/>
      <c r="AK3286" s="14"/>
      <c r="AL3286" s="14"/>
      <c r="AM3286" s="14"/>
    </row>
    <row r="3287" ht="14.25" customHeight="1">
      <c r="AA3287" s="7">
        <f t="shared" si="2"/>
        <v>44193</v>
      </c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</row>
    <row r="3288" ht="14.25" customHeight="1">
      <c r="AA3288" s="7">
        <f t="shared" si="2"/>
        <v>44194</v>
      </c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</row>
    <row r="3289" ht="14.25" customHeight="1">
      <c r="AA3289" s="7">
        <f t="shared" si="2"/>
        <v>44195</v>
      </c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</row>
    <row r="3290" ht="14.25" customHeight="1">
      <c r="AA3290" s="7">
        <f t="shared" si="2"/>
        <v>44196</v>
      </c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</row>
    <row r="3291" ht="14.25" customHeight="1">
      <c r="AA3291" s="7">
        <f t="shared" si="2"/>
        <v>44197</v>
      </c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</row>
    <row r="3292" ht="14.25" customHeight="1">
      <c r="AA3292" s="7">
        <f t="shared" si="2"/>
        <v>44198</v>
      </c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</row>
    <row r="3293" ht="14.25" customHeight="1">
      <c r="AA3293" s="7">
        <f t="shared" si="2"/>
        <v>44199</v>
      </c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</row>
    <row r="3294" ht="14.25" customHeight="1">
      <c r="AA3294" s="7">
        <f t="shared" si="2"/>
        <v>44200</v>
      </c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</row>
    <row r="3295" ht="14.25" customHeight="1">
      <c r="AA3295" s="7">
        <f t="shared" si="2"/>
        <v>44201</v>
      </c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</row>
    <row r="3296" ht="14.25" customHeight="1">
      <c r="AA3296" s="7">
        <f t="shared" si="2"/>
        <v>44202</v>
      </c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</row>
    <row r="3297" ht="14.25" customHeight="1">
      <c r="AA3297" s="7">
        <f t="shared" si="2"/>
        <v>44203</v>
      </c>
      <c r="AB3297" s="14"/>
      <c r="AC3297" s="14"/>
      <c r="AD3297" s="14"/>
      <c r="AE3297" s="14"/>
      <c r="AF3297" s="14"/>
      <c r="AG3297" s="14"/>
      <c r="AH3297" s="14"/>
      <c r="AI3297" s="14"/>
      <c r="AJ3297" s="14"/>
      <c r="AK3297" s="14"/>
      <c r="AL3297" s="14"/>
      <c r="AM3297" s="14"/>
    </row>
    <row r="3298" ht="14.25" customHeight="1">
      <c r="AA3298" s="7">
        <f t="shared" si="2"/>
        <v>44204</v>
      </c>
      <c r="AB3298" s="14"/>
      <c r="AC3298" s="14"/>
      <c r="AD3298" s="14"/>
      <c r="AE3298" s="14"/>
      <c r="AF3298" s="14"/>
      <c r="AG3298" s="14"/>
      <c r="AH3298" s="14"/>
      <c r="AI3298" s="14"/>
      <c r="AJ3298" s="14"/>
      <c r="AK3298" s="14"/>
      <c r="AL3298" s="14"/>
      <c r="AM3298" s="14"/>
    </row>
    <row r="3299" ht="14.25" customHeight="1">
      <c r="AA3299" s="7">
        <f t="shared" si="2"/>
        <v>44205</v>
      </c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</row>
    <row r="3300" ht="14.25" customHeight="1">
      <c r="AA3300" s="7">
        <f t="shared" si="2"/>
        <v>44206</v>
      </c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</row>
    <row r="3301" ht="14.25" customHeight="1">
      <c r="AA3301" s="7">
        <f t="shared" si="2"/>
        <v>44207</v>
      </c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</row>
    <row r="3302" ht="14.25" customHeight="1">
      <c r="AA3302" s="7">
        <f t="shared" si="2"/>
        <v>44208</v>
      </c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</row>
    <row r="3303" ht="14.25" customHeight="1">
      <c r="AA3303" s="7">
        <f t="shared" si="2"/>
        <v>44209</v>
      </c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</row>
    <row r="3304" ht="14.25" customHeight="1">
      <c r="AA3304" s="7">
        <f t="shared" si="2"/>
        <v>44210</v>
      </c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</row>
    <row r="3305" ht="14.25" customHeight="1">
      <c r="AA3305" s="7">
        <f t="shared" si="2"/>
        <v>44211</v>
      </c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</row>
    <row r="3306" ht="14.25" customHeight="1">
      <c r="AA3306" s="7">
        <f t="shared" si="2"/>
        <v>44212</v>
      </c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</row>
    <row r="3307" ht="14.25" customHeight="1">
      <c r="AA3307" s="7">
        <f t="shared" si="2"/>
        <v>44213</v>
      </c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</row>
    <row r="3308" ht="14.25" customHeight="1">
      <c r="AA3308" s="7">
        <f t="shared" si="2"/>
        <v>44214</v>
      </c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</row>
    <row r="3309" ht="14.25" customHeight="1">
      <c r="AA3309" s="7">
        <f t="shared" si="2"/>
        <v>44215</v>
      </c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</row>
    <row r="3310" ht="14.25" customHeight="1">
      <c r="AA3310" s="7">
        <f t="shared" si="2"/>
        <v>44216</v>
      </c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</row>
    <row r="3311" ht="14.25" customHeight="1">
      <c r="AA3311" s="7">
        <f t="shared" si="2"/>
        <v>44217</v>
      </c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</row>
    <row r="3312" ht="14.25" customHeight="1">
      <c r="AA3312" s="7">
        <f t="shared" si="2"/>
        <v>44218</v>
      </c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</row>
    <row r="3313" ht="14.25" customHeight="1">
      <c r="AA3313" s="7">
        <f t="shared" si="2"/>
        <v>44219</v>
      </c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</row>
    <row r="3314" ht="14.25" customHeight="1">
      <c r="AA3314" s="7">
        <f t="shared" si="2"/>
        <v>44220</v>
      </c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</row>
    <row r="3315" ht="14.25" customHeight="1">
      <c r="AA3315" s="7">
        <f t="shared" si="2"/>
        <v>44221</v>
      </c>
      <c r="AB3315" s="14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</row>
    <row r="3316" ht="14.25" customHeight="1">
      <c r="AA3316" s="7">
        <f t="shared" si="2"/>
        <v>44222</v>
      </c>
      <c r="AB3316" s="14"/>
      <c r="AC3316" s="14"/>
      <c r="AD3316" s="14"/>
      <c r="AE3316" s="14"/>
      <c r="AF3316" s="14"/>
      <c r="AG3316" s="14"/>
      <c r="AH3316" s="14"/>
      <c r="AI3316" s="14"/>
      <c r="AJ3316" s="14"/>
      <c r="AK3316" s="14"/>
      <c r="AL3316" s="14"/>
      <c r="AM3316" s="14"/>
    </row>
    <row r="3317" ht="14.25" customHeight="1">
      <c r="AA3317" s="7">
        <f t="shared" si="2"/>
        <v>44223</v>
      </c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</row>
    <row r="3318" ht="14.25" customHeight="1">
      <c r="AA3318" s="7">
        <f t="shared" si="2"/>
        <v>44224</v>
      </c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</row>
    <row r="3319" ht="14.25" customHeight="1">
      <c r="AA3319" s="7">
        <f t="shared" si="2"/>
        <v>44225</v>
      </c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</row>
    <row r="3320" ht="14.25" customHeight="1">
      <c r="AA3320" s="7">
        <f t="shared" si="2"/>
        <v>44226</v>
      </c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</row>
    <row r="3321" ht="14.25" customHeight="1">
      <c r="AA3321" s="7">
        <f t="shared" si="2"/>
        <v>44227</v>
      </c>
      <c r="AB3321" s="14"/>
      <c r="AC3321" s="14"/>
      <c r="AD3321" s="14"/>
      <c r="AE3321" s="14"/>
      <c r="AF3321" s="14"/>
      <c r="AG3321" s="14"/>
      <c r="AH3321" s="14"/>
      <c r="AI3321" s="14"/>
      <c r="AJ3321" s="14"/>
      <c r="AK3321" s="14"/>
      <c r="AL3321" s="14"/>
      <c r="AM3321" s="14"/>
    </row>
    <row r="3322" ht="14.25" customHeight="1">
      <c r="AA3322" s="7">
        <f t="shared" si="2"/>
        <v>44228</v>
      </c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</row>
    <row r="3323" ht="14.25" customHeight="1">
      <c r="AA3323" s="7">
        <f t="shared" si="2"/>
        <v>44229</v>
      </c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</row>
    <row r="3324" ht="14.25" customHeight="1">
      <c r="AA3324" s="7">
        <f t="shared" si="2"/>
        <v>44230</v>
      </c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</row>
    <row r="3325" ht="14.25" customHeight="1">
      <c r="AA3325" s="7">
        <f t="shared" si="2"/>
        <v>44231</v>
      </c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</row>
    <row r="3326" ht="14.25" customHeight="1">
      <c r="AA3326" s="7">
        <f t="shared" si="2"/>
        <v>44232</v>
      </c>
      <c r="AB3326" s="14"/>
      <c r="AC3326" s="14"/>
      <c r="AD3326" s="14"/>
      <c r="AE3326" s="14"/>
      <c r="AF3326" s="14"/>
      <c r="AG3326" s="14"/>
      <c r="AH3326" s="14"/>
      <c r="AI3326" s="14"/>
      <c r="AJ3326" s="14"/>
      <c r="AK3326" s="14"/>
      <c r="AL3326" s="14"/>
      <c r="AM3326" s="14"/>
    </row>
    <row r="3327" ht="14.25" customHeight="1">
      <c r="AA3327" s="7">
        <f t="shared" si="2"/>
        <v>44233</v>
      </c>
      <c r="AB3327" s="14"/>
      <c r="AC3327" s="14"/>
      <c r="AD3327" s="14"/>
      <c r="AE3327" s="14"/>
      <c r="AF3327" s="14"/>
      <c r="AG3327" s="14"/>
      <c r="AH3327" s="14"/>
      <c r="AI3327" s="14"/>
      <c r="AJ3327" s="14"/>
      <c r="AK3327" s="14"/>
      <c r="AL3327" s="14"/>
      <c r="AM3327" s="14"/>
    </row>
    <row r="3328" ht="14.25" customHeight="1">
      <c r="AA3328" s="7">
        <f t="shared" si="2"/>
        <v>44234</v>
      </c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</row>
    <row r="3329" ht="14.25" customHeight="1">
      <c r="AA3329" s="7">
        <f t="shared" si="2"/>
        <v>44235</v>
      </c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</row>
    <row r="3330" ht="14.25" customHeight="1">
      <c r="AA3330" s="7">
        <f t="shared" si="2"/>
        <v>44236</v>
      </c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</row>
    <row r="3331" ht="14.25" customHeight="1">
      <c r="AA3331" s="7">
        <f t="shared" si="2"/>
        <v>44237</v>
      </c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</row>
    <row r="3332" ht="14.25" customHeight="1">
      <c r="AA3332" s="7">
        <f t="shared" si="2"/>
        <v>44238</v>
      </c>
      <c r="AB3332" s="14"/>
      <c r="AC3332" s="14"/>
      <c r="AD3332" s="14"/>
      <c r="AE3332" s="14"/>
      <c r="AF3332" s="14"/>
      <c r="AG3332" s="14"/>
      <c r="AH3332" s="14"/>
      <c r="AI3332" s="14"/>
      <c r="AJ3332" s="14"/>
      <c r="AK3332" s="14"/>
      <c r="AL3332" s="14"/>
      <c r="AM3332" s="14"/>
    </row>
    <row r="3333" ht="14.25" customHeight="1">
      <c r="AA3333" s="7">
        <f t="shared" si="2"/>
        <v>44239</v>
      </c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</row>
    <row r="3334" ht="14.25" customHeight="1">
      <c r="AA3334" s="7">
        <f t="shared" si="2"/>
        <v>44240</v>
      </c>
      <c r="AB3334" s="14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</row>
    <row r="3335" ht="14.25" customHeight="1">
      <c r="AA3335" s="7">
        <f t="shared" si="2"/>
        <v>44241</v>
      </c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</row>
    <row r="3336" ht="14.25" customHeight="1">
      <c r="AA3336" s="7">
        <f t="shared" si="2"/>
        <v>44242</v>
      </c>
      <c r="AB3336" s="14"/>
      <c r="AC3336" s="14"/>
      <c r="AD3336" s="14"/>
      <c r="AE3336" s="14"/>
      <c r="AF3336" s="14"/>
      <c r="AG3336" s="14"/>
      <c r="AH3336" s="14"/>
      <c r="AI3336" s="14"/>
      <c r="AJ3336" s="14"/>
      <c r="AK3336" s="14"/>
      <c r="AL3336" s="14"/>
      <c r="AM3336" s="14"/>
    </row>
    <row r="3337" ht="14.25" customHeight="1">
      <c r="AA3337" s="7">
        <f t="shared" si="2"/>
        <v>44243</v>
      </c>
      <c r="AB3337" s="14"/>
      <c r="AC3337" s="14"/>
      <c r="AD3337" s="14"/>
      <c r="AE3337" s="14"/>
      <c r="AF3337" s="14"/>
      <c r="AG3337" s="14"/>
      <c r="AH3337" s="14"/>
      <c r="AI3337" s="14"/>
      <c r="AJ3337" s="14"/>
      <c r="AK3337" s="14"/>
      <c r="AL3337" s="14"/>
      <c r="AM3337" s="14"/>
    </row>
    <row r="3338" ht="14.25" customHeight="1">
      <c r="AA3338" s="7">
        <f t="shared" si="2"/>
        <v>44244</v>
      </c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</row>
    <row r="3339" ht="14.25" customHeight="1">
      <c r="AA3339" s="7">
        <f t="shared" si="2"/>
        <v>44245</v>
      </c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</row>
    <row r="3340" ht="14.25" customHeight="1">
      <c r="AA3340" s="7">
        <f t="shared" si="2"/>
        <v>44246</v>
      </c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</row>
    <row r="3341" ht="14.25" customHeight="1">
      <c r="AA3341" s="7">
        <f t="shared" si="2"/>
        <v>44247</v>
      </c>
      <c r="AB3341" s="14"/>
      <c r="AC3341" s="14"/>
      <c r="AD3341" s="14"/>
      <c r="AE3341" s="14"/>
      <c r="AF3341" s="14"/>
      <c r="AG3341" s="14"/>
      <c r="AH3341" s="14"/>
      <c r="AI3341" s="14"/>
      <c r="AJ3341" s="14"/>
      <c r="AK3341" s="14"/>
      <c r="AL3341" s="14"/>
      <c r="AM3341" s="14"/>
    </row>
    <row r="3342" ht="14.25" customHeight="1">
      <c r="AA3342" s="7">
        <f t="shared" si="2"/>
        <v>44248</v>
      </c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</row>
    <row r="3343" ht="14.25" customHeight="1">
      <c r="AA3343" s="7">
        <f t="shared" si="2"/>
        <v>44249</v>
      </c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</row>
    <row r="3344" ht="14.25" customHeight="1">
      <c r="AA3344" s="7">
        <f t="shared" si="2"/>
        <v>44250</v>
      </c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</row>
    <row r="3345" ht="14.25" customHeight="1">
      <c r="AA3345" s="7">
        <f t="shared" si="2"/>
        <v>44251</v>
      </c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</row>
    <row r="3346" ht="14.25" customHeight="1">
      <c r="AA3346" s="7">
        <f t="shared" si="2"/>
        <v>44252</v>
      </c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</row>
    <row r="3347" ht="14.25" customHeight="1">
      <c r="AA3347" s="7">
        <f t="shared" si="2"/>
        <v>44253</v>
      </c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</row>
    <row r="3348" ht="14.25" customHeight="1">
      <c r="AA3348" s="7">
        <f t="shared" si="2"/>
        <v>44254</v>
      </c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</row>
    <row r="3349" ht="14.25" customHeight="1">
      <c r="AA3349" s="7">
        <f t="shared" si="2"/>
        <v>44255</v>
      </c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</row>
    <row r="3350" ht="14.25" customHeight="1">
      <c r="AA3350" s="7">
        <f t="shared" si="2"/>
        <v>44256</v>
      </c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</row>
    <row r="3351" ht="14.25" customHeight="1">
      <c r="AA3351" s="7">
        <f t="shared" si="2"/>
        <v>44257</v>
      </c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</row>
    <row r="3352" ht="14.25" customHeight="1">
      <c r="AA3352" s="7">
        <f t="shared" si="2"/>
        <v>44258</v>
      </c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</row>
    <row r="3353" ht="14.25" customHeight="1">
      <c r="AA3353" s="7">
        <f t="shared" si="2"/>
        <v>44259</v>
      </c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</row>
    <row r="3354" ht="14.25" customHeight="1">
      <c r="AA3354" s="7">
        <f t="shared" si="2"/>
        <v>44260</v>
      </c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</row>
    <row r="3355" ht="14.25" customHeight="1">
      <c r="AA3355" s="7">
        <f t="shared" si="2"/>
        <v>44261</v>
      </c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</row>
    <row r="3356" ht="14.25" customHeight="1">
      <c r="AA3356" s="7">
        <f t="shared" si="2"/>
        <v>44262</v>
      </c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</row>
    <row r="3357" ht="14.25" customHeight="1">
      <c r="AA3357" s="7">
        <f t="shared" si="2"/>
        <v>44263</v>
      </c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</row>
    <row r="3358" ht="14.25" customHeight="1">
      <c r="AA3358" s="7">
        <f t="shared" si="2"/>
        <v>44264</v>
      </c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</row>
    <row r="3359" ht="14.25" customHeight="1">
      <c r="AA3359" s="7">
        <f t="shared" si="2"/>
        <v>44265</v>
      </c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</row>
    <row r="3360" ht="14.25" customHeight="1">
      <c r="AA3360" s="7">
        <f t="shared" si="2"/>
        <v>44266</v>
      </c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</row>
    <row r="3361" ht="14.25" customHeight="1">
      <c r="AA3361" s="7">
        <f t="shared" si="2"/>
        <v>44267</v>
      </c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</row>
    <row r="3362" ht="14.25" customHeight="1">
      <c r="AA3362" s="7">
        <f t="shared" si="2"/>
        <v>44268</v>
      </c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</row>
    <row r="3363" ht="14.25" customHeight="1">
      <c r="AA3363" s="7">
        <f t="shared" si="2"/>
        <v>44269</v>
      </c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</row>
    <row r="3364" ht="14.25" customHeight="1">
      <c r="AA3364" s="7">
        <f t="shared" si="2"/>
        <v>44270</v>
      </c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</row>
    <row r="3365" ht="14.25" customHeight="1">
      <c r="AA3365" s="7">
        <f t="shared" si="2"/>
        <v>44271</v>
      </c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</row>
    <row r="3366" ht="14.25" customHeight="1">
      <c r="AA3366" s="7">
        <f t="shared" si="2"/>
        <v>44272</v>
      </c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</row>
    <row r="3367" ht="14.25" customHeight="1">
      <c r="AA3367" s="7">
        <f t="shared" si="2"/>
        <v>44273</v>
      </c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</row>
    <row r="3368" ht="14.25" customHeight="1">
      <c r="AA3368" s="7">
        <f t="shared" si="2"/>
        <v>44274</v>
      </c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</row>
    <row r="3369" ht="14.25" customHeight="1">
      <c r="AA3369" s="7">
        <f t="shared" si="2"/>
        <v>44275</v>
      </c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</row>
    <row r="3370" ht="14.25" customHeight="1">
      <c r="AA3370" s="7">
        <f t="shared" si="2"/>
        <v>44276</v>
      </c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</row>
    <row r="3371" ht="14.25" customHeight="1">
      <c r="AA3371" s="7">
        <f t="shared" si="2"/>
        <v>44277</v>
      </c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</row>
    <row r="3372" ht="14.25" customHeight="1">
      <c r="AA3372" s="7">
        <f t="shared" si="2"/>
        <v>44278</v>
      </c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</row>
    <row r="3373" ht="14.25" customHeight="1">
      <c r="AA3373" s="7">
        <f t="shared" si="2"/>
        <v>44279</v>
      </c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</row>
    <row r="3374" ht="14.25" customHeight="1">
      <c r="AA3374" s="7">
        <f t="shared" si="2"/>
        <v>44280</v>
      </c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</row>
    <row r="3375" ht="14.25" customHeight="1">
      <c r="AA3375" s="7">
        <f t="shared" si="2"/>
        <v>44281</v>
      </c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</row>
    <row r="3376" ht="14.25" customHeight="1">
      <c r="AA3376" s="7">
        <f t="shared" si="2"/>
        <v>44282</v>
      </c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</row>
    <row r="3377" ht="14.25" customHeight="1">
      <c r="AA3377" s="7">
        <f t="shared" si="2"/>
        <v>44283</v>
      </c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</row>
    <row r="3378" ht="14.25" customHeight="1">
      <c r="AA3378" s="7">
        <f t="shared" si="2"/>
        <v>44284</v>
      </c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</row>
    <row r="3379" ht="14.25" customHeight="1">
      <c r="AA3379" s="7">
        <f t="shared" si="2"/>
        <v>44285</v>
      </c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</row>
    <row r="3380" ht="14.25" customHeight="1">
      <c r="AA3380" s="7">
        <f t="shared" si="2"/>
        <v>44286</v>
      </c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</row>
    <row r="3381" ht="14.25" customHeight="1">
      <c r="AA3381" s="7">
        <f t="shared" si="2"/>
        <v>44287</v>
      </c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</row>
    <row r="3382" ht="14.25" customHeight="1">
      <c r="AA3382" s="7">
        <f t="shared" si="2"/>
        <v>44288</v>
      </c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</row>
    <row r="3383" ht="14.25" customHeight="1">
      <c r="AA3383" s="7">
        <f t="shared" si="2"/>
        <v>44289</v>
      </c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</row>
    <row r="3384" ht="14.25" customHeight="1">
      <c r="AA3384" s="7">
        <f t="shared" si="2"/>
        <v>44290</v>
      </c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</row>
    <row r="3385" ht="14.25" customHeight="1">
      <c r="AA3385" s="7">
        <f t="shared" si="2"/>
        <v>44291</v>
      </c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</row>
    <row r="3386" ht="14.25" customHeight="1">
      <c r="AA3386" s="7">
        <f t="shared" si="2"/>
        <v>44292</v>
      </c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</row>
    <row r="3387" ht="14.25" customHeight="1">
      <c r="AA3387" s="7">
        <f t="shared" si="2"/>
        <v>44293</v>
      </c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</row>
    <row r="3388" ht="14.25" customHeight="1">
      <c r="AA3388" s="7">
        <f t="shared" si="2"/>
        <v>44294</v>
      </c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</row>
    <row r="3389" ht="14.25" customHeight="1">
      <c r="AA3389" s="7">
        <f t="shared" si="2"/>
        <v>44295</v>
      </c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</row>
    <row r="3390" ht="14.25" customHeight="1">
      <c r="AA3390" s="7">
        <f t="shared" si="2"/>
        <v>44296</v>
      </c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</row>
    <row r="3391" ht="14.25" customHeight="1">
      <c r="AA3391" s="7">
        <f t="shared" si="2"/>
        <v>44297</v>
      </c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</row>
    <row r="3392" ht="14.25" customHeight="1">
      <c r="AA3392" s="7">
        <f t="shared" si="2"/>
        <v>44298</v>
      </c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</row>
    <row r="3393" ht="14.25" customHeight="1">
      <c r="AA3393" s="7">
        <f t="shared" si="2"/>
        <v>44299</v>
      </c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</row>
    <row r="3394" ht="14.25" customHeight="1">
      <c r="AA3394" s="7">
        <f t="shared" si="2"/>
        <v>44300</v>
      </c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</row>
    <row r="3395" ht="14.25" customHeight="1">
      <c r="AA3395" s="7">
        <f t="shared" si="2"/>
        <v>44301</v>
      </c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</row>
    <row r="3396" ht="14.25" customHeight="1">
      <c r="AA3396" s="7">
        <f t="shared" si="2"/>
        <v>44302</v>
      </c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</row>
    <row r="3397" ht="14.25" customHeight="1">
      <c r="AA3397" s="7">
        <f t="shared" si="2"/>
        <v>44303</v>
      </c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</row>
    <row r="3398" ht="14.25" customHeight="1">
      <c r="AA3398" s="7">
        <f t="shared" si="2"/>
        <v>44304</v>
      </c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</row>
    <row r="3399" ht="14.25" customHeight="1">
      <c r="AA3399" s="7">
        <f t="shared" si="2"/>
        <v>44305</v>
      </c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</row>
    <row r="3400" ht="14.25" customHeight="1">
      <c r="AA3400" s="7">
        <f t="shared" si="2"/>
        <v>44306</v>
      </c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</row>
    <row r="3401" ht="14.25" customHeight="1">
      <c r="AA3401" s="7">
        <f t="shared" si="2"/>
        <v>44307</v>
      </c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</row>
    <row r="3402" ht="14.25" customHeight="1">
      <c r="AA3402" s="7">
        <f t="shared" si="2"/>
        <v>44308</v>
      </c>
      <c r="AB3402" s="14"/>
      <c r="AC3402" s="14"/>
      <c r="AD3402" s="14"/>
      <c r="AE3402" s="14"/>
      <c r="AF3402" s="14"/>
      <c r="AG3402" s="14"/>
      <c r="AH3402" s="14"/>
      <c r="AI3402" s="14"/>
      <c r="AJ3402" s="14"/>
      <c r="AK3402" s="14"/>
      <c r="AL3402" s="14"/>
      <c r="AM3402" s="14"/>
    </row>
    <row r="3403" ht="14.25" customHeight="1">
      <c r="AA3403" s="7">
        <f t="shared" si="2"/>
        <v>44309</v>
      </c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</row>
    <row r="3404" ht="14.25" customHeight="1">
      <c r="AA3404" s="7">
        <f t="shared" si="2"/>
        <v>44310</v>
      </c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</row>
    <row r="3405" ht="14.25" customHeight="1">
      <c r="AA3405" s="7">
        <f t="shared" si="2"/>
        <v>44311</v>
      </c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</row>
    <row r="3406" ht="14.25" customHeight="1">
      <c r="AA3406" s="7">
        <f t="shared" si="2"/>
        <v>44312</v>
      </c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</row>
    <row r="3407" ht="14.25" customHeight="1">
      <c r="AA3407" s="7">
        <f t="shared" si="2"/>
        <v>44313</v>
      </c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</row>
    <row r="3408" ht="14.25" customHeight="1">
      <c r="AA3408" s="7">
        <f t="shared" si="2"/>
        <v>44314</v>
      </c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</row>
    <row r="3409" ht="14.25" customHeight="1">
      <c r="AA3409" s="7">
        <f t="shared" si="2"/>
        <v>44315</v>
      </c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</row>
    <row r="3410" ht="14.25" customHeight="1">
      <c r="AA3410" s="7">
        <f t="shared" si="2"/>
        <v>44316</v>
      </c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</row>
    <row r="3411" ht="14.25" customHeight="1">
      <c r="AA3411" s="7">
        <f t="shared" si="2"/>
        <v>44317</v>
      </c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</row>
    <row r="3412" ht="14.25" customHeight="1">
      <c r="AA3412" s="7">
        <f t="shared" si="2"/>
        <v>44318</v>
      </c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</row>
    <row r="3413" ht="14.25" customHeight="1">
      <c r="AA3413" s="7">
        <f t="shared" si="2"/>
        <v>44319</v>
      </c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</row>
    <row r="3414" ht="14.25" customHeight="1">
      <c r="AA3414" s="7">
        <f t="shared" si="2"/>
        <v>44320</v>
      </c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</row>
    <row r="3415" ht="14.25" customHeight="1">
      <c r="AA3415" s="7">
        <f t="shared" si="2"/>
        <v>44321</v>
      </c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</row>
    <row r="3416" ht="14.25" customHeight="1">
      <c r="AA3416" s="7">
        <f t="shared" si="2"/>
        <v>44322</v>
      </c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</row>
    <row r="3417" ht="14.25" customHeight="1">
      <c r="AA3417" s="7">
        <f t="shared" si="2"/>
        <v>44323</v>
      </c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</row>
    <row r="3418" ht="14.25" customHeight="1">
      <c r="AA3418" s="7">
        <f t="shared" si="2"/>
        <v>44324</v>
      </c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</row>
    <row r="3419" ht="14.25" customHeight="1">
      <c r="AA3419" s="7">
        <f t="shared" si="2"/>
        <v>44325</v>
      </c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</row>
    <row r="3420" ht="14.25" customHeight="1">
      <c r="AA3420" s="7">
        <f t="shared" si="2"/>
        <v>44326</v>
      </c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</row>
    <row r="3421" ht="14.25" customHeight="1">
      <c r="AA3421" s="7">
        <f t="shared" si="2"/>
        <v>44327</v>
      </c>
      <c r="AB3421" s="14"/>
      <c r="AC3421" s="14"/>
      <c r="AD3421" s="14"/>
      <c r="AE3421" s="14"/>
      <c r="AF3421" s="14"/>
      <c r="AG3421" s="14"/>
      <c r="AH3421" s="14"/>
      <c r="AI3421" s="14"/>
      <c r="AJ3421" s="14"/>
      <c r="AK3421" s="14"/>
      <c r="AL3421" s="14"/>
      <c r="AM3421" s="14"/>
    </row>
    <row r="3422" ht="14.25" customHeight="1">
      <c r="AA3422" s="7">
        <f t="shared" si="2"/>
        <v>44328</v>
      </c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</row>
    <row r="3423" ht="14.25" customHeight="1">
      <c r="AA3423" s="7">
        <f t="shared" si="2"/>
        <v>44329</v>
      </c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</row>
    <row r="3424" ht="14.25" customHeight="1">
      <c r="AA3424" s="7">
        <f t="shared" si="2"/>
        <v>44330</v>
      </c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</row>
    <row r="3425" ht="14.25" customHeight="1">
      <c r="AA3425" s="7">
        <f t="shared" si="2"/>
        <v>44331</v>
      </c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</row>
    <row r="3426" ht="14.25" customHeight="1">
      <c r="AA3426" s="7">
        <f t="shared" si="2"/>
        <v>44332</v>
      </c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</row>
    <row r="3427" ht="14.25" customHeight="1">
      <c r="AA3427" s="7">
        <f t="shared" si="2"/>
        <v>44333</v>
      </c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</row>
    <row r="3428" ht="14.25" customHeight="1">
      <c r="AA3428" s="7">
        <f t="shared" si="2"/>
        <v>44334</v>
      </c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</row>
    <row r="3429" ht="14.25" customHeight="1">
      <c r="AA3429" s="7">
        <f t="shared" si="2"/>
        <v>44335</v>
      </c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</row>
    <row r="3430" ht="14.25" customHeight="1">
      <c r="AA3430" s="7">
        <f t="shared" si="2"/>
        <v>44336</v>
      </c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</row>
    <row r="3431" ht="14.25" customHeight="1">
      <c r="AA3431" s="7">
        <f t="shared" si="2"/>
        <v>44337</v>
      </c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</row>
    <row r="3432" ht="14.25" customHeight="1">
      <c r="AA3432" s="7">
        <f t="shared" si="2"/>
        <v>44338</v>
      </c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</row>
    <row r="3433" ht="14.25" customHeight="1">
      <c r="AA3433" s="7">
        <f t="shared" si="2"/>
        <v>44339</v>
      </c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</row>
    <row r="3434" ht="14.25" customHeight="1">
      <c r="AA3434" s="7">
        <f t="shared" si="2"/>
        <v>44340</v>
      </c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</row>
    <row r="3435" ht="14.25" customHeight="1">
      <c r="AA3435" s="7">
        <f t="shared" si="2"/>
        <v>44341</v>
      </c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</row>
    <row r="3436" ht="14.25" customHeight="1">
      <c r="AA3436" s="7">
        <f t="shared" si="2"/>
        <v>44342</v>
      </c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</row>
    <row r="3437" ht="14.25" customHeight="1">
      <c r="AA3437" s="7">
        <f t="shared" si="2"/>
        <v>44343</v>
      </c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</row>
    <row r="3438" ht="14.25" customHeight="1">
      <c r="AA3438" s="7">
        <f t="shared" si="2"/>
        <v>44344</v>
      </c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</row>
    <row r="3439" ht="14.25" customHeight="1">
      <c r="AA3439" s="7">
        <f t="shared" si="2"/>
        <v>44345</v>
      </c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</row>
    <row r="3440" ht="14.25" customHeight="1">
      <c r="AA3440" s="7">
        <f t="shared" si="2"/>
        <v>44346</v>
      </c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</row>
    <row r="3441" ht="14.25" customHeight="1">
      <c r="AA3441" s="7">
        <f t="shared" si="2"/>
        <v>44347</v>
      </c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</row>
    <row r="3442" ht="14.25" customHeight="1">
      <c r="AA3442" s="7">
        <f t="shared" si="2"/>
        <v>44348</v>
      </c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</row>
    <row r="3443" ht="14.25" customHeight="1">
      <c r="AA3443" s="7">
        <f t="shared" si="2"/>
        <v>44349</v>
      </c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</row>
    <row r="3444" ht="14.25" customHeight="1">
      <c r="AA3444" s="7">
        <f t="shared" si="2"/>
        <v>44350</v>
      </c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</row>
    <row r="3445" ht="14.25" customHeight="1">
      <c r="AA3445" s="7">
        <f t="shared" si="2"/>
        <v>44351</v>
      </c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</row>
    <row r="3446" ht="14.25" customHeight="1">
      <c r="AA3446" s="7">
        <f t="shared" si="2"/>
        <v>44352</v>
      </c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</row>
    <row r="3447" ht="14.25" customHeight="1">
      <c r="AA3447" s="7">
        <f t="shared" si="2"/>
        <v>44353</v>
      </c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</row>
    <row r="3448" ht="14.25" customHeight="1">
      <c r="AA3448" s="7">
        <f t="shared" si="2"/>
        <v>44354</v>
      </c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</row>
    <row r="3449" ht="14.25" customHeight="1">
      <c r="AA3449" s="7">
        <f t="shared" si="2"/>
        <v>44355</v>
      </c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</row>
    <row r="3450" ht="14.25" customHeight="1">
      <c r="AA3450" s="7">
        <f t="shared" si="2"/>
        <v>44356</v>
      </c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</row>
    <row r="3451" ht="14.25" customHeight="1">
      <c r="AA3451" s="7">
        <f t="shared" si="2"/>
        <v>44357</v>
      </c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</row>
    <row r="3452" ht="14.25" customHeight="1">
      <c r="AA3452" s="7">
        <f t="shared" si="2"/>
        <v>44358</v>
      </c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</row>
    <row r="3453" ht="14.25" customHeight="1">
      <c r="AA3453" s="7">
        <f t="shared" si="2"/>
        <v>44359</v>
      </c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</row>
    <row r="3454" ht="14.25" customHeight="1">
      <c r="AA3454" s="7">
        <f t="shared" si="2"/>
        <v>44360</v>
      </c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</row>
    <row r="3455" ht="14.25" customHeight="1">
      <c r="AA3455" s="7">
        <f t="shared" si="2"/>
        <v>44361</v>
      </c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</row>
    <row r="3456" ht="14.25" customHeight="1">
      <c r="AA3456" s="7">
        <f t="shared" si="2"/>
        <v>44362</v>
      </c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</row>
    <row r="3457" ht="14.25" customHeight="1">
      <c r="AA3457" s="7">
        <f t="shared" si="2"/>
        <v>44363</v>
      </c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</row>
    <row r="3458" ht="14.25" customHeight="1">
      <c r="AA3458" s="7">
        <f t="shared" si="2"/>
        <v>44364</v>
      </c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</row>
    <row r="3459" ht="14.25" customHeight="1">
      <c r="AA3459" s="7">
        <f t="shared" si="2"/>
        <v>44365</v>
      </c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</row>
    <row r="3460" ht="14.25" customHeight="1">
      <c r="AA3460" s="7">
        <f t="shared" si="2"/>
        <v>44366</v>
      </c>
      <c r="AB3460" s="14"/>
      <c r="AC3460" s="14"/>
      <c r="AD3460" s="14"/>
      <c r="AE3460" s="14"/>
      <c r="AF3460" s="14"/>
      <c r="AG3460" s="14"/>
      <c r="AH3460" s="14"/>
      <c r="AI3460" s="14"/>
      <c r="AJ3460" s="14"/>
      <c r="AK3460" s="14"/>
      <c r="AL3460" s="14"/>
      <c r="AM3460" s="14"/>
    </row>
    <row r="3461" ht="14.25" customHeight="1">
      <c r="AA3461" s="7">
        <f t="shared" si="2"/>
        <v>44367</v>
      </c>
      <c r="AB3461" s="14"/>
      <c r="AC3461" s="14"/>
      <c r="AD3461" s="14"/>
      <c r="AE3461" s="14"/>
      <c r="AF3461" s="14"/>
      <c r="AG3461" s="14"/>
      <c r="AH3461" s="14"/>
      <c r="AI3461" s="14"/>
      <c r="AJ3461" s="14"/>
      <c r="AK3461" s="14"/>
      <c r="AL3461" s="14"/>
      <c r="AM3461" s="14"/>
    </row>
    <row r="3462" ht="14.25" customHeight="1">
      <c r="AA3462" s="7">
        <f t="shared" si="2"/>
        <v>44368</v>
      </c>
      <c r="AB3462" s="14"/>
      <c r="AC3462" s="14"/>
      <c r="AD3462" s="14"/>
      <c r="AE3462" s="14"/>
      <c r="AF3462" s="14"/>
      <c r="AG3462" s="14"/>
      <c r="AH3462" s="14"/>
      <c r="AI3462" s="14"/>
      <c r="AJ3462" s="14"/>
      <c r="AK3462" s="14"/>
      <c r="AL3462" s="14"/>
      <c r="AM3462" s="14"/>
    </row>
    <row r="3463" ht="14.25" customHeight="1">
      <c r="AA3463" s="7">
        <f t="shared" si="2"/>
        <v>44369</v>
      </c>
      <c r="AB3463" s="14"/>
      <c r="AC3463" s="14"/>
      <c r="AD3463" s="14"/>
      <c r="AE3463" s="14"/>
      <c r="AF3463" s="14"/>
      <c r="AG3463" s="14"/>
      <c r="AH3463" s="14"/>
      <c r="AI3463" s="14"/>
      <c r="AJ3463" s="14"/>
      <c r="AK3463" s="14"/>
      <c r="AL3463" s="14"/>
      <c r="AM3463" s="14"/>
    </row>
    <row r="3464" ht="14.25" customHeight="1">
      <c r="AA3464" s="7">
        <f t="shared" si="2"/>
        <v>44370</v>
      </c>
      <c r="AB3464" s="14"/>
      <c r="AC3464" s="14"/>
      <c r="AD3464" s="14"/>
      <c r="AE3464" s="14"/>
      <c r="AF3464" s="14"/>
      <c r="AG3464" s="14"/>
      <c r="AH3464" s="14"/>
      <c r="AI3464" s="14"/>
      <c r="AJ3464" s="14"/>
      <c r="AK3464" s="14"/>
      <c r="AL3464" s="14"/>
      <c r="AM3464" s="14"/>
    </row>
    <row r="3465" ht="14.25" customHeight="1">
      <c r="AA3465" s="7">
        <f t="shared" si="2"/>
        <v>44371</v>
      </c>
      <c r="AB3465" s="14"/>
      <c r="AC3465" s="14"/>
      <c r="AD3465" s="14"/>
      <c r="AE3465" s="14"/>
      <c r="AF3465" s="14"/>
      <c r="AG3465" s="14"/>
      <c r="AH3465" s="14"/>
      <c r="AI3465" s="14"/>
      <c r="AJ3465" s="14"/>
      <c r="AK3465" s="14"/>
      <c r="AL3465" s="14"/>
      <c r="AM3465" s="14"/>
    </row>
    <row r="3466" ht="14.25" customHeight="1">
      <c r="AA3466" s="7">
        <f t="shared" si="2"/>
        <v>44372</v>
      </c>
      <c r="AB3466" s="14"/>
      <c r="AC3466" s="14"/>
      <c r="AD3466" s="14"/>
      <c r="AE3466" s="14"/>
      <c r="AF3466" s="14"/>
      <c r="AG3466" s="14"/>
      <c r="AH3466" s="14"/>
      <c r="AI3466" s="14"/>
      <c r="AJ3466" s="14"/>
      <c r="AK3466" s="14"/>
      <c r="AL3466" s="14"/>
      <c r="AM3466" s="14"/>
    </row>
    <row r="3467" ht="14.25" customHeight="1">
      <c r="AA3467" s="7">
        <f t="shared" si="2"/>
        <v>44373</v>
      </c>
      <c r="AB3467" s="14"/>
      <c r="AC3467" s="14"/>
      <c r="AD3467" s="14"/>
      <c r="AE3467" s="14"/>
      <c r="AF3467" s="14"/>
      <c r="AG3467" s="14"/>
      <c r="AH3467" s="14"/>
      <c r="AI3467" s="14"/>
      <c r="AJ3467" s="14"/>
      <c r="AK3467" s="14"/>
      <c r="AL3467" s="14"/>
      <c r="AM3467" s="14"/>
    </row>
    <row r="3468" ht="14.25" customHeight="1">
      <c r="AA3468" s="7">
        <f t="shared" si="2"/>
        <v>44374</v>
      </c>
      <c r="AB3468" s="14"/>
      <c r="AC3468" s="14"/>
      <c r="AD3468" s="14"/>
      <c r="AE3468" s="14"/>
      <c r="AF3468" s="14"/>
      <c r="AG3468" s="14"/>
      <c r="AH3468" s="14"/>
      <c r="AI3468" s="14"/>
      <c r="AJ3468" s="14"/>
      <c r="AK3468" s="14"/>
      <c r="AL3468" s="14"/>
      <c r="AM3468" s="14"/>
    </row>
    <row r="3469" ht="14.25" customHeight="1">
      <c r="AA3469" s="7">
        <f t="shared" si="2"/>
        <v>44375</v>
      </c>
      <c r="AB3469" s="14"/>
      <c r="AC3469" s="14"/>
      <c r="AD3469" s="14"/>
      <c r="AE3469" s="14"/>
      <c r="AF3469" s="14"/>
      <c r="AG3469" s="14"/>
      <c r="AH3469" s="14"/>
      <c r="AI3469" s="14"/>
      <c r="AJ3469" s="14"/>
      <c r="AK3469" s="14"/>
      <c r="AL3469" s="14"/>
      <c r="AM3469" s="14"/>
    </row>
    <row r="3470" ht="14.25" customHeight="1">
      <c r="AA3470" s="7">
        <f t="shared" si="2"/>
        <v>44376</v>
      </c>
      <c r="AB3470" s="14"/>
      <c r="AC3470" s="14"/>
      <c r="AD3470" s="14"/>
      <c r="AE3470" s="14"/>
      <c r="AF3470" s="14"/>
      <c r="AG3470" s="14"/>
      <c r="AH3470" s="14"/>
      <c r="AI3470" s="14"/>
      <c r="AJ3470" s="14"/>
      <c r="AK3470" s="14"/>
      <c r="AL3470" s="14"/>
      <c r="AM3470" s="14"/>
    </row>
    <row r="3471" ht="14.25" customHeight="1">
      <c r="AA3471" s="7">
        <f t="shared" si="2"/>
        <v>44377</v>
      </c>
      <c r="AB3471" s="14"/>
      <c r="AC3471" s="14"/>
      <c r="AD3471" s="14"/>
      <c r="AE3471" s="14"/>
      <c r="AF3471" s="14"/>
      <c r="AG3471" s="14"/>
      <c r="AH3471" s="14"/>
      <c r="AI3471" s="14"/>
      <c r="AJ3471" s="14"/>
      <c r="AK3471" s="14"/>
      <c r="AL3471" s="14"/>
      <c r="AM3471" s="14"/>
    </row>
    <row r="3472" ht="14.25" customHeight="1">
      <c r="AA3472" s="7">
        <f t="shared" si="2"/>
        <v>44378</v>
      </c>
      <c r="AB3472" s="14"/>
      <c r="AC3472" s="14"/>
      <c r="AD3472" s="14"/>
      <c r="AE3472" s="14"/>
      <c r="AF3472" s="14"/>
      <c r="AG3472" s="14"/>
      <c r="AH3472" s="14"/>
      <c r="AI3472" s="14"/>
      <c r="AJ3472" s="14"/>
      <c r="AK3472" s="14"/>
      <c r="AL3472" s="14"/>
      <c r="AM3472" s="14"/>
    </row>
    <row r="3473" ht="14.25" customHeight="1">
      <c r="AA3473" s="7">
        <f t="shared" si="2"/>
        <v>44379</v>
      </c>
      <c r="AB3473" s="14"/>
      <c r="AC3473" s="14"/>
      <c r="AD3473" s="14"/>
      <c r="AE3473" s="14"/>
      <c r="AF3473" s="14"/>
      <c r="AG3473" s="14"/>
      <c r="AH3473" s="14"/>
      <c r="AI3473" s="14"/>
      <c r="AJ3473" s="14"/>
      <c r="AK3473" s="14"/>
      <c r="AL3473" s="14"/>
      <c r="AM3473" s="14"/>
    </row>
    <row r="3474" ht="14.25" customHeight="1">
      <c r="AA3474" s="7">
        <f t="shared" si="2"/>
        <v>44380</v>
      </c>
      <c r="AB3474" s="14"/>
      <c r="AC3474" s="14"/>
      <c r="AD3474" s="14"/>
      <c r="AE3474" s="14"/>
      <c r="AF3474" s="14"/>
      <c r="AG3474" s="14"/>
      <c r="AH3474" s="14"/>
      <c r="AI3474" s="14"/>
      <c r="AJ3474" s="14"/>
      <c r="AK3474" s="14"/>
      <c r="AL3474" s="14"/>
      <c r="AM3474" s="14"/>
    </row>
    <row r="3475" ht="14.25" customHeight="1">
      <c r="AA3475" s="7">
        <f t="shared" si="2"/>
        <v>44381</v>
      </c>
      <c r="AB3475" s="14"/>
      <c r="AC3475" s="14"/>
      <c r="AD3475" s="14"/>
      <c r="AE3475" s="14"/>
      <c r="AF3475" s="14"/>
      <c r="AG3475" s="14"/>
      <c r="AH3475" s="14"/>
      <c r="AI3475" s="14"/>
      <c r="AJ3475" s="14"/>
      <c r="AK3475" s="14"/>
      <c r="AL3475" s="14"/>
      <c r="AM3475" s="14"/>
    </row>
    <row r="3476" ht="14.25" customHeight="1">
      <c r="AA3476" s="7">
        <f t="shared" si="2"/>
        <v>44382</v>
      </c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</row>
    <row r="3477" ht="14.25" customHeight="1">
      <c r="AA3477" s="7">
        <f t="shared" si="2"/>
        <v>44383</v>
      </c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</row>
    <row r="3478" ht="14.25" customHeight="1">
      <c r="AA3478" s="7">
        <f t="shared" si="2"/>
        <v>44384</v>
      </c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</row>
    <row r="3479" ht="14.25" customHeight="1">
      <c r="AA3479" s="7">
        <f t="shared" si="2"/>
        <v>44385</v>
      </c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</row>
    <row r="3480" ht="14.25" customHeight="1">
      <c r="AA3480" s="7">
        <f t="shared" si="2"/>
        <v>44386</v>
      </c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</row>
    <row r="3481" ht="14.25" customHeight="1">
      <c r="AA3481" s="7">
        <f t="shared" si="2"/>
        <v>44387</v>
      </c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</row>
    <row r="3482" ht="14.25" customHeight="1">
      <c r="AA3482" s="7">
        <f t="shared" si="2"/>
        <v>44388</v>
      </c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</row>
    <row r="3483" ht="14.25" customHeight="1">
      <c r="AA3483" s="7">
        <f t="shared" si="2"/>
        <v>44389</v>
      </c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</row>
    <row r="3484" ht="14.25" customHeight="1">
      <c r="AA3484" s="7">
        <f t="shared" si="2"/>
        <v>44390</v>
      </c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</row>
    <row r="3485" ht="14.25" customHeight="1">
      <c r="AA3485" s="7">
        <f t="shared" si="2"/>
        <v>44391</v>
      </c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</row>
    <row r="3486" ht="14.25" customHeight="1">
      <c r="AA3486" s="7">
        <f t="shared" si="2"/>
        <v>44392</v>
      </c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</row>
    <row r="3487" ht="14.25" customHeight="1">
      <c r="AA3487" s="7">
        <f t="shared" si="2"/>
        <v>44393</v>
      </c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</row>
    <row r="3488" ht="14.25" customHeight="1">
      <c r="AA3488" s="7">
        <f t="shared" si="2"/>
        <v>44394</v>
      </c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</row>
    <row r="3489" ht="14.25" customHeight="1">
      <c r="AA3489" s="7">
        <f t="shared" si="2"/>
        <v>44395</v>
      </c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</row>
    <row r="3490" ht="14.25" customHeight="1">
      <c r="AA3490" s="7">
        <f t="shared" si="2"/>
        <v>44396</v>
      </c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</row>
    <row r="3491" ht="14.25" customHeight="1">
      <c r="AA3491" s="7">
        <f t="shared" si="2"/>
        <v>44397</v>
      </c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</row>
    <row r="3492" ht="14.25" customHeight="1">
      <c r="AA3492" s="7">
        <f t="shared" si="2"/>
        <v>44398</v>
      </c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</row>
    <row r="3493" ht="14.25" customHeight="1">
      <c r="AA3493" s="7">
        <f t="shared" si="2"/>
        <v>44399</v>
      </c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</row>
    <row r="3494" ht="14.25" customHeight="1">
      <c r="AA3494" s="7">
        <f t="shared" si="2"/>
        <v>44400</v>
      </c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</row>
    <row r="3495" ht="14.25" customHeight="1">
      <c r="AA3495" s="7">
        <f t="shared" si="2"/>
        <v>44401</v>
      </c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</row>
    <row r="3496" ht="14.25" customHeight="1">
      <c r="AA3496" s="7">
        <f t="shared" si="2"/>
        <v>44402</v>
      </c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</row>
    <row r="3497" ht="14.25" customHeight="1">
      <c r="AA3497" s="7">
        <f t="shared" si="2"/>
        <v>44403</v>
      </c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</row>
    <row r="3498" ht="14.25" customHeight="1">
      <c r="AA3498" s="7">
        <f t="shared" si="2"/>
        <v>44404</v>
      </c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</row>
    <row r="3499" ht="14.25" customHeight="1">
      <c r="AA3499" s="7">
        <f t="shared" si="2"/>
        <v>44405</v>
      </c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</row>
    <row r="3500" ht="14.25" customHeight="1">
      <c r="AA3500" s="7">
        <f t="shared" si="2"/>
        <v>44406</v>
      </c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</row>
    <row r="3501" ht="14.25" customHeight="1">
      <c r="AA3501" s="7">
        <f t="shared" si="2"/>
        <v>44407</v>
      </c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</row>
    <row r="3502" ht="14.25" customHeight="1">
      <c r="AA3502" s="7">
        <f t="shared" si="2"/>
        <v>44408</v>
      </c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</row>
    <row r="3503" ht="14.25" customHeight="1">
      <c r="AA3503" s="7">
        <f t="shared" si="2"/>
        <v>44409</v>
      </c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</row>
    <row r="3504" ht="14.25" customHeight="1">
      <c r="AA3504" s="7">
        <f t="shared" si="2"/>
        <v>44410</v>
      </c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</row>
    <row r="3505" ht="14.25" customHeight="1">
      <c r="AA3505" s="7">
        <f t="shared" si="2"/>
        <v>44411</v>
      </c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</row>
    <row r="3506" ht="14.25" customHeight="1">
      <c r="AA3506" s="7">
        <f t="shared" si="2"/>
        <v>44412</v>
      </c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</row>
    <row r="3507" ht="14.25" customHeight="1">
      <c r="AA3507" s="7">
        <f t="shared" si="2"/>
        <v>44413</v>
      </c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</row>
    <row r="3508" ht="14.25" customHeight="1">
      <c r="AA3508" s="7">
        <f t="shared" si="2"/>
        <v>44414</v>
      </c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</row>
    <row r="3509" ht="14.25" customHeight="1">
      <c r="AA3509" s="7">
        <f t="shared" si="2"/>
        <v>44415</v>
      </c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</row>
    <row r="3510" ht="14.25" customHeight="1">
      <c r="AA3510" s="7">
        <f t="shared" si="2"/>
        <v>44416</v>
      </c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</row>
    <row r="3511" ht="14.25" customHeight="1">
      <c r="AA3511" s="7">
        <f t="shared" si="2"/>
        <v>44417</v>
      </c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</row>
    <row r="3512" ht="14.25" customHeight="1">
      <c r="AA3512" s="7">
        <f t="shared" si="2"/>
        <v>44418</v>
      </c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</row>
    <row r="3513" ht="14.25" customHeight="1">
      <c r="AA3513" s="7">
        <f t="shared" si="2"/>
        <v>44419</v>
      </c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</row>
    <row r="3514" ht="14.25" customHeight="1">
      <c r="AA3514" s="7">
        <f t="shared" si="2"/>
        <v>44420</v>
      </c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</row>
    <row r="3515" ht="14.25" customHeight="1">
      <c r="AA3515" s="7">
        <f t="shared" si="2"/>
        <v>44421</v>
      </c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</row>
    <row r="3516" ht="14.25" customHeight="1">
      <c r="AA3516" s="7">
        <f t="shared" si="2"/>
        <v>44422</v>
      </c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</row>
    <row r="3517" ht="14.25" customHeight="1">
      <c r="AA3517" s="7">
        <f t="shared" si="2"/>
        <v>44423</v>
      </c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</row>
    <row r="3518" ht="14.25" customHeight="1">
      <c r="AA3518" s="7">
        <f t="shared" si="2"/>
        <v>44424</v>
      </c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</row>
    <row r="3519" ht="14.25" customHeight="1">
      <c r="AA3519" s="7">
        <f t="shared" si="2"/>
        <v>44425</v>
      </c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</row>
    <row r="3520" ht="14.25" customHeight="1">
      <c r="AA3520" s="7">
        <f t="shared" si="2"/>
        <v>44426</v>
      </c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</row>
    <row r="3521" ht="14.25" customHeight="1">
      <c r="AA3521" s="7">
        <f t="shared" si="2"/>
        <v>44427</v>
      </c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</row>
    <row r="3522" ht="14.25" customHeight="1">
      <c r="AA3522" s="7">
        <f t="shared" si="2"/>
        <v>44428</v>
      </c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</row>
    <row r="3523" ht="14.25" customHeight="1">
      <c r="AA3523" s="7">
        <f t="shared" si="2"/>
        <v>44429</v>
      </c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</row>
    <row r="3524" ht="14.25" customHeight="1">
      <c r="AA3524" s="7">
        <f t="shared" si="2"/>
        <v>44430</v>
      </c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</row>
    <row r="3525" ht="14.25" customHeight="1">
      <c r="AA3525" s="7">
        <f t="shared" si="2"/>
        <v>44431</v>
      </c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</row>
    <row r="3526" ht="14.25" customHeight="1">
      <c r="AA3526" s="7">
        <f t="shared" si="2"/>
        <v>44432</v>
      </c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</row>
    <row r="3527" ht="14.25" customHeight="1">
      <c r="AA3527" s="7">
        <f t="shared" si="2"/>
        <v>44433</v>
      </c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</row>
    <row r="3528" ht="14.25" customHeight="1">
      <c r="AA3528" s="7">
        <f t="shared" si="2"/>
        <v>44434</v>
      </c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</row>
    <row r="3529" ht="14.25" customHeight="1">
      <c r="AA3529" s="7">
        <f t="shared" si="2"/>
        <v>44435</v>
      </c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</row>
    <row r="3530" ht="14.25" customHeight="1">
      <c r="AA3530" s="7">
        <f t="shared" si="2"/>
        <v>44436</v>
      </c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</row>
    <row r="3531" ht="14.25" customHeight="1">
      <c r="AA3531" s="7">
        <f t="shared" si="2"/>
        <v>44437</v>
      </c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</row>
    <row r="3532" ht="14.25" customHeight="1">
      <c r="AA3532" s="7">
        <f t="shared" si="2"/>
        <v>44438</v>
      </c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</row>
    <row r="3533" ht="14.25" customHeight="1">
      <c r="AA3533" s="7">
        <f t="shared" si="2"/>
        <v>44439</v>
      </c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</row>
    <row r="3534" ht="14.25" customHeight="1">
      <c r="AA3534" s="7">
        <f t="shared" si="2"/>
        <v>44440</v>
      </c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</row>
    <row r="3535" ht="14.25" customHeight="1">
      <c r="AA3535" s="7">
        <f t="shared" si="2"/>
        <v>44441</v>
      </c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</row>
    <row r="3536" ht="14.25" customHeight="1">
      <c r="AA3536" s="7">
        <f t="shared" si="2"/>
        <v>44442</v>
      </c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</row>
    <row r="3537" ht="14.25" customHeight="1">
      <c r="AA3537" s="7">
        <f t="shared" si="2"/>
        <v>44443</v>
      </c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</row>
    <row r="3538" ht="14.25" customHeight="1">
      <c r="AA3538" s="7">
        <f t="shared" si="2"/>
        <v>44444</v>
      </c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</row>
    <row r="3539" ht="14.25" customHeight="1">
      <c r="AA3539" s="7">
        <f t="shared" si="2"/>
        <v>44445</v>
      </c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</row>
    <row r="3540" ht="14.25" customHeight="1">
      <c r="AA3540" s="7">
        <f t="shared" si="2"/>
        <v>44446</v>
      </c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</row>
    <row r="3541" ht="14.25" customHeight="1">
      <c r="AA3541" s="7">
        <f t="shared" si="2"/>
        <v>44447</v>
      </c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</row>
    <row r="3542" ht="14.25" customHeight="1">
      <c r="AA3542" s="7">
        <f t="shared" si="2"/>
        <v>44448</v>
      </c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</row>
    <row r="3543" ht="14.25" customHeight="1">
      <c r="AA3543" s="7">
        <f t="shared" si="2"/>
        <v>44449</v>
      </c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</row>
    <row r="3544" ht="14.25" customHeight="1">
      <c r="AA3544" s="7">
        <f t="shared" si="2"/>
        <v>44450</v>
      </c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</row>
    <row r="3545" ht="14.25" customHeight="1">
      <c r="AA3545" s="7">
        <f t="shared" si="2"/>
        <v>44451</v>
      </c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</row>
    <row r="3546" ht="14.25" customHeight="1">
      <c r="AA3546" s="7">
        <f t="shared" si="2"/>
        <v>44452</v>
      </c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</row>
    <row r="3547" ht="14.25" customHeight="1">
      <c r="AA3547" s="7">
        <f t="shared" si="2"/>
        <v>44453</v>
      </c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</row>
    <row r="3548" ht="14.25" customHeight="1">
      <c r="AA3548" s="7">
        <f t="shared" si="2"/>
        <v>44454</v>
      </c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</row>
    <row r="3549" ht="14.25" customHeight="1">
      <c r="AA3549" s="7">
        <f t="shared" si="2"/>
        <v>44455</v>
      </c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</row>
    <row r="3550" ht="14.25" customHeight="1">
      <c r="AA3550" s="7">
        <f t="shared" si="2"/>
        <v>44456</v>
      </c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</row>
    <row r="3551" ht="14.25" customHeight="1">
      <c r="AA3551" s="7">
        <f t="shared" si="2"/>
        <v>44457</v>
      </c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</row>
    <row r="3552" ht="14.25" customHeight="1">
      <c r="AA3552" s="7">
        <f t="shared" si="2"/>
        <v>44458</v>
      </c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</row>
    <row r="3553" ht="14.25" customHeight="1">
      <c r="AA3553" s="7">
        <f t="shared" si="2"/>
        <v>44459</v>
      </c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</row>
    <row r="3554" ht="14.25" customHeight="1">
      <c r="AA3554" s="7">
        <f t="shared" si="2"/>
        <v>44460</v>
      </c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</row>
    <row r="3555" ht="14.25" customHeight="1">
      <c r="AA3555" s="7">
        <f t="shared" si="2"/>
        <v>44461</v>
      </c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</row>
    <row r="3556" ht="14.25" customHeight="1">
      <c r="AA3556" s="7">
        <f t="shared" si="2"/>
        <v>44462</v>
      </c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</row>
    <row r="3557" ht="14.25" customHeight="1">
      <c r="AA3557" s="7">
        <f t="shared" si="2"/>
        <v>44463</v>
      </c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</row>
    <row r="3558" ht="14.25" customHeight="1">
      <c r="AA3558" s="7">
        <f t="shared" si="2"/>
        <v>44464</v>
      </c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</row>
    <row r="3559" ht="14.25" customHeight="1">
      <c r="AA3559" s="7">
        <f t="shared" si="2"/>
        <v>44465</v>
      </c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</row>
    <row r="3560" ht="14.25" customHeight="1">
      <c r="AA3560" s="7">
        <f t="shared" si="2"/>
        <v>44466</v>
      </c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</row>
    <row r="3561" ht="14.25" customHeight="1">
      <c r="AA3561" s="7">
        <f t="shared" si="2"/>
        <v>44467</v>
      </c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</row>
    <row r="3562" ht="14.25" customHeight="1">
      <c r="AA3562" s="7">
        <f t="shared" si="2"/>
        <v>44468</v>
      </c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</row>
    <row r="3563" ht="14.25" customHeight="1">
      <c r="AA3563" s="7">
        <f t="shared" si="2"/>
        <v>44469</v>
      </c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</row>
    <row r="3564" ht="14.25" customHeight="1">
      <c r="AA3564" s="7">
        <f t="shared" si="2"/>
        <v>44470</v>
      </c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</row>
    <row r="3565" ht="14.25" customHeight="1">
      <c r="AA3565" s="7">
        <f t="shared" si="2"/>
        <v>44471</v>
      </c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</row>
    <row r="3566" ht="14.25" customHeight="1">
      <c r="AA3566" s="7">
        <f t="shared" si="2"/>
        <v>44472</v>
      </c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</row>
    <row r="3567" ht="14.25" customHeight="1">
      <c r="AA3567" s="7">
        <f t="shared" si="2"/>
        <v>44473</v>
      </c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</row>
    <row r="3568" ht="14.25" customHeight="1">
      <c r="AA3568" s="7">
        <f t="shared" si="2"/>
        <v>44474</v>
      </c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</row>
    <row r="3569" ht="14.25" customHeight="1">
      <c r="AA3569" s="7">
        <f t="shared" si="2"/>
        <v>44475</v>
      </c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</row>
    <row r="3570" ht="14.25" customHeight="1">
      <c r="AA3570" s="7">
        <f t="shared" si="2"/>
        <v>44476</v>
      </c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</row>
    <row r="3571" ht="14.25" customHeight="1">
      <c r="AA3571" s="7">
        <f t="shared" si="2"/>
        <v>44477</v>
      </c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</row>
    <row r="3572" ht="14.25" customHeight="1">
      <c r="AA3572" s="7">
        <f t="shared" si="2"/>
        <v>44478</v>
      </c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</row>
    <row r="3573" ht="14.25" customHeight="1">
      <c r="AA3573" s="7">
        <f t="shared" si="2"/>
        <v>44479</v>
      </c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</row>
    <row r="3574" ht="14.25" customHeight="1">
      <c r="AA3574" s="7">
        <f t="shared" si="2"/>
        <v>44480</v>
      </c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</row>
    <row r="3575" ht="14.25" customHeight="1">
      <c r="AA3575" s="7">
        <f t="shared" si="2"/>
        <v>44481</v>
      </c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</row>
    <row r="3576" ht="14.25" customHeight="1">
      <c r="AA3576" s="7">
        <f t="shared" si="2"/>
        <v>44482</v>
      </c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</row>
    <row r="3577" ht="14.25" customHeight="1">
      <c r="AA3577" s="7">
        <f t="shared" si="2"/>
        <v>44483</v>
      </c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</row>
    <row r="3578" ht="14.25" customHeight="1">
      <c r="AA3578" s="7">
        <f t="shared" si="2"/>
        <v>44484</v>
      </c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</row>
    <row r="3579" ht="14.25" customHeight="1">
      <c r="AA3579" s="7">
        <f t="shared" si="2"/>
        <v>44485</v>
      </c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</row>
    <row r="3580" ht="14.25" customHeight="1">
      <c r="AA3580" s="7">
        <f t="shared" si="2"/>
        <v>44486</v>
      </c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</row>
    <row r="3581" ht="14.25" customHeight="1">
      <c r="AA3581" s="7">
        <f t="shared" si="2"/>
        <v>44487</v>
      </c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</row>
    <row r="3582" ht="14.25" customHeight="1">
      <c r="AA3582" s="7">
        <f t="shared" si="2"/>
        <v>44488</v>
      </c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</row>
    <row r="3583" ht="14.25" customHeight="1">
      <c r="AA3583" s="7">
        <f t="shared" si="2"/>
        <v>44489</v>
      </c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</row>
    <row r="3584" ht="14.25" customHeight="1">
      <c r="AA3584" s="7">
        <f t="shared" si="2"/>
        <v>44490</v>
      </c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</row>
    <row r="3585" ht="14.25" customHeight="1">
      <c r="AA3585" s="7">
        <f t="shared" si="2"/>
        <v>44491</v>
      </c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</row>
    <row r="3586" ht="14.25" customHeight="1">
      <c r="AA3586" s="7">
        <f t="shared" si="2"/>
        <v>44492</v>
      </c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</row>
    <row r="3587" ht="14.25" customHeight="1">
      <c r="AA3587" s="7">
        <f t="shared" si="2"/>
        <v>44493</v>
      </c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</row>
    <row r="3588" ht="14.25" customHeight="1">
      <c r="AA3588" s="7">
        <f t="shared" si="2"/>
        <v>44494</v>
      </c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</row>
    <row r="3589" ht="14.25" customHeight="1">
      <c r="AA3589" s="7">
        <f t="shared" si="2"/>
        <v>44495</v>
      </c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</row>
    <row r="3590" ht="14.25" customHeight="1">
      <c r="AA3590" s="7">
        <f t="shared" si="2"/>
        <v>44496</v>
      </c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</row>
    <row r="3591" ht="14.25" customHeight="1">
      <c r="AA3591" s="7">
        <f t="shared" si="2"/>
        <v>44497</v>
      </c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</row>
    <row r="3592" ht="14.25" customHeight="1">
      <c r="AA3592" s="7">
        <f t="shared" si="2"/>
        <v>44498</v>
      </c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</row>
    <row r="3593" ht="14.25" customHeight="1">
      <c r="AA3593" s="7">
        <f t="shared" si="2"/>
        <v>44499</v>
      </c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</row>
    <row r="3594" ht="14.25" customHeight="1">
      <c r="AA3594" s="7">
        <f t="shared" si="2"/>
        <v>44500</v>
      </c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</row>
    <row r="3595" ht="14.25" customHeight="1">
      <c r="AA3595" s="7">
        <f t="shared" si="2"/>
        <v>44501</v>
      </c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</row>
    <row r="3596" ht="14.25" customHeight="1">
      <c r="AA3596" s="7">
        <f t="shared" si="2"/>
        <v>44502</v>
      </c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</row>
    <row r="3597" ht="14.25" customHeight="1">
      <c r="AA3597" s="7">
        <f t="shared" si="2"/>
        <v>44503</v>
      </c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</row>
    <row r="3598" ht="14.25" customHeight="1">
      <c r="AA3598" s="7">
        <f t="shared" si="2"/>
        <v>44504</v>
      </c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</row>
    <row r="3599" ht="14.25" customHeight="1">
      <c r="AA3599" s="7">
        <f t="shared" si="2"/>
        <v>44505</v>
      </c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</row>
    <row r="3600" ht="14.25" customHeight="1">
      <c r="AA3600" s="7">
        <f t="shared" si="2"/>
        <v>44506</v>
      </c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</row>
    <row r="3601" ht="14.25" customHeight="1">
      <c r="AA3601" s="7">
        <f t="shared" si="2"/>
        <v>44507</v>
      </c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</row>
    <row r="3602" ht="14.25" customHeight="1">
      <c r="AA3602" s="7">
        <f t="shared" si="2"/>
        <v>44508</v>
      </c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</row>
    <row r="3603" ht="14.25" customHeight="1">
      <c r="AA3603" s="7">
        <f t="shared" si="2"/>
        <v>44509</v>
      </c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</row>
    <row r="3604" ht="14.25" customHeight="1">
      <c r="AA3604" s="7">
        <f t="shared" si="2"/>
        <v>44510</v>
      </c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</row>
    <row r="3605" ht="14.25" customHeight="1">
      <c r="AA3605" s="7">
        <f t="shared" si="2"/>
        <v>44511</v>
      </c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</row>
    <row r="3606" ht="14.25" customHeight="1">
      <c r="AA3606" s="7">
        <f t="shared" si="2"/>
        <v>44512</v>
      </c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</row>
    <row r="3607" ht="14.25" customHeight="1">
      <c r="AA3607" s="7">
        <f t="shared" si="2"/>
        <v>44513</v>
      </c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</row>
    <row r="3608" ht="14.25" customHeight="1">
      <c r="AA3608" s="7">
        <f t="shared" si="2"/>
        <v>44514</v>
      </c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</row>
    <row r="3609" ht="14.25" customHeight="1">
      <c r="AA3609" s="7">
        <f t="shared" si="2"/>
        <v>44515</v>
      </c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</row>
    <row r="3610" ht="14.25" customHeight="1">
      <c r="AA3610" s="7">
        <f t="shared" si="2"/>
        <v>44516</v>
      </c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</row>
    <row r="3611" ht="14.25" customHeight="1">
      <c r="AA3611" s="7">
        <f t="shared" si="2"/>
        <v>44517</v>
      </c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</row>
    <row r="3612" ht="14.25" customHeight="1">
      <c r="AA3612" s="7">
        <f t="shared" si="2"/>
        <v>44518</v>
      </c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</row>
    <row r="3613" ht="14.25" customHeight="1">
      <c r="AA3613" s="7">
        <f t="shared" si="2"/>
        <v>44519</v>
      </c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</row>
    <row r="3614" ht="14.25" customHeight="1">
      <c r="AA3614" s="7">
        <f t="shared" si="2"/>
        <v>44520</v>
      </c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</row>
    <row r="3615" ht="14.25" customHeight="1">
      <c r="AA3615" s="7">
        <f t="shared" si="2"/>
        <v>44521</v>
      </c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</row>
    <row r="3616" ht="14.25" customHeight="1">
      <c r="AA3616" s="7">
        <f t="shared" si="2"/>
        <v>44522</v>
      </c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</row>
    <row r="3617" ht="14.25" customHeight="1">
      <c r="AA3617" s="7">
        <f t="shared" si="2"/>
        <v>44523</v>
      </c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</row>
    <row r="3618" ht="14.25" customHeight="1">
      <c r="AA3618" s="7">
        <f t="shared" si="2"/>
        <v>44524</v>
      </c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</row>
    <row r="3619" ht="14.25" customHeight="1">
      <c r="AA3619" s="7">
        <f t="shared" si="2"/>
        <v>44525</v>
      </c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</row>
    <row r="3620" ht="14.25" customHeight="1">
      <c r="AA3620" s="7">
        <f t="shared" si="2"/>
        <v>44526</v>
      </c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</row>
    <row r="3621" ht="14.25" customHeight="1">
      <c r="AA3621" s="7">
        <f t="shared" si="2"/>
        <v>44527</v>
      </c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</row>
    <row r="3622" ht="14.25" customHeight="1">
      <c r="AA3622" s="7">
        <f t="shared" si="2"/>
        <v>44528</v>
      </c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</row>
    <row r="3623" ht="14.25" customHeight="1">
      <c r="AA3623" s="7">
        <f t="shared" si="2"/>
        <v>44529</v>
      </c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</row>
    <row r="3624" ht="14.25" customHeight="1">
      <c r="AA3624" s="7">
        <f t="shared" si="2"/>
        <v>44530</v>
      </c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</row>
    <row r="3625" ht="14.25" customHeight="1">
      <c r="AA3625" s="7">
        <f t="shared" si="2"/>
        <v>44531</v>
      </c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</row>
    <row r="3626" ht="14.25" customHeight="1">
      <c r="AA3626" s="7">
        <f t="shared" si="2"/>
        <v>44532</v>
      </c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</row>
    <row r="3627" ht="14.25" customHeight="1">
      <c r="AA3627" s="7">
        <f t="shared" si="2"/>
        <v>44533</v>
      </c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</row>
    <row r="3628" ht="14.25" customHeight="1">
      <c r="AA3628" s="7">
        <f t="shared" si="2"/>
        <v>44534</v>
      </c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</row>
    <row r="3629" ht="14.25" customHeight="1">
      <c r="AA3629" s="7">
        <f t="shared" si="2"/>
        <v>44535</v>
      </c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</row>
    <row r="3630" ht="14.25" customHeight="1">
      <c r="AA3630" s="7">
        <f t="shared" si="2"/>
        <v>44536</v>
      </c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</row>
    <row r="3631" ht="14.25" customHeight="1">
      <c r="AA3631" s="7">
        <f t="shared" si="2"/>
        <v>44537</v>
      </c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</row>
    <row r="3632" ht="14.25" customHeight="1">
      <c r="AA3632" s="7">
        <f t="shared" si="2"/>
        <v>44538</v>
      </c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</row>
    <row r="3633" ht="14.25" customHeight="1">
      <c r="AA3633" s="7">
        <f t="shared" si="2"/>
        <v>44539</v>
      </c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</row>
    <row r="3634" ht="14.25" customHeight="1">
      <c r="AA3634" s="7">
        <f t="shared" si="2"/>
        <v>44540</v>
      </c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</row>
    <row r="3635" ht="14.25" customHeight="1">
      <c r="AA3635" s="7">
        <f t="shared" si="2"/>
        <v>44541</v>
      </c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</row>
    <row r="3636" ht="14.25" customHeight="1">
      <c r="AA3636" s="7">
        <f t="shared" si="2"/>
        <v>44542</v>
      </c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</row>
    <row r="3637" ht="14.25" customHeight="1">
      <c r="AA3637" s="7">
        <f t="shared" si="2"/>
        <v>44543</v>
      </c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</row>
    <row r="3638" ht="14.25" customHeight="1">
      <c r="AA3638" s="7">
        <f t="shared" si="2"/>
        <v>44544</v>
      </c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</row>
    <row r="3639" ht="14.25" customHeight="1">
      <c r="AA3639" s="7">
        <f t="shared" si="2"/>
        <v>44545</v>
      </c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</row>
    <row r="3640" ht="14.25" customHeight="1">
      <c r="AA3640" s="7">
        <f t="shared" si="2"/>
        <v>44546</v>
      </c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</row>
    <row r="3641" ht="14.25" customHeight="1">
      <c r="AA3641" s="7">
        <f t="shared" si="2"/>
        <v>44547</v>
      </c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</row>
    <row r="3642" ht="14.25" customHeight="1">
      <c r="AA3642" s="7">
        <f t="shared" si="2"/>
        <v>44548</v>
      </c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</row>
    <row r="3643" ht="14.25" customHeight="1">
      <c r="AA3643" s="7">
        <f t="shared" si="2"/>
        <v>44549</v>
      </c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</row>
    <row r="3644" ht="14.25" customHeight="1">
      <c r="AA3644" s="7">
        <f t="shared" si="2"/>
        <v>44550</v>
      </c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</row>
    <row r="3645" ht="14.25" customHeight="1">
      <c r="AA3645" s="7">
        <f t="shared" si="2"/>
        <v>44551</v>
      </c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</row>
    <row r="3646" ht="14.25" customHeight="1">
      <c r="AA3646" s="7">
        <f t="shared" si="2"/>
        <v>44552</v>
      </c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</row>
    <row r="3647" ht="14.25" customHeight="1">
      <c r="AA3647" s="7">
        <f t="shared" si="2"/>
        <v>44553</v>
      </c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</row>
    <row r="3648" ht="14.25" customHeight="1">
      <c r="AA3648" s="7">
        <f t="shared" si="2"/>
        <v>44554</v>
      </c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</row>
    <row r="3649" ht="14.25" customHeight="1">
      <c r="AA3649" s="7">
        <f t="shared" si="2"/>
        <v>44555</v>
      </c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</row>
    <row r="3650" ht="14.25" customHeight="1">
      <c r="AA3650" s="7">
        <f t="shared" si="2"/>
        <v>44556</v>
      </c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</row>
    <row r="3651" ht="14.25" customHeight="1">
      <c r="AA3651" s="7">
        <f t="shared" si="2"/>
        <v>44557</v>
      </c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</row>
    <row r="3652" ht="14.25" customHeight="1">
      <c r="AA3652" s="7">
        <f t="shared" si="2"/>
        <v>44558</v>
      </c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</row>
    <row r="3653" ht="14.25" customHeight="1">
      <c r="AA3653" s="7">
        <f t="shared" si="2"/>
        <v>44559</v>
      </c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</row>
    <row r="3654" ht="14.25" customHeight="1">
      <c r="AA3654" s="7">
        <f t="shared" si="2"/>
        <v>44560</v>
      </c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</row>
    <row r="3655" ht="14.25" customHeight="1">
      <c r="AA3655" s="7">
        <f t="shared" si="2"/>
        <v>44561</v>
      </c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</row>
    <row r="3656" ht="14.25" customHeight="1">
      <c r="AA3656" s="7">
        <f t="shared" si="2"/>
        <v>44562</v>
      </c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</row>
    <row r="3657" ht="14.25" customHeight="1">
      <c r="AA3657" s="7">
        <f t="shared" si="2"/>
        <v>44563</v>
      </c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</row>
    <row r="3658" ht="14.25" customHeight="1">
      <c r="AA3658" s="7">
        <f t="shared" si="2"/>
        <v>44564</v>
      </c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</row>
    <row r="3659" ht="14.25" customHeight="1">
      <c r="AA3659" s="7">
        <f t="shared" si="2"/>
        <v>44565</v>
      </c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</row>
    <row r="3660" ht="14.25" customHeight="1">
      <c r="AA3660" s="7">
        <f t="shared" si="2"/>
        <v>44566</v>
      </c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</row>
    <row r="3661" ht="14.25" customHeight="1">
      <c r="AA3661" s="7">
        <f t="shared" si="2"/>
        <v>44567</v>
      </c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</row>
    <row r="3662" ht="14.25" customHeight="1">
      <c r="AA3662" s="7">
        <f t="shared" si="2"/>
        <v>44568</v>
      </c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</row>
    <row r="3663" ht="14.25" customHeight="1">
      <c r="AA3663" s="7">
        <f t="shared" si="2"/>
        <v>44569</v>
      </c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</row>
    <row r="3664" ht="14.25" customHeight="1">
      <c r="AA3664" s="7">
        <f t="shared" si="2"/>
        <v>44570</v>
      </c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</row>
    <row r="3665" ht="14.25" customHeight="1">
      <c r="AA3665" s="7">
        <f t="shared" si="2"/>
        <v>44571</v>
      </c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</row>
    <row r="3666" ht="14.25" customHeight="1">
      <c r="AA3666" s="7">
        <f t="shared" si="2"/>
        <v>44572</v>
      </c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</row>
    <row r="3667" ht="14.25" customHeight="1">
      <c r="AA3667" s="7">
        <f t="shared" si="2"/>
        <v>44573</v>
      </c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</row>
    <row r="3668" ht="14.25" customHeight="1">
      <c r="AA3668" s="7">
        <f t="shared" si="2"/>
        <v>44574</v>
      </c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</row>
    <row r="3669" ht="14.25" customHeight="1">
      <c r="AA3669" s="7">
        <f t="shared" si="2"/>
        <v>44575</v>
      </c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</row>
    <row r="3670" ht="14.25" customHeight="1">
      <c r="AA3670" s="7">
        <f t="shared" si="2"/>
        <v>44576</v>
      </c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</row>
    <row r="3671" ht="14.25" customHeight="1">
      <c r="AA3671" s="7">
        <f t="shared" si="2"/>
        <v>44577</v>
      </c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</row>
    <row r="3672" ht="14.25" customHeight="1">
      <c r="AA3672" s="7">
        <f t="shared" si="2"/>
        <v>44578</v>
      </c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</row>
    <row r="3673" ht="14.25" customHeight="1">
      <c r="AA3673" s="7">
        <f t="shared" si="2"/>
        <v>44579</v>
      </c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</row>
    <row r="3674" ht="14.25" customHeight="1">
      <c r="AA3674" s="7">
        <f t="shared" si="2"/>
        <v>44580</v>
      </c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</row>
    <row r="3675" ht="14.25" customHeight="1">
      <c r="AA3675" s="7">
        <f t="shared" si="2"/>
        <v>44581</v>
      </c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</row>
    <row r="3676" ht="14.25" customHeight="1">
      <c r="AA3676" s="7">
        <f t="shared" si="2"/>
        <v>44582</v>
      </c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</row>
    <row r="3677" ht="14.25" customHeight="1">
      <c r="AA3677" s="7">
        <f t="shared" si="2"/>
        <v>44583</v>
      </c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</row>
    <row r="3678" ht="14.25" customHeight="1">
      <c r="AA3678" s="7">
        <f t="shared" si="2"/>
        <v>44584</v>
      </c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</row>
    <row r="3679" ht="14.25" customHeight="1">
      <c r="AA3679" s="7">
        <f t="shared" si="2"/>
        <v>44585</v>
      </c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</row>
    <row r="3680" ht="14.25" customHeight="1">
      <c r="AA3680" s="7">
        <f t="shared" si="2"/>
        <v>44586</v>
      </c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</row>
    <row r="3681" ht="14.25" customHeight="1">
      <c r="AA3681" s="7">
        <f t="shared" si="2"/>
        <v>44587</v>
      </c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</row>
    <row r="3682" ht="14.25" customHeight="1">
      <c r="AA3682" s="7">
        <f t="shared" si="2"/>
        <v>44588</v>
      </c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</row>
    <row r="3683" ht="14.25" customHeight="1">
      <c r="AA3683" s="7">
        <f t="shared" si="2"/>
        <v>44589</v>
      </c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</row>
    <row r="3684" ht="14.25" customHeight="1">
      <c r="AA3684" s="7">
        <f t="shared" si="2"/>
        <v>44590</v>
      </c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</row>
    <row r="3685" ht="14.25" customHeight="1">
      <c r="AA3685" s="7">
        <f t="shared" si="2"/>
        <v>44591</v>
      </c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</row>
    <row r="3686" ht="14.25" customHeight="1">
      <c r="AA3686" s="7">
        <f t="shared" si="2"/>
        <v>44592</v>
      </c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</row>
    <row r="3687" ht="14.25" customHeight="1">
      <c r="AA3687" s="7">
        <f t="shared" si="2"/>
        <v>44593</v>
      </c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</row>
    <row r="3688" ht="14.25" customHeight="1">
      <c r="AA3688" s="7">
        <f t="shared" si="2"/>
        <v>44594</v>
      </c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</row>
    <row r="3689" ht="14.25" customHeight="1">
      <c r="AA3689" s="7">
        <f t="shared" si="2"/>
        <v>44595</v>
      </c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</row>
    <row r="3690" ht="14.25" customHeight="1">
      <c r="AA3690" s="7">
        <f t="shared" si="2"/>
        <v>44596</v>
      </c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</row>
    <row r="3691" ht="14.25" customHeight="1">
      <c r="AA3691" s="7">
        <f t="shared" si="2"/>
        <v>44597</v>
      </c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</row>
    <row r="3692" ht="14.25" customHeight="1">
      <c r="AA3692" s="7">
        <f t="shared" si="2"/>
        <v>44598</v>
      </c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</row>
    <row r="3693" ht="14.25" customHeight="1">
      <c r="AA3693" s="7">
        <f t="shared" si="2"/>
        <v>44599</v>
      </c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</row>
    <row r="3694" ht="14.25" customHeight="1">
      <c r="AA3694" s="7">
        <f t="shared" si="2"/>
        <v>44600</v>
      </c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</row>
    <row r="3695" ht="14.25" customHeight="1">
      <c r="AA3695" s="7">
        <f t="shared" si="2"/>
        <v>44601</v>
      </c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</row>
    <row r="3696" ht="14.25" customHeight="1">
      <c r="AA3696" s="7">
        <f t="shared" si="2"/>
        <v>44602</v>
      </c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</row>
    <row r="3697" ht="14.25" customHeight="1">
      <c r="AA3697" s="7">
        <f t="shared" si="2"/>
        <v>44603</v>
      </c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</row>
    <row r="3698" ht="14.25" customHeight="1">
      <c r="AA3698" s="7">
        <f t="shared" si="2"/>
        <v>44604</v>
      </c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</row>
    <row r="3699" ht="14.25" customHeight="1">
      <c r="AA3699" s="7">
        <f t="shared" si="2"/>
        <v>44605</v>
      </c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</row>
    <row r="3700" ht="14.25" customHeight="1">
      <c r="AA3700" s="7">
        <f t="shared" si="2"/>
        <v>44606</v>
      </c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</row>
    <row r="3701" ht="14.25" customHeight="1">
      <c r="AA3701" s="7">
        <f t="shared" si="2"/>
        <v>44607</v>
      </c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</row>
    <row r="3702" ht="14.25" customHeight="1">
      <c r="AA3702" s="7">
        <f t="shared" si="2"/>
        <v>44608</v>
      </c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</row>
    <row r="3703" ht="14.25" customHeight="1">
      <c r="AA3703" s="7">
        <f t="shared" si="2"/>
        <v>44609</v>
      </c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</row>
    <row r="3704" ht="14.25" customHeight="1">
      <c r="AA3704" s="7">
        <f t="shared" si="2"/>
        <v>44610</v>
      </c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</row>
    <row r="3705" ht="14.25" customHeight="1">
      <c r="AA3705" s="7">
        <f t="shared" si="2"/>
        <v>44611</v>
      </c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</row>
    <row r="3706" ht="14.25" customHeight="1">
      <c r="AA3706" s="7">
        <f t="shared" si="2"/>
        <v>44612</v>
      </c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</row>
    <row r="3707" ht="14.25" customHeight="1">
      <c r="AA3707" s="7">
        <f t="shared" si="2"/>
        <v>44613</v>
      </c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</row>
    <row r="3708" ht="14.25" customHeight="1">
      <c r="AA3708" s="7">
        <f t="shared" si="2"/>
        <v>44614</v>
      </c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</row>
    <row r="3709" ht="14.25" customHeight="1">
      <c r="AA3709" s="7">
        <f t="shared" si="2"/>
        <v>44615</v>
      </c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</row>
    <row r="3710" ht="14.25" customHeight="1">
      <c r="AA3710" s="7">
        <f t="shared" si="2"/>
        <v>44616</v>
      </c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</row>
    <row r="3711" ht="14.25" customHeight="1">
      <c r="AA3711" s="7">
        <f t="shared" si="2"/>
        <v>44617</v>
      </c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</row>
    <row r="3712" ht="14.25" customHeight="1">
      <c r="AA3712" s="7">
        <f t="shared" si="2"/>
        <v>44618</v>
      </c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</row>
    <row r="3713" ht="14.25" customHeight="1">
      <c r="AA3713" s="7">
        <f t="shared" si="2"/>
        <v>44619</v>
      </c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</row>
    <row r="3714" ht="14.25" customHeight="1">
      <c r="AA3714" s="7">
        <f t="shared" si="2"/>
        <v>44620</v>
      </c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</row>
    <row r="3715" ht="14.25" customHeight="1">
      <c r="AA3715" s="7">
        <f t="shared" si="2"/>
        <v>44621</v>
      </c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</row>
    <row r="3716" ht="14.25" customHeight="1">
      <c r="AA3716" s="7">
        <f t="shared" si="2"/>
        <v>44622</v>
      </c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</row>
    <row r="3717" ht="14.25" customHeight="1">
      <c r="AA3717" s="7">
        <f t="shared" si="2"/>
        <v>44623</v>
      </c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</row>
    <row r="3718" ht="14.25" customHeight="1">
      <c r="AA3718" s="7">
        <f t="shared" si="2"/>
        <v>44624</v>
      </c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</row>
    <row r="3719" ht="14.25" customHeight="1">
      <c r="AA3719" s="7">
        <f t="shared" si="2"/>
        <v>44625</v>
      </c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</row>
    <row r="3720" ht="14.25" customHeight="1">
      <c r="AA3720" s="7">
        <f t="shared" si="2"/>
        <v>44626</v>
      </c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</row>
    <row r="3721" ht="14.25" customHeight="1">
      <c r="AA3721" s="7">
        <f t="shared" si="2"/>
        <v>44627</v>
      </c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</row>
    <row r="3722" ht="14.25" customHeight="1">
      <c r="AA3722" s="7">
        <f t="shared" si="2"/>
        <v>44628</v>
      </c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</row>
    <row r="3723" ht="14.25" customHeight="1">
      <c r="AA3723" s="7">
        <f t="shared" si="2"/>
        <v>44629</v>
      </c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</row>
    <row r="3724" ht="14.25" customHeight="1">
      <c r="AA3724" s="7">
        <f t="shared" si="2"/>
        <v>44630</v>
      </c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</row>
    <row r="3725" ht="14.25" customHeight="1">
      <c r="AA3725" s="7">
        <f t="shared" si="2"/>
        <v>44631</v>
      </c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</row>
    <row r="3726" ht="14.25" customHeight="1">
      <c r="AA3726" s="7">
        <f t="shared" si="2"/>
        <v>44632</v>
      </c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</row>
    <row r="3727" ht="14.25" customHeight="1">
      <c r="AA3727" s="7">
        <f t="shared" si="2"/>
        <v>44633</v>
      </c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</row>
    <row r="3728" ht="14.25" customHeight="1">
      <c r="AA3728" s="7">
        <f t="shared" si="2"/>
        <v>44634</v>
      </c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</row>
    <row r="3729" ht="14.25" customHeight="1">
      <c r="AA3729" s="7">
        <f t="shared" si="2"/>
        <v>44635</v>
      </c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</row>
    <row r="3730" ht="14.25" customHeight="1">
      <c r="AA3730" s="7">
        <f t="shared" si="2"/>
        <v>44636</v>
      </c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</row>
    <row r="3731" ht="14.25" customHeight="1">
      <c r="AA3731" s="7">
        <f t="shared" si="2"/>
        <v>44637</v>
      </c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</row>
    <row r="3732" ht="14.25" customHeight="1">
      <c r="AA3732" s="7">
        <f t="shared" si="2"/>
        <v>44638</v>
      </c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</row>
    <row r="3733" ht="14.25" customHeight="1">
      <c r="AA3733" s="7">
        <f t="shared" si="2"/>
        <v>44639</v>
      </c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</row>
    <row r="3734" ht="14.25" customHeight="1">
      <c r="AA3734" s="7">
        <f t="shared" si="2"/>
        <v>44640</v>
      </c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</row>
    <row r="3735" ht="14.25" customHeight="1">
      <c r="AA3735" s="7">
        <f t="shared" si="2"/>
        <v>44641</v>
      </c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</row>
    <row r="3736" ht="14.25" customHeight="1">
      <c r="AA3736" s="7">
        <f t="shared" si="2"/>
        <v>44642</v>
      </c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</row>
    <row r="3737" ht="14.25" customHeight="1">
      <c r="AA3737" s="7">
        <f t="shared" si="2"/>
        <v>44643</v>
      </c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</row>
    <row r="3738" ht="14.25" customHeight="1">
      <c r="AA3738" s="7">
        <f t="shared" si="2"/>
        <v>44644</v>
      </c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</row>
    <row r="3739" ht="14.25" customHeight="1">
      <c r="AA3739" s="7">
        <f t="shared" si="2"/>
        <v>44645</v>
      </c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</row>
    <row r="3740" ht="14.25" customHeight="1">
      <c r="AA3740" s="7">
        <f t="shared" si="2"/>
        <v>44646</v>
      </c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</row>
    <row r="3741" ht="14.25" customHeight="1">
      <c r="AA3741" s="7">
        <f t="shared" si="2"/>
        <v>44647</v>
      </c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</row>
    <row r="3742" ht="14.25" customHeight="1">
      <c r="AA3742" s="7">
        <f t="shared" si="2"/>
        <v>44648</v>
      </c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</row>
    <row r="3743" ht="14.25" customHeight="1">
      <c r="AA3743" s="7">
        <f t="shared" si="2"/>
        <v>44649</v>
      </c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</row>
    <row r="3744" ht="14.25" customHeight="1">
      <c r="AA3744" s="7">
        <f t="shared" si="2"/>
        <v>44650</v>
      </c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</row>
    <row r="3745" ht="14.25" customHeight="1">
      <c r="AA3745" s="7">
        <f t="shared" si="2"/>
        <v>44651</v>
      </c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</row>
    <row r="3746" ht="14.25" customHeight="1">
      <c r="AA3746" s="7">
        <f t="shared" si="2"/>
        <v>44652</v>
      </c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</row>
    <row r="3747" ht="14.25" customHeight="1">
      <c r="AA3747" s="7">
        <f t="shared" si="2"/>
        <v>44653</v>
      </c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</row>
    <row r="3748" ht="14.25" customHeight="1">
      <c r="AA3748" s="7">
        <f t="shared" si="2"/>
        <v>44654</v>
      </c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</row>
    <row r="3749" ht="14.25" customHeight="1">
      <c r="AA3749" s="7">
        <f t="shared" si="2"/>
        <v>44655</v>
      </c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</row>
    <row r="3750" ht="14.25" customHeight="1">
      <c r="AA3750" s="7">
        <f t="shared" si="2"/>
        <v>44656</v>
      </c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</row>
    <row r="3751" ht="14.25" customHeight="1">
      <c r="AA3751" s="7">
        <f t="shared" si="2"/>
        <v>44657</v>
      </c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</row>
    <row r="3752" ht="14.25" customHeight="1">
      <c r="AA3752" s="7">
        <f t="shared" si="2"/>
        <v>44658</v>
      </c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</row>
    <row r="3753" ht="14.25" customHeight="1">
      <c r="AA3753" s="7">
        <f t="shared" si="2"/>
        <v>44659</v>
      </c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</row>
    <row r="3754" ht="14.25" customHeight="1">
      <c r="AA3754" s="7">
        <f t="shared" si="2"/>
        <v>44660</v>
      </c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</row>
    <row r="3755" ht="14.25" customHeight="1">
      <c r="AA3755" s="7">
        <f t="shared" si="2"/>
        <v>44661</v>
      </c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</row>
    <row r="3756" ht="14.25" customHeight="1">
      <c r="AA3756" s="7">
        <f t="shared" si="2"/>
        <v>44662</v>
      </c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</row>
    <row r="3757" ht="14.25" customHeight="1">
      <c r="AA3757" s="7">
        <f t="shared" si="2"/>
        <v>44663</v>
      </c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</row>
    <row r="3758" ht="14.25" customHeight="1">
      <c r="AA3758" s="7">
        <f t="shared" si="2"/>
        <v>44664</v>
      </c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</row>
    <row r="3759" ht="14.25" customHeight="1">
      <c r="AA3759" s="7">
        <f t="shared" si="2"/>
        <v>44665</v>
      </c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</row>
    <row r="3760" ht="14.25" customHeight="1">
      <c r="AA3760" s="7">
        <f t="shared" si="2"/>
        <v>44666</v>
      </c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</row>
    <row r="3761" ht="14.25" customHeight="1">
      <c r="AA3761" s="7">
        <f t="shared" si="2"/>
        <v>44667</v>
      </c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</row>
    <row r="3762" ht="14.25" customHeight="1">
      <c r="AA3762" s="7">
        <f t="shared" si="2"/>
        <v>44668</v>
      </c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</row>
    <row r="3763" ht="14.25" customHeight="1">
      <c r="AA3763" s="7">
        <f t="shared" si="2"/>
        <v>44669</v>
      </c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</row>
    <row r="3764" ht="14.25" customHeight="1">
      <c r="AA3764" s="7">
        <f t="shared" si="2"/>
        <v>44670</v>
      </c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</row>
    <row r="3765" ht="14.25" customHeight="1">
      <c r="AA3765" s="7">
        <f t="shared" si="2"/>
        <v>44671</v>
      </c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</row>
    <row r="3766" ht="14.25" customHeight="1">
      <c r="AA3766" s="7">
        <f t="shared" si="2"/>
        <v>44672</v>
      </c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</row>
    <row r="3767" ht="14.25" customHeight="1">
      <c r="AA3767" s="7">
        <f t="shared" si="2"/>
        <v>44673</v>
      </c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</row>
    <row r="3768" ht="14.25" customHeight="1">
      <c r="AA3768" s="7">
        <f t="shared" si="2"/>
        <v>44674</v>
      </c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</row>
    <row r="3769" ht="14.25" customHeight="1">
      <c r="AA3769" s="7">
        <f t="shared" si="2"/>
        <v>44675</v>
      </c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</row>
    <row r="3770" ht="14.25" customHeight="1">
      <c r="AA3770" s="7">
        <f t="shared" si="2"/>
        <v>44676</v>
      </c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</row>
    <row r="3771" ht="14.25" customHeight="1">
      <c r="AA3771" s="7">
        <f t="shared" si="2"/>
        <v>44677</v>
      </c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</row>
    <row r="3772" ht="14.25" customHeight="1">
      <c r="AA3772" s="7">
        <f t="shared" si="2"/>
        <v>44678</v>
      </c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</row>
    <row r="3773" ht="14.25" customHeight="1">
      <c r="AA3773" s="7">
        <f t="shared" si="2"/>
        <v>44679</v>
      </c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</row>
    <row r="3774" ht="14.25" customHeight="1">
      <c r="AA3774" s="7">
        <f t="shared" si="2"/>
        <v>44680</v>
      </c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</row>
    <row r="3775" ht="14.25" customHeight="1">
      <c r="AA3775" s="7">
        <f t="shared" si="2"/>
        <v>44681</v>
      </c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</row>
    <row r="3776" ht="14.25" customHeight="1">
      <c r="AA3776" s="7">
        <f t="shared" si="2"/>
        <v>44682</v>
      </c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</row>
    <row r="3777" ht="14.25" customHeight="1">
      <c r="AA3777" s="7">
        <f t="shared" si="2"/>
        <v>44683</v>
      </c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</row>
    <row r="3778" ht="14.25" customHeight="1">
      <c r="AA3778" s="7">
        <f t="shared" si="2"/>
        <v>44684</v>
      </c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</row>
    <row r="3779" ht="14.25" customHeight="1">
      <c r="AA3779" s="7">
        <f t="shared" si="2"/>
        <v>44685</v>
      </c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</row>
    <row r="3780" ht="14.25" customHeight="1">
      <c r="AA3780" s="7">
        <f t="shared" si="2"/>
        <v>44686</v>
      </c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</row>
    <row r="3781" ht="14.25" customHeight="1">
      <c r="AA3781" s="7">
        <f t="shared" si="2"/>
        <v>44687</v>
      </c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</row>
    <row r="3782" ht="14.25" customHeight="1">
      <c r="AA3782" s="7">
        <f t="shared" si="2"/>
        <v>44688</v>
      </c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</row>
    <row r="3783" ht="14.25" customHeight="1">
      <c r="AA3783" s="7">
        <f t="shared" si="2"/>
        <v>44689</v>
      </c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</row>
    <row r="3784" ht="14.25" customHeight="1">
      <c r="AA3784" s="7">
        <f t="shared" si="2"/>
        <v>44690</v>
      </c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</row>
    <row r="3785" ht="14.25" customHeight="1">
      <c r="AA3785" s="7">
        <f t="shared" si="2"/>
        <v>44691</v>
      </c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</row>
    <row r="3786" ht="14.25" customHeight="1">
      <c r="AA3786" s="7">
        <f t="shared" si="2"/>
        <v>44692</v>
      </c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</row>
    <row r="3787" ht="14.25" customHeight="1">
      <c r="AA3787" s="7">
        <f t="shared" si="2"/>
        <v>44693</v>
      </c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</row>
    <row r="3788" ht="14.25" customHeight="1">
      <c r="AA3788" s="7">
        <f t="shared" si="2"/>
        <v>44694</v>
      </c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</row>
    <row r="3789" ht="14.25" customHeight="1">
      <c r="AA3789" s="7">
        <f t="shared" si="2"/>
        <v>44695</v>
      </c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</row>
    <row r="3790" ht="14.25" customHeight="1">
      <c r="AA3790" s="7">
        <f t="shared" si="2"/>
        <v>44696</v>
      </c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</row>
    <row r="3791" ht="14.25" customHeight="1">
      <c r="AA3791" s="7">
        <f t="shared" si="2"/>
        <v>44697</v>
      </c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</row>
    <row r="3792" ht="14.25" customHeight="1">
      <c r="AA3792" s="7">
        <f t="shared" si="2"/>
        <v>44698</v>
      </c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</row>
    <row r="3793" ht="14.25" customHeight="1">
      <c r="AA3793" s="7">
        <f t="shared" si="2"/>
        <v>44699</v>
      </c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</row>
    <row r="3794" ht="14.25" customHeight="1">
      <c r="AA3794" s="7">
        <f t="shared" si="2"/>
        <v>44700</v>
      </c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</row>
    <row r="3795" ht="14.25" customHeight="1">
      <c r="AA3795" s="7">
        <f t="shared" si="2"/>
        <v>44701</v>
      </c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</row>
    <row r="3796" ht="14.25" customHeight="1">
      <c r="AA3796" s="7">
        <f t="shared" si="2"/>
        <v>44702</v>
      </c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</row>
    <row r="3797" ht="14.25" customHeight="1">
      <c r="AA3797" s="7">
        <f t="shared" si="2"/>
        <v>44703</v>
      </c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</row>
    <row r="3798" ht="14.25" customHeight="1">
      <c r="AA3798" s="7">
        <f t="shared" si="2"/>
        <v>44704</v>
      </c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</row>
    <row r="3799" ht="14.25" customHeight="1">
      <c r="AA3799" s="7">
        <f t="shared" si="2"/>
        <v>44705</v>
      </c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</row>
    <row r="3800" ht="14.25" customHeight="1">
      <c r="AA3800" s="7">
        <f t="shared" si="2"/>
        <v>44706</v>
      </c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</row>
    <row r="3801" ht="14.25" customHeight="1">
      <c r="AA3801" s="7">
        <f t="shared" si="2"/>
        <v>44707</v>
      </c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</row>
    <row r="3802" ht="14.25" customHeight="1">
      <c r="AA3802" s="7">
        <f t="shared" si="2"/>
        <v>44708</v>
      </c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</row>
    <row r="3803" ht="14.25" customHeight="1">
      <c r="AA3803" s="7">
        <f t="shared" si="2"/>
        <v>44709</v>
      </c>
      <c r="AB3803" s="14"/>
      <c r="AC3803" s="14"/>
      <c r="AD3803" s="14"/>
      <c r="AE3803" s="14"/>
      <c r="AF3803" s="14"/>
      <c r="AG3803" s="14"/>
      <c r="AH3803" s="14"/>
      <c r="AI3803" s="14"/>
      <c r="AJ3803" s="14"/>
      <c r="AK3803" s="14"/>
      <c r="AL3803" s="14"/>
      <c r="AM3803" s="14"/>
    </row>
    <row r="3804" ht="14.25" customHeight="1">
      <c r="AA3804" s="7">
        <f t="shared" si="2"/>
        <v>44710</v>
      </c>
      <c r="AB3804" s="14"/>
      <c r="AC3804" s="14"/>
      <c r="AD3804" s="14"/>
      <c r="AE3804" s="14"/>
      <c r="AF3804" s="14"/>
      <c r="AG3804" s="14"/>
      <c r="AH3804" s="14"/>
      <c r="AI3804" s="14"/>
      <c r="AJ3804" s="14"/>
      <c r="AK3804" s="14"/>
      <c r="AL3804" s="14"/>
      <c r="AM3804" s="14"/>
    </row>
    <row r="3805" ht="14.25" customHeight="1">
      <c r="AA3805" s="7">
        <f t="shared" si="2"/>
        <v>44711</v>
      </c>
      <c r="AB3805" s="14"/>
      <c r="AC3805" s="14"/>
      <c r="AD3805" s="14"/>
      <c r="AE3805" s="14"/>
      <c r="AF3805" s="14"/>
      <c r="AG3805" s="14"/>
      <c r="AH3805" s="14"/>
      <c r="AI3805" s="14"/>
      <c r="AJ3805" s="14"/>
      <c r="AK3805" s="14"/>
      <c r="AL3805" s="14"/>
      <c r="AM3805" s="14"/>
    </row>
    <row r="3806" ht="14.25" customHeight="1">
      <c r="AA3806" s="7">
        <f t="shared" si="2"/>
        <v>44712</v>
      </c>
      <c r="AB3806" s="14"/>
      <c r="AC3806" s="14"/>
      <c r="AD3806" s="14"/>
      <c r="AE3806" s="14"/>
      <c r="AF3806" s="14"/>
      <c r="AG3806" s="14"/>
      <c r="AH3806" s="14"/>
      <c r="AI3806" s="14"/>
      <c r="AJ3806" s="14"/>
      <c r="AK3806" s="14"/>
      <c r="AL3806" s="14"/>
      <c r="AM3806" s="14"/>
    </row>
    <row r="3807" ht="14.25" customHeight="1">
      <c r="AA3807" s="7">
        <f t="shared" si="2"/>
        <v>44713</v>
      </c>
      <c r="AB3807" s="14"/>
      <c r="AC3807" s="14"/>
      <c r="AD3807" s="14"/>
      <c r="AE3807" s="14"/>
      <c r="AF3807" s="14"/>
      <c r="AG3807" s="14"/>
      <c r="AH3807" s="14"/>
      <c r="AI3807" s="14"/>
      <c r="AJ3807" s="14"/>
      <c r="AK3807" s="14"/>
      <c r="AL3807" s="14"/>
      <c r="AM3807" s="14"/>
    </row>
    <row r="3808" ht="14.25" customHeight="1">
      <c r="AA3808" s="7">
        <f t="shared" si="2"/>
        <v>44714</v>
      </c>
      <c r="AB3808" s="14"/>
      <c r="AC3808" s="14"/>
      <c r="AD3808" s="14"/>
      <c r="AE3808" s="14"/>
      <c r="AF3808" s="14"/>
      <c r="AG3808" s="14"/>
      <c r="AH3808" s="14"/>
      <c r="AI3808" s="14"/>
      <c r="AJ3808" s="14"/>
      <c r="AK3808" s="14"/>
      <c r="AL3808" s="14"/>
      <c r="AM3808" s="14"/>
    </row>
    <row r="3809" ht="14.25" customHeight="1">
      <c r="AA3809" s="7">
        <f t="shared" si="2"/>
        <v>44715</v>
      </c>
      <c r="AB3809" s="14"/>
      <c r="AC3809" s="14"/>
      <c r="AD3809" s="14"/>
      <c r="AE3809" s="14"/>
      <c r="AF3809" s="14"/>
      <c r="AG3809" s="14"/>
      <c r="AH3809" s="14"/>
      <c r="AI3809" s="14"/>
      <c r="AJ3809" s="14"/>
      <c r="AK3809" s="14"/>
      <c r="AL3809" s="14"/>
      <c r="AM3809" s="14"/>
    </row>
    <row r="3810" ht="14.25" customHeight="1">
      <c r="AA3810" s="7">
        <f t="shared" si="2"/>
        <v>44716</v>
      </c>
      <c r="AB3810" s="14"/>
      <c r="AC3810" s="14"/>
      <c r="AD3810" s="14"/>
      <c r="AE3810" s="14"/>
      <c r="AF3810" s="14"/>
      <c r="AG3810" s="14"/>
      <c r="AH3810" s="14"/>
      <c r="AI3810" s="14"/>
      <c r="AJ3810" s="14"/>
      <c r="AK3810" s="14"/>
      <c r="AL3810" s="14"/>
      <c r="AM3810" s="14"/>
    </row>
    <row r="3811" ht="14.25" customHeight="1">
      <c r="AA3811" s="7">
        <f t="shared" si="2"/>
        <v>44717</v>
      </c>
      <c r="AB3811" s="14"/>
      <c r="AC3811" s="14"/>
      <c r="AD3811" s="14"/>
      <c r="AE3811" s="14"/>
      <c r="AF3811" s="14"/>
      <c r="AG3811" s="14"/>
      <c r="AH3811" s="14"/>
      <c r="AI3811" s="14"/>
      <c r="AJ3811" s="14"/>
      <c r="AK3811" s="14"/>
      <c r="AL3811" s="14"/>
      <c r="AM3811" s="14"/>
    </row>
    <row r="3812" ht="14.25" customHeight="1">
      <c r="AA3812" s="7">
        <f t="shared" si="2"/>
        <v>44718</v>
      </c>
      <c r="AB3812" s="14"/>
      <c r="AC3812" s="14"/>
      <c r="AD3812" s="14"/>
      <c r="AE3812" s="14"/>
      <c r="AF3812" s="14"/>
      <c r="AG3812" s="14"/>
      <c r="AH3812" s="14"/>
      <c r="AI3812" s="14"/>
      <c r="AJ3812" s="14"/>
      <c r="AK3812" s="14"/>
      <c r="AL3812" s="14"/>
      <c r="AM3812" s="14"/>
    </row>
    <row r="3813" ht="14.25" customHeight="1">
      <c r="AA3813" s="7">
        <f t="shared" si="2"/>
        <v>44719</v>
      </c>
      <c r="AB3813" s="14"/>
      <c r="AC3813" s="14"/>
      <c r="AD3813" s="14"/>
      <c r="AE3813" s="14"/>
      <c r="AF3813" s="14"/>
      <c r="AG3813" s="14"/>
      <c r="AH3813" s="14"/>
      <c r="AI3813" s="14"/>
      <c r="AJ3813" s="14"/>
      <c r="AK3813" s="14"/>
      <c r="AL3813" s="14"/>
      <c r="AM3813" s="14"/>
    </row>
    <row r="3814" ht="14.25" customHeight="1">
      <c r="AA3814" s="7">
        <f t="shared" si="2"/>
        <v>44720</v>
      </c>
      <c r="AB3814" s="14"/>
      <c r="AC3814" s="14"/>
      <c r="AD3814" s="14"/>
      <c r="AE3814" s="14"/>
      <c r="AF3814" s="14"/>
      <c r="AG3814" s="14"/>
      <c r="AH3814" s="14"/>
      <c r="AI3814" s="14"/>
      <c r="AJ3814" s="14"/>
      <c r="AK3814" s="14"/>
      <c r="AL3814" s="14"/>
      <c r="AM3814" s="14"/>
    </row>
    <row r="3815" ht="14.25" customHeight="1">
      <c r="AA3815" s="7">
        <f t="shared" si="2"/>
        <v>44721</v>
      </c>
      <c r="AB3815" s="14"/>
      <c r="AC3815" s="14"/>
      <c r="AD3815" s="14"/>
      <c r="AE3815" s="14"/>
      <c r="AF3815" s="14"/>
      <c r="AG3815" s="14"/>
      <c r="AH3815" s="14"/>
      <c r="AI3815" s="14"/>
      <c r="AJ3815" s="14"/>
      <c r="AK3815" s="14"/>
      <c r="AL3815" s="14"/>
      <c r="AM3815" s="14"/>
    </row>
    <row r="3816" ht="14.25" customHeight="1">
      <c r="AA3816" s="7">
        <f t="shared" si="2"/>
        <v>44722</v>
      </c>
      <c r="AB3816" s="14"/>
      <c r="AC3816" s="14"/>
      <c r="AD3816" s="14"/>
      <c r="AE3816" s="14"/>
      <c r="AF3816" s="14"/>
      <c r="AG3816" s="14"/>
      <c r="AH3816" s="14"/>
      <c r="AI3816" s="14"/>
      <c r="AJ3816" s="14"/>
      <c r="AK3816" s="14"/>
      <c r="AL3816" s="14"/>
      <c r="AM3816" s="14"/>
    </row>
    <row r="3817" ht="14.25" customHeight="1">
      <c r="AA3817" s="7">
        <f t="shared" si="2"/>
        <v>44723</v>
      </c>
      <c r="AB3817" s="14"/>
      <c r="AC3817" s="14"/>
      <c r="AD3817" s="14"/>
      <c r="AE3817" s="14"/>
      <c r="AF3817" s="14"/>
      <c r="AG3817" s="14"/>
      <c r="AH3817" s="14"/>
      <c r="AI3817" s="14"/>
      <c r="AJ3817" s="14"/>
      <c r="AK3817" s="14"/>
      <c r="AL3817" s="14"/>
      <c r="AM3817" s="14"/>
    </row>
    <row r="3818" ht="14.25" customHeight="1">
      <c r="AA3818" s="7">
        <f t="shared" si="2"/>
        <v>44724</v>
      </c>
      <c r="AB3818" s="14"/>
      <c r="AC3818" s="14"/>
      <c r="AD3818" s="14"/>
      <c r="AE3818" s="14"/>
      <c r="AF3818" s="14"/>
      <c r="AG3818" s="14"/>
      <c r="AH3818" s="14"/>
      <c r="AI3818" s="14"/>
      <c r="AJ3818" s="14"/>
      <c r="AK3818" s="14"/>
      <c r="AL3818" s="14"/>
      <c r="AM3818" s="14"/>
    </row>
    <row r="3819" ht="14.25" customHeight="1">
      <c r="AA3819" s="7">
        <f t="shared" si="2"/>
        <v>44725</v>
      </c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</row>
    <row r="3820" ht="14.25" customHeight="1">
      <c r="AA3820" s="7">
        <f t="shared" si="2"/>
        <v>44726</v>
      </c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</row>
    <row r="3821" ht="14.25" customHeight="1">
      <c r="AA3821" s="7">
        <f t="shared" si="2"/>
        <v>44727</v>
      </c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</row>
    <row r="3822" ht="14.25" customHeight="1">
      <c r="AA3822" s="7">
        <f t="shared" si="2"/>
        <v>44728</v>
      </c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</row>
    <row r="3823" ht="14.25" customHeight="1">
      <c r="AA3823" s="7">
        <f t="shared" si="2"/>
        <v>44729</v>
      </c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</row>
    <row r="3824" ht="14.25" customHeight="1">
      <c r="AA3824" s="7">
        <f t="shared" si="2"/>
        <v>44730</v>
      </c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</row>
    <row r="3825" ht="14.25" customHeight="1">
      <c r="AA3825" s="7">
        <f t="shared" si="2"/>
        <v>44731</v>
      </c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</row>
    <row r="3826" ht="14.25" customHeight="1">
      <c r="AA3826" s="7">
        <f t="shared" si="2"/>
        <v>44732</v>
      </c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</row>
    <row r="3827" ht="14.25" customHeight="1">
      <c r="AA3827" s="7">
        <f t="shared" si="2"/>
        <v>44733</v>
      </c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</row>
    <row r="3828" ht="14.25" customHeight="1">
      <c r="AA3828" s="7">
        <f t="shared" si="2"/>
        <v>44734</v>
      </c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</row>
    <row r="3829" ht="14.25" customHeight="1">
      <c r="AA3829" s="7">
        <f t="shared" si="2"/>
        <v>44735</v>
      </c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</row>
    <row r="3830" ht="14.25" customHeight="1">
      <c r="AA3830" s="7">
        <f t="shared" si="2"/>
        <v>44736</v>
      </c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</row>
    <row r="3831" ht="14.25" customHeight="1">
      <c r="AA3831" s="7">
        <f t="shared" si="2"/>
        <v>44737</v>
      </c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</row>
    <row r="3832" ht="14.25" customHeight="1">
      <c r="AA3832" s="7">
        <f t="shared" si="2"/>
        <v>44738</v>
      </c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</row>
    <row r="3833" ht="14.25" customHeight="1">
      <c r="AA3833" s="7">
        <f t="shared" si="2"/>
        <v>44739</v>
      </c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</row>
    <row r="3834" ht="14.25" customHeight="1">
      <c r="AA3834" s="7">
        <f t="shared" si="2"/>
        <v>44740</v>
      </c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</row>
    <row r="3835" ht="14.25" customHeight="1">
      <c r="AA3835" s="7">
        <f t="shared" si="2"/>
        <v>44741</v>
      </c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</row>
    <row r="3836" ht="14.25" customHeight="1">
      <c r="AA3836" s="7">
        <f t="shared" si="2"/>
        <v>44742</v>
      </c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</row>
    <row r="3837" ht="14.25" customHeight="1">
      <c r="AA3837" s="7">
        <f t="shared" si="2"/>
        <v>44743</v>
      </c>
      <c r="AB3837" s="14"/>
      <c r="AC3837" s="14"/>
      <c r="AD3837" s="14"/>
      <c r="AE3837" s="14"/>
      <c r="AF3837" s="14"/>
      <c r="AG3837" s="14"/>
      <c r="AH3837" s="14"/>
      <c r="AI3837" s="14"/>
      <c r="AJ3837" s="14"/>
      <c r="AK3837" s="14"/>
      <c r="AL3837" s="14"/>
      <c r="AM3837" s="14"/>
    </row>
    <row r="3838" ht="14.25" customHeight="1">
      <c r="AA3838" s="7">
        <f t="shared" si="2"/>
        <v>44744</v>
      </c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</row>
    <row r="3839" ht="14.25" customHeight="1">
      <c r="AA3839" s="7">
        <f t="shared" si="2"/>
        <v>44745</v>
      </c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</row>
    <row r="3840" ht="14.25" customHeight="1">
      <c r="AA3840" s="7">
        <f t="shared" si="2"/>
        <v>44746</v>
      </c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</row>
    <row r="3841" ht="14.25" customHeight="1">
      <c r="AA3841" s="7">
        <f t="shared" si="2"/>
        <v>44747</v>
      </c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</row>
    <row r="3842" ht="14.25" customHeight="1">
      <c r="AA3842" s="7">
        <f t="shared" si="2"/>
        <v>44748</v>
      </c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</row>
    <row r="3843" ht="14.25" customHeight="1">
      <c r="AA3843" s="7">
        <f t="shared" si="2"/>
        <v>44749</v>
      </c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</row>
    <row r="3844" ht="14.25" customHeight="1">
      <c r="AA3844" s="7">
        <f t="shared" si="2"/>
        <v>44750</v>
      </c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</row>
    <row r="3845" ht="14.25" customHeight="1">
      <c r="AA3845" s="7">
        <f t="shared" si="2"/>
        <v>44751</v>
      </c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</row>
    <row r="3846" ht="14.25" customHeight="1">
      <c r="AA3846" s="7">
        <f t="shared" si="2"/>
        <v>44752</v>
      </c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</row>
    <row r="3847" ht="14.25" customHeight="1">
      <c r="AA3847" s="7">
        <f t="shared" si="2"/>
        <v>44753</v>
      </c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</row>
    <row r="3848" ht="14.25" customHeight="1">
      <c r="AA3848" s="7">
        <f t="shared" si="2"/>
        <v>44754</v>
      </c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14"/>
      <c r="AL3848" s="14"/>
      <c r="AM3848" s="14"/>
    </row>
    <row r="3849" ht="14.25" customHeight="1">
      <c r="AA3849" s="7">
        <f t="shared" si="2"/>
        <v>44755</v>
      </c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</row>
    <row r="3850" ht="14.25" customHeight="1">
      <c r="AA3850" s="7">
        <f t="shared" si="2"/>
        <v>44756</v>
      </c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</row>
    <row r="3851" ht="14.25" customHeight="1">
      <c r="AA3851" s="7">
        <f t="shared" si="2"/>
        <v>44757</v>
      </c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</row>
    <row r="3852" ht="14.25" customHeight="1">
      <c r="AA3852" s="7">
        <f t="shared" si="2"/>
        <v>44758</v>
      </c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</row>
    <row r="3853" ht="14.25" customHeight="1">
      <c r="AA3853" s="7">
        <f t="shared" si="2"/>
        <v>44759</v>
      </c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</row>
    <row r="3854" ht="14.25" customHeight="1">
      <c r="AA3854" s="7">
        <f t="shared" si="2"/>
        <v>44760</v>
      </c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</row>
    <row r="3855" ht="14.25" customHeight="1">
      <c r="AA3855" s="7">
        <f t="shared" si="2"/>
        <v>44761</v>
      </c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</row>
    <row r="3856" ht="14.25" customHeight="1">
      <c r="AA3856" s="7">
        <f t="shared" si="2"/>
        <v>44762</v>
      </c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</row>
    <row r="3857" ht="14.25" customHeight="1">
      <c r="AA3857" s="7">
        <f t="shared" si="2"/>
        <v>44763</v>
      </c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</row>
    <row r="3858" ht="14.25" customHeight="1">
      <c r="AA3858" s="7">
        <f t="shared" si="2"/>
        <v>44764</v>
      </c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</row>
    <row r="3859" ht="14.25" customHeight="1">
      <c r="AA3859" s="7">
        <f t="shared" si="2"/>
        <v>44765</v>
      </c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</row>
    <row r="3860" ht="14.25" customHeight="1">
      <c r="AA3860" s="7">
        <f t="shared" si="2"/>
        <v>44766</v>
      </c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</row>
    <row r="3861" ht="14.25" customHeight="1">
      <c r="AA3861" s="7">
        <f t="shared" si="2"/>
        <v>44767</v>
      </c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</row>
    <row r="3862" ht="14.25" customHeight="1">
      <c r="AA3862" s="7">
        <f t="shared" si="2"/>
        <v>44768</v>
      </c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</row>
    <row r="3863" ht="14.25" customHeight="1">
      <c r="AA3863" s="7">
        <f t="shared" si="2"/>
        <v>44769</v>
      </c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</row>
    <row r="3864" ht="14.25" customHeight="1">
      <c r="AA3864" s="7">
        <f t="shared" si="2"/>
        <v>44770</v>
      </c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</row>
    <row r="3865" ht="14.25" customHeight="1">
      <c r="AA3865" s="7">
        <f t="shared" si="2"/>
        <v>44771</v>
      </c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</row>
    <row r="3866" ht="14.25" customHeight="1">
      <c r="AA3866" s="7">
        <f t="shared" si="2"/>
        <v>44772</v>
      </c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</row>
    <row r="3867" ht="14.25" customHeight="1">
      <c r="AA3867" s="7">
        <f t="shared" si="2"/>
        <v>44773</v>
      </c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</row>
    <row r="3868" ht="14.25" customHeight="1">
      <c r="AA3868" s="7">
        <f t="shared" si="2"/>
        <v>44774</v>
      </c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</row>
    <row r="3869" ht="14.25" customHeight="1">
      <c r="AA3869" s="7">
        <f t="shared" si="2"/>
        <v>44775</v>
      </c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</row>
    <row r="3870" ht="14.25" customHeight="1">
      <c r="AA3870" s="7">
        <f t="shared" si="2"/>
        <v>44776</v>
      </c>
      <c r="AB3870" s="14"/>
      <c r="AC3870" s="14"/>
      <c r="AD3870" s="14"/>
      <c r="AE3870" s="14"/>
      <c r="AF3870" s="14"/>
      <c r="AG3870" s="14"/>
      <c r="AH3870" s="14"/>
      <c r="AI3870" s="14"/>
      <c r="AJ3870" s="14"/>
      <c r="AK3870" s="14"/>
      <c r="AL3870" s="14"/>
      <c r="AM3870" s="14"/>
    </row>
    <row r="3871" ht="14.25" customHeight="1">
      <c r="AA3871" s="7">
        <f t="shared" si="2"/>
        <v>44777</v>
      </c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</row>
    <row r="3872" ht="14.25" customHeight="1">
      <c r="AA3872" s="7">
        <f t="shared" si="2"/>
        <v>44778</v>
      </c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</row>
    <row r="3873" ht="14.25" customHeight="1">
      <c r="AA3873" s="7">
        <f t="shared" si="2"/>
        <v>44779</v>
      </c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</row>
    <row r="3874" ht="14.25" customHeight="1">
      <c r="AA3874" s="7">
        <f t="shared" si="2"/>
        <v>44780</v>
      </c>
      <c r="AB3874" s="14"/>
      <c r="AC3874" s="14"/>
      <c r="AD3874" s="14"/>
      <c r="AE3874" s="14"/>
      <c r="AF3874" s="14"/>
      <c r="AG3874" s="14"/>
      <c r="AH3874" s="14"/>
      <c r="AI3874" s="14"/>
      <c r="AJ3874" s="14"/>
      <c r="AK3874" s="14"/>
      <c r="AL3874" s="14"/>
      <c r="AM3874" s="14"/>
    </row>
    <row r="3875" ht="14.25" customHeight="1">
      <c r="AA3875" s="7">
        <f t="shared" si="2"/>
        <v>44781</v>
      </c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</row>
    <row r="3876" ht="14.25" customHeight="1">
      <c r="AA3876" s="7">
        <f t="shared" si="2"/>
        <v>44782</v>
      </c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</row>
    <row r="3877" ht="14.25" customHeight="1">
      <c r="AA3877" s="7">
        <f t="shared" si="2"/>
        <v>44783</v>
      </c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</row>
    <row r="3878" ht="14.25" customHeight="1">
      <c r="AA3878" s="7">
        <f t="shared" si="2"/>
        <v>44784</v>
      </c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</row>
    <row r="3879" ht="14.25" customHeight="1">
      <c r="AA3879" s="7">
        <f t="shared" si="2"/>
        <v>44785</v>
      </c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</row>
    <row r="3880" ht="14.25" customHeight="1">
      <c r="AA3880" s="7">
        <f t="shared" si="2"/>
        <v>44786</v>
      </c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</row>
    <row r="3881" ht="14.25" customHeight="1">
      <c r="AA3881" s="7">
        <f t="shared" si="2"/>
        <v>44787</v>
      </c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</row>
    <row r="3882" ht="14.25" customHeight="1">
      <c r="AA3882" s="7">
        <f t="shared" si="2"/>
        <v>44788</v>
      </c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</row>
    <row r="3883" ht="14.25" customHeight="1">
      <c r="AA3883" s="7">
        <f t="shared" si="2"/>
        <v>44789</v>
      </c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</row>
    <row r="3884" ht="14.25" customHeight="1">
      <c r="AA3884" s="7">
        <f t="shared" si="2"/>
        <v>44790</v>
      </c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</row>
    <row r="3885" ht="14.25" customHeight="1">
      <c r="AA3885" s="7">
        <f t="shared" si="2"/>
        <v>44791</v>
      </c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</row>
    <row r="3886" ht="14.25" customHeight="1">
      <c r="AA3886" s="7">
        <f t="shared" si="2"/>
        <v>44792</v>
      </c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</row>
    <row r="3887" ht="14.25" customHeight="1">
      <c r="AA3887" s="7">
        <f t="shared" si="2"/>
        <v>44793</v>
      </c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</row>
    <row r="3888" ht="14.25" customHeight="1">
      <c r="AA3888" s="7">
        <f t="shared" si="2"/>
        <v>44794</v>
      </c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</row>
    <row r="3889" ht="14.25" customHeight="1">
      <c r="AA3889" s="7">
        <f t="shared" si="2"/>
        <v>44795</v>
      </c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</row>
    <row r="3890" ht="14.25" customHeight="1">
      <c r="AA3890" s="7">
        <f t="shared" si="2"/>
        <v>44796</v>
      </c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</row>
    <row r="3891" ht="14.25" customHeight="1">
      <c r="AA3891" s="7">
        <f t="shared" si="2"/>
        <v>44797</v>
      </c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</row>
    <row r="3892" ht="14.25" customHeight="1">
      <c r="AA3892" s="7">
        <f t="shared" si="2"/>
        <v>44798</v>
      </c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</row>
    <row r="3893" ht="14.25" customHeight="1">
      <c r="AA3893" s="7">
        <f t="shared" si="2"/>
        <v>44799</v>
      </c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</row>
    <row r="3894" ht="14.25" customHeight="1">
      <c r="AA3894" s="7">
        <f t="shared" si="2"/>
        <v>44800</v>
      </c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</row>
    <row r="3895" ht="14.25" customHeight="1">
      <c r="AA3895" s="7">
        <f t="shared" si="2"/>
        <v>44801</v>
      </c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</row>
    <row r="3896" ht="14.25" customHeight="1">
      <c r="AA3896" s="7">
        <f t="shared" si="2"/>
        <v>44802</v>
      </c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</row>
    <row r="3897" ht="14.25" customHeight="1">
      <c r="AA3897" s="7">
        <f t="shared" si="2"/>
        <v>44803</v>
      </c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</row>
    <row r="3898" ht="14.25" customHeight="1">
      <c r="AA3898" s="7">
        <f t="shared" si="2"/>
        <v>44804</v>
      </c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</row>
    <row r="3899" ht="14.25" customHeight="1">
      <c r="AA3899" s="7">
        <f t="shared" si="2"/>
        <v>44805</v>
      </c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</row>
    <row r="3900" ht="14.25" customHeight="1">
      <c r="AA3900" s="7">
        <f t="shared" si="2"/>
        <v>44806</v>
      </c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</row>
    <row r="3901" ht="14.25" customHeight="1">
      <c r="AA3901" s="7">
        <f t="shared" si="2"/>
        <v>44807</v>
      </c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</row>
    <row r="3902" ht="14.25" customHeight="1">
      <c r="AA3902" s="7">
        <f t="shared" si="2"/>
        <v>44808</v>
      </c>
      <c r="AB3902" s="14"/>
      <c r="AC3902" s="14"/>
      <c r="AD3902" s="14"/>
      <c r="AE3902" s="14"/>
      <c r="AF3902" s="14"/>
      <c r="AG3902" s="14"/>
      <c r="AH3902" s="14"/>
      <c r="AI3902" s="14"/>
      <c r="AJ3902" s="14"/>
      <c r="AK3902" s="14"/>
      <c r="AL3902" s="14"/>
      <c r="AM3902" s="14"/>
    </row>
    <row r="3903" ht="14.25" customHeight="1">
      <c r="AA3903" s="7">
        <f t="shared" si="2"/>
        <v>44809</v>
      </c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</row>
    <row r="3904" ht="14.25" customHeight="1">
      <c r="AA3904" s="7">
        <f t="shared" si="2"/>
        <v>44810</v>
      </c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</row>
    <row r="3905" ht="14.25" customHeight="1">
      <c r="AA3905" s="7">
        <f t="shared" si="2"/>
        <v>44811</v>
      </c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</row>
    <row r="3906" ht="14.25" customHeight="1">
      <c r="AA3906" s="7">
        <f t="shared" si="2"/>
        <v>44812</v>
      </c>
      <c r="AB3906" s="14"/>
      <c r="AC3906" s="14"/>
      <c r="AD3906" s="14"/>
      <c r="AE3906" s="14"/>
      <c r="AF3906" s="14"/>
      <c r="AG3906" s="14"/>
      <c r="AH3906" s="14"/>
      <c r="AI3906" s="14"/>
      <c r="AJ3906" s="14"/>
      <c r="AK3906" s="14"/>
      <c r="AL3906" s="14"/>
      <c r="AM3906" s="14"/>
    </row>
    <row r="3907" ht="14.25" customHeight="1">
      <c r="AA3907" s="7">
        <f t="shared" si="2"/>
        <v>44813</v>
      </c>
      <c r="AB3907" s="14"/>
      <c r="AC3907" s="14"/>
      <c r="AD3907" s="14"/>
      <c r="AE3907" s="14"/>
      <c r="AF3907" s="14"/>
      <c r="AG3907" s="14"/>
      <c r="AH3907" s="14"/>
      <c r="AI3907" s="14"/>
      <c r="AJ3907" s="14"/>
      <c r="AK3907" s="14"/>
      <c r="AL3907" s="14"/>
      <c r="AM3907" s="14"/>
    </row>
    <row r="3908" ht="14.25" customHeight="1">
      <c r="AA3908" s="7">
        <f t="shared" si="2"/>
        <v>44814</v>
      </c>
      <c r="AB3908" s="14"/>
      <c r="AC3908" s="14"/>
      <c r="AD3908" s="14"/>
      <c r="AE3908" s="14"/>
      <c r="AF3908" s="14"/>
      <c r="AG3908" s="14"/>
      <c r="AH3908" s="14"/>
      <c r="AI3908" s="14"/>
      <c r="AJ3908" s="14"/>
      <c r="AK3908" s="14"/>
      <c r="AL3908" s="14"/>
      <c r="AM3908" s="14"/>
    </row>
    <row r="3909" ht="14.25" customHeight="1">
      <c r="AA3909" s="7">
        <f t="shared" si="2"/>
        <v>44815</v>
      </c>
      <c r="AB3909" s="14"/>
      <c r="AC3909" s="14"/>
      <c r="AD3909" s="14"/>
      <c r="AE3909" s="14"/>
      <c r="AF3909" s="14"/>
      <c r="AG3909" s="14"/>
      <c r="AH3909" s="14"/>
      <c r="AI3909" s="14"/>
      <c r="AJ3909" s="14"/>
      <c r="AK3909" s="14"/>
      <c r="AL3909" s="14"/>
      <c r="AM3909" s="14"/>
    </row>
    <row r="3910" ht="14.25" customHeight="1">
      <c r="AA3910" s="7">
        <f t="shared" si="2"/>
        <v>44816</v>
      </c>
      <c r="AB3910" s="14"/>
      <c r="AC3910" s="14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</row>
    <row r="3911" ht="14.25" customHeight="1">
      <c r="AA3911" s="7">
        <f t="shared" si="2"/>
        <v>44817</v>
      </c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</row>
    <row r="3912" ht="14.25" customHeight="1">
      <c r="AA3912" s="7">
        <f t="shared" si="2"/>
        <v>44818</v>
      </c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</row>
    <row r="3913" ht="14.25" customHeight="1">
      <c r="AA3913" s="7">
        <f t="shared" si="2"/>
        <v>44819</v>
      </c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</row>
    <row r="3914" ht="14.25" customHeight="1">
      <c r="AA3914" s="7">
        <f t="shared" si="2"/>
        <v>44820</v>
      </c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</row>
    <row r="3915" ht="14.25" customHeight="1">
      <c r="AA3915" s="7">
        <f t="shared" si="2"/>
        <v>44821</v>
      </c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</row>
    <row r="3916" ht="14.25" customHeight="1">
      <c r="AA3916" s="7">
        <f t="shared" si="2"/>
        <v>44822</v>
      </c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</row>
    <row r="3917" ht="14.25" customHeight="1">
      <c r="AA3917" s="7">
        <f t="shared" si="2"/>
        <v>44823</v>
      </c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</row>
    <row r="3918" ht="14.25" customHeight="1">
      <c r="AA3918" s="7">
        <f t="shared" si="2"/>
        <v>44824</v>
      </c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</row>
    <row r="3919" ht="14.25" customHeight="1">
      <c r="AA3919" s="7">
        <f t="shared" si="2"/>
        <v>44825</v>
      </c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</row>
    <row r="3920" ht="14.25" customHeight="1">
      <c r="AA3920" s="7">
        <f t="shared" si="2"/>
        <v>44826</v>
      </c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</row>
    <row r="3921" ht="14.25" customHeight="1">
      <c r="AA3921" s="7">
        <f t="shared" si="2"/>
        <v>44827</v>
      </c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</row>
    <row r="3922" ht="14.25" customHeight="1">
      <c r="AA3922" s="7">
        <f t="shared" si="2"/>
        <v>44828</v>
      </c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</row>
    <row r="3923" ht="14.25" customHeight="1">
      <c r="AA3923" s="7">
        <f t="shared" si="2"/>
        <v>44829</v>
      </c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</row>
    <row r="3924" ht="14.25" customHeight="1">
      <c r="AA3924" s="7">
        <f t="shared" si="2"/>
        <v>44830</v>
      </c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</row>
    <row r="3925" ht="14.25" customHeight="1">
      <c r="AA3925" s="7">
        <f t="shared" si="2"/>
        <v>44831</v>
      </c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</row>
    <row r="3926" ht="14.25" customHeight="1">
      <c r="AA3926" s="7">
        <f t="shared" si="2"/>
        <v>44832</v>
      </c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</row>
    <row r="3927" ht="14.25" customHeight="1">
      <c r="AA3927" s="7">
        <f t="shared" si="2"/>
        <v>44833</v>
      </c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</row>
    <row r="3928" ht="14.25" customHeight="1">
      <c r="AA3928" s="7">
        <f t="shared" si="2"/>
        <v>44834</v>
      </c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</row>
    <row r="3929" ht="14.25" customHeight="1">
      <c r="AA3929" s="7">
        <f t="shared" si="2"/>
        <v>44835</v>
      </c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</row>
    <row r="3930" ht="14.25" customHeight="1">
      <c r="AA3930" s="7">
        <f t="shared" si="2"/>
        <v>44836</v>
      </c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</row>
    <row r="3931" ht="14.25" customHeight="1">
      <c r="AA3931" s="7">
        <f t="shared" si="2"/>
        <v>44837</v>
      </c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</row>
    <row r="3932" ht="14.25" customHeight="1">
      <c r="AA3932" s="7">
        <f t="shared" si="2"/>
        <v>44838</v>
      </c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</row>
    <row r="3933" ht="14.25" customHeight="1">
      <c r="AA3933" s="7">
        <f t="shared" si="2"/>
        <v>44839</v>
      </c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</row>
    <row r="3934" ht="14.25" customHeight="1">
      <c r="AA3934" s="7">
        <f t="shared" si="2"/>
        <v>44840</v>
      </c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</row>
    <row r="3935" ht="14.25" customHeight="1">
      <c r="AA3935" s="7">
        <f t="shared" si="2"/>
        <v>44841</v>
      </c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</row>
    <row r="3936" ht="14.25" customHeight="1">
      <c r="AA3936" s="7">
        <f t="shared" si="2"/>
        <v>44842</v>
      </c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</row>
    <row r="3937" ht="14.25" customHeight="1">
      <c r="AA3937" s="7">
        <f t="shared" si="2"/>
        <v>44843</v>
      </c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</row>
    <row r="3938" ht="14.25" customHeight="1">
      <c r="AA3938" s="7">
        <f t="shared" si="2"/>
        <v>44844</v>
      </c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</row>
    <row r="3939" ht="14.25" customHeight="1">
      <c r="AA3939" s="7">
        <f t="shared" si="2"/>
        <v>44845</v>
      </c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</row>
    <row r="3940" ht="14.25" customHeight="1">
      <c r="AA3940" s="7">
        <f t="shared" si="2"/>
        <v>44846</v>
      </c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</row>
    <row r="3941" ht="14.25" customHeight="1">
      <c r="AA3941" s="7">
        <f t="shared" si="2"/>
        <v>44847</v>
      </c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</row>
    <row r="3942" ht="14.25" customHeight="1">
      <c r="AA3942" s="7">
        <f t="shared" si="2"/>
        <v>44848</v>
      </c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</row>
    <row r="3943" ht="14.25" customHeight="1">
      <c r="AA3943" s="7">
        <f t="shared" si="2"/>
        <v>44849</v>
      </c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</row>
    <row r="3944" ht="14.25" customHeight="1">
      <c r="AA3944" s="7">
        <f t="shared" si="2"/>
        <v>44850</v>
      </c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</row>
    <row r="3945" ht="14.25" customHeight="1">
      <c r="AA3945" s="7">
        <f t="shared" si="2"/>
        <v>44851</v>
      </c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</row>
    <row r="3946" ht="14.25" customHeight="1">
      <c r="AA3946" s="7">
        <f t="shared" si="2"/>
        <v>44852</v>
      </c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</row>
    <row r="3947" ht="14.25" customHeight="1">
      <c r="AA3947" s="7">
        <f t="shared" si="2"/>
        <v>44853</v>
      </c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</row>
    <row r="3948" ht="14.25" customHeight="1">
      <c r="AA3948" s="7">
        <f t="shared" si="2"/>
        <v>44854</v>
      </c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</row>
    <row r="3949" ht="14.25" customHeight="1">
      <c r="AA3949" s="7">
        <f t="shared" si="2"/>
        <v>44855</v>
      </c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</row>
    <row r="3950" ht="14.25" customHeight="1">
      <c r="AA3950" s="7">
        <f t="shared" si="2"/>
        <v>44856</v>
      </c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</row>
    <row r="3951" ht="14.25" customHeight="1">
      <c r="AA3951" s="7">
        <f t="shared" si="2"/>
        <v>44857</v>
      </c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</row>
    <row r="3952" ht="14.25" customHeight="1">
      <c r="AA3952" s="7">
        <f t="shared" si="2"/>
        <v>44858</v>
      </c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</row>
    <row r="3953" ht="14.25" customHeight="1">
      <c r="AA3953" s="7">
        <f t="shared" si="2"/>
        <v>44859</v>
      </c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</row>
    <row r="3954" ht="14.25" customHeight="1">
      <c r="AA3954" s="7">
        <f t="shared" si="2"/>
        <v>44860</v>
      </c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</row>
    <row r="3955" ht="14.25" customHeight="1">
      <c r="AA3955" s="7">
        <f t="shared" si="2"/>
        <v>44861</v>
      </c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</row>
    <row r="3956" ht="14.25" customHeight="1">
      <c r="AA3956" s="7">
        <f t="shared" si="2"/>
        <v>44862</v>
      </c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</row>
    <row r="3957" ht="14.25" customHeight="1">
      <c r="AA3957" s="7">
        <f t="shared" si="2"/>
        <v>44863</v>
      </c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</row>
    <row r="3958" ht="14.25" customHeight="1">
      <c r="AA3958" s="7">
        <f t="shared" si="2"/>
        <v>44864</v>
      </c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</row>
    <row r="3959" ht="14.25" customHeight="1">
      <c r="AA3959" s="7">
        <f t="shared" si="2"/>
        <v>44865</v>
      </c>
      <c r="AB3959" s="14"/>
      <c r="AC3959" s="14"/>
      <c r="AD3959" s="14"/>
      <c r="AE3959" s="14"/>
      <c r="AF3959" s="14"/>
      <c r="AG3959" s="14"/>
      <c r="AH3959" s="14"/>
      <c r="AI3959" s="14"/>
      <c r="AJ3959" s="14"/>
      <c r="AK3959" s="14"/>
      <c r="AL3959" s="14"/>
      <c r="AM3959" s="14"/>
    </row>
    <row r="3960" ht="14.25" customHeight="1">
      <c r="AA3960" s="7">
        <f t="shared" si="2"/>
        <v>44866</v>
      </c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</row>
    <row r="3961" ht="14.25" customHeight="1">
      <c r="AA3961" s="7">
        <f t="shared" si="2"/>
        <v>44867</v>
      </c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</row>
    <row r="3962" ht="14.25" customHeight="1">
      <c r="AA3962" s="7">
        <f t="shared" si="2"/>
        <v>44868</v>
      </c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</row>
    <row r="3963" ht="14.25" customHeight="1">
      <c r="AA3963" s="7">
        <f t="shared" si="2"/>
        <v>44869</v>
      </c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</row>
    <row r="3964" ht="14.25" customHeight="1">
      <c r="AA3964" s="7">
        <f t="shared" si="2"/>
        <v>44870</v>
      </c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</row>
    <row r="3965" ht="14.25" customHeight="1">
      <c r="AA3965" s="7">
        <f t="shared" si="2"/>
        <v>44871</v>
      </c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</row>
    <row r="3966" ht="14.25" customHeight="1">
      <c r="AA3966" s="7">
        <f t="shared" si="2"/>
        <v>44872</v>
      </c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</row>
    <row r="3967" ht="14.25" customHeight="1">
      <c r="AA3967" s="7">
        <f t="shared" si="2"/>
        <v>44873</v>
      </c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</row>
    <row r="3968" ht="14.25" customHeight="1">
      <c r="AA3968" s="7">
        <f t="shared" si="2"/>
        <v>44874</v>
      </c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</row>
    <row r="3969" ht="14.25" customHeight="1">
      <c r="AA3969" s="7">
        <f t="shared" si="2"/>
        <v>44875</v>
      </c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</row>
    <row r="3970" ht="14.25" customHeight="1">
      <c r="AA3970" s="7">
        <f t="shared" si="2"/>
        <v>44876</v>
      </c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</row>
    <row r="3971" ht="14.25" customHeight="1">
      <c r="AA3971" s="7">
        <f t="shared" si="2"/>
        <v>44877</v>
      </c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</row>
    <row r="3972" ht="14.25" customHeight="1">
      <c r="AA3972" s="7">
        <f t="shared" si="2"/>
        <v>44878</v>
      </c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</row>
    <row r="3973" ht="14.25" customHeight="1">
      <c r="AA3973" s="7">
        <f t="shared" si="2"/>
        <v>44879</v>
      </c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</row>
    <row r="3974" ht="14.25" customHeight="1">
      <c r="AA3974" s="7">
        <f t="shared" si="2"/>
        <v>44880</v>
      </c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</row>
    <row r="3975" ht="14.25" customHeight="1">
      <c r="AA3975" s="7">
        <f t="shared" si="2"/>
        <v>44881</v>
      </c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</row>
    <row r="3976" ht="14.25" customHeight="1">
      <c r="AA3976" s="7">
        <f t="shared" si="2"/>
        <v>44882</v>
      </c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</row>
    <row r="3977" ht="14.25" customHeight="1">
      <c r="AA3977" s="7">
        <f t="shared" si="2"/>
        <v>44883</v>
      </c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</row>
    <row r="3978" ht="14.25" customHeight="1">
      <c r="AA3978" s="7">
        <f t="shared" si="2"/>
        <v>44884</v>
      </c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</row>
    <row r="3979" ht="14.25" customHeight="1">
      <c r="AA3979" s="7">
        <f t="shared" si="2"/>
        <v>44885</v>
      </c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</row>
    <row r="3980" ht="14.25" customHeight="1">
      <c r="AA3980" s="7">
        <f t="shared" si="2"/>
        <v>44886</v>
      </c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</row>
    <row r="3981" ht="14.25" customHeight="1">
      <c r="AA3981" s="7">
        <f t="shared" si="2"/>
        <v>44887</v>
      </c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</row>
    <row r="3982" ht="14.25" customHeight="1">
      <c r="AA3982" s="7">
        <f t="shared" si="2"/>
        <v>44888</v>
      </c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</row>
    <row r="3983" ht="14.25" customHeight="1">
      <c r="AA3983" s="7">
        <f t="shared" si="2"/>
        <v>44889</v>
      </c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</row>
    <row r="3984" ht="14.25" customHeight="1">
      <c r="AA3984" s="7">
        <f t="shared" si="2"/>
        <v>44890</v>
      </c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</row>
    <row r="3985" ht="14.25" customHeight="1">
      <c r="AA3985" s="7">
        <f t="shared" si="2"/>
        <v>44891</v>
      </c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</row>
    <row r="3986" ht="14.25" customHeight="1">
      <c r="AA3986" s="7">
        <f t="shared" si="2"/>
        <v>44892</v>
      </c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</row>
    <row r="3987" ht="14.25" customHeight="1">
      <c r="AA3987" s="7">
        <f t="shared" si="2"/>
        <v>44893</v>
      </c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</row>
    <row r="3988" ht="14.25" customHeight="1">
      <c r="AA3988" s="7">
        <f t="shared" si="2"/>
        <v>44894</v>
      </c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</row>
    <row r="3989" ht="14.25" customHeight="1">
      <c r="AA3989" s="7">
        <f t="shared" si="2"/>
        <v>44895</v>
      </c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</row>
    <row r="3990" ht="14.25" customHeight="1">
      <c r="AA3990" s="7">
        <f t="shared" si="2"/>
        <v>44896</v>
      </c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</row>
    <row r="3991" ht="14.25" customHeight="1">
      <c r="AA3991" s="7">
        <f t="shared" si="2"/>
        <v>44897</v>
      </c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</row>
    <row r="3992" ht="14.25" customHeight="1">
      <c r="AA3992" s="7">
        <f t="shared" si="2"/>
        <v>44898</v>
      </c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</row>
    <row r="3993" ht="14.25" customHeight="1">
      <c r="AA3993" s="7">
        <f t="shared" si="2"/>
        <v>44899</v>
      </c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</row>
    <row r="3994" ht="14.25" customHeight="1">
      <c r="AA3994" s="7">
        <f t="shared" si="2"/>
        <v>44900</v>
      </c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</row>
    <row r="3995" ht="14.25" customHeight="1">
      <c r="AA3995" s="7">
        <f t="shared" si="2"/>
        <v>44901</v>
      </c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</row>
    <row r="3996" ht="14.25" customHeight="1">
      <c r="AA3996" s="7">
        <f t="shared" si="2"/>
        <v>44902</v>
      </c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</row>
    <row r="3997" ht="14.25" customHeight="1">
      <c r="AA3997" s="7">
        <f t="shared" si="2"/>
        <v>44903</v>
      </c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</row>
    <row r="3998" ht="14.25" customHeight="1">
      <c r="AA3998" s="7">
        <f t="shared" si="2"/>
        <v>44904</v>
      </c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</row>
    <row r="3999" ht="14.25" customHeight="1">
      <c r="AA3999" s="7">
        <f t="shared" si="2"/>
        <v>44905</v>
      </c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</row>
    <row r="4000" ht="14.25" customHeight="1">
      <c r="AA4000" s="7">
        <f t="shared" si="2"/>
        <v>44906</v>
      </c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</row>
    <row r="4001" ht="14.25" customHeight="1">
      <c r="AA4001" s="7">
        <f t="shared" si="2"/>
        <v>44907</v>
      </c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</row>
    <row r="4002" ht="14.25" customHeight="1">
      <c r="AA4002" s="7">
        <f t="shared" si="2"/>
        <v>44908</v>
      </c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</row>
    <row r="4003" ht="14.25" customHeight="1">
      <c r="AA4003" s="7">
        <f t="shared" si="2"/>
        <v>44909</v>
      </c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</row>
    <row r="4004" ht="14.25" customHeight="1">
      <c r="AA4004" s="7">
        <f t="shared" si="2"/>
        <v>44910</v>
      </c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</row>
    <row r="4005" ht="14.25" customHeight="1">
      <c r="AA4005" s="7">
        <f t="shared" si="2"/>
        <v>44911</v>
      </c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</row>
    <row r="4006" ht="14.25" customHeight="1">
      <c r="AA4006" s="7">
        <f t="shared" si="2"/>
        <v>44912</v>
      </c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</row>
    <row r="4007" ht="14.25" customHeight="1">
      <c r="AA4007" s="7">
        <f t="shared" si="2"/>
        <v>44913</v>
      </c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</row>
    <row r="4008" ht="14.25" customHeight="1">
      <c r="AA4008" s="7">
        <f t="shared" si="2"/>
        <v>44914</v>
      </c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</row>
    <row r="4009" ht="14.25" customHeight="1">
      <c r="AA4009" s="7">
        <f t="shared" si="2"/>
        <v>44915</v>
      </c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</row>
    <row r="4010" ht="14.25" customHeight="1">
      <c r="AA4010" s="7">
        <f t="shared" si="2"/>
        <v>44916</v>
      </c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</row>
    <row r="4011" ht="14.25" customHeight="1">
      <c r="AA4011" s="7">
        <f t="shared" si="2"/>
        <v>44917</v>
      </c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</row>
    <row r="4012" ht="14.25" customHeight="1">
      <c r="AA4012" s="7">
        <f t="shared" si="2"/>
        <v>44918</v>
      </c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</row>
    <row r="4013" ht="14.25" customHeight="1">
      <c r="AA4013" s="7">
        <f t="shared" si="2"/>
        <v>44919</v>
      </c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</row>
    <row r="4014" ht="14.25" customHeight="1">
      <c r="AA4014" s="7">
        <f t="shared" si="2"/>
        <v>44920</v>
      </c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</row>
    <row r="4015" ht="14.25" customHeight="1">
      <c r="AA4015" s="7">
        <f t="shared" si="2"/>
        <v>44921</v>
      </c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</row>
    <row r="4016" ht="14.25" customHeight="1">
      <c r="AA4016" s="7">
        <f t="shared" si="2"/>
        <v>44922</v>
      </c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</row>
    <row r="4017" ht="14.25" customHeight="1">
      <c r="AA4017" s="7">
        <f t="shared" si="2"/>
        <v>44923</v>
      </c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</row>
    <row r="4018" ht="14.25" customHeight="1">
      <c r="AA4018" s="7">
        <f t="shared" si="2"/>
        <v>44924</v>
      </c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</row>
    <row r="4019" ht="14.25" customHeight="1">
      <c r="AA4019" s="7">
        <f t="shared" si="2"/>
        <v>44925</v>
      </c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</row>
    <row r="4020" ht="14.25" customHeight="1">
      <c r="AA4020" s="7">
        <f t="shared" si="2"/>
        <v>44926</v>
      </c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</row>
    <row r="4021" ht="14.25" customHeight="1">
      <c r="AA4021" s="7">
        <f t="shared" si="2"/>
        <v>44927</v>
      </c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</row>
    <row r="4022" ht="14.25" customHeight="1">
      <c r="AA4022" s="7">
        <f t="shared" si="2"/>
        <v>44928</v>
      </c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</row>
    <row r="4023" ht="14.25" customHeight="1">
      <c r="AA4023" s="7">
        <f t="shared" si="2"/>
        <v>44929</v>
      </c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</row>
    <row r="4024" ht="14.25" customHeight="1">
      <c r="AA4024" s="7">
        <f t="shared" si="2"/>
        <v>44930</v>
      </c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</row>
    <row r="4025" ht="14.25" customHeight="1">
      <c r="AA4025" s="7">
        <f t="shared" si="2"/>
        <v>44931</v>
      </c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</row>
    <row r="4026" ht="14.25" customHeight="1">
      <c r="AA4026" s="7">
        <f t="shared" si="2"/>
        <v>44932</v>
      </c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</row>
    <row r="4027" ht="14.25" customHeight="1">
      <c r="AA4027" s="7">
        <f t="shared" si="2"/>
        <v>44933</v>
      </c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</row>
    <row r="4028" ht="14.25" customHeight="1">
      <c r="AA4028" s="7">
        <f t="shared" si="2"/>
        <v>44934</v>
      </c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</row>
    <row r="4029" ht="14.25" customHeight="1">
      <c r="AA4029" s="7">
        <f t="shared" si="2"/>
        <v>44935</v>
      </c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</row>
    <row r="4030" ht="14.25" customHeight="1">
      <c r="AA4030" s="7">
        <f t="shared" si="2"/>
        <v>44936</v>
      </c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</row>
    <row r="4031" ht="14.25" customHeight="1">
      <c r="AA4031" s="7">
        <f t="shared" si="2"/>
        <v>44937</v>
      </c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</row>
    <row r="4032" ht="14.25" customHeight="1">
      <c r="AA4032" s="7">
        <f t="shared" si="2"/>
        <v>44938</v>
      </c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</row>
    <row r="4033" ht="14.25" customHeight="1">
      <c r="AA4033" s="7">
        <f t="shared" si="2"/>
        <v>44939</v>
      </c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</row>
    <row r="4034" ht="14.25" customHeight="1">
      <c r="AA4034" s="7">
        <f t="shared" si="2"/>
        <v>44940</v>
      </c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</row>
    <row r="4035" ht="14.25" customHeight="1">
      <c r="AA4035" s="7">
        <f t="shared" si="2"/>
        <v>44941</v>
      </c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</row>
    <row r="4036" ht="14.25" customHeight="1">
      <c r="AA4036" s="7">
        <f t="shared" si="2"/>
        <v>44942</v>
      </c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</row>
    <row r="4037" ht="14.25" customHeight="1">
      <c r="AA4037" s="7">
        <f t="shared" si="2"/>
        <v>44943</v>
      </c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</row>
    <row r="4038" ht="14.25" customHeight="1">
      <c r="AA4038" s="7">
        <f t="shared" si="2"/>
        <v>44944</v>
      </c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</row>
    <row r="4039" ht="14.25" customHeight="1">
      <c r="AA4039" s="7">
        <f t="shared" si="2"/>
        <v>44945</v>
      </c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</row>
    <row r="4040" ht="14.25" customHeight="1">
      <c r="AA4040" s="7">
        <f t="shared" si="2"/>
        <v>44946</v>
      </c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</row>
    <row r="4041" ht="14.25" customHeight="1">
      <c r="AA4041" s="7">
        <f t="shared" si="2"/>
        <v>44947</v>
      </c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</row>
    <row r="4042" ht="14.25" customHeight="1">
      <c r="AA4042" s="7">
        <f t="shared" si="2"/>
        <v>44948</v>
      </c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</row>
    <row r="4043" ht="14.25" customHeight="1">
      <c r="AA4043" s="7">
        <f t="shared" si="2"/>
        <v>44949</v>
      </c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</row>
    <row r="4044" ht="14.25" customHeight="1">
      <c r="AA4044" s="7">
        <f t="shared" si="2"/>
        <v>44950</v>
      </c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</row>
    <row r="4045" ht="14.25" customHeight="1">
      <c r="AA4045" s="7">
        <f t="shared" si="2"/>
        <v>44951</v>
      </c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</row>
    <row r="4046" ht="14.25" customHeight="1">
      <c r="AA4046" s="7">
        <f t="shared" si="2"/>
        <v>44952</v>
      </c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</row>
    <row r="4047" ht="14.25" customHeight="1">
      <c r="AA4047" s="7">
        <f t="shared" si="2"/>
        <v>44953</v>
      </c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</row>
    <row r="4048" ht="14.25" customHeight="1">
      <c r="AA4048" s="7">
        <f t="shared" si="2"/>
        <v>44954</v>
      </c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</row>
    <row r="4049" ht="14.25" customHeight="1">
      <c r="AA4049" s="7">
        <f t="shared" si="2"/>
        <v>44955</v>
      </c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</row>
    <row r="4050" ht="14.25" customHeight="1">
      <c r="AA4050" s="7">
        <f t="shared" si="2"/>
        <v>44956</v>
      </c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</row>
    <row r="4051" ht="14.25" customHeight="1">
      <c r="AA4051" s="7">
        <f t="shared" si="2"/>
        <v>44957</v>
      </c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</row>
    <row r="4052" ht="14.25" customHeight="1">
      <c r="AA4052" s="7">
        <f t="shared" si="2"/>
        <v>44958</v>
      </c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</row>
    <row r="4053" ht="14.25" customHeight="1">
      <c r="AA4053" s="7">
        <f t="shared" si="2"/>
        <v>44959</v>
      </c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</row>
    <row r="4054" ht="14.25" customHeight="1">
      <c r="AA4054" s="7">
        <f t="shared" si="2"/>
        <v>44960</v>
      </c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</row>
    <row r="4055" ht="14.25" customHeight="1">
      <c r="AA4055" s="7">
        <f t="shared" si="2"/>
        <v>44961</v>
      </c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</row>
    <row r="4056" ht="14.25" customHeight="1">
      <c r="AA4056" s="7">
        <f t="shared" si="2"/>
        <v>44962</v>
      </c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</row>
    <row r="4057" ht="14.25" customHeight="1">
      <c r="AA4057" s="7">
        <f t="shared" si="2"/>
        <v>44963</v>
      </c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</row>
    <row r="4058" ht="14.25" customHeight="1">
      <c r="AA4058" s="7">
        <f t="shared" si="2"/>
        <v>44964</v>
      </c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</row>
    <row r="4059" ht="14.25" customHeight="1">
      <c r="AA4059" s="7">
        <f t="shared" si="2"/>
        <v>44965</v>
      </c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</row>
    <row r="4060" ht="14.25" customHeight="1">
      <c r="AA4060" s="7">
        <f t="shared" si="2"/>
        <v>44966</v>
      </c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</row>
    <row r="4061" ht="14.25" customHeight="1">
      <c r="AA4061" s="7">
        <f t="shared" si="2"/>
        <v>44967</v>
      </c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</row>
    <row r="4062" ht="14.25" customHeight="1">
      <c r="AA4062" s="7">
        <f t="shared" si="2"/>
        <v>44968</v>
      </c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</row>
    <row r="4063" ht="14.25" customHeight="1">
      <c r="AA4063" s="7">
        <f t="shared" si="2"/>
        <v>44969</v>
      </c>
      <c r="AB4063" s="14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</row>
    <row r="4064" ht="14.25" customHeight="1">
      <c r="AA4064" s="7">
        <f t="shared" si="2"/>
        <v>44970</v>
      </c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</row>
    <row r="4065" ht="14.25" customHeight="1">
      <c r="AA4065" s="7">
        <f t="shared" si="2"/>
        <v>44971</v>
      </c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</row>
    <row r="4066" ht="14.25" customHeight="1">
      <c r="AA4066" s="7">
        <f t="shared" si="2"/>
        <v>44972</v>
      </c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</row>
    <row r="4067" ht="14.25" customHeight="1">
      <c r="AA4067" s="7">
        <f t="shared" si="2"/>
        <v>44973</v>
      </c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</row>
    <row r="4068" ht="14.25" customHeight="1">
      <c r="AA4068" s="7">
        <f t="shared" si="2"/>
        <v>44974</v>
      </c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</row>
    <row r="4069" ht="14.25" customHeight="1">
      <c r="AA4069" s="7">
        <f t="shared" si="2"/>
        <v>44975</v>
      </c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</row>
    <row r="4070" ht="14.25" customHeight="1">
      <c r="AA4070" s="7">
        <f t="shared" si="2"/>
        <v>44976</v>
      </c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</row>
    <row r="4071" ht="14.25" customHeight="1">
      <c r="AA4071" s="7">
        <f t="shared" si="2"/>
        <v>44977</v>
      </c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</row>
    <row r="4072" ht="14.25" customHeight="1">
      <c r="AA4072" s="7">
        <f t="shared" si="2"/>
        <v>44978</v>
      </c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</row>
    <row r="4073" ht="14.25" customHeight="1">
      <c r="AA4073" s="7">
        <f t="shared" si="2"/>
        <v>44979</v>
      </c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</row>
    <row r="4074" ht="14.25" customHeight="1">
      <c r="AA4074" s="7">
        <f t="shared" si="2"/>
        <v>44980</v>
      </c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</row>
    <row r="4075" ht="14.25" customHeight="1">
      <c r="AA4075" s="7">
        <f t="shared" si="2"/>
        <v>44981</v>
      </c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</row>
    <row r="4076" ht="14.25" customHeight="1">
      <c r="AA4076" s="7">
        <f t="shared" si="2"/>
        <v>44982</v>
      </c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</row>
    <row r="4077" ht="14.25" customHeight="1">
      <c r="AA4077" s="7">
        <f t="shared" si="2"/>
        <v>44983</v>
      </c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</row>
    <row r="4078" ht="14.25" customHeight="1">
      <c r="AA4078" s="7">
        <f t="shared" si="2"/>
        <v>44984</v>
      </c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</row>
    <row r="4079" ht="14.25" customHeight="1">
      <c r="AA4079" s="7">
        <f t="shared" si="2"/>
        <v>44985</v>
      </c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</row>
    <row r="4080" ht="14.25" customHeight="1">
      <c r="AA4080" s="7">
        <f t="shared" si="2"/>
        <v>44986</v>
      </c>
      <c r="AB4080" s="14"/>
      <c r="AC4080" s="14"/>
      <c r="AD4080" s="14"/>
      <c r="AE4080" s="14"/>
      <c r="AF4080" s="14"/>
      <c r="AG4080" s="14"/>
      <c r="AH4080" s="14"/>
      <c r="AI4080" s="14"/>
      <c r="AJ4080" s="14"/>
      <c r="AK4080" s="14"/>
      <c r="AL4080" s="14"/>
      <c r="AM4080" s="14"/>
    </row>
    <row r="4081" ht="14.25" customHeight="1">
      <c r="AA4081" s="7">
        <f t="shared" si="2"/>
        <v>44987</v>
      </c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</row>
    <row r="4082" ht="14.25" customHeight="1">
      <c r="AA4082" s="7">
        <f t="shared" si="2"/>
        <v>44988</v>
      </c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</row>
    <row r="4083" ht="14.25" customHeight="1">
      <c r="AA4083" s="7">
        <f t="shared" si="2"/>
        <v>44989</v>
      </c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</row>
    <row r="4084" ht="14.25" customHeight="1">
      <c r="AA4084" s="7">
        <f t="shared" si="2"/>
        <v>44990</v>
      </c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</row>
    <row r="4085" ht="14.25" customHeight="1">
      <c r="AA4085" s="7">
        <f t="shared" si="2"/>
        <v>44991</v>
      </c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</row>
    <row r="4086" ht="14.25" customHeight="1">
      <c r="AA4086" s="7">
        <f t="shared" si="2"/>
        <v>44992</v>
      </c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</row>
    <row r="4087" ht="14.25" customHeight="1">
      <c r="AA4087" s="7">
        <f t="shared" si="2"/>
        <v>44993</v>
      </c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</row>
    <row r="4088" ht="14.25" customHeight="1">
      <c r="AA4088" s="7">
        <f t="shared" si="2"/>
        <v>44994</v>
      </c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</row>
    <row r="4089" ht="14.25" customHeight="1">
      <c r="AA4089" s="7">
        <f t="shared" si="2"/>
        <v>44995</v>
      </c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</row>
    <row r="4090" ht="14.25" customHeight="1">
      <c r="AA4090" s="7">
        <f t="shared" si="2"/>
        <v>44996</v>
      </c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</row>
    <row r="4091" ht="14.25" customHeight="1">
      <c r="AA4091" s="7">
        <f t="shared" si="2"/>
        <v>44997</v>
      </c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</row>
    <row r="4092" ht="14.25" customHeight="1">
      <c r="AA4092" s="7">
        <f t="shared" si="2"/>
        <v>44998</v>
      </c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</row>
    <row r="4093" ht="14.25" customHeight="1">
      <c r="AA4093" s="7">
        <f t="shared" si="2"/>
        <v>44999</v>
      </c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</row>
    <row r="4094" ht="14.25" customHeight="1">
      <c r="AA4094" s="7">
        <f t="shared" si="2"/>
        <v>45000</v>
      </c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</row>
    <row r="4095" ht="14.25" customHeight="1">
      <c r="AA4095" s="7">
        <f t="shared" si="2"/>
        <v>45001</v>
      </c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</row>
    <row r="4096" ht="14.25" customHeight="1">
      <c r="AA4096" s="7">
        <f t="shared" si="2"/>
        <v>45002</v>
      </c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</row>
    <row r="4097" ht="14.25" customHeight="1">
      <c r="AA4097" s="7">
        <f t="shared" si="2"/>
        <v>45003</v>
      </c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</row>
    <row r="4098" ht="14.25" customHeight="1">
      <c r="AA4098" s="7">
        <f t="shared" si="2"/>
        <v>45004</v>
      </c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</row>
    <row r="4099" ht="14.25" customHeight="1">
      <c r="AA4099" s="7">
        <f t="shared" si="2"/>
        <v>45005</v>
      </c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</row>
    <row r="4100" ht="14.25" customHeight="1">
      <c r="AA4100" s="7">
        <f t="shared" si="2"/>
        <v>45006</v>
      </c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</row>
    <row r="4101" ht="14.25" customHeight="1">
      <c r="AA4101" s="7">
        <f t="shared" si="2"/>
        <v>45007</v>
      </c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</row>
    <row r="4102" ht="14.25" customHeight="1">
      <c r="AA4102" s="7">
        <f t="shared" si="2"/>
        <v>45008</v>
      </c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</row>
    <row r="4103" ht="14.25" customHeight="1">
      <c r="AA4103" s="7">
        <f t="shared" si="2"/>
        <v>45009</v>
      </c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</row>
    <row r="4104" ht="14.25" customHeight="1">
      <c r="AA4104" s="7">
        <f t="shared" si="2"/>
        <v>45010</v>
      </c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</row>
    <row r="4105" ht="14.25" customHeight="1">
      <c r="AA4105" s="7">
        <f t="shared" si="2"/>
        <v>45011</v>
      </c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</row>
    <row r="4106" ht="14.25" customHeight="1">
      <c r="AA4106" s="7">
        <f t="shared" si="2"/>
        <v>45012</v>
      </c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</row>
    <row r="4107" ht="14.25" customHeight="1">
      <c r="AA4107" s="7">
        <f t="shared" si="2"/>
        <v>45013</v>
      </c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</row>
    <row r="4108" ht="14.25" customHeight="1">
      <c r="AA4108" s="7">
        <f t="shared" si="2"/>
        <v>45014</v>
      </c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</row>
    <row r="4109" ht="14.25" customHeight="1">
      <c r="AA4109" s="7">
        <f t="shared" si="2"/>
        <v>45015</v>
      </c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</row>
    <row r="4110" ht="14.25" customHeight="1">
      <c r="AA4110" s="7">
        <f t="shared" si="2"/>
        <v>45016</v>
      </c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</row>
    <row r="4111" ht="14.25" customHeight="1">
      <c r="AA4111" s="7">
        <f t="shared" si="2"/>
        <v>45017</v>
      </c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</row>
    <row r="4112" ht="14.25" customHeight="1">
      <c r="AA4112" s="7">
        <f t="shared" si="2"/>
        <v>45018</v>
      </c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</row>
    <row r="4113" ht="14.25" customHeight="1">
      <c r="AA4113" s="7">
        <f t="shared" si="2"/>
        <v>45019</v>
      </c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</row>
    <row r="4114" ht="14.25" customHeight="1">
      <c r="AA4114" s="7">
        <f t="shared" si="2"/>
        <v>45020</v>
      </c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</row>
    <row r="4115" ht="14.25" customHeight="1">
      <c r="AA4115" s="7">
        <f t="shared" si="2"/>
        <v>45021</v>
      </c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</row>
    <row r="4116" ht="14.25" customHeight="1">
      <c r="AA4116" s="7">
        <f t="shared" si="2"/>
        <v>45022</v>
      </c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</row>
    <row r="4117" ht="14.25" customHeight="1">
      <c r="AA4117" s="7">
        <f t="shared" si="2"/>
        <v>45023</v>
      </c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</row>
    <row r="4118" ht="14.25" customHeight="1">
      <c r="AA4118" s="7">
        <f t="shared" si="2"/>
        <v>45024</v>
      </c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</row>
    <row r="4119" ht="14.25" customHeight="1">
      <c r="AA4119" s="7">
        <f t="shared" si="2"/>
        <v>45025</v>
      </c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</row>
    <row r="4120" ht="14.25" customHeight="1">
      <c r="AA4120" s="7">
        <f t="shared" si="2"/>
        <v>45026</v>
      </c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</row>
    <row r="4121" ht="14.25" customHeight="1">
      <c r="AA4121" s="7">
        <f t="shared" si="2"/>
        <v>45027</v>
      </c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</row>
    <row r="4122" ht="14.25" customHeight="1">
      <c r="AA4122" s="7">
        <f t="shared" si="2"/>
        <v>45028</v>
      </c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</row>
    <row r="4123" ht="14.25" customHeight="1">
      <c r="AA4123" s="7">
        <f t="shared" si="2"/>
        <v>45029</v>
      </c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</row>
    <row r="4124" ht="14.25" customHeight="1">
      <c r="AA4124" s="7">
        <f t="shared" si="2"/>
        <v>45030</v>
      </c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</row>
    <row r="4125" ht="14.25" customHeight="1">
      <c r="AA4125" s="7">
        <f t="shared" si="2"/>
        <v>45031</v>
      </c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</row>
    <row r="4126" ht="14.25" customHeight="1">
      <c r="AA4126" s="7">
        <f t="shared" si="2"/>
        <v>45032</v>
      </c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</row>
    <row r="4127" ht="14.25" customHeight="1">
      <c r="AA4127" s="7">
        <f t="shared" si="2"/>
        <v>45033</v>
      </c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</row>
    <row r="4128" ht="14.25" customHeight="1">
      <c r="AA4128" s="7">
        <f t="shared" si="2"/>
        <v>45034</v>
      </c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</row>
    <row r="4129" ht="14.25" customHeight="1">
      <c r="AA4129" s="7">
        <f t="shared" si="2"/>
        <v>45035</v>
      </c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</row>
    <row r="4130" ht="14.25" customHeight="1">
      <c r="AA4130" s="7">
        <f t="shared" si="2"/>
        <v>45036</v>
      </c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</row>
    <row r="4131" ht="14.25" customHeight="1">
      <c r="AA4131" s="7">
        <f t="shared" si="2"/>
        <v>45037</v>
      </c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</row>
    <row r="4132" ht="14.25" customHeight="1">
      <c r="AA4132" s="7">
        <f t="shared" si="2"/>
        <v>45038</v>
      </c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</row>
    <row r="4133" ht="14.25" customHeight="1">
      <c r="AA4133" s="7">
        <f t="shared" si="2"/>
        <v>45039</v>
      </c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</row>
    <row r="4134" ht="14.25" customHeight="1">
      <c r="AA4134" s="7">
        <f t="shared" si="2"/>
        <v>45040</v>
      </c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</row>
    <row r="4135" ht="14.25" customHeight="1">
      <c r="AA4135" s="7">
        <f t="shared" si="2"/>
        <v>45041</v>
      </c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</row>
    <row r="4136" ht="14.25" customHeight="1">
      <c r="AA4136" s="7">
        <f t="shared" si="2"/>
        <v>45042</v>
      </c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</row>
    <row r="4137" ht="14.25" customHeight="1">
      <c r="AA4137" s="7">
        <f t="shared" si="2"/>
        <v>45043</v>
      </c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</row>
    <row r="4138" ht="14.25" customHeight="1">
      <c r="AA4138" s="7">
        <f t="shared" si="2"/>
        <v>45044</v>
      </c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</row>
    <row r="4139" ht="14.25" customHeight="1">
      <c r="AA4139" s="7">
        <f t="shared" si="2"/>
        <v>45045</v>
      </c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</row>
    <row r="4140" ht="14.25" customHeight="1">
      <c r="AA4140" s="7">
        <f t="shared" si="2"/>
        <v>45046</v>
      </c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</row>
    <row r="4141" ht="14.25" customHeight="1">
      <c r="AA4141" s="7">
        <f t="shared" si="2"/>
        <v>45047</v>
      </c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</row>
    <row r="4142" ht="14.25" customHeight="1">
      <c r="AA4142" s="7">
        <f t="shared" si="2"/>
        <v>45048</v>
      </c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</row>
    <row r="4143" ht="14.25" customHeight="1">
      <c r="AA4143" s="7">
        <f t="shared" si="2"/>
        <v>45049</v>
      </c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</row>
    <row r="4144" ht="14.25" customHeight="1">
      <c r="AA4144" s="7">
        <f t="shared" si="2"/>
        <v>45050</v>
      </c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</row>
    <row r="4145" ht="14.25" customHeight="1">
      <c r="AA4145" s="7">
        <f t="shared" si="2"/>
        <v>45051</v>
      </c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</row>
    <row r="4146" ht="14.25" customHeight="1">
      <c r="AA4146" s="7">
        <f t="shared" si="2"/>
        <v>45052</v>
      </c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</row>
    <row r="4147" ht="14.25" customHeight="1">
      <c r="AA4147" s="7">
        <f t="shared" si="2"/>
        <v>45053</v>
      </c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</row>
    <row r="4148" ht="14.25" customHeight="1">
      <c r="AA4148" s="7">
        <f t="shared" si="2"/>
        <v>45054</v>
      </c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</row>
    <row r="4149" ht="14.25" customHeight="1">
      <c r="AA4149" s="7">
        <f t="shared" si="2"/>
        <v>45055</v>
      </c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</row>
    <row r="4150" ht="14.25" customHeight="1">
      <c r="AA4150" s="7">
        <f t="shared" si="2"/>
        <v>45056</v>
      </c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</row>
    <row r="4151" ht="14.25" customHeight="1">
      <c r="AA4151" s="7">
        <f t="shared" si="2"/>
        <v>45057</v>
      </c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</row>
    <row r="4152" ht="14.25" customHeight="1">
      <c r="AA4152" s="7">
        <f t="shared" si="2"/>
        <v>45058</v>
      </c>
      <c r="AB4152" s="14"/>
      <c r="AC4152" s="14"/>
      <c r="AD4152" s="14"/>
      <c r="AE4152" s="14"/>
      <c r="AF4152" s="14"/>
      <c r="AG4152" s="14"/>
      <c r="AH4152" s="14"/>
      <c r="AI4152" s="14"/>
      <c r="AJ4152" s="14"/>
      <c r="AK4152" s="14"/>
      <c r="AL4152" s="14"/>
      <c r="AM4152" s="14"/>
    </row>
    <row r="4153" ht="14.25" customHeight="1">
      <c r="AA4153" s="7">
        <f t="shared" si="2"/>
        <v>45059</v>
      </c>
      <c r="AB4153" s="14"/>
      <c r="AC4153" s="14"/>
      <c r="AD4153" s="14"/>
      <c r="AE4153" s="14"/>
      <c r="AF4153" s="14"/>
      <c r="AG4153" s="14"/>
      <c r="AH4153" s="14"/>
      <c r="AI4153" s="14"/>
      <c r="AJ4153" s="14"/>
      <c r="AK4153" s="14"/>
      <c r="AL4153" s="14"/>
      <c r="AM4153" s="14"/>
    </row>
    <row r="4154" ht="14.25" customHeight="1">
      <c r="AA4154" s="7">
        <f t="shared" si="2"/>
        <v>45060</v>
      </c>
      <c r="AB4154" s="14"/>
      <c r="AC4154" s="14"/>
      <c r="AD4154" s="14"/>
      <c r="AE4154" s="14"/>
      <c r="AF4154" s="14"/>
      <c r="AG4154" s="14"/>
      <c r="AH4154" s="14"/>
      <c r="AI4154" s="14"/>
      <c r="AJ4154" s="14"/>
      <c r="AK4154" s="14"/>
      <c r="AL4154" s="14"/>
      <c r="AM4154" s="14"/>
    </row>
    <row r="4155" ht="14.25" customHeight="1">
      <c r="AA4155" s="7">
        <f t="shared" si="2"/>
        <v>45061</v>
      </c>
      <c r="AB4155" s="14"/>
      <c r="AC4155" s="14"/>
      <c r="AD4155" s="14"/>
      <c r="AE4155" s="14"/>
      <c r="AF4155" s="14"/>
      <c r="AG4155" s="14"/>
      <c r="AH4155" s="14"/>
      <c r="AI4155" s="14"/>
      <c r="AJ4155" s="14"/>
      <c r="AK4155" s="14"/>
      <c r="AL4155" s="14"/>
      <c r="AM4155" s="14"/>
    </row>
    <row r="4156" ht="14.25" customHeight="1">
      <c r="AA4156" s="7">
        <f t="shared" si="2"/>
        <v>45062</v>
      </c>
      <c r="AB4156" s="14"/>
      <c r="AC4156" s="14"/>
      <c r="AD4156" s="14"/>
      <c r="AE4156" s="14"/>
      <c r="AF4156" s="14"/>
      <c r="AG4156" s="14"/>
      <c r="AH4156" s="14"/>
      <c r="AI4156" s="14"/>
      <c r="AJ4156" s="14"/>
      <c r="AK4156" s="14"/>
      <c r="AL4156" s="14"/>
      <c r="AM4156" s="14"/>
    </row>
    <row r="4157" ht="14.25" customHeight="1">
      <c r="AA4157" s="7">
        <f t="shared" si="2"/>
        <v>45063</v>
      </c>
      <c r="AB4157" s="14"/>
      <c r="AC4157" s="14"/>
      <c r="AD4157" s="14"/>
      <c r="AE4157" s="14"/>
      <c r="AF4157" s="14"/>
      <c r="AG4157" s="14"/>
      <c r="AH4157" s="14"/>
      <c r="AI4157" s="14"/>
      <c r="AJ4157" s="14"/>
      <c r="AK4157" s="14"/>
      <c r="AL4157" s="14"/>
      <c r="AM4157" s="14"/>
    </row>
    <row r="4158" ht="14.25" customHeight="1">
      <c r="AA4158" s="7">
        <f t="shared" si="2"/>
        <v>45064</v>
      </c>
      <c r="AB4158" s="14"/>
      <c r="AC4158" s="14"/>
      <c r="AD4158" s="14"/>
      <c r="AE4158" s="14"/>
      <c r="AF4158" s="14"/>
      <c r="AG4158" s="14"/>
      <c r="AH4158" s="14"/>
      <c r="AI4158" s="14"/>
      <c r="AJ4158" s="14"/>
      <c r="AK4158" s="14"/>
      <c r="AL4158" s="14"/>
      <c r="AM4158" s="14"/>
    </row>
    <row r="4159" ht="14.25" customHeight="1">
      <c r="AA4159" s="7">
        <f t="shared" si="2"/>
        <v>45065</v>
      </c>
      <c r="AB4159" s="14"/>
      <c r="AC4159" s="14"/>
      <c r="AD4159" s="14"/>
      <c r="AE4159" s="14"/>
      <c r="AF4159" s="14"/>
      <c r="AG4159" s="14"/>
      <c r="AH4159" s="14"/>
      <c r="AI4159" s="14"/>
      <c r="AJ4159" s="14"/>
      <c r="AK4159" s="14"/>
      <c r="AL4159" s="14"/>
      <c r="AM4159" s="14"/>
    </row>
    <row r="4160" ht="14.25" customHeight="1">
      <c r="AA4160" s="7">
        <f t="shared" si="2"/>
        <v>45066</v>
      </c>
      <c r="AB4160" s="14"/>
      <c r="AC4160" s="14"/>
      <c r="AD4160" s="14"/>
      <c r="AE4160" s="14"/>
      <c r="AF4160" s="14"/>
      <c r="AG4160" s="14"/>
      <c r="AH4160" s="14"/>
      <c r="AI4160" s="14"/>
      <c r="AJ4160" s="14"/>
      <c r="AK4160" s="14"/>
      <c r="AL4160" s="14"/>
      <c r="AM4160" s="14"/>
    </row>
    <row r="4161" ht="14.25" customHeight="1">
      <c r="AA4161" s="7">
        <f t="shared" si="2"/>
        <v>45067</v>
      </c>
      <c r="AB4161" s="14"/>
      <c r="AC4161" s="14"/>
      <c r="AD4161" s="14"/>
      <c r="AE4161" s="14"/>
      <c r="AF4161" s="14"/>
      <c r="AG4161" s="14"/>
      <c r="AH4161" s="14"/>
      <c r="AI4161" s="14"/>
      <c r="AJ4161" s="14"/>
      <c r="AK4161" s="14"/>
      <c r="AL4161" s="14"/>
      <c r="AM4161" s="14"/>
    </row>
    <row r="4162" ht="14.25" customHeight="1">
      <c r="AA4162" s="7">
        <f t="shared" si="2"/>
        <v>45068</v>
      </c>
      <c r="AB4162" s="14"/>
      <c r="AC4162" s="14"/>
      <c r="AD4162" s="14"/>
      <c r="AE4162" s="14"/>
      <c r="AF4162" s="14"/>
      <c r="AG4162" s="14"/>
      <c r="AH4162" s="14"/>
      <c r="AI4162" s="14"/>
      <c r="AJ4162" s="14"/>
      <c r="AK4162" s="14"/>
      <c r="AL4162" s="14"/>
      <c r="AM4162" s="14"/>
    </row>
    <row r="4163" ht="14.25" customHeight="1">
      <c r="AA4163" s="7">
        <f t="shared" si="2"/>
        <v>45069</v>
      </c>
      <c r="AB4163" s="14"/>
      <c r="AC4163" s="14"/>
      <c r="AD4163" s="14"/>
      <c r="AE4163" s="14"/>
      <c r="AF4163" s="14"/>
      <c r="AG4163" s="14"/>
      <c r="AH4163" s="14"/>
      <c r="AI4163" s="14"/>
      <c r="AJ4163" s="14"/>
      <c r="AK4163" s="14"/>
      <c r="AL4163" s="14"/>
      <c r="AM4163" s="14"/>
    </row>
    <row r="4164" ht="14.25" customHeight="1">
      <c r="AA4164" s="7">
        <f t="shared" si="2"/>
        <v>45070</v>
      </c>
      <c r="AB4164" s="14"/>
      <c r="AC4164" s="14"/>
      <c r="AD4164" s="14"/>
      <c r="AE4164" s="14"/>
      <c r="AF4164" s="14"/>
      <c r="AG4164" s="14"/>
      <c r="AH4164" s="14"/>
      <c r="AI4164" s="14"/>
      <c r="AJ4164" s="14"/>
      <c r="AK4164" s="14"/>
      <c r="AL4164" s="14"/>
      <c r="AM4164" s="14"/>
    </row>
    <row r="4165" ht="14.25" customHeight="1">
      <c r="AA4165" s="7">
        <f t="shared" si="2"/>
        <v>45071</v>
      </c>
      <c r="AB4165" s="14"/>
      <c r="AC4165" s="14"/>
      <c r="AD4165" s="14"/>
      <c r="AE4165" s="14"/>
      <c r="AF4165" s="14"/>
      <c r="AG4165" s="14"/>
      <c r="AH4165" s="14"/>
      <c r="AI4165" s="14"/>
      <c r="AJ4165" s="14"/>
      <c r="AK4165" s="14"/>
      <c r="AL4165" s="14"/>
      <c r="AM4165" s="14"/>
    </row>
    <row r="4166" ht="14.25" customHeight="1">
      <c r="AA4166" s="7">
        <f t="shared" si="2"/>
        <v>45072</v>
      </c>
      <c r="AB4166" s="14"/>
      <c r="AC4166" s="14"/>
      <c r="AD4166" s="14"/>
      <c r="AE4166" s="14"/>
      <c r="AF4166" s="14"/>
      <c r="AG4166" s="14"/>
      <c r="AH4166" s="14"/>
      <c r="AI4166" s="14"/>
      <c r="AJ4166" s="14"/>
      <c r="AK4166" s="14"/>
      <c r="AL4166" s="14"/>
      <c r="AM4166" s="14"/>
    </row>
    <row r="4167" ht="14.25" customHeight="1">
      <c r="AA4167" s="7">
        <f t="shared" si="2"/>
        <v>45073</v>
      </c>
      <c r="AB4167" s="14"/>
      <c r="AC4167" s="14"/>
      <c r="AD4167" s="14"/>
      <c r="AE4167" s="14"/>
      <c r="AF4167" s="14"/>
      <c r="AG4167" s="14"/>
      <c r="AH4167" s="14"/>
      <c r="AI4167" s="14"/>
      <c r="AJ4167" s="14"/>
      <c r="AK4167" s="14"/>
      <c r="AL4167" s="14"/>
      <c r="AM4167" s="14"/>
    </row>
    <row r="4168" ht="14.25" customHeight="1">
      <c r="AA4168" s="7">
        <f t="shared" si="2"/>
        <v>45074</v>
      </c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</row>
    <row r="4169" ht="14.25" customHeight="1">
      <c r="AA4169" s="7">
        <f t="shared" si="2"/>
        <v>45075</v>
      </c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</row>
    <row r="4170" ht="14.25" customHeight="1">
      <c r="AA4170" s="7">
        <f t="shared" si="2"/>
        <v>45076</v>
      </c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</row>
    <row r="4171" ht="14.25" customHeight="1">
      <c r="AA4171" s="7">
        <f t="shared" si="2"/>
        <v>45077</v>
      </c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</row>
    <row r="4172" ht="14.25" customHeight="1">
      <c r="AA4172" s="7">
        <f t="shared" si="2"/>
        <v>45078</v>
      </c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</row>
    <row r="4173" ht="14.25" customHeight="1">
      <c r="AA4173" s="7">
        <f t="shared" si="2"/>
        <v>45079</v>
      </c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</row>
    <row r="4174" ht="14.25" customHeight="1">
      <c r="AA4174" s="7">
        <f t="shared" si="2"/>
        <v>45080</v>
      </c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</row>
    <row r="4175" ht="14.25" customHeight="1">
      <c r="AA4175" s="7">
        <f t="shared" si="2"/>
        <v>45081</v>
      </c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</row>
    <row r="4176" ht="14.25" customHeight="1">
      <c r="AA4176" s="7">
        <f t="shared" si="2"/>
        <v>45082</v>
      </c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</row>
    <row r="4177" ht="14.25" customHeight="1">
      <c r="AA4177" s="7">
        <f t="shared" si="2"/>
        <v>45083</v>
      </c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</row>
    <row r="4178" ht="14.25" customHeight="1">
      <c r="AA4178" s="7">
        <f t="shared" si="2"/>
        <v>45084</v>
      </c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</row>
    <row r="4179" ht="14.25" customHeight="1">
      <c r="AA4179" s="7">
        <f t="shared" si="2"/>
        <v>45085</v>
      </c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</row>
    <row r="4180" ht="14.25" customHeight="1">
      <c r="AA4180" s="7">
        <f t="shared" si="2"/>
        <v>45086</v>
      </c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</row>
    <row r="4181" ht="14.25" customHeight="1">
      <c r="AA4181" s="7">
        <f t="shared" si="2"/>
        <v>45087</v>
      </c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</row>
    <row r="4182" ht="14.25" customHeight="1">
      <c r="AA4182" s="7">
        <f t="shared" si="2"/>
        <v>45088</v>
      </c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</row>
    <row r="4183" ht="14.25" customHeight="1">
      <c r="AA4183" s="7">
        <f t="shared" si="2"/>
        <v>45089</v>
      </c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</row>
    <row r="4184" ht="14.25" customHeight="1">
      <c r="AA4184" s="7">
        <f t="shared" si="2"/>
        <v>45090</v>
      </c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</row>
    <row r="4185" ht="14.25" customHeight="1">
      <c r="AA4185" s="7">
        <f t="shared" si="2"/>
        <v>45091</v>
      </c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</row>
    <row r="4186" ht="14.25" customHeight="1">
      <c r="AA4186" s="7">
        <f t="shared" si="2"/>
        <v>45092</v>
      </c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</row>
    <row r="4187" ht="14.25" customHeight="1">
      <c r="AA4187" s="7">
        <f t="shared" si="2"/>
        <v>45093</v>
      </c>
      <c r="AB4187" s="14"/>
      <c r="AC4187" s="14"/>
      <c r="AD4187" s="14"/>
      <c r="AE4187" s="14"/>
      <c r="AF4187" s="14"/>
      <c r="AG4187" s="14"/>
      <c r="AH4187" s="14"/>
      <c r="AI4187" s="14"/>
      <c r="AJ4187" s="14"/>
      <c r="AK4187" s="14"/>
      <c r="AL4187" s="14"/>
      <c r="AM4187" s="14"/>
    </row>
    <row r="4188" ht="14.25" customHeight="1">
      <c r="AA4188" s="7">
        <f t="shared" si="2"/>
        <v>45094</v>
      </c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</row>
    <row r="4189" ht="14.25" customHeight="1">
      <c r="AA4189" s="7">
        <f t="shared" si="2"/>
        <v>45095</v>
      </c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</row>
    <row r="4190" ht="14.25" customHeight="1">
      <c r="AA4190" s="7">
        <f t="shared" si="2"/>
        <v>45096</v>
      </c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</row>
    <row r="4191" ht="14.25" customHeight="1">
      <c r="AA4191" s="7">
        <f t="shared" si="2"/>
        <v>45097</v>
      </c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</row>
    <row r="4192" ht="14.25" customHeight="1">
      <c r="AA4192" s="7">
        <f t="shared" si="2"/>
        <v>45098</v>
      </c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</row>
    <row r="4193" ht="14.25" customHeight="1">
      <c r="AA4193" s="7">
        <f t="shared" si="2"/>
        <v>45099</v>
      </c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</row>
    <row r="4194" ht="14.25" customHeight="1">
      <c r="AA4194" s="7">
        <f t="shared" si="2"/>
        <v>45100</v>
      </c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</row>
    <row r="4195" ht="14.25" customHeight="1">
      <c r="AA4195" s="7">
        <f t="shared" si="2"/>
        <v>45101</v>
      </c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</row>
    <row r="4196" ht="14.25" customHeight="1">
      <c r="AA4196" s="7">
        <f t="shared" si="2"/>
        <v>45102</v>
      </c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</row>
    <row r="4197" ht="14.25" customHeight="1">
      <c r="AA4197" s="7">
        <f t="shared" si="2"/>
        <v>45103</v>
      </c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</row>
    <row r="4198" ht="14.25" customHeight="1">
      <c r="AA4198" s="7">
        <f t="shared" si="2"/>
        <v>45104</v>
      </c>
      <c r="AB4198" s="14"/>
      <c r="AC4198" s="14"/>
      <c r="AD4198" s="14"/>
      <c r="AE4198" s="14"/>
      <c r="AF4198" s="14"/>
      <c r="AG4198" s="14"/>
      <c r="AH4198" s="14"/>
      <c r="AI4198" s="14"/>
      <c r="AJ4198" s="14"/>
      <c r="AK4198" s="14"/>
      <c r="AL4198" s="14"/>
      <c r="AM4198" s="14"/>
    </row>
    <row r="4199" ht="14.25" customHeight="1">
      <c r="AA4199" s="7">
        <f t="shared" si="2"/>
        <v>45105</v>
      </c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</row>
    <row r="4200" ht="14.25" customHeight="1">
      <c r="AA4200" s="7">
        <f t="shared" si="2"/>
        <v>45106</v>
      </c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</row>
    <row r="4201" ht="14.25" customHeight="1">
      <c r="AA4201" s="7">
        <f t="shared" si="2"/>
        <v>45107</v>
      </c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</row>
    <row r="4202" ht="14.25" customHeight="1">
      <c r="AA4202" s="7">
        <f t="shared" si="2"/>
        <v>45108</v>
      </c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</row>
    <row r="4203" ht="14.25" customHeight="1">
      <c r="AA4203" s="7">
        <f t="shared" si="2"/>
        <v>45109</v>
      </c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</row>
    <row r="4204" ht="14.25" customHeight="1">
      <c r="AA4204" s="7">
        <f t="shared" si="2"/>
        <v>45110</v>
      </c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</row>
    <row r="4205" ht="14.25" customHeight="1">
      <c r="AA4205" s="7">
        <f t="shared" si="2"/>
        <v>45111</v>
      </c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</row>
    <row r="4206" ht="14.25" customHeight="1">
      <c r="AA4206" s="7">
        <f t="shared" si="2"/>
        <v>45112</v>
      </c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</row>
    <row r="4207" ht="14.25" customHeight="1">
      <c r="AA4207" s="7">
        <f t="shared" si="2"/>
        <v>45113</v>
      </c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</row>
    <row r="4208" ht="14.25" customHeight="1">
      <c r="AA4208" s="7">
        <f t="shared" si="2"/>
        <v>45114</v>
      </c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</row>
    <row r="4209" ht="14.25" customHeight="1">
      <c r="AA4209" s="7">
        <f t="shared" si="2"/>
        <v>45115</v>
      </c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</row>
    <row r="4210" ht="14.25" customHeight="1">
      <c r="AA4210" s="7">
        <f t="shared" si="2"/>
        <v>45116</v>
      </c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</row>
    <row r="4211" ht="14.25" customHeight="1">
      <c r="AA4211" s="7">
        <f t="shared" si="2"/>
        <v>45117</v>
      </c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</row>
    <row r="4212" ht="14.25" customHeight="1">
      <c r="AA4212" s="7">
        <f t="shared" si="2"/>
        <v>45118</v>
      </c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</row>
    <row r="4213" ht="14.25" customHeight="1">
      <c r="AA4213" s="7">
        <f t="shared" si="2"/>
        <v>45119</v>
      </c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</row>
    <row r="4214" ht="14.25" customHeight="1">
      <c r="AA4214" s="7">
        <f t="shared" si="2"/>
        <v>45120</v>
      </c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</row>
    <row r="4215" ht="14.25" customHeight="1">
      <c r="AA4215" s="7">
        <f t="shared" si="2"/>
        <v>45121</v>
      </c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</row>
    <row r="4216" ht="14.25" customHeight="1">
      <c r="AA4216" s="7">
        <f t="shared" si="2"/>
        <v>45122</v>
      </c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</row>
    <row r="4217" ht="14.25" customHeight="1">
      <c r="AA4217" s="7">
        <f t="shared" si="2"/>
        <v>45123</v>
      </c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</row>
    <row r="4218" ht="14.25" customHeight="1">
      <c r="AA4218" s="7">
        <f t="shared" si="2"/>
        <v>45124</v>
      </c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</row>
    <row r="4219" ht="14.25" customHeight="1">
      <c r="AA4219" s="7">
        <f t="shared" si="2"/>
        <v>45125</v>
      </c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</row>
    <row r="4220" ht="14.25" customHeight="1">
      <c r="AA4220" s="7">
        <f t="shared" si="2"/>
        <v>45126</v>
      </c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</row>
    <row r="4221" ht="14.25" customHeight="1">
      <c r="AA4221" s="7">
        <f t="shared" si="2"/>
        <v>45127</v>
      </c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</row>
    <row r="4222" ht="14.25" customHeight="1">
      <c r="AA4222" s="7">
        <f t="shared" si="2"/>
        <v>45128</v>
      </c>
      <c r="AB4222" s="14"/>
      <c r="AC4222" s="14"/>
      <c r="AD4222" s="14"/>
      <c r="AE4222" s="14"/>
      <c r="AF4222" s="14"/>
      <c r="AG4222" s="14"/>
      <c r="AH4222" s="14"/>
      <c r="AI4222" s="14"/>
      <c r="AJ4222" s="14"/>
      <c r="AK4222" s="14"/>
      <c r="AL4222" s="14"/>
      <c r="AM4222" s="14"/>
    </row>
    <row r="4223" ht="14.25" customHeight="1">
      <c r="AA4223" s="7">
        <f t="shared" si="2"/>
        <v>45129</v>
      </c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</row>
    <row r="4224" ht="14.25" customHeight="1">
      <c r="AA4224" s="7">
        <f t="shared" si="2"/>
        <v>45130</v>
      </c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</row>
    <row r="4225" ht="14.25" customHeight="1">
      <c r="AA4225" s="7">
        <f t="shared" si="2"/>
        <v>45131</v>
      </c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</row>
    <row r="4226" ht="14.25" customHeight="1">
      <c r="AA4226" s="7">
        <f t="shared" si="2"/>
        <v>45132</v>
      </c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</row>
    <row r="4227" ht="14.25" customHeight="1">
      <c r="AA4227" s="7">
        <f t="shared" si="2"/>
        <v>45133</v>
      </c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</row>
    <row r="4228" ht="14.25" customHeight="1">
      <c r="AA4228" s="7">
        <f t="shared" si="2"/>
        <v>45134</v>
      </c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</row>
    <row r="4229" ht="14.25" customHeight="1">
      <c r="AA4229" s="7">
        <f t="shared" si="2"/>
        <v>45135</v>
      </c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</row>
    <row r="4230" ht="14.25" customHeight="1">
      <c r="AA4230" s="7">
        <f t="shared" si="2"/>
        <v>45136</v>
      </c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</row>
    <row r="4231" ht="14.25" customHeight="1">
      <c r="AA4231" s="7">
        <f t="shared" si="2"/>
        <v>45137</v>
      </c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</row>
    <row r="4232" ht="14.25" customHeight="1">
      <c r="AA4232" s="7">
        <f t="shared" si="2"/>
        <v>45138</v>
      </c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</row>
    <row r="4233" ht="14.25" customHeight="1">
      <c r="AA4233" s="7">
        <f t="shared" si="2"/>
        <v>45139</v>
      </c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</row>
    <row r="4234" ht="14.25" customHeight="1">
      <c r="AA4234" s="7">
        <f t="shared" si="2"/>
        <v>45140</v>
      </c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</row>
    <row r="4235" ht="14.25" customHeight="1">
      <c r="AA4235" s="7">
        <f t="shared" si="2"/>
        <v>45141</v>
      </c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</row>
    <row r="4236" ht="14.25" customHeight="1">
      <c r="AA4236" s="7">
        <f t="shared" si="2"/>
        <v>45142</v>
      </c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</row>
    <row r="4237" ht="14.25" customHeight="1">
      <c r="AA4237" s="7">
        <f t="shared" si="2"/>
        <v>45143</v>
      </c>
      <c r="AB4237" s="14"/>
      <c r="AC4237" s="14"/>
      <c r="AD4237" s="14"/>
      <c r="AE4237" s="14"/>
      <c r="AF4237" s="14"/>
      <c r="AG4237" s="14"/>
      <c r="AH4237" s="14"/>
      <c r="AI4237" s="14"/>
      <c r="AJ4237" s="14"/>
      <c r="AK4237" s="14"/>
      <c r="AL4237" s="14"/>
      <c r="AM4237" s="14"/>
    </row>
    <row r="4238" ht="14.25" customHeight="1">
      <c r="AA4238" s="7">
        <f t="shared" si="2"/>
        <v>45144</v>
      </c>
      <c r="AB4238" s="14"/>
      <c r="AC4238" s="14"/>
      <c r="AD4238" s="14"/>
      <c r="AE4238" s="14"/>
      <c r="AF4238" s="14"/>
      <c r="AG4238" s="14"/>
      <c r="AH4238" s="14"/>
      <c r="AI4238" s="14"/>
      <c r="AJ4238" s="14"/>
      <c r="AK4238" s="14"/>
      <c r="AL4238" s="14"/>
      <c r="AM4238" s="14"/>
    </row>
    <row r="4239" ht="14.25" customHeight="1">
      <c r="AA4239" s="7">
        <f t="shared" si="2"/>
        <v>45145</v>
      </c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</row>
    <row r="4240" ht="14.25" customHeight="1">
      <c r="AA4240" s="7">
        <f t="shared" si="2"/>
        <v>45146</v>
      </c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</row>
    <row r="4241" ht="14.25" customHeight="1">
      <c r="AA4241" s="7">
        <f t="shared" si="2"/>
        <v>45147</v>
      </c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</row>
    <row r="4242" ht="14.25" customHeight="1">
      <c r="AA4242" s="7">
        <f t="shared" si="2"/>
        <v>45148</v>
      </c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</row>
    <row r="4243" ht="14.25" customHeight="1">
      <c r="AA4243" s="7">
        <f t="shared" si="2"/>
        <v>45149</v>
      </c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</row>
    <row r="4244" ht="14.25" customHeight="1">
      <c r="AA4244" s="7">
        <f t="shared" si="2"/>
        <v>45150</v>
      </c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</row>
    <row r="4245" ht="14.25" customHeight="1">
      <c r="AA4245" s="7">
        <f t="shared" si="2"/>
        <v>45151</v>
      </c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</row>
    <row r="4246" ht="14.25" customHeight="1">
      <c r="AA4246" s="7">
        <f t="shared" si="2"/>
        <v>45152</v>
      </c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</row>
    <row r="4247" ht="14.25" customHeight="1">
      <c r="AA4247" s="7">
        <f t="shared" si="2"/>
        <v>45153</v>
      </c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</row>
    <row r="4248" ht="14.25" customHeight="1">
      <c r="AA4248" s="7">
        <f t="shared" si="2"/>
        <v>45154</v>
      </c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</row>
    <row r="4249" ht="14.25" customHeight="1">
      <c r="AA4249" s="7">
        <f t="shared" si="2"/>
        <v>45155</v>
      </c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</row>
    <row r="4250" ht="14.25" customHeight="1">
      <c r="AA4250" s="7">
        <f t="shared" si="2"/>
        <v>45156</v>
      </c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</row>
    <row r="4251" ht="14.25" customHeight="1">
      <c r="AA4251" s="7">
        <f t="shared" si="2"/>
        <v>45157</v>
      </c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</row>
    <row r="4252" ht="14.25" customHeight="1">
      <c r="AA4252" s="7">
        <f t="shared" si="2"/>
        <v>45158</v>
      </c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</row>
    <row r="4253" ht="14.25" customHeight="1">
      <c r="AA4253" s="7">
        <f t="shared" si="2"/>
        <v>45159</v>
      </c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</row>
    <row r="4254" ht="14.25" customHeight="1">
      <c r="AA4254" s="7">
        <f t="shared" si="2"/>
        <v>45160</v>
      </c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</row>
    <row r="4255" ht="14.25" customHeight="1">
      <c r="AA4255" s="7">
        <f t="shared" si="2"/>
        <v>45161</v>
      </c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</row>
    <row r="4256" ht="14.25" customHeight="1">
      <c r="AA4256" s="7">
        <f t="shared" si="2"/>
        <v>45162</v>
      </c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</row>
    <row r="4257" ht="14.25" customHeight="1">
      <c r="AA4257" s="7">
        <f t="shared" si="2"/>
        <v>45163</v>
      </c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</row>
    <row r="4258" ht="14.25" customHeight="1">
      <c r="AA4258" s="7">
        <f t="shared" si="2"/>
        <v>45164</v>
      </c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</row>
    <row r="4259" ht="14.25" customHeight="1">
      <c r="AA4259" s="7">
        <f t="shared" si="2"/>
        <v>45165</v>
      </c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</row>
    <row r="4260" ht="14.25" customHeight="1">
      <c r="AA4260" s="7">
        <f t="shared" si="2"/>
        <v>45166</v>
      </c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</row>
    <row r="4261" ht="14.25" customHeight="1">
      <c r="AA4261" s="7">
        <f t="shared" si="2"/>
        <v>45167</v>
      </c>
      <c r="AB4261" s="14"/>
      <c r="AC4261" s="14"/>
      <c r="AD4261" s="14"/>
      <c r="AE4261" s="14"/>
      <c r="AF4261" s="14"/>
      <c r="AG4261" s="14"/>
      <c r="AH4261" s="14"/>
      <c r="AI4261" s="14"/>
      <c r="AJ4261" s="14"/>
      <c r="AK4261" s="14"/>
      <c r="AL4261" s="14"/>
      <c r="AM4261" s="14"/>
    </row>
    <row r="4262" ht="14.25" customHeight="1">
      <c r="AA4262" s="7">
        <f t="shared" si="2"/>
        <v>45168</v>
      </c>
      <c r="AB4262" s="14"/>
      <c r="AC4262" s="14"/>
      <c r="AD4262" s="14"/>
      <c r="AE4262" s="14"/>
      <c r="AF4262" s="14"/>
      <c r="AG4262" s="14"/>
      <c r="AH4262" s="14"/>
      <c r="AI4262" s="14"/>
      <c r="AJ4262" s="14"/>
      <c r="AK4262" s="14"/>
      <c r="AL4262" s="14"/>
      <c r="AM4262" s="14"/>
    </row>
    <row r="4263" ht="14.25" customHeight="1">
      <c r="AA4263" s="7">
        <f t="shared" si="2"/>
        <v>45169</v>
      </c>
      <c r="AB4263" s="14"/>
      <c r="AC4263" s="14"/>
      <c r="AD4263" s="14"/>
      <c r="AE4263" s="14"/>
      <c r="AF4263" s="14"/>
      <c r="AG4263" s="14"/>
      <c r="AH4263" s="14"/>
      <c r="AI4263" s="14"/>
      <c r="AJ4263" s="14"/>
      <c r="AK4263" s="14"/>
      <c r="AL4263" s="14"/>
      <c r="AM4263" s="14"/>
    </row>
    <row r="4264" ht="14.25" customHeight="1">
      <c r="AA4264" s="7">
        <f t="shared" si="2"/>
        <v>45170</v>
      </c>
      <c r="AB4264" s="14"/>
      <c r="AC4264" s="14"/>
      <c r="AD4264" s="14"/>
      <c r="AE4264" s="14"/>
      <c r="AF4264" s="14"/>
      <c r="AG4264" s="14"/>
      <c r="AH4264" s="14"/>
      <c r="AI4264" s="14"/>
      <c r="AJ4264" s="14"/>
      <c r="AK4264" s="14"/>
      <c r="AL4264" s="14"/>
      <c r="AM4264" s="14"/>
    </row>
    <row r="4265" ht="14.25" customHeight="1">
      <c r="AA4265" s="7">
        <f t="shared" si="2"/>
        <v>45171</v>
      </c>
      <c r="AB4265" s="14"/>
      <c r="AC4265" s="14"/>
      <c r="AD4265" s="14"/>
      <c r="AE4265" s="14"/>
      <c r="AF4265" s="14"/>
      <c r="AG4265" s="14"/>
      <c r="AH4265" s="14"/>
      <c r="AI4265" s="14"/>
      <c r="AJ4265" s="14"/>
      <c r="AK4265" s="14"/>
      <c r="AL4265" s="14"/>
      <c r="AM4265" s="14"/>
    </row>
    <row r="4266" ht="14.25" customHeight="1">
      <c r="AA4266" s="7">
        <f t="shared" si="2"/>
        <v>45172</v>
      </c>
      <c r="AB4266" s="14"/>
      <c r="AC4266" s="14"/>
      <c r="AD4266" s="14"/>
      <c r="AE4266" s="14"/>
      <c r="AF4266" s="14"/>
      <c r="AG4266" s="14"/>
      <c r="AH4266" s="14"/>
      <c r="AI4266" s="14"/>
      <c r="AJ4266" s="14"/>
      <c r="AK4266" s="14"/>
      <c r="AL4266" s="14"/>
      <c r="AM4266" s="14"/>
    </row>
    <row r="4267" ht="14.25" customHeight="1">
      <c r="AA4267" s="7">
        <f t="shared" si="2"/>
        <v>45173</v>
      </c>
      <c r="AB4267" s="14"/>
      <c r="AC4267" s="14"/>
      <c r="AD4267" s="14"/>
      <c r="AE4267" s="14"/>
      <c r="AF4267" s="14"/>
      <c r="AG4267" s="14"/>
      <c r="AH4267" s="14"/>
      <c r="AI4267" s="14"/>
      <c r="AJ4267" s="14"/>
      <c r="AK4267" s="14"/>
      <c r="AL4267" s="14"/>
      <c r="AM4267" s="14"/>
    </row>
    <row r="4268" ht="14.25" customHeight="1">
      <c r="AA4268" s="7">
        <f t="shared" si="2"/>
        <v>45174</v>
      </c>
      <c r="AB4268" s="14"/>
      <c r="AC4268" s="14"/>
      <c r="AD4268" s="14"/>
      <c r="AE4268" s="14"/>
      <c r="AF4268" s="14"/>
      <c r="AG4268" s="14"/>
      <c r="AH4268" s="14"/>
      <c r="AI4268" s="14"/>
      <c r="AJ4268" s="14"/>
      <c r="AK4268" s="14"/>
      <c r="AL4268" s="14"/>
      <c r="AM4268" s="14"/>
    </row>
    <row r="4269" ht="14.25" customHeight="1">
      <c r="AA4269" s="7">
        <f t="shared" si="2"/>
        <v>45175</v>
      </c>
      <c r="AB4269" s="14"/>
      <c r="AC4269" s="14"/>
      <c r="AD4269" s="14"/>
      <c r="AE4269" s="14"/>
      <c r="AF4269" s="14"/>
      <c r="AG4269" s="14"/>
      <c r="AH4269" s="14"/>
      <c r="AI4269" s="14"/>
      <c r="AJ4269" s="14"/>
      <c r="AK4269" s="14"/>
      <c r="AL4269" s="14"/>
      <c r="AM4269" s="14"/>
    </row>
    <row r="4270" ht="14.25" customHeight="1">
      <c r="AA4270" s="7">
        <f t="shared" si="2"/>
        <v>45176</v>
      </c>
      <c r="AB4270" s="14"/>
      <c r="AC4270" s="14"/>
      <c r="AD4270" s="14"/>
      <c r="AE4270" s="14"/>
      <c r="AF4270" s="14"/>
      <c r="AG4270" s="14"/>
      <c r="AH4270" s="14"/>
      <c r="AI4270" s="14"/>
      <c r="AJ4270" s="14"/>
      <c r="AK4270" s="14"/>
      <c r="AL4270" s="14"/>
      <c r="AM4270" s="14"/>
    </row>
    <row r="4271" ht="14.25" customHeight="1">
      <c r="AA4271" s="7">
        <f t="shared" si="2"/>
        <v>45177</v>
      </c>
      <c r="AB4271" s="14"/>
      <c r="AC4271" s="14"/>
      <c r="AD4271" s="14"/>
      <c r="AE4271" s="14"/>
      <c r="AF4271" s="14"/>
      <c r="AG4271" s="14"/>
      <c r="AH4271" s="14"/>
      <c r="AI4271" s="14"/>
      <c r="AJ4271" s="14"/>
      <c r="AK4271" s="14"/>
      <c r="AL4271" s="14"/>
      <c r="AM4271" s="14"/>
    </row>
    <row r="4272" ht="14.25" customHeight="1">
      <c r="AA4272" s="7">
        <f t="shared" si="2"/>
        <v>45178</v>
      </c>
      <c r="AB4272" s="14"/>
      <c r="AC4272" s="14"/>
      <c r="AD4272" s="14"/>
      <c r="AE4272" s="14"/>
      <c r="AF4272" s="14"/>
      <c r="AG4272" s="14"/>
      <c r="AH4272" s="14"/>
      <c r="AI4272" s="14"/>
      <c r="AJ4272" s="14"/>
      <c r="AK4272" s="14"/>
      <c r="AL4272" s="14"/>
      <c r="AM4272" s="14"/>
    </row>
    <row r="4273" ht="14.25" customHeight="1">
      <c r="AA4273" s="7">
        <f t="shared" si="2"/>
        <v>45179</v>
      </c>
      <c r="AB4273" s="14"/>
      <c r="AC4273" s="14"/>
      <c r="AD4273" s="14"/>
      <c r="AE4273" s="14"/>
      <c r="AF4273" s="14"/>
      <c r="AG4273" s="14"/>
      <c r="AH4273" s="14"/>
      <c r="AI4273" s="14"/>
      <c r="AJ4273" s="14"/>
      <c r="AK4273" s="14"/>
      <c r="AL4273" s="14"/>
      <c r="AM4273" s="14"/>
    </row>
    <row r="4274" ht="14.25" customHeight="1">
      <c r="AA4274" s="7">
        <f t="shared" si="2"/>
        <v>45180</v>
      </c>
      <c r="AB4274" s="14"/>
      <c r="AC4274" s="14"/>
      <c r="AD4274" s="14"/>
      <c r="AE4274" s="14"/>
      <c r="AF4274" s="14"/>
      <c r="AG4274" s="14"/>
      <c r="AH4274" s="14"/>
      <c r="AI4274" s="14"/>
      <c r="AJ4274" s="14"/>
      <c r="AK4274" s="14"/>
      <c r="AL4274" s="14"/>
      <c r="AM4274" s="14"/>
    </row>
    <row r="4275" ht="14.25" customHeight="1">
      <c r="AA4275" s="7">
        <f t="shared" si="2"/>
        <v>45181</v>
      </c>
      <c r="AB4275" s="14"/>
      <c r="AC4275" s="14"/>
      <c r="AD4275" s="14"/>
      <c r="AE4275" s="14"/>
      <c r="AF4275" s="14"/>
      <c r="AG4275" s="14"/>
      <c r="AH4275" s="14"/>
      <c r="AI4275" s="14"/>
      <c r="AJ4275" s="14"/>
      <c r="AK4275" s="14"/>
      <c r="AL4275" s="14"/>
      <c r="AM4275" s="14"/>
    </row>
    <row r="4276" ht="14.25" customHeight="1">
      <c r="AA4276" s="7">
        <f t="shared" si="2"/>
        <v>45182</v>
      </c>
      <c r="AB4276" s="14"/>
      <c r="AC4276" s="14"/>
      <c r="AD4276" s="14"/>
      <c r="AE4276" s="14"/>
      <c r="AF4276" s="14"/>
      <c r="AG4276" s="14"/>
      <c r="AH4276" s="14"/>
      <c r="AI4276" s="14"/>
      <c r="AJ4276" s="14"/>
      <c r="AK4276" s="14"/>
      <c r="AL4276" s="14"/>
      <c r="AM4276" s="14"/>
    </row>
    <row r="4277" ht="14.25" customHeight="1">
      <c r="AA4277" s="7">
        <f t="shared" si="2"/>
        <v>45183</v>
      </c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</row>
    <row r="4278" ht="14.25" customHeight="1">
      <c r="AA4278" s="7">
        <f t="shared" si="2"/>
        <v>45184</v>
      </c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</row>
    <row r="4279" ht="14.25" customHeight="1">
      <c r="AA4279" s="7">
        <f t="shared" si="2"/>
        <v>45185</v>
      </c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</row>
    <row r="4280" ht="14.25" customHeight="1">
      <c r="AA4280" s="7">
        <f t="shared" si="2"/>
        <v>45186</v>
      </c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</row>
    <row r="4281" ht="14.25" customHeight="1">
      <c r="AA4281" s="7">
        <f t="shared" si="2"/>
        <v>45187</v>
      </c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</row>
    <row r="4282" ht="14.25" customHeight="1">
      <c r="AA4282" s="7">
        <f t="shared" si="2"/>
        <v>45188</v>
      </c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</row>
    <row r="4283" ht="14.25" customHeight="1">
      <c r="AA4283" s="7">
        <f t="shared" si="2"/>
        <v>45189</v>
      </c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</row>
    <row r="4284" ht="14.25" customHeight="1">
      <c r="AA4284" s="7">
        <f t="shared" si="2"/>
        <v>45190</v>
      </c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</row>
    <row r="4285" ht="14.25" customHeight="1">
      <c r="AA4285" s="7">
        <f t="shared" si="2"/>
        <v>45191</v>
      </c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</row>
    <row r="4286" ht="14.25" customHeight="1">
      <c r="AA4286" s="7">
        <f t="shared" si="2"/>
        <v>45192</v>
      </c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</row>
    <row r="4287" ht="14.25" customHeight="1">
      <c r="AA4287" s="7">
        <f t="shared" si="2"/>
        <v>45193</v>
      </c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</row>
    <row r="4288" ht="14.25" customHeight="1">
      <c r="AA4288" s="7">
        <f t="shared" si="2"/>
        <v>45194</v>
      </c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</row>
    <row r="4289" ht="14.25" customHeight="1">
      <c r="AA4289" s="7">
        <f t="shared" si="2"/>
        <v>45195</v>
      </c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</row>
    <row r="4290" ht="14.25" customHeight="1">
      <c r="AA4290" s="7">
        <f t="shared" si="2"/>
        <v>45196</v>
      </c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</row>
    <row r="4291" ht="14.25" customHeight="1">
      <c r="AA4291" s="7">
        <f t="shared" si="2"/>
        <v>45197</v>
      </c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</row>
    <row r="4292" ht="14.25" customHeight="1">
      <c r="AA4292" s="7">
        <f t="shared" si="2"/>
        <v>45198</v>
      </c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</row>
    <row r="4293" ht="14.25" customHeight="1">
      <c r="AA4293" s="7">
        <f t="shared" si="2"/>
        <v>45199</v>
      </c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</row>
    <row r="4294" ht="14.25" customHeight="1">
      <c r="AA4294" s="7">
        <f t="shared" si="2"/>
        <v>45200</v>
      </c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</row>
    <row r="4295" ht="14.25" customHeight="1">
      <c r="AA4295" s="7">
        <f t="shared" si="2"/>
        <v>45201</v>
      </c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</row>
    <row r="4296" ht="14.25" customHeight="1">
      <c r="AA4296" s="7">
        <f t="shared" si="2"/>
        <v>45202</v>
      </c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</row>
    <row r="4297" ht="14.25" customHeight="1">
      <c r="AA4297" s="7">
        <f t="shared" si="2"/>
        <v>45203</v>
      </c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</row>
    <row r="4298" ht="14.25" customHeight="1">
      <c r="AA4298" s="7">
        <f t="shared" si="2"/>
        <v>45204</v>
      </c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</row>
    <row r="4299" ht="14.25" customHeight="1">
      <c r="AA4299" s="7">
        <f t="shared" si="2"/>
        <v>45205</v>
      </c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</row>
    <row r="4300" ht="14.25" customHeight="1">
      <c r="AA4300" s="7">
        <f t="shared" si="2"/>
        <v>45206</v>
      </c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</row>
    <row r="4301" ht="14.25" customHeight="1">
      <c r="AA4301" s="7">
        <f t="shared" si="2"/>
        <v>45207</v>
      </c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</row>
    <row r="4302" ht="14.25" customHeight="1">
      <c r="AA4302" s="7">
        <f t="shared" si="2"/>
        <v>45208</v>
      </c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</row>
    <row r="4303" ht="14.25" customHeight="1">
      <c r="AA4303" s="7">
        <f t="shared" si="2"/>
        <v>45209</v>
      </c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</row>
    <row r="4304" ht="14.25" customHeight="1">
      <c r="AA4304" s="7">
        <f t="shared" si="2"/>
        <v>45210</v>
      </c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</row>
    <row r="4305" ht="14.25" customHeight="1">
      <c r="AA4305" s="7">
        <f t="shared" si="2"/>
        <v>45211</v>
      </c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</row>
    <row r="4306" ht="14.25" customHeight="1">
      <c r="AA4306" s="7">
        <f t="shared" si="2"/>
        <v>45212</v>
      </c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</row>
    <row r="4307" ht="14.25" customHeight="1">
      <c r="AA4307" s="7">
        <f t="shared" si="2"/>
        <v>45213</v>
      </c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</row>
    <row r="4308" ht="14.25" customHeight="1">
      <c r="AA4308" s="7">
        <f t="shared" si="2"/>
        <v>45214</v>
      </c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</row>
    <row r="4309" ht="14.25" customHeight="1">
      <c r="AA4309" s="7">
        <f t="shared" si="2"/>
        <v>45215</v>
      </c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</row>
    <row r="4310" ht="14.25" customHeight="1">
      <c r="AA4310" s="7">
        <f t="shared" si="2"/>
        <v>45216</v>
      </c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</row>
    <row r="4311" ht="14.25" customHeight="1">
      <c r="AA4311" s="7">
        <f t="shared" si="2"/>
        <v>45217</v>
      </c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</row>
    <row r="4312" ht="14.25" customHeight="1">
      <c r="AA4312" s="7">
        <f t="shared" si="2"/>
        <v>45218</v>
      </c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</row>
    <row r="4313" ht="14.25" customHeight="1">
      <c r="AA4313" s="7">
        <f t="shared" si="2"/>
        <v>45219</v>
      </c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</row>
    <row r="4314" ht="14.25" customHeight="1">
      <c r="AA4314" s="7">
        <f t="shared" si="2"/>
        <v>45220</v>
      </c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</row>
    <row r="4315" ht="14.25" customHeight="1">
      <c r="AA4315" s="7">
        <f t="shared" si="2"/>
        <v>45221</v>
      </c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</row>
    <row r="4316" ht="14.25" customHeight="1">
      <c r="AA4316" s="7">
        <f t="shared" si="2"/>
        <v>45222</v>
      </c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</row>
    <row r="4317" ht="14.25" customHeight="1">
      <c r="AA4317" s="7">
        <f t="shared" si="2"/>
        <v>45223</v>
      </c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</row>
    <row r="4318" ht="14.25" customHeight="1">
      <c r="AA4318" s="7">
        <f t="shared" si="2"/>
        <v>45224</v>
      </c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</row>
    <row r="4319" ht="14.25" customHeight="1">
      <c r="AA4319" s="7">
        <f t="shared" si="2"/>
        <v>45225</v>
      </c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</row>
    <row r="4320" ht="14.25" customHeight="1">
      <c r="AA4320" s="7">
        <f t="shared" si="2"/>
        <v>45226</v>
      </c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</row>
    <row r="4321" ht="14.25" customHeight="1">
      <c r="AA4321" s="7">
        <f t="shared" si="2"/>
        <v>45227</v>
      </c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</row>
    <row r="4322" ht="14.25" customHeight="1">
      <c r="AA4322" s="7">
        <f t="shared" si="2"/>
        <v>45228</v>
      </c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</row>
    <row r="4323" ht="14.25" customHeight="1">
      <c r="AA4323" s="7">
        <f t="shared" si="2"/>
        <v>45229</v>
      </c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</row>
    <row r="4324" ht="14.25" customHeight="1">
      <c r="AA4324" s="7">
        <f t="shared" si="2"/>
        <v>45230</v>
      </c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</row>
    <row r="4325" ht="14.25" customHeight="1">
      <c r="AA4325" s="7">
        <f t="shared" si="2"/>
        <v>45231</v>
      </c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</row>
    <row r="4326" ht="14.25" customHeight="1">
      <c r="AA4326" s="7">
        <f t="shared" si="2"/>
        <v>45232</v>
      </c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</row>
    <row r="4327" ht="14.25" customHeight="1">
      <c r="AA4327" s="7">
        <f t="shared" si="2"/>
        <v>45233</v>
      </c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</row>
    <row r="4328" ht="14.25" customHeight="1">
      <c r="AA4328" s="7">
        <f t="shared" si="2"/>
        <v>45234</v>
      </c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</row>
    <row r="4329" ht="14.25" customHeight="1">
      <c r="AA4329" s="7">
        <f t="shared" si="2"/>
        <v>45235</v>
      </c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</row>
    <row r="4330" ht="14.25" customHeight="1">
      <c r="AA4330" s="7">
        <f t="shared" si="2"/>
        <v>45236</v>
      </c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</row>
    <row r="4331" ht="14.25" customHeight="1">
      <c r="AA4331" s="7">
        <f t="shared" si="2"/>
        <v>45237</v>
      </c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</row>
    <row r="4332" ht="14.25" customHeight="1">
      <c r="AA4332" s="7">
        <f t="shared" si="2"/>
        <v>45238</v>
      </c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</row>
    <row r="4333" ht="14.25" customHeight="1">
      <c r="AA4333" s="7">
        <f t="shared" si="2"/>
        <v>45239</v>
      </c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</row>
    <row r="4334" ht="14.25" customHeight="1">
      <c r="AA4334" s="7">
        <f t="shared" si="2"/>
        <v>45240</v>
      </c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</row>
    <row r="4335" ht="14.25" customHeight="1">
      <c r="AA4335" s="7">
        <f t="shared" si="2"/>
        <v>45241</v>
      </c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</row>
    <row r="4336" ht="14.25" customHeight="1">
      <c r="AA4336" s="7">
        <f t="shared" si="2"/>
        <v>45242</v>
      </c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</row>
    <row r="4337" ht="14.25" customHeight="1">
      <c r="AA4337" s="7">
        <f t="shared" si="2"/>
        <v>45243</v>
      </c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</row>
    <row r="4338" ht="14.25" customHeight="1">
      <c r="AA4338" s="7">
        <f t="shared" si="2"/>
        <v>45244</v>
      </c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</row>
    <row r="4339" ht="14.25" customHeight="1">
      <c r="AA4339" s="7">
        <f t="shared" si="2"/>
        <v>45245</v>
      </c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</row>
    <row r="4340" ht="14.25" customHeight="1">
      <c r="AA4340" s="7">
        <f t="shared" si="2"/>
        <v>45246</v>
      </c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</row>
    <row r="4341" ht="14.25" customHeight="1">
      <c r="AA4341" s="7">
        <f t="shared" si="2"/>
        <v>45247</v>
      </c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</row>
    <row r="4342" ht="14.25" customHeight="1">
      <c r="AA4342" s="7">
        <f t="shared" si="2"/>
        <v>45248</v>
      </c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</row>
    <row r="4343" ht="14.25" customHeight="1">
      <c r="AA4343" s="7">
        <f t="shared" si="2"/>
        <v>45249</v>
      </c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</row>
    <row r="4344" ht="14.25" customHeight="1">
      <c r="AA4344" s="7">
        <f t="shared" si="2"/>
        <v>45250</v>
      </c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</row>
    <row r="4345" ht="14.25" customHeight="1">
      <c r="AA4345" s="7">
        <f t="shared" si="2"/>
        <v>45251</v>
      </c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</row>
    <row r="4346" ht="14.25" customHeight="1">
      <c r="AA4346" s="7">
        <f t="shared" si="2"/>
        <v>45252</v>
      </c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</row>
    <row r="4347" ht="14.25" customHeight="1">
      <c r="AA4347" s="7">
        <f t="shared" si="2"/>
        <v>45253</v>
      </c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</row>
    <row r="4348" ht="14.25" customHeight="1">
      <c r="AA4348" s="7">
        <f t="shared" si="2"/>
        <v>45254</v>
      </c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</row>
    <row r="4349" ht="14.25" customHeight="1">
      <c r="AA4349" s="7">
        <f t="shared" si="2"/>
        <v>45255</v>
      </c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</row>
    <row r="4350" ht="14.25" customHeight="1">
      <c r="AA4350" s="7">
        <f t="shared" si="2"/>
        <v>45256</v>
      </c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</row>
    <row r="4351" ht="14.25" customHeight="1">
      <c r="AA4351" s="7">
        <f t="shared" si="2"/>
        <v>45257</v>
      </c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</row>
    <row r="4352" ht="14.25" customHeight="1">
      <c r="AA4352" s="7">
        <f t="shared" si="2"/>
        <v>45258</v>
      </c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</row>
    <row r="4353" ht="14.25" customHeight="1">
      <c r="AA4353" s="7">
        <f t="shared" si="2"/>
        <v>45259</v>
      </c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</row>
    <row r="4354" ht="14.25" customHeight="1">
      <c r="AA4354" s="7">
        <f t="shared" si="2"/>
        <v>45260</v>
      </c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</row>
    <row r="4355" ht="14.25" customHeight="1">
      <c r="AA4355" s="7">
        <f t="shared" si="2"/>
        <v>45261</v>
      </c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</row>
    <row r="4356" ht="14.25" customHeight="1">
      <c r="AA4356" s="7">
        <f t="shared" si="2"/>
        <v>45262</v>
      </c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</row>
    <row r="4357" ht="14.25" customHeight="1">
      <c r="AA4357" s="7">
        <f t="shared" si="2"/>
        <v>45263</v>
      </c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</row>
    <row r="4358" ht="14.25" customHeight="1">
      <c r="AA4358" s="7">
        <f t="shared" si="2"/>
        <v>45264</v>
      </c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</row>
    <row r="4359" ht="14.25" customHeight="1">
      <c r="AA4359" s="7">
        <f t="shared" si="2"/>
        <v>45265</v>
      </c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</row>
    <row r="4360" ht="14.25" customHeight="1">
      <c r="AA4360" s="7">
        <f t="shared" si="2"/>
        <v>45266</v>
      </c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</row>
    <row r="4361" ht="14.25" customHeight="1">
      <c r="AA4361" s="7">
        <f t="shared" si="2"/>
        <v>45267</v>
      </c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</row>
    <row r="4362" ht="14.25" customHeight="1">
      <c r="AA4362" s="7">
        <f t="shared" si="2"/>
        <v>45268</v>
      </c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</row>
    <row r="4363" ht="14.25" customHeight="1">
      <c r="AA4363" s="7">
        <f t="shared" si="2"/>
        <v>45269</v>
      </c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</row>
    <row r="4364" ht="14.25" customHeight="1">
      <c r="AA4364" s="7">
        <f t="shared" si="2"/>
        <v>45270</v>
      </c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</row>
    <row r="4365" ht="14.25" customHeight="1">
      <c r="AA4365" s="7">
        <f t="shared" si="2"/>
        <v>45271</v>
      </c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</row>
    <row r="4366" ht="14.25" customHeight="1">
      <c r="AA4366" s="7">
        <f t="shared" si="2"/>
        <v>45272</v>
      </c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</row>
    <row r="4367" ht="14.25" customHeight="1">
      <c r="AA4367" s="7">
        <f t="shared" si="2"/>
        <v>45273</v>
      </c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</row>
    <row r="4368" ht="14.25" customHeight="1">
      <c r="AA4368" s="7">
        <f t="shared" si="2"/>
        <v>45274</v>
      </c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</row>
    <row r="4369" ht="14.25" customHeight="1">
      <c r="AA4369" s="7">
        <f t="shared" si="2"/>
        <v>45275</v>
      </c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</row>
    <row r="4370" ht="14.25" customHeight="1">
      <c r="AA4370" s="7">
        <f t="shared" si="2"/>
        <v>45276</v>
      </c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</row>
    <row r="4371" ht="14.25" customHeight="1">
      <c r="AA4371" s="7">
        <f t="shared" si="2"/>
        <v>45277</v>
      </c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</row>
    <row r="4372" ht="14.25" customHeight="1">
      <c r="AA4372" s="7">
        <f t="shared" si="2"/>
        <v>45278</v>
      </c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</row>
    <row r="4373" ht="14.25" customHeight="1">
      <c r="AA4373" s="7">
        <f t="shared" si="2"/>
        <v>45279</v>
      </c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</row>
    <row r="4374" ht="14.25" customHeight="1">
      <c r="AA4374" s="7">
        <f t="shared" si="2"/>
        <v>45280</v>
      </c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</row>
    <row r="4375" ht="14.25" customHeight="1">
      <c r="AA4375" s="7">
        <f t="shared" si="2"/>
        <v>45281</v>
      </c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</row>
    <row r="4376" ht="14.25" customHeight="1">
      <c r="AA4376" s="7">
        <f t="shared" si="2"/>
        <v>45282</v>
      </c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</row>
    <row r="4377" ht="14.25" customHeight="1">
      <c r="AA4377" s="7">
        <f t="shared" si="2"/>
        <v>45283</v>
      </c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</row>
    <row r="4378" ht="14.25" customHeight="1">
      <c r="AA4378" s="7">
        <f t="shared" si="2"/>
        <v>45284</v>
      </c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</row>
    <row r="4379" ht="14.25" customHeight="1">
      <c r="AA4379" s="7">
        <f t="shared" si="2"/>
        <v>45285</v>
      </c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</row>
    <row r="4380" ht="14.25" customHeight="1">
      <c r="AA4380" s="7">
        <f t="shared" si="2"/>
        <v>45286</v>
      </c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</row>
    <row r="4381" ht="14.25" customHeight="1">
      <c r="AA4381" s="7">
        <f t="shared" si="2"/>
        <v>45287</v>
      </c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</row>
    <row r="4382" ht="14.25" customHeight="1">
      <c r="AA4382" s="7">
        <f t="shared" si="2"/>
        <v>45288</v>
      </c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</row>
    <row r="4383" ht="14.25" customHeight="1">
      <c r="AA4383" s="7">
        <f t="shared" si="2"/>
        <v>45289</v>
      </c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</row>
    <row r="4384" ht="14.25" customHeight="1">
      <c r="AA4384" s="7">
        <f t="shared" si="2"/>
        <v>45290</v>
      </c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</row>
    <row r="4385" ht="14.25" customHeight="1">
      <c r="AA4385" s="7">
        <f t="shared" si="2"/>
        <v>45291</v>
      </c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</row>
    <row r="4386" ht="14.25" customHeight="1">
      <c r="AA4386" s="7"/>
    </row>
    <row r="4387" ht="14.25" customHeight="1">
      <c r="AA4387" s="7"/>
    </row>
    <row r="4388" ht="14.25" customHeight="1">
      <c r="AA4388" s="7"/>
    </row>
    <row r="4389" ht="14.25" customHeight="1">
      <c r="AA4389" s="7"/>
    </row>
    <row r="4390" ht="14.25" customHeight="1">
      <c r="AA4390" s="7"/>
    </row>
    <row r="4391" ht="14.25" customHeight="1">
      <c r="AA4391" s="7"/>
    </row>
    <row r="4392" ht="14.25" customHeight="1">
      <c r="AA4392" s="7"/>
    </row>
    <row r="4393" ht="14.25" customHeight="1">
      <c r="AA4393" s="7"/>
    </row>
    <row r="4394" ht="14.25" customHeight="1">
      <c r="AA4394" s="7"/>
    </row>
    <row r="4395" ht="14.25" customHeight="1">
      <c r="AA4395" s="7"/>
    </row>
    <row r="4396" ht="14.25" customHeight="1">
      <c r="AA4396" s="7"/>
    </row>
    <row r="4397" ht="14.25" customHeight="1">
      <c r="AA4397" s="7"/>
    </row>
    <row r="4398" ht="14.25" customHeight="1">
      <c r="AA4398" s="7"/>
    </row>
    <row r="4399" ht="14.25" customHeight="1">
      <c r="AA4399" s="7"/>
    </row>
    <row r="4400" ht="14.25" customHeight="1">
      <c r="AA4400" s="7"/>
    </row>
    <row r="4401" ht="14.25" customHeight="1">
      <c r="AA4401" s="7"/>
    </row>
    <row r="4402" ht="14.25" customHeight="1">
      <c r="AA4402" s="7"/>
    </row>
    <row r="4403" ht="14.25" customHeight="1">
      <c r="AA4403" s="7"/>
    </row>
    <row r="4404" ht="14.25" customHeight="1">
      <c r="AA4404" s="7"/>
    </row>
    <row r="4405" ht="14.25" customHeight="1">
      <c r="AA4405" s="7"/>
    </row>
    <row r="4406" ht="14.25" customHeight="1">
      <c r="AA4406" s="7"/>
    </row>
    <row r="4407" ht="14.25" customHeight="1">
      <c r="AA4407" s="7"/>
    </row>
    <row r="4408" ht="14.25" customHeight="1">
      <c r="AA4408" s="7"/>
    </row>
    <row r="4409" ht="14.25" customHeight="1">
      <c r="AA4409" s="7"/>
    </row>
    <row r="4410" ht="14.25" customHeight="1">
      <c r="AA4410" s="7"/>
    </row>
    <row r="4411" ht="14.25" customHeight="1">
      <c r="AA4411" s="7"/>
    </row>
    <row r="4412" ht="14.25" customHeight="1">
      <c r="AA4412" s="7"/>
    </row>
    <row r="4413" ht="14.25" customHeight="1">
      <c r="AA4413" s="7"/>
    </row>
    <row r="4414" ht="14.25" customHeight="1">
      <c r="AA4414" s="7"/>
    </row>
    <row r="4415" ht="14.25" customHeight="1">
      <c r="AA4415" s="7"/>
    </row>
    <row r="4416" ht="14.25" customHeight="1">
      <c r="AA4416" s="7"/>
    </row>
    <row r="4417" ht="14.25" customHeight="1">
      <c r="AA4417" s="7"/>
    </row>
    <row r="4418" ht="14.25" customHeight="1">
      <c r="AA4418" s="7"/>
    </row>
    <row r="4419" ht="14.25" customHeight="1">
      <c r="AA4419" s="7"/>
    </row>
    <row r="4420" ht="14.25" customHeight="1">
      <c r="AA4420" s="7"/>
    </row>
    <row r="4421" ht="14.25" customHeight="1">
      <c r="AA4421" s="7"/>
    </row>
    <row r="4422" ht="14.25" customHeight="1">
      <c r="AA4422" s="7"/>
    </row>
    <row r="4423" ht="14.25" customHeight="1">
      <c r="AA4423" s="7"/>
    </row>
    <row r="4424" ht="14.25" customHeight="1">
      <c r="AA4424" s="7"/>
    </row>
    <row r="4425" ht="14.25" customHeight="1">
      <c r="AA4425" s="7"/>
    </row>
    <row r="4426" ht="14.25" customHeight="1">
      <c r="AA4426" s="7"/>
    </row>
    <row r="4427" ht="14.25" customHeight="1">
      <c r="AA4427" s="7"/>
    </row>
    <row r="4428" ht="14.25" customHeight="1">
      <c r="AA4428" s="7"/>
    </row>
    <row r="4429" ht="14.25" customHeight="1">
      <c r="AA4429" s="7"/>
    </row>
    <row r="4430" ht="14.25" customHeight="1">
      <c r="AA4430" s="7"/>
    </row>
    <row r="4431" ht="14.25" customHeight="1">
      <c r="AA4431" s="7"/>
    </row>
    <row r="4432" ht="14.25" customHeight="1">
      <c r="AA4432" s="7"/>
    </row>
    <row r="4433" ht="14.25" customHeight="1">
      <c r="AA4433" s="7"/>
    </row>
    <row r="4434" ht="14.25" customHeight="1">
      <c r="AA4434" s="7"/>
    </row>
  </sheetData>
  <printOptions/>
  <pageMargins bottom="0.75" footer="0.0" header="0.0" left="0.7" right="0.7" top="0.75"/>
  <pageSetup paperSize="9" orientation="portrait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32.43"/>
    <col customWidth="1" min="3" max="10" width="8.71"/>
    <col customWidth="1" min="11" max="13" width="10.71"/>
    <col customWidth="1" min="14" max="40" width="8.71"/>
  </cols>
  <sheetData>
    <row r="1" ht="14.25" customHeight="1"/>
    <row r="2" ht="14.25" customHeight="1">
      <c r="I2" s="1" t="s">
        <v>2</v>
      </c>
      <c r="J2" s="18">
        <v>5.0</v>
      </c>
      <c r="K2" s="1" t="s">
        <v>3</v>
      </c>
      <c r="N2" s="1" t="str">
        <f>MATCH($B$3,daily_items,0)</f>
        <v>#N/A</v>
      </c>
      <c r="Q2" s="1" t="str">
        <f t="array" ref="Q2:AB2">daily_items</f>
        <v/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ht="14.25" customHeight="1">
      <c r="B3" s="19" t="s">
        <v>4</v>
      </c>
    </row>
    <row r="4" ht="14.25" customHeight="1"/>
    <row r="5" ht="14.25" customHeight="1">
      <c r="H5" s="20"/>
      <c r="I5" s="20" t="s">
        <v>5</v>
      </c>
      <c r="J5" s="20" t="s">
        <v>6</v>
      </c>
      <c r="K5" s="20" t="s">
        <v>7</v>
      </c>
      <c r="L5" s="20" t="s">
        <v>8</v>
      </c>
      <c r="M5" s="20" t="str">
        <f>N5&amp;"F"</f>
        <v>2023F</v>
      </c>
      <c r="N5" s="21">
        <v>2023.0</v>
      </c>
      <c r="O5" s="20">
        <f t="shared" ref="O5:Y5" si="1">N5-1</f>
        <v>2022</v>
      </c>
      <c r="P5" s="20">
        <f t="shared" si="1"/>
        <v>2021</v>
      </c>
      <c r="Q5" s="20">
        <f t="shared" si="1"/>
        <v>2020</v>
      </c>
      <c r="R5" s="20">
        <f t="shared" si="1"/>
        <v>2019</v>
      </c>
      <c r="S5" s="20">
        <f t="shared" si="1"/>
        <v>2018</v>
      </c>
      <c r="T5" s="20">
        <f t="shared" si="1"/>
        <v>2017</v>
      </c>
      <c r="U5" s="20">
        <f t="shared" si="1"/>
        <v>2016</v>
      </c>
      <c r="V5" s="20">
        <f t="shared" si="1"/>
        <v>2015</v>
      </c>
      <c r="W5" s="20">
        <f t="shared" si="1"/>
        <v>2014</v>
      </c>
      <c r="X5" s="20">
        <f t="shared" si="1"/>
        <v>2013</v>
      </c>
      <c r="Y5" s="20">
        <f t="shared" si="1"/>
        <v>2012</v>
      </c>
      <c r="Z5" s="20" t="s">
        <v>9</v>
      </c>
      <c r="AA5" s="20" t="s">
        <v>10</v>
      </c>
      <c r="AB5" s="20" t="str">
        <f>"min-max (2019 -"&amp;OFFSET($R$5,0,$J$2)&amp; ")"</f>
        <v>min-max (2019 -2014)</v>
      </c>
      <c r="AC5" s="20" t="s">
        <v>11</v>
      </c>
    </row>
    <row r="6" ht="14.25" customHeight="1">
      <c r="B6" s="22" t="s">
        <v>12</v>
      </c>
      <c r="H6" s="1">
        <v>1.0</v>
      </c>
      <c r="I6" s="1">
        <f t="shared" ref="I6:I371" si="2">DAY(K6)</f>
        <v>1</v>
      </c>
      <c r="J6" s="1">
        <f t="shared" ref="J6:J371" si="3">MONTH(K6)</f>
        <v>1</v>
      </c>
      <c r="K6" s="23">
        <v>36526.0</v>
      </c>
      <c r="L6" s="24">
        <f t="shared" ref="L6:L371" si="4">IF(TODAY()&lt;DATE($N$5,J6,I6),1000000,-1000000)</f>
        <v>-1000000</v>
      </c>
      <c r="M6" s="1" t="str">
        <f t="array" ref="M6">IF(K6&gt;0,INDEX(big_daily_table,MATCH(DATE(N$5,$J6,$I6),daily_dates,0),MATCH($B$3,daily_items,0)),NA())</f>
        <v>#N/A</v>
      </c>
      <c r="N6" s="1" t="str">
        <f t="array" ref="N6">IF(L6&lt;0,INDEX(big_daily_table,MATCH(DATE(N$5,$J6,$I6),daily_dates,0),MATCH($B$3,daily_items,0)),NA())</f>
        <v>#N/A</v>
      </c>
      <c r="O6" s="1" t="str">
        <f t="array" ref="O6">IF(ISBLANK(INDEX(big_daily_table,MATCH(DATE(O$5,$J6,$I6),daily_dates,0),MATCH($B$3,daily_items,0))),NA(),INDEX(big_daily_table,MATCH(DATE(O$5,$J6,$I6),daily_dates,0),MATCH($B$3,daily_items,0)))</f>
        <v>#N/A</v>
      </c>
      <c r="P6" s="1" t="str">
        <f t="array" ref="P6">IF(ISBLANK(INDEX(big_daily_table,MATCH(DATE(P$5,$J6,$I6),daily_dates,0),MATCH($B$3,daily_items,0))),NA(),INDEX(big_daily_table,MATCH(DATE(P$5,$J6,$I6),daily_dates,0),MATCH($B$3,daily_items,0)))</f>
        <v>#N/A</v>
      </c>
      <c r="Q6" s="1" t="str">
        <f t="array" ref="Q6">IF(ISBLANK(INDEX(big_daily_table,MATCH(DATE(Q$5,$J6,$I6),daily_dates,0),MATCH($B$3,daily_items,0))),NA(),INDEX(big_daily_table,MATCH(DATE(Q$5,$J6,$I6),daily_dates,0),MATCH($B$3,daily_items,0)))</f>
        <v>#N/A</v>
      </c>
      <c r="R6" s="1" t="str">
        <f t="array" ref="R6">IF(ISBLANK(INDEX(big_daily_table,MATCH(DATE(R$5,$J6,$I6),daily_dates,0),MATCH($B$3,daily_items,0))),NA(),INDEX(big_daily_table,MATCH(DATE(R$5,$J6,$I6),daily_dates,0),MATCH($B$3,daily_items,0)))</f>
        <v>#N/A</v>
      </c>
      <c r="S6" s="1" t="str">
        <f t="array" ref="S6">IF(ISBLANK(INDEX(big_daily_table,MATCH(DATE(S$5,$J6,$I6),daily_dates,0),MATCH($B$3,daily_items,0))),NA(),INDEX(big_daily_table,MATCH(DATE(S$5,$J6,$I6),daily_dates,0),MATCH($B$3,daily_items,0)))</f>
        <v>#N/A</v>
      </c>
      <c r="T6" s="1" t="str">
        <f t="array" ref="T6">IF(ISBLANK(INDEX(big_daily_table,MATCH(DATE(T$5,$J6,$I6),daily_dates,0),MATCH($B$3,daily_items,0))),NA(),INDEX(big_daily_table,MATCH(DATE(T$5,$J6,$I6),daily_dates,0),MATCH($B$3,daily_items,0)))</f>
        <v>#N/A</v>
      </c>
      <c r="U6" s="1" t="str">
        <f t="array" ref="U6">IF(ISBLANK(INDEX(big_daily_table,MATCH(DATE(U$5,$J6,$I6),daily_dates,0),MATCH($B$3,daily_items,0))),NA(),INDEX(big_daily_table,MATCH(DATE(U$5,$J6,$I6),daily_dates,0),MATCH($B$3,daily_items,0)))</f>
        <v>#N/A</v>
      </c>
      <c r="V6" s="1" t="str">
        <f t="array" ref="V6">IF(ISBLANK(INDEX(big_daily_table,MATCH(DATE(V$5,$J6,$I6),daily_dates,0),MATCH($B$3,daily_items,0))),NA(),INDEX(big_daily_table,MATCH(DATE(V$5,$J6,$I6),daily_dates,0),MATCH($B$3,daily_items,0)))</f>
        <v>#N/A</v>
      </c>
      <c r="W6" s="1" t="str">
        <f t="array" ref="W6">IF(ISBLANK(INDEX(big_daily_table,MATCH(DATE(W$5,$J6,$I6),daily_dates,0),MATCH($B$3,daily_items,0))),NA(),INDEX(big_daily_table,MATCH(DATE(W$5,$J6,$I6),daily_dates,0),MATCH($B$3,daily_items,0)))</f>
        <v>#N/A</v>
      </c>
      <c r="X6" s="1" t="str">
        <f t="array" ref="X6">IF(ISBLANK(INDEX(big_daily_table,MATCH(DATE(X$5,$J6,$I6),daily_dates,0),MATCH($B$3,daily_items,0))),NA(),INDEX(big_daily_table,MATCH(DATE(X$5,$J6,$I6),daily_dates,0),MATCH($B$3,daily_items,0)))</f>
        <v>#N/A</v>
      </c>
      <c r="Y6" s="1" t="str">
        <f t="array" ref="Y6">IF(ISBLANK(INDEX(big_daily_table,MATCH(DATE(Y$5,$J6,$I6),daily_dates,0),MATCH($B$3,daily_items,0))),NA(),INDEX(big_daily_table,MATCH(DATE(Y$5,$J6,$I6),daily_dates,0),MATCH($B$3,daily_items,0)))</f>
        <v>#N/A</v>
      </c>
      <c r="Z6" s="1" t="str">
        <f t="shared" ref="Z6:Z371" si="5">AGGREGATE(5,6,OFFSET($R$5,H6,0,1,$J$2))</f>
        <v>#NAME?</v>
      </c>
      <c r="AA6" s="1" t="str">
        <f t="shared" ref="AA6:AA371" si="6">AGGREGATE(4,6,OFFSET($R$5,H6,0,1,$J$2))</f>
        <v>#NAME?</v>
      </c>
      <c r="AB6" s="1" t="str">
        <f t="shared" ref="AB6:AB371" si="7">AA6-Z6</f>
        <v>#NAME?</v>
      </c>
      <c r="AC6" s="1" t="str">
        <f t="shared" ref="AC6:AC371" si="8">AGGREGATE(1,6,OFFSET($R$5,H6,0,1,$J$2))</f>
        <v>#NAME?</v>
      </c>
    </row>
    <row r="7" ht="14.25" customHeight="1">
      <c r="H7" s="1">
        <f t="shared" ref="H7:H371" si="9">H6+1</f>
        <v>2</v>
      </c>
      <c r="I7" s="1">
        <f t="shared" si="2"/>
        <v>2</v>
      </c>
      <c r="J7" s="1">
        <f t="shared" si="3"/>
        <v>1</v>
      </c>
      <c r="K7" s="23">
        <f t="shared" ref="K7:K371" si="10">K6+1</f>
        <v>36527</v>
      </c>
      <c r="L7" s="24">
        <f t="shared" si="4"/>
        <v>-1000000</v>
      </c>
      <c r="M7" s="1" t="str">
        <f t="array" ref="M7">IF(K7&gt;0,INDEX(big_daily_table,MATCH(DATE(N$5,$J7,$I7),daily_dates,0),MATCH($B$3,daily_items,0)),NA())</f>
        <v>#N/A</v>
      </c>
      <c r="N7" s="1" t="str">
        <f t="array" ref="N7">IF(L7&lt;0,INDEX(big_daily_table,MATCH(DATE(N$5,$J7,$I7),daily_dates,0),MATCH($B$3,daily_items,0)),NA())</f>
        <v>#N/A</v>
      </c>
      <c r="O7" s="1" t="str">
        <f t="array" ref="O7">IF(ISBLANK(INDEX(big_daily_table,MATCH(DATE(O$5,$J7,$I7),daily_dates,0),MATCH($B$3,daily_items,0))),NA(),INDEX(big_daily_table,MATCH(DATE(O$5,$J7,$I7),daily_dates,0),MATCH($B$3,daily_items,0)))</f>
        <v>#N/A</v>
      </c>
      <c r="P7" s="1" t="str">
        <f t="array" ref="P7">IF(ISBLANK(INDEX(big_daily_table,MATCH(DATE(P$5,$J7,$I7),daily_dates,0),MATCH($B$3,daily_items,0))),NA(),INDEX(big_daily_table,MATCH(DATE(P$5,$J7,$I7),daily_dates,0),MATCH($B$3,daily_items,0)))</f>
        <v>#N/A</v>
      </c>
      <c r="Q7" s="1" t="str">
        <f t="array" ref="Q7">IF(ISBLANK(INDEX(big_daily_table,MATCH(DATE(Q$5,$J7,$I7),daily_dates,0),MATCH($B$3,daily_items,0))),NA(),INDEX(big_daily_table,MATCH(DATE(Q$5,$J7,$I7),daily_dates,0),MATCH($B$3,daily_items,0)))</f>
        <v>#N/A</v>
      </c>
      <c r="R7" s="1" t="str">
        <f t="array" ref="R7">IF(ISBLANK(INDEX(big_daily_table,MATCH(DATE(R$5,$J7,$I7),daily_dates,0),MATCH($B$3,daily_items,0))),NA(),INDEX(big_daily_table,MATCH(DATE(R$5,$J7,$I7),daily_dates,0),MATCH($B$3,daily_items,0)))</f>
        <v>#N/A</v>
      </c>
      <c r="S7" s="1" t="str">
        <f t="array" ref="S7">IF(ISBLANK(INDEX(big_daily_table,MATCH(DATE(S$5,$J7,$I7),daily_dates,0),MATCH($B$3,daily_items,0))),NA(),INDEX(big_daily_table,MATCH(DATE(S$5,$J7,$I7),daily_dates,0),MATCH($B$3,daily_items,0)))</f>
        <v>#N/A</v>
      </c>
      <c r="T7" s="1" t="str">
        <f t="array" ref="T7">IF(ISBLANK(INDEX(big_daily_table,MATCH(DATE(T$5,$J7,$I7),daily_dates,0),MATCH($B$3,daily_items,0))),NA(),INDEX(big_daily_table,MATCH(DATE(T$5,$J7,$I7),daily_dates,0),MATCH($B$3,daily_items,0)))</f>
        <v>#N/A</v>
      </c>
      <c r="U7" s="1" t="str">
        <f t="array" ref="U7">IF(ISBLANK(INDEX(big_daily_table,MATCH(DATE(U$5,$J7,$I7),daily_dates,0),MATCH($B$3,daily_items,0))),NA(),INDEX(big_daily_table,MATCH(DATE(U$5,$J7,$I7),daily_dates,0),MATCH($B$3,daily_items,0)))</f>
        <v>#N/A</v>
      </c>
      <c r="V7" s="1" t="str">
        <f t="array" ref="V7">IF(ISBLANK(INDEX(big_daily_table,MATCH(DATE(V$5,$J7,$I7),daily_dates,0),MATCH($B$3,daily_items,0))),NA(),INDEX(big_daily_table,MATCH(DATE(V$5,$J7,$I7),daily_dates,0),MATCH($B$3,daily_items,0)))</f>
        <v>#N/A</v>
      </c>
      <c r="W7" s="1" t="str">
        <f t="array" ref="W7">IF(ISBLANK(INDEX(big_daily_table,MATCH(DATE(W$5,$J7,$I7),daily_dates,0),MATCH($B$3,daily_items,0))),NA(),INDEX(big_daily_table,MATCH(DATE(W$5,$J7,$I7),daily_dates,0),MATCH($B$3,daily_items,0)))</f>
        <v>#N/A</v>
      </c>
      <c r="X7" s="1" t="str">
        <f t="array" ref="X7">IF(ISBLANK(INDEX(big_daily_table,MATCH(DATE(X$5,$J7,$I7),daily_dates,0),MATCH($B$3,daily_items,0))),NA(),INDEX(big_daily_table,MATCH(DATE(X$5,$J7,$I7),daily_dates,0),MATCH($B$3,daily_items,0)))</f>
        <v>#N/A</v>
      </c>
      <c r="Y7" s="1" t="str">
        <f t="array" ref="Y7">IF(ISBLANK(INDEX(big_daily_table,MATCH(DATE(Y$5,$J7,$I7),daily_dates,0),MATCH($B$3,daily_items,0))),NA(),INDEX(big_daily_table,MATCH(DATE(Y$5,$J7,$I7),daily_dates,0),MATCH($B$3,daily_items,0)))</f>
        <v>#N/A</v>
      </c>
      <c r="Z7" s="1" t="str">
        <f t="shared" si="5"/>
        <v>#NAME?</v>
      </c>
      <c r="AA7" s="1" t="str">
        <f t="shared" si="6"/>
        <v>#NAME?</v>
      </c>
      <c r="AB7" s="1" t="str">
        <f t="shared" si="7"/>
        <v>#NAME?</v>
      </c>
      <c r="AC7" s="1" t="str">
        <f t="shared" si="8"/>
        <v>#NAME?</v>
      </c>
    </row>
    <row r="8" ht="14.25" customHeight="1">
      <c r="H8" s="1">
        <f t="shared" si="9"/>
        <v>3</v>
      </c>
      <c r="I8" s="1">
        <f t="shared" si="2"/>
        <v>3</v>
      </c>
      <c r="J8" s="1">
        <f t="shared" si="3"/>
        <v>1</v>
      </c>
      <c r="K8" s="23">
        <f t="shared" si="10"/>
        <v>36528</v>
      </c>
      <c r="L8" s="24">
        <f t="shared" si="4"/>
        <v>-1000000</v>
      </c>
      <c r="M8" s="1" t="str">
        <f t="array" ref="M8">IF(K8&gt;0,INDEX(big_daily_table,MATCH(DATE(N$5,$J8,$I8),daily_dates,0),MATCH($B$3,daily_items,0)),NA())</f>
        <v>#N/A</v>
      </c>
      <c r="N8" s="1" t="str">
        <f t="array" ref="N8">IF(L8&lt;0,INDEX(big_daily_table,MATCH(DATE(N$5,$J8,$I8),daily_dates,0),MATCH($B$3,daily_items,0)),NA())</f>
        <v>#N/A</v>
      </c>
      <c r="O8" s="1" t="str">
        <f t="array" ref="O8">IF(ISBLANK(INDEX(big_daily_table,MATCH(DATE(O$5,$J8,$I8),daily_dates,0),MATCH($B$3,daily_items,0))),NA(),INDEX(big_daily_table,MATCH(DATE(O$5,$J8,$I8),daily_dates,0),MATCH($B$3,daily_items,0)))</f>
        <v>#N/A</v>
      </c>
      <c r="P8" s="1" t="str">
        <f t="array" ref="P8">IF(ISBLANK(INDEX(big_daily_table,MATCH(DATE(P$5,$J8,$I8),daily_dates,0),MATCH($B$3,daily_items,0))),NA(),INDEX(big_daily_table,MATCH(DATE(P$5,$J8,$I8),daily_dates,0),MATCH($B$3,daily_items,0)))</f>
        <v>#N/A</v>
      </c>
      <c r="Q8" s="1" t="str">
        <f t="array" ref="Q8">IF(ISBLANK(INDEX(big_daily_table,MATCH(DATE(Q$5,$J8,$I8),daily_dates,0),MATCH($B$3,daily_items,0))),NA(),INDEX(big_daily_table,MATCH(DATE(Q$5,$J8,$I8),daily_dates,0),MATCH($B$3,daily_items,0)))</f>
        <v>#N/A</v>
      </c>
      <c r="R8" s="1" t="str">
        <f t="array" ref="R8">IF(ISBLANK(INDEX(big_daily_table,MATCH(DATE(R$5,$J8,$I8),daily_dates,0),MATCH($B$3,daily_items,0))),NA(),INDEX(big_daily_table,MATCH(DATE(R$5,$J8,$I8),daily_dates,0),MATCH($B$3,daily_items,0)))</f>
        <v>#N/A</v>
      </c>
      <c r="S8" s="1" t="str">
        <f t="array" ref="S8">IF(ISBLANK(INDEX(big_daily_table,MATCH(DATE(S$5,$J8,$I8),daily_dates,0),MATCH($B$3,daily_items,0))),NA(),INDEX(big_daily_table,MATCH(DATE(S$5,$J8,$I8),daily_dates,0),MATCH($B$3,daily_items,0)))</f>
        <v>#N/A</v>
      </c>
      <c r="T8" s="1" t="str">
        <f t="array" ref="T8">IF(ISBLANK(INDEX(big_daily_table,MATCH(DATE(T$5,$J8,$I8),daily_dates,0),MATCH($B$3,daily_items,0))),NA(),INDEX(big_daily_table,MATCH(DATE(T$5,$J8,$I8),daily_dates,0),MATCH($B$3,daily_items,0)))</f>
        <v>#N/A</v>
      </c>
      <c r="U8" s="1" t="str">
        <f t="array" ref="U8">IF(ISBLANK(INDEX(big_daily_table,MATCH(DATE(U$5,$J8,$I8),daily_dates,0),MATCH($B$3,daily_items,0))),NA(),INDEX(big_daily_table,MATCH(DATE(U$5,$J8,$I8),daily_dates,0),MATCH($B$3,daily_items,0)))</f>
        <v>#N/A</v>
      </c>
      <c r="V8" s="1" t="str">
        <f t="array" ref="V8">IF(ISBLANK(INDEX(big_daily_table,MATCH(DATE(V$5,$J8,$I8),daily_dates,0),MATCH($B$3,daily_items,0))),NA(),INDEX(big_daily_table,MATCH(DATE(V$5,$J8,$I8),daily_dates,0),MATCH($B$3,daily_items,0)))</f>
        <v>#N/A</v>
      </c>
      <c r="W8" s="1" t="str">
        <f t="array" ref="W8">IF(ISBLANK(INDEX(big_daily_table,MATCH(DATE(W$5,$J8,$I8),daily_dates,0),MATCH($B$3,daily_items,0))),NA(),INDEX(big_daily_table,MATCH(DATE(W$5,$J8,$I8),daily_dates,0),MATCH($B$3,daily_items,0)))</f>
        <v>#N/A</v>
      </c>
      <c r="X8" s="1" t="str">
        <f t="array" ref="X8">IF(ISBLANK(INDEX(big_daily_table,MATCH(DATE(X$5,$J8,$I8),daily_dates,0),MATCH($B$3,daily_items,0))),NA(),INDEX(big_daily_table,MATCH(DATE(X$5,$J8,$I8),daily_dates,0),MATCH($B$3,daily_items,0)))</f>
        <v>#N/A</v>
      </c>
      <c r="Y8" s="1" t="str">
        <f t="array" ref="Y8">IF(ISBLANK(INDEX(big_daily_table,MATCH(DATE(Y$5,$J8,$I8),daily_dates,0),MATCH($B$3,daily_items,0))),NA(),INDEX(big_daily_table,MATCH(DATE(Y$5,$J8,$I8),daily_dates,0),MATCH($B$3,daily_items,0)))</f>
        <v>#N/A</v>
      </c>
      <c r="Z8" s="1" t="str">
        <f t="shared" si="5"/>
        <v>#NAME?</v>
      </c>
      <c r="AA8" s="1" t="str">
        <f t="shared" si="6"/>
        <v>#NAME?</v>
      </c>
      <c r="AB8" s="1" t="str">
        <f t="shared" si="7"/>
        <v>#NAME?</v>
      </c>
      <c r="AC8" s="1" t="str">
        <f t="shared" si="8"/>
        <v>#NAME?</v>
      </c>
    </row>
    <row r="9" ht="14.25" customHeight="1">
      <c r="H9" s="1">
        <f t="shared" si="9"/>
        <v>4</v>
      </c>
      <c r="I9" s="1">
        <f t="shared" si="2"/>
        <v>4</v>
      </c>
      <c r="J9" s="1">
        <f t="shared" si="3"/>
        <v>1</v>
      </c>
      <c r="K9" s="23">
        <f t="shared" si="10"/>
        <v>36529</v>
      </c>
      <c r="L9" s="24">
        <f t="shared" si="4"/>
        <v>-1000000</v>
      </c>
      <c r="M9" s="1" t="str">
        <f t="array" ref="M9">IF(K9&gt;0,INDEX(big_daily_table,MATCH(DATE(N$5,$J9,$I9),daily_dates,0),MATCH($B$3,daily_items,0)),NA())</f>
        <v>#N/A</v>
      </c>
      <c r="N9" s="1" t="str">
        <f t="array" ref="N9">IF(L9&lt;0,INDEX(big_daily_table,MATCH(DATE(N$5,$J9,$I9),daily_dates,0),MATCH($B$3,daily_items,0)),NA())</f>
        <v>#N/A</v>
      </c>
      <c r="O9" s="1" t="str">
        <f t="array" ref="O9">IF(ISBLANK(INDEX(big_daily_table,MATCH(DATE(O$5,$J9,$I9),daily_dates,0),MATCH($B$3,daily_items,0))),NA(),INDEX(big_daily_table,MATCH(DATE(O$5,$J9,$I9),daily_dates,0),MATCH($B$3,daily_items,0)))</f>
        <v>#N/A</v>
      </c>
      <c r="P9" s="1" t="str">
        <f t="array" ref="P9">IF(ISBLANK(INDEX(big_daily_table,MATCH(DATE(P$5,$J9,$I9),daily_dates,0),MATCH($B$3,daily_items,0))),NA(),INDEX(big_daily_table,MATCH(DATE(P$5,$J9,$I9),daily_dates,0),MATCH($B$3,daily_items,0)))</f>
        <v>#N/A</v>
      </c>
      <c r="Q9" s="1" t="str">
        <f t="array" ref="Q9">IF(ISBLANK(INDEX(big_daily_table,MATCH(DATE(Q$5,$J9,$I9),daily_dates,0),MATCH($B$3,daily_items,0))),NA(),INDEX(big_daily_table,MATCH(DATE(Q$5,$J9,$I9),daily_dates,0),MATCH($B$3,daily_items,0)))</f>
        <v>#N/A</v>
      </c>
      <c r="R9" s="1" t="str">
        <f t="array" ref="R9">IF(ISBLANK(INDEX(big_daily_table,MATCH(DATE(R$5,$J9,$I9),daily_dates,0),MATCH($B$3,daily_items,0))),NA(),INDEX(big_daily_table,MATCH(DATE(R$5,$J9,$I9),daily_dates,0),MATCH($B$3,daily_items,0)))</f>
        <v>#N/A</v>
      </c>
      <c r="S9" s="1" t="str">
        <f t="array" ref="S9">IF(ISBLANK(INDEX(big_daily_table,MATCH(DATE(S$5,$J9,$I9),daily_dates,0),MATCH($B$3,daily_items,0))),NA(),INDEX(big_daily_table,MATCH(DATE(S$5,$J9,$I9),daily_dates,0),MATCH($B$3,daily_items,0)))</f>
        <v>#N/A</v>
      </c>
      <c r="T9" s="1" t="str">
        <f t="array" ref="T9">IF(ISBLANK(INDEX(big_daily_table,MATCH(DATE(T$5,$J9,$I9),daily_dates,0),MATCH($B$3,daily_items,0))),NA(),INDEX(big_daily_table,MATCH(DATE(T$5,$J9,$I9),daily_dates,0),MATCH($B$3,daily_items,0)))</f>
        <v>#N/A</v>
      </c>
      <c r="U9" s="1" t="str">
        <f t="array" ref="U9">IF(ISBLANK(INDEX(big_daily_table,MATCH(DATE(U$5,$J9,$I9),daily_dates,0),MATCH($B$3,daily_items,0))),NA(),INDEX(big_daily_table,MATCH(DATE(U$5,$J9,$I9),daily_dates,0),MATCH($B$3,daily_items,0)))</f>
        <v>#N/A</v>
      </c>
      <c r="V9" s="1" t="str">
        <f t="array" ref="V9">IF(ISBLANK(INDEX(big_daily_table,MATCH(DATE(V$5,$J9,$I9),daily_dates,0),MATCH($B$3,daily_items,0))),NA(),INDEX(big_daily_table,MATCH(DATE(V$5,$J9,$I9),daily_dates,0),MATCH($B$3,daily_items,0)))</f>
        <v>#N/A</v>
      </c>
      <c r="W9" s="1" t="str">
        <f t="array" ref="W9">IF(ISBLANK(INDEX(big_daily_table,MATCH(DATE(W$5,$J9,$I9),daily_dates,0),MATCH($B$3,daily_items,0))),NA(),INDEX(big_daily_table,MATCH(DATE(W$5,$J9,$I9),daily_dates,0),MATCH($B$3,daily_items,0)))</f>
        <v>#N/A</v>
      </c>
      <c r="X9" s="1" t="str">
        <f t="array" ref="X9">IF(ISBLANK(INDEX(big_daily_table,MATCH(DATE(X$5,$J9,$I9),daily_dates,0),MATCH($B$3,daily_items,0))),NA(),INDEX(big_daily_table,MATCH(DATE(X$5,$J9,$I9),daily_dates,0),MATCH($B$3,daily_items,0)))</f>
        <v>#N/A</v>
      </c>
      <c r="Y9" s="1" t="str">
        <f t="array" ref="Y9">IF(ISBLANK(INDEX(big_daily_table,MATCH(DATE(Y$5,$J9,$I9),daily_dates,0),MATCH($B$3,daily_items,0))),NA(),INDEX(big_daily_table,MATCH(DATE(Y$5,$J9,$I9),daily_dates,0),MATCH($B$3,daily_items,0)))</f>
        <v>#N/A</v>
      </c>
      <c r="Z9" s="1" t="str">
        <f t="shared" si="5"/>
        <v>#NAME?</v>
      </c>
      <c r="AA9" s="1" t="str">
        <f t="shared" si="6"/>
        <v>#NAME?</v>
      </c>
      <c r="AB9" s="1" t="str">
        <f t="shared" si="7"/>
        <v>#NAME?</v>
      </c>
      <c r="AC9" s="1" t="str">
        <f t="shared" si="8"/>
        <v>#NAME?</v>
      </c>
    </row>
    <row r="10" ht="14.25" customHeight="1">
      <c r="H10" s="1">
        <f t="shared" si="9"/>
        <v>5</v>
      </c>
      <c r="I10" s="1">
        <f t="shared" si="2"/>
        <v>5</v>
      </c>
      <c r="J10" s="1">
        <f t="shared" si="3"/>
        <v>1</v>
      </c>
      <c r="K10" s="23">
        <f t="shared" si="10"/>
        <v>36530</v>
      </c>
      <c r="L10" s="24">
        <f t="shared" si="4"/>
        <v>-1000000</v>
      </c>
      <c r="M10" s="1" t="str">
        <f t="array" ref="M10">IF(K10&gt;0,INDEX(big_daily_table,MATCH(DATE(N$5,$J10,$I10),daily_dates,0),MATCH($B$3,daily_items,0)),NA())</f>
        <v>#N/A</v>
      </c>
      <c r="N10" s="1" t="str">
        <f t="array" ref="N10">IF(L10&lt;0,INDEX(big_daily_table,MATCH(DATE(N$5,$J10,$I10),daily_dates,0),MATCH($B$3,daily_items,0)),NA())</f>
        <v>#N/A</v>
      </c>
      <c r="O10" s="1" t="str">
        <f t="array" ref="O10">IF(ISBLANK(INDEX(big_daily_table,MATCH(DATE(O$5,$J10,$I10),daily_dates,0),MATCH($B$3,daily_items,0))),NA(),INDEX(big_daily_table,MATCH(DATE(O$5,$J10,$I10),daily_dates,0),MATCH($B$3,daily_items,0)))</f>
        <v>#N/A</v>
      </c>
      <c r="P10" s="1" t="str">
        <f t="array" ref="P10">IF(ISBLANK(INDEX(big_daily_table,MATCH(DATE(P$5,$J10,$I10),daily_dates,0),MATCH($B$3,daily_items,0))),NA(),INDEX(big_daily_table,MATCH(DATE(P$5,$J10,$I10),daily_dates,0),MATCH($B$3,daily_items,0)))</f>
        <v>#N/A</v>
      </c>
      <c r="Q10" s="1" t="str">
        <f t="array" ref="Q10">IF(ISBLANK(INDEX(big_daily_table,MATCH(DATE(Q$5,$J10,$I10),daily_dates,0),MATCH($B$3,daily_items,0))),NA(),INDEX(big_daily_table,MATCH(DATE(Q$5,$J10,$I10),daily_dates,0),MATCH($B$3,daily_items,0)))</f>
        <v>#N/A</v>
      </c>
      <c r="R10" s="1" t="str">
        <f t="array" ref="R10">IF(ISBLANK(INDEX(big_daily_table,MATCH(DATE(R$5,$J10,$I10),daily_dates,0),MATCH($B$3,daily_items,0))),NA(),INDEX(big_daily_table,MATCH(DATE(R$5,$J10,$I10),daily_dates,0),MATCH($B$3,daily_items,0)))</f>
        <v>#N/A</v>
      </c>
      <c r="S10" s="1" t="str">
        <f t="array" ref="S10">IF(ISBLANK(INDEX(big_daily_table,MATCH(DATE(S$5,$J10,$I10),daily_dates,0),MATCH($B$3,daily_items,0))),NA(),INDEX(big_daily_table,MATCH(DATE(S$5,$J10,$I10),daily_dates,0),MATCH($B$3,daily_items,0)))</f>
        <v>#N/A</v>
      </c>
      <c r="T10" s="1" t="str">
        <f t="array" ref="T10">IF(ISBLANK(INDEX(big_daily_table,MATCH(DATE(T$5,$J10,$I10),daily_dates,0),MATCH($B$3,daily_items,0))),NA(),INDEX(big_daily_table,MATCH(DATE(T$5,$J10,$I10),daily_dates,0),MATCH($B$3,daily_items,0)))</f>
        <v>#N/A</v>
      </c>
      <c r="U10" s="1" t="str">
        <f t="array" ref="U10">IF(ISBLANK(INDEX(big_daily_table,MATCH(DATE(U$5,$J10,$I10),daily_dates,0),MATCH($B$3,daily_items,0))),NA(),INDEX(big_daily_table,MATCH(DATE(U$5,$J10,$I10),daily_dates,0),MATCH($B$3,daily_items,0)))</f>
        <v>#N/A</v>
      </c>
      <c r="V10" s="1" t="str">
        <f t="array" ref="V10">IF(ISBLANK(INDEX(big_daily_table,MATCH(DATE(V$5,$J10,$I10),daily_dates,0),MATCH($B$3,daily_items,0))),NA(),INDEX(big_daily_table,MATCH(DATE(V$5,$J10,$I10),daily_dates,0),MATCH($B$3,daily_items,0)))</f>
        <v>#N/A</v>
      </c>
      <c r="W10" s="1" t="str">
        <f t="array" ref="W10">IF(ISBLANK(INDEX(big_daily_table,MATCH(DATE(W$5,$J10,$I10),daily_dates,0),MATCH($B$3,daily_items,0))),NA(),INDEX(big_daily_table,MATCH(DATE(W$5,$J10,$I10),daily_dates,0),MATCH($B$3,daily_items,0)))</f>
        <v>#N/A</v>
      </c>
      <c r="X10" s="1" t="str">
        <f t="array" ref="X10">IF(ISBLANK(INDEX(big_daily_table,MATCH(DATE(X$5,$J10,$I10),daily_dates,0),MATCH($B$3,daily_items,0))),NA(),INDEX(big_daily_table,MATCH(DATE(X$5,$J10,$I10),daily_dates,0),MATCH($B$3,daily_items,0)))</f>
        <v>#N/A</v>
      </c>
      <c r="Y10" s="1" t="str">
        <f t="array" ref="Y10">IF(ISBLANK(INDEX(big_daily_table,MATCH(DATE(Y$5,$J10,$I10),daily_dates,0),MATCH($B$3,daily_items,0))),NA(),INDEX(big_daily_table,MATCH(DATE(Y$5,$J10,$I10),daily_dates,0),MATCH($B$3,daily_items,0)))</f>
        <v>#N/A</v>
      </c>
      <c r="Z10" s="1" t="str">
        <f t="shared" si="5"/>
        <v>#NAME?</v>
      </c>
      <c r="AA10" s="1" t="str">
        <f t="shared" si="6"/>
        <v>#NAME?</v>
      </c>
      <c r="AB10" s="1" t="str">
        <f t="shared" si="7"/>
        <v>#NAME?</v>
      </c>
      <c r="AC10" s="1" t="str">
        <f t="shared" si="8"/>
        <v>#NAME?</v>
      </c>
    </row>
    <row r="11" ht="14.25" customHeight="1">
      <c r="H11" s="1">
        <f t="shared" si="9"/>
        <v>6</v>
      </c>
      <c r="I11" s="1">
        <f t="shared" si="2"/>
        <v>6</v>
      </c>
      <c r="J11" s="1">
        <f t="shared" si="3"/>
        <v>1</v>
      </c>
      <c r="K11" s="23">
        <f t="shared" si="10"/>
        <v>36531</v>
      </c>
      <c r="L11" s="24">
        <f t="shared" si="4"/>
        <v>-1000000</v>
      </c>
      <c r="M11" s="1" t="str">
        <f t="array" ref="M11">IF(K11&gt;0,INDEX(big_daily_table,MATCH(DATE(N$5,$J11,$I11),daily_dates,0),MATCH($B$3,daily_items,0)),NA())</f>
        <v>#N/A</v>
      </c>
      <c r="N11" s="1" t="str">
        <f t="array" ref="N11">IF(L11&lt;0,INDEX(big_daily_table,MATCH(DATE(N$5,$J11,$I11),daily_dates,0),MATCH($B$3,daily_items,0)),NA())</f>
        <v>#N/A</v>
      </c>
      <c r="O11" s="1" t="str">
        <f t="array" ref="O11">IF(ISBLANK(INDEX(big_daily_table,MATCH(DATE(O$5,$J11,$I11),daily_dates,0),MATCH($B$3,daily_items,0))),NA(),INDEX(big_daily_table,MATCH(DATE(O$5,$J11,$I11),daily_dates,0),MATCH($B$3,daily_items,0)))</f>
        <v>#N/A</v>
      </c>
      <c r="P11" s="1" t="str">
        <f t="array" ref="P11">IF(ISBLANK(INDEX(big_daily_table,MATCH(DATE(P$5,$J11,$I11),daily_dates,0),MATCH($B$3,daily_items,0))),NA(),INDEX(big_daily_table,MATCH(DATE(P$5,$J11,$I11),daily_dates,0),MATCH($B$3,daily_items,0)))</f>
        <v>#N/A</v>
      </c>
      <c r="Q11" s="1" t="str">
        <f t="array" ref="Q11">IF(ISBLANK(INDEX(big_daily_table,MATCH(DATE(Q$5,$J11,$I11),daily_dates,0),MATCH($B$3,daily_items,0))),NA(),INDEX(big_daily_table,MATCH(DATE(Q$5,$J11,$I11),daily_dates,0),MATCH($B$3,daily_items,0)))</f>
        <v>#N/A</v>
      </c>
      <c r="R11" s="1" t="str">
        <f t="array" ref="R11">IF(ISBLANK(INDEX(big_daily_table,MATCH(DATE(R$5,$J11,$I11),daily_dates,0),MATCH($B$3,daily_items,0))),NA(),INDEX(big_daily_table,MATCH(DATE(R$5,$J11,$I11),daily_dates,0),MATCH($B$3,daily_items,0)))</f>
        <v>#N/A</v>
      </c>
      <c r="S11" s="1" t="str">
        <f t="array" ref="S11">IF(ISBLANK(INDEX(big_daily_table,MATCH(DATE(S$5,$J11,$I11),daily_dates,0),MATCH($B$3,daily_items,0))),NA(),INDEX(big_daily_table,MATCH(DATE(S$5,$J11,$I11),daily_dates,0),MATCH($B$3,daily_items,0)))</f>
        <v>#N/A</v>
      </c>
      <c r="T11" s="1" t="str">
        <f t="array" ref="T11">IF(ISBLANK(INDEX(big_daily_table,MATCH(DATE(T$5,$J11,$I11),daily_dates,0),MATCH($B$3,daily_items,0))),NA(),INDEX(big_daily_table,MATCH(DATE(T$5,$J11,$I11),daily_dates,0),MATCH($B$3,daily_items,0)))</f>
        <v>#N/A</v>
      </c>
      <c r="U11" s="1" t="str">
        <f t="array" ref="U11">IF(ISBLANK(INDEX(big_daily_table,MATCH(DATE(U$5,$J11,$I11),daily_dates,0),MATCH($B$3,daily_items,0))),NA(),INDEX(big_daily_table,MATCH(DATE(U$5,$J11,$I11),daily_dates,0),MATCH($B$3,daily_items,0)))</f>
        <v>#N/A</v>
      </c>
      <c r="V11" s="1" t="str">
        <f t="array" ref="V11">IF(ISBLANK(INDEX(big_daily_table,MATCH(DATE(V$5,$J11,$I11),daily_dates,0),MATCH($B$3,daily_items,0))),NA(),INDEX(big_daily_table,MATCH(DATE(V$5,$J11,$I11),daily_dates,0),MATCH($B$3,daily_items,0)))</f>
        <v>#N/A</v>
      </c>
      <c r="W11" s="1" t="str">
        <f t="array" ref="W11">IF(ISBLANK(INDEX(big_daily_table,MATCH(DATE(W$5,$J11,$I11),daily_dates,0),MATCH($B$3,daily_items,0))),NA(),INDEX(big_daily_table,MATCH(DATE(W$5,$J11,$I11),daily_dates,0),MATCH($B$3,daily_items,0)))</f>
        <v>#N/A</v>
      </c>
      <c r="X11" s="1" t="str">
        <f t="array" ref="X11">IF(ISBLANK(INDEX(big_daily_table,MATCH(DATE(X$5,$J11,$I11),daily_dates,0),MATCH($B$3,daily_items,0))),NA(),INDEX(big_daily_table,MATCH(DATE(X$5,$J11,$I11),daily_dates,0),MATCH($B$3,daily_items,0)))</f>
        <v>#N/A</v>
      </c>
      <c r="Y11" s="1" t="str">
        <f t="array" ref="Y11">IF(ISBLANK(INDEX(big_daily_table,MATCH(DATE(Y$5,$J11,$I11),daily_dates,0),MATCH($B$3,daily_items,0))),NA(),INDEX(big_daily_table,MATCH(DATE(Y$5,$J11,$I11),daily_dates,0),MATCH($B$3,daily_items,0)))</f>
        <v>#N/A</v>
      </c>
      <c r="Z11" s="1" t="str">
        <f t="shared" si="5"/>
        <v>#NAME?</v>
      </c>
      <c r="AA11" s="1" t="str">
        <f t="shared" si="6"/>
        <v>#NAME?</v>
      </c>
      <c r="AB11" s="1" t="str">
        <f t="shared" si="7"/>
        <v>#NAME?</v>
      </c>
      <c r="AC11" s="1" t="str">
        <f t="shared" si="8"/>
        <v>#NAME?</v>
      </c>
    </row>
    <row r="12" ht="14.25" customHeight="1">
      <c r="H12" s="1">
        <f t="shared" si="9"/>
        <v>7</v>
      </c>
      <c r="I12" s="1">
        <f t="shared" si="2"/>
        <v>7</v>
      </c>
      <c r="J12" s="1">
        <f t="shared" si="3"/>
        <v>1</v>
      </c>
      <c r="K12" s="23">
        <f t="shared" si="10"/>
        <v>36532</v>
      </c>
      <c r="L12" s="24">
        <f t="shared" si="4"/>
        <v>-1000000</v>
      </c>
      <c r="M12" s="1" t="str">
        <f t="array" ref="M12">IF(K12&gt;0,INDEX(big_daily_table,MATCH(DATE(N$5,$J12,$I12),daily_dates,0),MATCH($B$3,daily_items,0)),NA())</f>
        <v>#N/A</v>
      </c>
      <c r="N12" s="1" t="str">
        <f t="array" ref="N12">IF(L12&lt;0,INDEX(big_daily_table,MATCH(DATE(N$5,$J12,$I12),daily_dates,0),MATCH($B$3,daily_items,0)),NA())</f>
        <v>#N/A</v>
      </c>
      <c r="O12" s="1" t="str">
        <f t="array" ref="O12">IF(ISBLANK(INDEX(big_daily_table,MATCH(DATE(O$5,$J12,$I12),daily_dates,0),MATCH($B$3,daily_items,0))),NA(),INDEX(big_daily_table,MATCH(DATE(O$5,$J12,$I12),daily_dates,0),MATCH($B$3,daily_items,0)))</f>
        <v>#N/A</v>
      </c>
      <c r="P12" s="1" t="str">
        <f t="array" ref="P12">IF(ISBLANK(INDEX(big_daily_table,MATCH(DATE(P$5,$J12,$I12),daily_dates,0),MATCH($B$3,daily_items,0))),NA(),INDEX(big_daily_table,MATCH(DATE(P$5,$J12,$I12),daily_dates,0),MATCH($B$3,daily_items,0)))</f>
        <v>#N/A</v>
      </c>
      <c r="Q12" s="1" t="str">
        <f t="array" ref="Q12">IF(ISBLANK(INDEX(big_daily_table,MATCH(DATE(Q$5,$J12,$I12),daily_dates,0),MATCH($B$3,daily_items,0))),NA(),INDEX(big_daily_table,MATCH(DATE(Q$5,$J12,$I12),daily_dates,0),MATCH($B$3,daily_items,0)))</f>
        <v>#N/A</v>
      </c>
      <c r="R12" s="1" t="str">
        <f t="array" ref="R12">IF(ISBLANK(INDEX(big_daily_table,MATCH(DATE(R$5,$J12,$I12),daily_dates,0),MATCH($B$3,daily_items,0))),NA(),INDEX(big_daily_table,MATCH(DATE(R$5,$J12,$I12),daily_dates,0),MATCH($B$3,daily_items,0)))</f>
        <v>#N/A</v>
      </c>
      <c r="S12" s="1" t="str">
        <f t="array" ref="S12">IF(ISBLANK(INDEX(big_daily_table,MATCH(DATE(S$5,$J12,$I12),daily_dates,0),MATCH($B$3,daily_items,0))),NA(),INDEX(big_daily_table,MATCH(DATE(S$5,$J12,$I12),daily_dates,0),MATCH($B$3,daily_items,0)))</f>
        <v>#N/A</v>
      </c>
      <c r="T12" s="1" t="str">
        <f t="array" ref="T12">IF(ISBLANK(INDEX(big_daily_table,MATCH(DATE(T$5,$J12,$I12),daily_dates,0),MATCH($B$3,daily_items,0))),NA(),INDEX(big_daily_table,MATCH(DATE(T$5,$J12,$I12),daily_dates,0),MATCH($B$3,daily_items,0)))</f>
        <v>#N/A</v>
      </c>
      <c r="U12" s="1" t="str">
        <f t="array" ref="U12">IF(ISBLANK(INDEX(big_daily_table,MATCH(DATE(U$5,$J12,$I12),daily_dates,0),MATCH($B$3,daily_items,0))),NA(),INDEX(big_daily_table,MATCH(DATE(U$5,$J12,$I12),daily_dates,0),MATCH($B$3,daily_items,0)))</f>
        <v>#N/A</v>
      </c>
      <c r="V12" s="1" t="str">
        <f t="array" ref="V12">IF(ISBLANK(INDEX(big_daily_table,MATCH(DATE(V$5,$J12,$I12),daily_dates,0),MATCH($B$3,daily_items,0))),NA(),INDEX(big_daily_table,MATCH(DATE(V$5,$J12,$I12),daily_dates,0),MATCH($B$3,daily_items,0)))</f>
        <v>#N/A</v>
      </c>
      <c r="W12" s="1" t="str">
        <f t="array" ref="W12">IF(ISBLANK(INDEX(big_daily_table,MATCH(DATE(W$5,$J12,$I12),daily_dates,0),MATCH($B$3,daily_items,0))),NA(),INDEX(big_daily_table,MATCH(DATE(W$5,$J12,$I12),daily_dates,0),MATCH($B$3,daily_items,0)))</f>
        <v>#N/A</v>
      </c>
      <c r="X12" s="1" t="str">
        <f t="array" ref="X12">IF(ISBLANK(INDEX(big_daily_table,MATCH(DATE(X$5,$J12,$I12),daily_dates,0),MATCH($B$3,daily_items,0))),NA(),INDEX(big_daily_table,MATCH(DATE(X$5,$J12,$I12),daily_dates,0),MATCH($B$3,daily_items,0)))</f>
        <v>#N/A</v>
      </c>
      <c r="Y12" s="1" t="str">
        <f t="array" ref="Y12">IF(ISBLANK(INDEX(big_daily_table,MATCH(DATE(Y$5,$J12,$I12),daily_dates,0),MATCH($B$3,daily_items,0))),NA(),INDEX(big_daily_table,MATCH(DATE(Y$5,$J12,$I12),daily_dates,0),MATCH($B$3,daily_items,0)))</f>
        <v>#N/A</v>
      </c>
      <c r="Z12" s="1" t="str">
        <f t="shared" si="5"/>
        <v>#NAME?</v>
      </c>
      <c r="AA12" s="1" t="str">
        <f t="shared" si="6"/>
        <v>#NAME?</v>
      </c>
      <c r="AB12" s="1" t="str">
        <f t="shared" si="7"/>
        <v>#NAME?</v>
      </c>
      <c r="AC12" s="1" t="str">
        <f t="shared" si="8"/>
        <v>#NAME?</v>
      </c>
    </row>
    <row r="13" ht="14.25" customHeight="1">
      <c r="H13" s="1">
        <f t="shared" si="9"/>
        <v>8</v>
      </c>
      <c r="I13" s="1">
        <f t="shared" si="2"/>
        <v>8</v>
      </c>
      <c r="J13" s="1">
        <f t="shared" si="3"/>
        <v>1</v>
      </c>
      <c r="K13" s="23">
        <f t="shared" si="10"/>
        <v>36533</v>
      </c>
      <c r="L13" s="24">
        <f t="shared" si="4"/>
        <v>-1000000</v>
      </c>
      <c r="M13" s="1" t="str">
        <f t="array" ref="M13">IF(K13&gt;0,INDEX(big_daily_table,MATCH(DATE(N$5,$J13,$I13),daily_dates,0),MATCH($B$3,daily_items,0)),NA())</f>
        <v>#N/A</v>
      </c>
      <c r="N13" s="1" t="str">
        <f t="array" ref="N13">IF(L13&lt;0,INDEX(big_daily_table,MATCH(DATE(N$5,$J13,$I13),daily_dates,0),MATCH($B$3,daily_items,0)),NA())</f>
        <v>#N/A</v>
      </c>
      <c r="O13" s="1" t="str">
        <f t="array" ref="O13">IF(ISBLANK(INDEX(big_daily_table,MATCH(DATE(O$5,$J13,$I13),daily_dates,0),MATCH($B$3,daily_items,0))),NA(),INDEX(big_daily_table,MATCH(DATE(O$5,$J13,$I13),daily_dates,0),MATCH($B$3,daily_items,0)))</f>
        <v>#N/A</v>
      </c>
      <c r="P13" s="1" t="str">
        <f t="array" ref="P13">IF(ISBLANK(INDEX(big_daily_table,MATCH(DATE(P$5,$J13,$I13),daily_dates,0),MATCH($B$3,daily_items,0))),NA(),INDEX(big_daily_table,MATCH(DATE(P$5,$J13,$I13),daily_dates,0),MATCH($B$3,daily_items,0)))</f>
        <v>#N/A</v>
      </c>
      <c r="Q13" s="1" t="str">
        <f t="array" ref="Q13">IF(ISBLANK(INDEX(big_daily_table,MATCH(DATE(Q$5,$J13,$I13),daily_dates,0),MATCH($B$3,daily_items,0))),NA(),INDEX(big_daily_table,MATCH(DATE(Q$5,$J13,$I13),daily_dates,0),MATCH($B$3,daily_items,0)))</f>
        <v>#N/A</v>
      </c>
      <c r="R13" s="1" t="str">
        <f t="array" ref="R13">IF(ISBLANK(INDEX(big_daily_table,MATCH(DATE(R$5,$J13,$I13),daily_dates,0),MATCH($B$3,daily_items,0))),NA(),INDEX(big_daily_table,MATCH(DATE(R$5,$J13,$I13),daily_dates,0),MATCH($B$3,daily_items,0)))</f>
        <v>#N/A</v>
      </c>
      <c r="S13" s="1" t="str">
        <f t="array" ref="S13">IF(ISBLANK(INDEX(big_daily_table,MATCH(DATE(S$5,$J13,$I13),daily_dates,0),MATCH($B$3,daily_items,0))),NA(),INDEX(big_daily_table,MATCH(DATE(S$5,$J13,$I13),daily_dates,0),MATCH($B$3,daily_items,0)))</f>
        <v>#N/A</v>
      </c>
      <c r="T13" s="1" t="str">
        <f t="array" ref="T13">IF(ISBLANK(INDEX(big_daily_table,MATCH(DATE(T$5,$J13,$I13),daily_dates,0),MATCH($B$3,daily_items,0))),NA(),INDEX(big_daily_table,MATCH(DATE(T$5,$J13,$I13),daily_dates,0),MATCH($B$3,daily_items,0)))</f>
        <v>#N/A</v>
      </c>
      <c r="U13" s="1" t="str">
        <f t="array" ref="U13">IF(ISBLANK(INDEX(big_daily_table,MATCH(DATE(U$5,$J13,$I13),daily_dates,0),MATCH($B$3,daily_items,0))),NA(),INDEX(big_daily_table,MATCH(DATE(U$5,$J13,$I13),daily_dates,0),MATCH($B$3,daily_items,0)))</f>
        <v>#N/A</v>
      </c>
      <c r="V13" s="1" t="str">
        <f t="array" ref="V13">IF(ISBLANK(INDEX(big_daily_table,MATCH(DATE(V$5,$J13,$I13),daily_dates,0),MATCH($B$3,daily_items,0))),NA(),INDEX(big_daily_table,MATCH(DATE(V$5,$J13,$I13),daily_dates,0),MATCH($B$3,daily_items,0)))</f>
        <v>#N/A</v>
      </c>
      <c r="W13" s="1" t="str">
        <f t="array" ref="W13">IF(ISBLANK(INDEX(big_daily_table,MATCH(DATE(W$5,$J13,$I13),daily_dates,0),MATCH($B$3,daily_items,0))),NA(),INDEX(big_daily_table,MATCH(DATE(W$5,$J13,$I13),daily_dates,0),MATCH($B$3,daily_items,0)))</f>
        <v>#N/A</v>
      </c>
      <c r="X13" s="1" t="str">
        <f t="array" ref="X13">IF(ISBLANK(INDEX(big_daily_table,MATCH(DATE(X$5,$J13,$I13),daily_dates,0),MATCH($B$3,daily_items,0))),NA(),INDEX(big_daily_table,MATCH(DATE(X$5,$J13,$I13),daily_dates,0),MATCH($B$3,daily_items,0)))</f>
        <v>#N/A</v>
      </c>
      <c r="Y13" s="1" t="str">
        <f t="array" ref="Y13">IF(ISBLANK(INDEX(big_daily_table,MATCH(DATE(Y$5,$J13,$I13),daily_dates,0),MATCH($B$3,daily_items,0))),NA(),INDEX(big_daily_table,MATCH(DATE(Y$5,$J13,$I13),daily_dates,0),MATCH($B$3,daily_items,0)))</f>
        <v>#N/A</v>
      </c>
      <c r="Z13" s="1" t="str">
        <f t="shared" si="5"/>
        <v>#NAME?</v>
      </c>
      <c r="AA13" s="1" t="str">
        <f t="shared" si="6"/>
        <v>#NAME?</v>
      </c>
      <c r="AB13" s="1" t="str">
        <f t="shared" si="7"/>
        <v>#NAME?</v>
      </c>
      <c r="AC13" s="1" t="str">
        <f t="shared" si="8"/>
        <v>#NAME?</v>
      </c>
    </row>
    <row r="14" ht="14.25" customHeight="1">
      <c r="H14" s="1">
        <f t="shared" si="9"/>
        <v>9</v>
      </c>
      <c r="I14" s="1">
        <f t="shared" si="2"/>
        <v>9</v>
      </c>
      <c r="J14" s="1">
        <f t="shared" si="3"/>
        <v>1</v>
      </c>
      <c r="K14" s="23">
        <f t="shared" si="10"/>
        <v>36534</v>
      </c>
      <c r="L14" s="24">
        <f t="shared" si="4"/>
        <v>-1000000</v>
      </c>
      <c r="M14" s="1" t="str">
        <f t="array" ref="M14">IF(K14&gt;0,INDEX(big_daily_table,MATCH(DATE(N$5,$J14,$I14),daily_dates,0),MATCH($B$3,daily_items,0)),NA())</f>
        <v>#N/A</v>
      </c>
      <c r="N14" s="1" t="str">
        <f t="array" ref="N14">IF(L14&lt;0,INDEX(big_daily_table,MATCH(DATE(N$5,$J14,$I14),daily_dates,0),MATCH($B$3,daily_items,0)),NA())</f>
        <v>#N/A</v>
      </c>
      <c r="O14" s="1" t="str">
        <f t="array" ref="O14">IF(ISBLANK(INDEX(big_daily_table,MATCH(DATE(O$5,$J14,$I14),daily_dates,0),MATCH($B$3,daily_items,0))),NA(),INDEX(big_daily_table,MATCH(DATE(O$5,$J14,$I14),daily_dates,0),MATCH($B$3,daily_items,0)))</f>
        <v>#N/A</v>
      </c>
      <c r="P14" s="1" t="str">
        <f t="array" ref="P14">IF(ISBLANK(INDEX(big_daily_table,MATCH(DATE(P$5,$J14,$I14),daily_dates,0),MATCH($B$3,daily_items,0))),NA(),INDEX(big_daily_table,MATCH(DATE(P$5,$J14,$I14),daily_dates,0),MATCH($B$3,daily_items,0)))</f>
        <v>#N/A</v>
      </c>
      <c r="Q14" s="1" t="str">
        <f t="array" ref="Q14">IF(ISBLANK(INDEX(big_daily_table,MATCH(DATE(Q$5,$J14,$I14),daily_dates,0),MATCH($B$3,daily_items,0))),NA(),INDEX(big_daily_table,MATCH(DATE(Q$5,$J14,$I14),daily_dates,0),MATCH($B$3,daily_items,0)))</f>
        <v>#N/A</v>
      </c>
      <c r="R14" s="1" t="str">
        <f t="array" ref="R14">IF(ISBLANK(INDEX(big_daily_table,MATCH(DATE(R$5,$J14,$I14),daily_dates,0),MATCH($B$3,daily_items,0))),NA(),INDEX(big_daily_table,MATCH(DATE(R$5,$J14,$I14),daily_dates,0),MATCH($B$3,daily_items,0)))</f>
        <v>#N/A</v>
      </c>
      <c r="S14" s="1" t="str">
        <f t="array" ref="S14">IF(ISBLANK(INDEX(big_daily_table,MATCH(DATE(S$5,$J14,$I14),daily_dates,0),MATCH($B$3,daily_items,0))),NA(),INDEX(big_daily_table,MATCH(DATE(S$5,$J14,$I14),daily_dates,0),MATCH($B$3,daily_items,0)))</f>
        <v>#N/A</v>
      </c>
      <c r="T14" s="1" t="str">
        <f t="array" ref="T14">IF(ISBLANK(INDEX(big_daily_table,MATCH(DATE(T$5,$J14,$I14),daily_dates,0),MATCH($B$3,daily_items,0))),NA(),INDEX(big_daily_table,MATCH(DATE(T$5,$J14,$I14),daily_dates,0),MATCH($B$3,daily_items,0)))</f>
        <v>#N/A</v>
      </c>
      <c r="U14" s="1" t="str">
        <f t="array" ref="U14">IF(ISBLANK(INDEX(big_daily_table,MATCH(DATE(U$5,$J14,$I14),daily_dates,0),MATCH($B$3,daily_items,0))),NA(),INDEX(big_daily_table,MATCH(DATE(U$5,$J14,$I14),daily_dates,0),MATCH($B$3,daily_items,0)))</f>
        <v>#N/A</v>
      </c>
      <c r="V14" s="1" t="str">
        <f t="array" ref="V14">IF(ISBLANK(INDEX(big_daily_table,MATCH(DATE(V$5,$J14,$I14),daily_dates,0),MATCH($B$3,daily_items,0))),NA(),INDEX(big_daily_table,MATCH(DATE(V$5,$J14,$I14),daily_dates,0),MATCH($B$3,daily_items,0)))</f>
        <v>#N/A</v>
      </c>
      <c r="W14" s="1" t="str">
        <f t="array" ref="W14">IF(ISBLANK(INDEX(big_daily_table,MATCH(DATE(W$5,$J14,$I14),daily_dates,0),MATCH($B$3,daily_items,0))),NA(),INDEX(big_daily_table,MATCH(DATE(W$5,$J14,$I14),daily_dates,0),MATCH($B$3,daily_items,0)))</f>
        <v>#N/A</v>
      </c>
      <c r="X14" s="1" t="str">
        <f t="array" ref="X14">IF(ISBLANK(INDEX(big_daily_table,MATCH(DATE(X$5,$J14,$I14),daily_dates,0),MATCH($B$3,daily_items,0))),NA(),INDEX(big_daily_table,MATCH(DATE(X$5,$J14,$I14),daily_dates,0),MATCH($B$3,daily_items,0)))</f>
        <v>#N/A</v>
      </c>
      <c r="Y14" s="1" t="str">
        <f t="array" ref="Y14">IF(ISBLANK(INDEX(big_daily_table,MATCH(DATE(Y$5,$J14,$I14),daily_dates,0),MATCH($B$3,daily_items,0))),NA(),INDEX(big_daily_table,MATCH(DATE(Y$5,$J14,$I14),daily_dates,0),MATCH($B$3,daily_items,0)))</f>
        <v>#N/A</v>
      </c>
      <c r="Z14" s="1" t="str">
        <f t="shared" si="5"/>
        <v>#NAME?</v>
      </c>
      <c r="AA14" s="1" t="str">
        <f t="shared" si="6"/>
        <v>#NAME?</v>
      </c>
      <c r="AB14" s="1" t="str">
        <f t="shared" si="7"/>
        <v>#NAME?</v>
      </c>
      <c r="AC14" s="1" t="str">
        <f t="shared" si="8"/>
        <v>#NAME?</v>
      </c>
    </row>
    <row r="15" ht="14.25" customHeight="1">
      <c r="H15" s="1">
        <f t="shared" si="9"/>
        <v>10</v>
      </c>
      <c r="I15" s="1">
        <f t="shared" si="2"/>
        <v>10</v>
      </c>
      <c r="J15" s="1">
        <f t="shared" si="3"/>
        <v>1</v>
      </c>
      <c r="K15" s="23">
        <f t="shared" si="10"/>
        <v>36535</v>
      </c>
      <c r="L15" s="24">
        <f t="shared" si="4"/>
        <v>-1000000</v>
      </c>
      <c r="M15" s="1" t="str">
        <f t="array" ref="M15">IF(K15&gt;0,INDEX(big_daily_table,MATCH(DATE(N$5,$J15,$I15),daily_dates,0),MATCH($B$3,daily_items,0)),NA())</f>
        <v>#N/A</v>
      </c>
      <c r="N15" s="1" t="str">
        <f t="array" ref="N15">IF(L15&lt;0,INDEX(big_daily_table,MATCH(DATE(N$5,$J15,$I15),daily_dates,0),MATCH($B$3,daily_items,0)),NA())</f>
        <v>#N/A</v>
      </c>
      <c r="O15" s="1" t="str">
        <f t="array" ref="O15">IF(ISBLANK(INDEX(big_daily_table,MATCH(DATE(O$5,$J15,$I15),daily_dates,0),MATCH($B$3,daily_items,0))),NA(),INDEX(big_daily_table,MATCH(DATE(O$5,$J15,$I15),daily_dates,0),MATCH($B$3,daily_items,0)))</f>
        <v>#N/A</v>
      </c>
      <c r="P15" s="1" t="str">
        <f t="array" ref="P15">IF(ISBLANK(INDEX(big_daily_table,MATCH(DATE(P$5,$J15,$I15),daily_dates,0),MATCH($B$3,daily_items,0))),NA(),INDEX(big_daily_table,MATCH(DATE(P$5,$J15,$I15),daily_dates,0),MATCH($B$3,daily_items,0)))</f>
        <v>#N/A</v>
      </c>
      <c r="Q15" s="1" t="str">
        <f t="array" ref="Q15">IF(ISBLANK(INDEX(big_daily_table,MATCH(DATE(Q$5,$J15,$I15),daily_dates,0),MATCH($B$3,daily_items,0))),NA(),INDEX(big_daily_table,MATCH(DATE(Q$5,$J15,$I15),daily_dates,0),MATCH($B$3,daily_items,0)))</f>
        <v>#N/A</v>
      </c>
      <c r="R15" s="1" t="str">
        <f t="array" ref="R15">IF(ISBLANK(INDEX(big_daily_table,MATCH(DATE(R$5,$J15,$I15),daily_dates,0),MATCH($B$3,daily_items,0))),NA(),INDEX(big_daily_table,MATCH(DATE(R$5,$J15,$I15),daily_dates,0),MATCH($B$3,daily_items,0)))</f>
        <v>#N/A</v>
      </c>
      <c r="S15" s="1" t="str">
        <f t="array" ref="S15">IF(ISBLANK(INDEX(big_daily_table,MATCH(DATE(S$5,$J15,$I15),daily_dates,0),MATCH($B$3,daily_items,0))),NA(),INDEX(big_daily_table,MATCH(DATE(S$5,$J15,$I15),daily_dates,0),MATCH($B$3,daily_items,0)))</f>
        <v>#N/A</v>
      </c>
      <c r="T15" s="1" t="str">
        <f t="array" ref="T15">IF(ISBLANK(INDEX(big_daily_table,MATCH(DATE(T$5,$J15,$I15),daily_dates,0),MATCH($B$3,daily_items,0))),NA(),INDEX(big_daily_table,MATCH(DATE(T$5,$J15,$I15),daily_dates,0),MATCH($B$3,daily_items,0)))</f>
        <v>#N/A</v>
      </c>
      <c r="U15" s="1" t="str">
        <f t="array" ref="U15">IF(ISBLANK(INDEX(big_daily_table,MATCH(DATE(U$5,$J15,$I15),daily_dates,0),MATCH($B$3,daily_items,0))),NA(),INDEX(big_daily_table,MATCH(DATE(U$5,$J15,$I15),daily_dates,0),MATCH($B$3,daily_items,0)))</f>
        <v>#N/A</v>
      </c>
      <c r="V15" s="1" t="str">
        <f t="array" ref="V15">IF(ISBLANK(INDEX(big_daily_table,MATCH(DATE(V$5,$J15,$I15),daily_dates,0),MATCH($B$3,daily_items,0))),NA(),INDEX(big_daily_table,MATCH(DATE(V$5,$J15,$I15),daily_dates,0),MATCH($B$3,daily_items,0)))</f>
        <v>#N/A</v>
      </c>
      <c r="W15" s="1" t="str">
        <f t="array" ref="W15">IF(ISBLANK(INDEX(big_daily_table,MATCH(DATE(W$5,$J15,$I15),daily_dates,0),MATCH($B$3,daily_items,0))),NA(),INDEX(big_daily_table,MATCH(DATE(W$5,$J15,$I15),daily_dates,0),MATCH($B$3,daily_items,0)))</f>
        <v>#N/A</v>
      </c>
      <c r="X15" s="1" t="str">
        <f t="array" ref="X15">IF(ISBLANK(INDEX(big_daily_table,MATCH(DATE(X$5,$J15,$I15),daily_dates,0),MATCH($B$3,daily_items,0))),NA(),INDEX(big_daily_table,MATCH(DATE(X$5,$J15,$I15),daily_dates,0),MATCH($B$3,daily_items,0)))</f>
        <v>#N/A</v>
      </c>
      <c r="Y15" s="1" t="str">
        <f t="array" ref="Y15">IF(ISBLANK(INDEX(big_daily_table,MATCH(DATE(Y$5,$J15,$I15),daily_dates,0),MATCH($B$3,daily_items,0))),NA(),INDEX(big_daily_table,MATCH(DATE(Y$5,$J15,$I15),daily_dates,0),MATCH($B$3,daily_items,0)))</f>
        <v>#N/A</v>
      </c>
      <c r="Z15" s="1" t="str">
        <f t="shared" si="5"/>
        <v>#NAME?</v>
      </c>
      <c r="AA15" s="1" t="str">
        <f t="shared" si="6"/>
        <v>#NAME?</v>
      </c>
      <c r="AB15" s="1" t="str">
        <f t="shared" si="7"/>
        <v>#NAME?</v>
      </c>
      <c r="AC15" s="1" t="str">
        <f t="shared" si="8"/>
        <v>#NAME?</v>
      </c>
    </row>
    <row r="16" ht="14.25" customHeight="1">
      <c r="H16" s="1">
        <f t="shared" si="9"/>
        <v>11</v>
      </c>
      <c r="I16" s="1">
        <f t="shared" si="2"/>
        <v>11</v>
      </c>
      <c r="J16" s="1">
        <f t="shared" si="3"/>
        <v>1</v>
      </c>
      <c r="K16" s="23">
        <f t="shared" si="10"/>
        <v>36536</v>
      </c>
      <c r="L16" s="24">
        <f t="shared" si="4"/>
        <v>-1000000</v>
      </c>
      <c r="M16" s="1" t="str">
        <f t="array" ref="M16">IF(K16&gt;0,INDEX(big_daily_table,MATCH(DATE(N$5,$J16,$I16),daily_dates,0),MATCH($B$3,daily_items,0)),NA())</f>
        <v>#N/A</v>
      </c>
      <c r="N16" s="1" t="str">
        <f t="array" ref="N16">IF(L16&lt;0,INDEX(big_daily_table,MATCH(DATE(N$5,$J16,$I16),daily_dates,0),MATCH($B$3,daily_items,0)),NA())</f>
        <v>#N/A</v>
      </c>
      <c r="O16" s="1" t="str">
        <f t="array" ref="O16">IF(ISBLANK(INDEX(big_daily_table,MATCH(DATE(O$5,$J16,$I16),daily_dates,0),MATCH($B$3,daily_items,0))),NA(),INDEX(big_daily_table,MATCH(DATE(O$5,$J16,$I16),daily_dates,0),MATCH($B$3,daily_items,0)))</f>
        <v>#N/A</v>
      </c>
      <c r="P16" s="1" t="str">
        <f t="array" ref="P16">IF(ISBLANK(INDEX(big_daily_table,MATCH(DATE(P$5,$J16,$I16),daily_dates,0),MATCH($B$3,daily_items,0))),NA(),INDEX(big_daily_table,MATCH(DATE(P$5,$J16,$I16),daily_dates,0),MATCH($B$3,daily_items,0)))</f>
        <v>#N/A</v>
      </c>
      <c r="Q16" s="1" t="str">
        <f t="array" ref="Q16">IF(ISBLANK(INDEX(big_daily_table,MATCH(DATE(Q$5,$J16,$I16),daily_dates,0),MATCH($B$3,daily_items,0))),NA(),INDEX(big_daily_table,MATCH(DATE(Q$5,$J16,$I16),daily_dates,0),MATCH($B$3,daily_items,0)))</f>
        <v>#N/A</v>
      </c>
      <c r="R16" s="1" t="str">
        <f t="array" ref="R16">IF(ISBLANK(INDEX(big_daily_table,MATCH(DATE(R$5,$J16,$I16),daily_dates,0),MATCH($B$3,daily_items,0))),NA(),INDEX(big_daily_table,MATCH(DATE(R$5,$J16,$I16),daily_dates,0),MATCH($B$3,daily_items,0)))</f>
        <v>#N/A</v>
      </c>
      <c r="S16" s="1" t="str">
        <f t="array" ref="S16">IF(ISBLANK(INDEX(big_daily_table,MATCH(DATE(S$5,$J16,$I16),daily_dates,0),MATCH($B$3,daily_items,0))),NA(),INDEX(big_daily_table,MATCH(DATE(S$5,$J16,$I16),daily_dates,0),MATCH($B$3,daily_items,0)))</f>
        <v>#N/A</v>
      </c>
      <c r="T16" s="1" t="str">
        <f t="array" ref="T16">IF(ISBLANK(INDEX(big_daily_table,MATCH(DATE(T$5,$J16,$I16),daily_dates,0),MATCH($B$3,daily_items,0))),NA(),INDEX(big_daily_table,MATCH(DATE(T$5,$J16,$I16),daily_dates,0),MATCH($B$3,daily_items,0)))</f>
        <v>#N/A</v>
      </c>
      <c r="U16" s="1" t="str">
        <f t="array" ref="U16">IF(ISBLANK(INDEX(big_daily_table,MATCH(DATE(U$5,$J16,$I16),daily_dates,0),MATCH($B$3,daily_items,0))),NA(),INDEX(big_daily_table,MATCH(DATE(U$5,$J16,$I16),daily_dates,0),MATCH($B$3,daily_items,0)))</f>
        <v>#N/A</v>
      </c>
      <c r="V16" s="1" t="str">
        <f t="array" ref="V16">IF(ISBLANK(INDEX(big_daily_table,MATCH(DATE(V$5,$J16,$I16),daily_dates,0),MATCH($B$3,daily_items,0))),NA(),INDEX(big_daily_table,MATCH(DATE(V$5,$J16,$I16),daily_dates,0),MATCH($B$3,daily_items,0)))</f>
        <v>#N/A</v>
      </c>
      <c r="W16" s="1" t="str">
        <f t="array" ref="W16">IF(ISBLANK(INDEX(big_daily_table,MATCH(DATE(W$5,$J16,$I16),daily_dates,0),MATCH($B$3,daily_items,0))),NA(),INDEX(big_daily_table,MATCH(DATE(W$5,$J16,$I16),daily_dates,0),MATCH($B$3,daily_items,0)))</f>
        <v>#N/A</v>
      </c>
      <c r="X16" s="1" t="str">
        <f t="array" ref="X16">IF(ISBLANK(INDEX(big_daily_table,MATCH(DATE(X$5,$J16,$I16),daily_dates,0),MATCH($B$3,daily_items,0))),NA(),INDEX(big_daily_table,MATCH(DATE(X$5,$J16,$I16),daily_dates,0),MATCH($B$3,daily_items,0)))</f>
        <v>#N/A</v>
      </c>
      <c r="Y16" s="1" t="str">
        <f t="array" ref="Y16">IF(ISBLANK(INDEX(big_daily_table,MATCH(DATE(Y$5,$J16,$I16),daily_dates,0),MATCH($B$3,daily_items,0))),NA(),INDEX(big_daily_table,MATCH(DATE(Y$5,$J16,$I16),daily_dates,0),MATCH($B$3,daily_items,0)))</f>
        <v>#N/A</v>
      </c>
      <c r="Z16" s="1" t="str">
        <f t="shared" si="5"/>
        <v>#NAME?</v>
      </c>
      <c r="AA16" s="1" t="str">
        <f t="shared" si="6"/>
        <v>#NAME?</v>
      </c>
      <c r="AB16" s="1" t="str">
        <f t="shared" si="7"/>
        <v>#NAME?</v>
      </c>
      <c r="AC16" s="1" t="str">
        <f t="shared" si="8"/>
        <v>#NAME?</v>
      </c>
    </row>
    <row r="17" ht="14.25" customHeight="1">
      <c r="H17" s="1">
        <f t="shared" si="9"/>
        <v>12</v>
      </c>
      <c r="I17" s="1">
        <f t="shared" si="2"/>
        <v>12</v>
      </c>
      <c r="J17" s="1">
        <f t="shared" si="3"/>
        <v>1</v>
      </c>
      <c r="K17" s="23">
        <f t="shared" si="10"/>
        <v>36537</v>
      </c>
      <c r="L17" s="24">
        <f t="shared" si="4"/>
        <v>-1000000</v>
      </c>
      <c r="M17" s="1" t="str">
        <f t="array" ref="M17">IF(K17&gt;0,INDEX(big_daily_table,MATCH(DATE(N$5,$J17,$I17),daily_dates,0),MATCH($B$3,daily_items,0)),NA())</f>
        <v>#N/A</v>
      </c>
      <c r="N17" s="1" t="str">
        <f t="array" ref="N17">IF(L17&lt;0,INDEX(big_daily_table,MATCH(DATE(N$5,$J17,$I17),daily_dates,0),MATCH($B$3,daily_items,0)),NA())</f>
        <v>#N/A</v>
      </c>
      <c r="O17" s="1" t="str">
        <f t="array" ref="O17">IF(ISBLANK(INDEX(big_daily_table,MATCH(DATE(O$5,$J17,$I17),daily_dates,0),MATCH($B$3,daily_items,0))),NA(),INDEX(big_daily_table,MATCH(DATE(O$5,$J17,$I17),daily_dates,0),MATCH($B$3,daily_items,0)))</f>
        <v>#N/A</v>
      </c>
      <c r="P17" s="1" t="str">
        <f t="array" ref="P17">IF(ISBLANK(INDEX(big_daily_table,MATCH(DATE(P$5,$J17,$I17),daily_dates,0),MATCH($B$3,daily_items,0))),NA(),INDEX(big_daily_table,MATCH(DATE(P$5,$J17,$I17),daily_dates,0),MATCH($B$3,daily_items,0)))</f>
        <v>#N/A</v>
      </c>
      <c r="Q17" s="1" t="str">
        <f t="array" ref="Q17">IF(ISBLANK(INDEX(big_daily_table,MATCH(DATE(Q$5,$J17,$I17),daily_dates,0),MATCH($B$3,daily_items,0))),NA(),INDEX(big_daily_table,MATCH(DATE(Q$5,$J17,$I17),daily_dates,0),MATCH($B$3,daily_items,0)))</f>
        <v>#N/A</v>
      </c>
      <c r="R17" s="1" t="str">
        <f t="array" ref="R17">IF(ISBLANK(INDEX(big_daily_table,MATCH(DATE(R$5,$J17,$I17),daily_dates,0),MATCH($B$3,daily_items,0))),NA(),INDEX(big_daily_table,MATCH(DATE(R$5,$J17,$I17),daily_dates,0),MATCH($B$3,daily_items,0)))</f>
        <v>#N/A</v>
      </c>
      <c r="S17" s="1" t="str">
        <f t="array" ref="S17">IF(ISBLANK(INDEX(big_daily_table,MATCH(DATE(S$5,$J17,$I17),daily_dates,0),MATCH($B$3,daily_items,0))),NA(),INDEX(big_daily_table,MATCH(DATE(S$5,$J17,$I17),daily_dates,0),MATCH($B$3,daily_items,0)))</f>
        <v>#N/A</v>
      </c>
      <c r="T17" s="1" t="str">
        <f t="array" ref="T17">IF(ISBLANK(INDEX(big_daily_table,MATCH(DATE(T$5,$J17,$I17),daily_dates,0),MATCH($B$3,daily_items,0))),NA(),INDEX(big_daily_table,MATCH(DATE(T$5,$J17,$I17),daily_dates,0),MATCH($B$3,daily_items,0)))</f>
        <v>#N/A</v>
      </c>
      <c r="U17" s="1" t="str">
        <f t="array" ref="U17">IF(ISBLANK(INDEX(big_daily_table,MATCH(DATE(U$5,$J17,$I17),daily_dates,0),MATCH($B$3,daily_items,0))),NA(),INDEX(big_daily_table,MATCH(DATE(U$5,$J17,$I17),daily_dates,0),MATCH($B$3,daily_items,0)))</f>
        <v>#N/A</v>
      </c>
      <c r="V17" s="1" t="str">
        <f t="array" ref="V17">IF(ISBLANK(INDEX(big_daily_table,MATCH(DATE(V$5,$J17,$I17),daily_dates,0),MATCH($B$3,daily_items,0))),NA(),INDEX(big_daily_table,MATCH(DATE(V$5,$J17,$I17),daily_dates,0),MATCH($B$3,daily_items,0)))</f>
        <v>#N/A</v>
      </c>
      <c r="W17" s="1" t="str">
        <f t="array" ref="W17">IF(ISBLANK(INDEX(big_daily_table,MATCH(DATE(W$5,$J17,$I17),daily_dates,0),MATCH($B$3,daily_items,0))),NA(),INDEX(big_daily_table,MATCH(DATE(W$5,$J17,$I17),daily_dates,0),MATCH($B$3,daily_items,0)))</f>
        <v>#N/A</v>
      </c>
      <c r="X17" s="1" t="str">
        <f t="array" ref="X17">IF(ISBLANK(INDEX(big_daily_table,MATCH(DATE(X$5,$J17,$I17),daily_dates,0),MATCH($B$3,daily_items,0))),NA(),INDEX(big_daily_table,MATCH(DATE(X$5,$J17,$I17),daily_dates,0),MATCH($B$3,daily_items,0)))</f>
        <v>#N/A</v>
      </c>
      <c r="Y17" s="1" t="str">
        <f t="array" ref="Y17">IF(ISBLANK(INDEX(big_daily_table,MATCH(DATE(Y$5,$J17,$I17),daily_dates,0),MATCH($B$3,daily_items,0))),NA(),INDEX(big_daily_table,MATCH(DATE(Y$5,$J17,$I17),daily_dates,0),MATCH($B$3,daily_items,0)))</f>
        <v>#N/A</v>
      </c>
      <c r="Z17" s="1" t="str">
        <f t="shared" si="5"/>
        <v>#NAME?</v>
      </c>
      <c r="AA17" s="1" t="str">
        <f t="shared" si="6"/>
        <v>#NAME?</v>
      </c>
      <c r="AB17" s="1" t="str">
        <f t="shared" si="7"/>
        <v>#NAME?</v>
      </c>
      <c r="AC17" s="1" t="str">
        <f t="shared" si="8"/>
        <v>#NAME?</v>
      </c>
    </row>
    <row r="18" ht="14.25" customHeight="1">
      <c r="H18" s="1">
        <f t="shared" si="9"/>
        <v>13</v>
      </c>
      <c r="I18" s="1">
        <f t="shared" si="2"/>
        <v>13</v>
      </c>
      <c r="J18" s="1">
        <f t="shared" si="3"/>
        <v>1</v>
      </c>
      <c r="K18" s="23">
        <f t="shared" si="10"/>
        <v>36538</v>
      </c>
      <c r="L18" s="24">
        <f t="shared" si="4"/>
        <v>-1000000</v>
      </c>
      <c r="M18" s="1" t="str">
        <f t="array" ref="M18">IF(K18&gt;0,INDEX(big_daily_table,MATCH(DATE(N$5,$J18,$I18),daily_dates,0),MATCH($B$3,daily_items,0)),NA())</f>
        <v>#N/A</v>
      </c>
      <c r="N18" s="1" t="str">
        <f t="array" ref="N18">IF(L18&lt;0,INDEX(big_daily_table,MATCH(DATE(N$5,$J18,$I18),daily_dates,0),MATCH($B$3,daily_items,0)),NA())</f>
        <v>#N/A</v>
      </c>
      <c r="O18" s="1" t="str">
        <f t="array" ref="O18">IF(ISBLANK(INDEX(big_daily_table,MATCH(DATE(O$5,$J18,$I18),daily_dates,0),MATCH($B$3,daily_items,0))),NA(),INDEX(big_daily_table,MATCH(DATE(O$5,$J18,$I18),daily_dates,0),MATCH($B$3,daily_items,0)))</f>
        <v>#N/A</v>
      </c>
      <c r="P18" s="1" t="str">
        <f t="array" ref="P18">IF(ISBLANK(INDEX(big_daily_table,MATCH(DATE(P$5,$J18,$I18),daily_dates,0),MATCH($B$3,daily_items,0))),NA(),INDEX(big_daily_table,MATCH(DATE(P$5,$J18,$I18),daily_dates,0),MATCH($B$3,daily_items,0)))</f>
        <v>#N/A</v>
      </c>
      <c r="Q18" s="1" t="str">
        <f t="array" ref="Q18">IF(ISBLANK(INDEX(big_daily_table,MATCH(DATE(Q$5,$J18,$I18),daily_dates,0),MATCH($B$3,daily_items,0))),NA(),INDEX(big_daily_table,MATCH(DATE(Q$5,$J18,$I18),daily_dates,0),MATCH($B$3,daily_items,0)))</f>
        <v>#N/A</v>
      </c>
      <c r="R18" s="1" t="str">
        <f t="array" ref="R18">IF(ISBLANK(INDEX(big_daily_table,MATCH(DATE(R$5,$J18,$I18),daily_dates,0),MATCH($B$3,daily_items,0))),NA(),INDEX(big_daily_table,MATCH(DATE(R$5,$J18,$I18),daily_dates,0),MATCH($B$3,daily_items,0)))</f>
        <v>#N/A</v>
      </c>
      <c r="S18" s="1" t="str">
        <f t="array" ref="S18">IF(ISBLANK(INDEX(big_daily_table,MATCH(DATE(S$5,$J18,$I18),daily_dates,0),MATCH($B$3,daily_items,0))),NA(),INDEX(big_daily_table,MATCH(DATE(S$5,$J18,$I18),daily_dates,0),MATCH($B$3,daily_items,0)))</f>
        <v>#N/A</v>
      </c>
      <c r="T18" s="1" t="str">
        <f t="array" ref="T18">IF(ISBLANK(INDEX(big_daily_table,MATCH(DATE(T$5,$J18,$I18),daily_dates,0),MATCH($B$3,daily_items,0))),NA(),INDEX(big_daily_table,MATCH(DATE(T$5,$J18,$I18),daily_dates,0),MATCH($B$3,daily_items,0)))</f>
        <v>#N/A</v>
      </c>
      <c r="U18" s="1" t="str">
        <f t="array" ref="U18">IF(ISBLANK(INDEX(big_daily_table,MATCH(DATE(U$5,$J18,$I18),daily_dates,0),MATCH($B$3,daily_items,0))),NA(),INDEX(big_daily_table,MATCH(DATE(U$5,$J18,$I18),daily_dates,0),MATCH($B$3,daily_items,0)))</f>
        <v>#N/A</v>
      </c>
      <c r="V18" s="1" t="str">
        <f t="array" ref="V18">IF(ISBLANK(INDEX(big_daily_table,MATCH(DATE(V$5,$J18,$I18),daily_dates,0),MATCH($B$3,daily_items,0))),NA(),INDEX(big_daily_table,MATCH(DATE(V$5,$J18,$I18),daily_dates,0),MATCH($B$3,daily_items,0)))</f>
        <v>#N/A</v>
      </c>
      <c r="W18" s="1" t="str">
        <f t="array" ref="W18">IF(ISBLANK(INDEX(big_daily_table,MATCH(DATE(W$5,$J18,$I18),daily_dates,0),MATCH($B$3,daily_items,0))),NA(),INDEX(big_daily_table,MATCH(DATE(W$5,$J18,$I18),daily_dates,0),MATCH($B$3,daily_items,0)))</f>
        <v>#N/A</v>
      </c>
      <c r="X18" s="1" t="str">
        <f t="array" ref="X18">IF(ISBLANK(INDEX(big_daily_table,MATCH(DATE(X$5,$J18,$I18),daily_dates,0),MATCH($B$3,daily_items,0))),NA(),INDEX(big_daily_table,MATCH(DATE(X$5,$J18,$I18),daily_dates,0),MATCH($B$3,daily_items,0)))</f>
        <v>#N/A</v>
      </c>
      <c r="Y18" s="1" t="str">
        <f t="array" ref="Y18">IF(ISBLANK(INDEX(big_daily_table,MATCH(DATE(Y$5,$J18,$I18),daily_dates,0),MATCH($B$3,daily_items,0))),NA(),INDEX(big_daily_table,MATCH(DATE(Y$5,$J18,$I18),daily_dates,0),MATCH($B$3,daily_items,0)))</f>
        <v>#N/A</v>
      </c>
      <c r="Z18" s="1" t="str">
        <f t="shared" si="5"/>
        <v>#NAME?</v>
      </c>
      <c r="AA18" s="1" t="str">
        <f t="shared" si="6"/>
        <v>#NAME?</v>
      </c>
      <c r="AB18" s="1" t="str">
        <f t="shared" si="7"/>
        <v>#NAME?</v>
      </c>
      <c r="AC18" s="1" t="str">
        <f t="shared" si="8"/>
        <v>#NAME?</v>
      </c>
    </row>
    <row r="19" ht="14.25" customHeight="1">
      <c r="H19" s="1">
        <f t="shared" si="9"/>
        <v>14</v>
      </c>
      <c r="I19" s="1">
        <f t="shared" si="2"/>
        <v>14</v>
      </c>
      <c r="J19" s="1">
        <f t="shared" si="3"/>
        <v>1</v>
      </c>
      <c r="K19" s="23">
        <f t="shared" si="10"/>
        <v>36539</v>
      </c>
      <c r="L19" s="24">
        <f t="shared" si="4"/>
        <v>-1000000</v>
      </c>
      <c r="M19" s="1" t="str">
        <f t="array" ref="M19">IF(K19&gt;0,INDEX(big_daily_table,MATCH(DATE(N$5,$J19,$I19),daily_dates,0),MATCH($B$3,daily_items,0)),NA())</f>
        <v>#N/A</v>
      </c>
      <c r="N19" s="1" t="str">
        <f t="array" ref="N19">IF(L19&lt;0,INDEX(big_daily_table,MATCH(DATE(N$5,$J19,$I19),daily_dates,0),MATCH($B$3,daily_items,0)),NA())</f>
        <v>#N/A</v>
      </c>
      <c r="O19" s="1" t="str">
        <f t="array" ref="O19">IF(ISBLANK(INDEX(big_daily_table,MATCH(DATE(O$5,$J19,$I19),daily_dates,0),MATCH($B$3,daily_items,0))),NA(),INDEX(big_daily_table,MATCH(DATE(O$5,$J19,$I19),daily_dates,0),MATCH($B$3,daily_items,0)))</f>
        <v>#N/A</v>
      </c>
      <c r="P19" s="1" t="str">
        <f t="array" ref="P19">IF(ISBLANK(INDEX(big_daily_table,MATCH(DATE(P$5,$J19,$I19),daily_dates,0),MATCH($B$3,daily_items,0))),NA(),INDEX(big_daily_table,MATCH(DATE(P$5,$J19,$I19),daily_dates,0),MATCH($B$3,daily_items,0)))</f>
        <v>#N/A</v>
      </c>
      <c r="Q19" s="1" t="str">
        <f t="array" ref="Q19">IF(ISBLANK(INDEX(big_daily_table,MATCH(DATE(Q$5,$J19,$I19),daily_dates,0),MATCH($B$3,daily_items,0))),NA(),INDEX(big_daily_table,MATCH(DATE(Q$5,$J19,$I19),daily_dates,0),MATCH($B$3,daily_items,0)))</f>
        <v>#N/A</v>
      </c>
      <c r="R19" s="1" t="str">
        <f t="array" ref="R19">IF(ISBLANK(INDEX(big_daily_table,MATCH(DATE(R$5,$J19,$I19),daily_dates,0),MATCH($B$3,daily_items,0))),NA(),INDEX(big_daily_table,MATCH(DATE(R$5,$J19,$I19),daily_dates,0),MATCH($B$3,daily_items,0)))</f>
        <v>#N/A</v>
      </c>
      <c r="S19" s="1" t="str">
        <f t="array" ref="S19">IF(ISBLANK(INDEX(big_daily_table,MATCH(DATE(S$5,$J19,$I19),daily_dates,0),MATCH($B$3,daily_items,0))),NA(),INDEX(big_daily_table,MATCH(DATE(S$5,$J19,$I19),daily_dates,0),MATCH($B$3,daily_items,0)))</f>
        <v>#N/A</v>
      </c>
      <c r="T19" s="1" t="str">
        <f t="array" ref="T19">IF(ISBLANK(INDEX(big_daily_table,MATCH(DATE(T$5,$J19,$I19),daily_dates,0),MATCH($B$3,daily_items,0))),NA(),INDEX(big_daily_table,MATCH(DATE(T$5,$J19,$I19),daily_dates,0),MATCH($B$3,daily_items,0)))</f>
        <v>#N/A</v>
      </c>
      <c r="U19" s="1" t="str">
        <f t="array" ref="U19">IF(ISBLANK(INDEX(big_daily_table,MATCH(DATE(U$5,$J19,$I19),daily_dates,0),MATCH($B$3,daily_items,0))),NA(),INDEX(big_daily_table,MATCH(DATE(U$5,$J19,$I19),daily_dates,0),MATCH($B$3,daily_items,0)))</f>
        <v>#N/A</v>
      </c>
      <c r="V19" s="1" t="str">
        <f t="array" ref="V19">IF(ISBLANK(INDEX(big_daily_table,MATCH(DATE(V$5,$J19,$I19),daily_dates,0),MATCH($B$3,daily_items,0))),NA(),INDEX(big_daily_table,MATCH(DATE(V$5,$J19,$I19),daily_dates,0),MATCH($B$3,daily_items,0)))</f>
        <v>#N/A</v>
      </c>
      <c r="W19" s="1" t="str">
        <f t="array" ref="W19">IF(ISBLANK(INDEX(big_daily_table,MATCH(DATE(W$5,$J19,$I19),daily_dates,0),MATCH($B$3,daily_items,0))),NA(),INDEX(big_daily_table,MATCH(DATE(W$5,$J19,$I19),daily_dates,0),MATCH($B$3,daily_items,0)))</f>
        <v>#N/A</v>
      </c>
      <c r="X19" s="1" t="str">
        <f t="array" ref="X19">IF(ISBLANK(INDEX(big_daily_table,MATCH(DATE(X$5,$J19,$I19),daily_dates,0),MATCH($B$3,daily_items,0))),NA(),INDEX(big_daily_table,MATCH(DATE(X$5,$J19,$I19),daily_dates,0),MATCH($B$3,daily_items,0)))</f>
        <v>#N/A</v>
      </c>
      <c r="Y19" s="1" t="str">
        <f t="array" ref="Y19">IF(ISBLANK(INDEX(big_daily_table,MATCH(DATE(Y$5,$J19,$I19),daily_dates,0),MATCH($B$3,daily_items,0))),NA(),INDEX(big_daily_table,MATCH(DATE(Y$5,$J19,$I19),daily_dates,0),MATCH($B$3,daily_items,0)))</f>
        <v>#N/A</v>
      </c>
      <c r="Z19" s="1" t="str">
        <f t="shared" si="5"/>
        <v>#NAME?</v>
      </c>
      <c r="AA19" s="1" t="str">
        <f t="shared" si="6"/>
        <v>#NAME?</v>
      </c>
      <c r="AB19" s="1" t="str">
        <f t="shared" si="7"/>
        <v>#NAME?</v>
      </c>
      <c r="AC19" s="1" t="str">
        <f t="shared" si="8"/>
        <v>#NAME?</v>
      </c>
    </row>
    <row r="20" ht="14.25" customHeight="1">
      <c r="H20" s="1">
        <f t="shared" si="9"/>
        <v>15</v>
      </c>
      <c r="I20" s="1">
        <f t="shared" si="2"/>
        <v>15</v>
      </c>
      <c r="J20" s="1">
        <f t="shared" si="3"/>
        <v>1</v>
      </c>
      <c r="K20" s="23">
        <f t="shared" si="10"/>
        <v>36540</v>
      </c>
      <c r="L20" s="24">
        <f t="shared" si="4"/>
        <v>-1000000</v>
      </c>
      <c r="M20" s="1" t="str">
        <f t="array" ref="M20">IF(K20&gt;0,INDEX(big_daily_table,MATCH(DATE(N$5,$J20,$I20),daily_dates,0),MATCH($B$3,daily_items,0)),NA())</f>
        <v>#N/A</v>
      </c>
      <c r="N20" s="1" t="str">
        <f t="array" ref="N20">IF(L20&lt;0,INDEX(big_daily_table,MATCH(DATE(N$5,$J20,$I20),daily_dates,0),MATCH($B$3,daily_items,0)),NA())</f>
        <v>#N/A</v>
      </c>
      <c r="O20" s="1" t="str">
        <f t="array" ref="O20">IF(ISBLANK(INDEX(big_daily_table,MATCH(DATE(O$5,$J20,$I20),daily_dates,0),MATCH($B$3,daily_items,0))),NA(),INDEX(big_daily_table,MATCH(DATE(O$5,$J20,$I20),daily_dates,0),MATCH($B$3,daily_items,0)))</f>
        <v>#N/A</v>
      </c>
      <c r="P20" s="1" t="str">
        <f t="array" ref="P20">IF(ISBLANK(INDEX(big_daily_table,MATCH(DATE(P$5,$J20,$I20),daily_dates,0),MATCH($B$3,daily_items,0))),NA(),INDEX(big_daily_table,MATCH(DATE(P$5,$J20,$I20),daily_dates,0),MATCH($B$3,daily_items,0)))</f>
        <v>#N/A</v>
      </c>
      <c r="Q20" s="1" t="str">
        <f t="array" ref="Q20">IF(ISBLANK(INDEX(big_daily_table,MATCH(DATE(Q$5,$J20,$I20),daily_dates,0),MATCH($B$3,daily_items,0))),NA(),INDEX(big_daily_table,MATCH(DATE(Q$5,$J20,$I20),daily_dates,0),MATCH($B$3,daily_items,0)))</f>
        <v>#N/A</v>
      </c>
      <c r="R20" s="1" t="str">
        <f t="array" ref="R20">IF(ISBLANK(INDEX(big_daily_table,MATCH(DATE(R$5,$J20,$I20),daily_dates,0),MATCH($B$3,daily_items,0))),NA(),INDEX(big_daily_table,MATCH(DATE(R$5,$J20,$I20),daily_dates,0),MATCH($B$3,daily_items,0)))</f>
        <v>#N/A</v>
      </c>
      <c r="S20" s="1" t="str">
        <f t="array" ref="S20">IF(ISBLANK(INDEX(big_daily_table,MATCH(DATE(S$5,$J20,$I20),daily_dates,0),MATCH($B$3,daily_items,0))),NA(),INDEX(big_daily_table,MATCH(DATE(S$5,$J20,$I20),daily_dates,0),MATCH($B$3,daily_items,0)))</f>
        <v>#N/A</v>
      </c>
      <c r="T20" s="1" t="str">
        <f t="array" ref="T20">IF(ISBLANK(INDEX(big_daily_table,MATCH(DATE(T$5,$J20,$I20),daily_dates,0),MATCH($B$3,daily_items,0))),NA(),INDEX(big_daily_table,MATCH(DATE(T$5,$J20,$I20),daily_dates,0),MATCH($B$3,daily_items,0)))</f>
        <v>#N/A</v>
      </c>
      <c r="U20" s="1" t="str">
        <f t="array" ref="U20">IF(ISBLANK(INDEX(big_daily_table,MATCH(DATE(U$5,$J20,$I20),daily_dates,0),MATCH($B$3,daily_items,0))),NA(),INDEX(big_daily_table,MATCH(DATE(U$5,$J20,$I20),daily_dates,0),MATCH($B$3,daily_items,0)))</f>
        <v>#N/A</v>
      </c>
      <c r="V20" s="1" t="str">
        <f t="array" ref="V20">IF(ISBLANK(INDEX(big_daily_table,MATCH(DATE(V$5,$J20,$I20),daily_dates,0),MATCH($B$3,daily_items,0))),NA(),INDEX(big_daily_table,MATCH(DATE(V$5,$J20,$I20),daily_dates,0),MATCH($B$3,daily_items,0)))</f>
        <v>#N/A</v>
      </c>
      <c r="W20" s="1" t="str">
        <f t="array" ref="W20">IF(ISBLANK(INDEX(big_daily_table,MATCH(DATE(W$5,$J20,$I20),daily_dates,0),MATCH($B$3,daily_items,0))),NA(),INDEX(big_daily_table,MATCH(DATE(W$5,$J20,$I20),daily_dates,0),MATCH($B$3,daily_items,0)))</f>
        <v>#N/A</v>
      </c>
      <c r="X20" s="1" t="str">
        <f t="array" ref="X20">IF(ISBLANK(INDEX(big_daily_table,MATCH(DATE(X$5,$J20,$I20),daily_dates,0),MATCH($B$3,daily_items,0))),NA(),INDEX(big_daily_table,MATCH(DATE(X$5,$J20,$I20),daily_dates,0),MATCH($B$3,daily_items,0)))</f>
        <v>#N/A</v>
      </c>
      <c r="Y20" s="1" t="str">
        <f t="array" ref="Y20">IF(ISBLANK(INDEX(big_daily_table,MATCH(DATE(Y$5,$J20,$I20),daily_dates,0),MATCH($B$3,daily_items,0))),NA(),INDEX(big_daily_table,MATCH(DATE(Y$5,$J20,$I20),daily_dates,0),MATCH($B$3,daily_items,0)))</f>
        <v>#N/A</v>
      </c>
      <c r="Z20" s="1" t="str">
        <f t="shared" si="5"/>
        <v>#NAME?</v>
      </c>
      <c r="AA20" s="1" t="str">
        <f t="shared" si="6"/>
        <v>#NAME?</v>
      </c>
      <c r="AB20" s="1" t="str">
        <f t="shared" si="7"/>
        <v>#NAME?</v>
      </c>
      <c r="AC20" s="1" t="str">
        <f t="shared" si="8"/>
        <v>#NAME?</v>
      </c>
    </row>
    <row r="21" ht="14.25" customHeight="1">
      <c r="H21" s="1">
        <f t="shared" si="9"/>
        <v>16</v>
      </c>
      <c r="I21" s="1">
        <f t="shared" si="2"/>
        <v>16</v>
      </c>
      <c r="J21" s="1">
        <f t="shared" si="3"/>
        <v>1</v>
      </c>
      <c r="K21" s="23">
        <f t="shared" si="10"/>
        <v>36541</v>
      </c>
      <c r="L21" s="24">
        <f t="shared" si="4"/>
        <v>-1000000</v>
      </c>
      <c r="M21" s="1" t="str">
        <f t="array" ref="M21">IF(K21&gt;0,INDEX(big_daily_table,MATCH(DATE(N$5,$J21,$I21),daily_dates,0),MATCH($B$3,daily_items,0)),NA())</f>
        <v>#N/A</v>
      </c>
      <c r="N21" s="1" t="str">
        <f t="array" ref="N21">IF(L21&lt;0,INDEX(big_daily_table,MATCH(DATE(N$5,$J21,$I21),daily_dates,0),MATCH($B$3,daily_items,0)),NA())</f>
        <v>#N/A</v>
      </c>
      <c r="O21" s="1" t="str">
        <f t="array" ref="O21">IF(ISBLANK(INDEX(big_daily_table,MATCH(DATE(O$5,$J21,$I21),daily_dates,0),MATCH($B$3,daily_items,0))),NA(),INDEX(big_daily_table,MATCH(DATE(O$5,$J21,$I21),daily_dates,0),MATCH($B$3,daily_items,0)))</f>
        <v>#N/A</v>
      </c>
      <c r="P21" s="1" t="str">
        <f t="array" ref="P21">IF(ISBLANK(INDEX(big_daily_table,MATCH(DATE(P$5,$J21,$I21),daily_dates,0),MATCH($B$3,daily_items,0))),NA(),INDEX(big_daily_table,MATCH(DATE(P$5,$J21,$I21),daily_dates,0),MATCH($B$3,daily_items,0)))</f>
        <v>#N/A</v>
      </c>
      <c r="Q21" s="1" t="str">
        <f t="array" ref="Q21">IF(ISBLANK(INDEX(big_daily_table,MATCH(DATE(Q$5,$J21,$I21),daily_dates,0),MATCH($B$3,daily_items,0))),NA(),INDEX(big_daily_table,MATCH(DATE(Q$5,$J21,$I21),daily_dates,0),MATCH($B$3,daily_items,0)))</f>
        <v>#N/A</v>
      </c>
      <c r="R21" s="1" t="str">
        <f t="array" ref="R21">IF(ISBLANK(INDEX(big_daily_table,MATCH(DATE(R$5,$J21,$I21),daily_dates,0),MATCH($B$3,daily_items,0))),NA(),INDEX(big_daily_table,MATCH(DATE(R$5,$J21,$I21),daily_dates,0),MATCH($B$3,daily_items,0)))</f>
        <v>#N/A</v>
      </c>
      <c r="S21" s="1" t="str">
        <f t="array" ref="S21">IF(ISBLANK(INDEX(big_daily_table,MATCH(DATE(S$5,$J21,$I21),daily_dates,0),MATCH($B$3,daily_items,0))),NA(),INDEX(big_daily_table,MATCH(DATE(S$5,$J21,$I21),daily_dates,0),MATCH($B$3,daily_items,0)))</f>
        <v>#N/A</v>
      </c>
      <c r="T21" s="1" t="str">
        <f t="array" ref="T21">IF(ISBLANK(INDEX(big_daily_table,MATCH(DATE(T$5,$J21,$I21),daily_dates,0),MATCH($B$3,daily_items,0))),NA(),INDEX(big_daily_table,MATCH(DATE(T$5,$J21,$I21),daily_dates,0),MATCH($B$3,daily_items,0)))</f>
        <v>#N/A</v>
      </c>
      <c r="U21" s="1" t="str">
        <f t="array" ref="U21">IF(ISBLANK(INDEX(big_daily_table,MATCH(DATE(U$5,$J21,$I21),daily_dates,0),MATCH($B$3,daily_items,0))),NA(),INDEX(big_daily_table,MATCH(DATE(U$5,$J21,$I21),daily_dates,0),MATCH($B$3,daily_items,0)))</f>
        <v>#N/A</v>
      </c>
      <c r="V21" s="1" t="str">
        <f t="array" ref="V21">IF(ISBLANK(INDEX(big_daily_table,MATCH(DATE(V$5,$J21,$I21),daily_dates,0),MATCH($B$3,daily_items,0))),NA(),INDEX(big_daily_table,MATCH(DATE(V$5,$J21,$I21),daily_dates,0),MATCH($B$3,daily_items,0)))</f>
        <v>#N/A</v>
      </c>
      <c r="W21" s="1" t="str">
        <f t="array" ref="W21">IF(ISBLANK(INDEX(big_daily_table,MATCH(DATE(W$5,$J21,$I21),daily_dates,0),MATCH($B$3,daily_items,0))),NA(),INDEX(big_daily_table,MATCH(DATE(W$5,$J21,$I21),daily_dates,0),MATCH($B$3,daily_items,0)))</f>
        <v>#N/A</v>
      </c>
      <c r="X21" s="1" t="str">
        <f t="array" ref="X21">IF(ISBLANK(INDEX(big_daily_table,MATCH(DATE(X$5,$J21,$I21),daily_dates,0),MATCH($B$3,daily_items,0))),NA(),INDEX(big_daily_table,MATCH(DATE(X$5,$J21,$I21),daily_dates,0),MATCH($B$3,daily_items,0)))</f>
        <v>#N/A</v>
      </c>
      <c r="Y21" s="1" t="str">
        <f t="array" ref="Y21">IF(ISBLANK(INDEX(big_daily_table,MATCH(DATE(Y$5,$J21,$I21),daily_dates,0),MATCH($B$3,daily_items,0))),NA(),INDEX(big_daily_table,MATCH(DATE(Y$5,$J21,$I21),daily_dates,0),MATCH($B$3,daily_items,0)))</f>
        <v>#N/A</v>
      </c>
      <c r="Z21" s="1" t="str">
        <f t="shared" si="5"/>
        <v>#NAME?</v>
      </c>
      <c r="AA21" s="1" t="str">
        <f t="shared" si="6"/>
        <v>#NAME?</v>
      </c>
      <c r="AB21" s="1" t="str">
        <f t="shared" si="7"/>
        <v>#NAME?</v>
      </c>
      <c r="AC21" s="1" t="str">
        <f t="shared" si="8"/>
        <v>#NAME?</v>
      </c>
    </row>
    <row r="22" ht="14.25" customHeight="1">
      <c r="H22" s="1">
        <f t="shared" si="9"/>
        <v>17</v>
      </c>
      <c r="I22" s="1">
        <f t="shared" si="2"/>
        <v>17</v>
      </c>
      <c r="J22" s="1">
        <f t="shared" si="3"/>
        <v>1</v>
      </c>
      <c r="K22" s="23">
        <f t="shared" si="10"/>
        <v>36542</v>
      </c>
      <c r="L22" s="24">
        <f t="shared" si="4"/>
        <v>-1000000</v>
      </c>
      <c r="M22" s="1" t="str">
        <f t="array" ref="M22">IF(K22&gt;0,INDEX(big_daily_table,MATCH(DATE(N$5,$J22,$I22),daily_dates,0),MATCH($B$3,daily_items,0)),NA())</f>
        <v>#N/A</v>
      </c>
      <c r="N22" s="1" t="str">
        <f t="array" ref="N22">IF(L22&lt;0,INDEX(big_daily_table,MATCH(DATE(N$5,$J22,$I22),daily_dates,0),MATCH($B$3,daily_items,0)),NA())</f>
        <v>#N/A</v>
      </c>
      <c r="O22" s="1" t="str">
        <f t="array" ref="O22">IF(ISBLANK(INDEX(big_daily_table,MATCH(DATE(O$5,$J22,$I22),daily_dates,0),MATCH($B$3,daily_items,0))),NA(),INDEX(big_daily_table,MATCH(DATE(O$5,$J22,$I22),daily_dates,0),MATCH($B$3,daily_items,0)))</f>
        <v>#N/A</v>
      </c>
      <c r="P22" s="1" t="str">
        <f t="array" ref="P22">IF(ISBLANK(INDEX(big_daily_table,MATCH(DATE(P$5,$J22,$I22),daily_dates,0),MATCH($B$3,daily_items,0))),NA(),INDEX(big_daily_table,MATCH(DATE(P$5,$J22,$I22),daily_dates,0),MATCH($B$3,daily_items,0)))</f>
        <v>#N/A</v>
      </c>
      <c r="Q22" s="1" t="str">
        <f t="array" ref="Q22">IF(ISBLANK(INDEX(big_daily_table,MATCH(DATE(Q$5,$J22,$I22),daily_dates,0),MATCH($B$3,daily_items,0))),NA(),INDEX(big_daily_table,MATCH(DATE(Q$5,$J22,$I22),daily_dates,0),MATCH($B$3,daily_items,0)))</f>
        <v>#N/A</v>
      </c>
      <c r="R22" s="1" t="str">
        <f t="array" ref="R22">IF(ISBLANK(INDEX(big_daily_table,MATCH(DATE(R$5,$J22,$I22),daily_dates,0),MATCH($B$3,daily_items,0))),NA(),INDEX(big_daily_table,MATCH(DATE(R$5,$J22,$I22),daily_dates,0),MATCH($B$3,daily_items,0)))</f>
        <v>#N/A</v>
      </c>
      <c r="S22" s="1" t="str">
        <f t="array" ref="S22">IF(ISBLANK(INDEX(big_daily_table,MATCH(DATE(S$5,$J22,$I22),daily_dates,0),MATCH($B$3,daily_items,0))),NA(),INDEX(big_daily_table,MATCH(DATE(S$5,$J22,$I22),daily_dates,0),MATCH($B$3,daily_items,0)))</f>
        <v>#N/A</v>
      </c>
      <c r="T22" s="1" t="str">
        <f t="array" ref="T22">IF(ISBLANK(INDEX(big_daily_table,MATCH(DATE(T$5,$J22,$I22),daily_dates,0),MATCH($B$3,daily_items,0))),NA(),INDEX(big_daily_table,MATCH(DATE(T$5,$J22,$I22),daily_dates,0),MATCH($B$3,daily_items,0)))</f>
        <v>#N/A</v>
      </c>
      <c r="U22" s="1" t="str">
        <f t="array" ref="U22">IF(ISBLANK(INDEX(big_daily_table,MATCH(DATE(U$5,$J22,$I22),daily_dates,0),MATCH($B$3,daily_items,0))),NA(),INDEX(big_daily_table,MATCH(DATE(U$5,$J22,$I22),daily_dates,0),MATCH($B$3,daily_items,0)))</f>
        <v>#N/A</v>
      </c>
      <c r="V22" s="1" t="str">
        <f t="array" ref="V22">IF(ISBLANK(INDEX(big_daily_table,MATCH(DATE(V$5,$J22,$I22),daily_dates,0),MATCH($B$3,daily_items,0))),NA(),INDEX(big_daily_table,MATCH(DATE(V$5,$J22,$I22),daily_dates,0),MATCH($B$3,daily_items,0)))</f>
        <v>#N/A</v>
      </c>
      <c r="W22" s="1" t="str">
        <f t="array" ref="W22">IF(ISBLANK(INDEX(big_daily_table,MATCH(DATE(W$5,$J22,$I22),daily_dates,0),MATCH($B$3,daily_items,0))),NA(),INDEX(big_daily_table,MATCH(DATE(W$5,$J22,$I22),daily_dates,0),MATCH($B$3,daily_items,0)))</f>
        <v>#N/A</v>
      </c>
      <c r="X22" s="1" t="str">
        <f t="array" ref="X22">IF(ISBLANK(INDEX(big_daily_table,MATCH(DATE(X$5,$J22,$I22),daily_dates,0),MATCH($B$3,daily_items,0))),NA(),INDEX(big_daily_table,MATCH(DATE(X$5,$J22,$I22),daily_dates,0),MATCH($B$3,daily_items,0)))</f>
        <v>#N/A</v>
      </c>
      <c r="Y22" s="1" t="str">
        <f t="array" ref="Y22">IF(ISBLANK(INDEX(big_daily_table,MATCH(DATE(Y$5,$J22,$I22),daily_dates,0),MATCH($B$3,daily_items,0))),NA(),INDEX(big_daily_table,MATCH(DATE(Y$5,$J22,$I22),daily_dates,0),MATCH($B$3,daily_items,0)))</f>
        <v>#N/A</v>
      </c>
      <c r="Z22" s="1" t="str">
        <f t="shared" si="5"/>
        <v>#NAME?</v>
      </c>
      <c r="AA22" s="1" t="str">
        <f t="shared" si="6"/>
        <v>#NAME?</v>
      </c>
      <c r="AB22" s="1" t="str">
        <f t="shared" si="7"/>
        <v>#NAME?</v>
      </c>
      <c r="AC22" s="1" t="str">
        <f t="shared" si="8"/>
        <v>#NAME?</v>
      </c>
    </row>
    <row r="23" ht="14.25" customHeight="1">
      <c r="H23" s="1">
        <f t="shared" si="9"/>
        <v>18</v>
      </c>
      <c r="I23" s="1">
        <f t="shared" si="2"/>
        <v>18</v>
      </c>
      <c r="J23" s="1">
        <f t="shared" si="3"/>
        <v>1</v>
      </c>
      <c r="K23" s="23">
        <f t="shared" si="10"/>
        <v>36543</v>
      </c>
      <c r="L23" s="24">
        <f t="shared" si="4"/>
        <v>-1000000</v>
      </c>
      <c r="M23" s="1" t="str">
        <f t="array" ref="M23">IF(K23&gt;0,INDEX(big_daily_table,MATCH(DATE(N$5,$J23,$I23),daily_dates,0),MATCH($B$3,daily_items,0)),NA())</f>
        <v>#N/A</v>
      </c>
      <c r="N23" s="1" t="str">
        <f t="array" ref="N23">IF(L23&lt;0,INDEX(big_daily_table,MATCH(DATE(N$5,$J23,$I23),daily_dates,0),MATCH($B$3,daily_items,0)),NA())</f>
        <v>#N/A</v>
      </c>
      <c r="O23" s="1" t="str">
        <f t="array" ref="O23">IF(ISBLANK(INDEX(big_daily_table,MATCH(DATE(O$5,$J23,$I23),daily_dates,0),MATCH($B$3,daily_items,0))),NA(),INDEX(big_daily_table,MATCH(DATE(O$5,$J23,$I23),daily_dates,0),MATCH($B$3,daily_items,0)))</f>
        <v>#N/A</v>
      </c>
      <c r="P23" s="1" t="str">
        <f t="array" ref="P23">IF(ISBLANK(INDEX(big_daily_table,MATCH(DATE(P$5,$J23,$I23),daily_dates,0),MATCH($B$3,daily_items,0))),NA(),INDEX(big_daily_table,MATCH(DATE(P$5,$J23,$I23),daily_dates,0),MATCH($B$3,daily_items,0)))</f>
        <v>#N/A</v>
      </c>
      <c r="Q23" s="1" t="str">
        <f t="array" ref="Q23">IF(ISBLANK(INDEX(big_daily_table,MATCH(DATE(Q$5,$J23,$I23),daily_dates,0),MATCH($B$3,daily_items,0))),NA(),INDEX(big_daily_table,MATCH(DATE(Q$5,$J23,$I23),daily_dates,0),MATCH($B$3,daily_items,0)))</f>
        <v>#N/A</v>
      </c>
      <c r="R23" s="1" t="str">
        <f t="array" ref="R23">IF(ISBLANK(INDEX(big_daily_table,MATCH(DATE(R$5,$J23,$I23),daily_dates,0),MATCH($B$3,daily_items,0))),NA(),INDEX(big_daily_table,MATCH(DATE(R$5,$J23,$I23),daily_dates,0),MATCH($B$3,daily_items,0)))</f>
        <v>#N/A</v>
      </c>
      <c r="S23" s="1" t="str">
        <f t="array" ref="S23">IF(ISBLANK(INDEX(big_daily_table,MATCH(DATE(S$5,$J23,$I23),daily_dates,0),MATCH($B$3,daily_items,0))),NA(),INDEX(big_daily_table,MATCH(DATE(S$5,$J23,$I23),daily_dates,0),MATCH($B$3,daily_items,0)))</f>
        <v>#N/A</v>
      </c>
      <c r="T23" s="1" t="str">
        <f t="array" ref="T23">IF(ISBLANK(INDEX(big_daily_table,MATCH(DATE(T$5,$J23,$I23),daily_dates,0),MATCH($B$3,daily_items,0))),NA(),INDEX(big_daily_table,MATCH(DATE(T$5,$J23,$I23),daily_dates,0),MATCH($B$3,daily_items,0)))</f>
        <v>#N/A</v>
      </c>
      <c r="U23" s="1" t="str">
        <f t="array" ref="U23">IF(ISBLANK(INDEX(big_daily_table,MATCH(DATE(U$5,$J23,$I23),daily_dates,0),MATCH($B$3,daily_items,0))),NA(),INDEX(big_daily_table,MATCH(DATE(U$5,$J23,$I23),daily_dates,0),MATCH($B$3,daily_items,0)))</f>
        <v>#N/A</v>
      </c>
      <c r="V23" s="1" t="str">
        <f t="array" ref="V23">IF(ISBLANK(INDEX(big_daily_table,MATCH(DATE(V$5,$J23,$I23),daily_dates,0),MATCH($B$3,daily_items,0))),NA(),INDEX(big_daily_table,MATCH(DATE(V$5,$J23,$I23),daily_dates,0),MATCH($B$3,daily_items,0)))</f>
        <v>#N/A</v>
      </c>
      <c r="W23" s="1" t="str">
        <f t="array" ref="W23">IF(ISBLANK(INDEX(big_daily_table,MATCH(DATE(W$5,$J23,$I23),daily_dates,0),MATCH($B$3,daily_items,0))),NA(),INDEX(big_daily_table,MATCH(DATE(W$5,$J23,$I23),daily_dates,0),MATCH($B$3,daily_items,0)))</f>
        <v>#N/A</v>
      </c>
      <c r="X23" s="1" t="str">
        <f t="array" ref="X23">IF(ISBLANK(INDEX(big_daily_table,MATCH(DATE(X$5,$J23,$I23),daily_dates,0),MATCH($B$3,daily_items,0))),NA(),INDEX(big_daily_table,MATCH(DATE(X$5,$J23,$I23),daily_dates,0),MATCH($B$3,daily_items,0)))</f>
        <v>#N/A</v>
      </c>
      <c r="Y23" s="1" t="str">
        <f t="array" ref="Y23">IF(ISBLANK(INDEX(big_daily_table,MATCH(DATE(Y$5,$J23,$I23),daily_dates,0),MATCH($B$3,daily_items,0))),NA(),INDEX(big_daily_table,MATCH(DATE(Y$5,$J23,$I23),daily_dates,0),MATCH($B$3,daily_items,0)))</f>
        <v>#N/A</v>
      </c>
      <c r="Z23" s="1" t="str">
        <f t="shared" si="5"/>
        <v>#NAME?</v>
      </c>
      <c r="AA23" s="1" t="str">
        <f t="shared" si="6"/>
        <v>#NAME?</v>
      </c>
      <c r="AB23" s="1" t="str">
        <f t="shared" si="7"/>
        <v>#NAME?</v>
      </c>
      <c r="AC23" s="1" t="str">
        <f t="shared" si="8"/>
        <v>#NAME?</v>
      </c>
    </row>
    <row r="24" ht="14.25" customHeight="1">
      <c r="B24" s="22" t="s">
        <v>13</v>
      </c>
      <c r="H24" s="1">
        <f t="shared" si="9"/>
        <v>19</v>
      </c>
      <c r="I24" s="1">
        <f t="shared" si="2"/>
        <v>19</v>
      </c>
      <c r="J24" s="1">
        <f t="shared" si="3"/>
        <v>1</v>
      </c>
      <c r="K24" s="23">
        <f t="shared" si="10"/>
        <v>36544</v>
      </c>
      <c r="L24" s="24">
        <f t="shared" si="4"/>
        <v>-1000000</v>
      </c>
      <c r="M24" s="1" t="str">
        <f t="array" ref="M24">IF(K24&gt;0,INDEX(big_daily_table,MATCH(DATE(N$5,$J24,$I24),daily_dates,0),MATCH($B$3,daily_items,0)),NA())</f>
        <v>#N/A</v>
      </c>
      <c r="N24" s="1" t="str">
        <f t="array" ref="N24">IF(L24&lt;0,INDEX(big_daily_table,MATCH(DATE(N$5,$J24,$I24),daily_dates,0),MATCH($B$3,daily_items,0)),NA())</f>
        <v>#N/A</v>
      </c>
      <c r="O24" s="1" t="str">
        <f t="array" ref="O24">IF(ISBLANK(INDEX(big_daily_table,MATCH(DATE(O$5,$J24,$I24),daily_dates,0),MATCH($B$3,daily_items,0))),NA(),INDEX(big_daily_table,MATCH(DATE(O$5,$J24,$I24),daily_dates,0),MATCH($B$3,daily_items,0)))</f>
        <v>#N/A</v>
      </c>
      <c r="P24" s="1" t="str">
        <f t="array" ref="P24">IF(ISBLANK(INDEX(big_daily_table,MATCH(DATE(P$5,$J24,$I24),daily_dates,0),MATCH($B$3,daily_items,0))),NA(),INDEX(big_daily_table,MATCH(DATE(P$5,$J24,$I24),daily_dates,0),MATCH($B$3,daily_items,0)))</f>
        <v>#N/A</v>
      </c>
      <c r="Q24" s="1" t="str">
        <f t="array" ref="Q24">IF(ISBLANK(INDEX(big_daily_table,MATCH(DATE(Q$5,$J24,$I24),daily_dates,0),MATCH($B$3,daily_items,0))),NA(),INDEX(big_daily_table,MATCH(DATE(Q$5,$J24,$I24),daily_dates,0),MATCH($B$3,daily_items,0)))</f>
        <v>#N/A</v>
      </c>
      <c r="R24" s="1" t="str">
        <f t="array" ref="R24">IF(ISBLANK(INDEX(big_daily_table,MATCH(DATE(R$5,$J24,$I24),daily_dates,0),MATCH($B$3,daily_items,0))),NA(),INDEX(big_daily_table,MATCH(DATE(R$5,$J24,$I24),daily_dates,0),MATCH($B$3,daily_items,0)))</f>
        <v>#N/A</v>
      </c>
      <c r="S24" s="1" t="str">
        <f t="array" ref="S24">IF(ISBLANK(INDEX(big_daily_table,MATCH(DATE(S$5,$J24,$I24),daily_dates,0),MATCH($B$3,daily_items,0))),NA(),INDEX(big_daily_table,MATCH(DATE(S$5,$J24,$I24),daily_dates,0),MATCH($B$3,daily_items,0)))</f>
        <v>#N/A</v>
      </c>
      <c r="T24" s="1" t="str">
        <f t="array" ref="T24">IF(ISBLANK(INDEX(big_daily_table,MATCH(DATE(T$5,$J24,$I24),daily_dates,0),MATCH($B$3,daily_items,0))),NA(),INDEX(big_daily_table,MATCH(DATE(T$5,$J24,$I24),daily_dates,0),MATCH($B$3,daily_items,0)))</f>
        <v>#N/A</v>
      </c>
      <c r="U24" s="1" t="str">
        <f t="array" ref="U24">IF(ISBLANK(INDEX(big_daily_table,MATCH(DATE(U$5,$J24,$I24),daily_dates,0),MATCH($B$3,daily_items,0))),NA(),INDEX(big_daily_table,MATCH(DATE(U$5,$J24,$I24),daily_dates,0),MATCH($B$3,daily_items,0)))</f>
        <v>#N/A</v>
      </c>
      <c r="V24" s="1" t="str">
        <f t="array" ref="V24">IF(ISBLANK(INDEX(big_daily_table,MATCH(DATE(V$5,$J24,$I24),daily_dates,0),MATCH($B$3,daily_items,0))),NA(),INDEX(big_daily_table,MATCH(DATE(V$5,$J24,$I24),daily_dates,0),MATCH($B$3,daily_items,0)))</f>
        <v>#N/A</v>
      </c>
      <c r="W24" s="1" t="str">
        <f t="array" ref="W24">IF(ISBLANK(INDEX(big_daily_table,MATCH(DATE(W$5,$J24,$I24),daily_dates,0),MATCH($B$3,daily_items,0))),NA(),INDEX(big_daily_table,MATCH(DATE(W$5,$J24,$I24),daily_dates,0),MATCH($B$3,daily_items,0)))</f>
        <v>#N/A</v>
      </c>
      <c r="X24" s="1" t="str">
        <f t="array" ref="X24">IF(ISBLANK(INDEX(big_daily_table,MATCH(DATE(X$5,$J24,$I24),daily_dates,0),MATCH($B$3,daily_items,0))),NA(),INDEX(big_daily_table,MATCH(DATE(X$5,$J24,$I24),daily_dates,0),MATCH($B$3,daily_items,0)))</f>
        <v>#N/A</v>
      </c>
      <c r="Y24" s="1" t="str">
        <f t="array" ref="Y24">IF(ISBLANK(INDEX(big_daily_table,MATCH(DATE(Y$5,$J24,$I24),daily_dates,0),MATCH($B$3,daily_items,0))),NA(),INDEX(big_daily_table,MATCH(DATE(Y$5,$J24,$I24),daily_dates,0),MATCH($B$3,daily_items,0)))</f>
        <v>#N/A</v>
      </c>
      <c r="Z24" s="1" t="str">
        <f t="shared" si="5"/>
        <v>#NAME?</v>
      </c>
      <c r="AA24" s="1" t="str">
        <f t="shared" si="6"/>
        <v>#NAME?</v>
      </c>
      <c r="AB24" s="1" t="str">
        <f t="shared" si="7"/>
        <v>#NAME?</v>
      </c>
      <c r="AC24" s="1" t="str">
        <f t="shared" si="8"/>
        <v>#NAME?</v>
      </c>
      <c r="AE24" s="25"/>
      <c r="AF24" s="26" t="str">
        <f>AGGREGATE(5,6,M6:AA371)+0.0001</f>
        <v>#NAME?</v>
      </c>
      <c r="AG24" s="26" t="str">
        <f>AGGREGATE(4,6,M6:AA371)+0.0001</f>
        <v>#NAME?</v>
      </c>
      <c r="AH24" s="26"/>
      <c r="AI24" s="27"/>
      <c r="AJ24" s="26"/>
      <c r="AK24" s="26"/>
      <c r="AL24" s="26"/>
      <c r="AM24" s="26"/>
      <c r="AN24" s="28"/>
    </row>
    <row r="25" ht="14.25" customHeight="1">
      <c r="H25" s="1">
        <f t="shared" si="9"/>
        <v>20</v>
      </c>
      <c r="I25" s="1">
        <f t="shared" si="2"/>
        <v>20</v>
      </c>
      <c r="J25" s="1">
        <f t="shared" si="3"/>
        <v>1</v>
      </c>
      <c r="K25" s="23">
        <f t="shared" si="10"/>
        <v>36545</v>
      </c>
      <c r="L25" s="24">
        <f t="shared" si="4"/>
        <v>-1000000</v>
      </c>
      <c r="M25" s="1" t="str">
        <f t="array" ref="M25">IF(K25&gt;0,INDEX(big_daily_table,MATCH(DATE(N$5,$J25,$I25),daily_dates,0),MATCH($B$3,daily_items,0)),NA())</f>
        <v>#N/A</v>
      </c>
      <c r="N25" s="1" t="str">
        <f t="array" ref="N25">IF(L25&lt;0,INDEX(big_daily_table,MATCH(DATE(N$5,$J25,$I25),daily_dates,0),MATCH($B$3,daily_items,0)),NA())</f>
        <v>#N/A</v>
      </c>
      <c r="O25" s="1" t="str">
        <f t="array" ref="O25">IF(ISBLANK(INDEX(big_daily_table,MATCH(DATE(O$5,$J25,$I25),daily_dates,0),MATCH($B$3,daily_items,0))),NA(),INDEX(big_daily_table,MATCH(DATE(O$5,$J25,$I25),daily_dates,0),MATCH($B$3,daily_items,0)))</f>
        <v>#N/A</v>
      </c>
      <c r="P25" s="1" t="str">
        <f t="array" ref="P25">IF(ISBLANK(INDEX(big_daily_table,MATCH(DATE(P$5,$J25,$I25),daily_dates,0),MATCH($B$3,daily_items,0))),NA(),INDEX(big_daily_table,MATCH(DATE(P$5,$J25,$I25),daily_dates,0),MATCH($B$3,daily_items,0)))</f>
        <v>#N/A</v>
      </c>
      <c r="Q25" s="1" t="str">
        <f t="array" ref="Q25">IF(ISBLANK(INDEX(big_daily_table,MATCH(DATE(Q$5,$J25,$I25),daily_dates,0),MATCH($B$3,daily_items,0))),NA(),INDEX(big_daily_table,MATCH(DATE(Q$5,$J25,$I25),daily_dates,0),MATCH($B$3,daily_items,0)))</f>
        <v>#N/A</v>
      </c>
      <c r="R25" s="1" t="str">
        <f t="array" ref="R25">IF(ISBLANK(INDEX(big_daily_table,MATCH(DATE(R$5,$J25,$I25),daily_dates,0),MATCH($B$3,daily_items,0))),NA(),INDEX(big_daily_table,MATCH(DATE(R$5,$J25,$I25),daily_dates,0),MATCH($B$3,daily_items,0)))</f>
        <v>#N/A</v>
      </c>
      <c r="S25" s="1" t="str">
        <f t="array" ref="S25">IF(ISBLANK(INDEX(big_daily_table,MATCH(DATE(S$5,$J25,$I25),daily_dates,0),MATCH($B$3,daily_items,0))),NA(),INDEX(big_daily_table,MATCH(DATE(S$5,$J25,$I25),daily_dates,0),MATCH($B$3,daily_items,0)))</f>
        <v>#N/A</v>
      </c>
      <c r="T25" s="1" t="str">
        <f t="array" ref="T25">IF(ISBLANK(INDEX(big_daily_table,MATCH(DATE(T$5,$J25,$I25),daily_dates,0),MATCH($B$3,daily_items,0))),NA(),INDEX(big_daily_table,MATCH(DATE(T$5,$J25,$I25),daily_dates,0),MATCH($B$3,daily_items,0)))</f>
        <v>#N/A</v>
      </c>
      <c r="U25" s="1" t="str">
        <f t="array" ref="U25">IF(ISBLANK(INDEX(big_daily_table,MATCH(DATE(U$5,$J25,$I25),daily_dates,0),MATCH($B$3,daily_items,0))),NA(),INDEX(big_daily_table,MATCH(DATE(U$5,$J25,$I25),daily_dates,0),MATCH($B$3,daily_items,0)))</f>
        <v>#N/A</v>
      </c>
      <c r="V25" s="1" t="str">
        <f t="array" ref="V25">IF(ISBLANK(INDEX(big_daily_table,MATCH(DATE(V$5,$J25,$I25),daily_dates,0),MATCH($B$3,daily_items,0))),NA(),INDEX(big_daily_table,MATCH(DATE(V$5,$J25,$I25),daily_dates,0),MATCH($B$3,daily_items,0)))</f>
        <v>#N/A</v>
      </c>
      <c r="W25" s="1" t="str">
        <f t="array" ref="W25">IF(ISBLANK(INDEX(big_daily_table,MATCH(DATE(W$5,$J25,$I25),daily_dates,0),MATCH($B$3,daily_items,0))),NA(),INDEX(big_daily_table,MATCH(DATE(W$5,$J25,$I25),daily_dates,0),MATCH($B$3,daily_items,0)))</f>
        <v>#N/A</v>
      </c>
      <c r="X25" s="1" t="str">
        <f t="array" ref="X25">IF(ISBLANK(INDEX(big_daily_table,MATCH(DATE(X$5,$J25,$I25),daily_dates,0),MATCH($B$3,daily_items,0))),NA(),INDEX(big_daily_table,MATCH(DATE(X$5,$J25,$I25),daily_dates,0),MATCH($B$3,daily_items,0)))</f>
        <v>#N/A</v>
      </c>
      <c r="Y25" s="1" t="str">
        <f t="array" ref="Y25">IF(ISBLANK(INDEX(big_daily_table,MATCH(DATE(Y$5,$J25,$I25),daily_dates,0),MATCH($B$3,daily_items,0))),NA(),INDEX(big_daily_table,MATCH(DATE(Y$5,$J25,$I25),daily_dates,0),MATCH($B$3,daily_items,0)))</f>
        <v>#N/A</v>
      </c>
      <c r="Z25" s="1" t="str">
        <f t="shared" si="5"/>
        <v>#NAME?</v>
      </c>
      <c r="AA25" s="1" t="str">
        <f t="shared" si="6"/>
        <v>#NAME?</v>
      </c>
      <c r="AB25" s="1" t="str">
        <f t="shared" si="7"/>
        <v>#NAME?</v>
      </c>
      <c r="AC25" s="1" t="str">
        <f t="shared" si="8"/>
        <v>#NAME?</v>
      </c>
      <c r="AE25" s="29" t="s">
        <v>14</v>
      </c>
      <c r="AF25" s="1" t="str">
        <f>AF24</f>
        <v>#NAME?</v>
      </c>
      <c r="AH25" s="1" t="str">
        <f>LOG10(ABS(AF25))</f>
        <v>#NAME?</v>
      </c>
      <c r="AI25" s="1" t="str">
        <f>10^ROUND(AH25,0)</f>
        <v>#NAME?</v>
      </c>
      <c r="AJ25" s="1" t="str">
        <f>AI25/5</f>
        <v>#NAME?</v>
      </c>
      <c r="AK25" s="1" t="str">
        <f t="shared" ref="AK25:AK26" si="12">ROUNDDOWN(AF25/AI25,0)*AI25</f>
        <v>#NAME?</v>
      </c>
      <c r="AL25" s="1" t="str">
        <f t="shared" ref="AL25:AL26" si="13">AF25-AK25</f>
        <v>#NAME?</v>
      </c>
      <c r="AM25" s="1" t="str">
        <f t="shared" ref="AM25:AM26" si="14">IF(ABS(AL25)=AK25,ROUNDDOWN(AL25/AJ25,0),ROUNDUP(AL25/AJ25,0))*AJ25</f>
        <v>#NAME?</v>
      </c>
      <c r="AN25" s="30" t="str">
        <f t="shared" ref="AN25:AN26" si="15">AM25+AK25</f>
        <v>#NAME?</v>
      </c>
    </row>
    <row r="26" ht="14.25" customHeight="1">
      <c r="H26" s="1">
        <f t="shared" si="9"/>
        <v>21</v>
      </c>
      <c r="I26" s="1">
        <f t="shared" si="2"/>
        <v>21</v>
      </c>
      <c r="J26" s="1">
        <f t="shared" si="3"/>
        <v>1</v>
      </c>
      <c r="K26" s="23">
        <f t="shared" si="10"/>
        <v>36546</v>
      </c>
      <c r="L26" s="24">
        <f t="shared" si="4"/>
        <v>-1000000</v>
      </c>
      <c r="M26" s="1" t="str">
        <f t="array" ref="M26">IF(K26&gt;0,INDEX(big_daily_table,MATCH(DATE(N$5,$J26,$I26),daily_dates,0),MATCH($B$3,daily_items,0)),NA())</f>
        <v>#N/A</v>
      </c>
      <c r="N26" s="1" t="str">
        <f t="array" ref="N26">IF(L26&lt;0,INDEX(big_daily_table,MATCH(DATE(N$5,$J26,$I26),daily_dates,0),MATCH($B$3,daily_items,0)),NA())</f>
        <v>#N/A</v>
      </c>
      <c r="O26" s="1" t="str">
        <f t="array" ref="O26">IF(ISBLANK(INDEX(big_daily_table,MATCH(DATE(O$5,$J26,$I26),daily_dates,0),MATCH($B$3,daily_items,0))),NA(),INDEX(big_daily_table,MATCH(DATE(O$5,$J26,$I26),daily_dates,0),MATCH($B$3,daily_items,0)))</f>
        <v>#N/A</v>
      </c>
      <c r="P26" s="1" t="str">
        <f t="array" ref="P26">IF(ISBLANK(INDEX(big_daily_table,MATCH(DATE(P$5,$J26,$I26),daily_dates,0),MATCH($B$3,daily_items,0))),NA(),INDEX(big_daily_table,MATCH(DATE(P$5,$J26,$I26),daily_dates,0),MATCH($B$3,daily_items,0)))</f>
        <v>#N/A</v>
      </c>
      <c r="Q26" s="1" t="str">
        <f t="array" ref="Q26">IF(ISBLANK(INDEX(big_daily_table,MATCH(DATE(Q$5,$J26,$I26),daily_dates,0),MATCH($B$3,daily_items,0))),NA(),INDEX(big_daily_table,MATCH(DATE(Q$5,$J26,$I26),daily_dates,0),MATCH($B$3,daily_items,0)))</f>
        <v>#N/A</v>
      </c>
      <c r="R26" s="1" t="str">
        <f t="array" ref="R26">IF(ISBLANK(INDEX(big_daily_table,MATCH(DATE(R$5,$J26,$I26),daily_dates,0),MATCH($B$3,daily_items,0))),NA(),INDEX(big_daily_table,MATCH(DATE(R$5,$J26,$I26),daily_dates,0),MATCH($B$3,daily_items,0)))</f>
        <v>#N/A</v>
      </c>
      <c r="S26" s="1" t="str">
        <f t="array" ref="S26">IF(ISBLANK(INDEX(big_daily_table,MATCH(DATE(S$5,$J26,$I26),daily_dates,0),MATCH($B$3,daily_items,0))),NA(),INDEX(big_daily_table,MATCH(DATE(S$5,$J26,$I26),daily_dates,0),MATCH($B$3,daily_items,0)))</f>
        <v>#N/A</v>
      </c>
      <c r="T26" s="1" t="str">
        <f t="array" ref="T26">IF(ISBLANK(INDEX(big_daily_table,MATCH(DATE(T$5,$J26,$I26),daily_dates,0),MATCH($B$3,daily_items,0))),NA(),INDEX(big_daily_table,MATCH(DATE(T$5,$J26,$I26),daily_dates,0),MATCH($B$3,daily_items,0)))</f>
        <v>#N/A</v>
      </c>
      <c r="U26" s="1" t="str">
        <f t="array" ref="U26">IF(ISBLANK(INDEX(big_daily_table,MATCH(DATE(U$5,$J26,$I26),daily_dates,0),MATCH($B$3,daily_items,0))),NA(),INDEX(big_daily_table,MATCH(DATE(U$5,$J26,$I26),daily_dates,0),MATCH($B$3,daily_items,0)))</f>
        <v>#N/A</v>
      </c>
      <c r="V26" s="1" t="str">
        <f t="array" ref="V26">IF(ISBLANK(INDEX(big_daily_table,MATCH(DATE(V$5,$J26,$I26),daily_dates,0),MATCH($B$3,daily_items,0))),NA(),INDEX(big_daily_table,MATCH(DATE(V$5,$J26,$I26),daily_dates,0),MATCH($B$3,daily_items,0)))</f>
        <v>#N/A</v>
      </c>
      <c r="W26" s="1" t="str">
        <f t="array" ref="W26">IF(ISBLANK(INDEX(big_daily_table,MATCH(DATE(W$5,$J26,$I26),daily_dates,0),MATCH($B$3,daily_items,0))),NA(),INDEX(big_daily_table,MATCH(DATE(W$5,$J26,$I26),daily_dates,0),MATCH($B$3,daily_items,0)))</f>
        <v>#N/A</v>
      </c>
      <c r="X26" s="1" t="str">
        <f t="array" ref="X26">IF(ISBLANK(INDEX(big_daily_table,MATCH(DATE(X$5,$J26,$I26),daily_dates,0),MATCH($B$3,daily_items,0))),NA(),INDEX(big_daily_table,MATCH(DATE(X$5,$J26,$I26),daily_dates,0),MATCH($B$3,daily_items,0)))</f>
        <v>#N/A</v>
      </c>
      <c r="Y26" s="1" t="str">
        <f t="array" ref="Y26">IF(ISBLANK(INDEX(big_daily_table,MATCH(DATE(Y$5,$J26,$I26),daily_dates,0),MATCH($B$3,daily_items,0))),NA(),INDEX(big_daily_table,MATCH(DATE(Y$5,$J26,$I26),daily_dates,0),MATCH($B$3,daily_items,0)))</f>
        <v>#N/A</v>
      </c>
      <c r="Z26" s="1" t="str">
        <f t="shared" si="5"/>
        <v>#NAME?</v>
      </c>
      <c r="AA26" s="1" t="str">
        <f t="shared" si="6"/>
        <v>#NAME?</v>
      </c>
      <c r="AB26" s="1" t="str">
        <f t="shared" si="7"/>
        <v>#NAME?</v>
      </c>
      <c r="AC26" s="1" t="str">
        <f t="shared" si="8"/>
        <v>#NAME?</v>
      </c>
      <c r="AE26" s="31" t="s">
        <v>15</v>
      </c>
      <c r="AF26" s="20" t="str">
        <f>AG24</f>
        <v>#NAME?</v>
      </c>
      <c r="AG26" s="20"/>
      <c r="AH26" s="20" t="str">
        <f>LOG10(AF26)</f>
        <v>#NAME?</v>
      </c>
      <c r="AI26" s="20" t="str">
        <f t="shared" ref="AI26:AJ26" si="11">AI25</f>
        <v>#NAME?</v>
      </c>
      <c r="AJ26" s="20" t="str">
        <f t="shared" si="11"/>
        <v>#NAME?</v>
      </c>
      <c r="AK26" s="20" t="str">
        <f t="shared" si="12"/>
        <v>#NAME?</v>
      </c>
      <c r="AL26" s="20" t="str">
        <f t="shared" si="13"/>
        <v>#NAME?</v>
      </c>
      <c r="AM26" s="20" t="str">
        <f t="shared" si="14"/>
        <v>#NAME?</v>
      </c>
      <c r="AN26" s="32" t="str">
        <f t="shared" si="15"/>
        <v>#NAME?</v>
      </c>
    </row>
    <row r="27" ht="14.25" customHeight="1">
      <c r="H27" s="1">
        <f t="shared" si="9"/>
        <v>22</v>
      </c>
      <c r="I27" s="1">
        <f t="shared" si="2"/>
        <v>22</v>
      </c>
      <c r="J27" s="1">
        <f t="shared" si="3"/>
        <v>1</v>
      </c>
      <c r="K27" s="23">
        <f t="shared" si="10"/>
        <v>36547</v>
      </c>
      <c r="L27" s="24">
        <f t="shared" si="4"/>
        <v>-1000000</v>
      </c>
      <c r="M27" s="1" t="str">
        <f t="array" ref="M27">IF(K27&gt;0,INDEX(big_daily_table,MATCH(DATE(N$5,$J27,$I27),daily_dates,0),MATCH($B$3,daily_items,0)),NA())</f>
        <v>#N/A</v>
      </c>
      <c r="N27" s="1" t="str">
        <f t="array" ref="N27">IF(L27&lt;0,INDEX(big_daily_table,MATCH(DATE(N$5,$J27,$I27),daily_dates,0),MATCH($B$3,daily_items,0)),NA())</f>
        <v>#N/A</v>
      </c>
      <c r="O27" s="1" t="str">
        <f t="array" ref="O27">IF(ISBLANK(INDEX(big_daily_table,MATCH(DATE(O$5,$J27,$I27),daily_dates,0),MATCH($B$3,daily_items,0))),NA(),INDEX(big_daily_table,MATCH(DATE(O$5,$J27,$I27),daily_dates,0),MATCH($B$3,daily_items,0)))</f>
        <v>#N/A</v>
      </c>
      <c r="P27" s="1" t="str">
        <f t="array" ref="P27">IF(ISBLANK(INDEX(big_daily_table,MATCH(DATE(P$5,$J27,$I27),daily_dates,0),MATCH($B$3,daily_items,0))),NA(),INDEX(big_daily_table,MATCH(DATE(P$5,$J27,$I27),daily_dates,0),MATCH($B$3,daily_items,0)))</f>
        <v>#N/A</v>
      </c>
      <c r="Q27" s="1" t="str">
        <f t="array" ref="Q27">IF(ISBLANK(INDEX(big_daily_table,MATCH(DATE(Q$5,$J27,$I27),daily_dates,0),MATCH($B$3,daily_items,0))),NA(),INDEX(big_daily_table,MATCH(DATE(Q$5,$J27,$I27),daily_dates,0),MATCH($B$3,daily_items,0)))</f>
        <v>#N/A</v>
      </c>
      <c r="R27" s="1" t="str">
        <f t="array" ref="R27">IF(ISBLANK(INDEX(big_daily_table,MATCH(DATE(R$5,$J27,$I27),daily_dates,0),MATCH($B$3,daily_items,0))),NA(),INDEX(big_daily_table,MATCH(DATE(R$5,$J27,$I27),daily_dates,0),MATCH($B$3,daily_items,0)))</f>
        <v>#N/A</v>
      </c>
      <c r="S27" s="1" t="str">
        <f t="array" ref="S27">IF(ISBLANK(INDEX(big_daily_table,MATCH(DATE(S$5,$J27,$I27),daily_dates,0),MATCH($B$3,daily_items,0))),NA(),INDEX(big_daily_table,MATCH(DATE(S$5,$J27,$I27),daily_dates,0),MATCH($B$3,daily_items,0)))</f>
        <v>#N/A</v>
      </c>
      <c r="T27" s="1" t="str">
        <f t="array" ref="T27">IF(ISBLANK(INDEX(big_daily_table,MATCH(DATE(T$5,$J27,$I27),daily_dates,0),MATCH($B$3,daily_items,0))),NA(),INDEX(big_daily_table,MATCH(DATE(T$5,$J27,$I27),daily_dates,0),MATCH($B$3,daily_items,0)))</f>
        <v>#N/A</v>
      </c>
      <c r="U27" s="1" t="str">
        <f t="array" ref="U27">IF(ISBLANK(INDEX(big_daily_table,MATCH(DATE(U$5,$J27,$I27),daily_dates,0),MATCH($B$3,daily_items,0))),NA(),INDEX(big_daily_table,MATCH(DATE(U$5,$J27,$I27),daily_dates,0),MATCH($B$3,daily_items,0)))</f>
        <v>#N/A</v>
      </c>
      <c r="V27" s="1" t="str">
        <f t="array" ref="V27">IF(ISBLANK(INDEX(big_daily_table,MATCH(DATE(V$5,$J27,$I27),daily_dates,0),MATCH($B$3,daily_items,0))),NA(),INDEX(big_daily_table,MATCH(DATE(V$5,$J27,$I27),daily_dates,0),MATCH($B$3,daily_items,0)))</f>
        <v>#N/A</v>
      </c>
      <c r="W27" s="1" t="str">
        <f t="array" ref="W27">IF(ISBLANK(INDEX(big_daily_table,MATCH(DATE(W$5,$J27,$I27),daily_dates,0),MATCH($B$3,daily_items,0))),NA(),INDEX(big_daily_table,MATCH(DATE(W$5,$J27,$I27),daily_dates,0),MATCH($B$3,daily_items,0)))</f>
        <v>#N/A</v>
      </c>
      <c r="X27" s="1" t="str">
        <f t="array" ref="X27">IF(ISBLANK(INDEX(big_daily_table,MATCH(DATE(X$5,$J27,$I27),daily_dates,0),MATCH($B$3,daily_items,0))),NA(),INDEX(big_daily_table,MATCH(DATE(X$5,$J27,$I27),daily_dates,0),MATCH($B$3,daily_items,0)))</f>
        <v>#N/A</v>
      </c>
      <c r="Y27" s="1" t="str">
        <f t="array" ref="Y27">IF(ISBLANK(INDEX(big_daily_table,MATCH(DATE(Y$5,$J27,$I27),daily_dates,0),MATCH($B$3,daily_items,0))),NA(),INDEX(big_daily_table,MATCH(DATE(Y$5,$J27,$I27),daily_dates,0),MATCH($B$3,daily_items,0)))</f>
        <v>#N/A</v>
      </c>
      <c r="Z27" s="1" t="str">
        <f t="shared" si="5"/>
        <v>#NAME?</v>
      </c>
      <c r="AA27" s="1" t="str">
        <f t="shared" si="6"/>
        <v>#NAME?</v>
      </c>
      <c r="AB27" s="1" t="str">
        <f t="shared" si="7"/>
        <v>#NAME?</v>
      </c>
      <c r="AC27" s="1" t="str">
        <f t="shared" si="8"/>
        <v>#NAME?</v>
      </c>
    </row>
    <row r="28" ht="14.25" customHeight="1">
      <c r="H28" s="1">
        <f t="shared" si="9"/>
        <v>23</v>
      </c>
      <c r="I28" s="1">
        <f t="shared" si="2"/>
        <v>23</v>
      </c>
      <c r="J28" s="1">
        <f t="shared" si="3"/>
        <v>1</v>
      </c>
      <c r="K28" s="23">
        <f t="shared" si="10"/>
        <v>36548</v>
      </c>
      <c r="L28" s="24">
        <f t="shared" si="4"/>
        <v>-1000000</v>
      </c>
      <c r="M28" s="1" t="str">
        <f t="array" ref="M28">IF(K28&gt;0,INDEX(big_daily_table,MATCH(DATE(N$5,$J28,$I28),daily_dates,0),MATCH($B$3,daily_items,0)),NA())</f>
        <v>#N/A</v>
      </c>
      <c r="N28" s="1" t="str">
        <f t="array" ref="N28">IF(L28&lt;0,INDEX(big_daily_table,MATCH(DATE(N$5,$J28,$I28),daily_dates,0),MATCH($B$3,daily_items,0)),NA())</f>
        <v>#N/A</v>
      </c>
      <c r="O28" s="1" t="str">
        <f t="array" ref="O28">IF(ISBLANK(INDEX(big_daily_table,MATCH(DATE(O$5,$J28,$I28),daily_dates,0),MATCH($B$3,daily_items,0))),NA(),INDEX(big_daily_table,MATCH(DATE(O$5,$J28,$I28),daily_dates,0),MATCH($B$3,daily_items,0)))</f>
        <v>#N/A</v>
      </c>
      <c r="P28" s="1" t="str">
        <f t="array" ref="P28">IF(ISBLANK(INDEX(big_daily_table,MATCH(DATE(P$5,$J28,$I28),daily_dates,0),MATCH($B$3,daily_items,0))),NA(),INDEX(big_daily_table,MATCH(DATE(P$5,$J28,$I28),daily_dates,0),MATCH($B$3,daily_items,0)))</f>
        <v>#N/A</v>
      </c>
      <c r="Q28" s="1" t="str">
        <f t="array" ref="Q28">IF(ISBLANK(INDEX(big_daily_table,MATCH(DATE(Q$5,$J28,$I28),daily_dates,0),MATCH($B$3,daily_items,0))),NA(),INDEX(big_daily_table,MATCH(DATE(Q$5,$J28,$I28),daily_dates,0),MATCH($B$3,daily_items,0)))</f>
        <v>#N/A</v>
      </c>
      <c r="R28" s="1" t="str">
        <f t="array" ref="R28">IF(ISBLANK(INDEX(big_daily_table,MATCH(DATE(R$5,$J28,$I28),daily_dates,0),MATCH($B$3,daily_items,0))),NA(),INDEX(big_daily_table,MATCH(DATE(R$5,$J28,$I28),daily_dates,0),MATCH($B$3,daily_items,0)))</f>
        <v>#N/A</v>
      </c>
      <c r="S28" s="1" t="str">
        <f t="array" ref="S28">IF(ISBLANK(INDEX(big_daily_table,MATCH(DATE(S$5,$J28,$I28),daily_dates,0),MATCH($B$3,daily_items,0))),NA(),INDEX(big_daily_table,MATCH(DATE(S$5,$J28,$I28),daily_dates,0),MATCH($B$3,daily_items,0)))</f>
        <v>#N/A</v>
      </c>
      <c r="T28" s="1" t="str">
        <f t="array" ref="T28">IF(ISBLANK(INDEX(big_daily_table,MATCH(DATE(T$5,$J28,$I28),daily_dates,0),MATCH($B$3,daily_items,0))),NA(),INDEX(big_daily_table,MATCH(DATE(T$5,$J28,$I28),daily_dates,0),MATCH($B$3,daily_items,0)))</f>
        <v>#N/A</v>
      </c>
      <c r="U28" s="1" t="str">
        <f t="array" ref="U28">IF(ISBLANK(INDEX(big_daily_table,MATCH(DATE(U$5,$J28,$I28),daily_dates,0),MATCH($B$3,daily_items,0))),NA(),INDEX(big_daily_table,MATCH(DATE(U$5,$J28,$I28),daily_dates,0),MATCH($B$3,daily_items,0)))</f>
        <v>#N/A</v>
      </c>
      <c r="V28" s="1" t="str">
        <f t="array" ref="V28">IF(ISBLANK(INDEX(big_daily_table,MATCH(DATE(V$5,$J28,$I28),daily_dates,0),MATCH($B$3,daily_items,0))),NA(),INDEX(big_daily_table,MATCH(DATE(V$5,$J28,$I28),daily_dates,0),MATCH($B$3,daily_items,0)))</f>
        <v>#N/A</v>
      </c>
      <c r="W28" s="1" t="str">
        <f t="array" ref="W28">IF(ISBLANK(INDEX(big_daily_table,MATCH(DATE(W$5,$J28,$I28),daily_dates,0),MATCH($B$3,daily_items,0))),NA(),INDEX(big_daily_table,MATCH(DATE(W$5,$J28,$I28),daily_dates,0),MATCH($B$3,daily_items,0)))</f>
        <v>#N/A</v>
      </c>
      <c r="X28" s="1" t="str">
        <f t="array" ref="X28">IF(ISBLANK(INDEX(big_daily_table,MATCH(DATE(X$5,$J28,$I28),daily_dates,0),MATCH($B$3,daily_items,0))),NA(),INDEX(big_daily_table,MATCH(DATE(X$5,$J28,$I28),daily_dates,0),MATCH($B$3,daily_items,0)))</f>
        <v>#N/A</v>
      </c>
      <c r="Y28" s="1" t="str">
        <f t="array" ref="Y28">IF(ISBLANK(INDEX(big_daily_table,MATCH(DATE(Y$5,$J28,$I28),daily_dates,0),MATCH($B$3,daily_items,0))),NA(),INDEX(big_daily_table,MATCH(DATE(Y$5,$J28,$I28),daily_dates,0),MATCH($B$3,daily_items,0)))</f>
        <v>#N/A</v>
      </c>
      <c r="Z28" s="1" t="str">
        <f t="shared" si="5"/>
        <v>#NAME?</v>
      </c>
      <c r="AA28" s="1" t="str">
        <f t="shared" si="6"/>
        <v>#NAME?</v>
      </c>
      <c r="AB28" s="1" t="str">
        <f t="shared" si="7"/>
        <v>#NAME?</v>
      </c>
      <c r="AC28" s="1" t="str">
        <f t="shared" si="8"/>
        <v>#NAME?</v>
      </c>
    </row>
    <row r="29" ht="14.25" customHeight="1">
      <c r="H29" s="1">
        <f t="shared" si="9"/>
        <v>24</v>
      </c>
      <c r="I29" s="1">
        <f t="shared" si="2"/>
        <v>24</v>
      </c>
      <c r="J29" s="1">
        <f t="shared" si="3"/>
        <v>1</v>
      </c>
      <c r="K29" s="23">
        <f t="shared" si="10"/>
        <v>36549</v>
      </c>
      <c r="L29" s="24">
        <f t="shared" si="4"/>
        <v>-1000000</v>
      </c>
      <c r="M29" s="1" t="str">
        <f t="array" ref="M29">IF(K29&gt;0,INDEX(big_daily_table,MATCH(DATE(N$5,$J29,$I29),daily_dates,0),MATCH($B$3,daily_items,0)),NA())</f>
        <v>#N/A</v>
      </c>
      <c r="N29" s="1" t="str">
        <f t="array" ref="N29">IF(L29&lt;0,INDEX(big_daily_table,MATCH(DATE(N$5,$J29,$I29),daily_dates,0),MATCH($B$3,daily_items,0)),NA())</f>
        <v>#N/A</v>
      </c>
      <c r="O29" s="1" t="str">
        <f t="array" ref="O29">IF(ISBLANK(INDEX(big_daily_table,MATCH(DATE(O$5,$J29,$I29),daily_dates,0),MATCH($B$3,daily_items,0))),NA(),INDEX(big_daily_table,MATCH(DATE(O$5,$J29,$I29),daily_dates,0),MATCH($B$3,daily_items,0)))</f>
        <v>#N/A</v>
      </c>
      <c r="P29" s="1" t="str">
        <f t="array" ref="P29">IF(ISBLANK(INDEX(big_daily_table,MATCH(DATE(P$5,$J29,$I29),daily_dates,0),MATCH($B$3,daily_items,0))),NA(),INDEX(big_daily_table,MATCH(DATE(P$5,$J29,$I29),daily_dates,0),MATCH($B$3,daily_items,0)))</f>
        <v>#N/A</v>
      </c>
      <c r="Q29" s="1" t="str">
        <f t="array" ref="Q29">IF(ISBLANK(INDEX(big_daily_table,MATCH(DATE(Q$5,$J29,$I29),daily_dates,0),MATCH($B$3,daily_items,0))),NA(),INDEX(big_daily_table,MATCH(DATE(Q$5,$J29,$I29),daily_dates,0),MATCH($B$3,daily_items,0)))</f>
        <v>#N/A</v>
      </c>
      <c r="R29" s="1" t="str">
        <f t="array" ref="R29">IF(ISBLANK(INDEX(big_daily_table,MATCH(DATE(R$5,$J29,$I29),daily_dates,0),MATCH($B$3,daily_items,0))),NA(),INDEX(big_daily_table,MATCH(DATE(R$5,$J29,$I29),daily_dates,0),MATCH($B$3,daily_items,0)))</f>
        <v>#N/A</v>
      </c>
      <c r="S29" s="1" t="str">
        <f t="array" ref="S29">IF(ISBLANK(INDEX(big_daily_table,MATCH(DATE(S$5,$J29,$I29),daily_dates,0),MATCH($B$3,daily_items,0))),NA(),INDEX(big_daily_table,MATCH(DATE(S$5,$J29,$I29),daily_dates,0),MATCH($B$3,daily_items,0)))</f>
        <v>#N/A</v>
      </c>
      <c r="T29" s="1" t="str">
        <f t="array" ref="T29">IF(ISBLANK(INDEX(big_daily_table,MATCH(DATE(T$5,$J29,$I29),daily_dates,0),MATCH($B$3,daily_items,0))),NA(),INDEX(big_daily_table,MATCH(DATE(T$5,$J29,$I29),daily_dates,0),MATCH($B$3,daily_items,0)))</f>
        <v>#N/A</v>
      </c>
      <c r="U29" s="1" t="str">
        <f t="array" ref="U29">IF(ISBLANK(INDEX(big_daily_table,MATCH(DATE(U$5,$J29,$I29),daily_dates,0),MATCH($B$3,daily_items,0))),NA(),INDEX(big_daily_table,MATCH(DATE(U$5,$J29,$I29),daily_dates,0),MATCH($B$3,daily_items,0)))</f>
        <v>#N/A</v>
      </c>
      <c r="V29" s="1" t="str">
        <f t="array" ref="V29">IF(ISBLANK(INDEX(big_daily_table,MATCH(DATE(V$5,$J29,$I29),daily_dates,0),MATCH($B$3,daily_items,0))),NA(),INDEX(big_daily_table,MATCH(DATE(V$5,$J29,$I29),daily_dates,0),MATCH($B$3,daily_items,0)))</f>
        <v>#N/A</v>
      </c>
      <c r="W29" s="1" t="str">
        <f t="array" ref="W29">IF(ISBLANK(INDEX(big_daily_table,MATCH(DATE(W$5,$J29,$I29),daily_dates,0),MATCH($B$3,daily_items,0))),NA(),INDEX(big_daily_table,MATCH(DATE(W$5,$J29,$I29),daily_dates,0),MATCH($B$3,daily_items,0)))</f>
        <v>#N/A</v>
      </c>
      <c r="X29" s="1" t="str">
        <f t="array" ref="X29">IF(ISBLANK(INDEX(big_daily_table,MATCH(DATE(X$5,$J29,$I29),daily_dates,0),MATCH($B$3,daily_items,0))),NA(),INDEX(big_daily_table,MATCH(DATE(X$5,$J29,$I29),daily_dates,0),MATCH($B$3,daily_items,0)))</f>
        <v>#N/A</v>
      </c>
      <c r="Y29" s="1" t="str">
        <f t="array" ref="Y29">IF(ISBLANK(INDEX(big_daily_table,MATCH(DATE(Y$5,$J29,$I29),daily_dates,0),MATCH($B$3,daily_items,0))),NA(),INDEX(big_daily_table,MATCH(DATE(Y$5,$J29,$I29),daily_dates,0),MATCH($B$3,daily_items,0)))</f>
        <v>#N/A</v>
      </c>
      <c r="Z29" s="1" t="str">
        <f t="shared" si="5"/>
        <v>#NAME?</v>
      </c>
      <c r="AA29" s="1" t="str">
        <f t="shared" si="6"/>
        <v>#NAME?</v>
      </c>
      <c r="AB29" s="1" t="str">
        <f t="shared" si="7"/>
        <v>#NAME?</v>
      </c>
      <c r="AC29" s="1" t="str">
        <f t="shared" si="8"/>
        <v>#NAME?</v>
      </c>
    </row>
    <row r="30" ht="14.25" customHeight="1">
      <c r="H30" s="1">
        <f t="shared" si="9"/>
        <v>25</v>
      </c>
      <c r="I30" s="1">
        <f t="shared" si="2"/>
        <v>25</v>
      </c>
      <c r="J30" s="1">
        <f t="shared" si="3"/>
        <v>1</v>
      </c>
      <c r="K30" s="23">
        <f t="shared" si="10"/>
        <v>36550</v>
      </c>
      <c r="L30" s="24">
        <f t="shared" si="4"/>
        <v>-1000000</v>
      </c>
      <c r="M30" s="1" t="str">
        <f t="array" ref="M30">IF(K30&gt;0,INDEX(big_daily_table,MATCH(DATE(N$5,$J30,$I30),daily_dates,0),MATCH($B$3,daily_items,0)),NA())</f>
        <v>#N/A</v>
      </c>
      <c r="N30" s="1" t="str">
        <f t="array" ref="N30">IF(L30&lt;0,INDEX(big_daily_table,MATCH(DATE(N$5,$J30,$I30),daily_dates,0),MATCH($B$3,daily_items,0)),NA())</f>
        <v>#N/A</v>
      </c>
      <c r="O30" s="1" t="str">
        <f t="array" ref="O30">IF(ISBLANK(INDEX(big_daily_table,MATCH(DATE(O$5,$J30,$I30),daily_dates,0),MATCH($B$3,daily_items,0))),NA(),INDEX(big_daily_table,MATCH(DATE(O$5,$J30,$I30),daily_dates,0),MATCH($B$3,daily_items,0)))</f>
        <v>#N/A</v>
      </c>
      <c r="P30" s="1" t="str">
        <f t="array" ref="P30">IF(ISBLANK(INDEX(big_daily_table,MATCH(DATE(P$5,$J30,$I30),daily_dates,0),MATCH($B$3,daily_items,0))),NA(),INDEX(big_daily_table,MATCH(DATE(P$5,$J30,$I30),daily_dates,0),MATCH($B$3,daily_items,0)))</f>
        <v>#N/A</v>
      </c>
      <c r="Q30" s="1" t="str">
        <f t="array" ref="Q30">IF(ISBLANK(INDEX(big_daily_table,MATCH(DATE(Q$5,$J30,$I30),daily_dates,0),MATCH($B$3,daily_items,0))),NA(),INDEX(big_daily_table,MATCH(DATE(Q$5,$J30,$I30),daily_dates,0),MATCH($B$3,daily_items,0)))</f>
        <v>#N/A</v>
      </c>
      <c r="R30" s="1" t="str">
        <f t="array" ref="R30">IF(ISBLANK(INDEX(big_daily_table,MATCH(DATE(R$5,$J30,$I30),daily_dates,0),MATCH($B$3,daily_items,0))),NA(),INDEX(big_daily_table,MATCH(DATE(R$5,$J30,$I30),daily_dates,0),MATCH($B$3,daily_items,0)))</f>
        <v>#N/A</v>
      </c>
      <c r="S30" s="1" t="str">
        <f t="array" ref="S30">IF(ISBLANK(INDEX(big_daily_table,MATCH(DATE(S$5,$J30,$I30),daily_dates,0),MATCH($B$3,daily_items,0))),NA(),INDEX(big_daily_table,MATCH(DATE(S$5,$J30,$I30),daily_dates,0),MATCH($B$3,daily_items,0)))</f>
        <v>#N/A</v>
      </c>
      <c r="T30" s="1" t="str">
        <f t="array" ref="T30">IF(ISBLANK(INDEX(big_daily_table,MATCH(DATE(T$5,$J30,$I30),daily_dates,0),MATCH($B$3,daily_items,0))),NA(),INDEX(big_daily_table,MATCH(DATE(T$5,$J30,$I30),daily_dates,0),MATCH($B$3,daily_items,0)))</f>
        <v>#N/A</v>
      </c>
      <c r="U30" s="1" t="str">
        <f t="array" ref="U30">IF(ISBLANK(INDEX(big_daily_table,MATCH(DATE(U$5,$J30,$I30),daily_dates,0),MATCH($B$3,daily_items,0))),NA(),INDEX(big_daily_table,MATCH(DATE(U$5,$J30,$I30),daily_dates,0),MATCH($B$3,daily_items,0)))</f>
        <v>#N/A</v>
      </c>
      <c r="V30" s="1" t="str">
        <f t="array" ref="V30">IF(ISBLANK(INDEX(big_daily_table,MATCH(DATE(V$5,$J30,$I30),daily_dates,0),MATCH($B$3,daily_items,0))),NA(),INDEX(big_daily_table,MATCH(DATE(V$5,$J30,$I30),daily_dates,0),MATCH($B$3,daily_items,0)))</f>
        <v>#N/A</v>
      </c>
      <c r="W30" s="1" t="str">
        <f t="array" ref="W30">IF(ISBLANK(INDEX(big_daily_table,MATCH(DATE(W$5,$J30,$I30),daily_dates,0),MATCH($B$3,daily_items,0))),NA(),INDEX(big_daily_table,MATCH(DATE(W$5,$J30,$I30),daily_dates,0),MATCH($B$3,daily_items,0)))</f>
        <v>#N/A</v>
      </c>
      <c r="X30" s="1" t="str">
        <f t="array" ref="X30">IF(ISBLANK(INDEX(big_daily_table,MATCH(DATE(X$5,$J30,$I30),daily_dates,0),MATCH($B$3,daily_items,0))),NA(),INDEX(big_daily_table,MATCH(DATE(X$5,$J30,$I30),daily_dates,0),MATCH($B$3,daily_items,0)))</f>
        <v>#N/A</v>
      </c>
      <c r="Y30" s="1" t="str">
        <f t="array" ref="Y30">IF(ISBLANK(INDEX(big_daily_table,MATCH(DATE(Y$5,$J30,$I30),daily_dates,0),MATCH($B$3,daily_items,0))),NA(),INDEX(big_daily_table,MATCH(DATE(Y$5,$J30,$I30),daily_dates,0),MATCH($B$3,daily_items,0)))</f>
        <v>#N/A</v>
      </c>
      <c r="Z30" s="1" t="str">
        <f t="shared" si="5"/>
        <v>#NAME?</v>
      </c>
      <c r="AA30" s="1" t="str">
        <f t="shared" si="6"/>
        <v>#NAME?</v>
      </c>
      <c r="AB30" s="1" t="str">
        <f t="shared" si="7"/>
        <v>#NAME?</v>
      </c>
      <c r="AC30" s="1" t="str">
        <f t="shared" si="8"/>
        <v>#NAME?</v>
      </c>
    </row>
    <row r="31" ht="14.25" customHeight="1">
      <c r="H31" s="1">
        <f t="shared" si="9"/>
        <v>26</v>
      </c>
      <c r="I31" s="1">
        <f t="shared" si="2"/>
        <v>26</v>
      </c>
      <c r="J31" s="1">
        <f t="shared" si="3"/>
        <v>1</v>
      </c>
      <c r="K31" s="23">
        <f t="shared" si="10"/>
        <v>36551</v>
      </c>
      <c r="L31" s="24">
        <f t="shared" si="4"/>
        <v>-1000000</v>
      </c>
      <c r="M31" s="1" t="str">
        <f t="array" ref="M31">IF(K31&gt;0,INDEX(big_daily_table,MATCH(DATE(N$5,$J31,$I31),daily_dates,0),MATCH($B$3,daily_items,0)),NA())</f>
        <v>#N/A</v>
      </c>
      <c r="N31" s="1" t="str">
        <f t="array" ref="N31">IF(L31&lt;0,INDEX(big_daily_table,MATCH(DATE(N$5,$J31,$I31),daily_dates,0),MATCH($B$3,daily_items,0)),NA())</f>
        <v>#N/A</v>
      </c>
      <c r="O31" s="1" t="str">
        <f t="array" ref="O31">IF(ISBLANK(INDEX(big_daily_table,MATCH(DATE(O$5,$J31,$I31),daily_dates,0),MATCH($B$3,daily_items,0))),NA(),INDEX(big_daily_table,MATCH(DATE(O$5,$J31,$I31),daily_dates,0),MATCH($B$3,daily_items,0)))</f>
        <v>#N/A</v>
      </c>
      <c r="P31" s="1" t="str">
        <f t="array" ref="P31">IF(ISBLANK(INDEX(big_daily_table,MATCH(DATE(P$5,$J31,$I31),daily_dates,0),MATCH($B$3,daily_items,0))),NA(),INDEX(big_daily_table,MATCH(DATE(P$5,$J31,$I31),daily_dates,0),MATCH($B$3,daily_items,0)))</f>
        <v>#N/A</v>
      </c>
      <c r="Q31" s="1" t="str">
        <f t="array" ref="Q31">IF(ISBLANK(INDEX(big_daily_table,MATCH(DATE(Q$5,$J31,$I31),daily_dates,0),MATCH($B$3,daily_items,0))),NA(),INDEX(big_daily_table,MATCH(DATE(Q$5,$J31,$I31),daily_dates,0),MATCH($B$3,daily_items,0)))</f>
        <v>#N/A</v>
      </c>
      <c r="R31" s="1" t="str">
        <f t="array" ref="R31">IF(ISBLANK(INDEX(big_daily_table,MATCH(DATE(R$5,$J31,$I31),daily_dates,0),MATCH($B$3,daily_items,0))),NA(),INDEX(big_daily_table,MATCH(DATE(R$5,$J31,$I31),daily_dates,0),MATCH($B$3,daily_items,0)))</f>
        <v>#N/A</v>
      </c>
      <c r="S31" s="1" t="str">
        <f t="array" ref="S31">IF(ISBLANK(INDEX(big_daily_table,MATCH(DATE(S$5,$J31,$I31),daily_dates,0),MATCH($B$3,daily_items,0))),NA(),INDEX(big_daily_table,MATCH(DATE(S$5,$J31,$I31),daily_dates,0),MATCH($B$3,daily_items,0)))</f>
        <v>#N/A</v>
      </c>
      <c r="T31" s="1" t="str">
        <f t="array" ref="T31">IF(ISBLANK(INDEX(big_daily_table,MATCH(DATE(T$5,$J31,$I31),daily_dates,0),MATCH($B$3,daily_items,0))),NA(),INDEX(big_daily_table,MATCH(DATE(T$5,$J31,$I31),daily_dates,0),MATCH($B$3,daily_items,0)))</f>
        <v>#N/A</v>
      </c>
      <c r="U31" s="1" t="str">
        <f t="array" ref="U31">IF(ISBLANK(INDEX(big_daily_table,MATCH(DATE(U$5,$J31,$I31),daily_dates,0),MATCH($B$3,daily_items,0))),NA(),INDEX(big_daily_table,MATCH(DATE(U$5,$J31,$I31),daily_dates,0),MATCH($B$3,daily_items,0)))</f>
        <v>#N/A</v>
      </c>
      <c r="V31" s="1" t="str">
        <f t="array" ref="V31">IF(ISBLANK(INDEX(big_daily_table,MATCH(DATE(V$5,$J31,$I31),daily_dates,0),MATCH($B$3,daily_items,0))),NA(),INDEX(big_daily_table,MATCH(DATE(V$5,$J31,$I31),daily_dates,0),MATCH($B$3,daily_items,0)))</f>
        <v>#N/A</v>
      </c>
      <c r="W31" s="1" t="str">
        <f t="array" ref="W31">IF(ISBLANK(INDEX(big_daily_table,MATCH(DATE(W$5,$J31,$I31),daily_dates,0),MATCH($B$3,daily_items,0))),NA(),INDEX(big_daily_table,MATCH(DATE(W$5,$J31,$I31),daily_dates,0),MATCH($B$3,daily_items,0)))</f>
        <v>#N/A</v>
      </c>
      <c r="X31" s="1" t="str">
        <f t="array" ref="X31">IF(ISBLANK(INDEX(big_daily_table,MATCH(DATE(X$5,$J31,$I31),daily_dates,0),MATCH($B$3,daily_items,0))),NA(),INDEX(big_daily_table,MATCH(DATE(X$5,$J31,$I31),daily_dates,0),MATCH($B$3,daily_items,0)))</f>
        <v>#N/A</v>
      </c>
      <c r="Y31" s="1" t="str">
        <f t="array" ref="Y31">IF(ISBLANK(INDEX(big_daily_table,MATCH(DATE(Y$5,$J31,$I31),daily_dates,0),MATCH($B$3,daily_items,0))),NA(),INDEX(big_daily_table,MATCH(DATE(Y$5,$J31,$I31),daily_dates,0),MATCH($B$3,daily_items,0)))</f>
        <v>#N/A</v>
      </c>
      <c r="Z31" s="1" t="str">
        <f t="shared" si="5"/>
        <v>#NAME?</v>
      </c>
      <c r="AA31" s="1" t="str">
        <f t="shared" si="6"/>
        <v>#NAME?</v>
      </c>
      <c r="AB31" s="1" t="str">
        <f t="shared" si="7"/>
        <v>#NAME?</v>
      </c>
      <c r="AC31" s="1" t="str">
        <f t="shared" si="8"/>
        <v>#NAME?</v>
      </c>
    </row>
    <row r="32" ht="14.25" customHeight="1">
      <c r="H32" s="1">
        <f t="shared" si="9"/>
        <v>27</v>
      </c>
      <c r="I32" s="1">
        <f t="shared" si="2"/>
        <v>27</v>
      </c>
      <c r="J32" s="1">
        <f t="shared" si="3"/>
        <v>1</v>
      </c>
      <c r="K32" s="23">
        <f t="shared" si="10"/>
        <v>36552</v>
      </c>
      <c r="L32" s="24">
        <f t="shared" si="4"/>
        <v>-1000000</v>
      </c>
      <c r="M32" s="1" t="str">
        <f t="array" ref="M32">IF(K32&gt;0,INDEX(big_daily_table,MATCH(DATE(N$5,$J32,$I32),daily_dates,0),MATCH($B$3,daily_items,0)),NA())</f>
        <v>#N/A</v>
      </c>
      <c r="N32" s="1" t="str">
        <f t="array" ref="N32">IF(L32&lt;0,INDEX(big_daily_table,MATCH(DATE(N$5,$J32,$I32),daily_dates,0),MATCH($B$3,daily_items,0)),NA())</f>
        <v>#N/A</v>
      </c>
      <c r="O32" s="1" t="str">
        <f t="array" ref="O32">IF(ISBLANK(INDEX(big_daily_table,MATCH(DATE(O$5,$J32,$I32),daily_dates,0),MATCH($B$3,daily_items,0))),NA(),INDEX(big_daily_table,MATCH(DATE(O$5,$J32,$I32),daily_dates,0),MATCH($B$3,daily_items,0)))</f>
        <v>#N/A</v>
      </c>
      <c r="P32" s="1" t="str">
        <f t="array" ref="P32">IF(ISBLANK(INDEX(big_daily_table,MATCH(DATE(P$5,$J32,$I32),daily_dates,0),MATCH($B$3,daily_items,0))),NA(),INDEX(big_daily_table,MATCH(DATE(P$5,$J32,$I32),daily_dates,0),MATCH($B$3,daily_items,0)))</f>
        <v>#N/A</v>
      </c>
      <c r="Q32" s="1" t="str">
        <f t="array" ref="Q32">IF(ISBLANK(INDEX(big_daily_table,MATCH(DATE(Q$5,$J32,$I32),daily_dates,0),MATCH($B$3,daily_items,0))),NA(),INDEX(big_daily_table,MATCH(DATE(Q$5,$J32,$I32),daily_dates,0),MATCH($B$3,daily_items,0)))</f>
        <v>#N/A</v>
      </c>
      <c r="R32" s="1" t="str">
        <f t="array" ref="R32">IF(ISBLANK(INDEX(big_daily_table,MATCH(DATE(R$5,$J32,$I32),daily_dates,0),MATCH($B$3,daily_items,0))),NA(),INDEX(big_daily_table,MATCH(DATE(R$5,$J32,$I32),daily_dates,0),MATCH($B$3,daily_items,0)))</f>
        <v>#N/A</v>
      </c>
      <c r="S32" s="1" t="str">
        <f t="array" ref="S32">IF(ISBLANK(INDEX(big_daily_table,MATCH(DATE(S$5,$J32,$I32),daily_dates,0),MATCH($B$3,daily_items,0))),NA(),INDEX(big_daily_table,MATCH(DATE(S$5,$J32,$I32),daily_dates,0),MATCH($B$3,daily_items,0)))</f>
        <v>#N/A</v>
      </c>
      <c r="T32" s="1" t="str">
        <f t="array" ref="T32">IF(ISBLANK(INDEX(big_daily_table,MATCH(DATE(T$5,$J32,$I32),daily_dates,0),MATCH($B$3,daily_items,0))),NA(),INDEX(big_daily_table,MATCH(DATE(T$5,$J32,$I32),daily_dates,0),MATCH($B$3,daily_items,0)))</f>
        <v>#N/A</v>
      </c>
      <c r="U32" s="1" t="str">
        <f t="array" ref="U32">IF(ISBLANK(INDEX(big_daily_table,MATCH(DATE(U$5,$J32,$I32),daily_dates,0),MATCH($B$3,daily_items,0))),NA(),INDEX(big_daily_table,MATCH(DATE(U$5,$J32,$I32),daily_dates,0),MATCH($B$3,daily_items,0)))</f>
        <v>#N/A</v>
      </c>
      <c r="V32" s="1" t="str">
        <f t="array" ref="V32">IF(ISBLANK(INDEX(big_daily_table,MATCH(DATE(V$5,$J32,$I32),daily_dates,0),MATCH($B$3,daily_items,0))),NA(),INDEX(big_daily_table,MATCH(DATE(V$5,$J32,$I32),daily_dates,0),MATCH($B$3,daily_items,0)))</f>
        <v>#N/A</v>
      </c>
      <c r="W32" s="1" t="str">
        <f t="array" ref="W32">IF(ISBLANK(INDEX(big_daily_table,MATCH(DATE(W$5,$J32,$I32),daily_dates,0),MATCH($B$3,daily_items,0))),NA(),INDEX(big_daily_table,MATCH(DATE(W$5,$J32,$I32),daily_dates,0),MATCH($B$3,daily_items,0)))</f>
        <v>#N/A</v>
      </c>
      <c r="X32" s="1" t="str">
        <f t="array" ref="X32">IF(ISBLANK(INDEX(big_daily_table,MATCH(DATE(X$5,$J32,$I32),daily_dates,0),MATCH($B$3,daily_items,0))),NA(),INDEX(big_daily_table,MATCH(DATE(X$5,$J32,$I32),daily_dates,0),MATCH($B$3,daily_items,0)))</f>
        <v>#N/A</v>
      </c>
      <c r="Y32" s="1" t="str">
        <f t="array" ref="Y32">IF(ISBLANK(INDEX(big_daily_table,MATCH(DATE(Y$5,$J32,$I32),daily_dates,0),MATCH($B$3,daily_items,0))),NA(),INDEX(big_daily_table,MATCH(DATE(Y$5,$J32,$I32),daily_dates,0),MATCH($B$3,daily_items,0)))</f>
        <v>#N/A</v>
      </c>
      <c r="Z32" s="1" t="str">
        <f t="shared" si="5"/>
        <v>#NAME?</v>
      </c>
      <c r="AA32" s="1" t="str">
        <f t="shared" si="6"/>
        <v>#NAME?</v>
      </c>
      <c r="AB32" s="1" t="str">
        <f t="shared" si="7"/>
        <v>#NAME?</v>
      </c>
      <c r="AC32" s="1" t="str">
        <f t="shared" si="8"/>
        <v>#NAME?</v>
      </c>
    </row>
    <row r="33" ht="14.25" customHeight="1">
      <c r="H33" s="1">
        <f t="shared" si="9"/>
        <v>28</v>
      </c>
      <c r="I33" s="1">
        <f t="shared" si="2"/>
        <v>28</v>
      </c>
      <c r="J33" s="1">
        <f t="shared" si="3"/>
        <v>1</v>
      </c>
      <c r="K33" s="23">
        <f t="shared" si="10"/>
        <v>36553</v>
      </c>
      <c r="L33" s="24">
        <f t="shared" si="4"/>
        <v>-1000000</v>
      </c>
      <c r="M33" s="1" t="str">
        <f t="array" ref="M33">IF(K33&gt;0,INDEX(big_daily_table,MATCH(DATE(N$5,$J33,$I33),daily_dates,0),MATCH($B$3,daily_items,0)),NA())</f>
        <v>#N/A</v>
      </c>
      <c r="N33" s="1" t="str">
        <f t="array" ref="N33">IF(L33&lt;0,INDEX(big_daily_table,MATCH(DATE(N$5,$J33,$I33),daily_dates,0),MATCH($B$3,daily_items,0)),NA())</f>
        <v>#N/A</v>
      </c>
      <c r="O33" s="1" t="str">
        <f t="array" ref="O33">IF(ISBLANK(INDEX(big_daily_table,MATCH(DATE(O$5,$J33,$I33),daily_dates,0),MATCH($B$3,daily_items,0))),NA(),INDEX(big_daily_table,MATCH(DATE(O$5,$J33,$I33),daily_dates,0),MATCH($B$3,daily_items,0)))</f>
        <v>#N/A</v>
      </c>
      <c r="P33" s="1" t="str">
        <f t="array" ref="P33">IF(ISBLANK(INDEX(big_daily_table,MATCH(DATE(P$5,$J33,$I33),daily_dates,0),MATCH($B$3,daily_items,0))),NA(),INDEX(big_daily_table,MATCH(DATE(P$5,$J33,$I33),daily_dates,0),MATCH($B$3,daily_items,0)))</f>
        <v>#N/A</v>
      </c>
      <c r="Q33" s="1" t="str">
        <f t="array" ref="Q33">IF(ISBLANK(INDEX(big_daily_table,MATCH(DATE(Q$5,$J33,$I33),daily_dates,0),MATCH($B$3,daily_items,0))),NA(),INDEX(big_daily_table,MATCH(DATE(Q$5,$J33,$I33),daily_dates,0),MATCH($B$3,daily_items,0)))</f>
        <v>#N/A</v>
      </c>
      <c r="R33" s="1" t="str">
        <f t="array" ref="R33">IF(ISBLANK(INDEX(big_daily_table,MATCH(DATE(R$5,$J33,$I33),daily_dates,0),MATCH($B$3,daily_items,0))),NA(),INDEX(big_daily_table,MATCH(DATE(R$5,$J33,$I33),daily_dates,0),MATCH($B$3,daily_items,0)))</f>
        <v>#N/A</v>
      </c>
      <c r="S33" s="1" t="str">
        <f t="array" ref="S33">IF(ISBLANK(INDEX(big_daily_table,MATCH(DATE(S$5,$J33,$I33),daily_dates,0),MATCH($B$3,daily_items,0))),NA(),INDEX(big_daily_table,MATCH(DATE(S$5,$J33,$I33),daily_dates,0),MATCH($B$3,daily_items,0)))</f>
        <v>#N/A</v>
      </c>
      <c r="T33" s="1" t="str">
        <f t="array" ref="T33">IF(ISBLANK(INDEX(big_daily_table,MATCH(DATE(T$5,$J33,$I33),daily_dates,0),MATCH($B$3,daily_items,0))),NA(),INDEX(big_daily_table,MATCH(DATE(T$5,$J33,$I33),daily_dates,0),MATCH($B$3,daily_items,0)))</f>
        <v>#N/A</v>
      </c>
      <c r="U33" s="1" t="str">
        <f t="array" ref="U33">IF(ISBLANK(INDEX(big_daily_table,MATCH(DATE(U$5,$J33,$I33),daily_dates,0),MATCH($B$3,daily_items,0))),NA(),INDEX(big_daily_table,MATCH(DATE(U$5,$J33,$I33),daily_dates,0),MATCH($B$3,daily_items,0)))</f>
        <v>#N/A</v>
      </c>
      <c r="V33" s="1" t="str">
        <f t="array" ref="V33">IF(ISBLANK(INDEX(big_daily_table,MATCH(DATE(V$5,$J33,$I33),daily_dates,0),MATCH($B$3,daily_items,0))),NA(),INDEX(big_daily_table,MATCH(DATE(V$5,$J33,$I33),daily_dates,0),MATCH($B$3,daily_items,0)))</f>
        <v>#N/A</v>
      </c>
      <c r="W33" s="1" t="str">
        <f t="array" ref="W33">IF(ISBLANK(INDEX(big_daily_table,MATCH(DATE(W$5,$J33,$I33),daily_dates,0),MATCH($B$3,daily_items,0))),NA(),INDEX(big_daily_table,MATCH(DATE(W$5,$J33,$I33),daily_dates,0),MATCH($B$3,daily_items,0)))</f>
        <v>#N/A</v>
      </c>
      <c r="X33" s="1" t="str">
        <f t="array" ref="X33">IF(ISBLANK(INDEX(big_daily_table,MATCH(DATE(X$5,$J33,$I33),daily_dates,0),MATCH($B$3,daily_items,0))),NA(),INDEX(big_daily_table,MATCH(DATE(X$5,$J33,$I33),daily_dates,0),MATCH($B$3,daily_items,0)))</f>
        <v>#N/A</v>
      </c>
      <c r="Y33" s="1" t="str">
        <f t="array" ref="Y33">IF(ISBLANK(INDEX(big_daily_table,MATCH(DATE(Y$5,$J33,$I33),daily_dates,0),MATCH($B$3,daily_items,0))),NA(),INDEX(big_daily_table,MATCH(DATE(Y$5,$J33,$I33),daily_dates,0),MATCH($B$3,daily_items,0)))</f>
        <v>#N/A</v>
      </c>
      <c r="Z33" s="1" t="str">
        <f t="shared" si="5"/>
        <v>#NAME?</v>
      </c>
      <c r="AA33" s="1" t="str">
        <f t="shared" si="6"/>
        <v>#NAME?</v>
      </c>
      <c r="AB33" s="1" t="str">
        <f t="shared" si="7"/>
        <v>#NAME?</v>
      </c>
      <c r="AC33" s="1" t="str">
        <f t="shared" si="8"/>
        <v>#NAME?</v>
      </c>
    </row>
    <row r="34" ht="14.25" customHeight="1">
      <c r="H34" s="1">
        <f t="shared" si="9"/>
        <v>29</v>
      </c>
      <c r="I34" s="1">
        <f t="shared" si="2"/>
        <v>29</v>
      </c>
      <c r="J34" s="1">
        <f t="shared" si="3"/>
        <v>1</v>
      </c>
      <c r="K34" s="23">
        <f t="shared" si="10"/>
        <v>36554</v>
      </c>
      <c r="L34" s="24">
        <f t="shared" si="4"/>
        <v>-1000000</v>
      </c>
      <c r="M34" s="1" t="str">
        <f t="array" ref="M34">IF(K34&gt;0,INDEX(big_daily_table,MATCH(DATE(N$5,$J34,$I34),daily_dates,0),MATCH($B$3,daily_items,0)),NA())</f>
        <v>#N/A</v>
      </c>
      <c r="N34" s="1" t="str">
        <f t="array" ref="N34">IF(L34&lt;0,INDEX(big_daily_table,MATCH(DATE(N$5,$J34,$I34),daily_dates,0),MATCH($B$3,daily_items,0)),NA())</f>
        <v>#N/A</v>
      </c>
      <c r="O34" s="1" t="str">
        <f t="array" ref="O34">IF(ISBLANK(INDEX(big_daily_table,MATCH(DATE(O$5,$J34,$I34),daily_dates,0),MATCH($B$3,daily_items,0))),NA(),INDEX(big_daily_table,MATCH(DATE(O$5,$J34,$I34),daily_dates,0),MATCH($B$3,daily_items,0)))</f>
        <v>#N/A</v>
      </c>
      <c r="P34" s="1" t="str">
        <f t="array" ref="P34">IF(ISBLANK(INDEX(big_daily_table,MATCH(DATE(P$5,$J34,$I34),daily_dates,0),MATCH($B$3,daily_items,0))),NA(),INDEX(big_daily_table,MATCH(DATE(P$5,$J34,$I34),daily_dates,0),MATCH($B$3,daily_items,0)))</f>
        <v>#N/A</v>
      </c>
      <c r="Q34" s="1" t="str">
        <f t="array" ref="Q34">IF(ISBLANK(INDEX(big_daily_table,MATCH(DATE(Q$5,$J34,$I34),daily_dates,0),MATCH($B$3,daily_items,0))),NA(),INDEX(big_daily_table,MATCH(DATE(Q$5,$J34,$I34),daily_dates,0),MATCH($B$3,daily_items,0)))</f>
        <v>#N/A</v>
      </c>
      <c r="R34" s="1" t="str">
        <f t="array" ref="R34">IF(ISBLANK(INDEX(big_daily_table,MATCH(DATE(R$5,$J34,$I34),daily_dates,0),MATCH($B$3,daily_items,0))),NA(),INDEX(big_daily_table,MATCH(DATE(R$5,$J34,$I34),daily_dates,0),MATCH($B$3,daily_items,0)))</f>
        <v>#N/A</v>
      </c>
      <c r="S34" s="1" t="str">
        <f t="array" ref="S34">IF(ISBLANK(INDEX(big_daily_table,MATCH(DATE(S$5,$J34,$I34),daily_dates,0),MATCH($B$3,daily_items,0))),NA(),INDEX(big_daily_table,MATCH(DATE(S$5,$J34,$I34),daily_dates,0),MATCH($B$3,daily_items,0)))</f>
        <v>#N/A</v>
      </c>
      <c r="T34" s="1" t="str">
        <f t="array" ref="T34">IF(ISBLANK(INDEX(big_daily_table,MATCH(DATE(T$5,$J34,$I34),daily_dates,0),MATCH($B$3,daily_items,0))),NA(),INDEX(big_daily_table,MATCH(DATE(T$5,$J34,$I34),daily_dates,0),MATCH($B$3,daily_items,0)))</f>
        <v>#N/A</v>
      </c>
      <c r="U34" s="1" t="str">
        <f t="array" ref="U34">IF(ISBLANK(INDEX(big_daily_table,MATCH(DATE(U$5,$J34,$I34),daily_dates,0),MATCH($B$3,daily_items,0))),NA(),INDEX(big_daily_table,MATCH(DATE(U$5,$J34,$I34),daily_dates,0),MATCH($B$3,daily_items,0)))</f>
        <v>#N/A</v>
      </c>
      <c r="V34" s="1" t="str">
        <f t="array" ref="V34">IF(ISBLANK(INDEX(big_daily_table,MATCH(DATE(V$5,$J34,$I34),daily_dates,0),MATCH($B$3,daily_items,0))),NA(),INDEX(big_daily_table,MATCH(DATE(V$5,$J34,$I34),daily_dates,0),MATCH($B$3,daily_items,0)))</f>
        <v>#N/A</v>
      </c>
      <c r="W34" s="1" t="str">
        <f t="array" ref="W34">IF(ISBLANK(INDEX(big_daily_table,MATCH(DATE(W$5,$J34,$I34),daily_dates,0),MATCH($B$3,daily_items,0))),NA(),INDEX(big_daily_table,MATCH(DATE(W$5,$J34,$I34),daily_dates,0),MATCH($B$3,daily_items,0)))</f>
        <v>#N/A</v>
      </c>
      <c r="X34" s="1" t="str">
        <f t="array" ref="X34">IF(ISBLANK(INDEX(big_daily_table,MATCH(DATE(X$5,$J34,$I34),daily_dates,0),MATCH($B$3,daily_items,0))),NA(),INDEX(big_daily_table,MATCH(DATE(X$5,$J34,$I34),daily_dates,0),MATCH($B$3,daily_items,0)))</f>
        <v>#N/A</v>
      </c>
      <c r="Y34" s="1" t="str">
        <f t="array" ref="Y34">IF(ISBLANK(INDEX(big_daily_table,MATCH(DATE(Y$5,$J34,$I34),daily_dates,0),MATCH($B$3,daily_items,0))),NA(),INDEX(big_daily_table,MATCH(DATE(Y$5,$J34,$I34),daily_dates,0),MATCH($B$3,daily_items,0)))</f>
        <v>#N/A</v>
      </c>
      <c r="Z34" s="1" t="str">
        <f t="shared" si="5"/>
        <v>#NAME?</v>
      </c>
      <c r="AA34" s="1" t="str">
        <f t="shared" si="6"/>
        <v>#NAME?</v>
      </c>
      <c r="AB34" s="1" t="str">
        <f t="shared" si="7"/>
        <v>#NAME?</v>
      </c>
      <c r="AC34" s="1" t="str">
        <f t="shared" si="8"/>
        <v>#NAME?</v>
      </c>
    </row>
    <row r="35" ht="14.25" customHeight="1">
      <c r="H35" s="1">
        <f t="shared" si="9"/>
        <v>30</v>
      </c>
      <c r="I35" s="1">
        <f t="shared" si="2"/>
        <v>30</v>
      </c>
      <c r="J35" s="1">
        <f t="shared" si="3"/>
        <v>1</v>
      </c>
      <c r="K35" s="23">
        <f t="shared" si="10"/>
        <v>36555</v>
      </c>
      <c r="L35" s="24">
        <f t="shared" si="4"/>
        <v>-1000000</v>
      </c>
      <c r="M35" s="1" t="str">
        <f t="array" ref="M35">IF(K35&gt;0,INDEX(big_daily_table,MATCH(DATE(N$5,$J35,$I35),daily_dates,0),MATCH($B$3,daily_items,0)),NA())</f>
        <v>#N/A</v>
      </c>
      <c r="N35" s="1" t="str">
        <f t="array" ref="N35">IF(L35&lt;0,INDEX(big_daily_table,MATCH(DATE(N$5,$J35,$I35),daily_dates,0),MATCH($B$3,daily_items,0)),NA())</f>
        <v>#N/A</v>
      </c>
      <c r="O35" s="1" t="str">
        <f t="array" ref="O35">IF(ISBLANK(INDEX(big_daily_table,MATCH(DATE(O$5,$J35,$I35),daily_dates,0),MATCH($B$3,daily_items,0))),NA(),INDEX(big_daily_table,MATCH(DATE(O$5,$J35,$I35),daily_dates,0),MATCH($B$3,daily_items,0)))</f>
        <v>#N/A</v>
      </c>
      <c r="P35" s="1" t="str">
        <f t="array" ref="P35">IF(ISBLANK(INDEX(big_daily_table,MATCH(DATE(P$5,$J35,$I35),daily_dates,0),MATCH($B$3,daily_items,0))),NA(),INDEX(big_daily_table,MATCH(DATE(P$5,$J35,$I35),daily_dates,0),MATCH($B$3,daily_items,0)))</f>
        <v>#N/A</v>
      </c>
      <c r="Q35" s="1" t="str">
        <f t="array" ref="Q35">IF(ISBLANK(INDEX(big_daily_table,MATCH(DATE(Q$5,$J35,$I35),daily_dates,0),MATCH($B$3,daily_items,0))),NA(),INDEX(big_daily_table,MATCH(DATE(Q$5,$J35,$I35),daily_dates,0),MATCH($B$3,daily_items,0)))</f>
        <v>#N/A</v>
      </c>
      <c r="R35" s="1" t="str">
        <f t="array" ref="R35">IF(ISBLANK(INDEX(big_daily_table,MATCH(DATE(R$5,$J35,$I35),daily_dates,0),MATCH($B$3,daily_items,0))),NA(),INDEX(big_daily_table,MATCH(DATE(R$5,$J35,$I35),daily_dates,0),MATCH($B$3,daily_items,0)))</f>
        <v>#N/A</v>
      </c>
      <c r="S35" s="1" t="str">
        <f t="array" ref="S35">IF(ISBLANK(INDEX(big_daily_table,MATCH(DATE(S$5,$J35,$I35),daily_dates,0),MATCH($B$3,daily_items,0))),NA(),INDEX(big_daily_table,MATCH(DATE(S$5,$J35,$I35),daily_dates,0),MATCH($B$3,daily_items,0)))</f>
        <v>#N/A</v>
      </c>
      <c r="T35" s="1" t="str">
        <f t="array" ref="T35">IF(ISBLANK(INDEX(big_daily_table,MATCH(DATE(T$5,$J35,$I35),daily_dates,0),MATCH($B$3,daily_items,0))),NA(),INDEX(big_daily_table,MATCH(DATE(T$5,$J35,$I35),daily_dates,0),MATCH($B$3,daily_items,0)))</f>
        <v>#N/A</v>
      </c>
      <c r="U35" s="1" t="str">
        <f t="array" ref="U35">IF(ISBLANK(INDEX(big_daily_table,MATCH(DATE(U$5,$J35,$I35),daily_dates,0),MATCH($B$3,daily_items,0))),NA(),INDEX(big_daily_table,MATCH(DATE(U$5,$J35,$I35),daily_dates,0),MATCH($B$3,daily_items,0)))</f>
        <v>#N/A</v>
      </c>
      <c r="V35" s="1" t="str">
        <f t="array" ref="V35">IF(ISBLANK(INDEX(big_daily_table,MATCH(DATE(V$5,$J35,$I35),daily_dates,0),MATCH($B$3,daily_items,0))),NA(),INDEX(big_daily_table,MATCH(DATE(V$5,$J35,$I35),daily_dates,0),MATCH($B$3,daily_items,0)))</f>
        <v>#N/A</v>
      </c>
      <c r="W35" s="1" t="str">
        <f t="array" ref="W35">IF(ISBLANK(INDEX(big_daily_table,MATCH(DATE(W$5,$J35,$I35),daily_dates,0),MATCH($B$3,daily_items,0))),NA(),INDEX(big_daily_table,MATCH(DATE(W$5,$J35,$I35),daily_dates,0),MATCH($B$3,daily_items,0)))</f>
        <v>#N/A</v>
      </c>
      <c r="X35" s="1" t="str">
        <f t="array" ref="X35">IF(ISBLANK(INDEX(big_daily_table,MATCH(DATE(X$5,$J35,$I35),daily_dates,0),MATCH($B$3,daily_items,0))),NA(),INDEX(big_daily_table,MATCH(DATE(X$5,$J35,$I35),daily_dates,0),MATCH($B$3,daily_items,0)))</f>
        <v>#N/A</v>
      </c>
      <c r="Y35" s="1" t="str">
        <f t="array" ref="Y35">IF(ISBLANK(INDEX(big_daily_table,MATCH(DATE(Y$5,$J35,$I35),daily_dates,0),MATCH($B$3,daily_items,0))),NA(),INDEX(big_daily_table,MATCH(DATE(Y$5,$J35,$I35),daily_dates,0),MATCH($B$3,daily_items,0)))</f>
        <v>#N/A</v>
      </c>
      <c r="Z35" s="1" t="str">
        <f t="shared" si="5"/>
        <v>#NAME?</v>
      </c>
      <c r="AA35" s="1" t="str">
        <f t="shared" si="6"/>
        <v>#NAME?</v>
      </c>
      <c r="AB35" s="1" t="str">
        <f t="shared" si="7"/>
        <v>#NAME?</v>
      </c>
      <c r="AC35" s="1" t="str">
        <f t="shared" si="8"/>
        <v>#NAME?</v>
      </c>
    </row>
    <row r="36" ht="14.25" customHeight="1">
      <c r="H36" s="1">
        <f t="shared" si="9"/>
        <v>31</v>
      </c>
      <c r="I36" s="1">
        <f t="shared" si="2"/>
        <v>31</v>
      </c>
      <c r="J36" s="1">
        <f t="shared" si="3"/>
        <v>1</v>
      </c>
      <c r="K36" s="23">
        <f t="shared" si="10"/>
        <v>36556</v>
      </c>
      <c r="L36" s="24">
        <f t="shared" si="4"/>
        <v>-1000000</v>
      </c>
      <c r="M36" s="1" t="str">
        <f t="array" ref="M36">IF(K36&gt;0,INDEX(big_daily_table,MATCH(DATE(N$5,$J36,$I36),daily_dates,0),MATCH($B$3,daily_items,0)),NA())</f>
        <v>#N/A</v>
      </c>
      <c r="N36" s="1" t="str">
        <f t="array" ref="N36">IF(L36&lt;0,INDEX(big_daily_table,MATCH(DATE(N$5,$J36,$I36),daily_dates,0),MATCH($B$3,daily_items,0)),NA())</f>
        <v>#N/A</v>
      </c>
      <c r="O36" s="1" t="str">
        <f t="array" ref="O36">IF(ISBLANK(INDEX(big_daily_table,MATCH(DATE(O$5,$J36,$I36),daily_dates,0),MATCH($B$3,daily_items,0))),NA(),INDEX(big_daily_table,MATCH(DATE(O$5,$J36,$I36),daily_dates,0),MATCH($B$3,daily_items,0)))</f>
        <v>#N/A</v>
      </c>
      <c r="P36" s="1" t="str">
        <f t="array" ref="P36">IF(ISBLANK(INDEX(big_daily_table,MATCH(DATE(P$5,$J36,$I36),daily_dates,0),MATCH($B$3,daily_items,0))),NA(),INDEX(big_daily_table,MATCH(DATE(P$5,$J36,$I36),daily_dates,0),MATCH($B$3,daily_items,0)))</f>
        <v>#N/A</v>
      </c>
      <c r="Q36" s="1" t="str">
        <f t="array" ref="Q36">IF(ISBLANK(INDEX(big_daily_table,MATCH(DATE(Q$5,$J36,$I36),daily_dates,0),MATCH($B$3,daily_items,0))),NA(),INDEX(big_daily_table,MATCH(DATE(Q$5,$J36,$I36),daily_dates,0),MATCH($B$3,daily_items,0)))</f>
        <v>#N/A</v>
      </c>
      <c r="R36" s="1" t="str">
        <f t="array" ref="R36">IF(ISBLANK(INDEX(big_daily_table,MATCH(DATE(R$5,$J36,$I36),daily_dates,0),MATCH($B$3,daily_items,0))),NA(),INDEX(big_daily_table,MATCH(DATE(R$5,$J36,$I36),daily_dates,0),MATCH($B$3,daily_items,0)))</f>
        <v>#N/A</v>
      </c>
      <c r="S36" s="1" t="str">
        <f t="array" ref="S36">IF(ISBLANK(INDEX(big_daily_table,MATCH(DATE(S$5,$J36,$I36),daily_dates,0),MATCH($B$3,daily_items,0))),NA(),INDEX(big_daily_table,MATCH(DATE(S$5,$J36,$I36),daily_dates,0),MATCH($B$3,daily_items,0)))</f>
        <v>#N/A</v>
      </c>
      <c r="T36" s="1" t="str">
        <f t="array" ref="T36">IF(ISBLANK(INDEX(big_daily_table,MATCH(DATE(T$5,$J36,$I36),daily_dates,0),MATCH($B$3,daily_items,0))),NA(),INDEX(big_daily_table,MATCH(DATE(T$5,$J36,$I36),daily_dates,0),MATCH($B$3,daily_items,0)))</f>
        <v>#N/A</v>
      </c>
      <c r="U36" s="1" t="str">
        <f t="array" ref="U36">IF(ISBLANK(INDEX(big_daily_table,MATCH(DATE(U$5,$J36,$I36),daily_dates,0),MATCH($B$3,daily_items,0))),NA(),INDEX(big_daily_table,MATCH(DATE(U$5,$J36,$I36),daily_dates,0),MATCH($B$3,daily_items,0)))</f>
        <v>#N/A</v>
      </c>
      <c r="V36" s="1" t="str">
        <f t="array" ref="V36">IF(ISBLANK(INDEX(big_daily_table,MATCH(DATE(V$5,$J36,$I36),daily_dates,0),MATCH($B$3,daily_items,0))),NA(),INDEX(big_daily_table,MATCH(DATE(V$5,$J36,$I36),daily_dates,0),MATCH($B$3,daily_items,0)))</f>
        <v>#N/A</v>
      </c>
      <c r="W36" s="1" t="str">
        <f t="array" ref="W36">IF(ISBLANK(INDEX(big_daily_table,MATCH(DATE(W$5,$J36,$I36),daily_dates,0),MATCH($B$3,daily_items,0))),NA(),INDEX(big_daily_table,MATCH(DATE(W$5,$J36,$I36),daily_dates,0),MATCH($B$3,daily_items,0)))</f>
        <v>#N/A</v>
      </c>
      <c r="X36" s="1" t="str">
        <f t="array" ref="X36">IF(ISBLANK(INDEX(big_daily_table,MATCH(DATE(X$5,$J36,$I36),daily_dates,0),MATCH($B$3,daily_items,0))),NA(),INDEX(big_daily_table,MATCH(DATE(X$5,$J36,$I36),daily_dates,0),MATCH($B$3,daily_items,0)))</f>
        <v>#N/A</v>
      </c>
      <c r="Y36" s="1" t="str">
        <f t="array" ref="Y36">IF(ISBLANK(INDEX(big_daily_table,MATCH(DATE(Y$5,$J36,$I36),daily_dates,0),MATCH($B$3,daily_items,0))),NA(),INDEX(big_daily_table,MATCH(DATE(Y$5,$J36,$I36),daily_dates,0),MATCH($B$3,daily_items,0)))</f>
        <v>#N/A</v>
      </c>
      <c r="Z36" s="1" t="str">
        <f t="shared" si="5"/>
        <v>#NAME?</v>
      </c>
      <c r="AA36" s="1" t="str">
        <f t="shared" si="6"/>
        <v>#NAME?</v>
      </c>
      <c r="AB36" s="1" t="str">
        <f t="shared" si="7"/>
        <v>#NAME?</v>
      </c>
      <c r="AC36" s="1" t="str">
        <f t="shared" si="8"/>
        <v>#NAME?</v>
      </c>
    </row>
    <row r="37" ht="14.25" customHeight="1">
      <c r="H37" s="1">
        <f t="shared" si="9"/>
        <v>32</v>
      </c>
      <c r="I37" s="1">
        <f t="shared" si="2"/>
        <v>1</v>
      </c>
      <c r="J37" s="1">
        <f t="shared" si="3"/>
        <v>2</v>
      </c>
      <c r="K37" s="23">
        <f t="shared" si="10"/>
        <v>36557</v>
      </c>
      <c r="L37" s="24">
        <f t="shared" si="4"/>
        <v>-1000000</v>
      </c>
      <c r="M37" s="1" t="str">
        <f t="array" ref="M37">IF(K37&gt;0,INDEX(big_daily_table,MATCH(DATE(N$5,$J37,$I37),daily_dates,0),MATCH($B$3,daily_items,0)),NA())</f>
        <v>#N/A</v>
      </c>
      <c r="N37" s="1" t="str">
        <f t="array" ref="N37">IF(L37&lt;0,INDEX(big_daily_table,MATCH(DATE(N$5,$J37,$I37),daily_dates,0),MATCH($B$3,daily_items,0)),NA())</f>
        <v>#N/A</v>
      </c>
      <c r="O37" s="1" t="str">
        <f t="array" ref="O37">IF(ISBLANK(INDEX(big_daily_table,MATCH(DATE(O$5,$J37,$I37),daily_dates,0),MATCH($B$3,daily_items,0))),NA(),INDEX(big_daily_table,MATCH(DATE(O$5,$J37,$I37),daily_dates,0),MATCH($B$3,daily_items,0)))</f>
        <v>#N/A</v>
      </c>
      <c r="P37" s="1" t="str">
        <f t="array" ref="P37">IF(ISBLANK(INDEX(big_daily_table,MATCH(DATE(P$5,$J37,$I37),daily_dates,0),MATCH($B$3,daily_items,0))),NA(),INDEX(big_daily_table,MATCH(DATE(P$5,$J37,$I37),daily_dates,0),MATCH($B$3,daily_items,0)))</f>
        <v>#N/A</v>
      </c>
      <c r="Q37" s="1" t="str">
        <f t="array" ref="Q37">IF(ISBLANK(INDEX(big_daily_table,MATCH(DATE(Q$5,$J37,$I37),daily_dates,0),MATCH($B$3,daily_items,0))),NA(),INDEX(big_daily_table,MATCH(DATE(Q$5,$J37,$I37),daily_dates,0),MATCH($B$3,daily_items,0)))</f>
        <v>#N/A</v>
      </c>
      <c r="R37" s="1" t="str">
        <f t="array" ref="R37">IF(ISBLANK(INDEX(big_daily_table,MATCH(DATE(R$5,$J37,$I37),daily_dates,0),MATCH($B$3,daily_items,0))),NA(),INDEX(big_daily_table,MATCH(DATE(R$5,$J37,$I37),daily_dates,0),MATCH($B$3,daily_items,0)))</f>
        <v>#N/A</v>
      </c>
      <c r="S37" s="1" t="str">
        <f t="array" ref="S37">IF(ISBLANK(INDEX(big_daily_table,MATCH(DATE(S$5,$J37,$I37),daily_dates,0),MATCH($B$3,daily_items,0))),NA(),INDEX(big_daily_table,MATCH(DATE(S$5,$J37,$I37),daily_dates,0),MATCH($B$3,daily_items,0)))</f>
        <v>#N/A</v>
      </c>
      <c r="T37" s="1" t="str">
        <f t="array" ref="T37">IF(ISBLANK(INDEX(big_daily_table,MATCH(DATE(T$5,$J37,$I37),daily_dates,0),MATCH($B$3,daily_items,0))),NA(),INDEX(big_daily_table,MATCH(DATE(T$5,$J37,$I37),daily_dates,0),MATCH($B$3,daily_items,0)))</f>
        <v>#N/A</v>
      </c>
      <c r="U37" s="1" t="str">
        <f t="array" ref="U37">IF(ISBLANK(INDEX(big_daily_table,MATCH(DATE(U$5,$J37,$I37),daily_dates,0),MATCH($B$3,daily_items,0))),NA(),INDEX(big_daily_table,MATCH(DATE(U$5,$J37,$I37),daily_dates,0),MATCH($B$3,daily_items,0)))</f>
        <v>#N/A</v>
      </c>
      <c r="V37" s="1" t="str">
        <f t="array" ref="V37">IF(ISBLANK(INDEX(big_daily_table,MATCH(DATE(V$5,$J37,$I37),daily_dates,0),MATCH($B$3,daily_items,0))),NA(),INDEX(big_daily_table,MATCH(DATE(V$5,$J37,$I37),daily_dates,0),MATCH($B$3,daily_items,0)))</f>
        <v>#N/A</v>
      </c>
      <c r="W37" s="1" t="str">
        <f t="array" ref="W37">IF(ISBLANK(INDEX(big_daily_table,MATCH(DATE(W$5,$J37,$I37),daily_dates,0),MATCH($B$3,daily_items,0))),NA(),INDEX(big_daily_table,MATCH(DATE(W$5,$J37,$I37),daily_dates,0),MATCH($B$3,daily_items,0)))</f>
        <v>#N/A</v>
      </c>
      <c r="X37" s="1" t="str">
        <f t="array" ref="X37">IF(ISBLANK(INDEX(big_daily_table,MATCH(DATE(X$5,$J37,$I37),daily_dates,0),MATCH($B$3,daily_items,0))),NA(),INDEX(big_daily_table,MATCH(DATE(X$5,$J37,$I37),daily_dates,0),MATCH($B$3,daily_items,0)))</f>
        <v>#N/A</v>
      </c>
      <c r="Y37" s="1" t="str">
        <f t="array" ref="Y37">IF(ISBLANK(INDEX(big_daily_table,MATCH(DATE(Y$5,$J37,$I37),daily_dates,0),MATCH($B$3,daily_items,0))),NA(),INDEX(big_daily_table,MATCH(DATE(Y$5,$J37,$I37),daily_dates,0),MATCH($B$3,daily_items,0)))</f>
        <v>#N/A</v>
      </c>
      <c r="Z37" s="1" t="str">
        <f t="shared" si="5"/>
        <v>#NAME?</v>
      </c>
      <c r="AA37" s="1" t="str">
        <f t="shared" si="6"/>
        <v>#NAME?</v>
      </c>
      <c r="AB37" s="1" t="str">
        <f t="shared" si="7"/>
        <v>#NAME?</v>
      </c>
      <c r="AC37" s="1" t="str">
        <f t="shared" si="8"/>
        <v>#NAME?</v>
      </c>
    </row>
    <row r="38" ht="14.25" customHeight="1">
      <c r="H38" s="1">
        <f t="shared" si="9"/>
        <v>33</v>
      </c>
      <c r="I38" s="1">
        <f t="shared" si="2"/>
        <v>2</v>
      </c>
      <c r="J38" s="1">
        <f t="shared" si="3"/>
        <v>2</v>
      </c>
      <c r="K38" s="23">
        <f t="shared" si="10"/>
        <v>36558</v>
      </c>
      <c r="L38" s="24">
        <f t="shared" si="4"/>
        <v>-1000000</v>
      </c>
      <c r="M38" s="1" t="str">
        <f t="array" ref="M38">IF(K38&gt;0,INDEX(big_daily_table,MATCH(DATE(N$5,$J38,$I38),daily_dates,0),MATCH($B$3,daily_items,0)),NA())</f>
        <v>#N/A</v>
      </c>
      <c r="N38" s="1" t="str">
        <f t="array" ref="N38">IF(L38&lt;0,INDEX(big_daily_table,MATCH(DATE(N$5,$J38,$I38),daily_dates,0),MATCH($B$3,daily_items,0)),NA())</f>
        <v>#N/A</v>
      </c>
      <c r="O38" s="1" t="str">
        <f t="array" ref="O38">IF(ISBLANK(INDEX(big_daily_table,MATCH(DATE(O$5,$J38,$I38),daily_dates,0),MATCH($B$3,daily_items,0))),NA(),INDEX(big_daily_table,MATCH(DATE(O$5,$J38,$I38),daily_dates,0),MATCH($B$3,daily_items,0)))</f>
        <v>#N/A</v>
      </c>
      <c r="P38" s="1" t="str">
        <f t="array" ref="P38">IF(ISBLANK(INDEX(big_daily_table,MATCH(DATE(P$5,$J38,$I38),daily_dates,0),MATCH($B$3,daily_items,0))),NA(),INDEX(big_daily_table,MATCH(DATE(P$5,$J38,$I38),daily_dates,0),MATCH($B$3,daily_items,0)))</f>
        <v>#N/A</v>
      </c>
      <c r="Q38" s="1" t="str">
        <f t="array" ref="Q38">IF(ISBLANK(INDEX(big_daily_table,MATCH(DATE(Q$5,$J38,$I38),daily_dates,0),MATCH($B$3,daily_items,0))),NA(),INDEX(big_daily_table,MATCH(DATE(Q$5,$J38,$I38),daily_dates,0),MATCH($B$3,daily_items,0)))</f>
        <v>#N/A</v>
      </c>
      <c r="R38" s="1" t="str">
        <f t="array" ref="R38">IF(ISBLANK(INDEX(big_daily_table,MATCH(DATE(R$5,$J38,$I38),daily_dates,0),MATCH($B$3,daily_items,0))),NA(),INDEX(big_daily_table,MATCH(DATE(R$5,$J38,$I38),daily_dates,0),MATCH($B$3,daily_items,0)))</f>
        <v>#N/A</v>
      </c>
      <c r="S38" s="1" t="str">
        <f t="array" ref="S38">IF(ISBLANK(INDEX(big_daily_table,MATCH(DATE(S$5,$J38,$I38),daily_dates,0),MATCH($B$3,daily_items,0))),NA(),INDEX(big_daily_table,MATCH(DATE(S$5,$J38,$I38),daily_dates,0),MATCH($B$3,daily_items,0)))</f>
        <v>#N/A</v>
      </c>
      <c r="T38" s="1" t="str">
        <f t="array" ref="T38">IF(ISBLANK(INDEX(big_daily_table,MATCH(DATE(T$5,$J38,$I38),daily_dates,0),MATCH($B$3,daily_items,0))),NA(),INDEX(big_daily_table,MATCH(DATE(T$5,$J38,$I38),daily_dates,0),MATCH($B$3,daily_items,0)))</f>
        <v>#N/A</v>
      </c>
      <c r="U38" s="1" t="str">
        <f t="array" ref="U38">IF(ISBLANK(INDEX(big_daily_table,MATCH(DATE(U$5,$J38,$I38),daily_dates,0),MATCH($B$3,daily_items,0))),NA(),INDEX(big_daily_table,MATCH(DATE(U$5,$J38,$I38),daily_dates,0),MATCH($B$3,daily_items,0)))</f>
        <v>#N/A</v>
      </c>
      <c r="V38" s="1" t="str">
        <f t="array" ref="V38">IF(ISBLANK(INDEX(big_daily_table,MATCH(DATE(V$5,$J38,$I38),daily_dates,0),MATCH($B$3,daily_items,0))),NA(),INDEX(big_daily_table,MATCH(DATE(V$5,$J38,$I38),daily_dates,0),MATCH($B$3,daily_items,0)))</f>
        <v>#N/A</v>
      </c>
      <c r="W38" s="1" t="str">
        <f t="array" ref="W38">IF(ISBLANK(INDEX(big_daily_table,MATCH(DATE(W$5,$J38,$I38),daily_dates,0),MATCH($B$3,daily_items,0))),NA(),INDEX(big_daily_table,MATCH(DATE(W$5,$J38,$I38),daily_dates,0),MATCH($B$3,daily_items,0)))</f>
        <v>#N/A</v>
      </c>
      <c r="X38" s="1" t="str">
        <f t="array" ref="X38">IF(ISBLANK(INDEX(big_daily_table,MATCH(DATE(X$5,$J38,$I38),daily_dates,0),MATCH($B$3,daily_items,0))),NA(),INDEX(big_daily_table,MATCH(DATE(X$5,$J38,$I38),daily_dates,0),MATCH($B$3,daily_items,0)))</f>
        <v>#N/A</v>
      </c>
      <c r="Y38" s="1" t="str">
        <f t="array" ref="Y38">IF(ISBLANK(INDEX(big_daily_table,MATCH(DATE(Y$5,$J38,$I38),daily_dates,0),MATCH($B$3,daily_items,0))),NA(),INDEX(big_daily_table,MATCH(DATE(Y$5,$J38,$I38),daily_dates,0),MATCH($B$3,daily_items,0)))</f>
        <v>#N/A</v>
      </c>
      <c r="Z38" s="1" t="str">
        <f t="shared" si="5"/>
        <v>#NAME?</v>
      </c>
      <c r="AA38" s="1" t="str">
        <f t="shared" si="6"/>
        <v>#NAME?</v>
      </c>
      <c r="AB38" s="1" t="str">
        <f t="shared" si="7"/>
        <v>#NAME?</v>
      </c>
      <c r="AC38" s="1" t="str">
        <f t="shared" si="8"/>
        <v>#NAME?</v>
      </c>
    </row>
    <row r="39" ht="14.25" customHeight="1">
      <c r="H39" s="1">
        <f t="shared" si="9"/>
        <v>34</v>
      </c>
      <c r="I39" s="1">
        <f t="shared" si="2"/>
        <v>3</v>
      </c>
      <c r="J39" s="1">
        <f t="shared" si="3"/>
        <v>2</v>
      </c>
      <c r="K39" s="23">
        <f t="shared" si="10"/>
        <v>36559</v>
      </c>
      <c r="L39" s="24">
        <f t="shared" si="4"/>
        <v>-1000000</v>
      </c>
      <c r="M39" s="1" t="str">
        <f t="array" ref="M39">IF(K39&gt;0,INDEX(big_daily_table,MATCH(DATE(N$5,$J39,$I39),daily_dates,0),MATCH($B$3,daily_items,0)),NA())</f>
        <v>#N/A</v>
      </c>
      <c r="N39" s="1" t="str">
        <f t="array" ref="N39">IF(L39&lt;0,INDEX(big_daily_table,MATCH(DATE(N$5,$J39,$I39),daily_dates,0),MATCH($B$3,daily_items,0)),NA())</f>
        <v>#N/A</v>
      </c>
      <c r="O39" s="1" t="str">
        <f t="array" ref="O39">IF(ISBLANK(INDEX(big_daily_table,MATCH(DATE(O$5,$J39,$I39),daily_dates,0),MATCH($B$3,daily_items,0))),NA(),INDEX(big_daily_table,MATCH(DATE(O$5,$J39,$I39),daily_dates,0),MATCH($B$3,daily_items,0)))</f>
        <v>#N/A</v>
      </c>
      <c r="P39" s="1" t="str">
        <f t="array" ref="P39">IF(ISBLANK(INDEX(big_daily_table,MATCH(DATE(P$5,$J39,$I39),daily_dates,0),MATCH($B$3,daily_items,0))),NA(),INDEX(big_daily_table,MATCH(DATE(P$5,$J39,$I39),daily_dates,0),MATCH($B$3,daily_items,0)))</f>
        <v>#N/A</v>
      </c>
      <c r="Q39" s="1" t="str">
        <f t="array" ref="Q39">IF(ISBLANK(INDEX(big_daily_table,MATCH(DATE(Q$5,$J39,$I39),daily_dates,0),MATCH($B$3,daily_items,0))),NA(),INDEX(big_daily_table,MATCH(DATE(Q$5,$J39,$I39),daily_dates,0),MATCH($B$3,daily_items,0)))</f>
        <v>#N/A</v>
      </c>
      <c r="R39" s="1" t="str">
        <f t="array" ref="R39">IF(ISBLANK(INDEX(big_daily_table,MATCH(DATE(R$5,$J39,$I39),daily_dates,0),MATCH($B$3,daily_items,0))),NA(),INDEX(big_daily_table,MATCH(DATE(R$5,$J39,$I39),daily_dates,0),MATCH($B$3,daily_items,0)))</f>
        <v>#N/A</v>
      </c>
      <c r="S39" s="1" t="str">
        <f t="array" ref="S39">IF(ISBLANK(INDEX(big_daily_table,MATCH(DATE(S$5,$J39,$I39),daily_dates,0),MATCH($B$3,daily_items,0))),NA(),INDEX(big_daily_table,MATCH(DATE(S$5,$J39,$I39),daily_dates,0),MATCH($B$3,daily_items,0)))</f>
        <v>#N/A</v>
      </c>
      <c r="T39" s="1" t="str">
        <f t="array" ref="T39">IF(ISBLANK(INDEX(big_daily_table,MATCH(DATE(T$5,$J39,$I39),daily_dates,0),MATCH($B$3,daily_items,0))),NA(),INDEX(big_daily_table,MATCH(DATE(T$5,$J39,$I39),daily_dates,0),MATCH($B$3,daily_items,0)))</f>
        <v>#N/A</v>
      </c>
      <c r="U39" s="1" t="str">
        <f t="array" ref="U39">IF(ISBLANK(INDEX(big_daily_table,MATCH(DATE(U$5,$J39,$I39),daily_dates,0),MATCH($B$3,daily_items,0))),NA(),INDEX(big_daily_table,MATCH(DATE(U$5,$J39,$I39),daily_dates,0),MATCH($B$3,daily_items,0)))</f>
        <v>#N/A</v>
      </c>
      <c r="V39" s="1" t="str">
        <f t="array" ref="V39">IF(ISBLANK(INDEX(big_daily_table,MATCH(DATE(V$5,$J39,$I39),daily_dates,0),MATCH($B$3,daily_items,0))),NA(),INDEX(big_daily_table,MATCH(DATE(V$5,$J39,$I39),daily_dates,0),MATCH($B$3,daily_items,0)))</f>
        <v>#N/A</v>
      </c>
      <c r="W39" s="1" t="str">
        <f t="array" ref="W39">IF(ISBLANK(INDEX(big_daily_table,MATCH(DATE(W$5,$J39,$I39),daily_dates,0),MATCH($B$3,daily_items,0))),NA(),INDEX(big_daily_table,MATCH(DATE(W$5,$J39,$I39),daily_dates,0),MATCH($B$3,daily_items,0)))</f>
        <v>#N/A</v>
      </c>
      <c r="X39" s="1" t="str">
        <f t="array" ref="X39">IF(ISBLANK(INDEX(big_daily_table,MATCH(DATE(X$5,$J39,$I39),daily_dates,0),MATCH($B$3,daily_items,0))),NA(),INDEX(big_daily_table,MATCH(DATE(X$5,$J39,$I39),daily_dates,0),MATCH($B$3,daily_items,0)))</f>
        <v>#N/A</v>
      </c>
      <c r="Y39" s="1" t="str">
        <f t="array" ref="Y39">IF(ISBLANK(INDEX(big_daily_table,MATCH(DATE(Y$5,$J39,$I39),daily_dates,0),MATCH($B$3,daily_items,0))),NA(),INDEX(big_daily_table,MATCH(DATE(Y$5,$J39,$I39),daily_dates,0),MATCH($B$3,daily_items,0)))</f>
        <v>#N/A</v>
      </c>
      <c r="Z39" s="1" t="str">
        <f t="shared" si="5"/>
        <v>#NAME?</v>
      </c>
      <c r="AA39" s="1" t="str">
        <f t="shared" si="6"/>
        <v>#NAME?</v>
      </c>
      <c r="AB39" s="1" t="str">
        <f t="shared" si="7"/>
        <v>#NAME?</v>
      </c>
      <c r="AC39" s="1" t="str">
        <f t="shared" si="8"/>
        <v>#NAME?</v>
      </c>
    </row>
    <row r="40" ht="14.25" customHeight="1">
      <c r="H40" s="1">
        <f t="shared" si="9"/>
        <v>35</v>
      </c>
      <c r="I40" s="1">
        <f t="shared" si="2"/>
        <v>4</v>
      </c>
      <c r="J40" s="1">
        <f t="shared" si="3"/>
        <v>2</v>
      </c>
      <c r="K40" s="23">
        <f t="shared" si="10"/>
        <v>36560</v>
      </c>
      <c r="L40" s="24">
        <f t="shared" si="4"/>
        <v>-1000000</v>
      </c>
      <c r="M40" s="1" t="str">
        <f t="array" ref="M40">IF(K40&gt;0,INDEX(big_daily_table,MATCH(DATE(N$5,$J40,$I40),daily_dates,0),MATCH($B$3,daily_items,0)),NA())</f>
        <v>#N/A</v>
      </c>
      <c r="N40" s="1" t="str">
        <f t="array" ref="N40">IF(L40&lt;0,INDEX(big_daily_table,MATCH(DATE(N$5,$J40,$I40),daily_dates,0),MATCH($B$3,daily_items,0)),NA())</f>
        <v>#N/A</v>
      </c>
      <c r="O40" s="1" t="str">
        <f t="array" ref="O40">IF(ISBLANK(INDEX(big_daily_table,MATCH(DATE(O$5,$J40,$I40),daily_dates,0),MATCH($B$3,daily_items,0))),NA(),INDEX(big_daily_table,MATCH(DATE(O$5,$J40,$I40),daily_dates,0),MATCH($B$3,daily_items,0)))</f>
        <v>#N/A</v>
      </c>
      <c r="P40" s="1" t="str">
        <f t="array" ref="P40">IF(ISBLANK(INDEX(big_daily_table,MATCH(DATE(P$5,$J40,$I40),daily_dates,0),MATCH($B$3,daily_items,0))),NA(),INDEX(big_daily_table,MATCH(DATE(P$5,$J40,$I40),daily_dates,0),MATCH($B$3,daily_items,0)))</f>
        <v>#N/A</v>
      </c>
      <c r="Q40" s="1" t="str">
        <f t="array" ref="Q40">IF(ISBLANK(INDEX(big_daily_table,MATCH(DATE(Q$5,$J40,$I40),daily_dates,0),MATCH($B$3,daily_items,0))),NA(),INDEX(big_daily_table,MATCH(DATE(Q$5,$J40,$I40),daily_dates,0),MATCH($B$3,daily_items,0)))</f>
        <v>#N/A</v>
      </c>
      <c r="R40" s="1" t="str">
        <f t="array" ref="R40">IF(ISBLANK(INDEX(big_daily_table,MATCH(DATE(R$5,$J40,$I40),daily_dates,0),MATCH($B$3,daily_items,0))),NA(),INDEX(big_daily_table,MATCH(DATE(R$5,$J40,$I40),daily_dates,0),MATCH($B$3,daily_items,0)))</f>
        <v>#N/A</v>
      </c>
      <c r="S40" s="1" t="str">
        <f t="array" ref="S40">IF(ISBLANK(INDEX(big_daily_table,MATCH(DATE(S$5,$J40,$I40),daily_dates,0),MATCH($B$3,daily_items,0))),NA(),INDEX(big_daily_table,MATCH(DATE(S$5,$J40,$I40),daily_dates,0),MATCH($B$3,daily_items,0)))</f>
        <v>#N/A</v>
      </c>
      <c r="T40" s="1" t="str">
        <f t="array" ref="T40">IF(ISBLANK(INDEX(big_daily_table,MATCH(DATE(T$5,$J40,$I40),daily_dates,0),MATCH($B$3,daily_items,0))),NA(),INDEX(big_daily_table,MATCH(DATE(T$5,$J40,$I40),daily_dates,0),MATCH($B$3,daily_items,0)))</f>
        <v>#N/A</v>
      </c>
      <c r="U40" s="1" t="str">
        <f t="array" ref="U40">IF(ISBLANK(INDEX(big_daily_table,MATCH(DATE(U$5,$J40,$I40),daily_dates,0),MATCH($B$3,daily_items,0))),NA(),INDEX(big_daily_table,MATCH(DATE(U$5,$J40,$I40),daily_dates,0),MATCH($B$3,daily_items,0)))</f>
        <v>#N/A</v>
      </c>
      <c r="V40" s="1" t="str">
        <f t="array" ref="V40">IF(ISBLANK(INDEX(big_daily_table,MATCH(DATE(V$5,$J40,$I40),daily_dates,0),MATCH($B$3,daily_items,0))),NA(),INDEX(big_daily_table,MATCH(DATE(V$5,$J40,$I40),daily_dates,0),MATCH($B$3,daily_items,0)))</f>
        <v>#N/A</v>
      </c>
      <c r="W40" s="1" t="str">
        <f t="array" ref="W40">IF(ISBLANK(INDEX(big_daily_table,MATCH(DATE(W$5,$J40,$I40),daily_dates,0),MATCH($B$3,daily_items,0))),NA(),INDEX(big_daily_table,MATCH(DATE(W$5,$J40,$I40),daily_dates,0),MATCH($B$3,daily_items,0)))</f>
        <v>#N/A</v>
      </c>
      <c r="X40" s="1" t="str">
        <f t="array" ref="X40">IF(ISBLANK(INDEX(big_daily_table,MATCH(DATE(X$5,$J40,$I40),daily_dates,0),MATCH($B$3,daily_items,0))),NA(),INDEX(big_daily_table,MATCH(DATE(X$5,$J40,$I40),daily_dates,0),MATCH($B$3,daily_items,0)))</f>
        <v>#N/A</v>
      </c>
      <c r="Y40" s="1" t="str">
        <f t="array" ref="Y40">IF(ISBLANK(INDEX(big_daily_table,MATCH(DATE(Y$5,$J40,$I40),daily_dates,0),MATCH($B$3,daily_items,0))),NA(),INDEX(big_daily_table,MATCH(DATE(Y$5,$J40,$I40),daily_dates,0),MATCH($B$3,daily_items,0)))</f>
        <v>#N/A</v>
      </c>
      <c r="Z40" s="1" t="str">
        <f t="shared" si="5"/>
        <v>#NAME?</v>
      </c>
      <c r="AA40" s="1" t="str">
        <f t="shared" si="6"/>
        <v>#NAME?</v>
      </c>
      <c r="AB40" s="1" t="str">
        <f t="shared" si="7"/>
        <v>#NAME?</v>
      </c>
      <c r="AC40" s="1" t="str">
        <f t="shared" si="8"/>
        <v>#NAME?</v>
      </c>
    </row>
    <row r="41" ht="14.25" customHeight="1">
      <c r="H41" s="1">
        <f t="shared" si="9"/>
        <v>36</v>
      </c>
      <c r="I41" s="1">
        <f t="shared" si="2"/>
        <v>5</v>
      </c>
      <c r="J41" s="1">
        <f t="shared" si="3"/>
        <v>2</v>
      </c>
      <c r="K41" s="23">
        <f t="shared" si="10"/>
        <v>36561</v>
      </c>
      <c r="L41" s="24">
        <f t="shared" si="4"/>
        <v>-1000000</v>
      </c>
      <c r="M41" s="1" t="str">
        <f t="array" ref="M41">IF(K41&gt;0,INDEX(big_daily_table,MATCH(DATE(N$5,$J41,$I41),daily_dates,0),MATCH($B$3,daily_items,0)),NA())</f>
        <v>#N/A</v>
      </c>
      <c r="N41" s="1" t="str">
        <f t="array" ref="N41">IF(L41&lt;0,INDEX(big_daily_table,MATCH(DATE(N$5,$J41,$I41),daily_dates,0),MATCH($B$3,daily_items,0)),NA())</f>
        <v>#N/A</v>
      </c>
      <c r="O41" s="1" t="str">
        <f t="array" ref="O41">IF(ISBLANK(INDEX(big_daily_table,MATCH(DATE(O$5,$J41,$I41),daily_dates,0),MATCH($B$3,daily_items,0))),NA(),INDEX(big_daily_table,MATCH(DATE(O$5,$J41,$I41),daily_dates,0),MATCH($B$3,daily_items,0)))</f>
        <v>#N/A</v>
      </c>
      <c r="P41" s="1" t="str">
        <f t="array" ref="P41">IF(ISBLANK(INDEX(big_daily_table,MATCH(DATE(P$5,$J41,$I41),daily_dates,0),MATCH($B$3,daily_items,0))),NA(),INDEX(big_daily_table,MATCH(DATE(P$5,$J41,$I41),daily_dates,0),MATCH($B$3,daily_items,0)))</f>
        <v>#N/A</v>
      </c>
      <c r="Q41" s="1" t="str">
        <f t="array" ref="Q41">IF(ISBLANK(INDEX(big_daily_table,MATCH(DATE(Q$5,$J41,$I41),daily_dates,0),MATCH($B$3,daily_items,0))),NA(),INDEX(big_daily_table,MATCH(DATE(Q$5,$J41,$I41),daily_dates,0),MATCH($B$3,daily_items,0)))</f>
        <v>#N/A</v>
      </c>
      <c r="R41" s="1" t="str">
        <f t="array" ref="R41">IF(ISBLANK(INDEX(big_daily_table,MATCH(DATE(R$5,$J41,$I41),daily_dates,0),MATCH($B$3,daily_items,0))),NA(),INDEX(big_daily_table,MATCH(DATE(R$5,$J41,$I41),daily_dates,0),MATCH($B$3,daily_items,0)))</f>
        <v>#N/A</v>
      </c>
      <c r="S41" s="1" t="str">
        <f t="array" ref="S41">IF(ISBLANK(INDEX(big_daily_table,MATCH(DATE(S$5,$J41,$I41),daily_dates,0),MATCH($B$3,daily_items,0))),NA(),INDEX(big_daily_table,MATCH(DATE(S$5,$J41,$I41),daily_dates,0),MATCH($B$3,daily_items,0)))</f>
        <v>#N/A</v>
      </c>
      <c r="T41" s="1" t="str">
        <f t="array" ref="T41">IF(ISBLANK(INDEX(big_daily_table,MATCH(DATE(T$5,$J41,$I41),daily_dates,0),MATCH($B$3,daily_items,0))),NA(),INDEX(big_daily_table,MATCH(DATE(T$5,$J41,$I41),daily_dates,0),MATCH($B$3,daily_items,0)))</f>
        <v>#N/A</v>
      </c>
      <c r="U41" s="1" t="str">
        <f t="array" ref="U41">IF(ISBLANK(INDEX(big_daily_table,MATCH(DATE(U$5,$J41,$I41),daily_dates,0),MATCH($B$3,daily_items,0))),NA(),INDEX(big_daily_table,MATCH(DATE(U$5,$J41,$I41),daily_dates,0),MATCH($B$3,daily_items,0)))</f>
        <v>#N/A</v>
      </c>
      <c r="V41" s="1" t="str">
        <f t="array" ref="V41">IF(ISBLANK(INDEX(big_daily_table,MATCH(DATE(V$5,$J41,$I41),daily_dates,0),MATCH($B$3,daily_items,0))),NA(),INDEX(big_daily_table,MATCH(DATE(V$5,$J41,$I41),daily_dates,0),MATCH($B$3,daily_items,0)))</f>
        <v>#N/A</v>
      </c>
      <c r="W41" s="1" t="str">
        <f t="array" ref="W41">IF(ISBLANK(INDEX(big_daily_table,MATCH(DATE(W$5,$J41,$I41),daily_dates,0),MATCH($B$3,daily_items,0))),NA(),INDEX(big_daily_table,MATCH(DATE(W$5,$J41,$I41),daily_dates,0),MATCH($B$3,daily_items,0)))</f>
        <v>#N/A</v>
      </c>
      <c r="X41" s="1" t="str">
        <f t="array" ref="X41">IF(ISBLANK(INDEX(big_daily_table,MATCH(DATE(X$5,$J41,$I41),daily_dates,0),MATCH($B$3,daily_items,0))),NA(),INDEX(big_daily_table,MATCH(DATE(X$5,$J41,$I41),daily_dates,0),MATCH($B$3,daily_items,0)))</f>
        <v>#N/A</v>
      </c>
      <c r="Y41" s="1" t="str">
        <f t="array" ref="Y41">IF(ISBLANK(INDEX(big_daily_table,MATCH(DATE(Y$5,$J41,$I41),daily_dates,0),MATCH($B$3,daily_items,0))),NA(),INDEX(big_daily_table,MATCH(DATE(Y$5,$J41,$I41),daily_dates,0),MATCH($B$3,daily_items,0)))</f>
        <v>#N/A</v>
      </c>
      <c r="Z41" s="1" t="str">
        <f t="shared" si="5"/>
        <v>#NAME?</v>
      </c>
      <c r="AA41" s="1" t="str">
        <f t="shared" si="6"/>
        <v>#NAME?</v>
      </c>
      <c r="AB41" s="1" t="str">
        <f t="shared" si="7"/>
        <v>#NAME?</v>
      </c>
      <c r="AC41" s="1" t="str">
        <f t="shared" si="8"/>
        <v>#NAME?</v>
      </c>
    </row>
    <row r="42" ht="14.25" customHeight="1">
      <c r="H42" s="1">
        <f t="shared" si="9"/>
        <v>37</v>
      </c>
      <c r="I42" s="1">
        <f t="shared" si="2"/>
        <v>6</v>
      </c>
      <c r="J42" s="1">
        <f t="shared" si="3"/>
        <v>2</v>
      </c>
      <c r="K42" s="23">
        <f t="shared" si="10"/>
        <v>36562</v>
      </c>
      <c r="L42" s="24">
        <f t="shared" si="4"/>
        <v>-1000000</v>
      </c>
      <c r="M42" s="1" t="str">
        <f t="array" ref="M42">IF(K42&gt;0,INDEX(big_daily_table,MATCH(DATE(N$5,$J42,$I42),daily_dates,0),MATCH($B$3,daily_items,0)),NA())</f>
        <v>#N/A</v>
      </c>
      <c r="N42" s="1" t="str">
        <f t="array" ref="N42">IF(L42&lt;0,INDEX(big_daily_table,MATCH(DATE(N$5,$J42,$I42),daily_dates,0),MATCH($B$3,daily_items,0)),NA())</f>
        <v>#N/A</v>
      </c>
      <c r="O42" s="1" t="str">
        <f t="array" ref="O42">IF(ISBLANK(INDEX(big_daily_table,MATCH(DATE(O$5,$J42,$I42),daily_dates,0),MATCH($B$3,daily_items,0))),NA(),INDEX(big_daily_table,MATCH(DATE(O$5,$J42,$I42),daily_dates,0),MATCH($B$3,daily_items,0)))</f>
        <v>#N/A</v>
      </c>
      <c r="P42" s="1" t="str">
        <f t="array" ref="P42">IF(ISBLANK(INDEX(big_daily_table,MATCH(DATE(P$5,$J42,$I42),daily_dates,0),MATCH($B$3,daily_items,0))),NA(),INDEX(big_daily_table,MATCH(DATE(P$5,$J42,$I42),daily_dates,0),MATCH($B$3,daily_items,0)))</f>
        <v>#N/A</v>
      </c>
      <c r="Q42" s="1" t="str">
        <f t="array" ref="Q42">IF(ISBLANK(INDEX(big_daily_table,MATCH(DATE(Q$5,$J42,$I42),daily_dates,0),MATCH($B$3,daily_items,0))),NA(),INDEX(big_daily_table,MATCH(DATE(Q$5,$J42,$I42),daily_dates,0),MATCH($B$3,daily_items,0)))</f>
        <v>#N/A</v>
      </c>
      <c r="R42" s="1" t="str">
        <f t="array" ref="R42">IF(ISBLANK(INDEX(big_daily_table,MATCH(DATE(R$5,$J42,$I42),daily_dates,0),MATCH($B$3,daily_items,0))),NA(),INDEX(big_daily_table,MATCH(DATE(R$5,$J42,$I42),daily_dates,0),MATCH($B$3,daily_items,0)))</f>
        <v>#N/A</v>
      </c>
      <c r="S42" s="1" t="str">
        <f t="array" ref="S42">IF(ISBLANK(INDEX(big_daily_table,MATCH(DATE(S$5,$J42,$I42),daily_dates,0),MATCH($B$3,daily_items,0))),NA(),INDEX(big_daily_table,MATCH(DATE(S$5,$J42,$I42),daily_dates,0),MATCH($B$3,daily_items,0)))</f>
        <v>#N/A</v>
      </c>
      <c r="T42" s="1" t="str">
        <f t="array" ref="T42">IF(ISBLANK(INDEX(big_daily_table,MATCH(DATE(T$5,$J42,$I42),daily_dates,0),MATCH($B$3,daily_items,0))),NA(),INDEX(big_daily_table,MATCH(DATE(T$5,$J42,$I42),daily_dates,0),MATCH($B$3,daily_items,0)))</f>
        <v>#N/A</v>
      </c>
      <c r="U42" s="1" t="str">
        <f t="array" ref="U42">IF(ISBLANK(INDEX(big_daily_table,MATCH(DATE(U$5,$J42,$I42),daily_dates,0),MATCH($B$3,daily_items,0))),NA(),INDEX(big_daily_table,MATCH(DATE(U$5,$J42,$I42),daily_dates,0),MATCH($B$3,daily_items,0)))</f>
        <v>#N/A</v>
      </c>
      <c r="V42" s="1" t="str">
        <f t="array" ref="V42">IF(ISBLANK(INDEX(big_daily_table,MATCH(DATE(V$5,$J42,$I42),daily_dates,0),MATCH($B$3,daily_items,0))),NA(),INDEX(big_daily_table,MATCH(DATE(V$5,$J42,$I42),daily_dates,0),MATCH($B$3,daily_items,0)))</f>
        <v>#N/A</v>
      </c>
      <c r="W42" s="1" t="str">
        <f t="array" ref="W42">IF(ISBLANK(INDEX(big_daily_table,MATCH(DATE(W$5,$J42,$I42),daily_dates,0),MATCH($B$3,daily_items,0))),NA(),INDEX(big_daily_table,MATCH(DATE(W$5,$J42,$I42),daily_dates,0),MATCH($B$3,daily_items,0)))</f>
        <v>#N/A</v>
      </c>
      <c r="X42" s="1" t="str">
        <f t="array" ref="X42">IF(ISBLANK(INDEX(big_daily_table,MATCH(DATE(X$5,$J42,$I42),daily_dates,0),MATCH($B$3,daily_items,0))),NA(),INDEX(big_daily_table,MATCH(DATE(X$5,$J42,$I42),daily_dates,0),MATCH($B$3,daily_items,0)))</f>
        <v>#N/A</v>
      </c>
      <c r="Y42" s="1" t="str">
        <f t="array" ref="Y42">IF(ISBLANK(INDEX(big_daily_table,MATCH(DATE(Y$5,$J42,$I42),daily_dates,0),MATCH($B$3,daily_items,0))),NA(),INDEX(big_daily_table,MATCH(DATE(Y$5,$J42,$I42),daily_dates,0),MATCH($B$3,daily_items,0)))</f>
        <v>#N/A</v>
      </c>
      <c r="Z42" s="1" t="str">
        <f t="shared" si="5"/>
        <v>#NAME?</v>
      </c>
      <c r="AA42" s="1" t="str">
        <f t="shared" si="6"/>
        <v>#NAME?</v>
      </c>
      <c r="AB42" s="1" t="str">
        <f t="shared" si="7"/>
        <v>#NAME?</v>
      </c>
      <c r="AC42" s="1" t="str">
        <f t="shared" si="8"/>
        <v>#NAME?</v>
      </c>
    </row>
    <row r="43" ht="14.25" customHeight="1">
      <c r="H43" s="1">
        <f t="shared" si="9"/>
        <v>38</v>
      </c>
      <c r="I43" s="1">
        <f t="shared" si="2"/>
        <v>7</v>
      </c>
      <c r="J43" s="1">
        <f t="shared" si="3"/>
        <v>2</v>
      </c>
      <c r="K43" s="23">
        <f t="shared" si="10"/>
        <v>36563</v>
      </c>
      <c r="L43" s="24">
        <f t="shared" si="4"/>
        <v>-1000000</v>
      </c>
      <c r="M43" s="1" t="str">
        <f t="array" ref="M43">IF(K43&gt;0,INDEX(big_daily_table,MATCH(DATE(N$5,$J43,$I43),daily_dates,0),MATCH($B$3,daily_items,0)),NA())</f>
        <v>#N/A</v>
      </c>
      <c r="N43" s="1" t="str">
        <f t="array" ref="N43">IF(L43&lt;0,INDEX(big_daily_table,MATCH(DATE(N$5,$J43,$I43),daily_dates,0),MATCH($B$3,daily_items,0)),NA())</f>
        <v>#N/A</v>
      </c>
      <c r="O43" s="1" t="str">
        <f t="array" ref="O43">IF(ISBLANK(INDEX(big_daily_table,MATCH(DATE(O$5,$J43,$I43),daily_dates,0),MATCH($B$3,daily_items,0))),NA(),INDEX(big_daily_table,MATCH(DATE(O$5,$J43,$I43),daily_dates,0),MATCH($B$3,daily_items,0)))</f>
        <v>#N/A</v>
      </c>
      <c r="P43" s="1" t="str">
        <f t="array" ref="P43">IF(ISBLANK(INDEX(big_daily_table,MATCH(DATE(P$5,$J43,$I43),daily_dates,0),MATCH($B$3,daily_items,0))),NA(),INDEX(big_daily_table,MATCH(DATE(P$5,$J43,$I43),daily_dates,0),MATCH($B$3,daily_items,0)))</f>
        <v>#N/A</v>
      </c>
      <c r="Q43" s="1" t="str">
        <f t="array" ref="Q43">IF(ISBLANK(INDEX(big_daily_table,MATCH(DATE(Q$5,$J43,$I43),daily_dates,0),MATCH($B$3,daily_items,0))),NA(),INDEX(big_daily_table,MATCH(DATE(Q$5,$J43,$I43),daily_dates,0),MATCH($B$3,daily_items,0)))</f>
        <v>#N/A</v>
      </c>
      <c r="R43" s="1" t="str">
        <f t="array" ref="R43">IF(ISBLANK(INDEX(big_daily_table,MATCH(DATE(R$5,$J43,$I43),daily_dates,0),MATCH($B$3,daily_items,0))),NA(),INDEX(big_daily_table,MATCH(DATE(R$5,$J43,$I43),daily_dates,0),MATCH($B$3,daily_items,0)))</f>
        <v>#N/A</v>
      </c>
      <c r="S43" s="1" t="str">
        <f t="array" ref="S43">IF(ISBLANK(INDEX(big_daily_table,MATCH(DATE(S$5,$J43,$I43),daily_dates,0),MATCH($B$3,daily_items,0))),NA(),INDEX(big_daily_table,MATCH(DATE(S$5,$J43,$I43),daily_dates,0),MATCH($B$3,daily_items,0)))</f>
        <v>#N/A</v>
      </c>
      <c r="T43" s="1" t="str">
        <f t="array" ref="T43">IF(ISBLANK(INDEX(big_daily_table,MATCH(DATE(T$5,$J43,$I43),daily_dates,0),MATCH($B$3,daily_items,0))),NA(),INDEX(big_daily_table,MATCH(DATE(T$5,$J43,$I43),daily_dates,0),MATCH($B$3,daily_items,0)))</f>
        <v>#N/A</v>
      </c>
      <c r="U43" s="1" t="str">
        <f t="array" ref="U43">IF(ISBLANK(INDEX(big_daily_table,MATCH(DATE(U$5,$J43,$I43),daily_dates,0),MATCH($B$3,daily_items,0))),NA(),INDEX(big_daily_table,MATCH(DATE(U$5,$J43,$I43),daily_dates,0),MATCH($B$3,daily_items,0)))</f>
        <v>#N/A</v>
      </c>
      <c r="V43" s="1" t="str">
        <f t="array" ref="V43">IF(ISBLANK(INDEX(big_daily_table,MATCH(DATE(V$5,$J43,$I43),daily_dates,0),MATCH($B$3,daily_items,0))),NA(),INDEX(big_daily_table,MATCH(DATE(V$5,$J43,$I43),daily_dates,0),MATCH($B$3,daily_items,0)))</f>
        <v>#N/A</v>
      </c>
      <c r="W43" s="1" t="str">
        <f t="array" ref="W43">IF(ISBLANK(INDEX(big_daily_table,MATCH(DATE(W$5,$J43,$I43),daily_dates,0),MATCH($B$3,daily_items,0))),NA(),INDEX(big_daily_table,MATCH(DATE(W$5,$J43,$I43),daily_dates,0),MATCH($B$3,daily_items,0)))</f>
        <v>#N/A</v>
      </c>
      <c r="X43" s="1" t="str">
        <f t="array" ref="X43">IF(ISBLANK(INDEX(big_daily_table,MATCH(DATE(X$5,$J43,$I43),daily_dates,0),MATCH($B$3,daily_items,0))),NA(),INDEX(big_daily_table,MATCH(DATE(X$5,$J43,$I43),daily_dates,0),MATCH($B$3,daily_items,0)))</f>
        <v>#N/A</v>
      </c>
      <c r="Y43" s="1" t="str">
        <f t="array" ref="Y43">IF(ISBLANK(INDEX(big_daily_table,MATCH(DATE(Y$5,$J43,$I43),daily_dates,0),MATCH($B$3,daily_items,0))),NA(),INDEX(big_daily_table,MATCH(DATE(Y$5,$J43,$I43),daily_dates,0),MATCH($B$3,daily_items,0)))</f>
        <v>#N/A</v>
      </c>
      <c r="Z43" s="1" t="str">
        <f t="shared" si="5"/>
        <v>#NAME?</v>
      </c>
      <c r="AA43" s="1" t="str">
        <f t="shared" si="6"/>
        <v>#NAME?</v>
      </c>
      <c r="AB43" s="1" t="str">
        <f t="shared" si="7"/>
        <v>#NAME?</v>
      </c>
      <c r="AC43" s="1" t="str">
        <f t="shared" si="8"/>
        <v>#NAME?</v>
      </c>
    </row>
    <row r="44" ht="14.25" customHeight="1">
      <c r="H44" s="1">
        <f t="shared" si="9"/>
        <v>39</v>
      </c>
      <c r="I44" s="1">
        <f t="shared" si="2"/>
        <v>8</v>
      </c>
      <c r="J44" s="1">
        <f t="shared" si="3"/>
        <v>2</v>
      </c>
      <c r="K44" s="23">
        <f t="shared" si="10"/>
        <v>36564</v>
      </c>
      <c r="L44" s="24">
        <f t="shared" si="4"/>
        <v>-1000000</v>
      </c>
      <c r="M44" s="1" t="str">
        <f t="array" ref="M44">IF(K44&gt;0,INDEX(big_daily_table,MATCH(DATE(N$5,$J44,$I44),daily_dates,0),MATCH($B$3,daily_items,0)),NA())</f>
        <v>#N/A</v>
      </c>
      <c r="N44" s="1" t="str">
        <f t="array" ref="N44">IF(L44&lt;0,INDEX(big_daily_table,MATCH(DATE(N$5,$J44,$I44),daily_dates,0),MATCH($B$3,daily_items,0)),NA())</f>
        <v>#N/A</v>
      </c>
      <c r="O44" s="1" t="str">
        <f t="array" ref="O44">IF(ISBLANK(INDEX(big_daily_table,MATCH(DATE(O$5,$J44,$I44),daily_dates,0),MATCH($B$3,daily_items,0))),NA(),INDEX(big_daily_table,MATCH(DATE(O$5,$J44,$I44),daily_dates,0),MATCH($B$3,daily_items,0)))</f>
        <v>#N/A</v>
      </c>
      <c r="P44" s="1" t="str">
        <f t="array" ref="P44">IF(ISBLANK(INDEX(big_daily_table,MATCH(DATE(P$5,$J44,$I44),daily_dates,0),MATCH($B$3,daily_items,0))),NA(),INDEX(big_daily_table,MATCH(DATE(P$5,$J44,$I44),daily_dates,0),MATCH($B$3,daily_items,0)))</f>
        <v>#N/A</v>
      </c>
      <c r="Q44" s="1" t="str">
        <f t="array" ref="Q44">IF(ISBLANK(INDEX(big_daily_table,MATCH(DATE(Q$5,$J44,$I44),daily_dates,0),MATCH($B$3,daily_items,0))),NA(),INDEX(big_daily_table,MATCH(DATE(Q$5,$J44,$I44),daily_dates,0),MATCH($B$3,daily_items,0)))</f>
        <v>#N/A</v>
      </c>
      <c r="R44" s="1" t="str">
        <f t="array" ref="R44">IF(ISBLANK(INDEX(big_daily_table,MATCH(DATE(R$5,$J44,$I44),daily_dates,0),MATCH($B$3,daily_items,0))),NA(),INDEX(big_daily_table,MATCH(DATE(R$5,$J44,$I44),daily_dates,0),MATCH($B$3,daily_items,0)))</f>
        <v>#N/A</v>
      </c>
      <c r="S44" s="1" t="str">
        <f t="array" ref="S44">IF(ISBLANK(INDEX(big_daily_table,MATCH(DATE(S$5,$J44,$I44),daily_dates,0),MATCH($B$3,daily_items,0))),NA(),INDEX(big_daily_table,MATCH(DATE(S$5,$J44,$I44),daily_dates,0),MATCH($B$3,daily_items,0)))</f>
        <v>#N/A</v>
      </c>
      <c r="T44" s="1" t="str">
        <f t="array" ref="T44">IF(ISBLANK(INDEX(big_daily_table,MATCH(DATE(T$5,$J44,$I44),daily_dates,0),MATCH($B$3,daily_items,0))),NA(),INDEX(big_daily_table,MATCH(DATE(T$5,$J44,$I44),daily_dates,0),MATCH($B$3,daily_items,0)))</f>
        <v>#N/A</v>
      </c>
      <c r="U44" s="1" t="str">
        <f t="array" ref="U44">IF(ISBLANK(INDEX(big_daily_table,MATCH(DATE(U$5,$J44,$I44),daily_dates,0),MATCH($B$3,daily_items,0))),NA(),INDEX(big_daily_table,MATCH(DATE(U$5,$J44,$I44),daily_dates,0),MATCH($B$3,daily_items,0)))</f>
        <v>#N/A</v>
      </c>
      <c r="V44" s="1" t="str">
        <f t="array" ref="V44">IF(ISBLANK(INDEX(big_daily_table,MATCH(DATE(V$5,$J44,$I44),daily_dates,0),MATCH($B$3,daily_items,0))),NA(),INDEX(big_daily_table,MATCH(DATE(V$5,$J44,$I44),daily_dates,0),MATCH($B$3,daily_items,0)))</f>
        <v>#N/A</v>
      </c>
      <c r="W44" s="1" t="str">
        <f t="array" ref="W44">IF(ISBLANK(INDEX(big_daily_table,MATCH(DATE(W$5,$J44,$I44),daily_dates,0),MATCH($B$3,daily_items,0))),NA(),INDEX(big_daily_table,MATCH(DATE(W$5,$J44,$I44),daily_dates,0),MATCH($B$3,daily_items,0)))</f>
        <v>#N/A</v>
      </c>
      <c r="X44" s="1" t="str">
        <f t="array" ref="X44">IF(ISBLANK(INDEX(big_daily_table,MATCH(DATE(X$5,$J44,$I44),daily_dates,0),MATCH($B$3,daily_items,0))),NA(),INDEX(big_daily_table,MATCH(DATE(X$5,$J44,$I44),daily_dates,0),MATCH($B$3,daily_items,0)))</f>
        <v>#N/A</v>
      </c>
      <c r="Y44" s="1" t="str">
        <f t="array" ref="Y44">IF(ISBLANK(INDEX(big_daily_table,MATCH(DATE(Y$5,$J44,$I44),daily_dates,0),MATCH($B$3,daily_items,0))),NA(),INDEX(big_daily_table,MATCH(DATE(Y$5,$J44,$I44),daily_dates,0),MATCH($B$3,daily_items,0)))</f>
        <v>#N/A</v>
      </c>
      <c r="Z44" s="1" t="str">
        <f t="shared" si="5"/>
        <v>#NAME?</v>
      </c>
      <c r="AA44" s="1" t="str">
        <f t="shared" si="6"/>
        <v>#NAME?</v>
      </c>
      <c r="AB44" s="1" t="str">
        <f t="shared" si="7"/>
        <v>#NAME?</v>
      </c>
      <c r="AC44" s="1" t="str">
        <f t="shared" si="8"/>
        <v>#NAME?</v>
      </c>
    </row>
    <row r="45" ht="14.25" customHeight="1">
      <c r="H45" s="1">
        <f t="shared" si="9"/>
        <v>40</v>
      </c>
      <c r="I45" s="1">
        <f t="shared" si="2"/>
        <v>9</v>
      </c>
      <c r="J45" s="1">
        <f t="shared" si="3"/>
        <v>2</v>
      </c>
      <c r="K45" s="23">
        <f t="shared" si="10"/>
        <v>36565</v>
      </c>
      <c r="L45" s="24">
        <f t="shared" si="4"/>
        <v>-1000000</v>
      </c>
      <c r="M45" s="1" t="str">
        <f t="array" ref="M45">IF(K45&gt;0,INDEX(big_daily_table,MATCH(DATE(N$5,$J45,$I45),daily_dates,0),MATCH($B$3,daily_items,0)),NA())</f>
        <v>#N/A</v>
      </c>
      <c r="N45" s="1" t="str">
        <f t="array" ref="N45">IF(L45&lt;0,INDEX(big_daily_table,MATCH(DATE(N$5,$J45,$I45),daily_dates,0),MATCH($B$3,daily_items,0)),NA())</f>
        <v>#N/A</v>
      </c>
      <c r="O45" s="1" t="str">
        <f t="array" ref="O45">IF(ISBLANK(INDEX(big_daily_table,MATCH(DATE(O$5,$J45,$I45),daily_dates,0),MATCH($B$3,daily_items,0))),NA(),INDEX(big_daily_table,MATCH(DATE(O$5,$J45,$I45),daily_dates,0),MATCH($B$3,daily_items,0)))</f>
        <v>#N/A</v>
      </c>
      <c r="P45" s="1" t="str">
        <f t="array" ref="P45">IF(ISBLANK(INDEX(big_daily_table,MATCH(DATE(P$5,$J45,$I45),daily_dates,0),MATCH($B$3,daily_items,0))),NA(),INDEX(big_daily_table,MATCH(DATE(P$5,$J45,$I45),daily_dates,0),MATCH($B$3,daily_items,0)))</f>
        <v>#N/A</v>
      </c>
      <c r="Q45" s="1" t="str">
        <f t="array" ref="Q45">IF(ISBLANK(INDEX(big_daily_table,MATCH(DATE(Q$5,$J45,$I45),daily_dates,0),MATCH($B$3,daily_items,0))),NA(),INDEX(big_daily_table,MATCH(DATE(Q$5,$J45,$I45),daily_dates,0),MATCH($B$3,daily_items,0)))</f>
        <v>#N/A</v>
      </c>
      <c r="R45" s="1" t="str">
        <f t="array" ref="R45">IF(ISBLANK(INDEX(big_daily_table,MATCH(DATE(R$5,$J45,$I45),daily_dates,0),MATCH($B$3,daily_items,0))),NA(),INDEX(big_daily_table,MATCH(DATE(R$5,$J45,$I45),daily_dates,0),MATCH($B$3,daily_items,0)))</f>
        <v>#N/A</v>
      </c>
      <c r="S45" s="1" t="str">
        <f t="array" ref="S45">IF(ISBLANK(INDEX(big_daily_table,MATCH(DATE(S$5,$J45,$I45),daily_dates,0),MATCH($B$3,daily_items,0))),NA(),INDEX(big_daily_table,MATCH(DATE(S$5,$J45,$I45),daily_dates,0),MATCH($B$3,daily_items,0)))</f>
        <v>#N/A</v>
      </c>
      <c r="T45" s="1" t="str">
        <f t="array" ref="T45">IF(ISBLANK(INDEX(big_daily_table,MATCH(DATE(T$5,$J45,$I45),daily_dates,0),MATCH($B$3,daily_items,0))),NA(),INDEX(big_daily_table,MATCH(DATE(T$5,$J45,$I45),daily_dates,0),MATCH($B$3,daily_items,0)))</f>
        <v>#N/A</v>
      </c>
      <c r="U45" s="1" t="str">
        <f t="array" ref="U45">IF(ISBLANK(INDEX(big_daily_table,MATCH(DATE(U$5,$J45,$I45),daily_dates,0),MATCH($B$3,daily_items,0))),NA(),INDEX(big_daily_table,MATCH(DATE(U$5,$J45,$I45),daily_dates,0),MATCH($B$3,daily_items,0)))</f>
        <v>#N/A</v>
      </c>
      <c r="V45" s="1" t="str">
        <f t="array" ref="V45">IF(ISBLANK(INDEX(big_daily_table,MATCH(DATE(V$5,$J45,$I45),daily_dates,0),MATCH($B$3,daily_items,0))),NA(),INDEX(big_daily_table,MATCH(DATE(V$5,$J45,$I45),daily_dates,0),MATCH($B$3,daily_items,0)))</f>
        <v>#N/A</v>
      </c>
      <c r="W45" s="1" t="str">
        <f t="array" ref="W45">IF(ISBLANK(INDEX(big_daily_table,MATCH(DATE(W$5,$J45,$I45),daily_dates,0),MATCH($B$3,daily_items,0))),NA(),INDEX(big_daily_table,MATCH(DATE(W$5,$J45,$I45),daily_dates,0),MATCH($B$3,daily_items,0)))</f>
        <v>#N/A</v>
      </c>
      <c r="X45" s="1" t="str">
        <f t="array" ref="X45">IF(ISBLANK(INDEX(big_daily_table,MATCH(DATE(X$5,$J45,$I45),daily_dates,0),MATCH($B$3,daily_items,0))),NA(),INDEX(big_daily_table,MATCH(DATE(X$5,$J45,$I45),daily_dates,0),MATCH($B$3,daily_items,0)))</f>
        <v>#N/A</v>
      </c>
      <c r="Y45" s="1" t="str">
        <f t="array" ref="Y45">IF(ISBLANK(INDEX(big_daily_table,MATCH(DATE(Y$5,$J45,$I45),daily_dates,0),MATCH($B$3,daily_items,0))),NA(),INDEX(big_daily_table,MATCH(DATE(Y$5,$J45,$I45),daily_dates,0),MATCH($B$3,daily_items,0)))</f>
        <v>#N/A</v>
      </c>
      <c r="Z45" s="1" t="str">
        <f t="shared" si="5"/>
        <v>#NAME?</v>
      </c>
      <c r="AA45" s="1" t="str">
        <f t="shared" si="6"/>
        <v>#NAME?</v>
      </c>
      <c r="AB45" s="1" t="str">
        <f t="shared" si="7"/>
        <v>#NAME?</v>
      </c>
      <c r="AC45" s="1" t="str">
        <f t="shared" si="8"/>
        <v>#NAME?</v>
      </c>
    </row>
    <row r="46" ht="14.25" customHeight="1">
      <c r="H46" s="1">
        <f t="shared" si="9"/>
        <v>41</v>
      </c>
      <c r="I46" s="1">
        <f t="shared" si="2"/>
        <v>10</v>
      </c>
      <c r="J46" s="1">
        <f t="shared" si="3"/>
        <v>2</v>
      </c>
      <c r="K46" s="23">
        <f t="shared" si="10"/>
        <v>36566</v>
      </c>
      <c r="L46" s="24">
        <f t="shared" si="4"/>
        <v>-1000000</v>
      </c>
      <c r="M46" s="1" t="str">
        <f t="array" ref="M46">IF(K46&gt;0,INDEX(big_daily_table,MATCH(DATE(N$5,$J46,$I46),daily_dates,0),MATCH($B$3,daily_items,0)),NA())</f>
        <v>#N/A</v>
      </c>
      <c r="N46" s="1" t="str">
        <f t="array" ref="N46">IF(L46&lt;0,INDEX(big_daily_table,MATCH(DATE(N$5,$J46,$I46),daily_dates,0),MATCH($B$3,daily_items,0)),NA())</f>
        <v>#N/A</v>
      </c>
      <c r="O46" s="1" t="str">
        <f t="array" ref="O46">IF(ISBLANK(INDEX(big_daily_table,MATCH(DATE(O$5,$J46,$I46),daily_dates,0),MATCH($B$3,daily_items,0))),NA(),INDEX(big_daily_table,MATCH(DATE(O$5,$J46,$I46),daily_dates,0),MATCH($B$3,daily_items,0)))</f>
        <v>#N/A</v>
      </c>
      <c r="P46" s="1" t="str">
        <f t="array" ref="P46">IF(ISBLANK(INDEX(big_daily_table,MATCH(DATE(P$5,$J46,$I46),daily_dates,0),MATCH($B$3,daily_items,0))),NA(),INDEX(big_daily_table,MATCH(DATE(P$5,$J46,$I46),daily_dates,0),MATCH($B$3,daily_items,0)))</f>
        <v>#N/A</v>
      </c>
      <c r="Q46" s="1" t="str">
        <f t="array" ref="Q46">IF(ISBLANK(INDEX(big_daily_table,MATCH(DATE(Q$5,$J46,$I46),daily_dates,0),MATCH($B$3,daily_items,0))),NA(),INDEX(big_daily_table,MATCH(DATE(Q$5,$J46,$I46),daily_dates,0),MATCH($B$3,daily_items,0)))</f>
        <v>#N/A</v>
      </c>
      <c r="R46" s="1" t="str">
        <f t="array" ref="R46">IF(ISBLANK(INDEX(big_daily_table,MATCH(DATE(R$5,$J46,$I46),daily_dates,0),MATCH($B$3,daily_items,0))),NA(),INDEX(big_daily_table,MATCH(DATE(R$5,$J46,$I46),daily_dates,0),MATCH($B$3,daily_items,0)))</f>
        <v>#N/A</v>
      </c>
      <c r="S46" s="1" t="str">
        <f t="array" ref="S46">IF(ISBLANK(INDEX(big_daily_table,MATCH(DATE(S$5,$J46,$I46),daily_dates,0),MATCH($B$3,daily_items,0))),NA(),INDEX(big_daily_table,MATCH(DATE(S$5,$J46,$I46),daily_dates,0),MATCH($B$3,daily_items,0)))</f>
        <v>#N/A</v>
      </c>
      <c r="T46" s="1" t="str">
        <f t="array" ref="T46">IF(ISBLANK(INDEX(big_daily_table,MATCH(DATE(T$5,$J46,$I46),daily_dates,0),MATCH($B$3,daily_items,0))),NA(),INDEX(big_daily_table,MATCH(DATE(T$5,$J46,$I46),daily_dates,0),MATCH($B$3,daily_items,0)))</f>
        <v>#N/A</v>
      </c>
      <c r="U46" s="1" t="str">
        <f t="array" ref="U46">IF(ISBLANK(INDEX(big_daily_table,MATCH(DATE(U$5,$J46,$I46),daily_dates,0),MATCH($B$3,daily_items,0))),NA(),INDEX(big_daily_table,MATCH(DATE(U$5,$J46,$I46),daily_dates,0),MATCH($B$3,daily_items,0)))</f>
        <v>#N/A</v>
      </c>
      <c r="V46" s="1" t="str">
        <f t="array" ref="V46">IF(ISBLANK(INDEX(big_daily_table,MATCH(DATE(V$5,$J46,$I46),daily_dates,0),MATCH($B$3,daily_items,0))),NA(),INDEX(big_daily_table,MATCH(DATE(V$5,$J46,$I46),daily_dates,0),MATCH($B$3,daily_items,0)))</f>
        <v>#N/A</v>
      </c>
      <c r="W46" s="1" t="str">
        <f t="array" ref="W46">IF(ISBLANK(INDEX(big_daily_table,MATCH(DATE(W$5,$J46,$I46),daily_dates,0),MATCH($B$3,daily_items,0))),NA(),INDEX(big_daily_table,MATCH(DATE(W$5,$J46,$I46),daily_dates,0),MATCH($B$3,daily_items,0)))</f>
        <v>#N/A</v>
      </c>
      <c r="X46" s="1" t="str">
        <f t="array" ref="X46">IF(ISBLANK(INDEX(big_daily_table,MATCH(DATE(X$5,$J46,$I46),daily_dates,0),MATCH($B$3,daily_items,0))),NA(),INDEX(big_daily_table,MATCH(DATE(X$5,$J46,$I46),daily_dates,0),MATCH($B$3,daily_items,0)))</f>
        <v>#N/A</v>
      </c>
      <c r="Y46" s="1" t="str">
        <f t="array" ref="Y46">IF(ISBLANK(INDEX(big_daily_table,MATCH(DATE(Y$5,$J46,$I46),daily_dates,0),MATCH($B$3,daily_items,0))),NA(),INDEX(big_daily_table,MATCH(DATE(Y$5,$J46,$I46),daily_dates,0),MATCH($B$3,daily_items,0)))</f>
        <v>#N/A</v>
      </c>
      <c r="Z46" s="1" t="str">
        <f t="shared" si="5"/>
        <v>#NAME?</v>
      </c>
      <c r="AA46" s="1" t="str">
        <f t="shared" si="6"/>
        <v>#NAME?</v>
      </c>
      <c r="AB46" s="1" t="str">
        <f t="shared" si="7"/>
        <v>#NAME?</v>
      </c>
      <c r="AC46" s="1" t="str">
        <f t="shared" si="8"/>
        <v>#NAME?</v>
      </c>
    </row>
    <row r="47" ht="14.25" customHeight="1">
      <c r="H47" s="1">
        <f t="shared" si="9"/>
        <v>42</v>
      </c>
      <c r="I47" s="1">
        <f t="shared" si="2"/>
        <v>11</v>
      </c>
      <c r="J47" s="1">
        <f t="shared" si="3"/>
        <v>2</v>
      </c>
      <c r="K47" s="23">
        <f t="shared" si="10"/>
        <v>36567</v>
      </c>
      <c r="L47" s="24">
        <f t="shared" si="4"/>
        <v>-1000000</v>
      </c>
      <c r="M47" s="1" t="str">
        <f t="array" ref="M47">IF(K47&gt;0,INDEX(big_daily_table,MATCH(DATE(N$5,$J47,$I47),daily_dates,0),MATCH($B$3,daily_items,0)),NA())</f>
        <v>#N/A</v>
      </c>
      <c r="N47" s="1" t="str">
        <f t="array" ref="N47">IF(L47&lt;0,INDEX(big_daily_table,MATCH(DATE(N$5,$J47,$I47),daily_dates,0),MATCH($B$3,daily_items,0)),NA())</f>
        <v>#N/A</v>
      </c>
      <c r="O47" s="1" t="str">
        <f t="array" ref="O47">IF(ISBLANK(INDEX(big_daily_table,MATCH(DATE(O$5,$J47,$I47),daily_dates,0),MATCH($B$3,daily_items,0))),NA(),INDEX(big_daily_table,MATCH(DATE(O$5,$J47,$I47),daily_dates,0),MATCH($B$3,daily_items,0)))</f>
        <v>#N/A</v>
      </c>
      <c r="P47" s="1" t="str">
        <f t="array" ref="P47">IF(ISBLANK(INDEX(big_daily_table,MATCH(DATE(P$5,$J47,$I47),daily_dates,0),MATCH($B$3,daily_items,0))),NA(),INDEX(big_daily_table,MATCH(DATE(P$5,$J47,$I47),daily_dates,0),MATCH($B$3,daily_items,0)))</f>
        <v>#N/A</v>
      </c>
      <c r="Q47" s="1" t="str">
        <f t="array" ref="Q47">IF(ISBLANK(INDEX(big_daily_table,MATCH(DATE(Q$5,$J47,$I47),daily_dates,0),MATCH($B$3,daily_items,0))),NA(),INDEX(big_daily_table,MATCH(DATE(Q$5,$J47,$I47),daily_dates,0),MATCH($B$3,daily_items,0)))</f>
        <v>#N/A</v>
      </c>
      <c r="R47" s="1" t="str">
        <f t="array" ref="R47">IF(ISBLANK(INDEX(big_daily_table,MATCH(DATE(R$5,$J47,$I47),daily_dates,0),MATCH($B$3,daily_items,0))),NA(),INDEX(big_daily_table,MATCH(DATE(R$5,$J47,$I47),daily_dates,0),MATCH($B$3,daily_items,0)))</f>
        <v>#N/A</v>
      </c>
      <c r="S47" s="1" t="str">
        <f t="array" ref="S47">IF(ISBLANK(INDEX(big_daily_table,MATCH(DATE(S$5,$J47,$I47),daily_dates,0),MATCH($B$3,daily_items,0))),NA(),INDEX(big_daily_table,MATCH(DATE(S$5,$J47,$I47),daily_dates,0),MATCH($B$3,daily_items,0)))</f>
        <v>#N/A</v>
      </c>
      <c r="T47" s="1" t="str">
        <f t="array" ref="T47">IF(ISBLANK(INDEX(big_daily_table,MATCH(DATE(T$5,$J47,$I47),daily_dates,0),MATCH($B$3,daily_items,0))),NA(),INDEX(big_daily_table,MATCH(DATE(T$5,$J47,$I47),daily_dates,0),MATCH($B$3,daily_items,0)))</f>
        <v>#N/A</v>
      </c>
      <c r="U47" s="1" t="str">
        <f t="array" ref="U47">IF(ISBLANK(INDEX(big_daily_table,MATCH(DATE(U$5,$J47,$I47),daily_dates,0),MATCH($B$3,daily_items,0))),NA(),INDEX(big_daily_table,MATCH(DATE(U$5,$J47,$I47),daily_dates,0),MATCH($B$3,daily_items,0)))</f>
        <v>#N/A</v>
      </c>
      <c r="V47" s="1" t="str">
        <f t="array" ref="V47">IF(ISBLANK(INDEX(big_daily_table,MATCH(DATE(V$5,$J47,$I47),daily_dates,0),MATCH($B$3,daily_items,0))),NA(),INDEX(big_daily_table,MATCH(DATE(V$5,$J47,$I47),daily_dates,0),MATCH($B$3,daily_items,0)))</f>
        <v>#N/A</v>
      </c>
      <c r="W47" s="1" t="str">
        <f t="array" ref="W47">IF(ISBLANK(INDEX(big_daily_table,MATCH(DATE(W$5,$J47,$I47),daily_dates,0),MATCH($B$3,daily_items,0))),NA(),INDEX(big_daily_table,MATCH(DATE(W$5,$J47,$I47),daily_dates,0),MATCH($B$3,daily_items,0)))</f>
        <v>#N/A</v>
      </c>
      <c r="X47" s="1" t="str">
        <f t="array" ref="X47">IF(ISBLANK(INDEX(big_daily_table,MATCH(DATE(X$5,$J47,$I47),daily_dates,0),MATCH($B$3,daily_items,0))),NA(),INDEX(big_daily_table,MATCH(DATE(X$5,$J47,$I47),daily_dates,0),MATCH($B$3,daily_items,0)))</f>
        <v>#N/A</v>
      </c>
      <c r="Y47" s="1" t="str">
        <f t="array" ref="Y47">IF(ISBLANK(INDEX(big_daily_table,MATCH(DATE(Y$5,$J47,$I47),daily_dates,0),MATCH($B$3,daily_items,0))),NA(),INDEX(big_daily_table,MATCH(DATE(Y$5,$J47,$I47),daily_dates,0),MATCH($B$3,daily_items,0)))</f>
        <v>#N/A</v>
      </c>
      <c r="Z47" s="1" t="str">
        <f t="shared" si="5"/>
        <v>#NAME?</v>
      </c>
      <c r="AA47" s="1" t="str">
        <f t="shared" si="6"/>
        <v>#NAME?</v>
      </c>
      <c r="AB47" s="1" t="str">
        <f t="shared" si="7"/>
        <v>#NAME?</v>
      </c>
      <c r="AC47" s="1" t="str">
        <f t="shared" si="8"/>
        <v>#NAME?</v>
      </c>
    </row>
    <row r="48" ht="14.25" customHeight="1">
      <c r="H48" s="1">
        <f t="shared" si="9"/>
        <v>43</v>
      </c>
      <c r="I48" s="1">
        <f t="shared" si="2"/>
        <v>12</v>
      </c>
      <c r="J48" s="1">
        <f t="shared" si="3"/>
        <v>2</v>
      </c>
      <c r="K48" s="23">
        <f t="shared" si="10"/>
        <v>36568</v>
      </c>
      <c r="L48" s="24">
        <f t="shared" si="4"/>
        <v>-1000000</v>
      </c>
      <c r="M48" s="1" t="str">
        <f t="array" ref="M48">IF(K48&gt;0,INDEX(big_daily_table,MATCH(DATE(N$5,$J48,$I48),daily_dates,0),MATCH($B$3,daily_items,0)),NA())</f>
        <v>#N/A</v>
      </c>
      <c r="N48" s="1" t="str">
        <f t="array" ref="N48">IF(L48&lt;0,INDEX(big_daily_table,MATCH(DATE(N$5,$J48,$I48),daily_dates,0),MATCH($B$3,daily_items,0)),NA())</f>
        <v>#N/A</v>
      </c>
      <c r="O48" s="1" t="str">
        <f t="array" ref="O48">IF(ISBLANK(INDEX(big_daily_table,MATCH(DATE(O$5,$J48,$I48),daily_dates,0),MATCH($B$3,daily_items,0))),NA(),INDEX(big_daily_table,MATCH(DATE(O$5,$J48,$I48),daily_dates,0),MATCH($B$3,daily_items,0)))</f>
        <v>#N/A</v>
      </c>
      <c r="P48" s="1" t="str">
        <f t="array" ref="P48">IF(ISBLANK(INDEX(big_daily_table,MATCH(DATE(P$5,$J48,$I48),daily_dates,0),MATCH($B$3,daily_items,0))),NA(),INDEX(big_daily_table,MATCH(DATE(P$5,$J48,$I48),daily_dates,0),MATCH($B$3,daily_items,0)))</f>
        <v>#N/A</v>
      </c>
      <c r="Q48" s="1" t="str">
        <f t="array" ref="Q48">IF(ISBLANK(INDEX(big_daily_table,MATCH(DATE(Q$5,$J48,$I48),daily_dates,0),MATCH($B$3,daily_items,0))),NA(),INDEX(big_daily_table,MATCH(DATE(Q$5,$J48,$I48),daily_dates,0),MATCH($B$3,daily_items,0)))</f>
        <v>#N/A</v>
      </c>
      <c r="R48" s="1" t="str">
        <f t="array" ref="R48">IF(ISBLANK(INDEX(big_daily_table,MATCH(DATE(R$5,$J48,$I48),daily_dates,0),MATCH($B$3,daily_items,0))),NA(),INDEX(big_daily_table,MATCH(DATE(R$5,$J48,$I48),daily_dates,0),MATCH($B$3,daily_items,0)))</f>
        <v>#N/A</v>
      </c>
      <c r="S48" s="1" t="str">
        <f t="array" ref="S48">IF(ISBLANK(INDEX(big_daily_table,MATCH(DATE(S$5,$J48,$I48),daily_dates,0),MATCH($B$3,daily_items,0))),NA(),INDEX(big_daily_table,MATCH(DATE(S$5,$J48,$I48),daily_dates,0),MATCH($B$3,daily_items,0)))</f>
        <v>#N/A</v>
      </c>
      <c r="T48" s="1" t="str">
        <f t="array" ref="T48">IF(ISBLANK(INDEX(big_daily_table,MATCH(DATE(T$5,$J48,$I48),daily_dates,0),MATCH($B$3,daily_items,0))),NA(),INDEX(big_daily_table,MATCH(DATE(T$5,$J48,$I48),daily_dates,0),MATCH($B$3,daily_items,0)))</f>
        <v>#N/A</v>
      </c>
      <c r="U48" s="1" t="str">
        <f t="array" ref="U48">IF(ISBLANK(INDEX(big_daily_table,MATCH(DATE(U$5,$J48,$I48),daily_dates,0),MATCH($B$3,daily_items,0))),NA(),INDEX(big_daily_table,MATCH(DATE(U$5,$J48,$I48),daily_dates,0),MATCH($B$3,daily_items,0)))</f>
        <v>#N/A</v>
      </c>
      <c r="V48" s="1" t="str">
        <f t="array" ref="V48">IF(ISBLANK(INDEX(big_daily_table,MATCH(DATE(V$5,$J48,$I48),daily_dates,0),MATCH($B$3,daily_items,0))),NA(),INDEX(big_daily_table,MATCH(DATE(V$5,$J48,$I48),daily_dates,0),MATCH($B$3,daily_items,0)))</f>
        <v>#N/A</v>
      </c>
      <c r="W48" s="1" t="str">
        <f t="array" ref="W48">IF(ISBLANK(INDEX(big_daily_table,MATCH(DATE(W$5,$J48,$I48),daily_dates,0),MATCH($B$3,daily_items,0))),NA(),INDEX(big_daily_table,MATCH(DATE(W$5,$J48,$I48),daily_dates,0),MATCH($B$3,daily_items,0)))</f>
        <v>#N/A</v>
      </c>
      <c r="X48" s="1" t="str">
        <f t="array" ref="X48">IF(ISBLANK(INDEX(big_daily_table,MATCH(DATE(X$5,$J48,$I48),daily_dates,0),MATCH($B$3,daily_items,0))),NA(),INDEX(big_daily_table,MATCH(DATE(X$5,$J48,$I48),daily_dates,0),MATCH($B$3,daily_items,0)))</f>
        <v>#N/A</v>
      </c>
      <c r="Y48" s="1" t="str">
        <f t="array" ref="Y48">IF(ISBLANK(INDEX(big_daily_table,MATCH(DATE(Y$5,$J48,$I48),daily_dates,0),MATCH($B$3,daily_items,0))),NA(),INDEX(big_daily_table,MATCH(DATE(Y$5,$J48,$I48),daily_dates,0),MATCH($B$3,daily_items,0)))</f>
        <v>#N/A</v>
      </c>
      <c r="Z48" s="1" t="str">
        <f t="shared" si="5"/>
        <v>#NAME?</v>
      </c>
      <c r="AA48" s="1" t="str">
        <f t="shared" si="6"/>
        <v>#NAME?</v>
      </c>
      <c r="AB48" s="1" t="str">
        <f t="shared" si="7"/>
        <v>#NAME?</v>
      </c>
      <c r="AC48" s="1" t="str">
        <f t="shared" si="8"/>
        <v>#NAME?</v>
      </c>
    </row>
    <row r="49" ht="14.25" customHeight="1">
      <c r="H49" s="1">
        <f t="shared" si="9"/>
        <v>44</v>
      </c>
      <c r="I49" s="1">
        <f t="shared" si="2"/>
        <v>13</v>
      </c>
      <c r="J49" s="1">
        <f t="shared" si="3"/>
        <v>2</v>
      </c>
      <c r="K49" s="23">
        <f t="shared" si="10"/>
        <v>36569</v>
      </c>
      <c r="L49" s="24">
        <f t="shared" si="4"/>
        <v>-1000000</v>
      </c>
      <c r="M49" s="1" t="str">
        <f t="array" ref="M49">IF(K49&gt;0,INDEX(big_daily_table,MATCH(DATE(N$5,$J49,$I49),daily_dates,0),MATCH($B$3,daily_items,0)),NA())</f>
        <v>#N/A</v>
      </c>
      <c r="N49" s="1" t="str">
        <f t="array" ref="N49">IF(L49&lt;0,INDEX(big_daily_table,MATCH(DATE(N$5,$J49,$I49),daily_dates,0),MATCH($B$3,daily_items,0)),NA())</f>
        <v>#N/A</v>
      </c>
      <c r="O49" s="1" t="str">
        <f t="array" ref="O49">IF(ISBLANK(INDEX(big_daily_table,MATCH(DATE(O$5,$J49,$I49),daily_dates,0),MATCH($B$3,daily_items,0))),NA(),INDEX(big_daily_table,MATCH(DATE(O$5,$J49,$I49),daily_dates,0),MATCH($B$3,daily_items,0)))</f>
        <v>#N/A</v>
      </c>
      <c r="P49" s="1" t="str">
        <f t="array" ref="P49">IF(ISBLANK(INDEX(big_daily_table,MATCH(DATE(P$5,$J49,$I49),daily_dates,0),MATCH($B$3,daily_items,0))),NA(),INDEX(big_daily_table,MATCH(DATE(P$5,$J49,$I49),daily_dates,0),MATCH($B$3,daily_items,0)))</f>
        <v>#N/A</v>
      </c>
      <c r="Q49" s="1" t="str">
        <f t="array" ref="Q49">IF(ISBLANK(INDEX(big_daily_table,MATCH(DATE(Q$5,$J49,$I49),daily_dates,0),MATCH($B$3,daily_items,0))),NA(),INDEX(big_daily_table,MATCH(DATE(Q$5,$J49,$I49),daily_dates,0),MATCH($B$3,daily_items,0)))</f>
        <v>#N/A</v>
      </c>
      <c r="R49" s="1" t="str">
        <f t="array" ref="R49">IF(ISBLANK(INDEX(big_daily_table,MATCH(DATE(R$5,$J49,$I49),daily_dates,0),MATCH($B$3,daily_items,0))),NA(),INDEX(big_daily_table,MATCH(DATE(R$5,$J49,$I49),daily_dates,0),MATCH($B$3,daily_items,0)))</f>
        <v>#N/A</v>
      </c>
      <c r="S49" s="1" t="str">
        <f t="array" ref="S49">IF(ISBLANK(INDEX(big_daily_table,MATCH(DATE(S$5,$J49,$I49),daily_dates,0),MATCH($B$3,daily_items,0))),NA(),INDEX(big_daily_table,MATCH(DATE(S$5,$J49,$I49),daily_dates,0),MATCH($B$3,daily_items,0)))</f>
        <v>#N/A</v>
      </c>
      <c r="T49" s="1" t="str">
        <f t="array" ref="T49">IF(ISBLANK(INDEX(big_daily_table,MATCH(DATE(T$5,$J49,$I49),daily_dates,0),MATCH($B$3,daily_items,0))),NA(),INDEX(big_daily_table,MATCH(DATE(T$5,$J49,$I49),daily_dates,0),MATCH($B$3,daily_items,0)))</f>
        <v>#N/A</v>
      </c>
      <c r="U49" s="1" t="str">
        <f t="array" ref="U49">IF(ISBLANK(INDEX(big_daily_table,MATCH(DATE(U$5,$J49,$I49),daily_dates,0),MATCH($B$3,daily_items,0))),NA(),INDEX(big_daily_table,MATCH(DATE(U$5,$J49,$I49),daily_dates,0),MATCH($B$3,daily_items,0)))</f>
        <v>#N/A</v>
      </c>
      <c r="V49" s="1" t="str">
        <f t="array" ref="V49">IF(ISBLANK(INDEX(big_daily_table,MATCH(DATE(V$5,$J49,$I49),daily_dates,0),MATCH($B$3,daily_items,0))),NA(),INDEX(big_daily_table,MATCH(DATE(V$5,$J49,$I49),daily_dates,0),MATCH($B$3,daily_items,0)))</f>
        <v>#N/A</v>
      </c>
      <c r="W49" s="1" t="str">
        <f t="array" ref="W49">IF(ISBLANK(INDEX(big_daily_table,MATCH(DATE(W$5,$J49,$I49),daily_dates,0),MATCH($B$3,daily_items,0))),NA(),INDEX(big_daily_table,MATCH(DATE(W$5,$J49,$I49),daily_dates,0),MATCH($B$3,daily_items,0)))</f>
        <v>#N/A</v>
      </c>
      <c r="X49" s="1" t="str">
        <f t="array" ref="X49">IF(ISBLANK(INDEX(big_daily_table,MATCH(DATE(X$5,$J49,$I49),daily_dates,0),MATCH($B$3,daily_items,0))),NA(),INDEX(big_daily_table,MATCH(DATE(X$5,$J49,$I49),daily_dates,0),MATCH($B$3,daily_items,0)))</f>
        <v>#N/A</v>
      </c>
      <c r="Y49" s="1" t="str">
        <f t="array" ref="Y49">IF(ISBLANK(INDEX(big_daily_table,MATCH(DATE(Y$5,$J49,$I49),daily_dates,0),MATCH($B$3,daily_items,0))),NA(),INDEX(big_daily_table,MATCH(DATE(Y$5,$J49,$I49),daily_dates,0),MATCH($B$3,daily_items,0)))</f>
        <v>#N/A</v>
      </c>
      <c r="Z49" s="1" t="str">
        <f t="shared" si="5"/>
        <v>#NAME?</v>
      </c>
      <c r="AA49" s="1" t="str">
        <f t="shared" si="6"/>
        <v>#NAME?</v>
      </c>
      <c r="AB49" s="1" t="str">
        <f t="shared" si="7"/>
        <v>#NAME?</v>
      </c>
      <c r="AC49" s="1" t="str">
        <f t="shared" si="8"/>
        <v>#NAME?</v>
      </c>
    </row>
    <row r="50" ht="14.25" customHeight="1">
      <c r="H50" s="1">
        <f t="shared" si="9"/>
        <v>45</v>
      </c>
      <c r="I50" s="1">
        <f t="shared" si="2"/>
        <v>14</v>
      </c>
      <c r="J50" s="1">
        <f t="shared" si="3"/>
        <v>2</v>
      </c>
      <c r="K50" s="23">
        <f t="shared" si="10"/>
        <v>36570</v>
      </c>
      <c r="L50" s="24">
        <f t="shared" si="4"/>
        <v>-1000000</v>
      </c>
      <c r="M50" s="1" t="str">
        <f t="array" ref="M50">IF(K50&gt;0,INDEX(big_daily_table,MATCH(DATE(N$5,$J50,$I50),daily_dates,0),MATCH($B$3,daily_items,0)),NA())</f>
        <v>#N/A</v>
      </c>
      <c r="N50" s="1" t="str">
        <f t="array" ref="N50">IF(L50&lt;0,INDEX(big_daily_table,MATCH(DATE(N$5,$J50,$I50),daily_dates,0),MATCH($B$3,daily_items,0)),NA())</f>
        <v>#N/A</v>
      </c>
      <c r="O50" s="1" t="str">
        <f t="array" ref="O50">IF(ISBLANK(INDEX(big_daily_table,MATCH(DATE(O$5,$J50,$I50),daily_dates,0),MATCH($B$3,daily_items,0))),NA(),INDEX(big_daily_table,MATCH(DATE(O$5,$J50,$I50),daily_dates,0),MATCH($B$3,daily_items,0)))</f>
        <v>#N/A</v>
      </c>
      <c r="P50" s="1" t="str">
        <f t="array" ref="P50">IF(ISBLANK(INDEX(big_daily_table,MATCH(DATE(P$5,$J50,$I50),daily_dates,0),MATCH($B$3,daily_items,0))),NA(),INDEX(big_daily_table,MATCH(DATE(P$5,$J50,$I50),daily_dates,0),MATCH($B$3,daily_items,0)))</f>
        <v>#N/A</v>
      </c>
      <c r="Q50" s="1" t="str">
        <f t="array" ref="Q50">IF(ISBLANK(INDEX(big_daily_table,MATCH(DATE(Q$5,$J50,$I50),daily_dates,0),MATCH($B$3,daily_items,0))),NA(),INDEX(big_daily_table,MATCH(DATE(Q$5,$J50,$I50),daily_dates,0),MATCH($B$3,daily_items,0)))</f>
        <v>#N/A</v>
      </c>
      <c r="R50" s="1" t="str">
        <f t="array" ref="R50">IF(ISBLANK(INDEX(big_daily_table,MATCH(DATE(R$5,$J50,$I50),daily_dates,0),MATCH($B$3,daily_items,0))),NA(),INDEX(big_daily_table,MATCH(DATE(R$5,$J50,$I50),daily_dates,0),MATCH($B$3,daily_items,0)))</f>
        <v>#N/A</v>
      </c>
      <c r="S50" s="1" t="str">
        <f t="array" ref="S50">IF(ISBLANK(INDEX(big_daily_table,MATCH(DATE(S$5,$J50,$I50),daily_dates,0),MATCH($B$3,daily_items,0))),NA(),INDEX(big_daily_table,MATCH(DATE(S$5,$J50,$I50),daily_dates,0),MATCH($B$3,daily_items,0)))</f>
        <v>#N/A</v>
      </c>
      <c r="T50" s="1" t="str">
        <f t="array" ref="T50">IF(ISBLANK(INDEX(big_daily_table,MATCH(DATE(T$5,$J50,$I50),daily_dates,0),MATCH($B$3,daily_items,0))),NA(),INDEX(big_daily_table,MATCH(DATE(T$5,$J50,$I50),daily_dates,0),MATCH($B$3,daily_items,0)))</f>
        <v>#N/A</v>
      </c>
      <c r="U50" s="1" t="str">
        <f t="array" ref="U50">IF(ISBLANK(INDEX(big_daily_table,MATCH(DATE(U$5,$J50,$I50),daily_dates,0),MATCH($B$3,daily_items,0))),NA(),INDEX(big_daily_table,MATCH(DATE(U$5,$J50,$I50),daily_dates,0),MATCH($B$3,daily_items,0)))</f>
        <v>#N/A</v>
      </c>
      <c r="V50" s="1" t="str">
        <f t="array" ref="V50">IF(ISBLANK(INDEX(big_daily_table,MATCH(DATE(V$5,$J50,$I50),daily_dates,0),MATCH($B$3,daily_items,0))),NA(),INDEX(big_daily_table,MATCH(DATE(V$5,$J50,$I50),daily_dates,0),MATCH($B$3,daily_items,0)))</f>
        <v>#N/A</v>
      </c>
      <c r="W50" s="1" t="str">
        <f t="array" ref="W50">IF(ISBLANK(INDEX(big_daily_table,MATCH(DATE(W$5,$J50,$I50),daily_dates,0),MATCH($B$3,daily_items,0))),NA(),INDEX(big_daily_table,MATCH(DATE(W$5,$J50,$I50),daily_dates,0),MATCH($B$3,daily_items,0)))</f>
        <v>#N/A</v>
      </c>
      <c r="X50" s="1" t="str">
        <f t="array" ref="X50">IF(ISBLANK(INDEX(big_daily_table,MATCH(DATE(X$5,$J50,$I50),daily_dates,0),MATCH($B$3,daily_items,0))),NA(),INDEX(big_daily_table,MATCH(DATE(X$5,$J50,$I50),daily_dates,0),MATCH($B$3,daily_items,0)))</f>
        <v>#N/A</v>
      </c>
      <c r="Y50" s="1" t="str">
        <f t="array" ref="Y50">IF(ISBLANK(INDEX(big_daily_table,MATCH(DATE(Y$5,$J50,$I50),daily_dates,0),MATCH($B$3,daily_items,0))),NA(),INDEX(big_daily_table,MATCH(DATE(Y$5,$J50,$I50),daily_dates,0),MATCH($B$3,daily_items,0)))</f>
        <v>#N/A</v>
      </c>
      <c r="Z50" s="1" t="str">
        <f t="shared" si="5"/>
        <v>#NAME?</v>
      </c>
      <c r="AA50" s="1" t="str">
        <f t="shared" si="6"/>
        <v>#NAME?</v>
      </c>
      <c r="AB50" s="1" t="str">
        <f t="shared" si="7"/>
        <v>#NAME?</v>
      </c>
      <c r="AC50" s="1" t="str">
        <f t="shared" si="8"/>
        <v>#NAME?</v>
      </c>
    </row>
    <row r="51" ht="14.25" customHeight="1">
      <c r="H51" s="1">
        <f t="shared" si="9"/>
        <v>46</v>
      </c>
      <c r="I51" s="1">
        <f t="shared" si="2"/>
        <v>15</v>
      </c>
      <c r="J51" s="1">
        <f t="shared" si="3"/>
        <v>2</v>
      </c>
      <c r="K51" s="23">
        <f t="shared" si="10"/>
        <v>36571</v>
      </c>
      <c r="L51" s="24">
        <f t="shared" si="4"/>
        <v>-1000000</v>
      </c>
      <c r="M51" s="1" t="str">
        <f t="array" ref="M51">IF(K51&gt;0,INDEX(big_daily_table,MATCH(DATE(N$5,$J51,$I51),daily_dates,0),MATCH($B$3,daily_items,0)),NA())</f>
        <v>#N/A</v>
      </c>
      <c r="N51" s="1" t="str">
        <f t="array" ref="N51">IF(L51&lt;0,INDEX(big_daily_table,MATCH(DATE(N$5,$J51,$I51),daily_dates,0),MATCH($B$3,daily_items,0)),NA())</f>
        <v>#N/A</v>
      </c>
      <c r="O51" s="1" t="str">
        <f t="array" ref="O51">IF(ISBLANK(INDEX(big_daily_table,MATCH(DATE(O$5,$J51,$I51),daily_dates,0),MATCH($B$3,daily_items,0))),NA(),INDEX(big_daily_table,MATCH(DATE(O$5,$J51,$I51),daily_dates,0),MATCH($B$3,daily_items,0)))</f>
        <v>#N/A</v>
      </c>
      <c r="P51" s="1" t="str">
        <f t="array" ref="P51">IF(ISBLANK(INDEX(big_daily_table,MATCH(DATE(P$5,$J51,$I51),daily_dates,0),MATCH($B$3,daily_items,0))),NA(),INDEX(big_daily_table,MATCH(DATE(P$5,$J51,$I51),daily_dates,0),MATCH($B$3,daily_items,0)))</f>
        <v>#N/A</v>
      </c>
      <c r="Q51" s="1" t="str">
        <f t="array" ref="Q51">IF(ISBLANK(INDEX(big_daily_table,MATCH(DATE(Q$5,$J51,$I51),daily_dates,0),MATCH($B$3,daily_items,0))),NA(),INDEX(big_daily_table,MATCH(DATE(Q$5,$J51,$I51),daily_dates,0),MATCH($B$3,daily_items,0)))</f>
        <v>#N/A</v>
      </c>
      <c r="R51" s="1" t="str">
        <f t="array" ref="R51">IF(ISBLANK(INDEX(big_daily_table,MATCH(DATE(R$5,$J51,$I51),daily_dates,0),MATCH($B$3,daily_items,0))),NA(),INDEX(big_daily_table,MATCH(DATE(R$5,$J51,$I51),daily_dates,0),MATCH($B$3,daily_items,0)))</f>
        <v>#N/A</v>
      </c>
      <c r="S51" s="1" t="str">
        <f t="array" ref="S51">IF(ISBLANK(INDEX(big_daily_table,MATCH(DATE(S$5,$J51,$I51),daily_dates,0),MATCH($B$3,daily_items,0))),NA(),INDEX(big_daily_table,MATCH(DATE(S$5,$J51,$I51),daily_dates,0),MATCH($B$3,daily_items,0)))</f>
        <v>#N/A</v>
      </c>
      <c r="T51" s="1" t="str">
        <f t="array" ref="T51">IF(ISBLANK(INDEX(big_daily_table,MATCH(DATE(T$5,$J51,$I51),daily_dates,0),MATCH($B$3,daily_items,0))),NA(),INDEX(big_daily_table,MATCH(DATE(T$5,$J51,$I51),daily_dates,0),MATCH($B$3,daily_items,0)))</f>
        <v>#N/A</v>
      </c>
      <c r="U51" s="1" t="str">
        <f t="array" ref="U51">IF(ISBLANK(INDEX(big_daily_table,MATCH(DATE(U$5,$J51,$I51),daily_dates,0),MATCH($B$3,daily_items,0))),NA(),INDEX(big_daily_table,MATCH(DATE(U$5,$J51,$I51),daily_dates,0),MATCH($B$3,daily_items,0)))</f>
        <v>#N/A</v>
      </c>
      <c r="V51" s="1" t="str">
        <f t="array" ref="V51">IF(ISBLANK(INDEX(big_daily_table,MATCH(DATE(V$5,$J51,$I51),daily_dates,0),MATCH($B$3,daily_items,0))),NA(),INDEX(big_daily_table,MATCH(DATE(V$5,$J51,$I51),daily_dates,0),MATCH($B$3,daily_items,0)))</f>
        <v>#N/A</v>
      </c>
      <c r="W51" s="1" t="str">
        <f t="array" ref="W51">IF(ISBLANK(INDEX(big_daily_table,MATCH(DATE(W$5,$J51,$I51),daily_dates,0),MATCH($B$3,daily_items,0))),NA(),INDEX(big_daily_table,MATCH(DATE(W$5,$J51,$I51),daily_dates,0),MATCH($B$3,daily_items,0)))</f>
        <v>#N/A</v>
      </c>
      <c r="X51" s="1" t="str">
        <f t="array" ref="X51">IF(ISBLANK(INDEX(big_daily_table,MATCH(DATE(X$5,$J51,$I51),daily_dates,0),MATCH($B$3,daily_items,0))),NA(),INDEX(big_daily_table,MATCH(DATE(X$5,$J51,$I51),daily_dates,0),MATCH($B$3,daily_items,0)))</f>
        <v>#N/A</v>
      </c>
      <c r="Y51" s="1" t="str">
        <f t="array" ref="Y51">IF(ISBLANK(INDEX(big_daily_table,MATCH(DATE(Y$5,$J51,$I51),daily_dates,0),MATCH($B$3,daily_items,0))),NA(),INDEX(big_daily_table,MATCH(DATE(Y$5,$J51,$I51),daily_dates,0),MATCH($B$3,daily_items,0)))</f>
        <v>#N/A</v>
      </c>
      <c r="Z51" s="1" t="str">
        <f t="shared" si="5"/>
        <v>#NAME?</v>
      </c>
      <c r="AA51" s="1" t="str">
        <f t="shared" si="6"/>
        <v>#NAME?</v>
      </c>
      <c r="AB51" s="1" t="str">
        <f t="shared" si="7"/>
        <v>#NAME?</v>
      </c>
      <c r="AC51" s="1" t="str">
        <f t="shared" si="8"/>
        <v>#NAME?</v>
      </c>
    </row>
    <row r="52" ht="14.25" customHeight="1">
      <c r="H52" s="1">
        <f t="shared" si="9"/>
        <v>47</v>
      </c>
      <c r="I52" s="1">
        <f t="shared" si="2"/>
        <v>16</v>
      </c>
      <c r="J52" s="1">
        <f t="shared" si="3"/>
        <v>2</v>
      </c>
      <c r="K52" s="23">
        <f t="shared" si="10"/>
        <v>36572</v>
      </c>
      <c r="L52" s="24">
        <f t="shared" si="4"/>
        <v>-1000000</v>
      </c>
      <c r="M52" s="1" t="str">
        <f t="array" ref="M52">IF(K52&gt;0,INDEX(big_daily_table,MATCH(DATE(N$5,$J52,$I52),daily_dates,0),MATCH($B$3,daily_items,0)),NA())</f>
        <v>#N/A</v>
      </c>
      <c r="N52" s="1" t="str">
        <f t="array" ref="N52">IF(L52&lt;0,INDEX(big_daily_table,MATCH(DATE(N$5,$J52,$I52),daily_dates,0),MATCH($B$3,daily_items,0)),NA())</f>
        <v>#N/A</v>
      </c>
      <c r="O52" s="1" t="str">
        <f t="array" ref="O52">IF(ISBLANK(INDEX(big_daily_table,MATCH(DATE(O$5,$J52,$I52),daily_dates,0),MATCH($B$3,daily_items,0))),NA(),INDEX(big_daily_table,MATCH(DATE(O$5,$J52,$I52),daily_dates,0),MATCH($B$3,daily_items,0)))</f>
        <v>#N/A</v>
      </c>
      <c r="P52" s="1" t="str">
        <f t="array" ref="P52">IF(ISBLANK(INDEX(big_daily_table,MATCH(DATE(P$5,$J52,$I52),daily_dates,0),MATCH($B$3,daily_items,0))),NA(),INDEX(big_daily_table,MATCH(DATE(P$5,$J52,$I52),daily_dates,0),MATCH($B$3,daily_items,0)))</f>
        <v>#N/A</v>
      </c>
      <c r="Q52" s="1" t="str">
        <f t="array" ref="Q52">IF(ISBLANK(INDEX(big_daily_table,MATCH(DATE(Q$5,$J52,$I52),daily_dates,0),MATCH($B$3,daily_items,0))),NA(),INDEX(big_daily_table,MATCH(DATE(Q$5,$J52,$I52),daily_dates,0),MATCH($B$3,daily_items,0)))</f>
        <v>#N/A</v>
      </c>
      <c r="R52" s="1" t="str">
        <f t="array" ref="R52">IF(ISBLANK(INDEX(big_daily_table,MATCH(DATE(R$5,$J52,$I52),daily_dates,0),MATCH($B$3,daily_items,0))),NA(),INDEX(big_daily_table,MATCH(DATE(R$5,$J52,$I52),daily_dates,0),MATCH($B$3,daily_items,0)))</f>
        <v>#N/A</v>
      </c>
      <c r="S52" s="1" t="str">
        <f t="array" ref="S52">IF(ISBLANK(INDEX(big_daily_table,MATCH(DATE(S$5,$J52,$I52),daily_dates,0),MATCH($B$3,daily_items,0))),NA(),INDEX(big_daily_table,MATCH(DATE(S$5,$J52,$I52),daily_dates,0),MATCH($B$3,daily_items,0)))</f>
        <v>#N/A</v>
      </c>
      <c r="T52" s="1" t="str">
        <f t="array" ref="T52">IF(ISBLANK(INDEX(big_daily_table,MATCH(DATE(T$5,$J52,$I52),daily_dates,0),MATCH($B$3,daily_items,0))),NA(),INDEX(big_daily_table,MATCH(DATE(T$5,$J52,$I52),daily_dates,0),MATCH($B$3,daily_items,0)))</f>
        <v>#N/A</v>
      </c>
      <c r="U52" s="1" t="str">
        <f t="array" ref="U52">IF(ISBLANK(INDEX(big_daily_table,MATCH(DATE(U$5,$J52,$I52),daily_dates,0),MATCH($B$3,daily_items,0))),NA(),INDEX(big_daily_table,MATCH(DATE(U$5,$J52,$I52),daily_dates,0),MATCH($B$3,daily_items,0)))</f>
        <v>#N/A</v>
      </c>
      <c r="V52" s="1" t="str">
        <f t="array" ref="V52">IF(ISBLANK(INDEX(big_daily_table,MATCH(DATE(V$5,$J52,$I52),daily_dates,0),MATCH($B$3,daily_items,0))),NA(),INDEX(big_daily_table,MATCH(DATE(V$5,$J52,$I52),daily_dates,0),MATCH($B$3,daily_items,0)))</f>
        <v>#N/A</v>
      </c>
      <c r="W52" s="1" t="str">
        <f t="array" ref="W52">IF(ISBLANK(INDEX(big_daily_table,MATCH(DATE(W$5,$J52,$I52),daily_dates,0),MATCH($B$3,daily_items,0))),NA(),INDEX(big_daily_table,MATCH(DATE(W$5,$J52,$I52),daily_dates,0),MATCH($B$3,daily_items,0)))</f>
        <v>#N/A</v>
      </c>
      <c r="X52" s="1" t="str">
        <f t="array" ref="X52">IF(ISBLANK(INDEX(big_daily_table,MATCH(DATE(X$5,$J52,$I52),daily_dates,0),MATCH($B$3,daily_items,0))),NA(),INDEX(big_daily_table,MATCH(DATE(X$5,$J52,$I52),daily_dates,0),MATCH($B$3,daily_items,0)))</f>
        <v>#N/A</v>
      </c>
      <c r="Y52" s="1" t="str">
        <f t="array" ref="Y52">IF(ISBLANK(INDEX(big_daily_table,MATCH(DATE(Y$5,$J52,$I52),daily_dates,0),MATCH($B$3,daily_items,0))),NA(),INDEX(big_daily_table,MATCH(DATE(Y$5,$J52,$I52),daily_dates,0),MATCH($B$3,daily_items,0)))</f>
        <v>#N/A</v>
      </c>
      <c r="Z52" s="1" t="str">
        <f t="shared" si="5"/>
        <v>#NAME?</v>
      </c>
      <c r="AA52" s="1" t="str">
        <f t="shared" si="6"/>
        <v>#NAME?</v>
      </c>
      <c r="AB52" s="1" t="str">
        <f t="shared" si="7"/>
        <v>#NAME?</v>
      </c>
      <c r="AC52" s="1" t="str">
        <f t="shared" si="8"/>
        <v>#NAME?</v>
      </c>
    </row>
    <row r="53" ht="14.25" customHeight="1">
      <c r="H53" s="1">
        <f t="shared" si="9"/>
        <v>48</v>
      </c>
      <c r="I53" s="1">
        <f t="shared" si="2"/>
        <v>17</v>
      </c>
      <c r="J53" s="1">
        <f t="shared" si="3"/>
        <v>2</v>
      </c>
      <c r="K53" s="23">
        <f t="shared" si="10"/>
        <v>36573</v>
      </c>
      <c r="L53" s="24">
        <f t="shared" si="4"/>
        <v>-1000000</v>
      </c>
      <c r="M53" s="1" t="str">
        <f t="array" ref="M53">IF(K53&gt;0,INDEX(big_daily_table,MATCH(DATE(N$5,$J53,$I53),daily_dates,0),MATCH($B$3,daily_items,0)),NA())</f>
        <v>#N/A</v>
      </c>
      <c r="N53" s="1" t="str">
        <f t="array" ref="N53">IF(L53&lt;0,INDEX(big_daily_table,MATCH(DATE(N$5,$J53,$I53),daily_dates,0),MATCH($B$3,daily_items,0)),NA())</f>
        <v>#N/A</v>
      </c>
      <c r="O53" s="1" t="str">
        <f t="array" ref="O53">IF(ISBLANK(INDEX(big_daily_table,MATCH(DATE(O$5,$J53,$I53),daily_dates,0),MATCH($B$3,daily_items,0))),NA(),INDEX(big_daily_table,MATCH(DATE(O$5,$J53,$I53),daily_dates,0),MATCH($B$3,daily_items,0)))</f>
        <v>#N/A</v>
      </c>
      <c r="P53" s="1" t="str">
        <f t="array" ref="P53">IF(ISBLANK(INDEX(big_daily_table,MATCH(DATE(P$5,$J53,$I53),daily_dates,0),MATCH($B$3,daily_items,0))),NA(),INDEX(big_daily_table,MATCH(DATE(P$5,$J53,$I53),daily_dates,0),MATCH($B$3,daily_items,0)))</f>
        <v>#N/A</v>
      </c>
      <c r="Q53" s="1" t="str">
        <f t="array" ref="Q53">IF(ISBLANK(INDEX(big_daily_table,MATCH(DATE(Q$5,$J53,$I53),daily_dates,0),MATCH($B$3,daily_items,0))),NA(),INDEX(big_daily_table,MATCH(DATE(Q$5,$J53,$I53),daily_dates,0),MATCH($B$3,daily_items,0)))</f>
        <v>#N/A</v>
      </c>
      <c r="R53" s="1" t="str">
        <f t="array" ref="R53">IF(ISBLANK(INDEX(big_daily_table,MATCH(DATE(R$5,$J53,$I53),daily_dates,0),MATCH($B$3,daily_items,0))),NA(),INDEX(big_daily_table,MATCH(DATE(R$5,$J53,$I53),daily_dates,0),MATCH($B$3,daily_items,0)))</f>
        <v>#N/A</v>
      </c>
      <c r="S53" s="1" t="str">
        <f t="array" ref="S53">IF(ISBLANK(INDEX(big_daily_table,MATCH(DATE(S$5,$J53,$I53),daily_dates,0),MATCH($B$3,daily_items,0))),NA(),INDEX(big_daily_table,MATCH(DATE(S$5,$J53,$I53),daily_dates,0),MATCH($B$3,daily_items,0)))</f>
        <v>#N/A</v>
      </c>
      <c r="T53" s="1" t="str">
        <f t="array" ref="T53">IF(ISBLANK(INDEX(big_daily_table,MATCH(DATE(T$5,$J53,$I53),daily_dates,0),MATCH($B$3,daily_items,0))),NA(),INDEX(big_daily_table,MATCH(DATE(T$5,$J53,$I53),daily_dates,0),MATCH($B$3,daily_items,0)))</f>
        <v>#N/A</v>
      </c>
      <c r="U53" s="1" t="str">
        <f t="array" ref="U53">IF(ISBLANK(INDEX(big_daily_table,MATCH(DATE(U$5,$J53,$I53),daily_dates,0),MATCH($B$3,daily_items,0))),NA(),INDEX(big_daily_table,MATCH(DATE(U$5,$J53,$I53),daily_dates,0),MATCH($B$3,daily_items,0)))</f>
        <v>#N/A</v>
      </c>
      <c r="V53" s="1" t="str">
        <f t="array" ref="V53">IF(ISBLANK(INDEX(big_daily_table,MATCH(DATE(V$5,$J53,$I53),daily_dates,0),MATCH($B$3,daily_items,0))),NA(),INDEX(big_daily_table,MATCH(DATE(V$5,$J53,$I53),daily_dates,0),MATCH($B$3,daily_items,0)))</f>
        <v>#N/A</v>
      </c>
      <c r="W53" s="1" t="str">
        <f t="array" ref="W53">IF(ISBLANK(INDEX(big_daily_table,MATCH(DATE(W$5,$J53,$I53),daily_dates,0),MATCH($B$3,daily_items,0))),NA(),INDEX(big_daily_table,MATCH(DATE(W$5,$J53,$I53),daily_dates,0),MATCH($B$3,daily_items,0)))</f>
        <v>#N/A</v>
      </c>
      <c r="X53" s="1" t="str">
        <f t="array" ref="X53">IF(ISBLANK(INDEX(big_daily_table,MATCH(DATE(X$5,$J53,$I53),daily_dates,0),MATCH($B$3,daily_items,0))),NA(),INDEX(big_daily_table,MATCH(DATE(X$5,$J53,$I53),daily_dates,0),MATCH($B$3,daily_items,0)))</f>
        <v>#N/A</v>
      </c>
      <c r="Y53" s="1" t="str">
        <f t="array" ref="Y53">IF(ISBLANK(INDEX(big_daily_table,MATCH(DATE(Y$5,$J53,$I53),daily_dates,0),MATCH($B$3,daily_items,0))),NA(),INDEX(big_daily_table,MATCH(DATE(Y$5,$J53,$I53),daily_dates,0),MATCH($B$3,daily_items,0)))</f>
        <v>#N/A</v>
      </c>
      <c r="Z53" s="1" t="str">
        <f t="shared" si="5"/>
        <v>#NAME?</v>
      </c>
      <c r="AA53" s="1" t="str">
        <f t="shared" si="6"/>
        <v>#NAME?</v>
      </c>
      <c r="AB53" s="1" t="str">
        <f t="shared" si="7"/>
        <v>#NAME?</v>
      </c>
      <c r="AC53" s="1" t="str">
        <f t="shared" si="8"/>
        <v>#NAME?</v>
      </c>
    </row>
    <row r="54" ht="14.25" customHeight="1">
      <c r="H54" s="1">
        <f t="shared" si="9"/>
        <v>49</v>
      </c>
      <c r="I54" s="1">
        <f t="shared" si="2"/>
        <v>18</v>
      </c>
      <c r="J54" s="1">
        <f t="shared" si="3"/>
        <v>2</v>
      </c>
      <c r="K54" s="23">
        <f t="shared" si="10"/>
        <v>36574</v>
      </c>
      <c r="L54" s="24">
        <f t="shared" si="4"/>
        <v>-1000000</v>
      </c>
      <c r="M54" s="1" t="str">
        <f t="array" ref="M54">IF(K54&gt;0,INDEX(big_daily_table,MATCH(DATE(N$5,$J54,$I54),daily_dates,0),MATCH($B$3,daily_items,0)),NA())</f>
        <v>#N/A</v>
      </c>
      <c r="N54" s="1" t="str">
        <f t="array" ref="N54">IF(L54&lt;0,INDEX(big_daily_table,MATCH(DATE(N$5,$J54,$I54),daily_dates,0),MATCH($B$3,daily_items,0)),NA())</f>
        <v>#N/A</v>
      </c>
      <c r="O54" s="1" t="str">
        <f t="array" ref="O54">IF(ISBLANK(INDEX(big_daily_table,MATCH(DATE(O$5,$J54,$I54),daily_dates,0),MATCH($B$3,daily_items,0))),NA(),INDEX(big_daily_table,MATCH(DATE(O$5,$J54,$I54),daily_dates,0),MATCH($B$3,daily_items,0)))</f>
        <v>#N/A</v>
      </c>
      <c r="P54" s="1" t="str">
        <f t="array" ref="P54">IF(ISBLANK(INDEX(big_daily_table,MATCH(DATE(P$5,$J54,$I54),daily_dates,0),MATCH($B$3,daily_items,0))),NA(),INDEX(big_daily_table,MATCH(DATE(P$5,$J54,$I54),daily_dates,0),MATCH($B$3,daily_items,0)))</f>
        <v>#N/A</v>
      </c>
      <c r="Q54" s="1" t="str">
        <f t="array" ref="Q54">IF(ISBLANK(INDEX(big_daily_table,MATCH(DATE(Q$5,$J54,$I54),daily_dates,0),MATCH($B$3,daily_items,0))),NA(),INDEX(big_daily_table,MATCH(DATE(Q$5,$J54,$I54),daily_dates,0),MATCH($B$3,daily_items,0)))</f>
        <v>#N/A</v>
      </c>
      <c r="R54" s="1" t="str">
        <f t="array" ref="R54">IF(ISBLANK(INDEX(big_daily_table,MATCH(DATE(R$5,$J54,$I54),daily_dates,0),MATCH($B$3,daily_items,0))),NA(),INDEX(big_daily_table,MATCH(DATE(R$5,$J54,$I54),daily_dates,0),MATCH($B$3,daily_items,0)))</f>
        <v>#N/A</v>
      </c>
      <c r="S54" s="1" t="str">
        <f t="array" ref="S54">IF(ISBLANK(INDEX(big_daily_table,MATCH(DATE(S$5,$J54,$I54),daily_dates,0),MATCH($B$3,daily_items,0))),NA(),INDEX(big_daily_table,MATCH(DATE(S$5,$J54,$I54),daily_dates,0),MATCH($B$3,daily_items,0)))</f>
        <v>#N/A</v>
      </c>
      <c r="T54" s="1" t="str">
        <f t="array" ref="T54">IF(ISBLANK(INDEX(big_daily_table,MATCH(DATE(T$5,$J54,$I54),daily_dates,0),MATCH($B$3,daily_items,0))),NA(),INDEX(big_daily_table,MATCH(DATE(T$5,$J54,$I54),daily_dates,0),MATCH($B$3,daily_items,0)))</f>
        <v>#N/A</v>
      </c>
      <c r="U54" s="1" t="str">
        <f t="array" ref="U54">IF(ISBLANK(INDEX(big_daily_table,MATCH(DATE(U$5,$J54,$I54),daily_dates,0),MATCH($B$3,daily_items,0))),NA(),INDEX(big_daily_table,MATCH(DATE(U$5,$J54,$I54),daily_dates,0),MATCH($B$3,daily_items,0)))</f>
        <v>#N/A</v>
      </c>
      <c r="V54" s="1" t="str">
        <f t="array" ref="V54">IF(ISBLANK(INDEX(big_daily_table,MATCH(DATE(V$5,$J54,$I54),daily_dates,0),MATCH($B$3,daily_items,0))),NA(),INDEX(big_daily_table,MATCH(DATE(V$5,$J54,$I54),daily_dates,0),MATCH($B$3,daily_items,0)))</f>
        <v>#N/A</v>
      </c>
      <c r="W54" s="1" t="str">
        <f t="array" ref="W54">IF(ISBLANK(INDEX(big_daily_table,MATCH(DATE(W$5,$J54,$I54),daily_dates,0),MATCH($B$3,daily_items,0))),NA(),INDEX(big_daily_table,MATCH(DATE(W$5,$J54,$I54),daily_dates,0),MATCH($B$3,daily_items,0)))</f>
        <v>#N/A</v>
      </c>
      <c r="X54" s="1" t="str">
        <f t="array" ref="X54">IF(ISBLANK(INDEX(big_daily_table,MATCH(DATE(X$5,$J54,$I54),daily_dates,0),MATCH($B$3,daily_items,0))),NA(),INDEX(big_daily_table,MATCH(DATE(X$5,$J54,$I54),daily_dates,0),MATCH($B$3,daily_items,0)))</f>
        <v>#N/A</v>
      </c>
      <c r="Y54" s="1" t="str">
        <f t="array" ref="Y54">IF(ISBLANK(INDEX(big_daily_table,MATCH(DATE(Y$5,$J54,$I54),daily_dates,0),MATCH($B$3,daily_items,0))),NA(),INDEX(big_daily_table,MATCH(DATE(Y$5,$J54,$I54),daily_dates,0),MATCH($B$3,daily_items,0)))</f>
        <v>#N/A</v>
      </c>
      <c r="Z54" s="1" t="str">
        <f t="shared" si="5"/>
        <v>#NAME?</v>
      </c>
      <c r="AA54" s="1" t="str">
        <f t="shared" si="6"/>
        <v>#NAME?</v>
      </c>
      <c r="AB54" s="1" t="str">
        <f t="shared" si="7"/>
        <v>#NAME?</v>
      </c>
      <c r="AC54" s="1" t="str">
        <f t="shared" si="8"/>
        <v>#NAME?</v>
      </c>
    </row>
    <row r="55" ht="14.25" customHeight="1">
      <c r="H55" s="1">
        <f t="shared" si="9"/>
        <v>50</v>
      </c>
      <c r="I55" s="1">
        <f t="shared" si="2"/>
        <v>19</v>
      </c>
      <c r="J55" s="1">
        <f t="shared" si="3"/>
        <v>2</v>
      </c>
      <c r="K55" s="23">
        <f t="shared" si="10"/>
        <v>36575</v>
      </c>
      <c r="L55" s="24">
        <f t="shared" si="4"/>
        <v>-1000000</v>
      </c>
      <c r="M55" s="1" t="str">
        <f t="array" ref="M55">IF(K55&gt;0,INDEX(big_daily_table,MATCH(DATE(N$5,$J55,$I55),daily_dates,0),MATCH($B$3,daily_items,0)),NA())</f>
        <v>#N/A</v>
      </c>
      <c r="N55" s="1" t="str">
        <f t="array" ref="N55">IF(L55&lt;0,INDEX(big_daily_table,MATCH(DATE(N$5,$J55,$I55),daily_dates,0),MATCH($B$3,daily_items,0)),NA())</f>
        <v>#N/A</v>
      </c>
      <c r="O55" s="1" t="str">
        <f t="array" ref="O55">IF(ISBLANK(INDEX(big_daily_table,MATCH(DATE(O$5,$J55,$I55),daily_dates,0),MATCH($B$3,daily_items,0))),NA(),INDEX(big_daily_table,MATCH(DATE(O$5,$J55,$I55),daily_dates,0),MATCH($B$3,daily_items,0)))</f>
        <v>#N/A</v>
      </c>
      <c r="P55" s="1" t="str">
        <f t="array" ref="P55">IF(ISBLANK(INDEX(big_daily_table,MATCH(DATE(P$5,$J55,$I55),daily_dates,0),MATCH($B$3,daily_items,0))),NA(),INDEX(big_daily_table,MATCH(DATE(P$5,$J55,$I55),daily_dates,0),MATCH($B$3,daily_items,0)))</f>
        <v>#N/A</v>
      </c>
      <c r="Q55" s="1" t="str">
        <f t="array" ref="Q55">IF(ISBLANK(INDEX(big_daily_table,MATCH(DATE(Q$5,$J55,$I55),daily_dates,0),MATCH($B$3,daily_items,0))),NA(),INDEX(big_daily_table,MATCH(DATE(Q$5,$J55,$I55),daily_dates,0),MATCH($B$3,daily_items,0)))</f>
        <v>#N/A</v>
      </c>
      <c r="R55" s="1" t="str">
        <f t="array" ref="R55">IF(ISBLANK(INDEX(big_daily_table,MATCH(DATE(R$5,$J55,$I55),daily_dates,0),MATCH($B$3,daily_items,0))),NA(),INDEX(big_daily_table,MATCH(DATE(R$5,$J55,$I55),daily_dates,0),MATCH($B$3,daily_items,0)))</f>
        <v>#N/A</v>
      </c>
      <c r="S55" s="1" t="str">
        <f t="array" ref="S55">IF(ISBLANK(INDEX(big_daily_table,MATCH(DATE(S$5,$J55,$I55),daily_dates,0),MATCH($B$3,daily_items,0))),NA(),INDEX(big_daily_table,MATCH(DATE(S$5,$J55,$I55),daily_dates,0),MATCH($B$3,daily_items,0)))</f>
        <v>#N/A</v>
      </c>
      <c r="T55" s="1" t="str">
        <f t="array" ref="T55">IF(ISBLANK(INDEX(big_daily_table,MATCH(DATE(T$5,$J55,$I55),daily_dates,0),MATCH($B$3,daily_items,0))),NA(),INDEX(big_daily_table,MATCH(DATE(T$5,$J55,$I55),daily_dates,0),MATCH($B$3,daily_items,0)))</f>
        <v>#N/A</v>
      </c>
      <c r="U55" s="1" t="str">
        <f t="array" ref="U55">IF(ISBLANK(INDEX(big_daily_table,MATCH(DATE(U$5,$J55,$I55),daily_dates,0),MATCH($B$3,daily_items,0))),NA(),INDEX(big_daily_table,MATCH(DATE(U$5,$J55,$I55),daily_dates,0),MATCH($B$3,daily_items,0)))</f>
        <v>#N/A</v>
      </c>
      <c r="V55" s="1" t="str">
        <f t="array" ref="V55">IF(ISBLANK(INDEX(big_daily_table,MATCH(DATE(V$5,$J55,$I55),daily_dates,0),MATCH($B$3,daily_items,0))),NA(),INDEX(big_daily_table,MATCH(DATE(V$5,$J55,$I55),daily_dates,0),MATCH($B$3,daily_items,0)))</f>
        <v>#N/A</v>
      </c>
      <c r="W55" s="1" t="str">
        <f t="array" ref="W55">IF(ISBLANK(INDEX(big_daily_table,MATCH(DATE(W$5,$J55,$I55),daily_dates,0),MATCH($B$3,daily_items,0))),NA(),INDEX(big_daily_table,MATCH(DATE(W$5,$J55,$I55),daily_dates,0),MATCH($B$3,daily_items,0)))</f>
        <v>#N/A</v>
      </c>
      <c r="X55" s="1" t="str">
        <f t="array" ref="X55">IF(ISBLANK(INDEX(big_daily_table,MATCH(DATE(X$5,$J55,$I55),daily_dates,0),MATCH($B$3,daily_items,0))),NA(),INDEX(big_daily_table,MATCH(DATE(X$5,$J55,$I55),daily_dates,0),MATCH($B$3,daily_items,0)))</f>
        <v>#N/A</v>
      </c>
      <c r="Y55" s="1" t="str">
        <f t="array" ref="Y55">IF(ISBLANK(INDEX(big_daily_table,MATCH(DATE(Y$5,$J55,$I55),daily_dates,0),MATCH($B$3,daily_items,0))),NA(),INDEX(big_daily_table,MATCH(DATE(Y$5,$J55,$I55),daily_dates,0),MATCH($B$3,daily_items,0)))</f>
        <v>#N/A</v>
      </c>
      <c r="Z55" s="1" t="str">
        <f t="shared" si="5"/>
        <v>#NAME?</v>
      </c>
      <c r="AA55" s="1" t="str">
        <f t="shared" si="6"/>
        <v>#NAME?</v>
      </c>
      <c r="AB55" s="1" t="str">
        <f t="shared" si="7"/>
        <v>#NAME?</v>
      </c>
      <c r="AC55" s="1" t="str">
        <f t="shared" si="8"/>
        <v>#NAME?</v>
      </c>
    </row>
    <row r="56" ht="14.25" customHeight="1">
      <c r="H56" s="1">
        <f t="shared" si="9"/>
        <v>51</v>
      </c>
      <c r="I56" s="1">
        <f t="shared" si="2"/>
        <v>20</v>
      </c>
      <c r="J56" s="1">
        <f t="shared" si="3"/>
        <v>2</v>
      </c>
      <c r="K56" s="23">
        <f t="shared" si="10"/>
        <v>36576</v>
      </c>
      <c r="L56" s="24">
        <f t="shared" si="4"/>
        <v>-1000000</v>
      </c>
      <c r="M56" s="1" t="str">
        <f t="array" ref="M56">IF(K56&gt;0,INDEX(big_daily_table,MATCH(DATE(N$5,$J56,$I56),daily_dates,0),MATCH($B$3,daily_items,0)),NA())</f>
        <v>#N/A</v>
      </c>
      <c r="N56" s="1" t="str">
        <f t="array" ref="N56">IF(L56&lt;0,INDEX(big_daily_table,MATCH(DATE(N$5,$J56,$I56),daily_dates,0),MATCH($B$3,daily_items,0)),NA())</f>
        <v>#N/A</v>
      </c>
      <c r="O56" s="1" t="str">
        <f t="array" ref="O56">IF(ISBLANK(INDEX(big_daily_table,MATCH(DATE(O$5,$J56,$I56),daily_dates,0),MATCH($B$3,daily_items,0))),NA(),INDEX(big_daily_table,MATCH(DATE(O$5,$J56,$I56),daily_dates,0),MATCH($B$3,daily_items,0)))</f>
        <v>#N/A</v>
      </c>
      <c r="P56" s="1" t="str">
        <f t="array" ref="P56">IF(ISBLANK(INDEX(big_daily_table,MATCH(DATE(P$5,$J56,$I56),daily_dates,0),MATCH($B$3,daily_items,0))),NA(),INDEX(big_daily_table,MATCH(DATE(P$5,$J56,$I56),daily_dates,0),MATCH($B$3,daily_items,0)))</f>
        <v>#N/A</v>
      </c>
      <c r="Q56" s="1" t="str">
        <f t="array" ref="Q56">IF(ISBLANK(INDEX(big_daily_table,MATCH(DATE(Q$5,$J56,$I56),daily_dates,0),MATCH($B$3,daily_items,0))),NA(),INDEX(big_daily_table,MATCH(DATE(Q$5,$J56,$I56),daily_dates,0),MATCH($B$3,daily_items,0)))</f>
        <v>#N/A</v>
      </c>
      <c r="R56" s="1" t="str">
        <f t="array" ref="R56">IF(ISBLANK(INDEX(big_daily_table,MATCH(DATE(R$5,$J56,$I56),daily_dates,0),MATCH($B$3,daily_items,0))),NA(),INDEX(big_daily_table,MATCH(DATE(R$5,$J56,$I56),daily_dates,0),MATCH($B$3,daily_items,0)))</f>
        <v>#N/A</v>
      </c>
      <c r="S56" s="1" t="str">
        <f t="array" ref="S56">IF(ISBLANK(INDEX(big_daily_table,MATCH(DATE(S$5,$J56,$I56),daily_dates,0),MATCH($B$3,daily_items,0))),NA(),INDEX(big_daily_table,MATCH(DATE(S$5,$J56,$I56),daily_dates,0),MATCH($B$3,daily_items,0)))</f>
        <v>#N/A</v>
      </c>
      <c r="T56" s="1" t="str">
        <f t="array" ref="T56">IF(ISBLANK(INDEX(big_daily_table,MATCH(DATE(T$5,$J56,$I56),daily_dates,0),MATCH($B$3,daily_items,0))),NA(),INDEX(big_daily_table,MATCH(DATE(T$5,$J56,$I56),daily_dates,0),MATCH($B$3,daily_items,0)))</f>
        <v>#N/A</v>
      </c>
      <c r="U56" s="1" t="str">
        <f t="array" ref="U56">IF(ISBLANK(INDEX(big_daily_table,MATCH(DATE(U$5,$J56,$I56),daily_dates,0),MATCH($B$3,daily_items,0))),NA(),INDEX(big_daily_table,MATCH(DATE(U$5,$J56,$I56),daily_dates,0),MATCH($B$3,daily_items,0)))</f>
        <v>#N/A</v>
      </c>
      <c r="V56" s="1" t="str">
        <f t="array" ref="V56">IF(ISBLANK(INDEX(big_daily_table,MATCH(DATE(V$5,$J56,$I56),daily_dates,0),MATCH($B$3,daily_items,0))),NA(),INDEX(big_daily_table,MATCH(DATE(V$5,$J56,$I56),daily_dates,0),MATCH($B$3,daily_items,0)))</f>
        <v>#N/A</v>
      </c>
      <c r="W56" s="1" t="str">
        <f t="array" ref="W56">IF(ISBLANK(INDEX(big_daily_table,MATCH(DATE(W$5,$J56,$I56),daily_dates,0),MATCH($B$3,daily_items,0))),NA(),INDEX(big_daily_table,MATCH(DATE(W$5,$J56,$I56),daily_dates,0),MATCH($B$3,daily_items,0)))</f>
        <v>#N/A</v>
      </c>
      <c r="X56" s="1" t="str">
        <f t="array" ref="X56">IF(ISBLANK(INDEX(big_daily_table,MATCH(DATE(X$5,$J56,$I56),daily_dates,0),MATCH($B$3,daily_items,0))),NA(),INDEX(big_daily_table,MATCH(DATE(X$5,$J56,$I56),daily_dates,0),MATCH($B$3,daily_items,0)))</f>
        <v>#N/A</v>
      </c>
      <c r="Y56" s="1" t="str">
        <f t="array" ref="Y56">IF(ISBLANK(INDEX(big_daily_table,MATCH(DATE(Y$5,$J56,$I56),daily_dates,0),MATCH($B$3,daily_items,0))),NA(),INDEX(big_daily_table,MATCH(DATE(Y$5,$J56,$I56),daily_dates,0),MATCH($B$3,daily_items,0)))</f>
        <v>#N/A</v>
      </c>
      <c r="Z56" s="1" t="str">
        <f t="shared" si="5"/>
        <v>#NAME?</v>
      </c>
      <c r="AA56" s="1" t="str">
        <f t="shared" si="6"/>
        <v>#NAME?</v>
      </c>
      <c r="AB56" s="1" t="str">
        <f t="shared" si="7"/>
        <v>#NAME?</v>
      </c>
      <c r="AC56" s="1" t="str">
        <f t="shared" si="8"/>
        <v>#NAME?</v>
      </c>
    </row>
    <row r="57" ht="14.25" customHeight="1">
      <c r="H57" s="1">
        <f t="shared" si="9"/>
        <v>52</v>
      </c>
      <c r="I57" s="1">
        <f t="shared" si="2"/>
        <v>21</v>
      </c>
      <c r="J57" s="1">
        <f t="shared" si="3"/>
        <v>2</v>
      </c>
      <c r="K57" s="23">
        <f t="shared" si="10"/>
        <v>36577</v>
      </c>
      <c r="L57" s="24">
        <f t="shared" si="4"/>
        <v>-1000000</v>
      </c>
      <c r="M57" s="1" t="str">
        <f t="array" ref="M57">IF(K57&gt;0,INDEX(big_daily_table,MATCH(DATE(N$5,$J57,$I57),daily_dates,0),MATCH($B$3,daily_items,0)),NA())</f>
        <v>#N/A</v>
      </c>
      <c r="N57" s="1" t="str">
        <f t="array" ref="N57">IF(L57&lt;0,INDEX(big_daily_table,MATCH(DATE(N$5,$J57,$I57),daily_dates,0),MATCH($B$3,daily_items,0)),NA())</f>
        <v>#N/A</v>
      </c>
      <c r="O57" s="1" t="str">
        <f t="array" ref="O57">IF(ISBLANK(INDEX(big_daily_table,MATCH(DATE(O$5,$J57,$I57),daily_dates,0),MATCH($B$3,daily_items,0))),NA(),INDEX(big_daily_table,MATCH(DATE(O$5,$J57,$I57),daily_dates,0),MATCH($B$3,daily_items,0)))</f>
        <v>#N/A</v>
      </c>
      <c r="P57" s="1" t="str">
        <f t="array" ref="P57">IF(ISBLANK(INDEX(big_daily_table,MATCH(DATE(P$5,$J57,$I57),daily_dates,0),MATCH($B$3,daily_items,0))),NA(),INDEX(big_daily_table,MATCH(DATE(P$5,$J57,$I57),daily_dates,0),MATCH($B$3,daily_items,0)))</f>
        <v>#N/A</v>
      </c>
      <c r="Q57" s="1" t="str">
        <f t="array" ref="Q57">IF(ISBLANK(INDEX(big_daily_table,MATCH(DATE(Q$5,$J57,$I57),daily_dates,0),MATCH($B$3,daily_items,0))),NA(),INDEX(big_daily_table,MATCH(DATE(Q$5,$J57,$I57),daily_dates,0),MATCH($B$3,daily_items,0)))</f>
        <v>#N/A</v>
      </c>
      <c r="R57" s="1" t="str">
        <f t="array" ref="R57">IF(ISBLANK(INDEX(big_daily_table,MATCH(DATE(R$5,$J57,$I57),daily_dates,0),MATCH($B$3,daily_items,0))),NA(),INDEX(big_daily_table,MATCH(DATE(R$5,$J57,$I57),daily_dates,0),MATCH($B$3,daily_items,0)))</f>
        <v>#N/A</v>
      </c>
      <c r="S57" s="1" t="str">
        <f t="array" ref="S57">IF(ISBLANK(INDEX(big_daily_table,MATCH(DATE(S$5,$J57,$I57),daily_dates,0),MATCH($B$3,daily_items,0))),NA(),INDEX(big_daily_table,MATCH(DATE(S$5,$J57,$I57),daily_dates,0),MATCH($B$3,daily_items,0)))</f>
        <v>#N/A</v>
      </c>
      <c r="T57" s="1" t="str">
        <f t="array" ref="T57">IF(ISBLANK(INDEX(big_daily_table,MATCH(DATE(T$5,$J57,$I57),daily_dates,0),MATCH($B$3,daily_items,0))),NA(),INDEX(big_daily_table,MATCH(DATE(T$5,$J57,$I57),daily_dates,0),MATCH($B$3,daily_items,0)))</f>
        <v>#N/A</v>
      </c>
      <c r="U57" s="1" t="str">
        <f t="array" ref="U57">IF(ISBLANK(INDEX(big_daily_table,MATCH(DATE(U$5,$J57,$I57),daily_dates,0),MATCH($B$3,daily_items,0))),NA(),INDEX(big_daily_table,MATCH(DATE(U$5,$J57,$I57),daily_dates,0),MATCH($B$3,daily_items,0)))</f>
        <v>#N/A</v>
      </c>
      <c r="V57" s="1" t="str">
        <f t="array" ref="V57">IF(ISBLANK(INDEX(big_daily_table,MATCH(DATE(V$5,$J57,$I57),daily_dates,0),MATCH($B$3,daily_items,0))),NA(),INDEX(big_daily_table,MATCH(DATE(V$5,$J57,$I57),daily_dates,0),MATCH($B$3,daily_items,0)))</f>
        <v>#N/A</v>
      </c>
      <c r="W57" s="1" t="str">
        <f t="array" ref="W57">IF(ISBLANK(INDEX(big_daily_table,MATCH(DATE(W$5,$J57,$I57),daily_dates,0),MATCH($B$3,daily_items,0))),NA(),INDEX(big_daily_table,MATCH(DATE(W$5,$J57,$I57),daily_dates,0),MATCH($B$3,daily_items,0)))</f>
        <v>#N/A</v>
      </c>
      <c r="X57" s="1" t="str">
        <f t="array" ref="X57">IF(ISBLANK(INDEX(big_daily_table,MATCH(DATE(X$5,$J57,$I57),daily_dates,0),MATCH($B$3,daily_items,0))),NA(),INDEX(big_daily_table,MATCH(DATE(X$5,$J57,$I57),daily_dates,0),MATCH($B$3,daily_items,0)))</f>
        <v>#N/A</v>
      </c>
      <c r="Y57" s="1" t="str">
        <f t="array" ref="Y57">IF(ISBLANK(INDEX(big_daily_table,MATCH(DATE(Y$5,$J57,$I57),daily_dates,0),MATCH($B$3,daily_items,0))),NA(),INDEX(big_daily_table,MATCH(DATE(Y$5,$J57,$I57),daily_dates,0),MATCH($B$3,daily_items,0)))</f>
        <v>#N/A</v>
      </c>
      <c r="Z57" s="1" t="str">
        <f t="shared" si="5"/>
        <v>#NAME?</v>
      </c>
      <c r="AA57" s="1" t="str">
        <f t="shared" si="6"/>
        <v>#NAME?</v>
      </c>
      <c r="AB57" s="1" t="str">
        <f t="shared" si="7"/>
        <v>#NAME?</v>
      </c>
      <c r="AC57" s="1" t="str">
        <f t="shared" si="8"/>
        <v>#NAME?</v>
      </c>
    </row>
    <row r="58" ht="14.25" customHeight="1">
      <c r="H58" s="1">
        <f t="shared" si="9"/>
        <v>53</v>
      </c>
      <c r="I58" s="1">
        <f t="shared" si="2"/>
        <v>22</v>
      </c>
      <c r="J58" s="1">
        <f t="shared" si="3"/>
        <v>2</v>
      </c>
      <c r="K58" s="23">
        <f t="shared" si="10"/>
        <v>36578</v>
      </c>
      <c r="L58" s="24">
        <f t="shared" si="4"/>
        <v>-1000000</v>
      </c>
      <c r="M58" s="1" t="str">
        <f t="array" ref="M58">IF(K58&gt;0,INDEX(big_daily_table,MATCH(DATE(N$5,$J58,$I58),daily_dates,0),MATCH($B$3,daily_items,0)),NA())</f>
        <v>#N/A</v>
      </c>
      <c r="N58" s="1" t="str">
        <f t="array" ref="N58">IF(L58&lt;0,INDEX(big_daily_table,MATCH(DATE(N$5,$J58,$I58),daily_dates,0),MATCH($B$3,daily_items,0)),NA())</f>
        <v>#N/A</v>
      </c>
      <c r="O58" s="1" t="str">
        <f t="array" ref="O58">IF(ISBLANK(INDEX(big_daily_table,MATCH(DATE(O$5,$J58,$I58),daily_dates,0),MATCH($B$3,daily_items,0))),NA(),INDEX(big_daily_table,MATCH(DATE(O$5,$J58,$I58),daily_dates,0),MATCH($B$3,daily_items,0)))</f>
        <v>#N/A</v>
      </c>
      <c r="P58" s="1" t="str">
        <f t="array" ref="P58">IF(ISBLANK(INDEX(big_daily_table,MATCH(DATE(P$5,$J58,$I58),daily_dates,0),MATCH($B$3,daily_items,0))),NA(),INDEX(big_daily_table,MATCH(DATE(P$5,$J58,$I58),daily_dates,0),MATCH($B$3,daily_items,0)))</f>
        <v>#N/A</v>
      </c>
      <c r="Q58" s="1" t="str">
        <f t="array" ref="Q58">IF(ISBLANK(INDEX(big_daily_table,MATCH(DATE(Q$5,$J58,$I58),daily_dates,0),MATCH($B$3,daily_items,0))),NA(),INDEX(big_daily_table,MATCH(DATE(Q$5,$J58,$I58),daily_dates,0),MATCH($B$3,daily_items,0)))</f>
        <v>#N/A</v>
      </c>
      <c r="R58" s="1" t="str">
        <f t="array" ref="R58">IF(ISBLANK(INDEX(big_daily_table,MATCH(DATE(R$5,$J58,$I58),daily_dates,0),MATCH($B$3,daily_items,0))),NA(),INDEX(big_daily_table,MATCH(DATE(R$5,$J58,$I58),daily_dates,0),MATCH($B$3,daily_items,0)))</f>
        <v>#N/A</v>
      </c>
      <c r="S58" s="1" t="str">
        <f t="array" ref="S58">IF(ISBLANK(INDEX(big_daily_table,MATCH(DATE(S$5,$J58,$I58),daily_dates,0),MATCH($B$3,daily_items,0))),NA(),INDEX(big_daily_table,MATCH(DATE(S$5,$J58,$I58),daily_dates,0),MATCH($B$3,daily_items,0)))</f>
        <v>#N/A</v>
      </c>
      <c r="T58" s="1" t="str">
        <f t="array" ref="T58">IF(ISBLANK(INDEX(big_daily_table,MATCH(DATE(T$5,$J58,$I58),daily_dates,0),MATCH($B$3,daily_items,0))),NA(),INDEX(big_daily_table,MATCH(DATE(T$5,$J58,$I58),daily_dates,0),MATCH($B$3,daily_items,0)))</f>
        <v>#N/A</v>
      </c>
      <c r="U58" s="1" t="str">
        <f t="array" ref="U58">IF(ISBLANK(INDEX(big_daily_table,MATCH(DATE(U$5,$J58,$I58),daily_dates,0),MATCH($B$3,daily_items,0))),NA(),INDEX(big_daily_table,MATCH(DATE(U$5,$J58,$I58),daily_dates,0),MATCH($B$3,daily_items,0)))</f>
        <v>#N/A</v>
      </c>
      <c r="V58" s="1" t="str">
        <f t="array" ref="V58">IF(ISBLANK(INDEX(big_daily_table,MATCH(DATE(V$5,$J58,$I58),daily_dates,0),MATCH($B$3,daily_items,0))),NA(),INDEX(big_daily_table,MATCH(DATE(V$5,$J58,$I58),daily_dates,0),MATCH($B$3,daily_items,0)))</f>
        <v>#N/A</v>
      </c>
      <c r="W58" s="1" t="str">
        <f t="array" ref="W58">IF(ISBLANK(INDEX(big_daily_table,MATCH(DATE(W$5,$J58,$I58),daily_dates,0),MATCH($B$3,daily_items,0))),NA(),INDEX(big_daily_table,MATCH(DATE(W$5,$J58,$I58),daily_dates,0),MATCH($B$3,daily_items,0)))</f>
        <v>#N/A</v>
      </c>
      <c r="X58" s="1" t="str">
        <f t="array" ref="X58">IF(ISBLANK(INDEX(big_daily_table,MATCH(DATE(X$5,$J58,$I58),daily_dates,0),MATCH($B$3,daily_items,0))),NA(),INDEX(big_daily_table,MATCH(DATE(X$5,$J58,$I58),daily_dates,0),MATCH($B$3,daily_items,0)))</f>
        <v>#N/A</v>
      </c>
      <c r="Y58" s="1" t="str">
        <f t="array" ref="Y58">IF(ISBLANK(INDEX(big_daily_table,MATCH(DATE(Y$5,$J58,$I58),daily_dates,0),MATCH($B$3,daily_items,0))),NA(),INDEX(big_daily_table,MATCH(DATE(Y$5,$J58,$I58),daily_dates,0),MATCH($B$3,daily_items,0)))</f>
        <v>#N/A</v>
      </c>
      <c r="Z58" s="1" t="str">
        <f t="shared" si="5"/>
        <v>#NAME?</v>
      </c>
      <c r="AA58" s="1" t="str">
        <f t="shared" si="6"/>
        <v>#NAME?</v>
      </c>
      <c r="AB58" s="1" t="str">
        <f t="shared" si="7"/>
        <v>#NAME?</v>
      </c>
      <c r="AC58" s="1" t="str">
        <f t="shared" si="8"/>
        <v>#NAME?</v>
      </c>
    </row>
    <row r="59" ht="14.25" customHeight="1">
      <c r="H59" s="1">
        <f t="shared" si="9"/>
        <v>54</v>
      </c>
      <c r="I59" s="1">
        <f t="shared" si="2"/>
        <v>23</v>
      </c>
      <c r="J59" s="1">
        <f t="shared" si="3"/>
        <v>2</v>
      </c>
      <c r="K59" s="23">
        <f t="shared" si="10"/>
        <v>36579</v>
      </c>
      <c r="L59" s="24">
        <f t="shared" si="4"/>
        <v>-1000000</v>
      </c>
      <c r="M59" s="1" t="str">
        <f t="array" ref="M59">IF(K59&gt;0,INDEX(big_daily_table,MATCH(DATE(N$5,$J59,$I59),daily_dates,0),MATCH($B$3,daily_items,0)),NA())</f>
        <v>#N/A</v>
      </c>
      <c r="N59" s="1" t="str">
        <f t="array" ref="N59">IF(L59&lt;0,INDEX(big_daily_table,MATCH(DATE(N$5,$J59,$I59),daily_dates,0),MATCH($B$3,daily_items,0)),NA())</f>
        <v>#N/A</v>
      </c>
      <c r="O59" s="1" t="str">
        <f t="array" ref="O59">IF(ISBLANK(INDEX(big_daily_table,MATCH(DATE(O$5,$J59,$I59),daily_dates,0),MATCH($B$3,daily_items,0))),NA(),INDEX(big_daily_table,MATCH(DATE(O$5,$J59,$I59),daily_dates,0),MATCH($B$3,daily_items,0)))</f>
        <v>#N/A</v>
      </c>
      <c r="P59" s="1" t="str">
        <f t="array" ref="P59">IF(ISBLANK(INDEX(big_daily_table,MATCH(DATE(P$5,$J59,$I59),daily_dates,0),MATCH($B$3,daily_items,0))),NA(),INDEX(big_daily_table,MATCH(DATE(P$5,$J59,$I59),daily_dates,0),MATCH($B$3,daily_items,0)))</f>
        <v>#N/A</v>
      </c>
      <c r="Q59" s="1" t="str">
        <f t="array" ref="Q59">IF(ISBLANK(INDEX(big_daily_table,MATCH(DATE(Q$5,$J59,$I59),daily_dates,0),MATCH($B$3,daily_items,0))),NA(),INDEX(big_daily_table,MATCH(DATE(Q$5,$J59,$I59),daily_dates,0),MATCH($B$3,daily_items,0)))</f>
        <v>#N/A</v>
      </c>
      <c r="R59" s="1" t="str">
        <f t="array" ref="R59">IF(ISBLANK(INDEX(big_daily_table,MATCH(DATE(R$5,$J59,$I59),daily_dates,0),MATCH($B$3,daily_items,0))),NA(),INDEX(big_daily_table,MATCH(DATE(R$5,$J59,$I59),daily_dates,0),MATCH($B$3,daily_items,0)))</f>
        <v>#N/A</v>
      </c>
      <c r="S59" s="1" t="str">
        <f t="array" ref="S59">IF(ISBLANK(INDEX(big_daily_table,MATCH(DATE(S$5,$J59,$I59),daily_dates,0),MATCH($B$3,daily_items,0))),NA(),INDEX(big_daily_table,MATCH(DATE(S$5,$J59,$I59),daily_dates,0),MATCH($B$3,daily_items,0)))</f>
        <v>#N/A</v>
      </c>
      <c r="T59" s="1" t="str">
        <f t="array" ref="T59">IF(ISBLANK(INDEX(big_daily_table,MATCH(DATE(T$5,$J59,$I59),daily_dates,0),MATCH($B$3,daily_items,0))),NA(),INDEX(big_daily_table,MATCH(DATE(T$5,$J59,$I59),daily_dates,0),MATCH($B$3,daily_items,0)))</f>
        <v>#N/A</v>
      </c>
      <c r="U59" s="1" t="str">
        <f t="array" ref="U59">IF(ISBLANK(INDEX(big_daily_table,MATCH(DATE(U$5,$J59,$I59),daily_dates,0),MATCH($B$3,daily_items,0))),NA(),INDEX(big_daily_table,MATCH(DATE(U$5,$J59,$I59),daily_dates,0),MATCH($B$3,daily_items,0)))</f>
        <v>#N/A</v>
      </c>
      <c r="V59" s="1" t="str">
        <f t="array" ref="V59">IF(ISBLANK(INDEX(big_daily_table,MATCH(DATE(V$5,$J59,$I59),daily_dates,0),MATCH($B$3,daily_items,0))),NA(),INDEX(big_daily_table,MATCH(DATE(V$5,$J59,$I59),daily_dates,0),MATCH($B$3,daily_items,0)))</f>
        <v>#N/A</v>
      </c>
      <c r="W59" s="1" t="str">
        <f t="array" ref="W59">IF(ISBLANK(INDEX(big_daily_table,MATCH(DATE(W$5,$J59,$I59),daily_dates,0),MATCH($B$3,daily_items,0))),NA(),INDEX(big_daily_table,MATCH(DATE(W$5,$J59,$I59),daily_dates,0),MATCH($B$3,daily_items,0)))</f>
        <v>#N/A</v>
      </c>
      <c r="X59" s="1" t="str">
        <f t="array" ref="X59">IF(ISBLANK(INDEX(big_daily_table,MATCH(DATE(X$5,$J59,$I59),daily_dates,0),MATCH($B$3,daily_items,0))),NA(),INDEX(big_daily_table,MATCH(DATE(X$5,$J59,$I59),daily_dates,0),MATCH($B$3,daily_items,0)))</f>
        <v>#N/A</v>
      </c>
      <c r="Y59" s="1" t="str">
        <f t="array" ref="Y59">IF(ISBLANK(INDEX(big_daily_table,MATCH(DATE(Y$5,$J59,$I59),daily_dates,0),MATCH($B$3,daily_items,0))),NA(),INDEX(big_daily_table,MATCH(DATE(Y$5,$J59,$I59),daily_dates,0),MATCH($B$3,daily_items,0)))</f>
        <v>#N/A</v>
      </c>
      <c r="Z59" s="1" t="str">
        <f t="shared" si="5"/>
        <v>#NAME?</v>
      </c>
      <c r="AA59" s="1" t="str">
        <f t="shared" si="6"/>
        <v>#NAME?</v>
      </c>
      <c r="AB59" s="1" t="str">
        <f t="shared" si="7"/>
        <v>#NAME?</v>
      </c>
      <c r="AC59" s="1" t="str">
        <f t="shared" si="8"/>
        <v>#NAME?</v>
      </c>
    </row>
    <row r="60" ht="14.25" customHeight="1">
      <c r="H60" s="1">
        <f t="shared" si="9"/>
        <v>55</v>
      </c>
      <c r="I60" s="1">
        <f t="shared" si="2"/>
        <v>24</v>
      </c>
      <c r="J60" s="1">
        <f t="shared" si="3"/>
        <v>2</v>
      </c>
      <c r="K60" s="23">
        <f t="shared" si="10"/>
        <v>36580</v>
      </c>
      <c r="L60" s="24">
        <f t="shared" si="4"/>
        <v>-1000000</v>
      </c>
      <c r="M60" s="1" t="str">
        <f t="array" ref="M60">IF(K60&gt;0,INDEX(big_daily_table,MATCH(DATE(N$5,$J60,$I60),daily_dates,0),MATCH($B$3,daily_items,0)),NA())</f>
        <v>#N/A</v>
      </c>
      <c r="N60" s="1" t="str">
        <f t="array" ref="N60">IF(L60&lt;0,INDEX(big_daily_table,MATCH(DATE(N$5,$J60,$I60),daily_dates,0),MATCH($B$3,daily_items,0)),NA())</f>
        <v>#N/A</v>
      </c>
      <c r="O60" s="1" t="str">
        <f t="array" ref="O60">IF(ISBLANK(INDEX(big_daily_table,MATCH(DATE(O$5,$J60,$I60),daily_dates,0),MATCH($B$3,daily_items,0))),NA(),INDEX(big_daily_table,MATCH(DATE(O$5,$J60,$I60),daily_dates,0),MATCH($B$3,daily_items,0)))</f>
        <v>#N/A</v>
      </c>
      <c r="P60" s="1" t="str">
        <f t="array" ref="P60">IF(ISBLANK(INDEX(big_daily_table,MATCH(DATE(P$5,$J60,$I60),daily_dates,0),MATCH($B$3,daily_items,0))),NA(),INDEX(big_daily_table,MATCH(DATE(P$5,$J60,$I60),daily_dates,0),MATCH($B$3,daily_items,0)))</f>
        <v>#N/A</v>
      </c>
      <c r="Q60" s="1" t="str">
        <f t="array" ref="Q60">IF(ISBLANK(INDEX(big_daily_table,MATCH(DATE(Q$5,$J60,$I60),daily_dates,0),MATCH($B$3,daily_items,0))),NA(),INDEX(big_daily_table,MATCH(DATE(Q$5,$J60,$I60),daily_dates,0),MATCH($B$3,daily_items,0)))</f>
        <v>#N/A</v>
      </c>
      <c r="R60" s="1" t="str">
        <f t="array" ref="R60">IF(ISBLANK(INDEX(big_daily_table,MATCH(DATE(R$5,$J60,$I60),daily_dates,0),MATCH($B$3,daily_items,0))),NA(),INDEX(big_daily_table,MATCH(DATE(R$5,$J60,$I60),daily_dates,0),MATCH($B$3,daily_items,0)))</f>
        <v>#N/A</v>
      </c>
      <c r="S60" s="1" t="str">
        <f t="array" ref="S60">IF(ISBLANK(INDEX(big_daily_table,MATCH(DATE(S$5,$J60,$I60),daily_dates,0),MATCH($B$3,daily_items,0))),NA(),INDEX(big_daily_table,MATCH(DATE(S$5,$J60,$I60),daily_dates,0),MATCH($B$3,daily_items,0)))</f>
        <v>#N/A</v>
      </c>
      <c r="T60" s="1" t="str">
        <f t="array" ref="T60">IF(ISBLANK(INDEX(big_daily_table,MATCH(DATE(T$5,$J60,$I60),daily_dates,0),MATCH($B$3,daily_items,0))),NA(),INDEX(big_daily_table,MATCH(DATE(T$5,$J60,$I60),daily_dates,0),MATCH($B$3,daily_items,0)))</f>
        <v>#N/A</v>
      </c>
      <c r="U60" s="1" t="str">
        <f t="array" ref="U60">IF(ISBLANK(INDEX(big_daily_table,MATCH(DATE(U$5,$J60,$I60),daily_dates,0),MATCH($B$3,daily_items,0))),NA(),INDEX(big_daily_table,MATCH(DATE(U$5,$J60,$I60),daily_dates,0),MATCH($B$3,daily_items,0)))</f>
        <v>#N/A</v>
      </c>
      <c r="V60" s="1" t="str">
        <f t="array" ref="V60">IF(ISBLANK(INDEX(big_daily_table,MATCH(DATE(V$5,$J60,$I60),daily_dates,0),MATCH($B$3,daily_items,0))),NA(),INDEX(big_daily_table,MATCH(DATE(V$5,$J60,$I60),daily_dates,0),MATCH($B$3,daily_items,0)))</f>
        <v>#N/A</v>
      </c>
      <c r="W60" s="1" t="str">
        <f t="array" ref="W60">IF(ISBLANK(INDEX(big_daily_table,MATCH(DATE(W$5,$J60,$I60),daily_dates,0),MATCH($B$3,daily_items,0))),NA(),INDEX(big_daily_table,MATCH(DATE(W$5,$J60,$I60),daily_dates,0),MATCH($B$3,daily_items,0)))</f>
        <v>#N/A</v>
      </c>
      <c r="X60" s="1" t="str">
        <f t="array" ref="X60">IF(ISBLANK(INDEX(big_daily_table,MATCH(DATE(X$5,$J60,$I60),daily_dates,0),MATCH($B$3,daily_items,0))),NA(),INDEX(big_daily_table,MATCH(DATE(X$5,$J60,$I60),daily_dates,0),MATCH($B$3,daily_items,0)))</f>
        <v>#N/A</v>
      </c>
      <c r="Y60" s="1" t="str">
        <f t="array" ref="Y60">IF(ISBLANK(INDEX(big_daily_table,MATCH(DATE(Y$5,$J60,$I60),daily_dates,0),MATCH($B$3,daily_items,0))),NA(),INDEX(big_daily_table,MATCH(DATE(Y$5,$J60,$I60),daily_dates,0),MATCH($B$3,daily_items,0)))</f>
        <v>#N/A</v>
      </c>
      <c r="Z60" s="1" t="str">
        <f t="shared" si="5"/>
        <v>#NAME?</v>
      </c>
      <c r="AA60" s="1" t="str">
        <f t="shared" si="6"/>
        <v>#NAME?</v>
      </c>
      <c r="AB60" s="1" t="str">
        <f t="shared" si="7"/>
        <v>#NAME?</v>
      </c>
      <c r="AC60" s="1" t="str">
        <f t="shared" si="8"/>
        <v>#NAME?</v>
      </c>
    </row>
    <row r="61" ht="14.25" customHeight="1">
      <c r="H61" s="1">
        <f t="shared" si="9"/>
        <v>56</v>
      </c>
      <c r="I61" s="1">
        <f t="shared" si="2"/>
        <v>25</v>
      </c>
      <c r="J61" s="1">
        <f t="shared" si="3"/>
        <v>2</v>
      </c>
      <c r="K61" s="23">
        <f t="shared" si="10"/>
        <v>36581</v>
      </c>
      <c r="L61" s="24">
        <f t="shared" si="4"/>
        <v>-1000000</v>
      </c>
      <c r="M61" s="1" t="str">
        <f t="array" ref="M61">IF(K61&gt;0,INDEX(big_daily_table,MATCH(DATE(N$5,$J61,$I61),daily_dates,0),MATCH($B$3,daily_items,0)),NA())</f>
        <v>#N/A</v>
      </c>
      <c r="N61" s="1" t="str">
        <f t="array" ref="N61">IF(L61&lt;0,INDEX(big_daily_table,MATCH(DATE(N$5,$J61,$I61),daily_dates,0),MATCH($B$3,daily_items,0)),NA())</f>
        <v>#N/A</v>
      </c>
      <c r="O61" s="1" t="str">
        <f t="array" ref="O61">IF(ISBLANK(INDEX(big_daily_table,MATCH(DATE(O$5,$J61,$I61),daily_dates,0),MATCH($B$3,daily_items,0))),NA(),INDEX(big_daily_table,MATCH(DATE(O$5,$J61,$I61),daily_dates,0),MATCH($B$3,daily_items,0)))</f>
        <v>#N/A</v>
      </c>
      <c r="P61" s="1" t="str">
        <f t="array" ref="P61">IF(ISBLANK(INDEX(big_daily_table,MATCH(DATE(P$5,$J61,$I61),daily_dates,0),MATCH($B$3,daily_items,0))),NA(),INDEX(big_daily_table,MATCH(DATE(P$5,$J61,$I61),daily_dates,0),MATCH($B$3,daily_items,0)))</f>
        <v>#N/A</v>
      </c>
      <c r="Q61" s="1" t="str">
        <f t="array" ref="Q61">IF(ISBLANK(INDEX(big_daily_table,MATCH(DATE(Q$5,$J61,$I61),daily_dates,0),MATCH($B$3,daily_items,0))),NA(),INDEX(big_daily_table,MATCH(DATE(Q$5,$J61,$I61),daily_dates,0),MATCH($B$3,daily_items,0)))</f>
        <v>#N/A</v>
      </c>
      <c r="R61" s="1" t="str">
        <f t="array" ref="R61">IF(ISBLANK(INDEX(big_daily_table,MATCH(DATE(R$5,$J61,$I61),daily_dates,0),MATCH($B$3,daily_items,0))),NA(),INDEX(big_daily_table,MATCH(DATE(R$5,$J61,$I61),daily_dates,0),MATCH($B$3,daily_items,0)))</f>
        <v>#N/A</v>
      </c>
      <c r="S61" s="1" t="str">
        <f t="array" ref="S61">IF(ISBLANK(INDEX(big_daily_table,MATCH(DATE(S$5,$J61,$I61),daily_dates,0),MATCH($B$3,daily_items,0))),NA(),INDEX(big_daily_table,MATCH(DATE(S$5,$J61,$I61),daily_dates,0),MATCH($B$3,daily_items,0)))</f>
        <v>#N/A</v>
      </c>
      <c r="T61" s="1" t="str">
        <f t="array" ref="T61">IF(ISBLANK(INDEX(big_daily_table,MATCH(DATE(T$5,$J61,$I61),daily_dates,0),MATCH($B$3,daily_items,0))),NA(),INDEX(big_daily_table,MATCH(DATE(T$5,$J61,$I61),daily_dates,0),MATCH($B$3,daily_items,0)))</f>
        <v>#N/A</v>
      </c>
      <c r="U61" s="1" t="str">
        <f t="array" ref="U61">IF(ISBLANK(INDEX(big_daily_table,MATCH(DATE(U$5,$J61,$I61),daily_dates,0),MATCH($B$3,daily_items,0))),NA(),INDEX(big_daily_table,MATCH(DATE(U$5,$J61,$I61),daily_dates,0),MATCH($B$3,daily_items,0)))</f>
        <v>#N/A</v>
      </c>
      <c r="V61" s="1" t="str">
        <f t="array" ref="V61">IF(ISBLANK(INDEX(big_daily_table,MATCH(DATE(V$5,$J61,$I61),daily_dates,0),MATCH($B$3,daily_items,0))),NA(),INDEX(big_daily_table,MATCH(DATE(V$5,$J61,$I61),daily_dates,0),MATCH($B$3,daily_items,0)))</f>
        <v>#N/A</v>
      </c>
      <c r="W61" s="1" t="str">
        <f t="array" ref="W61">IF(ISBLANK(INDEX(big_daily_table,MATCH(DATE(W$5,$J61,$I61),daily_dates,0),MATCH($B$3,daily_items,0))),NA(),INDEX(big_daily_table,MATCH(DATE(W$5,$J61,$I61),daily_dates,0),MATCH($B$3,daily_items,0)))</f>
        <v>#N/A</v>
      </c>
      <c r="X61" s="1" t="str">
        <f t="array" ref="X61">IF(ISBLANK(INDEX(big_daily_table,MATCH(DATE(X$5,$J61,$I61),daily_dates,0),MATCH($B$3,daily_items,0))),NA(),INDEX(big_daily_table,MATCH(DATE(X$5,$J61,$I61),daily_dates,0),MATCH($B$3,daily_items,0)))</f>
        <v>#N/A</v>
      </c>
      <c r="Y61" s="1" t="str">
        <f t="array" ref="Y61">IF(ISBLANK(INDEX(big_daily_table,MATCH(DATE(Y$5,$J61,$I61),daily_dates,0),MATCH($B$3,daily_items,0))),NA(),INDEX(big_daily_table,MATCH(DATE(Y$5,$J61,$I61),daily_dates,0),MATCH($B$3,daily_items,0)))</f>
        <v>#N/A</v>
      </c>
      <c r="Z61" s="1" t="str">
        <f t="shared" si="5"/>
        <v>#NAME?</v>
      </c>
      <c r="AA61" s="1" t="str">
        <f t="shared" si="6"/>
        <v>#NAME?</v>
      </c>
      <c r="AB61" s="1" t="str">
        <f t="shared" si="7"/>
        <v>#NAME?</v>
      </c>
      <c r="AC61" s="1" t="str">
        <f t="shared" si="8"/>
        <v>#NAME?</v>
      </c>
    </row>
    <row r="62" ht="14.25" customHeight="1">
      <c r="H62" s="1">
        <f t="shared" si="9"/>
        <v>57</v>
      </c>
      <c r="I62" s="1">
        <f t="shared" si="2"/>
        <v>26</v>
      </c>
      <c r="J62" s="1">
        <f t="shared" si="3"/>
        <v>2</v>
      </c>
      <c r="K62" s="23">
        <f t="shared" si="10"/>
        <v>36582</v>
      </c>
      <c r="L62" s="24">
        <f t="shared" si="4"/>
        <v>-1000000</v>
      </c>
      <c r="M62" s="1" t="str">
        <f t="array" ref="M62">IF(K62&gt;0,INDEX(big_daily_table,MATCH(DATE(N$5,$J62,$I62),daily_dates,0),MATCH($B$3,daily_items,0)),NA())</f>
        <v>#N/A</v>
      </c>
      <c r="N62" s="1" t="str">
        <f t="array" ref="N62">IF(L62&lt;0,INDEX(big_daily_table,MATCH(DATE(N$5,$J62,$I62),daily_dates,0),MATCH($B$3,daily_items,0)),NA())</f>
        <v>#N/A</v>
      </c>
      <c r="O62" s="1" t="str">
        <f t="array" ref="O62">IF(ISBLANK(INDEX(big_daily_table,MATCH(DATE(O$5,$J62,$I62),daily_dates,0),MATCH($B$3,daily_items,0))),NA(),INDEX(big_daily_table,MATCH(DATE(O$5,$J62,$I62),daily_dates,0),MATCH($B$3,daily_items,0)))</f>
        <v>#N/A</v>
      </c>
      <c r="P62" s="1" t="str">
        <f t="array" ref="P62">IF(ISBLANK(INDEX(big_daily_table,MATCH(DATE(P$5,$J62,$I62),daily_dates,0),MATCH($B$3,daily_items,0))),NA(),INDEX(big_daily_table,MATCH(DATE(P$5,$J62,$I62),daily_dates,0),MATCH($B$3,daily_items,0)))</f>
        <v>#N/A</v>
      </c>
      <c r="Q62" s="1" t="str">
        <f t="array" ref="Q62">IF(ISBLANK(INDEX(big_daily_table,MATCH(DATE(Q$5,$J62,$I62),daily_dates,0),MATCH($B$3,daily_items,0))),NA(),INDEX(big_daily_table,MATCH(DATE(Q$5,$J62,$I62),daily_dates,0),MATCH($B$3,daily_items,0)))</f>
        <v>#N/A</v>
      </c>
      <c r="R62" s="1" t="str">
        <f t="array" ref="R62">IF(ISBLANK(INDEX(big_daily_table,MATCH(DATE(R$5,$J62,$I62),daily_dates,0),MATCH($B$3,daily_items,0))),NA(),INDEX(big_daily_table,MATCH(DATE(R$5,$J62,$I62),daily_dates,0),MATCH($B$3,daily_items,0)))</f>
        <v>#N/A</v>
      </c>
      <c r="S62" s="1" t="str">
        <f t="array" ref="S62">IF(ISBLANK(INDEX(big_daily_table,MATCH(DATE(S$5,$J62,$I62),daily_dates,0),MATCH($B$3,daily_items,0))),NA(),INDEX(big_daily_table,MATCH(DATE(S$5,$J62,$I62),daily_dates,0),MATCH($B$3,daily_items,0)))</f>
        <v>#N/A</v>
      </c>
      <c r="T62" s="1" t="str">
        <f t="array" ref="T62">IF(ISBLANK(INDEX(big_daily_table,MATCH(DATE(T$5,$J62,$I62),daily_dates,0),MATCH($B$3,daily_items,0))),NA(),INDEX(big_daily_table,MATCH(DATE(T$5,$J62,$I62),daily_dates,0),MATCH($B$3,daily_items,0)))</f>
        <v>#N/A</v>
      </c>
      <c r="U62" s="1" t="str">
        <f t="array" ref="U62">IF(ISBLANK(INDEX(big_daily_table,MATCH(DATE(U$5,$J62,$I62),daily_dates,0),MATCH($B$3,daily_items,0))),NA(),INDEX(big_daily_table,MATCH(DATE(U$5,$J62,$I62),daily_dates,0),MATCH($B$3,daily_items,0)))</f>
        <v>#N/A</v>
      </c>
      <c r="V62" s="1" t="str">
        <f t="array" ref="V62">IF(ISBLANK(INDEX(big_daily_table,MATCH(DATE(V$5,$J62,$I62),daily_dates,0),MATCH($B$3,daily_items,0))),NA(),INDEX(big_daily_table,MATCH(DATE(V$5,$J62,$I62),daily_dates,0),MATCH($B$3,daily_items,0)))</f>
        <v>#N/A</v>
      </c>
      <c r="W62" s="1" t="str">
        <f t="array" ref="W62">IF(ISBLANK(INDEX(big_daily_table,MATCH(DATE(W$5,$J62,$I62),daily_dates,0),MATCH($B$3,daily_items,0))),NA(),INDEX(big_daily_table,MATCH(DATE(W$5,$J62,$I62),daily_dates,0),MATCH($B$3,daily_items,0)))</f>
        <v>#N/A</v>
      </c>
      <c r="X62" s="1" t="str">
        <f t="array" ref="X62">IF(ISBLANK(INDEX(big_daily_table,MATCH(DATE(X$5,$J62,$I62),daily_dates,0),MATCH($B$3,daily_items,0))),NA(),INDEX(big_daily_table,MATCH(DATE(X$5,$J62,$I62),daily_dates,0),MATCH($B$3,daily_items,0)))</f>
        <v>#N/A</v>
      </c>
      <c r="Y62" s="1" t="str">
        <f t="array" ref="Y62">IF(ISBLANK(INDEX(big_daily_table,MATCH(DATE(Y$5,$J62,$I62),daily_dates,0),MATCH($B$3,daily_items,0))),NA(),INDEX(big_daily_table,MATCH(DATE(Y$5,$J62,$I62),daily_dates,0),MATCH($B$3,daily_items,0)))</f>
        <v>#N/A</v>
      </c>
      <c r="Z62" s="1" t="str">
        <f t="shared" si="5"/>
        <v>#NAME?</v>
      </c>
      <c r="AA62" s="1" t="str">
        <f t="shared" si="6"/>
        <v>#NAME?</v>
      </c>
      <c r="AB62" s="1" t="str">
        <f t="shared" si="7"/>
        <v>#NAME?</v>
      </c>
      <c r="AC62" s="1" t="str">
        <f t="shared" si="8"/>
        <v>#NAME?</v>
      </c>
    </row>
    <row r="63" ht="14.25" customHeight="1">
      <c r="H63" s="1">
        <f t="shared" si="9"/>
        <v>58</v>
      </c>
      <c r="I63" s="1">
        <f t="shared" si="2"/>
        <v>27</v>
      </c>
      <c r="J63" s="1">
        <f t="shared" si="3"/>
        <v>2</v>
      </c>
      <c r="K63" s="23">
        <f t="shared" si="10"/>
        <v>36583</v>
      </c>
      <c r="L63" s="24">
        <f t="shared" si="4"/>
        <v>-1000000</v>
      </c>
      <c r="M63" s="1" t="str">
        <f t="array" ref="M63">IF(K63&gt;0,INDEX(big_daily_table,MATCH(DATE(N$5,$J63,$I63),daily_dates,0),MATCH($B$3,daily_items,0)),NA())</f>
        <v>#N/A</v>
      </c>
      <c r="N63" s="1" t="str">
        <f t="array" ref="N63">IF(L63&lt;0,INDEX(big_daily_table,MATCH(DATE(N$5,$J63,$I63),daily_dates,0),MATCH($B$3,daily_items,0)),NA())</f>
        <v>#N/A</v>
      </c>
      <c r="O63" s="1" t="str">
        <f t="array" ref="O63">IF(ISBLANK(INDEX(big_daily_table,MATCH(DATE(O$5,$J63,$I63),daily_dates,0),MATCH($B$3,daily_items,0))),NA(),INDEX(big_daily_table,MATCH(DATE(O$5,$J63,$I63),daily_dates,0),MATCH($B$3,daily_items,0)))</f>
        <v>#N/A</v>
      </c>
      <c r="P63" s="1" t="str">
        <f t="array" ref="P63">IF(ISBLANK(INDEX(big_daily_table,MATCH(DATE(P$5,$J63,$I63),daily_dates,0),MATCH($B$3,daily_items,0))),NA(),INDEX(big_daily_table,MATCH(DATE(P$5,$J63,$I63),daily_dates,0),MATCH($B$3,daily_items,0)))</f>
        <v>#N/A</v>
      </c>
      <c r="Q63" s="1" t="str">
        <f t="array" ref="Q63">IF(ISBLANK(INDEX(big_daily_table,MATCH(DATE(Q$5,$J63,$I63),daily_dates,0),MATCH($B$3,daily_items,0))),NA(),INDEX(big_daily_table,MATCH(DATE(Q$5,$J63,$I63),daily_dates,0),MATCH($B$3,daily_items,0)))</f>
        <v>#N/A</v>
      </c>
      <c r="R63" s="1" t="str">
        <f t="array" ref="R63">IF(ISBLANK(INDEX(big_daily_table,MATCH(DATE(R$5,$J63,$I63),daily_dates,0),MATCH($B$3,daily_items,0))),NA(),INDEX(big_daily_table,MATCH(DATE(R$5,$J63,$I63),daily_dates,0),MATCH($B$3,daily_items,0)))</f>
        <v>#N/A</v>
      </c>
      <c r="S63" s="1" t="str">
        <f t="array" ref="S63">IF(ISBLANK(INDEX(big_daily_table,MATCH(DATE(S$5,$J63,$I63),daily_dates,0),MATCH($B$3,daily_items,0))),NA(),INDEX(big_daily_table,MATCH(DATE(S$5,$J63,$I63),daily_dates,0),MATCH($B$3,daily_items,0)))</f>
        <v>#N/A</v>
      </c>
      <c r="T63" s="1" t="str">
        <f t="array" ref="T63">IF(ISBLANK(INDEX(big_daily_table,MATCH(DATE(T$5,$J63,$I63),daily_dates,0),MATCH($B$3,daily_items,0))),NA(),INDEX(big_daily_table,MATCH(DATE(T$5,$J63,$I63),daily_dates,0),MATCH($B$3,daily_items,0)))</f>
        <v>#N/A</v>
      </c>
      <c r="U63" s="1" t="str">
        <f t="array" ref="U63">IF(ISBLANK(INDEX(big_daily_table,MATCH(DATE(U$5,$J63,$I63),daily_dates,0),MATCH($B$3,daily_items,0))),NA(),INDEX(big_daily_table,MATCH(DATE(U$5,$J63,$I63),daily_dates,0),MATCH($B$3,daily_items,0)))</f>
        <v>#N/A</v>
      </c>
      <c r="V63" s="1" t="str">
        <f t="array" ref="V63">IF(ISBLANK(INDEX(big_daily_table,MATCH(DATE(V$5,$J63,$I63),daily_dates,0),MATCH($B$3,daily_items,0))),NA(),INDEX(big_daily_table,MATCH(DATE(V$5,$J63,$I63),daily_dates,0),MATCH($B$3,daily_items,0)))</f>
        <v>#N/A</v>
      </c>
      <c r="W63" s="1" t="str">
        <f t="array" ref="W63">IF(ISBLANK(INDEX(big_daily_table,MATCH(DATE(W$5,$J63,$I63),daily_dates,0),MATCH($B$3,daily_items,0))),NA(),INDEX(big_daily_table,MATCH(DATE(W$5,$J63,$I63),daily_dates,0),MATCH($B$3,daily_items,0)))</f>
        <v>#N/A</v>
      </c>
      <c r="X63" s="1" t="str">
        <f t="array" ref="X63">IF(ISBLANK(INDEX(big_daily_table,MATCH(DATE(X$5,$J63,$I63),daily_dates,0),MATCH($B$3,daily_items,0))),NA(),INDEX(big_daily_table,MATCH(DATE(X$5,$J63,$I63),daily_dates,0),MATCH($B$3,daily_items,0)))</f>
        <v>#N/A</v>
      </c>
      <c r="Y63" s="1" t="str">
        <f t="array" ref="Y63">IF(ISBLANK(INDEX(big_daily_table,MATCH(DATE(Y$5,$J63,$I63),daily_dates,0),MATCH($B$3,daily_items,0))),NA(),INDEX(big_daily_table,MATCH(DATE(Y$5,$J63,$I63),daily_dates,0),MATCH($B$3,daily_items,0)))</f>
        <v>#N/A</v>
      </c>
      <c r="Z63" s="1" t="str">
        <f t="shared" si="5"/>
        <v>#NAME?</v>
      </c>
      <c r="AA63" s="1" t="str">
        <f t="shared" si="6"/>
        <v>#NAME?</v>
      </c>
      <c r="AB63" s="1" t="str">
        <f t="shared" si="7"/>
        <v>#NAME?</v>
      </c>
      <c r="AC63" s="1" t="str">
        <f t="shared" si="8"/>
        <v>#NAME?</v>
      </c>
    </row>
    <row r="64" ht="14.25" customHeight="1">
      <c r="H64" s="1">
        <f t="shared" si="9"/>
        <v>59</v>
      </c>
      <c r="I64" s="1">
        <f t="shared" si="2"/>
        <v>28</v>
      </c>
      <c r="J64" s="1">
        <f t="shared" si="3"/>
        <v>2</v>
      </c>
      <c r="K64" s="23">
        <f t="shared" si="10"/>
        <v>36584</v>
      </c>
      <c r="L64" s="24">
        <f t="shared" si="4"/>
        <v>-1000000</v>
      </c>
      <c r="M64" s="1" t="str">
        <f t="array" ref="M64">IF(K64&gt;0,INDEX(big_daily_table,MATCH(DATE(N$5,$J64,$I64),daily_dates,0),MATCH($B$3,daily_items,0)),NA())</f>
        <v>#N/A</v>
      </c>
      <c r="N64" s="1" t="str">
        <f t="array" ref="N64">IF(L64&lt;0,INDEX(big_daily_table,MATCH(DATE(N$5,$J64,$I64),daily_dates,0),MATCH($B$3,daily_items,0)),NA())</f>
        <v>#N/A</v>
      </c>
      <c r="O64" s="1" t="str">
        <f t="array" ref="O64">IF(ISBLANK(INDEX(big_daily_table,MATCH(DATE(O$5,$J64,$I64),daily_dates,0),MATCH($B$3,daily_items,0))),NA(),INDEX(big_daily_table,MATCH(DATE(O$5,$J64,$I64),daily_dates,0),MATCH($B$3,daily_items,0)))</f>
        <v>#N/A</v>
      </c>
      <c r="P64" s="1" t="str">
        <f t="array" ref="P64">IF(ISBLANK(INDEX(big_daily_table,MATCH(DATE(P$5,$J64,$I64),daily_dates,0),MATCH($B$3,daily_items,0))),NA(),INDEX(big_daily_table,MATCH(DATE(P$5,$J64,$I64),daily_dates,0),MATCH($B$3,daily_items,0)))</f>
        <v>#N/A</v>
      </c>
      <c r="Q64" s="1" t="str">
        <f t="array" ref="Q64">IF(ISBLANK(INDEX(big_daily_table,MATCH(DATE(Q$5,$J64,$I64),daily_dates,0),MATCH($B$3,daily_items,0))),NA(),INDEX(big_daily_table,MATCH(DATE(Q$5,$J64,$I64),daily_dates,0),MATCH($B$3,daily_items,0)))</f>
        <v>#N/A</v>
      </c>
      <c r="R64" s="1" t="str">
        <f t="array" ref="R64">IF(ISBLANK(INDEX(big_daily_table,MATCH(DATE(R$5,$J64,$I64),daily_dates,0),MATCH($B$3,daily_items,0))),NA(),INDEX(big_daily_table,MATCH(DATE(R$5,$J64,$I64),daily_dates,0),MATCH($B$3,daily_items,0)))</f>
        <v>#N/A</v>
      </c>
      <c r="S64" s="1" t="str">
        <f t="array" ref="S64">IF(ISBLANK(INDEX(big_daily_table,MATCH(DATE(S$5,$J64,$I64),daily_dates,0),MATCH($B$3,daily_items,0))),NA(),INDEX(big_daily_table,MATCH(DATE(S$5,$J64,$I64),daily_dates,0),MATCH($B$3,daily_items,0)))</f>
        <v>#N/A</v>
      </c>
      <c r="T64" s="1" t="str">
        <f t="array" ref="T64">IF(ISBLANK(INDEX(big_daily_table,MATCH(DATE(T$5,$J64,$I64),daily_dates,0),MATCH($B$3,daily_items,0))),NA(),INDEX(big_daily_table,MATCH(DATE(T$5,$J64,$I64),daily_dates,0),MATCH($B$3,daily_items,0)))</f>
        <v>#N/A</v>
      </c>
      <c r="U64" s="1" t="str">
        <f t="array" ref="U64">IF(ISBLANK(INDEX(big_daily_table,MATCH(DATE(U$5,$J64,$I64),daily_dates,0),MATCH($B$3,daily_items,0))),NA(),INDEX(big_daily_table,MATCH(DATE(U$5,$J64,$I64),daily_dates,0),MATCH($B$3,daily_items,0)))</f>
        <v>#N/A</v>
      </c>
      <c r="V64" s="1" t="str">
        <f t="array" ref="V64">IF(ISBLANK(INDEX(big_daily_table,MATCH(DATE(V$5,$J64,$I64),daily_dates,0),MATCH($B$3,daily_items,0))),NA(),INDEX(big_daily_table,MATCH(DATE(V$5,$J64,$I64),daily_dates,0),MATCH($B$3,daily_items,0)))</f>
        <v>#N/A</v>
      </c>
      <c r="W64" s="1" t="str">
        <f t="array" ref="W64">IF(ISBLANK(INDEX(big_daily_table,MATCH(DATE(W$5,$J64,$I64),daily_dates,0),MATCH($B$3,daily_items,0))),NA(),INDEX(big_daily_table,MATCH(DATE(W$5,$J64,$I64),daily_dates,0),MATCH($B$3,daily_items,0)))</f>
        <v>#N/A</v>
      </c>
      <c r="X64" s="1" t="str">
        <f t="array" ref="X64">IF(ISBLANK(INDEX(big_daily_table,MATCH(DATE(X$5,$J64,$I64),daily_dates,0),MATCH($B$3,daily_items,0))),NA(),INDEX(big_daily_table,MATCH(DATE(X$5,$J64,$I64),daily_dates,0),MATCH($B$3,daily_items,0)))</f>
        <v>#N/A</v>
      </c>
      <c r="Y64" s="1" t="str">
        <f t="array" ref="Y64">IF(ISBLANK(INDEX(big_daily_table,MATCH(DATE(Y$5,$J64,$I64),daily_dates,0),MATCH($B$3,daily_items,0))),NA(),INDEX(big_daily_table,MATCH(DATE(Y$5,$J64,$I64),daily_dates,0),MATCH($B$3,daily_items,0)))</f>
        <v>#N/A</v>
      </c>
      <c r="Z64" s="1" t="str">
        <f t="shared" si="5"/>
        <v>#NAME?</v>
      </c>
      <c r="AA64" s="1" t="str">
        <f t="shared" si="6"/>
        <v>#NAME?</v>
      </c>
      <c r="AB64" s="1" t="str">
        <f t="shared" si="7"/>
        <v>#NAME?</v>
      </c>
      <c r="AC64" s="1" t="str">
        <f t="shared" si="8"/>
        <v>#NAME?</v>
      </c>
    </row>
    <row r="65" ht="14.25" customHeight="1">
      <c r="H65" s="1">
        <f t="shared" si="9"/>
        <v>60</v>
      </c>
      <c r="I65" s="1">
        <f t="shared" si="2"/>
        <v>29</v>
      </c>
      <c r="J65" s="1">
        <f t="shared" si="3"/>
        <v>2</v>
      </c>
      <c r="K65" s="23">
        <f t="shared" si="10"/>
        <v>36585</v>
      </c>
      <c r="L65" s="24">
        <f t="shared" si="4"/>
        <v>-1000000</v>
      </c>
      <c r="M65" s="1" t="str">
        <f t="array" ref="M65">IF(K65&gt;0,INDEX(big_daily_table,MATCH(DATE(N$5,$J65,$I65),daily_dates,0),MATCH($B$3,daily_items,0)),NA())</f>
        <v>#N/A</v>
      </c>
      <c r="N65" s="1" t="str">
        <f t="array" ref="N65">IF(L65&lt;0,INDEX(big_daily_table,MATCH(DATE(N$5,$J65,$I65),daily_dates,0),MATCH($B$3,daily_items,0)),NA())</f>
        <v>#N/A</v>
      </c>
      <c r="O65" s="1" t="str">
        <f t="array" ref="O65">IF(ISBLANK(INDEX(big_daily_table,MATCH(DATE(O$5,$J65,$I65),daily_dates,0),MATCH($B$3,daily_items,0))),NA(),INDEX(big_daily_table,MATCH(DATE(O$5,$J65,$I65),daily_dates,0),MATCH($B$3,daily_items,0)))</f>
        <v>#N/A</v>
      </c>
      <c r="P65" s="1" t="str">
        <f t="array" ref="P65">IF(ISBLANK(INDEX(big_daily_table,MATCH(DATE(P$5,$J65,$I65),daily_dates,0),MATCH($B$3,daily_items,0))),NA(),INDEX(big_daily_table,MATCH(DATE(P$5,$J65,$I65),daily_dates,0),MATCH($B$3,daily_items,0)))</f>
        <v>#N/A</v>
      </c>
      <c r="Q65" s="1" t="str">
        <f t="array" ref="Q65">IF(ISBLANK(INDEX(big_daily_table,MATCH(DATE(Q$5,$J65,$I65),daily_dates,0),MATCH($B$3,daily_items,0))),NA(),INDEX(big_daily_table,MATCH(DATE(Q$5,$J65,$I65),daily_dates,0),MATCH($B$3,daily_items,0)))</f>
        <v>#N/A</v>
      </c>
      <c r="R65" s="1" t="str">
        <f t="array" ref="R65">IF(ISBLANK(INDEX(big_daily_table,MATCH(DATE(R$5,$J65,$I65),daily_dates,0),MATCH($B$3,daily_items,0))),NA(),INDEX(big_daily_table,MATCH(DATE(R$5,$J65,$I65),daily_dates,0),MATCH($B$3,daily_items,0)))</f>
        <v>#N/A</v>
      </c>
      <c r="S65" s="1" t="str">
        <f t="array" ref="S65">IF(ISBLANK(INDEX(big_daily_table,MATCH(DATE(S$5,$J65,$I65),daily_dates,0),MATCH($B$3,daily_items,0))),NA(),INDEX(big_daily_table,MATCH(DATE(S$5,$J65,$I65),daily_dates,0),MATCH($B$3,daily_items,0)))</f>
        <v>#N/A</v>
      </c>
      <c r="T65" s="1" t="str">
        <f t="array" ref="T65">IF(ISBLANK(INDEX(big_daily_table,MATCH(DATE(T$5,$J65,$I65),daily_dates,0),MATCH($B$3,daily_items,0))),NA(),INDEX(big_daily_table,MATCH(DATE(T$5,$J65,$I65),daily_dates,0),MATCH($B$3,daily_items,0)))</f>
        <v>#N/A</v>
      </c>
      <c r="U65" s="1" t="str">
        <f t="array" ref="U65">IF(ISBLANK(INDEX(big_daily_table,MATCH(DATE(U$5,$J65,$I65),daily_dates,0),MATCH($B$3,daily_items,0))),NA(),INDEX(big_daily_table,MATCH(DATE(U$5,$J65,$I65),daily_dates,0),MATCH($B$3,daily_items,0)))</f>
        <v>#N/A</v>
      </c>
      <c r="V65" s="1" t="str">
        <f t="array" ref="V65">IF(ISBLANK(INDEX(big_daily_table,MATCH(DATE(V$5,$J65,$I65),daily_dates,0),MATCH($B$3,daily_items,0))),NA(),INDEX(big_daily_table,MATCH(DATE(V$5,$J65,$I65),daily_dates,0),MATCH($B$3,daily_items,0)))</f>
        <v>#N/A</v>
      </c>
      <c r="W65" s="1" t="str">
        <f t="array" ref="W65">IF(ISBLANK(INDEX(big_daily_table,MATCH(DATE(W$5,$J65,$I65),daily_dates,0),MATCH($B$3,daily_items,0))),NA(),INDEX(big_daily_table,MATCH(DATE(W$5,$J65,$I65),daily_dates,0),MATCH($B$3,daily_items,0)))</f>
        <v>#N/A</v>
      </c>
      <c r="X65" s="1" t="str">
        <f t="array" ref="X65">IF(ISBLANK(INDEX(big_daily_table,MATCH(DATE(X$5,$J65,$I65),daily_dates,0),MATCH($B$3,daily_items,0))),NA(),INDEX(big_daily_table,MATCH(DATE(X$5,$J65,$I65),daily_dates,0),MATCH($B$3,daily_items,0)))</f>
        <v>#N/A</v>
      </c>
      <c r="Y65" s="1" t="str">
        <f t="array" ref="Y65">IF(ISBLANK(INDEX(big_daily_table,MATCH(DATE(Y$5,$J65,$I65),daily_dates,0),MATCH($B$3,daily_items,0))),NA(),INDEX(big_daily_table,MATCH(DATE(Y$5,$J65,$I65),daily_dates,0),MATCH($B$3,daily_items,0)))</f>
        <v>#N/A</v>
      </c>
      <c r="Z65" s="1" t="str">
        <f t="shared" si="5"/>
        <v>#NAME?</v>
      </c>
      <c r="AA65" s="1" t="str">
        <f t="shared" si="6"/>
        <v>#NAME?</v>
      </c>
      <c r="AB65" s="1" t="str">
        <f t="shared" si="7"/>
        <v>#NAME?</v>
      </c>
      <c r="AC65" s="1" t="str">
        <f t="shared" si="8"/>
        <v>#NAME?</v>
      </c>
    </row>
    <row r="66" ht="14.25" customHeight="1">
      <c r="H66" s="1">
        <f t="shared" si="9"/>
        <v>61</v>
      </c>
      <c r="I66" s="1">
        <f t="shared" si="2"/>
        <v>1</v>
      </c>
      <c r="J66" s="1">
        <f t="shared" si="3"/>
        <v>3</v>
      </c>
      <c r="K66" s="23">
        <f t="shared" si="10"/>
        <v>36586</v>
      </c>
      <c r="L66" s="24">
        <f t="shared" si="4"/>
        <v>-1000000</v>
      </c>
      <c r="M66" s="1" t="str">
        <f t="array" ref="M66">IF(K66&gt;0,INDEX(big_daily_table,MATCH(DATE(N$5,$J66,$I66),daily_dates,0),MATCH($B$3,daily_items,0)),NA())</f>
        <v>#N/A</v>
      </c>
      <c r="N66" s="1" t="str">
        <f t="array" ref="N66">IF(L66&lt;0,INDEX(big_daily_table,MATCH(DATE(N$5,$J66,$I66),daily_dates,0),MATCH($B$3,daily_items,0)),NA())</f>
        <v>#N/A</v>
      </c>
      <c r="O66" s="1" t="str">
        <f t="array" ref="O66">IF(ISBLANK(INDEX(big_daily_table,MATCH(DATE(O$5,$J66,$I66),daily_dates,0),MATCH($B$3,daily_items,0))),NA(),INDEX(big_daily_table,MATCH(DATE(O$5,$J66,$I66),daily_dates,0),MATCH($B$3,daily_items,0)))</f>
        <v>#N/A</v>
      </c>
      <c r="P66" s="1" t="str">
        <f t="array" ref="P66">IF(ISBLANK(INDEX(big_daily_table,MATCH(DATE(P$5,$J66,$I66),daily_dates,0),MATCH($B$3,daily_items,0))),NA(),INDEX(big_daily_table,MATCH(DATE(P$5,$J66,$I66),daily_dates,0),MATCH($B$3,daily_items,0)))</f>
        <v>#N/A</v>
      </c>
      <c r="Q66" s="1" t="str">
        <f t="array" ref="Q66">IF(ISBLANK(INDEX(big_daily_table,MATCH(DATE(Q$5,$J66,$I66),daily_dates,0),MATCH($B$3,daily_items,0))),NA(),INDEX(big_daily_table,MATCH(DATE(Q$5,$J66,$I66),daily_dates,0),MATCH($B$3,daily_items,0)))</f>
        <v>#N/A</v>
      </c>
      <c r="R66" s="1" t="str">
        <f t="array" ref="R66">IF(ISBLANK(INDEX(big_daily_table,MATCH(DATE(R$5,$J66,$I66),daily_dates,0),MATCH($B$3,daily_items,0))),NA(),INDEX(big_daily_table,MATCH(DATE(R$5,$J66,$I66),daily_dates,0),MATCH($B$3,daily_items,0)))</f>
        <v>#N/A</v>
      </c>
      <c r="S66" s="1" t="str">
        <f t="array" ref="S66">IF(ISBLANK(INDEX(big_daily_table,MATCH(DATE(S$5,$J66,$I66),daily_dates,0),MATCH($B$3,daily_items,0))),NA(),INDEX(big_daily_table,MATCH(DATE(S$5,$J66,$I66),daily_dates,0),MATCH($B$3,daily_items,0)))</f>
        <v>#N/A</v>
      </c>
      <c r="T66" s="1" t="str">
        <f t="array" ref="T66">IF(ISBLANK(INDEX(big_daily_table,MATCH(DATE(T$5,$J66,$I66),daily_dates,0),MATCH($B$3,daily_items,0))),NA(),INDEX(big_daily_table,MATCH(DATE(T$5,$J66,$I66),daily_dates,0),MATCH($B$3,daily_items,0)))</f>
        <v>#N/A</v>
      </c>
      <c r="U66" s="1" t="str">
        <f t="array" ref="U66">IF(ISBLANK(INDEX(big_daily_table,MATCH(DATE(U$5,$J66,$I66),daily_dates,0),MATCH($B$3,daily_items,0))),NA(),INDEX(big_daily_table,MATCH(DATE(U$5,$J66,$I66),daily_dates,0),MATCH($B$3,daily_items,0)))</f>
        <v>#N/A</v>
      </c>
      <c r="V66" s="1" t="str">
        <f t="array" ref="V66">IF(ISBLANK(INDEX(big_daily_table,MATCH(DATE(V$5,$J66,$I66),daily_dates,0),MATCH($B$3,daily_items,0))),NA(),INDEX(big_daily_table,MATCH(DATE(V$5,$J66,$I66),daily_dates,0),MATCH($B$3,daily_items,0)))</f>
        <v>#N/A</v>
      </c>
      <c r="W66" s="1" t="str">
        <f t="array" ref="W66">IF(ISBLANK(INDEX(big_daily_table,MATCH(DATE(W$5,$J66,$I66),daily_dates,0),MATCH($B$3,daily_items,0))),NA(),INDEX(big_daily_table,MATCH(DATE(W$5,$J66,$I66),daily_dates,0),MATCH($B$3,daily_items,0)))</f>
        <v>#N/A</v>
      </c>
      <c r="X66" s="1" t="str">
        <f t="array" ref="X66">IF(ISBLANK(INDEX(big_daily_table,MATCH(DATE(X$5,$J66,$I66),daily_dates,0),MATCH($B$3,daily_items,0))),NA(),INDEX(big_daily_table,MATCH(DATE(X$5,$J66,$I66),daily_dates,0),MATCH($B$3,daily_items,0)))</f>
        <v>#N/A</v>
      </c>
      <c r="Y66" s="1" t="str">
        <f t="array" ref="Y66">IF(ISBLANK(INDEX(big_daily_table,MATCH(DATE(Y$5,$J66,$I66),daily_dates,0),MATCH($B$3,daily_items,0))),NA(),INDEX(big_daily_table,MATCH(DATE(Y$5,$J66,$I66),daily_dates,0),MATCH($B$3,daily_items,0)))</f>
        <v>#N/A</v>
      </c>
      <c r="Z66" s="1" t="str">
        <f t="shared" si="5"/>
        <v>#NAME?</v>
      </c>
      <c r="AA66" s="1" t="str">
        <f t="shared" si="6"/>
        <v>#NAME?</v>
      </c>
      <c r="AB66" s="1" t="str">
        <f t="shared" si="7"/>
        <v>#NAME?</v>
      </c>
      <c r="AC66" s="1" t="str">
        <f t="shared" si="8"/>
        <v>#NAME?</v>
      </c>
    </row>
    <row r="67" ht="14.25" customHeight="1">
      <c r="H67" s="1">
        <f t="shared" si="9"/>
        <v>62</v>
      </c>
      <c r="I67" s="1">
        <f t="shared" si="2"/>
        <v>2</v>
      </c>
      <c r="J67" s="1">
        <f t="shared" si="3"/>
        <v>3</v>
      </c>
      <c r="K67" s="23">
        <f t="shared" si="10"/>
        <v>36587</v>
      </c>
      <c r="L67" s="24">
        <f t="shared" si="4"/>
        <v>-1000000</v>
      </c>
      <c r="M67" s="1" t="str">
        <f t="array" ref="M67">IF(K67&gt;0,INDEX(big_daily_table,MATCH(DATE(N$5,$J67,$I67),daily_dates,0),MATCH($B$3,daily_items,0)),NA())</f>
        <v>#N/A</v>
      </c>
      <c r="N67" s="1" t="str">
        <f t="array" ref="N67">IF(L67&lt;0,INDEX(big_daily_table,MATCH(DATE(N$5,$J67,$I67),daily_dates,0),MATCH($B$3,daily_items,0)),NA())</f>
        <v>#N/A</v>
      </c>
      <c r="O67" s="1" t="str">
        <f t="array" ref="O67">IF(ISBLANK(INDEX(big_daily_table,MATCH(DATE(O$5,$J67,$I67),daily_dates,0),MATCH($B$3,daily_items,0))),NA(),INDEX(big_daily_table,MATCH(DATE(O$5,$J67,$I67),daily_dates,0),MATCH($B$3,daily_items,0)))</f>
        <v>#N/A</v>
      </c>
      <c r="P67" s="1" t="str">
        <f t="array" ref="P67">IF(ISBLANK(INDEX(big_daily_table,MATCH(DATE(P$5,$J67,$I67),daily_dates,0),MATCH($B$3,daily_items,0))),NA(),INDEX(big_daily_table,MATCH(DATE(P$5,$J67,$I67),daily_dates,0),MATCH($B$3,daily_items,0)))</f>
        <v>#N/A</v>
      </c>
      <c r="Q67" s="1" t="str">
        <f t="array" ref="Q67">IF(ISBLANK(INDEX(big_daily_table,MATCH(DATE(Q$5,$J67,$I67),daily_dates,0),MATCH($B$3,daily_items,0))),NA(),INDEX(big_daily_table,MATCH(DATE(Q$5,$J67,$I67),daily_dates,0),MATCH($B$3,daily_items,0)))</f>
        <v>#N/A</v>
      </c>
      <c r="R67" s="1" t="str">
        <f t="array" ref="R67">IF(ISBLANK(INDEX(big_daily_table,MATCH(DATE(R$5,$J67,$I67),daily_dates,0),MATCH($B$3,daily_items,0))),NA(),INDEX(big_daily_table,MATCH(DATE(R$5,$J67,$I67),daily_dates,0),MATCH($B$3,daily_items,0)))</f>
        <v>#N/A</v>
      </c>
      <c r="S67" s="1" t="str">
        <f t="array" ref="S67">IF(ISBLANK(INDEX(big_daily_table,MATCH(DATE(S$5,$J67,$I67),daily_dates,0),MATCH($B$3,daily_items,0))),NA(),INDEX(big_daily_table,MATCH(DATE(S$5,$J67,$I67),daily_dates,0),MATCH($B$3,daily_items,0)))</f>
        <v>#N/A</v>
      </c>
      <c r="T67" s="1" t="str">
        <f t="array" ref="T67">IF(ISBLANK(INDEX(big_daily_table,MATCH(DATE(T$5,$J67,$I67),daily_dates,0),MATCH($B$3,daily_items,0))),NA(),INDEX(big_daily_table,MATCH(DATE(T$5,$J67,$I67),daily_dates,0),MATCH($B$3,daily_items,0)))</f>
        <v>#N/A</v>
      </c>
      <c r="U67" s="1" t="str">
        <f t="array" ref="U67">IF(ISBLANK(INDEX(big_daily_table,MATCH(DATE(U$5,$J67,$I67),daily_dates,0),MATCH($B$3,daily_items,0))),NA(),INDEX(big_daily_table,MATCH(DATE(U$5,$J67,$I67),daily_dates,0),MATCH($B$3,daily_items,0)))</f>
        <v>#N/A</v>
      </c>
      <c r="V67" s="1" t="str">
        <f t="array" ref="V67">IF(ISBLANK(INDEX(big_daily_table,MATCH(DATE(V$5,$J67,$I67),daily_dates,0),MATCH($B$3,daily_items,0))),NA(),INDEX(big_daily_table,MATCH(DATE(V$5,$J67,$I67),daily_dates,0),MATCH($B$3,daily_items,0)))</f>
        <v>#N/A</v>
      </c>
      <c r="W67" s="1" t="str">
        <f t="array" ref="W67">IF(ISBLANK(INDEX(big_daily_table,MATCH(DATE(W$5,$J67,$I67),daily_dates,0),MATCH($B$3,daily_items,0))),NA(),INDEX(big_daily_table,MATCH(DATE(W$5,$J67,$I67),daily_dates,0),MATCH($B$3,daily_items,0)))</f>
        <v>#N/A</v>
      </c>
      <c r="X67" s="1" t="str">
        <f t="array" ref="X67">IF(ISBLANK(INDEX(big_daily_table,MATCH(DATE(X$5,$J67,$I67),daily_dates,0),MATCH($B$3,daily_items,0))),NA(),INDEX(big_daily_table,MATCH(DATE(X$5,$J67,$I67),daily_dates,0),MATCH($B$3,daily_items,0)))</f>
        <v>#N/A</v>
      </c>
      <c r="Y67" s="1" t="str">
        <f t="array" ref="Y67">IF(ISBLANK(INDEX(big_daily_table,MATCH(DATE(Y$5,$J67,$I67),daily_dates,0),MATCH($B$3,daily_items,0))),NA(),INDEX(big_daily_table,MATCH(DATE(Y$5,$J67,$I67),daily_dates,0),MATCH($B$3,daily_items,0)))</f>
        <v>#N/A</v>
      </c>
      <c r="Z67" s="1" t="str">
        <f t="shared" si="5"/>
        <v>#NAME?</v>
      </c>
      <c r="AA67" s="1" t="str">
        <f t="shared" si="6"/>
        <v>#NAME?</v>
      </c>
      <c r="AB67" s="1" t="str">
        <f t="shared" si="7"/>
        <v>#NAME?</v>
      </c>
      <c r="AC67" s="1" t="str">
        <f t="shared" si="8"/>
        <v>#NAME?</v>
      </c>
    </row>
    <row r="68" ht="14.25" customHeight="1">
      <c r="H68" s="1">
        <f t="shared" si="9"/>
        <v>63</v>
      </c>
      <c r="I68" s="1">
        <f t="shared" si="2"/>
        <v>3</v>
      </c>
      <c r="J68" s="1">
        <f t="shared" si="3"/>
        <v>3</v>
      </c>
      <c r="K68" s="23">
        <f t="shared" si="10"/>
        <v>36588</v>
      </c>
      <c r="L68" s="24">
        <f t="shared" si="4"/>
        <v>-1000000</v>
      </c>
      <c r="M68" s="1" t="str">
        <f t="array" ref="M68">IF(K68&gt;0,INDEX(big_daily_table,MATCH(DATE(N$5,$J68,$I68),daily_dates,0),MATCH($B$3,daily_items,0)),NA())</f>
        <v>#N/A</v>
      </c>
      <c r="N68" s="1" t="str">
        <f t="array" ref="N68">IF(L68&lt;0,INDEX(big_daily_table,MATCH(DATE(N$5,$J68,$I68),daily_dates,0),MATCH($B$3,daily_items,0)),NA())</f>
        <v>#N/A</v>
      </c>
      <c r="O68" s="1" t="str">
        <f t="array" ref="O68">IF(ISBLANK(INDEX(big_daily_table,MATCH(DATE(O$5,$J68,$I68),daily_dates,0),MATCH($B$3,daily_items,0))),NA(),INDEX(big_daily_table,MATCH(DATE(O$5,$J68,$I68),daily_dates,0),MATCH($B$3,daily_items,0)))</f>
        <v>#N/A</v>
      </c>
      <c r="P68" s="1" t="str">
        <f t="array" ref="P68">IF(ISBLANK(INDEX(big_daily_table,MATCH(DATE(P$5,$J68,$I68),daily_dates,0),MATCH($B$3,daily_items,0))),NA(),INDEX(big_daily_table,MATCH(DATE(P$5,$J68,$I68),daily_dates,0),MATCH($B$3,daily_items,0)))</f>
        <v>#N/A</v>
      </c>
      <c r="Q68" s="1" t="str">
        <f t="array" ref="Q68">IF(ISBLANK(INDEX(big_daily_table,MATCH(DATE(Q$5,$J68,$I68),daily_dates,0),MATCH($B$3,daily_items,0))),NA(),INDEX(big_daily_table,MATCH(DATE(Q$5,$J68,$I68),daily_dates,0),MATCH($B$3,daily_items,0)))</f>
        <v>#N/A</v>
      </c>
      <c r="R68" s="1" t="str">
        <f t="array" ref="R68">IF(ISBLANK(INDEX(big_daily_table,MATCH(DATE(R$5,$J68,$I68),daily_dates,0),MATCH($B$3,daily_items,0))),NA(),INDEX(big_daily_table,MATCH(DATE(R$5,$J68,$I68),daily_dates,0),MATCH($B$3,daily_items,0)))</f>
        <v>#N/A</v>
      </c>
      <c r="S68" s="1" t="str">
        <f t="array" ref="S68">IF(ISBLANK(INDEX(big_daily_table,MATCH(DATE(S$5,$J68,$I68),daily_dates,0),MATCH($B$3,daily_items,0))),NA(),INDEX(big_daily_table,MATCH(DATE(S$5,$J68,$I68),daily_dates,0),MATCH($B$3,daily_items,0)))</f>
        <v>#N/A</v>
      </c>
      <c r="T68" s="1" t="str">
        <f t="array" ref="T68">IF(ISBLANK(INDEX(big_daily_table,MATCH(DATE(T$5,$J68,$I68),daily_dates,0),MATCH($B$3,daily_items,0))),NA(),INDEX(big_daily_table,MATCH(DATE(T$5,$J68,$I68),daily_dates,0),MATCH($B$3,daily_items,0)))</f>
        <v>#N/A</v>
      </c>
      <c r="U68" s="1" t="str">
        <f t="array" ref="U68">IF(ISBLANK(INDEX(big_daily_table,MATCH(DATE(U$5,$J68,$I68),daily_dates,0),MATCH($B$3,daily_items,0))),NA(),INDEX(big_daily_table,MATCH(DATE(U$5,$J68,$I68),daily_dates,0),MATCH($B$3,daily_items,0)))</f>
        <v>#N/A</v>
      </c>
      <c r="V68" s="1" t="str">
        <f t="array" ref="V68">IF(ISBLANK(INDEX(big_daily_table,MATCH(DATE(V$5,$J68,$I68),daily_dates,0),MATCH($B$3,daily_items,0))),NA(),INDEX(big_daily_table,MATCH(DATE(V$5,$J68,$I68),daily_dates,0),MATCH($B$3,daily_items,0)))</f>
        <v>#N/A</v>
      </c>
      <c r="W68" s="1" t="str">
        <f t="array" ref="W68">IF(ISBLANK(INDEX(big_daily_table,MATCH(DATE(W$5,$J68,$I68),daily_dates,0),MATCH($B$3,daily_items,0))),NA(),INDEX(big_daily_table,MATCH(DATE(W$5,$J68,$I68),daily_dates,0),MATCH($B$3,daily_items,0)))</f>
        <v>#N/A</v>
      </c>
      <c r="X68" s="1" t="str">
        <f t="array" ref="X68">IF(ISBLANK(INDEX(big_daily_table,MATCH(DATE(X$5,$J68,$I68),daily_dates,0),MATCH($B$3,daily_items,0))),NA(),INDEX(big_daily_table,MATCH(DATE(X$5,$J68,$I68),daily_dates,0),MATCH($B$3,daily_items,0)))</f>
        <v>#N/A</v>
      </c>
      <c r="Y68" s="1" t="str">
        <f t="array" ref="Y68">IF(ISBLANK(INDEX(big_daily_table,MATCH(DATE(Y$5,$J68,$I68),daily_dates,0),MATCH($B$3,daily_items,0))),NA(),INDEX(big_daily_table,MATCH(DATE(Y$5,$J68,$I68),daily_dates,0),MATCH($B$3,daily_items,0)))</f>
        <v>#N/A</v>
      </c>
      <c r="Z68" s="1" t="str">
        <f t="shared" si="5"/>
        <v>#NAME?</v>
      </c>
      <c r="AA68" s="1" t="str">
        <f t="shared" si="6"/>
        <v>#NAME?</v>
      </c>
      <c r="AB68" s="1" t="str">
        <f t="shared" si="7"/>
        <v>#NAME?</v>
      </c>
      <c r="AC68" s="1" t="str">
        <f t="shared" si="8"/>
        <v>#NAME?</v>
      </c>
    </row>
    <row r="69" ht="14.25" customHeight="1">
      <c r="H69" s="1">
        <f t="shared" si="9"/>
        <v>64</v>
      </c>
      <c r="I69" s="1">
        <f t="shared" si="2"/>
        <v>4</v>
      </c>
      <c r="J69" s="1">
        <f t="shared" si="3"/>
        <v>3</v>
      </c>
      <c r="K69" s="23">
        <f t="shared" si="10"/>
        <v>36589</v>
      </c>
      <c r="L69" s="24">
        <f t="shared" si="4"/>
        <v>-1000000</v>
      </c>
      <c r="M69" s="1" t="str">
        <f t="array" ref="M69">IF(K69&gt;0,INDEX(big_daily_table,MATCH(DATE(N$5,$J69,$I69),daily_dates,0),MATCH($B$3,daily_items,0)),NA())</f>
        <v>#N/A</v>
      </c>
      <c r="N69" s="1" t="str">
        <f t="array" ref="N69">IF(L69&lt;0,INDEX(big_daily_table,MATCH(DATE(N$5,$J69,$I69),daily_dates,0),MATCH($B$3,daily_items,0)),NA())</f>
        <v>#N/A</v>
      </c>
      <c r="O69" s="1" t="str">
        <f t="array" ref="O69">IF(ISBLANK(INDEX(big_daily_table,MATCH(DATE(O$5,$J69,$I69),daily_dates,0),MATCH($B$3,daily_items,0))),NA(),INDEX(big_daily_table,MATCH(DATE(O$5,$J69,$I69),daily_dates,0),MATCH($B$3,daily_items,0)))</f>
        <v>#N/A</v>
      </c>
      <c r="P69" s="1" t="str">
        <f t="array" ref="P69">IF(ISBLANK(INDEX(big_daily_table,MATCH(DATE(P$5,$J69,$I69),daily_dates,0),MATCH($B$3,daily_items,0))),NA(),INDEX(big_daily_table,MATCH(DATE(P$5,$J69,$I69),daily_dates,0),MATCH($B$3,daily_items,0)))</f>
        <v>#N/A</v>
      </c>
      <c r="Q69" s="1" t="str">
        <f t="array" ref="Q69">IF(ISBLANK(INDEX(big_daily_table,MATCH(DATE(Q$5,$J69,$I69),daily_dates,0),MATCH($B$3,daily_items,0))),NA(),INDEX(big_daily_table,MATCH(DATE(Q$5,$J69,$I69),daily_dates,0),MATCH($B$3,daily_items,0)))</f>
        <v>#N/A</v>
      </c>
      <c r="R69" s="1" t="str">
        <f t="array" ref="R69">IF(ISBLANK(INDEX(big_daily_table,MATCH(DATE(R$5,$J69,$I69),daily_dates,0),MATCH($B$3,daily_items,0))),NA(),INDEX(big_daily_table,MATCH(DATE(R$5,$J69,$I69),daily_dates,0),MATCH($B$3,daily_items,0)))</f>
        <v>#N/A</v>
      </c>
      <c r="S69" s="1" t="str">
        <f t="array" ref="S69">IF(ISBLANK(INDEX(big_daily_table,MATCH(DATE(S$5,$J69,$I69),daily_dates,0),MATCH($B$3,daily_items,0))),NA(),INDEX(big_daily_table,MATCH(DATE(S$5,$J69,$I69),daily_dates,0),MATCH($B$3,daily_items,0)))</f>
        <v>#N/A</v>
      </c>
      <c r="T69" s="1" t="str">
        <f t="array" ref="T69">IF(ISBLANK(INDEX(big_daily_table,MATCH(DATE(T$5,$J69,$I69),daily_dates,0),MATCH($B$3,daily_items,0))),NA(),INDEX(big_daily_table,MATCH(DATE(T$5,$J69,$I69),daily_dates,0),MATCH($B$3,daily_items,0)))</f>
        <v>#N/A</v>
      </c>
      <c r="U69" s="1" t="str">
        <f t="array" ref="U69">IF(ISBLANK(INDEX(big_daily_table,MATCH(DATE(U$5,$J69,$I69),daily_dates,0),MATCH($B$3,daily_items,0))),NA(),INDEX(big_daily_table,MATCH(DATE(U$5,$J69,$I69),daily_dates,0),MATCH($B$3,daily_items,0)))</f>
        <v>#N/A</v>
      </c>
      <c r="V69" s="1" t="str">
        <f t="array" ref="V69">IF(ISBLANK(INDEX(big_daily_table,MATCH(DATE(V$5,$J69,$I69),daily_dates,0),MATCH($B$3,daily_items,0))),NA(),INDEX(big_daily_table,MATCH(DATE(V$5,$J69,$I69),daily_dates,0),MATCH($B$3,daily_items,0)))</f>
        <v>#N/A</v>
      </c>
      <c r="W69" s="1" t="str">
        <f t="array" ref="W69">IF(ISBLANK(INDEX(big_daily_table,MATCH(DATE(W$5,$J69,$I69),daily_dates,0),MATCH($B$3,daily_items,0))),NA(),INDEX(big_daily_table,MATCH(DATE(W$5,$J69,$I69),daily_dates,0),MATCH($B$3,daily_items,0)))</f>
        <v>#N/A</v>
      </c>
      <c r="X69" s="1" t="str">
        <f t="array" ref="X69">IF(ISBLANK(INDEX(big_daily_table,MATCH(DATE(X$5,$J69,$I69),daily_dates,0),MATCH($B$3,daily_items,0))),NA(),INDEX(big_daily_table,MATCH(DATE(X$5,$J69,$I69),daily_dates,0),MATCH($B$3,daily_items,0)))</f>
        <v>#N/A</v>
      </c>
      <c r="Y69" s="1" t="str">
        <f t="array" ref="Y69">IF(ISBLANK(INDEX(big_daily_table,MATCH(DATE(Y$5,$J69,$I69),daily_dates,0),MATCH($B$3,daily_items,0))),NA(),INDEX(big_daily_table,MATCH(DATE(Y$5,$J69,$I69),daily_dates,0),MATCH($B$3,daily_items,0)))</f>
        <v>#N/A</v>
      </c>
      <c r="Z69" s="1" t="str">
        <f t="shared" si="5"/>
        <v>#NAME?</v>
      </c>
      <c r="AA69" s="1" t="str">
        <f t="shared" si="6"/>
        <v>#NAME?</v>
      </c>
      <c r="AB69" s="1" t="str">
        <f t="shared" si="7"/>
        <v>#NAME?</v>
      </c>
      <c r="AC69" s="1" t="str">
        <f t="shared" si="8"/>
        <v>#NAME?</v>
      </c>
    </row>
    <row r="70" ht="14.25" customHeight="1">
      <c r="H70" s="1">
        <f t="shared" si="9"/>
        <v>65</v>
      </c>
      <c r="I70" s="1">
        <f t="shared" si="2"/>
        <v>5</v>
      </c>
      <c r="J70" s="1">
        <f t="shared" si="3"/>
        <v>3</v>
      </c>
      <c r="K70" s="23">
        <f t="shared" si="10"/>
        <v>36590</v>
      </c>
      <c r="L70" s="24">
        <f t="shared" si="4"/>
        <v>-1000000</v>
      </c>
      <c r="M70" s="1" t="str">
        <f t="array" ref="M70">IF(K70&gt;0,INDEX(big_daily_table,MATCH(DATE(N$5,$J70,$I70),daily_dates,0),MATCH($B$3,daily_items,0)),NA())</f>
        <v>#N/A</v>
      </c>
      <c r="N70" s="1" t="str">
        <f t="array" ref="N70">IF(L70&lt;0,INDEX(big_daily_table,MATCH(DATE(N$5,$J70,$I70),daily_dates,0),MATCH($B$3,daily_items,0)),NA())</f>
        <v>#N/A</v>
      </c>
      <c r="O70" s="1" t="str">
        <f t="array" ref="O70">IF(ISBLANK(INDEX(big_daily_table,MATCH(DATE(O$5,$J70,$I70),daily_dates,0),MATCH($B$3,daily_items,0))),NA(),INDEX(big_daily_table,MATCH(DATE(O$5,$J70,$I70),daily_dates,0),MATCH($B$3,daily_items,0)))</f>
        <v>#N/A</v>
      </c>
      <c r="P70" s="1" t="str">
        <f t="array" ref="P70">IF(ISBLANK(INDEX(big_daily_table,MATCH(DATE(P$5,$J70,$I70),daily_dates,0),MATCH($B$3,daily_items,0))),NA(),INDEX(big_daily_table,MATCH(DATE(P$5,$J70,$I70),daily_dates,0),MATCH($B$3,daily_items,0)))</f>
        <v>#N/A</v>
      </c>
      <c r="Q70" s="1" t="str">
        <f t="array" ref="Q70">IF(ISBLANK(INDEX(big_daily_table,MATCH(DATE(Q$5,$J70,$I70),daily_dates,0),MATCH($B$3,daily_items,0))),NA(),INDEX(big_daily_table,MATCH(DATE(Q$5,$J70,$I70),daily_dates,0),MATCH($B$3,daily_items,0)))</f>
        <v>#N/A</v>
      </c>
      <c r="R70" s="1" t="str">
        <f t="array" ref="R70">IF(ISBLANK(INDEX(big_daily_table,MATCH(DATE(R$5,$J70,$I70),daily_dates,0),MATCH($B$3,daily_items,0))),NA(),INDEX(big_daily_table,MATCH(DATE(R$5,$J70,$I70),daily_dates,0),MATCH($B$3,daily_items,0)))</f>
        <v>#N/A</v>
      </c>
      <c r="S70" s="1" t="str">
        <f t="array" ref="S70">IF(ISBLANK(INDEX(big_daily_table,MATCH(DATE(S$5,$J70,$I70),daily_dates,0),MATCH($B$3,daily_items,0))),NA(),INDEX(big_daily_table,MATCH(DATE(S$5,$J70,$I70),daily_dates,0),MATCH($B$3,daily_items,0)))</f>
        <v>#N/A</v>
      </c>
      <c r="T70" s="1" t="str">
        <f t="array" ref="T70">IF(ISBLANK(INDEX(big_daily_table,MATCH(DATE(T$5,$J70,$I70),daily_dates,0),MATCH($B$3,daily_items,0))),NA(),INDEX(big_daily_table,MATCH(DATE(T$5,$J70,$I70),daily_dates,0),MATCH($B$3,daily_items,0)))</f>
        <v>#N/A</v>
      </c>
      <c r="U70" s="1" t="str">
        <f t="array" ref="U70">IF(ISBLANK(INDEX(big_daily_table,MATCH(DATE(U$5,$J70,$I70),daily_dates,0),MATCH($B$3,daily_items,0))),NA(),INDEX(big_daily_table,MATCH(DATE(U$5,$J70,$I70),daily_dates,0),MATCH($B$3,daily_items,0)))</f>
        <v>#N/A</v>
      </c>
      <c r="V70" s="1" t="str">
        <f t="array" ref="V70">IF(ISBLANK(INDEX(big_daily_table,MATCH(DATE(V$5,$J70,$I70),daily_dates,0),MATCH($B$3,daily_items,0))),NA(),INDEX(big_daily_table,MATCH(DATE(V$5,$J70,$I70),daily_dates,0),MATCH($B$3,daily_items,0)))</f>
        <v>#N/A</v>
      </c>
      <c r="W70" s="1" t="str">
        <f t="array" ref="W70">IF(ISBLANK(INDEX(big_daily_table,MATCH(DATE(W$5,$J70,$I70),daily_dates,0),MATCH($B$3,daily_items,0))),NA(),INDEX(big_daily_table,MATCH(DATE(W$5,$J70,$I70),daily_dates,0),MATCH($B$3,daily_items,0)))</f>
        <v>#N/A</v>
      </c>
      <c r="X70" s="1" t="str">
        <f t="array" ref="X70">IF(ISBLANK(INDEX(big_daily_table,MATCH(DATE(X$5,$J70,$I70),daily_dates,0),MATCH($B$3,daily_items,0))),NA(),INDEX(big_daily_table,MATCH(DATE(X$5,$J70,$I70),daily_dates,0),MATCH($B$3,daily_items,0)))</f>
        <v>#N/A</v>
      </c>
      <c r="Y70" s="1" t="str">
        <f t="array" ref="Y70">IF(ISBLANK(INDEX(big_daily_table,MATCH(DATE(Y$5,$J70,$I70),daily_dates,0),MATCH($B$3,daily_items,0))),NA(),INDEX(big_daily_table,MATCH(DATE(Y$5,$J70,$I70),daily_dates,0),MATCH($B$3,daily_items,0)))</f>
        <v>#N/A</v>
      </c>
      <c r="Z70" s="1" t="str">
        <f t="shared" si="5"/>
        <v>#NAME?</v>
      </c>
      <c r="AA70" s="1" t="str">
        <f t="shared" si="6"/>
        <v>#NAME?</v>
      </c>
      <c r="AB70" s="1" t="str">
        <f t="shared" si="7"/>
        <v>#NAME?</v>
      </c>
      <c r="AC70" s="1" t="str">
        <f t="shared" si="8"/>
        <v>#NAME?</v>
      </c>
    </row>
    <row r="71" ht="14.25" customHeight="1">
      <c r="H71" s="1">
        <f t="shared" si="9"/>
        <v>66</v>
      </c>
      <c r="I71" s="1">
        <f t="shared" si="2"/>
        <v>6</v>
      </c>
      <c r="J71" s="1">
        <f t="shared" si="3"/>
        <v>3</v>
      </c>
      <c r="K71" s="23">
        <f t="shared" si="10"/>
        <v>36591</v>
      </c>
      <c r="L71" s="24">
        <f t="shared" si="4"/>
        <v>-1000000</v>
      </c>
      <c r="M71" s="1" t="str">
        <f t="array" ref="M71">IF(K71&gt;0,INDEX(big_daily_table,MATCH(DATE(N$5,$J71,$I71),daily_dates,0),MATCH($B$3,daily_items,0)),NA())</f>
        <v>#N/A</v>
      </c>
      <c r="N71" s="1" t="str">
        <f t="array" ref="N71">IF(L71&lt;0,INDEX(big_daily_table,MATCH(DATE(N$5,$J71,$I71),daily_dates,0),MATCH($B$3,daily_items,0)),NA())</f>
        <v>#N/A</v>
      </c>
      <c r="O71" s="1" t="str">
        <f t="array" ref="O71">IF(ISBLANK(INDEX(big_daily_table,MATCH(DATE(O$5,$J71,$I71),daily_dates,0),MATCH($B$3,daily_items,0))),NA(),INDEX(big_daily_table,MATCH(DATE(O$5,$J71,$I71),daily_dates,0),MATCH($B$3,daily_items,0)))</f>
        <v>#N/A</v>
      </c>
      <c r="P71" s="1" t="str">
        <f t="array" ref="P71">IF(ISBLANK(INDEX(big_daily_table,MATCH(DATE(P$5,$J71,$I71),daily_dates,0),MATCH($B$3,daily_items,0))),NA(),INDEX(big_daily_table,MATCH(DATE(P$5,$J71,$I71),daily_dates,0),MATCH($B$3,daily_items,0)))</f>
        <v>#N/A</v>
      </c>
      <c r="Q71" s="1" t="str">
        <f t="array" ref="Q71">IF(ISBLANK(INDEX(big_daily_table,MATCH(DATE(Q$5,$J71,$I71),daily_dates,0),MATCH($B$3,daily_items,0))),NA(),INDEX(big_daily_table,MATCH(DATE(Q$5,$J71,$I71),daily_dates,0),MATCH($B$3,daily_items,0)))</f>
        <v>#N/A</v>
      </c>
      <c r="R71" s="1" t="str">
        <f t="array" ref="R71">IF(ISBLANK(INDEX(big_daily_table,MATCH(DATE(R$5,$J71,$I71),daily_dates,0),MATCH($B$3,daily_items,0))),NA(),INDEX(big_daily_table,MATCH(DATE(R$5,$J71,$I71),daily_dates,0),MATCH($B$3,daily_items,0)))</f>
        <v>#N/A</v>
      </c>
      <c r="S71" s="1" t="str">
        <f t="array" ref="S71">IF(ISBLANK(INDEX(big_daily_table,MATCH(DATE(S$5,$J71,$I71),daily_dates,0),MATCH($B$3,daily_items,0))),NA(),INDEX(big_daily_table,MATCH(DATE(S$5,$J71,$I71),daily_dates,0),MATCH($B$3,daily_items,0)))</f>
        <v>#N/A</v>
      </c>
      <c r="T71" s="1" t="str">
        <f t="array" ref="T71">IF(ISBLANK(INDEX(big_daily_table,MATCH(DATE(T$5,$J71,$I71),daily_dates,0),MATCH($B$3,daily_items,0))),NA(),INDEX(big_daily_table,MATCH(DATE(T$5,$J71,$I71),daily_dates,0),MATCH($B$3,daily_items,0)))</f>
        <v>#N/A</v>
      </c>
      <c r="U71" s="1" t="str">
        <f t="array" ref="U71">IF(ISBLANK(INDEX(big_daily_table,MATCH(DATE(U$5,$J71,$I71),daily_dates,0),MATCH($B$3,daily_items,0))),NA(),INDEX(big_daily_table,MATCH(DATE(U$5,$J71,$I71),daily_dates,0),MATCH($B$3,daily_items,0)))</f>
        <v>#N/A</v>
      </c>
      <c r="V71" s="1" t="str">
        <f t="array" ref="V71">IF(ISBLANK(INDEX(big_daily_table,MATCH(DATE(V$5,$J71,$I71),daily_dates,0),MATCH($B$3,daily_items,0))),NA(),INDEX(big_daily_table,MATCH(DATE(V$5,$J71,$I71),daily_dates,0),MATCH($B$3,daily_items,0)))</f>
        <v>#N/A</v>
      </c>
      <c r="W71" s="1" t="str">
        <f t="array" ref="W71">IF(ISBLANK(INDEX(big_daily_table,MATCH(DATE(W$5,$J71,$I71),daily_dates,0),MATCH($B$3,daily_items,0))),NA(),INDEX(big_daily_table,MATCH(DATE(W$5,$J71,$I71),daily_dates,0),MATCH($B$3,daily_items,0)))</f>
        <v>#N/A</v>
      </c>
      <c r="X71" s="1" t="str">
        <f t="array" ref="X71">IF(ISBLANK(INDEX(big_daily_table,MATCH(DATE(X$5,$J71,$I71),daily_dates,0),MATCH($B$3,daily_items,0))),NA(),INDEX(big_daily_table,MATCH(DATE(X$5,$J71,$I71),daily_dates,0),MATCH($B$3,daily_items,0)))</f>
        <v>#N/A</v>
      </c>
      <c r="Y71" s="1" t="str">
        <f t="array" ref="Y71">IF(ISBLANK(INDEX(big_daily_table,MATCH(DATE(Y$5,$J71,$I71),daily_dates,0),MATCH($B$3,daily_items,0))),NA(),INDEX(big_daily_table,MATCH(DATE(Y$5,$J71,$I71),daily_dates,0),MATCH($B$3,daily_items,0)))</f>
        <v>#N/A</v>
      </c>
      <c r="Z71" s="1" t="str">
        <f t="shared" si="5"/>
        <v>#NAME?</v>
      </c>
      <c r="AA71" s="1" t="str">
        <f t="shared" si="6"/>
        <v>#NAME?</v>
      </c>
      <c r="AB71" s="1" t="str">
        <f t="shared" si="7"/>
        <v>#NAME?</v>
      </c>
      <c r="AC71" s="1" t="str">
        <f t="shared" si="8"/>
        <v>#NAME?</v>
      </c>
    </row>
    <row r="72" ht="14.25" customHeight="1">
      <c r="H72" s="1">
        <f t="shared" si="9"/>
        <v>67</v>
      </c>
      <c r="I72" s="1">
        <f t="shared" si="2"/>
        <v>7</v>
      </c>
      <c r="J72" s="1">
        <f t="shared" si="3"/>
        <v>3</v>
      </c>
      <c r="K72" s="23">
        <f t="shared" si="10"/>
        <v>36592</v>
      </c>
      <c r="L72" s="24">
        <f t="shared" si="4"/>
        <v>-1000000</v>
      </c>
      <c r="M72" s="1" t="str">
        <f t="array" ref="M72">IF(K72&gt;0,INDEX(big_daily_table,MATCH(DATE(N$5,$J72,$I72),daily_dates,0),MATCH($B$3,daily_items,0)),NA())</f>
        <v>#N/A</v>
      </c>
      <c r="N72" s="1" t="str">
        <f t="array" ref="N72">IF(L72&lt;0,INDEX(big_daily_table,MATCH(DATE(N$5,$J72,$I72),daily_dates,0),MATCH($B$3,daily_items,0)),NA())</f>
        <v>#N/A</v>
      </c>
      <c r="O72" s="1" t="str">
        <f t="array" ref="O72">IF(ISBLANK(INDEX(big_daily_table,MATCH(DATE(O$5,$J72,$I72),daily_dates,0),MATCH($B$3,daily_items,0))),NA(),INDEX(big_daily_table,MATCH(DATE(O$5,$J72,$I72),daily_dates,0),MATCH($B$3,daily_items,0)))</f>
        <v>#N/A</v>
      </c>
      <c r="P72" s="1" t="str">
        <f t="array" ref="P72">IF(ISBLANK(INDEX(big_daily_table,MATCH(DATE(P$5,$J72,$I72),daily_dates,0),MATCH($B$3,daily_items,0))),NA(),INDEX(big_daily_table,MATCH(DATE(P$5,$J72,$I72),daily_dates,0),MATCH($B$3,daily_items,0)))</f>
        <v>#N/A</v>
      </c>
      <c r="Q72" s="1" t="str">
        <f t="array" ref="Q72">IF(ISBLANK(INDEX(big_daily_table,MATCH(DATE(Q$5,$J72,$I72),daily_dates,0),MATCH($B$3,daily_items,0))),NA(),INDEX(big_daily_table,MATCH(DATE(Q$5,$J72,$I72),daily_dates,0),MATCH($B$3,daily_items,0)))</f>
        <v>#N/A</v>
      </c>
      <c r="R72" s="1" t="str">
        <f t="array" ref="R72">IF(ISBLANK(INDEX(big_daily_table,MATCH(DATE(R$5,$J72,$I72),daily_dates,0),MATCH($B$3,daily_items,0))),NA(),INDEX(big_daily_table,MATCH(DATE(R$5,$J72,$I72),daily_dates,0),MATCH($B$3,daily_items,0)))</f>
        <v>#N/A</v>
      </c>
      <c r="S72" s="1" t="str">
        <f t="array" ref="S72">IF(ISBLANK(INDEX(big_daily_table,MATCH(DATE(S$5,$J72,$I72),daily_dates,0),MATCH($B$3,daily_items,0))),NA(),INDEX(big_daily_table,MATCH(DATE(S$5,$J72,$I72),daily_dates,0),MATCH($B$3,daily_items,0)))</f>
        <v>#N/A</v>
      </c>
      <c r="T72" s="1" t="str">
        <f t="array" ref="T72">IF(ISBLANK(INDEX(big_daily_table,MATCH(DATE(T$5,$J72,$I72),daily_dates,0),MATCH($B$3,daily_items,0))),NA(),INDEX(big_daily_table,MATCH(DATE(T$5,$J72,$I72),daily_dates,0),MATCH($B$3,daily_items,0)))</f>
        <v>#N/A</v>
      </c>
      <c r="U72" s="1" t="str">
        <f t="array" ref="U72">IF(ISBLANK(INDEX(big_daily_table,MATCH(DATE(U$5,$J72,$I72),daily_dates,0),MATCH($B$3,daily_items,0))),NA(),INDEX(big_daily_table,MATCH(DATE(U$5,$J72,$I72),daily_dates,0),MATCH($B$3,daily_items,0)))</f>
        <v>#N/A</v>
      </c>
      <c r="V72" s="1" t="str">
        <f t="array" ref="V72">IF(ISBLANK(INDEX(big_daily_table,MATCH(DATE(V$5,$J72,$I72),daily_dates,0),MATCH($B$3,daily_items,0))),NA(),INDEX(big_daily_table,MATCH(DATE(V$5,$J72,$I72),daily_dates,0),MATCH($B$3,daily_items,0)))</f>
        <v>#N/A</v>
      </c>
      <c r="W72" s="1" t="str">
        <f t="array" ref="W72">IF(ISBLANK(INDEX(big_daily_table,MATCH(DATE(W$5,$J72,$I72),daily_dates,0),MATCH($B$3,daily_items,0))),NA(),INDEX(big_daily_table,MATCH(DATE(W$5,$J72,$I72),daily_dates,0),MATCH($B$3,daily_items,0)))</f>
        <v>#N/A</v>
      </c>
      <c r="X72" s="1" t="str">
        <f t="array" ref="X72">IF(ISBLANK(INDEX(big_daily_table,MATCH(DATE(X$5,$J72,$I72),daily_dates,0),MATCH($B$3,daily_items,0))),NA(),INDEX(big_daily_table,MATCH(DATE(X$5,$J72,$I72),daily_dates,0),MATCH($B$3,daily_items,0)))</f>
        <v>#N/A</v>
      </c>
      <c r="Y72" s="1" t="str">
        <f t="array" ref="Y72">IF(ISBLANK(INDEX(big_daily_table,MATCH(DATE(Y$5,$J72,$I72),daily_dates,0),MATCH($B$3,daily_items,0))),NA(),INDEX(big_daily_table,MATCH(DATE(Y$5,$J72,$I72),daily_dates,0),MATCH($B$3,daily_items,0)))</f>
        <v>#N/A</v>
      </c>
      <c r="Z72" s="1" t="str">
        <f t="shared" si="5"/>
        <v>#NAME?</v>
      </c>
      <c r="AA72" s="1" t="str">
        <f t="shared" si="6"/>
        <v>#NAME?</v>
      </c>
      <c r="AB72" s="1" t="str">
        <f t="shared" si="7"/>
        <v>#NAME?</v>
      </c>
      <c r="AC72" s="1" t="str">
        <f t="shared" si="8"/>
        <v>#NAME?</v>
      </c>
    </row>
    <row r="73" ht="14.25" customHeight="1">
      <c r="H73" s="1">
        <f t="shared" si="9"/>
        <v>68</v>
      </c>
      <c r="I73" s="1">
        <f t="shared" si="2"/>
        <v>8</v>
      </c>
      <c r="J73" s="1">
        <f t="shared" si="3"/>
        <v>3</v>
      </c>
      <c r="K73" s="23">
        <f t="shared" si="10"/>
        <v>36593</v>
      </c>
      <c r="L73" s="24">
        <f t="shared" si="4"/>
        <v>-1000000</v>
      </c>
      <c r="M73" s="1" t="str">
        <f t="array" ref="M73">IF(K73&gt;0,INDEX(big_daily_table,MATCH(DATE(N$5,$J73,$I73),daily_dates,0),MATCH($B$3,daily_items,0)),NA())</f>
        <v>#N/A</v>
      </c>
      <c r="N73" s="1" t="str">
        <f t="array" ref="N73">IF(L73&lt;0,INDEX(big_daily_table,MATCH(DATE(N$5,$J73,$I73),daily_dates,0),MATCH($B$3,daily_items,0)),NA())</f>
        <v>#N/A</v>
      </c>
      <c r="O73" s="1" t="str">
        <f t="array" ref="O73">IF(ISBLANK(INDEX(big_daily_table,MATCH(DATE(O$5,$J73,$I73),daily_dates,0),MATCH($B$3,daily_items,0))),NA(),INDEX(big_daily_table,MATCH(DATE(O$5,$J73,$I73),daily_dates,0),MATCH($B$3,daily_items,0)))</f>
        <v>#N/A</v>
      </c>
      <c r="P73" s="1" t="str">
        <f t="array" ref="P73">IF(ISBLANK(INDEX(big_daily_table,MATCH(DATE(P$5,$J73,$I73),daily_dates,0),MATCH($B$3,daily_items,0))),NA(),INDEX(big_daily_table,MATCH(DATE(P$5,$J73,$I73),daily_dates,0),MATCH($B$3,daily_items,0)))</f>
        <v>#N/A</v>
      </c>
      <c r="Q73" s="1" t="str">
        <f t="array" ref="Q73">IF(ISBLANK(INDEX(big_daily_table,MATCH(DATE(Q$5,$J73,$I73),daily_dates,0),MATCH($B$3,daily_items,0))),NA(),INDEX(big_daily_table,MATCH(DATE(Q$5,$J73,$I73),daily_dates,0),MATCH($B$3,daily_items,0)))</f>
        <v>#N/A</v>
      </c>
      <c r="R73" s="1" t="str">
        <f t="array" ref="R73">IF(ISBLANK(INDEX(big_daily_table,MATCH(DATE(R$5,$J73,$I73),daily_dates,0),MATCH($B$3,daily_items,0))),NA(),INDEX(big_daily_table,MATCH(DATE(R$5,$J73,$I73),daily_dates,0),MATCH($B$3,daily_items,0)))</f>
        <v>#N/A</v>
      </c>
      <c r="S73" s="1" t="str">
        <f t="array" ref="S73">IF(ISBLANK(INDEX(big_daily_table,MATCH(DATE(S$5,$J73,$I73),daily_dates,0),MATCH($B$3,daily_items,0))),NA(),INDEX(big_daily_table,MATCH(DATE(S$5,$J73,$I73),daily_dates,0),MATCH($B$3,daily_items,0)))</f>
        <v>#N/A</v>
      </c>
      <c r="T73" s="1" t="str">
        <f t="array" ref="T73">IF(ISBLANK(INDEX(big_daily_table,MATCH(DATE(T$5,$J73,$I73),daily_dates,0),MATCH($B$3,daily_items,0))),NA(),INDEX(big_daily_table,MATCH(DATE(T$5,$J73,$I73),daily_dates,0),MATCH($B$3,daily_items,0)))</f>
        <v>#N/A</v>
      </c>
      <c r="U73" s="1" t="str">
        <f t="array" ref="U73">IF(ISBLANK(INDEX(big_daily_table,MATCH(DATE(U$5,$J73,$I73),daily_dates,0),MATCH($B$3,daily_items,0))),NA(),INDEX(big_daily_table,MATCH(DATE(U$5,$J73,$I73),daily_dates,0),MATCH($B$3,daily_items,0)))</f>
        <v>#N/A</v>
      </c>
      <c r="V73" s="1" t="str">
        <f t="array" ref="V73">IF(ISBLANK(INDEX(big_daily_table,MATCH(DATE(V$5,$J73,$I73),daily_dates,0),MATCH($B$3,daily_items,0))),NA(),INDEX(big_daily_table,MATCH(DATE(V$5,$J73,$I73),daily_dates,0),MATCH($B$3,daily_items,0)))</f>
        <v>#N/A</v>
      </c>
      <c r="W73" s="1" t="str">
        <f t="array" ref="W73">IF(ISBLANK(INDEX(big_daily_table,MATCH(DATE(W$5,$J73,$I73),daily_dates,0),MATCH($B$3,daily_items,0))),NA(),INDEX(big_daily_table,MATCH(DATE(W$5,$J73,$I73),daily_dates,0),MATCH($B$3,daily_items,0)))</f>
        <v>#N/A</v>
      </c>
      <c r="X73" s="1" t="str">
        <f t="array" ref="X73">IF(ISBLANK(INDEX(big_daily_table,MATCH(DATE(X$5,$J73,$I73),daily_dates,0),MATCH($B$3,daily_items,0))),NA(),INDEX(big_daily_table,MATCH(DATE(X$5,$J73,$I73),daily_dates,0),MATCH($B$3,daily_items,0)))</f>
        <v>#N/A</v>
      </c>
      <c r="Y73" s="1" t="str">
        <f t="array" ref="Y73">IF(ISBLANK(INDEX(big_daily_table,MATCH(DATE(Y$5,$J73,$I73),daily_dates,0),MATCH($B$3,daily_items,0))),NA(),INDEX(big_daily_table,MATCH(DATE(Y$5,$J73,$I73),daily_dates,0),MATCH($B$3,daily_items,0)))</f>
        <v>#N/A</v>
      </c>
      <c r="Z73" s="1" t="str">
        <f t="shared" si="5"/>
        <v>#NAME?</v>
      </c>
      <c r="AA73" s="1" t="str">
        <f t="shared" si="6"/>
        <v>#NAME?</v>
      </c>
      <c r="AB73" s="1" t="str">
        <f t="shared" si="7"/>
        <v>#NAME?</v>
      </c>
      <c r="AC73" s="1" t="str">
        <f t="shared" si="8"/>
        <v>#NAME?</v>
      </c>
    </row>
    <row r="74" ht="14.25" customHeight="1">
      <c r="H74" s="1">
        <f t="shared" si="9"/>
        <v>69</v>
      </c>
      <c r="I74" s="1">
        <f t="shared" si="2"/>
        <v>9</v>
      </c>
      <c r="J74" s="1">
        <f t="shared" si="3"/>
        <v>3</v>
      </c>
      <c r="K74" s="23">
        <f t="shared" si="10"/>
        <v>36594</v>
      </c>
      <c r="L74" s="24">
        <f t="shared" si="4"/>
        <v>-1000000</v>
      </c>
      <c r="M74" s="1" t="str">
        <f t="array" ref="M74">IF(K74&gt;0,INDEX(big_daily_table,MATCH(DATE(N$5,$J74,$I74),daily_dates,0),MATCH($B$3,daily_items,0)),NA())</f>
        <v>#N/A</v>
      </c>
      <c r="N74" s="1" t="str">
        <f t="array" ref="N74">IF(L74&lt;0,INDEX(big_daily_table,MATCH(DATE(N$5,$J74,$I74),daily_dates,0),MATCH($B$3,daily_items,0)),NA())</f>
        <v>#N/A</v>
      </c>
      <c r="O74" s="1" t="str">
        <f t="array" ref="O74">IF(ISBLANK(INDEX(big_daily_table,MATCH(DATE(O$5,$J74,$I74),daily_dates,0),MATCH($B$3,daily_items,0))),NA(),INDEX(big_daily_table,MATCH(DATE(O$5,$J74,$I74),daily_dates,0),MATCH($B$3,daily_items,0)))</f>
        <v>#N/A</v>
      </c>
      <c r="P74" s="1" t="str">
        <f t="array" ref="P74">IF(ISBLANK(INDEX(big_daily_table,MATCH(DATE(P$5,$J74,$I74),daily_dates,0),MATCH($B$3,daily_items,0))),NA(),INDEX(big_daily_table,MATCH(DATE(P$5,$J74,$I74),daily_dates,0),MATCH($B$3,daily_items,0)))</f>
        <v>#N/A</v>
      </c>
      <c r="Q74" s="1" t="str">
        <f t="array" ref="Q74">IF(ISBLANK(INDEX(big_daily_table,MATCH(DATE(Q$5,$J74,$I74),daily_dates,0),MATCH($B$3,daily_items,0))),NA(),INDEX(big_daily_table,MATCH(DATE(Q$5,$J74,$I74),daily_dates,0),MATCH($B$3,daily_items,0)))</f>
        <v>#N/A</v>
      </c>
      <c r="R74" s="1" t="str">
        <f t="array" ref="R74">IF(ISBLANK(INDEX(big_daily_table,MATCH(DATE(R$5,$J74,$I74),daily_dates,0),MATCH($B$3,daily_items,0))),NA(),INDEX(big_daily_table,MATCH(DATE(R$5,$J74,$I74),daily_dates,0),MATCH($B$3,daily_items,0)))</f>
        <v>#N/A</v>
      </c>
      <c r="S74" s="1" t="str">
        <f t="array" ref="S74">IF(ISBLANK(INDEX(big_daily_table,MATCH(DATE(S$5,$J74,$I74),daily_dates,0),MATCH($B$3,daily_items,0))),NA(),INDEX(big_daily_table,MATCH(DATE(S$5,$J74,$I74),daily_dates,0),MATCH($B$3,daily_items,0)))</f>
        <v>#N/A</v>
      </c>
      <c r="T74" s="1" t="str">
        <f t="array" ref="T74">IF(ISBLANK(INDEX(big_daily_table,MATCH(DATE(T$5,$J74,$I74),daily_dates,0),MATCH($B$3,daily_items,0))),NA(),INDEX(big_daily_table,MATCH(DATE(T$5,$J74,$I74),daily_dates,0),MATCH($B$3,daily_items,0)))</f>
        <v>#N/A</v>
      </c>
      <c r="U74" s="1" t="str">
        <f t="array" ref="U74">IF(ISBLANK(INDEX(big_daily_table,MATCH(DATE(U$5,$J74,$I74),daily_dates,0),MATCH($B$3,daily_items,0))),NA(),INDEX(big_daily_table,MATCH(DATE(U$5,$J74,$I74),daily_dates,0),MATCH($B$3,daily_items,0)))</f>
        <v>#N/A</v>
      </c>
      <c r="V74" s="1" t="str">
        <f t="array" ref="V74">IF(ISBLANK(INDEX(big_daily_table,MATCH(DATE(V$5,$J74,$I74),daily_dates,0),MATCH($B$3,daily_items,0))),NA(),INDEX(big_daily_table,MATCH(DATE(V$5,$J74,$I74),daily_dates,0),MATCH($B$3,daily_items,0)))</f>
        <v>#N/A</v>
      </c>
      <c r="W74" s="1" t="str">
        <f t="array" ref="W74">IF(ISBLANK(INDEX(big_daily_table,MATCH(DATE(W$5,$J74,$I74),daily_dates,0),MATCH($B$3,daily_items,0))),NA(),INDEX(big_daily_table,MATCH(DATE(W$5,$J74,$I74),daily_dates,0),MATCH($B$3,daily_items,0)))</f>
        <v>#N/A</v>
      </c>
      <c r="X74" s="1" t="str">
        <f t="array" ref="X74">IF(ISBLANK(INDEX(big_daily_table,MATCH(DATE(X$5,$J74,$I74),daily_dates,0),MATCH($B$3,daily_items,0))),NA(),INDEX(big_daily_table,MATCH(DATE(X$5,$J74,$I74),daily_dates,0),MATCH($B$3,daily_items,0)))</f>
        <v>#N/A</v>
      </c>
      <c r="Y74" s="1" t="str">
        <f t="array" ref="Y74">IF(ISBLANK(INDEX(big_daily_table,MATCH(DATE(Y$5,$J74,$I74),daily_dates,0),MATCH($B$3,daily_items,0))),NA(),INDEX(big_daily_table,MATCH(DATE(Y$5,$J74,$I74),daily_dates,0),MATCH($B$3,daily_items,0)))</f>
        <v>#N/A</v>
      </c>
      <c r="Z74" s="1" t="str">
        <f t="shared" si="5"/>
        <v>#NAME?</v>
      </c>
      <c r="AA74" s="1" t="str">
        <f t="shared" si="6"/>
        <v>#NAME?</v>
      </c>
      <c r="AB74" s="1" t="str">
        <f t="shared" si="7"/>
        <v>#NAME?</v>
      </c>
      <c r="AC74" s="1" t="str">
        <f t="shared" si="8"/>
        <v>#NAME?</v>
      </c>
    </row>
    <row r="75" ht="14.25" customHeight="1">
      <c r="H75" s="1">
        <f t="shared" si="9"/>
        <v>70</v>
      </c>
      <c r="I75" s="1">
        <f t="shared" si="2"/>
        <v>10</v>
      </c>
      <c r="J75" s="1">
        <f t="shared" si="3"/>
        <v>3</v>
      </c>
      <c r="K75" s="23">
        <f t="shared" si="10"/>
        <v>36595</v>
      </c>
      <c r="L75" s="24">
        <f t="shared" si="4"/>
        <v>-1000000</v>
      </c>
      <c r="M75" s="1" t="str">
        <f t="array" ref="M75">IF(K75&gt;0,INDEX(big_daily_table,MATCH(DATE(N$5,$J75,$I75),daily_dates,0),MATCH($B$3,daily_items,0)),NA())</f>
        <v>#N/A</v>
      </c>
      <c r="N75" s="1" t="str">
        <f t="array" ref="N75">IF(L75&lt;0,INDEX(big_daily_table,MATCH(DATE(N$5,$J75,$I75),daily_dates,0),MATCH($B$3,daily_items,0)),NA())</f>
        <v>#N/A</v>
      </c>
      <c r="O75" s="1" t="str">
        <f t="array" ref="O75">IF(ISBLANK(INDEX(big_daily_table,MATCH(DATE(O$5,$J75,$I75),daily_dates,0),MATCH($B$3,daily_items,0))),NA(),INDEX(big_daily_table,MATCH(DATE(O$5,$J75,$I75),daily_dates,0),MATCH($B$3,daily_items,0)))</f>
        <v>#N/A</v>
      </c>
      <c r="P75" s="1" t="str">
        <f t="array" ref="P75">IF(ISBLANK(INDEX(big_daily_table,MATCH(DATE(P$5,$J75,$I75),daily_dates,0),MATCH($B$3,daily_items,0))),NA(),INDEX(big_daily_table,MATCH(DATE(P$5,$J75,$I75),daily_dates,0),MATCH($B$3,daily_items,0)))</f>
        <v>#N/A</v>
      </c>
      <c r="Q75" s="1" t="str">
        <f t="array" ref="Q75">IF(ISBLANK(INDEX(big_daily_table,MATCH(DATE(Q$5,$J75,$I75),daily_dates,0),MATCH($B$3,daily_items,0))),NA(),INDEX(big_daily_table,MATCH(DATE(Q$5,$J75,$I75),daily_dates,0),MATCH($B$3,daily_items,0)))</f>
        <v>#N/A</v>
      </c>
      <c r="R75" s="1" t="str">
        <f t="array" ref="R75">IF(ISBLANK(INDEX(big_daily_table,MATCH(DATE(R$5,$J75,$I75),daily_dates,0),MATCH($B$3,daily_items,0))),NA(),INDEX(big_daily_table,MATCH(DATE(R$5,$J75,$I75),daily_dates,0),MATCH($B$3,daily_items,0)))</f>
        <v>#N/A</v>
      </c>
      <c r="S75" s="1" t="str">
        <f t="array" ref="S75">IF(ISBLANK(INDEX(big_daily_table,MATCH(DATE(S$5,$J75,$I75),daily_dates,0),MATCH($B$3,daily_items,0))),NA(),INDEX(big_daily_table,MATCH(DATE(S$5,$J75,$I75),daily_dates,0),MATCH($B$3,daily_items,0)))</f>
        <v>#N/A</v>
      </c>
      <c r="T75" s="1" t="str">
        <f t="array" ref="T75">IF(ISBLANK(INDEX(big_daily_table,MATCH(DATE(T$5,$J75,$I75),daily_dates,0),MATCH($B$3,daily_items,0))),NA(),INDEX(big_daily_table,MATCH(DATE(T$5,$J75,$I75),daily_dates,0),MATCH($B$3,daily_items,0)))</f>
        <v>#N/A</v>
      </c>
      <c r="U75" s="1" t="str">
        <f t="array" ref="U75">IF(ISBLANK(INDEX(big_daily_table,MATCH(DATE(U$5,$J75,$I75),daily_dates,0),MATCH($B$3,daily_items,0))),NA(),INDEX(big_daily_table,MATCH(DATE(U$5,$J75,$I75),daily_dates,0),MATCH($B$3,daily_items,0)))</f>
        <v>#N/A</v>
      </c>
      <c r="V75" s="1" t="str">
        <f t="array" ref="V75">IF(ISBLANK(INDEX(big_daily_table,MATCH(DATE(V$5,$J75,$I75),daily_dates,0),MATCH($B$3,daily_items,0))),NA(),INDEX(big_daily_table,MATCH(DATE(V$5,$J75,$I75),daily_dates,0),MATCH($B$3,daily_items,0)))</f>
        <v>#N/A</v>
      </c>
      <c r="W75" s="1" t="str">
        <f t="array" ref="W75">IF(ISBLANK(INDEX(big_daily_table,MATCH(DATE(W$5,$J75,$I75),daily_dates,0),MATCH($B$3,daily_items,0))),NA(),INDEX(big_daily_table,MATCH(DATE(W$5,$J75,$I75),daily_dates,0),MATCH($B$3,daily_items,0)))</f>
        <v>#N/A</v>
      </c>
      <c r="X75" s="1" t="str">
        <f t="array" ref="X75">IF(ISBLANK(INDEX(big_daily_table,MATCH(DATE(X$5,$J75,$I75),daily_dates,0),MATCH($B$3,daily_items,0))),NA(),INDEX(big_daily_table,MATCH(DATE(X$5,$J75,$I75),daily_dates,0),MATCH($B$3,daily_items,0)))</f>
        <v>#N/A</v>
      </c>
      <c r="Y75" s="1" t="str">
        <f t="array" ref="Y75">IF(ISBLANK(INDEX(big_daily_table,MATCH(DATE(Y$5,$J75,$I75),daily_dates,0),MATCH($B$3,daily_items,0))),NA(),INDEX(big_daily_table,MATCH(DATE(Y$5,$J75,$I75),daily_dates,0),MATCH($B$3,daily_items,0)))</f>
        <v>#N/A</v>
      </c>
      <c r="Z75" s="1" t="str">
        <f t="shared" si="5"/>
        <v>#NAME?</v>
      </c>
      <c r="AA75" s="1" t="str">
        <f t="shared" si="6"/>
        <v>#NAME?</v>
      </c>
      <c r="AB75" s="1" t="str">
        <f t="shared" si="7"/>
        <v>#NAME?</v>
      </c>
      <c r="AC75" s="1" t="str">
        <f t="shared" si="8"/>
        <v>#NAME?</v>
      </c>
    </row>
    <row r="76" ht="14.25" customHeight="1">
      <c r="H76" s="1">
        <f t="shared" si="9"/>
        <v>71</v>
      </c>
      <c r="I76" s="1">
        <f t="shared" si="2"/>
        <v>11</v>
      </c>
      <c r="J76" s="1">
        <f t="shared" si="3"/>
        <v>3</v>
      </c>
      <c r="K76" s="23">
        <f t="shared" si="10"/>
        <v>36596</v>
      </c>
      <c r="L76" s="24">
        <f t="shared" si="4"/>
        <v>-1000000</v>
      </c>
      <c r="M76" s="1" t="str">
        <f t="array" ref="M76">IF(K76&gt;0,INDEX(big_daily_table,MATCH(DATE(N$5,$J76,$I76),daily_dates,0),MATCH($B$3,daily_items,0)),NA())</f>
        <v>#N/A</v>
      </c>
      <c r="N76" s="1" t="str">
        <f t="array" ref="N76">IF(L76&lt;0,INDEX(big_daily_table,MATCH(DATE(N$5,$J76,$I76),daily_dates,0),MATCH($B$3,daily_items,0)),NA())</f>
        <v>#N/A</v>
      </c>
      <c r="O76" s="1" t="str">
        <f t="array" ref="O76">IF(ISBLANK(INDEX(big_daily_table,MATCH(DATE(O$5,$J76,$I76),daily_dates,0),MATCH($B$3,daily_items,0))),NA(),INDEX(big_daily_table,MATCH(DATE(O$5,$J76,$I76),daily_dates,0),MATCH($B$3,daily_items,0)))</f>
        <v>#N/A</v>
      </c>
      <c r="P76" s="1" t="str">
        <f t="array" ref="P76">IF(ISBLANK(INDEX(big_daily_table,MATCH(DATE(P$5,$J76,$I76),daily_dates,0),MATCH($B$3,daily_items,0))),NA(),INDEX(big_daily_table,MATCH(DATE(P$5,$J76,$I76),daily_dates,0),MATCH($B$3,daily_items,0)))</f>
        <v>#N/A</v>
      </c>
      <c r="Q76" s="1" t="str">
        <f t="array" ref="Q76">IF(ISBLANK(INDEX(big_daily_table,MATCH(DATE(Q$5,$J76,$I76),daily_dates,0),MATCH($B$3,daily_items,0))),NA(),INDEX(big_daily_table,MATCH(DATE(Q$5,$J76,$I76),daily_dates,0),MATCH($B$3,daily_items,0)))</f>
        <v>#N/A</v>
      </c>
      <c r="R76" s="1" t="str">
        <f t="array" ref="R76">IF(ISBLANK(INDEX(big_daily_table,MATCH(DATE(R$5,$J76,$I76),daily_dates,0),MATCH($B$3,daily_items,0))),NA(),INDEX(big_daily_table,MATCH(DATE(R$5,$J76,$I76),daily_dates,0),MATCH($B$3,daily_items,0)))</f>
        <v>#N/A</v>
      </c>
      <c r="S76" s="1" t="str">
        <f t="array" ref="S76">IF(ISBLANK(INDEX(big_daily_table,MATCH(DATE(S$5,$J76,$I76),daily_dates,0),MATCH($B$3,daily_items,0))),NA(),INDEX(big_daily_table,MATCH(DATE(S$5,$J76,$I76),daily_dates,0),MATCH($B$3,daily_items,0)))</f>
        <v>#N/A</v>
      </c>
      <c r="T76" s="1" t="str">
        <f t="array" ref="T76">IF(ISBLANK(INDEX(big_daily_table,MATCH(DATE(T$5,$J76,$I76),daily_dates,0),MATCH($B$3,daily_items,0))),NA(),INDEX(big_daily_table,MATCH(DATE(T$5,$J76,$I76),daily_dates,0),MATCH($B$3,daily_items,0)))</f>
        <v>#N/A</v>
      </c>
      <c r="U76" s="1" t="str">
        <f t="array" ref="U76">IF(ISBLANK(INDEX(big_daily_table,MATCH(DATE(U$5,$J76,$I76),daily_dates,0),MATCH($B$3,daily_items,0))),NA(),INDEX(big_daily_table,MATCH(DATE(U$5,$J76,$I76),daily_dates,0),MATCH($B$3,daily_items,0)))</f>
        <v>#N/A</v>
      </c>
      <c r="V76" s="1" t="str">
        <f t="array" ref="V76">IF(ISBLANK(INDEX(big_daily_table,MATCH(DATE(V$5,$J76,$I76),daily_dates,0),MATCH($B$3,daily_items,0))),NA(),INDEX(big_daily_table,MATCH(DATE(V$5,$J76,$I76),daily_dates,0),MATCH($B$3,daily_items,0)))</f>
        <v>#N/A</v>
      </c>
      <c r="W76" s="1" t="str">
        <f t="array" ref="W76">IF(ISBLANK(INDEX(big_daily_table,MATCH(DATE(W$5,$J76,$I76),daily_dates,0),MATCH($B$3,daily_items,0))),NA(),INDEX(big_daily_table,MATCH(DATE(W$5,$J76,$I76),daily_dates,0),MATCH($B$3,daily_items,0)))</f>
        <v>#N/A</v>
      </c>
      <c r="X76" s="1" t="str">
        <f t="array" ref="X76">IF(ISBLANK(INDEX(big_daily_table,MATCH(DATE(X$5,$J76,$I76),daily_dates,0),MATCH($B$3,daily_items,0))),NA(),INDEX(big_daily_table,MATCH(DATE(X$5,$J76,$I76),daily_dates,0),MATCH($B$3,daily_items,0)))</f>
        <v>#N/A</v>
      </c>
      <c r="Y76" s="1" t="str">
        <f t="array" ref="Y76">IF(ISBLANK(INDEX(big_daily_table,MATCH(DATE(Y$5,$J76,$I76),daily_dates,0),MATCH($B$3,daily_items,0))),NA(),INDEX(big_daily_table,MATCH(DATE(Y$5,$J76,$I76),daily_dates,0),MATCH($B$3,daily_items,0)))</f>
        <v>#N/A</v>
      </c>
      <c r="Z76" s="1" t="str">
        <f t="shared" si="5"/>
        <v>#NAME?</v>
      </c>
      <c r="AA76" s="1" t="str">
        <f t="shared" si="6"/>
        <v>#NAME?</v>
      </c>
      <c r="AB76" s="1" t="str">
        <f t="shared" si="7"/>
        <v>#NAME?</v>
      </c>
      <c r="AC76" s="1" t="str">
        <f t="shared" si="8"/>
        <v>#NAME?</v>
      </c>
    </row>
    <row r="77" ht="14.25" customHeight="1">
      <c r="H77" s="1">
        <f t="shared" si="9"/>
        <v>72</v>
      </c>
      <c r="I77" s="1">
        <f t="shared" si="2"/>
        <v>12</v>
      </c>
      <c r="J77" s="1">
        <f t="shared" si="3"/>
        <v>3</v>
      </c>
      <c r="K77" s="23">
        <f t="shared" si="10"/>
        <v>36597</v>
      </c>
      <c r="L77" s="24">
        <f t="shared" si="4"/>
        <v>-1000000</v>
      </c>
      <c r="M77" s="1" t="str">
        <f t="array" ref="M77">IF(K77&gt;0,INDEX(big_daily_table,MATCH(DATE(N$5,$J77,$I77),daily_dates,0),MATCH($B$3,daily_items,0)),NA())</f>
        <v>#N/A</v>
      </c>
      <c r="N77" s="1" t="str">
        <f t="array" ref="N77">IF(L77&lt;0,INDEX(big_daily_table,MATCH(DATE(N$5,$J77,$I77),daily_dates,0),MATCH($B$3,daily_items,0)),NA())</f>
        <v>#N/A</v>
      </c>
      <c r="O77" s="1" t="str">
        <f t="array" ref="O77">IF(ISBLANK(INDEX(big_daily_table,MATCH(DATE(O$5,$J77,$I77),daily_dates,0),MATCH($B$3,daily_items,0))),NA(),INDEX(big_daily_table,MATCH(DATE(O$5,$J77,$I77),daily_dates,0),MATCH($B$3,daily_items,0)))</f>
        <v>#N/A</v>
      </c>
      <c r="P77" s="1" t="str">
        <f t="array" ref="P77">IF(ISBLANK(INDEX(big_daily_table,MATCH(DATE(P$5,$J77,$I77),daily_dates,0),MATCH($B$3,daily_items,0))),NA(),INDEX(big_daily_table,MATCH(DATE(P$5,$J77,$I77),daily_dates,0),MATCH($B$3,daily_items,0)))</f>
        <v>#N/A</v>
      </c>
      <c r="Q77" s="1" t="str">
        <f t="array" ref="Q77">IF(ISBLANK(INDEX(big_daily_table,MATCH(DATE(Q$5,$J77,$I77),daily_dates,0),MATCH($B$3,daily_items,0))),NA(),INDEX(big_daily_table,MATCH(DATE(Q$5,$J77,$I77),daily_dates,0),MATCH($B$3,daily_items,0)))</f>
        <v>#N/A</v>
      </c>
      <c r="R77" s="1" t="str">
        <f t="array" ref="R77">IF(ISBLANK(INDEX(big_daily_table,MATCH(DATE(R$5,$J77,$I77),daily_dates,0),MATCH($B$3,daily_items,0))),NA(),INDEX(big_daily_table,MATCH(DATE(R$5,$J77,$I77),daily_dates,0),MATCH($B$3,daily_items,0)))</f>
        <v>#N/A</v>
      </c>
      <c r="S77" s="1" t="str">
        <f t="array" ref="S77">IF(ISBLANK(INDEX(big_daily_table,MATCH(DATE(S$5,$J77,$I77),daily_dates,0),MATCH($B$3,daily_items,0))),NA(),INDEX(big_daily_table,MATCH(DATE(S$5,$J77,$I77),daily_dates,0),MATCH($B$3,daily_items,0)))</f>
        <v>#N/A</v>
      </c>
      <c r="T77" s="1" t="str">
        <f t="array" ref="T77">IF(ISBLANK(INDEX(big_daily_table,MATCH(DATE(T$5,$J77,$I77),daily_dates,0),MATCH($B$3,daily_items,0))),NA(),INDEX(big_daily_table,MATCH(DATE(T$5,$J77,$I77),daily_dates,0),MATCH($B$3,daily_items,0)))</f>
        <v>#N/A</v>
      </c>
      <c r="U77" s="1" t="str">
        <f t="array" ref="U77">IF(ISBLANK(INDEX(big_daily_table,MATCH(DATE(U$5,$J77,$I77),daily_dates,0),MATCH($B$3,daily_items,0))),NA(),INDEX(big_daily_table,MATCH(DATE(U$5,$J77,$I77),daily_dates,0),MATCH($B$3,daily_items,0)))</f>
        <v>#N/A</v>
      </c>
      <c r="V77" s="1" t="str">
        <f t="array" ref="V77">IF(ISBLANK(INDEX(big_daily_table,MATCH(DATE(V$5,$J77,$I77),daily_dates,0),MATCH($B$3,daily_items,0))),NA(),INDEX(big_daily_table,MATCH(DATE(V$5,$J77,$I77),daily_dates,0),MATCH($B$3,daily_items,0)))</f>
        <v>#N/A</v>
      </c>
      <c r="W77" s="1" t="str">
        <f t="array" ref="W77">IF(ISBLANK(INDEX(big_daily_table,MATCH(DATE(W$5,$J77,$I77),daily_dates,0),MATCH($B$3,daily_items,0))),NA(),INDEX(big_daily_table,MATCH(DATE(W$5,$J77,$I77),daily_dates,0),MATCH($B$3,daily_items,0)))</f>
        <v>#N/A</v>
      </c>
      <c r="X77" s="1" t="str">
        <f t="array" ref="X77">IF(ISBLANK(INDEX(big_daily_table,MATCH(DATE(X$5,$J77,$I77),daily_dates,0),MATCH($B$3,daily_items,0))),NA(),INDEX(big_daily_table,MATCH(DATE(X$5,$J77,$I77),daily_dates,0),MATCH($B$3,daily_items,0)))</f>
        <v>#N/A</v>
      </c>
      <c r="Y77" s="1" t="str">
        <f t="array" ref="Y77">IF(ISBLANK(INDEX(big_daily_table,MATCH(DATE(Y$5,$J77,$I77),daily_dates,0),MATCH($B$3,daily_items,0))),NA(),INDEX(big_daily_table,MATCH(DATE(Y$5,$J77,$I77),daily_dates,0),MATCH($B$3,daily_items,0)))</f>
        <v>#N/A</v>
      </c>
      <c r="Z77" s="1" t="str">
        <f t="shared" si="5"/>
        <v>#NAME?</v>
      </c>
      <c r="AA77" s="1" t="str">
        <f t="shared" si="6"/>
        <v>#NAME?</v>
      </c>
      <c r="AB77" s="1" t="str">
        <f t="shared" si="7"/>
        <v>#NAME?</v>
      </c>
      <c r="AC77" s="1" t="str">
        <f t="shared" si="8"/>
        <v>#NAME?</v>
      </c>
    </row>
    <row r="78" ht="14.25" customHeight="1">
      <c r="H78" s="1">
        <f t="shared" si="9"/>
        <v>73</v>
      </c>
      <c r="I78" s="1">
        <f t="shared" si="2"/>
        <v>13</v>
      </c>
      <c r="J78" s="1">
        <f t="shared" si="3"/>
        <v>3</v>
      </c>
      <c r="K78" s="23">
        <f t="shared" si="10"/>
        <v>36598</v>
      </c>
      <c r="L78" s="24">
        <f t="shared" si="4"/>
        <v>-1000000</v>
      </c>
      <c r="M78" s="1" t="str">
        <f t="array" ref="M78">IF(K78&gt;0,INDEX(big_daily_table,MATCH(DATE(N$5,$J78,$I78),daily_dates,0),MATCH($B$3,daily_items,0)),NA())</f>
        <v>#N/A</v>
      </c>
      <c r="N78" s="1" t="str">
        <f t="array" ref="N78">IF(L78&lt;0,INDEX(big_daily_table,MATCH(DATE(N$5,$J78,$I78),daily_dates,0),MATCH($B$3,daily_items,0)),NA())</f>
        <v>#N/A</v>
      </c>
      <c r="O78" s="1" t="str">
        <f t="array" ref="O78">IF(ISBLANK(INDEX(big_daily_table,MATCH(DATE(O$5,$J78,$I78),daily_dates,0),MATCH($B$3,daily_items,0))),NA(),INDEX(big_daily_table,MATCH(DATE(O$5,$J78,$I78),daily_dates,0),MATCH($B$3,daily_items,0)))</f>
        <v>#N/A</v>
      </c>
      <c r="P78" s="1" t="str">
        <f t="array" ref="P78">IF(ISBLANK(INDEX(big_daily_table,MATCH(DATE(P$5,$J78,$I78),daily_dates,0),MATCH($B$3,daily_items,0))),NA(),INDEX(big_daily_table,MATCH(DATE(P$5,$J78,$I78),daily_dates,0),MATCH($B$3,daily_items,0)))</f>
        <v>#N/A</v>
      </c>
      <c r="Q78" s="1" t="str">
        <f t="array" ref="Q78">IF(ISBLANK(INDEX(big_daily_table,MATCH(DATE(Q$5,$J78,$I78),daily_dates,0),MATCH($B$3,daily_items,0))),NA(),INDEX(big_daily_table,MATCH(DATE(Q$5,$J78,$I78),daily_dates,0),MATCH($B$3,daily_items,0)))</f>
        <v>#N/A</v>
      </c>
      <c r="R78" s="1" t="str">
        <f t="array" ref="R78">IF(ISBLANK(INDEX(big_daily_table,MATCH(DATE(R$5,$J78,$I78),daily_dates,0),MATCH($B$3,daily_items,0))),NA(),INDEX(big_daily_table,MATCH(DATE(R$5,$J78,$I78),daily_dates,0),MATCH($B$3,daily_items,0)))</f>
        <v>#N/A</v>
      </c>
      <c r="S78" s="1" t="str">
        <f t="array" ref="S78">IF(ISBLANK(INDEX(big_daily_table,MATCH(DATE(S$5,$J78,$I78),daily_dates,0),MATCH($B$3,daily_items,0))),NA(),INDEX(big_daily_table,MATCH(DATE(S$5,$J78,$I78),daily_dates,0),MATCH($B$3,daily_items,0)))</f>
        <v>#N/A</v>
      </c>
      <c r="T78" s="1" t="str">
        <f t="array" ref="T78">IF(ISBLANK(INDEX(big_daily_table,MATCH(DATE(T$5,$J78,$I78),daily_dates,0),MATCH($B$3,daily_items,0))),NA(),INDEX(big_daily_table,MATCH(DATE(T$5,$J78,$I78),daily_dates,0),MATCH($B$3,daily_items,0)))</f>
        <v>#N/A</v>
      </c>
      <c r="U78" s="1" t="str">
        <f t="array" ref="U78">IF(ISBLANK(INDEX(big_daily_table,MATCH(DATE(U$5,$J78,$I78),daily_dates,0),MATCH($B$3,daily_items,0))),NA(),INDEX(big_daily_table,MATCH(DATE(U$5,$J78,$I78),daily_dates,0),MATCH($B$3,daily_items,0)))</f>
        <v>#N/A</v>
      </c>
      <c r="V78" s="1" t="str">
        <f t="array" ref="V78">IF(ISBLANK(INDEX(big_daily_table,MATCH(DATE(V$5,$J78,$I78),daily_dates,0),MATCH($B$3,daily_items,0))),NA(),INDEX(big_daily_table,MATCH(DATE(V$5,$J78,$I78),daily_dates,0),MATCH($B$3,daily_items,0)))</f>
        <v>#N/A</v>
      </c>
      <c r="W78" s="1" t="str">
        <f t="array" ref="W78">IF(ISBLANK(INDEX(big_daily_table,MATCH(DATE(W$5,$J78,$I78),daily_dates,0),MATCH($B$3,daily_items,0))),NA(),INDEX(big_daily_table,MATCH(DATE(W$5,$J78,$I78),daily_dates,0),MATCH($B$3,daily_items,0)))</f>
        <v>#N/A</v>
      </c>
      <c r="X78" s="1" t="str">
        <f t="array" ref="X78">IF(ISBLANK(INDEX(big_daily_table,MATCH(DATE(X$5,$J78,$I78),daily_dates,0),MATCH($B$3,daily_items,0))),NA(),INDEX(big_daily_table,MATCH(DATE(X$5,$J78,$I78),daily_dates,0),MATCH($B$3,daily_items,0)))</f>
        <v>#N/A</v>
      </c>
      <c r="Y78" s="1" t="str">
        <f t="array" ref="Y78">IF(ISBLANK(INDEX(big_daily_table,MATCH(DATE(Y$5,$J78,$I78),daily_dates,0),MATCH($B$3,daily_items,0))),NA(),INDEX(big_daily_table,MATCH(DATE(Y$5,$J78,$I78),daily_dates,0),MATCH($B$3,daily_items,0)))</f>
        <v>#N/A</v>
      </c>
      <c r="Z78" s="1" t="str">
        <f t="shared" si="5"/>
        <v>#NAME?</v>
      </c>
      <c r="AA78" s="1" t="str">
        <f t="shared" si="6"/>
        <v>#NAME?</v>
      </c>
      <c r="AB78" s="1" t="str">
        <f t="shared" si="7"/>
        <v>#NAME?</v>
      </c>
      <c r="AC78" s="1" t="str">
        <f t="shared" si="8"/>
        <v>#NAME?</v>
      </c>
    </row>
    <row r="79" ht="14.25" customHeight="1">
      <c r="H79" s="1">
        <f t="shared" si="9"/>
        <v>74</v>
      </c>
      <c r="I79" s="1">
        <f t="shared" si="2"/>
        <v>14</v>
      </c>
      <c r="J79" s="1">
        <f t="shared" si="3"/>
        <v>3</v>
      </c>
      <c r="K79" s="23">
        <f t="shared" si="10"/>
        <v>36599</v>
      </c>
      <c r="L79" s="24">
        <f t="shared" si="4"/>
        <v>-1000000</v>
      </c>
      <c r="M79" s="1" t="str">
        <f t="array" ref="M79">IF(K79&gt;0,INDEX(big_daily_table,MATCH(DATE(N$5,$J79,$I79),daily_dates,0),MATCH($B$3,daily_items,0)),NA())</f>
        <v>#N/A</v>
      </c>
      <c r="N79" s="1" t="str">
        <f t="array" ref="N79">IF(L79&lt;0,INDEX(big_daily_table,MATCH(DATE(N$5,$J79,$I79),daily_dates,0),MATCH($B$3,daily_items,0)),NA())</f>
        <v>#N/A</v>
      </c>
      <c r="O79" s="1" t="str">
        <f t="array" ref="O79">IF(ISBLANK(INDEX(big_daily_table,MATCH(DATE(O$5,$J79,$I79),daily_dates,0),MATCH($B$3,daily_items,0))),NA(),INDEX(big_daily_table,MATCH(DATE(O$5,$J79,$I79),daily_dates,0),MATCH($B$3,daily_items,0)))</f>
        <v>#N/A</v>
      </c>
      <c r="P79" s="1" t="str">
        <f t="array" ref="P79">IF(ISBLANK(INDEX(big_daily_table,MATCH(DATE(P$5,$J79,$I79),daily_dates,0),MATCH($B$3,daily_items,0))),NA(),INDEX(big_daily_table,MATCH(DATE(P$5,$J79,$I79),daily_dates,0),MATCH($B$3,daily_items,0)))</f>
        <v>#N/A</v>
      </c>
      <c r="Q79" s="1" t="str">
        <f t="array" ref="Q79">IF(ISBLANK(INDEX(big_daily_table,MATCH(DATE(Q$5,$J79,$I79),daily_dates,0),MATCH($B$3,daily_items,0))),NA(),INDEX(big_daily_table,MATCH(DATE(Q$5,$J79,$I79),daily_dates,0),MATCH($B$3,daily_items,0)))</f>
        <v>#N/A</v>
      </c>
      <c r="R79" s="1" t="str">
        <f t="array" ref="R79">IF(ISBLANK(INDEX(big_daily_table,MATCH(DATE(R$5,$J79,$I79),daily_dates,0),MATCH($B$3,daily_items,0))),NA(),INDEX(big_daily_table,MATCH(DATE(R$5,$J79,$I79),daily_dates,0),MATCH($B$3,daily_items,0)))</f>
        <v>#N/A</v>
      </c>
      <c r="S79" s="1" t="str">
        <f t="array" ref="S79">IF(ISBLANK(INDEX(big_daily_table,MATCH(DATE(S$5,$J79,$I79),daily_dates,0),MATCH($B$3,daily_items,0))),NA(),INDEX(big_daily_table,MATCH(DATE(S$5,$J79,$I79),daily_dates,0),MATCH($B$3,daily_items,0)))</f>
        <v>#N/A</v>
      </c>
      <c r="T79" s="1" t="str">
        <f t="array" ref="T79">IF(ISBLANK(INDEX(big_daily_table,MATCH(DATE(T$5,$J79,$I79),daily_dates,0),MATCH($B$3,daily_items,0))),NA(),INDEX(big_daily_table,MATCH(DATE(T$5,$J79,$I79),daily_dates,0),MATCH($B$3,daily_items,0)))</f>
        <v>#N/A</v>
      </c>
      <c r="U79" s="1" t="str">
        <f t="array" ref="U79">IF(ISBLANK(INDEX(big_daily_table,MATCH(DATE(U$5,$J79,$I79),daily_dates,0),MATCH($B$3,daily_items,0))),NA(),INDEX(big_daily_table,MATCH(DATE(U$5,$J79,$I79),daily_dates,0),MATCH($B$3,daily_items,0)))</f>
        <v>#N/A</v>
      </c>
      <c r="V79" s="1" t="str">
        <f t="array" ref="V79">IF(ISBLANK(INDEX(big_daily_table,MATCH(DATE(V$5,$J79,$I79),daily_dates,0),MATCH($B$3,daily_items,0))),NA(),INDEX(big_daily_table,MATCH(DATE(V$5,$J79,$I79),daily_dates,0),MATCH($B$3,daily_items,0)))</f>
        <v>#N/A</v>
      </c>
      <c r="W79" s="1" t="str">
        <f t="array" ref="W79">IF(ISBLANK(INDEX(big_daily_table,MATCH(DATE(W$5,$J79,$I79),daily_dates,0),MATCH($B$3,daily_items,0))),NA(),INDEX(big_daily_table,MATCH(DATE(W$5,$J79,$I79),daily_dates,0),MATCH($B$3,daily_items,0)))</f>
        <v>#N/A</v>
      </c>
      <c r="X79" s="1" t="str">
        <f t="array" ref="X79">IF(ISBLANK(INDEX(big_daily_table,MATCH(DATE(X$5,$J79,$I79),daily_dates,0),MATCH($B$3,daily_items,0))),NA(),INDEX(big_daily_table,MATCH(DATE(X$5,$J79,$I79),daily_dates,0),MATCH($B$3,daily_items,0)))</f>
        <v>#N/A</v>
      </c>
      <c r="Y79" s="1" t="str">
        <f t="array" ref="Y79">IF(ISBLANK(INDEX(big_daily_table,MATCH(DATE(Y$5,$J79,$I79),daily_dates,0),MATCH($B$3,daily_items,0))),NA(),INDEX(big_daily_table,MATCH(DATE(Y$5,$J79,$I79),daily_dates,0),MATCH($B$3,daily_items,0)))</f>
        <v>#N/A</v>
      </c>
      <c r="Z79" s="1" t="str">
        <f t="shared" si="5"/>
        <v>#NAME?</v>
      </c>
      <c r="AA79" s="1" t="str">
        <f t="shared" si="6"/>
        <v>#NAME?</v>
      </c>
      <c r="AB79" s="1" t="str">
        <f t="shared" si="7"/>
        <v>#NAME?</v>
      </c>
      <c r="AC79" s="1" t="str">
        <f t="shared" si="8"/>
        <v>#NAME?</v>
      </c>
    </row>
    <row r="80" ht="14.25" customHeight="1">
      <c r="H80" s="1">
        <f t="shared" si="9"/>
        <v>75</v>
      </c>
      <c r="I80" s="1">
        <f t="shared" si="2"/>
        <v>15</v>
      </c>
      <c r="J80" s="1">
        <f t="shared" si="3"/>
        <v>3</v>
      </c>
      <c r="K80" s="23">
        <f t="shared" si="10"/>
        <v>36600</v>
      </c>
      <c r="L80" s="24">
        <f t="shared" si="4"/>
        <v>-1000000</v>
      </c>
      <c r="M80" s="1" t="str">
        <f t="array" ref="M80">IF(K80&gt;0,INDEX(big_daily_table,MATCH(DATE(N$5,$J80,$I80),daily_dates,0),MATCH($B$3,daily_items,0)),NA())</f>
        <v>#N/A</v>
      </c>
      <c r="N80" s="1" t="str">
        <f t="array" ref="N80">IF(L80&lt;0,INDEX(big_daily_table,MATCH(DATE(N$5,$J80,$I80),daily_dates,0),MATCH($B$3,daily_items,0)),NA())</f>
        <v>#N/A</v>
      </c>
      <c r="O80" s="1" t="str">
        <f t="array" ref="O80">IF(ISBLANK(INDEX(big_daily_table,MATCH(DATE(O$5,$J80,$I80),daily_dates,0),MATCH($B$3,daily_items,0))),NA(),INDEX(big_daily_table,MATCH(DATE(O$5,$J80,$I80),daily_dates,0),MATCH($B$3,daily_items,0)))</f>
        <v>#N/A</v>
      </c>
      <c r="P80" s="1" t="str">
        <f t="array" ref="P80">IF(ISBLANK(INDEX(big_daily_table,MATCH(DATE(P$5,$J80,$I80),daily_dates,0),MATCH($B$3,daily_items,0))),NA(),INDEX(big_daily_table,MATCH(DATE(P$5,$J80,$I80),daily_dates,0),MATCH($B$3,daily_items,0)))</f>
        <v>#N/A</v>
      </c>
      <c r="Q80" s="1" t="str">
        <f t="array" ref="Q80">IF(ISBLANK(INDEX(big_daily_table,MATCH(DATE(Q$5,$J80,$I80),daily_dates,0),MATCH($B$3,daily_items,0))),NA(),INDEX(big_daily_table,MATCH(DATE(Q$5,$J80,$I80),daily_dates,0),MATCH($B$3,daily_items,0)))</f>
        <v>#N/A</v>
      </c>
      <c r="R80" s="1" t="str">
        <f t="array" ref="R80">IF(ISBLANK(INDEX(big_daily_table,MATCH(DATE(R$5,$J80,$I80),daily_dates,0),MATCH($B$3,daily_items,0))),NA(),INDEX(big_daily_table,MATCH(DATE(R$5,$J80,$I80),daily_dates,0),MATCH($B$3,daily_items,0)))</f>
        <v>#N/A</v>
      </c>
      <c r="S80" s="1" t="str">
        <f t="array" ref="S80">IF(ISBLANK(INDEX(big_daily_table,MATCH(DATE(S$5,$J80,$I80),daily_dates,0),MATCH($B$3,daily_items,0))),NA(),INDEX(big_daily_table,MATCH(DATE(S$5,$J80,$I80),daily_dates,0),MATCH($B$3,daily_items,0)))</f>
        <v>#N/A</v>
      </c>
      <c r="T80" s="1" t="str">
        <f t="array" ref="T80">IF(ISBLANK(INDEX(big_daily_table,MATCH(DATE(T$5,$J80,$I80),daily_dates,0),MATCH($B$3,daily_items,0))),NA(),INDEX(big_daily_table,MATCH(DATE(T$5,$J80,$I80),daily_dates,0),MATCH($B$3,daily_items,0)))</f>
        <v>#N/A</v>
      </c>
      <c r="U80" s="1" t="str">
        <f t="array" ref="U80">IF(ISBLANK(INDEX(big_daily_table,MATCH(DATE(U$5,$J80,$I80),daily_dates,0),MATCH($B$3,daily_items,0))),NA(),INDEX(big_daily_table,MATCH(DATE(U$5,$J80,$I80),daily_dates,0),MATCH($B$3,daily_items,0)))</f>
        <v>#N/A</v>
      </c>
      <c r="V80" s="1" t="str">
        <f t="array" ref="V80">IF(ISBLANK(INDEX(big_daily_table,MATCH(DATE(V$5,$J80,$I80),daily_dates,0),MATCH($B$3,daily_items,0))),NA(),INDEX(big_daily_table,MATCH(DATE(V$5,$J80,$I80),daily_dates,0),MATCH($B$3,daily_items,0)))</f>
        <v>#N/A</v>
      </c>
      <c r="W80" s="1" t="str">
        <f t="array" ref="W80">IF(ISBLANK(INDEX(big_daily_table,MATCH(DATE(W$5,$J80,$I80),daily_dates,0),MATCH($B$3,daily_items,0))),NA(),INDEX(big_daily_table,MATCH(DATE(W$5,$J80,$I80),daily_dates,0),MATCH($B$3,daily_items,0)))</f>
        <v>#N/A</v>
      </c>
      <c r="X80" s="1" t="str">
        <f t="array" ref="X80">IF(ISBLANK(INDEX(big_daily_table,MATCH(DATE(X$5,$J80,$I80),daily_dates,0),MATCH($B$3,daily_items,0))),NA(),INDEX(big_daily_table,MATCH(DATE(X$5,$J80,$I80),daily_dates,0),MATCH($B$3,daily_items,0)))</f>
        <v>#N/A</v>
      </c>
      <c r="Y80" s="1" t="str">
        <f t="array" ref="Y80">IF(ISBLANK(INDEX(big_daily_table,MATCH(DATE(Y$5,$J80,$I80),daily_dates,0),MATCH($B$3,daily_items,0))),NA(),INDEX(big_daily_table,MATCH(DATE(Y$5,$J80,$I80),daily_dates,0),MATCH($B$3,daily_items,0)))</f>
        <v>#N/A</v>
      </c>
      <c r="Z80" s="1" t="str">
        <f t="shared" si="5"/>
        <v>#NAME?</v>
      </c>
      <c r="AA80" s="1" t="str">
        <f t="shared" si="6"/>
        <v>#NAME?</v>
      </c>
      <c r="AB80" s="1" t="str">
        <f t="shared" si="7"/>
        <v>#NAME?</v>
      </c>
      <c r="AC80" s="1" t="str">
        <f t="shared" si="8"/>
        <v>#NAME?</v>
      </c>
    </row>
    <row r="81" ht="14.25" customHeight="1">
      <c r="H81" s="1">
        <f t="shared" si="9"/>
        <v>76</v>
      </c>
      <c r="I81" s="1">
        <f t="shared" si="2"/>
        <v>16</v>
      </c>
      <c r="J81" s="1">
        <f t="shared" si="3"/>
        <v>3</v>
      </c>
      <c r="K81" s="23">
        <f t="shared" si="10"/>
        <v>36601</v>
      </c>
      <c r="L81" s="24">
        <f t="shared" si="4"/>
        <v>-1000000</v>
      </c>
      <c r="M81" s="1" t="str">
        <f t="array" ref="M81">IF(K81&gt;0,INDEX(big_daily_table,MATCH(DATE(N$5,$J81,$I81),daily_dates,0),MATCH($B$3,daily_items,0)),NA())</f>
        <v>#N/A</v>
      </c>
      <c r="N81" s="1" t="str">
        <f t="array" ref="N81">IF(L81&lt;0,INDEX(big_daily_table,MATCH(DATE(N$5,$J81,$I81),daily_dates,0),MATCH($B$3,daily_items,0)),NA())</f>
        <v>#N/A</v>
      </c>
      <c r="O81" s="1" t="str">
        <f t="array" ref="O81">IF(ISBLANK(INDEX(big_daily_table,MATCH(DATE(O$5,$J81,$I81),daily_dates,0),MATCH($B$3,daily_items,0))),NA(),INDEX(big_daily_table,MATCH(DATE(O$5,$J81,$I81),daily_dates,0),MATCH($B$3,daily_items,0)))</f>
        <v>#N/A</v>
      </c>
      <c r="P81" s="1" t="str">
        <f t="array" ref="P81">IF(ISBLANK(INDEX(big_daily_table,MATCH(DATE(P$5,$J81,$I81),daily_dates,0),MATCH($B$3,daily_items,0))),NA(),INDEX(big_daily_table,MATCH(DATE(P$5,$J81,$I81),daily_dates,0),MATCH($B$3,daily_items,0)))</f>
        <v>#N/A</v>
      </c>
      <c r="Q81" s="1" t="str">
        <f t="array" ref="Q81">IF(ISBLANK(INDEX(big_daily_table,MATCH(DATE(Q$5,$J81,$I81),daily_dates,0),MATCH($B$3,daily_items,0))),NA(),INDEX(big_daily_table,MATCH(DATE(Q$5,$J81,$I81),daily_dates,0),MATCH($B$3,daily_items,0)))</f>
        <v>#N/A</v>
      </c>
      <c r="R81" s="1" t="str">
        <f t="array" ref="R81">IF(ISBLANK(INDEX(big_daily_table,MATCH(DATE(R$5,$J81,$I81),daily_dates,0),MATCH($B$3,daily_items,0))),NA(),INDEX(big_daily_table,MATCH(DATE(R$5,$J81,$I81),daily_dates,0),MATCH($B$3,daily_items,0)))</f>
        <v>#N/A</v>
      </c>
      <c r="S81" s="1" t="str">
        <f t="array" ref="S81">IF(ISBLANK(INDEX(big_daily_table,MATCH(DATE(S$5,$J81,$I81),daily_dates,0),MATCH($B$3,daily_items,0))),NA(),INDEX(big_daily_table,MATCH(DATE(S$5,$J81,$I81),daily_dates,0),MATCH($B$3,daily_items,0)))</f>
        <v>#N/A</v>
      </c>
      <c r="T81" s="1" t="str">
        <f t="array" ref="T81">IF(ISBLANK(INDEX(big_daily_table,MATCH(DATE(T$5,$J81,$I81),daily_dates,0),MATCH($B$3,daily_items,0))),NA(),INDEX(big_daily_table,MATCH(DATE(T$5,$J81,$I81),daily_dates,0),MATCH($B$3,daily_items,0)))</f>
        <v>#N/A</v>
      </c>
      <c r="U81" s="1" t="str">
        <f t="array" ref="U81">IF(ISBLANK(INDEX(big_daily_table,MATCH(DATE(U$5,$J81,$I81),daily_dates,0),MATCH($B$3,daily_items,0))),NA(),INDEX(big_daily_table,MATCH(DATE(U$5,$J81,$I81),daily_dates,0),MATCH($B$3,daily_items,0)))</f>
        <v>#N/A</v>
      </c>
      <c r="V81" s="1" t="str">
        <f t="array" ref="V81">IF(ISBLANK(INDEX(big_daily_table,MATCH(DATE(V$5,$J81,$I81),daily_dates,0),MATCH($B$3,daily_items,0))),NA(),INDEX(big_daily_table,MATCH(DATE(V$5,$J81,$I81),daily_dates,0),MATCH($B$3,daily_items,0)))</f>
        <v>#N/A</v>
      </c>
      <c r="W81" s="1" t="str">
        <f t="array" ref="W81">IF(ISBLANK(INDEX(big_daily_table,MATCH(DATE(W$5,$J81,$I81),daily_dates,0),MATCH($B$3,daily_items,0))),NA(),INDEX(big_daily_table,MATCH(DATE(W$5,$J81,$I81),daily_dates,0),MATCH($B$3,daily_items,0)))</f>
        <v>#N/A</v>
      </c>
      <c r="X81" s="1" t="str">
        <f t="array" ref="X81">IF(ISBLANK(INDEX(big_daily_table,MATCH(DATE(X$5,$J81,$I81),daily_dates,0),MATCH($B$3,daily_items,0))),NA(),INDEX(big_daily_table,MATCH(DATE(X$5,$J81,$I81),daily_dates,0),MATCH($B$3,daily_items,0)))</f>
        <v>#N/A</v>
      </c>
      <c r="Y81" s="1" t="str">
        <f t="array" ref="Y81">IF(ISBLANK(INDEX(big_daily_table,MATCH(DATE(Y$5,$J81,$I81),daily_dates,0),MATCH($B$3,daily_items,0))),NA(),INDEX(big_daily_table,MATCH(DATE(Y$5,$J81,$I81),daily_dates,0),MATCH($B$3,daily_items,0)))</f>
        <v>#N/A</v>
      </c>
      <c r="Z81" s="1" t="str">
        <f t="shared" si="5"/>
        <v>#NAME?</v>
      </c>
      <c r="AA81" s="1" t="str">
        <f t="shared" si="6"/>
        <v>#NAME?</v>
      </c>
      <c r="AB81" s="1" t="str">
        <f t="shared" si="7"/>
        <v>#NAME?</v>
      </c>
      <c r="AC81" s="1" t="str">
        <f t="shared" si="8"/>
        <v>#NAME?</v>
      </c>
    </row>
    <row r="82" ht="14.25" customHeight="1">
      <c r="H82" s="1">
        <f t="shared" si="9"/>
        <v>77</v>
      </c>
      <c r="I82" s="1">
        <f t="shared" si="2"/>
        <v>17</v>
      </c>
      <c r="J82" s="1">
        <f t="shared" si="3"/>
        <v>3</v>
      </c>
      <c r="K82" s="23">
        <f t="shared" si="10"/>
        <v>36602</v>
      </c>
      <c r="L82" s="24">
        <f t="shared" si="4"/>
        <v>-1000000</v>
      </c>
      <c r="M82" s="1" t="str">
        <f t="array" ref="M82">IF(K82&gt;0,INDEX(big_daily_table,MATCH(DATE(N$5,$J82,$I82),daily_dates,0),MATCH($B$3,daily_items,0)),NA())</f>
        <v>#N/A</v>
      </c>
      <c r="N82" s="1" t="str">
        <f t="array" ref="N82">IF(L82&lt;0,INDEX(big_daily_table,MATCH(DATE(N$5,$J82,$I82),daily_dates,0),MATCH($B$3,daily_items,0)),NA())</f>
        <v>#N/A</v>
      </c>
      <c r="O82" s="1" t="str">
        <f t="array" ref="O82">IF(ISBLANK(INDEX(big_daily_table,MATCH(DATE(O$5,$J82,$I82),daily_dates,0),MATCH($B$3,daily_items,0))),NA(),INDEX(big_daily_table,MATCH(DATE(O$5,$J82,$I82),daily_dates,0),MATCH($B$3,daily_items,0)))</f>
        <v>#N/A</v>
      </c>
      <c r="P82" s="1" t="str">
        <f t="array" ref="P82">IF(ISBLANK(INDEX(big_daily_table,MATCH(DATE(P$5,$J82,$I82),daily_dates,0),MATCH($B$3,daily_items,0))),NA(),INDEX(big_daily_table,MATCH(DATE(P$5,$J82,$I82),daily_dates,0),MATCH($B$3,daily_items,0)))</f>
        <v>#N/A</v>
      </c>
      <c r="Q82" s="1" t="str">
        <f t="array" ref="Q82">IF(ISBLANK(INDEX(big_daily_table,MATCH(DATE(Q$5,$J82,$I82),daily_dates,0),MATCH($B$3,daily_items,0))),NA(),INDEX(big_daily_table,MATCH(DATE(Q$5,$J82,$I82),daily_dates,0),MATCH($B$3,daily_items,0)))</f>
        <v>#N/A</v>
      </c>
      <c r="R82" s="1" t="str">
        <f t="array" ref="R82">IF(ISBLANK(INDEX(big_daily_table,MATCH(DATE(R$5,$J82,$I82),daily_dates,0),MATCH($B$3,daily_items,0))),NA(),INDEX(big_daily_table,MATCH(DATE(R$5,$J82,$I82),daily_dates,0),MATCH($B$3,daily_items,0)))</f>
        <v>#N/A</v>
      </c>
      <c r="S82" s="1" t="str">
        <f t="array" ref="S82">IF(ISBLANK(INDEX(big_daily_table,MATCH(DATE(S$5,$J82,$I82),daily_dates,0),MATCH($B$3,daily_items,0))),NA(),INDEX(big_daily_table,MATCH(DATE(S$5,$J82,$I82),daily_dates,0),MATCH($B$3,daily_items,0)))</f>
        <v>#N/A</v>
      </c>
      <c r="T82" s="1" t="str">
        <f t="array" ref="T82">IF(ISBLANK(INDEX(big_daily_table,MATCH(DATE(T$5,$J82,$I82),daily_dates,0),MATCH($B$3,daily_items,0))),NA(),INDEX(big_daily_table,MATCH(DATE(T$5,$J82,$I82),daily_dates,0),MATCH($B$3,daily_items,0)))</f>
        <v>#N/A</v>
      </c>
      <c r="U82" s="1" t="str">
        <f t="array" ref="U82">IF(ISBLANK(INDEX(big_daily_table,MATCH(DATE(U$5,$J82,$I82),daily_dates,0),MATCH($B$3,daily_items,0))),NA(),INDEX(big_daily_table,MATCH(DATE(U$5,$J82,$I82),daily_dates,0),MATCH($B$3,daily_items,0)))</f>
        <v>#N/A</v>
      </c>
      <c r="V82" s="1" t="str">
        <f t="array" ref="V82">IF(ISBLANK(INDEX(big_daily_table,MATCH(DATE(V$5,$J82,$I82),daily_dates,0),MATCH($B$3,daily_items,0))),NA(),INDEX(big_daily_table,MATCH(DATE(V$5,$J82,$I82),daily_dates,0),MATCH($B$3,daily_items,0)))</f>
        <v>#N/A</v>
      </c>
      <c r="W82" s="1" t="str">
        <f t="array" ref="W82">IF(ISBLANK(INDEX(big_daily_table,MATCH(DATE(W$5,$J82,$I82),daily_dates,0),MATCH($B$3,daily_items,0))),NA(),INDEX(big_daily_table,MATCH(DATE(W$5,$J82,$I82),daily_dates,0),MATCH($B$3,daily_items,0)))</f>
        <v>#N/A</v>
      </c>
      <c r="X82" s="1" t="str">
        <f t="array" ref="X82">IF(ISBLANK(INDEX(big_daily_table,MATCH(DATE(X$5,$J82,$I82),daily_dates,0),MATCH($B$3,daily_items,0))),NA(),INDEX(big_daily_table,MATCH(DATE(X$5,$J82,$I82),daily_dates,0),MATCH($B$3,daily_items,0)))</f>
        <v>#N/A</v>
      </c>
      <c r="Y82" s="1" t="str">
        <f t="array" ref="Y82">IF(ISBLANK(INDEX(big_daily_table,MATCH(DATE(Y$5,$J82,$I82),daily_dates,0),MATCH($B$3,daily_items,0))),NA(),INDEX(big_daily_table,MATCH(DATE(Y$5,$J82,$I82),daily_dates,0),MATCH($B$3,daily_items,0)))</f>
        <v>#N/A</v>
      </c>
      <c r="Z82" s="1" t="str">
        <f t="shared" si="5"/>
        <v>#NAME?</v>
      </c>
      <c r="AA82" s="1" t="str">
        <f t="shared" si="6"/>
        <v>#NAME?</v>
      </c>
      <c r="AB82" s="1" t="str">
        <f t="shared" si="7"/>
        <v>#NAME?</v>
      </c>
      <c r="AC82" s="1" t="str">
        <f t="shared" si="8"/>
        <v>#NAME?</v>
      </c>
    </row>
    <row r="83" ht="14.25" customHeight="1">
      <c r="H83" s="1">
        <f t="shared" si="9"/>
        <v>78</v>
      </c>
      <c r="I83" s="1">
        <f t="shared" si="2"/>
        <v>18</v>
      </c>
      <c r="J83" s="1">
        <f t="shared" si="3"/>
        <v>3</v>
      </c>
      <c r="K83" s="23">
        <f t="shared" si="10"/>
        <v>36603</v>
      </c>
      <c r="L83" s="24">
        <f t="shared" si="4"/>
        <v>-1000000</v>
      </c>
      <c r="M83" s="1" t="str">
        <f t="array" ref="M83">IF(K83&gt;0,INDEX(big_daily_table,MATCH(DATE(N$5,$J83,$I83),daily_dates,0),MATCH($B$3,daily_items,0)),NA())</f>
        <v>#N/A</v>
      </c>
      <c r="N83" s="1" t="str">
        <f t="array" ref="N83">IF(L83&lt;0,INDEX(big_daily_table,MATCH(DATE(N$5,$J83,$I83),daily_dates,0),MATCH($B$3,daily_items,0)),NA())</f>
        <v>#N/A</v>
      </c>
      <c r="O83" s="1" t="str">
        <f t="array" ref="O83">IF(ISBLANK(INDEX(big_daily_table,MATCH(DATE(O$5,$J83,$I83),daily_dates,0),MATCH($B$3,daily_items,0))),NA(),INDEX(big_daily_table,MATCH(DATE(O$5,$J83,$I83),daily_dates,0),MATCH($B$3,daily_items,0)))</f>
        <v>#N/A</v>
      </c>
      <c r="P83" s="1" t="str">
        <f t="array" ref="P83">IF(ISBLANK(INDEX(big_daily_table,MATCH(DATE(P$5,$J83,$I83),daily_dates,0),MATCH($B$3,daily_items,0))),NA(),INDEX(big_daily_table,MATCH(DATE(P$5,$J83,$I83),daily_dates,0),MATCH($B$3,daily_items,0)))</f>
        <v>#N/A</v>
      </c>
      <c r="Q83" s="1" t="str">
        <f t="array" ref="Q83">IF(ISBLANK(INDEX(big_daily_table,MATCH(DATE(Q$5,$J83,$I83),daily_dates,0),MATCH($B$3,daily_items,0))),NA(),INDEX(big_daily_table,MATCH(DATE(Q$5,$J83,$I83),daily_dates,0),MATCH($B$3,daily_items,0)))</f>
        <v>#N/A</v>
      </c>
      <c r="R83" s="1" t="str">
        <f t="array" ref="R83">IF(ISBLANK(INDEX(big_daily_table,MATCH(DATE(R$5,$J83,$I83),daily_dates,0),MATCH($B$3,daily_items,0))),NA(),INDEX(big_daily_table,MATCH(DATE(R$5,$J83,$I83),daily_dates,0),MATCH($B$3,daily_items,0)))</f>
        <v>#N/A</v>
      </c>
      <c r="S83" s="1" t="str">
        <f t="array" ref="S83">IF(ISBLANK(INDEX(big_daily_table,MATCH(DATE(S$5,$J83,$I83),daily_dates,0),MATCH($B$3,daily_items,0))),NA(),INDEX(big_daily_table,MATCH(DATE(S$5,$J83,$I83),daily_dates,0),MATCH($B$3,daily_items,0)))</f>
        <v>#N/A</v>
      </c>
      <c r="T83" s="1" t="str">
        <f t="array" ref="T83">IF(ISBLANK(INDEX(big_daily_table,MATCH(DATE(T$5,$J83,$I83),daily_dates,0),MATCH($B$3,daily_items,0))),NA(),INDEX(big_daily_table,MATCH(DATE(T$5,$J83,$I83),daily_dates,0),MATCH($B$3,daily_items,0)))</f>
        <v>#N/A</v>
      </c>
      <c r="U83" s="1" t="str">
        <f t="array" ref="U83">IF(ISBLANK(INDEX(big_daily_table,MATCH(DATE(U$5,$J83,$I83),daily_dates,0),MATCH($B$3,daily_items,0))),NA(),INDEX(big_daily_table,MATCH(DATE(U$5,$J83,$I83),daily_dates,0),MATCH($B$3,daily_items,0)))</f>
        <v>#N/A</v>
      </c>
      <c r="V83" s="1" t="str">
        <f t="array" ref="V83">IF(ISBLANK(INDEX(big_daily_table,MATCH(DATE(V$5,$J83,$I83),daily_dates,0),MATCH($B$3,daily_items,0))),NA(),INDEX(big_daily_table,MATCH(DATE(V$5,$J83,$I83),daily_dates,0),MATCH($B$3,daily_items,0)))</f>
        <v>#N/A</v>
      </c>
      <c r="W83" s="1" t="str">
        <f t="array" ref="W83">IF(ISBLANK(INDEX(big_daily_table,MATCH(DATE(W$5,$J83,$I83),daily_dates,0),MATCH($B$3,daily_items,0))),NA(),INDEX(big_daily_table,MATCH(DATE(W$5,$J83,$I83),daily_dates,0),MATCH($B$3,daily_items,0)))</f>
        <v>#N/A</v>
      </c>
      <c r="X83" s="1" t="str">
        <f t="array" ref="X83">IF(ISBLANK(INDEX(big_daily_table,MATCH(DATE(X$5,$J83,$I83),daily_dates,0),MATCH($B$3,daily_items,0))),NA(),INDEX(big_daily_table,MATCH(DATE(X$5,$J83,$I83),daily_dates,0),MATCH($B$3,daily_items,0)))</f>
        <v>#N/A</v>
      </c>
      <c r="Y83" s="1" t="str">
        <f t="array" ref="Y83">IF(ISBLANK(INDEX(big_daily_table,MATCH(DATE(Y$5,$J83,$I83),daily_dates,0),MATCH($B$3,daily_items,0))),NA(),INDEX(big_daily_table,MATCH(DATE(Y$5,$J83,$I83),daily_dates,0),MATCH($B$3,daily_items,0)))</f>
        <v>#N/A</v>
      </c>
      <c r="Z83" s="1" t="str">
        <f t="shared" si="5"/>
        <v>#NAME?</v>
      </c>
      <c r="AA83" s="1" t="str">
        <f t="shared" si="6"/>
        <v>#NAME?</v>
      </c>
      <c r="AB83" s="1" t="str">
        <f t="shared" si="7"/>
        <v>#NAME?</v>
      </c>
      <c r="AC83" s="1" t="str">
        <f t="shared" si="8"/>
        <v>#NAME?</v>
      </c>
    </row>
    <row r="84" ht="14.25" customHeight="1">
      <c r="H84" s="1">
        <f t="shared" si="9"/>
        <v>79</v>
      </c>
      <c r="I84" s="1">
        <f t="shared" si="2"/>
        <v>19</v>
      </c>
      <c r="J84" s="1">
        <f t="shared" si="3"/>
        <v>3</v>
      </c>
      <c r="K84" s="23">
        <f t="shared" si="10"/>
        <v>36604</v>
      </c>
      <c r="L84" s="24">
        <f t="shared" si="4"/>
        <v>-1000000</v>
      </c>
      <c r="M84" s="1" t="str">
        <f t="array" ref="M84">IF(K84&gt;0,INDEX(big_daily_table,MATCH(DATE(N$5,$J84,$I84),daily_dates,0),MATCH($B$3,daily_items,0)),NA())</f>
        <v>#N/A</v>
      </c>
      <c r="N84" s="1" t="str">
        <f t="array" ref="N84">IF(L84&lt;0,INDEX(big_daily_table,MATCH(DATE(N$5,$J84,$I84),daily_dates,0),MATCH($B$3,daily_items,0)),NA())</f>
        <v>#N/A</v>
      </c>
      <c r="O84" s="1" t="str">
        <f t="array" ref="O84">IF(ISBLANK(INDEX(big_daily_table,MATCH(DATE(O$5,$J84,$I84),daily_dates,0),MATCH($B$3,daily_items,0))),NA(),INDEX(big_daily_table,MATCH(DATE(O$5,$J84,$I84),daily_dates,0),MATCH($B$3,daily_items,0)))</f>
        <v>#N/A</v>
      </c>
      <c r="P84" s="1" t="str">
        <f t="array" ref="P84">IF(ISBLANK(INDEX(big_daily_table,MATCH(DATE(P$5,$J84,$I84),daily_dates,0),MATCH($B$3,daily_items,0))),NA(),INDEX(big_daily_table,MATCH(DATE(P$5,$J84,$I84),daily_dates,0),MATCH($B$3,daily_items,0)))</f>
        <v>#N/A</v>
      </c>
      <c r="Q84" s="1" t="str">
        <f t="array" ref="Q84">IF(ISBLANK(INDEX(big_daily_table,MATCH(DATE(Q$5,$J84,$I84),daily_dates,0),MATCH($B$3,daily_items,0))),NA(),INDEX(big_daily_table,MATCH(DATE(Q$5,$J84,$I84),daily_dates,0),MATCH($B$3,daily_items,0)))</f>
        <v>#N/A</v>
      </c>
      <c r="R84" s="1" t="str">
        <f t="array" ref="R84">IF(ISBLANK(INDEX(big_daily_table,MATCH(DATE(R$5,$J84,$I84),daily_dates,0),MATCH($B$3,daily_items,0))),NA(),INDEX(big_daily_table,MATCH(DATE(R$5,$J84,$I84),daily_dates,0),MATCH($B$3,daily_items,0)))</f>
        <v>#N/A</v>
      </c>
      <c r="S84" s="1" t="str">
        <f t="array" ref="S84">IF(ISBLANK(INDEX(big_daily_table,MATCH(DATE(S$5,$J84,$I84),daily_dates,0),MATCH($B$3,daily_items,0))),NA(),INDEX(big_daily_table,MATCH(DATE(S$5,$J84,$I84),daily_dates,0),MATCH($B$3,daily_items,0)))</f>
        <v>#N/A</v>
      </c>
      <c r="T84" s="1" t="str">
        <f t="array" ref="T84">IF(ISBLANK(INDEX(big_daily_table,MATCH(DATE(T$5,$J84,$I84),daily_dates,0),MATCH($B$3,daily_items,0))),NA(),INDEX(big_daily_table,MATCH(DATE(T$5,$J84,$I84),daily_dates,0),MATCH($B$3,daily_items,0)))</f>
        <v>#N/A</v>
      </c>
      <c r="U84" s="1" t="str">
        <f t="array" ref="U84">IF(ISBLANK(INDEX(big_daily_table,MATCH(DATE(U$5,$J84,$I84),daily_dates,0),MATCH($B$3,daily_items,0))),NA(),INDEX(big_daily_table,MATCH(DATE(U$5,$J84,$I84),daily_dates,0),MATCH($B$3,daily_items,0)))</f>
        <v>#N/A</v>
      </c>
      <c r="V84" s="1" t="str">
        <f t="array" ref="V84">IF(ISBLANK(INDEX(big_daily_table,MATCH(DATE(V$5,$J84,$I84),daily_dates,0),MATCH($B$3,daily_items,0))),NA(),INDEX(big_daily_table,MATCH(DATE(V$5,$J84,$I84),daily_dates,0),MATCH($B$3,daily_items,0)))</f>
        <v>#N/A</v>
      </c>
      <c r="W84" s="1" t="str">
        <f t="array" ref="W84">IF(ISBLANK(INDEX(big_daily_table,MATCH(DATE(W$5,$J84,$I84),daily_dates,0),MATCH($B$3,daily_items,0))),NA(),INDEX(big_daily_table,MATCH(DATE(W$5,$J84,$I84),daily_dates,0),MATCH($B$3,daily_items,0)))</f>
        <v>#N/A</v>
      </c>
      <c r="X84" s="1" t="str">
        <f t="array" ref="X84">IF(ISBLANK(INDEX(big_daily_table,MATCH(DATE(X$5,$J84,$I84),daily_dates,0),MATCH($B$3,daily_items,0))),NA(),INDEX(big_daily_table,MATCH(DATE(X$5,$J84,$I84),daily_dates,0),MATCH($B$3,daily_items,0)))</f>
        <v>#N/A</v>
      </c>
      <c r="Y84" s="1" t="str">
        <f t="array" ref="Y84">IF(ISBLANK(INDEX(big_daily_table,MATCH(DATE(Y$5,$J84,$I84),daily_dates,0),MATCH($B$3,daily_items,0))),NA(),INDEX(big_daily_table,MATCH(DATE(Y$5,$J84,$I84),daily_dates,0),MATCH($B$3,daily_items,0)))</f>
        <v>#N/A</v>
      </c>
      <c r="Z84" s="1" t="str">
        <f t="shared" si="5"/>
        <v>#NAME?</v>
      </c>
      <c r="AA84" s="1" t="str">
        <f t="shared" si="6"/>
        <v>#NAME?</v>
      </c>
      <c r="AB84" s="1" t="str">
        <f t="shared" si="7"/>
        <v>#NAME?</v>
      </c>
      <c r="AC84" s="1" t="str">
        <f t="shared" si="8"/>
        <v>#NAME?</v>
      </c>
    </row>
    <row r="85" ht="14.25" customHeight="1">
      <c r="H85" s="1">
        <f t="shared" si="9"/>
        <v>80</v>
      </c>
      <c r="I85" s="1">
        <f t="shared" si="2"/>
        <v>20</v>
      </c>
      <c r="J85" s="1">
        <f t="shared" si="3"/>
        <v>3</v>
      </c>
      <c r="K85" s="23">
        <f t="shared" si="10"/>
        <v>36605</v>
      </c>
      <c r="L85" s="24">
        <f t="shared" si="4"/>
        <v>-1000000</v>
      </c>
      <c r="M85" s="1" t="str">
        <f t="array" ref="M85">IF(K85&gt;0,INDEX(big_daily_table,MATCH(DATE(N$5,$J85,$I85),daily_dates,0),MATCH($B$3,daily_items,0)),NA())</f>
        <v>#N/A</v>
      </c>
      <c r="N85" s="1" t="str">
        <f t="array" ref="N85">IF(L85&lt;0,INDEX(big_daily_table,MATCH(DATE(N$5,$J85,$I85),daily_dates,0),MATCH($B$3,daily_items,0)),NA())</f>
        <v>#N/A</v>
      </c>
      <c r="O85" s="1" t="str">
        <f t="array" ref="O85">IF(ISBLANK(INDEX(big_daily_table,MATCH(DATE(O$5,$J85,$I85),daily_dates,0),MATCH($B$3,daily_items,0))),NA(),INDEX(big_daily_table,MATCH(DATE(O$5,$J85,$I85),daily_dates,0),MATCH($B$3,daily_items,0)))</f>
        <v>#N/A</v>
      </c>
      <c r="P85" s="1" t="str">
        <f t="array" ref="P85">IF(ISBLANK(INDEX(big_daily_table,MATCH(DATE(P$5,$J85,$I85),daily_dates,0),MATCH($B$3,daily_items,0))),NA(),INDEX(big_daily_table,MATCH(DATE(P$5,$J85,$I85),daily_dates,0),MATCH($B$3,daily_items,0)))</f>
        <v>#N/A</v>
      </c>
      <c r="Q85" s="1" t="str">
        <f t="array" ref="Q85">IF(ISBLANK(INDEX(big_daily_table,MATCH(DATE(Q$5,$J85,$I85),daily_dates,0),MATCH($B$3,daily_items,0))),NA(),INDEX(big_daily_table,MATCH(DATE(Q$5,$J85,$I85),daily_dates,0),MATCH($B$3,daily_items,0)))</f>
        <v>#N/A</v>
      </c>
      <c r="R85" s="1" t="str">
        <f t="array" ref="R85">IF(ISBLANK(INDEX(big_daily_table,MATCH(DATE(R$5,$J85,$I85),daily_dates,0),MATCH($B$3,daily_items,0))),NA(),INDEX(big_daily_table,MATCH(DATE(R$5,$J85,$I85),daily_dates,0),MATCH($B$3,daily_items,0)))</f>
        <v>#N/A</v>
      </c>
      <c r="S85" s="1" t="str">
        <f t="array" ref="S85">IF(ISBLANK(INDEX(big_daily_table,MATCH(DATE(S$5,$J85,$I85),daily_dates,0),MATCH($B$3,daily_items,0))),NA(),INDEX(big_daily_table,MATCH(DATE(S$5,$J85,$I85),daily_dates,0),MATCH($B$3,daily_items,0)))</f>
        <v>#N/A</v>
      </c>
      <c r="T85" s="1" t="str">
        <f t="array" ref="T85">IF(ISBLANK(INDEX(big_daily_table,MATCH(DATE(T$5,$J85,$I85),daily_dates,0),MATCH($B$3,daily_items,0))),NA(),INDEX(big_daily_table,MATCH(DATE(T$5,$J85,$I85),daily_dates,0),MATCH($B$3,daily_items,0)))</f>
        <v>#N/A</v>
      </c>
      <c r="U85" s="1" t="str">
        <f t="array" ref="U85">IF(ISBLANK(INDEX(big_daily_table,MATCH(DATE(U$5,$J85,$I85),daily_dates,0),MATCH($B$3,daily_items,0))),NA(),INDEX(big_daily_table,MATCH(DATE(U$5,$J85,$I85),daily_dates,0),MATCH($B$3,daily_items,0)))</f>
        <v>#N/A</v>
      </c>
      <c r="V85" s="1" t="str">
        <f t="array" ref="V85">IF(ISBLANK(INDEX(big_daily_table,MATCH(DATE(V$5,$J85,$I85),daily_dates,0),MATCH($B$3,daily_items,0))),NA(),INDEX(big_daily_table,MATCH(DATE(V$5,$J85,$I85),daily_dates,0),MATCH($B$3,daily_items,0)))</f>
        <v>#N/A</v>
      </c>
      <c r="W85" s="1" t="str">
        <f t="array" ref="W85">IF(ISBLANK(INDEX(big_daily_table,MATCH(DATE(W$5,$J85,$I85),daily_dates,0),MATCH($B$3,daily_items,0))),NA(),INDEX(big_daily_table,MATCH(DATE(W$5,$J85,$I85),daily_dates,0),MATCH($B$3,daily_items,0)))</f>
        <v>#N/A</v>
      </c>
      <c r="X85" s="1" t="str">
        <f t="array" ref="X85">IF(ISBLANK(INDEX(big_daily_table,MATCH(DATE(X$5,$J85,$I85),daily_dates,0),MATCH($B$3,daily_items,0))),NA(),INDEX(big_daily_table,MATCH(DATE(X$5,$J85,$I85),daily_dates,0),MATCH($B$3,daily_items,0)))</f>
        <v>#N/A</v>
      </c>
      <c r="Y85" s="1" t="str">
        <f t="array" ref="Y85">IF(ISBLANK(INDEX(big_daily_table,MATCH(DATE(Y$5,$J85,$I85),daily_dates,0),MATCH($B$3,daily_items,0))),NA(),INDEX(big_daily_table,MATCH(DATE(Y$5,$J85,$I85),daily_dates,0),MATCH($B$3,daily_items,0)))</f>
        <v>#N/A</v>
      </c>
      <c r="Z85" s="1" t="str">
        <f t="shared" si="5"/>
        <v>#NAME?</v>
      </c>
      <c r="AA85" s="1" t="str">
        <f t="shared" si="6"/>
        <v>#NAME?</v>
      </c>
      <c r="AB85" s="1" t="str">
        <f t="shared" si="7"/>
        <v>#NAME?</v>
      </c>
      <c r="AC85" s="1" t="str">
        <f t="shared" si="8"/>
        <v>#NAME?</v>
      </c>
    </row>
    <row r="86" ht="14.25" customHeight="1">
      <c r="H86" s="1">
        <f t="shared" si="9"/>
        <v>81</v>
      </c>
      <c r="I86" s="1">
        <f t="shared" si="2"/>
        <v>21</v>
      </c>
      <c r="J86" s="1">
        <f t="shared" si="3"/>
        <v>3</v>
      </c>
      <c r="K86" s="23">
        <f t="shared" si="10"/>
        <v>36606</v>
      </c>
      <c r="L86" s="24">
        <f t="shared" si="4"/>
        <v>-1000000</v>
      </c>
      <c r="M86" s="1" t="str">
        <f t="array" ref="M86">IF(K86&gt;0,INDEX(big_daily_table,MATCH(DATE(N$5,$J86,$I86),daily_dates,0),MATCH($B$3,daily_items,0)),NA())</f>
        <v>#N/A</v>
      </c>
      <c r="N86" s="1" t="str">
        <f t="array" ref="N86">IF(L86&lt;0,INDEX(big_daily_table,MATCH(DATE(N$5,$J86,$I86),daily_dates,0),MATCH($B$3,daily_items,0)),NA())</f>
        <v>#N/A</v>
      </c>
      <c r="O86" s="1" t="str">
        <f t="array" ref="O86">IF(ISBLANK(INDEX(big_daily_table,MATCH(DATE(O$5,$J86,$I86),daily_dates,0),MATCH($B$3,daily_items,0))),NA(),INDEX(big_daily_table,MATCH(DATE(O$5,$J86,$I86),daily_dates,0),MATCH($B$3,daily_items,0)))</f>
        <v>#N/A</v>
      </c>
      <c r="P86" s="1" t="str">
        <f t="array" ref="P86">IF(ISBLANK(INDEX(big_daily_table,MATCH(DATE(P$5,$J86,$I86),daily_dates,0),MATCH($B$3,daily_items,0))),NA(),INDEX(big_daily_table,MATCH(DATE(P$5,$J86,$I86),daily_dates,0),MATCH($B$3,daily_items,0)))</f>
        <v>#N/A</v>
      </c>
      <c r="Q86" s="1" t="str">
        <f t="array" ref="Q86">IF(ISBLANK(INDEX(big_daily_table,MATCH(DATE(Q$5,$J86,$I86),daily_dates,0),MATCH($B$3,daily_items,0))),NA(),INDEX(big_daily_table,MATCH(DATE(Q$5,$J86,$I86),daily_dates,0),MATCH($B$3,daily_items,0)))</f>
        <v>#N/A</v>
      </c>
      <c r="R86" s="1" t="str">
        <f t="array" ref="R86">IF(ISBLANK(INDEX(big_daily_table,MATCH(DATE(R$5,$J86,$I86),daily_dates,0),MATCH($B$3,daily_items,0))),NA(),INDEX(big_daily_table,MATCH(DATE(R$5,$J86,$I86),daily_dates,0),MATCH($B$3,daily_items,0)))</f>
        <v>#N/A</v>
      </c>
      <c r="S86" s="1" t="str">
        <f t="array" ref="S86">IF(ISBLANK(INDEX(big_daily_table,MATCH(DATE(S$5,$J86,$I86),daily_dates,0),MATCH($B$3,daily_items,0))),NA(),INDEX(big_daily_table,MATCH(DATE(S$5,$J86,$I86),daily_dates,0),MATCH($B$3,daily_items,0)))</f>
        <v>#N/A</v>
      </c>
      <c r="T86" s="1" t="str">
        <f t="array" ref="T86">IF(ISBLANK(INDEX(big_daily_table,MATCH(DATE(T$5,$J86,$I86),daily_dates,0),MATCH($B$3,daily_items,0))),NA(),INDEX(big_daily_table,MATCH(DATE(T$5,$J86,$I86),daily_dates,0),MATCH($B$3,daily_items,0)))</f>
        <v>#N/A</v>
      </c>
      <c r="U86" s="1" t="str">
        <f t="array" ref="U86">IF(ISBLANK(INDEX(big_daily_table,MATCH(DATE(U$5,$J86,$I86),daily_dates,0),MATCH($B$3,daily_items,0))),NA(),INDEX(big_daily_table,MATCH(DATE(U$5,$J86,$I86),daily_dates,0),MATCH($B$3,daily_items,0)))</f>
        <v>#N/A</v>
      </c>
      <c r="V86" s="1" t="str">
        <f t="array" ref="V86">IF(ISBLANK(INDEX(big_daily_table,MATCH(DATE(V$5,$J86,$I86),daily_dates,0),MATCH($B$3,daily_items,0))),NA(),INDEX(big_daily_table,MATCH(DATE(V$5,$J86,$I86),daily_dates,0),MATCH($B$3,daily_items,0)))</f>
        <v>#N/A</v>
      </c>
      <c r="W86" s="1" t="str">
        <f t="array" ref="W86">IF(ISBLANK(INDEX(big_daily_table,MATCH(DATE(W$5,$J86,$I86),daily_dates,0),MATCH($B$3,daily_items,0))),NA(),INDEX(big_daily_table,MATCH(DATE(W$5,$J86,$I86),daily_dates,0),MATCH($B$3,daily_items,0)))</f>
        <v>#N/A</v>
      </c>
      <c r="X86" s="1" t="str">
        <f t="array" ref="X86">IF(ISBLANK(INDEX(big_daily_table,MATCH(DATE(X$5,$J86,$I86),daily_dates,0),MATCH($B$3,daily_items,0))),NA(),INDEX(big_daily_table,MATCH(DATE(X$5,$J86,$I86),daily_dates,0),MATCH($B$3,daily_items,0)))</f>
        <v>#N/A</v>
      </c>
      <c r="Y86" s="1" t="str">
        <f t="array" ref="Y86">IF(ISBLANK(INDEX(big_daily_table,MATCH(DATE(Y$5,$J86,$I86),daily_dates,0),MATCH($B$3,daily_items,0))),NA(),INDEX(big_daily_table,MATCH(DATE(Y$5,$J86,$I86),daily_dates,0),MATCH($B$3,daily_items,0)))</f>
        <v>#N/A</v>
      </c>
      <c r="Z86" s="1" t="str">
        <f t="shared" si="5"/>
        <v>#NAME?</v>
      </c>
      <c r="AA86" s="1" t="str">
        <f t="shared" si="6"/>
        <v>#NAME?</v>
      </c>
      <c r="AB86" s="1" t="str">
        <f t="shared" si="7"/>
        <v>#NAME?</v>
      </c>
      <c r="AC86" s="1" t="str">
        <f t="shared" si="8"/>
        <v>#NAME?</v>
      </c>
    </row>
    <row r="87" ht="14.25" customHeight="1">
      <c r="H87" s="1">
        <f t="shared" si="9"/>
        <v>82</v>
      </c>
      <c r="I87" s="1">
        <f t="shared" si="2"/>
        <v>22</v>
      </c>
      <c r="J87" s="1">
        <f t="shared" si="3"/>
        <v>3</v>
      </c>
      <c r="K87" s="23">
        <f t="shared" si="10"/>
        <v>36607</v>
      </c>
      <c r="L87" s="24">
        <f t="shared" si="4"/>
        <v>-1000000</v>
      </c>
      <c r="M87" s="1" t="str">
        <f t="array" ref="M87">IF(K87&gt;0,INDEX(big_daily_table,MATCH(DATE(N$5,$J87,$I87),daily_dates,0),MATCH($B$3,daily_items,0)),NA())</f>
        <v>#N/A</v>
      </c>
      <c r="N87" s="1" t="str">
        <f t="array" ref="N87">IF(L87&lt;0,INDEX(big_daily_table,MATCH(DATE(N$5,$J87,$I87),daily_dates,0),MATCH($B$3,daily_items,0)),NA())</f>
        <v>#N/A</v>
      </c>
      <c r="O87" s="1" t="str">
        <f t="array" ref="O87">IF(ISBLANK(INDEX(big_daily_table,MATCH(DATE(O$5,$J87,$I87),daily_dates,0),MATCH($B$3,daily_items,0))),NA(),INDEX(big_daily_table,MATCH(DATE(O$5,$J87,$I87),daily_dates,0),MATCH($B$3,daily_items,0)))</f>
        <v>#N/A</v>
      </c>
      <c r="P87" s="1" t="str">
        <f t="array" ref="P87">IF(ISBLANK(INDEX(big_daily_table,MATCH(DATE(P$5,$J87,$I87),daily_dates,0),MATCH($B$3,daily_items,0))),NA(),INDEX(big_daily_table,MATCH(DATE(P$5,$J87,$I87),daily_dates,0),MATCH($B$3,daily_items,0)))</f>
        <v>#N/A</v>
      </c>
      <c r="Q87" s="1" t="str">
        <f t="array" ref="Q87">IF(ISBLANK(INDEX(big_daily_table,MATCH(DATE(Q$5,$J87,$I87),daily_dates,0),MATCH($B$3,daily_items,0))),NA(),INDEX(big_daily_table,MATCH(DATE(Q$5,$J87,$I87),daily_dates,0),MATCH($B$3,daily_items,0)))</f>
        <v>#N/A</v>
      </c>
      <c r="R87" s="1" t="str">
        <f t="array" ref="R87">IF(ISBLANK(INDEX(big_daily_table,MATCH(DATE(R$5,$J87,$I87),daily_dates,0),MATCH($B$3,daily_items,0))),NA(),INDEX(big_daily_table,MATCH(DATE(R$5,$J87,$I87),daily_dates,0),MATCH($B$3,daily_items,0)))</f>
        <v>#N/A</v>
      </c>
      <c r="S87" s="1" t="str">
        <f t="array" ref="S87">IF(ISBLANK(INDEX(big_daily_table,MATCH(DATE(S$5,$J87,$I87),daily_dates,0),MATCH($B$3,daily_items,0))),NA(),INDEX(big_daily_table,MATCH(DATE(S$5,$J87,$I87),daily_dates,0),MATCH($B$3,daily_items,0)))</f>
        <v>#N/A</v>
      </c>
      <c r="T87" s="1" t="str">
        <f t="array" ref="T87">IF(ISBLANK(INDEX(big_daily_table,MATCH(DATE(T$5,$J87,$I87),daily_dates,0),MATCH($B$3,daily_items,0))),NA(),INDEX(big_daily_table,MATCH(DATE(T$5,$J87,$I87),daily_dates,0),MATCH($B$3,daily_items,0)))</f>
        <v>#N/A</v>
      </c>
      <c r="U87" s="1" t="str">
        <f t="array" ref="U87">IF(ISBLANK(INDEX(big_daily_table,MATCH(DATE(U$5,$J87,$I87),daily_dates,0),MATCH($B$3,daily_items,0))),NA(),INDEX(big_daily_table,MATCH(DATE(U$5,$J87,$I87),daily_dates,0),MATCH($B$3,daily_items,0)))</f>
        <v>#N/A</v>
      </c>
      <c r="V87" s="1" t="str">
        <f t="array" ref="V87">IF(ISBLANK(INDEX(big_daily_table,MATCH(DATE(V$5,$J87,$I87),daily_dates,0),MATCH($B$3,daily_items,0))),NA(),INDEX(big_daily_table,MATCH(DATE(V$5,$J87,$I87),daily_dates,0),MATCH($B$3,daily_items,0)))</f>
        <v>#N/A</v>
      </c>
      <c r="W87" s="1" t="str">
        <f t="array" ref="W87">IF(ISBLANK(INDEX(big_daily_table,MATCH(DATE(W$5,$J87,$I87),daily_dates,0),MATCH($B$3,daily_items,0))),NA(),INDEX(big_daily_table,MATCH(DATE(W$5,$J87,$I87),daily_dates,0),MATCH($B$3,daily_items,0)))</f>
        <v>#N/A</v>
      </c>
      <c r="X87" s="1" t="str">
        <f t="array" ref="X87">IF(ISBLANK(INDEX(big_daily_table,MATCH(DATE(X$5,$J87,$I87),daily_dates,0),MATCH($B$3,daily_items,0))),NA(),INDEX(big_daily_table,MATCH(DATE(X$5,$J87,$I87),daily_dates,0),MATCH($B$3,daily_items,0)))</f>
        <v>#N/A</v>
      </c>
      <c r="Y87" s="1" t="str">
        <f t="array" ref="Y87">IF(ISBLANK(INDEX(big_daily_table,MATCH(DATE(Y$5,$J87,$I87),daily_dates,0),MATCH($B$3,daily_items,0))),NA(),INDEX(big_daily_table,MATCH(DATE(Y$5,$J87,$I87),daily_dates,0),MATCH($B$3,daily_items,0)))</f>
        <v>#N/A</v>
      </c>
      <c r="Z87" s="1" t="str">
        <f t="shared" si="5"/>
        <v>#NAME?</v>
      </c>
      <c r="AA87" s="1" t="str">
        <f t="shared" si="6"/>
        <v>#NAME?</v>
      </c>
      <c r="AB87" s="1" t="str">
        <f t="shared" si="7"/>
        <v>#NAME?</v>
      </c>
      <c r="AC87" s="1" t="str">
        <f t="shared" si="8"/>
        <v>#NAME?</v>
      </c>
    </row>
    <row r="88" ht="14.25" customHeight="1">
      <c r="H88" s="1">
        <f t="shared" si="9"/>
        <v>83</v>
      </c>
      <c r="I88" s="1">
        <f t="shared" si="2"/>
        <v>23</v>
      </c>
      <c r="J88" s="1">
        <f t="shared" si="3"/>
        <v>3</v>
      </c>
      <c r="K88" s="23">
        <f t="shared" si="10"/>
        <v>36608</v>
      </c>
      <c r="L88" s="24">
        <f t="shared" si="4"/>
        <v>-1000000</v>
      </c>
      <c r="M88" s="1" t="str">
        <f t="array" ref="M88">IF(K88&gt;0,INDEX(big_daily_table,MATCH(DATE(N$5,$J88,$I88),daily_dates,0),MATCH($B$3,daily_items,0)),NA())</f>
        <v>#N/A</v>
      </c>
      <c r="N88" s="1" t="str">
        <f t="array" ref="N88">IF(L88&lt;0,INDEX(big_daily_table,MATCH(DATE(N$5,$J88,$I88),daily_dates,0),MATCH($B$3,daily_items,0)),NA())</f>
        <v>#N/A</v>
      </c>
      <c r="O88" s="1" t="str">
        <f t="array" ref="O88">IF(ISBLANK(INDEX(big_daily_table,MATCH(DATE(O$5,$J88,$I88),daily_dates,0),MATCH($B$3,daily_items,0))),NA(),INDEX(big_daily_table,MATCH(DATE(O$5,$J88,$I88),daily_dates,0),MATCH($B$3,daily_items,0)))</f>
        <v>#N/A</v>
      </c>
      <c r="P88" s="1" t="str">
        <f t="array" ref="P88">IF(ISBLANK(INDEX(big_daily_table,MATCH(DATE(P$5,$J88,$I88),daily_dates,0),MATCH($B$3,daily_items,0))),NA(),INDEX(big_daily_table,MATCH(DATE(P$5,$J88,$I88),daily_dates,0),MATCH($B$3,daily_items,0)))</f>
        <v>#N/A</v>
      </c>
      <c r="Q88" s="1" t="str">
        <f t="array" ref="Q88">IF(ISBLANK(INDEX(big_daily_table,MATCH(DATE(Q$5,$J88,$I88),daily_dates,0),MATCH($B$3,daily_items,0))),NA(),INDEX(big_daily_table,MATCH(DATE(Q$5,$J88,$I88),daily_dates,0),MATCH($B$3,daily_items,0)))</f>
        <v>#N/A</v>
      </c>
      <c r="R88" s="1" t="str">
        <f t="array" ref="R88">IF(ISBLANK(INDEX(big_daily_table,MATCH(DATE(R$5,$J88,$I88),daily_dates,0),MATCH($B$3,daily_items,0))),NA(),INDEX(big_daily_table,MATCH(DATE(R$5,$J88,$I88),daily_dates,0),MATCH($B$3,daily_items,0)))</f>
        <v>#N/A</v>
      </c>
      <c r="S88" s="1" t="str">
        <f t="array" ref="S88">IF(ISBLANK(INDEX(big_daily_table,MATCH(DATE(S$5,$J88,$I88),daily_dates,0),MATCH($B$3,daily_items,0))),NA(),INDEX(big_daily_table,MATCH(DATE(S$5,$J88,$I88),daily_dates,0),MATCH($B$3,daily_items,0)))</f>
        <v>#N/A</v>
      </c>
      <c r="T88" s="1" t="str">
        <f t="array" ref="T88">IF(ISBLANK(INDEX(big_daily_table,MATCH(DATE(T$5,$J88,$I88),daily_dates,0),MATCH($B$3,daily_items,0))),NA(),INDEX(big_daily_table,MATCH(DATE(T$5,$J88,$I88),daily_dates,0),MATCH($B$3,daily_items,0)))</f>
        <v>#N/A</v>
      </c>
      <c r="U88" s="1" t="str">
        <f t="array" ref="U88">IF(ISBLANK(INDEX(big_daily_table,MATCH(DATE(U$5,$J88,$I88),daily_dates,0),MATCH($B$3,daily_items,0))),NA(),INDEX(big_daily_table,MATCH(DATE(U$5,$J88,$I88),daily_dates,0),MATCH($B$3,daily_items,0)))</f>
        <v>#N/A</v>
      </c>
      <c r="V88" s="1" t="str">
        <f t="array" ref="V88">IF(ISBLANK(INDEX(big_daily_table,MATCH(DATE(V$5,$J88,$I88),daily_dates,0),MATCH($B$3,daily_items,0))),NA(),INDEX(big_daily_table,MATCH(DATE(V$5,$J88,$I88),daily_dates,0),MATCH($B$3,daily_items,0)))</f>
        <v>#N/A</v>
      </c>
      <c r="W88" s="1" t="str">
        <f t="array" ref="W88">IF(ISBLANK(INDEX(big_daily_table,MATCH(DATE(W$5,$J88,$I88),daily_dates,0),MATCH($B$3,daily_items,0))),NA(),INDEX(big_daily_table,MATCH(DATE(W$5,$J88,$I88),daily_dates,0),MATCH($B$3,daily_items,0)))</f>
        <v>#N/A</v>
      </c>
      <c r="X88" s="1" t="str">
        <f t="array" ref="X88">IF(ISBLANK(INDEX(big_daily_table,MATCH(DATE(X$5,$J88,$I88),daily_dates,0),MATCH($B$3,daily_items,0))),NA(),INDEX(big_daily_table,MATCH(DATE(X$5,$J88,$I88),daily_dates,0),MATCH($B$3,daily_items,0)))</f>
        <v>#N/A</v>
      </c>
      <c r="Y88" s="1" t="str">
        <f t="array" ref="Y88">IF(ISBLANK(INDEX(big_daily_table,MATCH(DATE(Y$5,$J88,$I88),daily_dates,0),MATCH($B$3,daily_items,0))),NA(),INDEX(big_daily_table,MATCH(DATE(Y$5,$J88,$I88),daily_dates,0),MATCH($B$3,daily_items,0)))</f>
        <v>#N/A</v>
      </c>
      <c r="Z88" s="1" t="str">
        <f t="shared" si="5"/>
        <v>#NAME?</v>
      </c>
      <c r="AA88" s="1" t="str">
        <f t="shared" si="6"/>
        <v>#NAME?</v>
      </c>
      <c r="AB88" s="1" t="str">
        <f t="shared" si="7"/>
        <v>#NAME?</v>
      </c>
      <c r="AC88" s="1" t="str">
        <f t="shared" si="8"/>
        <v>#NAME?</v>
      </c>
    </row>
    <row r="89" ht="14.25" customHeight="1">
      <c r="H89" s="1">
        <f t="shared" si="9"/>
        <v>84</v>
      </c>
      <c r="I89" s="1">
        <f t="shared" si="2"/>
        <v>24</v>
      </c>
      <c r="J89" s="1">
        <f t="shared" si="3"/>
        <v>3</v>
      </c>
      <c r="K89" s="23">
        <f t="shared" si="10"/>
        <v>36609</v>
      </c>
      <c r="L89" s="24">
        <f t="shared" si="4"/>
        <v>-1000000</v>
      </c>
      <c r="M89" s="1" t="str">
        <f t="array" ref="M89">IF(K89&gt;0,INDEX(big_daily_table,MATCH(DATE(N$5,$J89,$I89),daily_dates,0),MATCH($B$3,daily_items,0)),NA())</f>
        <v>#N/A</v>
      </c>
      <c r="N89" s="1" t="str">
        <f t="array" ref="N89">IF(L89&lt;0,INDEX(big_daily_table,MATCH(DATE(N$5,$J89,$I89),daily_dates,0),MATCH($B$3,daily_items,0)),NA())</f>
        <v>#N/A</v>
      </c>
      <c r="O89" s="1" t="str">
        <f t="array" ref="O89">IF(ISBLANK(INDEX(big_daily_table,MATCH(DATE(O$5,$J89,$I89),daily_dates,0),MATCH($B$3,daily_items,0))),NA(),INDEX(big_daily_table,MATCH(DATE(O$5,$J89,$I89),daily_dates,0),MATCH($B$3,daily_items,0)))</f>
        <v>#N/A</v>
      </c>
      <c r="P89" s="1" t="str">
        <f t="array" ref="P89">IF(ISBLANK(INDEX(big_daily_table,MATCH(DATE(P$5,$J89,$I89),daily_dates,0),MATCH($B$3,daily_items,0))),NA(),INDEX(big_daily_table,MATCH(DATE(P$5,$J89,$I89),daily_dates,0),MATCH($B$3,daily_items,0)))</f>
        <v>#N/A</v>
      </c>
      <c r="Q89" s="1" t="str">
        <f t="array" ref="Q89">IF(ISBLANK(INDEX(big_daily_table,MATCH(DATE(Q$5,$J89,$I89),daily_dates,0),MATCH($B$3,daily_items,0))),NA(),INDEX(big_daily_table,MATCH(DATE(Q$5,$J89,$I89),daily_dates,0),MATCH($B$3,daily_items,0)))</f>
        <v>#N/A</v>
      </c>
      <c r="R89" s="1" t="str">
        <f t="array" ref="R89">IF(ISBLANK(INDEX(big_daily_table,MATCH(DATE(R$5,$J89,$I89),daily_dates,0),MATCH($B$3,daily_items,0))),NA(),INDEX(big_daily_table,MATCH(DATE(R$5,$J89,$I89),daily_dates,0),MATCH($B$3,daily_items,0)))</f>
        <v>#N/A</v>
      </c>
      <c r="S89" s="1" t="str">
        <f t="array" ref="S89">IF(ISBLANK(INDEX(big_daily_table,MATCH(DATE(S$5,$J89,$I89),daily_dates,0),MATCH($B$3,daily_items,0))),NA(),INDEX(big_daily_table,MATCH(DATE(S$5,$J89,$I89),daily_dates,0),MATCH($B$3,daily_items,0)))</f>
        <v>#N/A</v>
      </c>
      <c r="T89" s="1" t="str">
        <f t="array" ref="T89">IF(ISBLANK(INDEX(big_daily_table,MATCH(DATE(T$5,$J89,$I89),daily_dates,0),MATCH($B$3,daily_items,0))),NA(),INDEX(big_daily_table,MATCH(DATE(T$5,$J89,$I89),daily_dates,0),MATCH($B$3,daily_items,0)))</f>
        <v>#N/A</v>
      </c>
      <c r="U89" s="1" t="str">
        <f t="array" ref="U89">IF(ISBLANK(INDEX(big_daily_table,MATCH(DATE(U$5,$J89,$I89),daily_dates,0),MATCH($B$3,daily_items,0))),NA(),INDEX(big_daily_table,MATCH(DATE(U$5,$J89,$I89),daily_dates,0),MATCH($B$3,daily_items,0)))</f>
        <v>#N/A</v>
      </c>
      <c r="V89" s="1" t="str">
        <f t="array" ref="V89">IF(ISBLANK(INDEX(big_daily_table,MATCH(DATE(V$5,$J89,$I89),daily_dates,0),MATCH($B$3,daily_items,0))),NA(),INDEX(big_daily_table,MATCH(DATE(V$5,$J89,$I89),daily_dates,0),MATCH($B$3,daily_items,0)))</f>
        <v>#N/A</v>
      </c>
      <c r="W89" s="1" t="str">
        <f t="array" ref="W89">IF(ISBLANK(INDEX(big_daily_table,MATCH(DATE(W$5,$J89,$I89),daily_dates,0),MATCH($B$3,daily_items,0))),NA(),INDEX(big_daily_table,MATCH(DATE(W$5,$J89,$I89),daily_dates,0),MATCH($B$3,daily_items,0)))</f>
        <v>#N/A</v>
      </c>
      <c r="X89" s="1" t="str">
        <f t="array" ref="X89">IF(ISBLANK(INDEX(big_daily_table,MATCH(DATE(X$5,$J89,$I89),daily_dates,0),MATCH($B$3,daily_items,0))),NA(),INDEX(big_daily_table,MATCH(DATE(X$5,$J89,$I89),daily_dates,0),MATCH($B$3,daily_items,0)))</f>
        <v>#N/A</v>
      </c>
      <c r="Y89" s="1" t="str">
        <f t="array" ref="Y89">IF(ISBLANK(INDEX(big_daily_table,MATCH(DATE(Y$5,$J89,$I89),daily_dates,0),MATCH($B$3,daily_items,0))),NA(),INDEX(big_daily_table,MATCH(DATE(Y$5,$J89,$I89),daily_dates,0),MATCH($B$3,daily_items,0)))</f>
        <v>#N/A</v>
      </c>
      <c r="Z89" s="1" t="str">
        <f t="shared" si="5"/>
        <v>#NAME?</v>
      </c>
      <c r="AA89" s="1" t="str">
        <f t="shared" si="6"/>
        <v>#NAME?</v>
      </c>
      <c r="AB89" s="1" t="str">
        <f t="shared" si="7"/>
        <v>#NAME?</v>
      </c>
      <c r="AC89" s="1" t="str">
        <f t="shared" si="8"/>
        <v>#NAME?</v>
      </c>
    </row>
    <row r="90" ht="14.25" customHeight="1">
      <c r="H90" s="1">
        <f t="shared" si="9"/>
        <v>85</v>
      </c>
      <c r="I90" s="1">
        <f t="shared" si="2"/>
        <v>25</v>
      </c>
      <c r="J90" s="1">
        <f t="shared" si="3"/>
        <v>3</v>
      </c>
      <c r="K90" s="23">
        <f t="shared" si="10"/>
        <v>36610</v>
      </c>
      <c r="L90" s="24">
        <f t="shared" si="4"/>
        <v>-1000000</v>
      </c>
      <c r="M90" s="1" t="str">
        <f t="array" ref="M90">IF(K90&gt;0,INDEX(big_daily_table,MATCH(DATE(N$5,$J90,$I90),daily_dates,0),MATCH($B$3,daily_items,0)),NA())</f>
        <v>#N/A</v>
      </c>
      <c r="N90" s="1" t="str">
        <f t="array" ref="N90">IF(L90&lt;0,INDEX(big_daily_table,MATCH(DATE(N$5,$J90,$I90),daily_dates,0),MATCH($B$3,daily_items,0)),NA())</f>
        <v>#N/A</v>
      </c>
      <c r="O90" s="1" t="str">
        <f t="array" ref="O90">IF(ISBLANK(INDEX(big_daily_table,MATCH(DATE(O$5,$J90,$I90),daily_dates,0),MATCH($B$3,daily_items,0))),NA(),INDEX(big_daily_table,MATCH(DATE(O$5,$J90,$I90),daily_dates,0),MATCH($B$3,daily_items,0)))</f>
        <v>#N/A</v>
      </c>
      <c r="P90" s="1" t="str">
        <f t="array" ref="P90">IF(ISBLANK(INDEX(big_daily_table,MATCH(DATE(P$5,$J90,$I90),daily_dates,0),MATCH($B$3,daily_items,0))),NA(),INDEX(big_daily_table,MATCH(DATE(P$5,$J90,$I90),daily_dates,0),MATCH($B$3,daily_items,0)))</f>
        <v>#N/A</v>
      </c>
      <c r="Q90" s="1" t="str">
        <f t="array" ref="Q90">IF(ISBLANK(INDEX(big_daily_table,MATCH(DATE(Q$5,$J90,$I90),daily_dates,0),MATCH($B$3,daily_items,0))),NA(),INDEX(big_daily_table,MATCH(DATE(Q$5,$J90,$I90),daily_dates,0),MATCH($B$3,daily_items,0)))</f>
        <v>#N/A</v>
      </c>
      <c r="R90" s="1" t="str">
        <f t="array" ref="R90">IF(ISBLANK(INDEX(big_daily_table,MATCH(DATE(R$5,$J90,$I90),daily_dates,0),MATCH($B$3,daily_items,0))),NA(),INDEX(big_daily_table,MATCH(DATE(R$5,$J90,$I90),daily_dates,0),MATCH($B$3,daily_items,0)))</f>
        <v>#N/A</v>
      </c>
      <c r="S90" s="1" t="str">
        <f t="array" ref="S90">IF(ISBLANK(INDEX(big_daily_table,MATCH(DATE(S$5,$J90,$I90),daily_dates,0),MATCH($B$3,daily_items,0))),NA(),INDEX(big_daily_table,MATCH(DATE(S$5,$J90,$I90),daily_dates,0),MATCH($B$3,daily_items,0)))</f>
        <v>#N/A</v>
      </c>
      <c r="T90" s="1" t="str">
        <f t="array" ref="T90">IF(ISBLANK(INDEX(big_daily_table,MATCH(DATE(T$5,$J90,$I90),daily_dates,0),MATCH($B$3,daily_items,0))),NA(),INDEX(big_daily_table,MATCH(DATE(T$5,$J90,$I90),daily_dates,0),MATCH($B$3,daily_items,0)))</f>
        <v>#N/A</v>
      </c>
      <c r="U90" s="1" t="str">
        <f t="array" ref="U90">IF(ISBLANK(INDEX(big_daily_table,MATCH(DATE(U$5,$J90,$I90),daily_dates,0),MATCH($B$3,daily_items,0))),NA(),INDEX(big_daily_table,MATCH(DATE(U$5,$J90,$I90),daily_dates,0),MATCH($B$3,daily_items,0)))</f>
        <v>#N/A</v>
      </c>
      <c r="V90" s="1" t="str">
        <f t="array" ref="V90">IF(ISBLANK(INDEX(big_daily_table,MATCH(DATE(V$5,$J90,$I90),daily_dates,0),MATCH($B$3,daily_items,0))),NA(),INDEX(big_daily_table,MATCH(DATE(V$5,$J90,$I90),daily_dates,0),MATCH($B$3,daily_items,0)))</f>
        <v>#N/A</v>
      </c>
      <c r="W90" s="1" t="str">
        <f t="array" ref="W90">IF(ISBLANK(INDEX(big_daily_table,MATCH(DATE(W$5,$J90,$I90),daily_dates,0),MATCH($B$3,daily_items,0))),NA(),INDEX(big_daily_table,MATCH(DATE(W$5,$J90,$I90),daily_dates,0),MATCH($B$3,daily_items,0)))</f>
        <v>#N/A</v>
      </c>
      <c r="X90" s="1" t="str">
        <f t="array" ref="X90">IF(ISBLANK(INDEX(big_daily_table,MATCH(DATE(X$5,$J90,$I90),daily_dates,0),MATCH($B$3,daily_items,0))),NA(),INDEX(big_daily_table,MATCH(DATE(X$5,$J90,$I90),daily_dates,0),MATCH($B$3,daily_items,0)))</f>
        <v>#N/A</v>
      </c>
      <c r="Y90" s="1" t="str">
        <f t="array" ref="Y90">IF(ISBLANK(INDEX(big_daily_table,MATCH(DATE(Y$5,$J90,$I90),daily_dates,0),MATCH($B$3,daily_items,0))),NA(),INDEX(big_daily_table,MATCH(DATE(Y$5,$J90,$I90),daily_dates,0),MATCH($B$3,daily_items,0)))</f>
        <v>#N/A</v>
      </c>
      <c r="Z90" s="1" t="str">
        <f t="shared" si="5"/>
        <v>#NAME?</v>
      </c>
      <c r="AA90" s="1" t="str">
        <f t="shared" si="6"/>
        <v>#NAME?</v>
      </c>
      <c r="AB90" s="1" t="str">
        <f t="shared" si="7"/>
        <v>#NAME?</v>
      </c>
      <c r="AC90" s="1" t="str">
        <f t="shared" si="8"/>
        <v>#NAME?</v>
      </c>
    </row>
    <row r="91" ht="14.25" customHeight="1">
      <c r="H91" s="1">
        <f t="shared" si="9"/>
        <v>86</v>
      </c>
      <c r="I91" s="1">
        <f t="shared" si="2"/>
        <v>26</v>
      </c>
      <c r="J91" s="1">
        <f t="shared" si="3"/>
        <v>3</v>
      </c>
      <c r="K91" s="23">
        <f t="shared" si="10"/>
        <v>36611</v>
      </c>
      <c r="L91" s="24">
        <f t="shared" si="4"/>
        <v>-1000000</v>
      </c>
      <c r="M91" s="1" t="str">
        <f t="array" ref="M91">IF(K91&gt;0,INDEX(big_daily_table,MATCH(DATE(N$5,$J91,$I91),daily_dates,0),MATCH($B$3,daily_items,0)),NA())</f>
        <v>#N/A</v>
      </c>
      <c r="N91" s="1" t="str">
        <f t="array" ref="N91">IF(L91&lt;0,INDEX(big_daily_table,MATCH(DATE(N$5,$J91,$I91),daily_dates,0),MATCH($B$3,daily_items,0)),NA())</f>
        <v>#N/A</v>
      </c>
      <c r="O91" s="1" t="str">
        <f t="array" ref="O91">IF(ISBLANK(INDEX(big_daily_table,MATCH(DATE(O$5,$J91,$I91),daily_dates,0),MATCH($B$3,daily_items,0))),NA(),INDEX(big_daily_table,MATCH(DATE(O$5,$J91,$I91),daily_dates,0),MATCH($B$3,daily_items,0)))</f>
        <v>#N/A</v>
      </c>
      <c r="P91" s="1" t="str">
        <f t="array" ref="P91">IF(ISBLANK(INDEX(big_daily_table,MATCH(DATE(P$5,$J91,$I91),daily_dates,0),MATCH($B$3,daily_items,0))),NA(),INDEX(big_daily_table,MATCH(DATE(P$5,$J91,$I91),daily_dates,0),MATCH($B$3,daily_items,0)))</f>
        <v>#N/A</v>
      </c>
      <c r="Q91" s="1" t="str">
        <f t="array" ref="Q91">IF(ISBLANK(INDEX(big_daily_table,MATCH(DATE(Q$5,$J91,$I91),daily_dates,0),MATCH($B$3,daily_items,0))),NA(),INDEX(big_daily_table,MATCH(DATE(Q$5,$J91,$I91),daily_dates,0),MATCH($B$3,daily_items,0)))</f>
        <v>#N/A</v>
      </c>
      <c r="R91" s="1" t="str">
        <f t="array" ref="R91">IF(ISBLANK(INDEX(big_daily_table,MATCH(DATE(R$5,$J91,$I91),daily_dates,0),MATCH($B$3,daily_items,0))),NA(),INDEX(big_daily_table,MATCH(DATE(R$5,$J91,$I91),daily_dates,0),MATCH($B$3,daily_items,0)))</f>
        <v>#N/A</v>
      </c>
      <c r="S91" s="1" t="str">
        <f t="array" ref="S91">IF(ISBLANK(INDEX(big_daily_table,MATCH(DATE(S$5,$J91,$I91),daily_dates,0),MATCH($B$3,daily_items,0))),NA(),INDEX(big_daily_table,MATCH(DATE(S$5,$J91,$I91),daily_dates,0),MATCH($B$3,daily_items,0)))</f>
        <v>#N/A</v>
      </c>
      <c r="T91" s="1" t="str">
        <f t="array" ref="T91">IF(ISBLANK(INDEX(big_daily_table,MATCH(DATE(T$5,$J91,$I91),daily_dates,0),MATCH($B$3,daily_items,0))),NA(),INDEX(big_daily_table,MATCH(DATE(T$5,$J91,$I91),daily_dates,0),MATCH($B$3,daily_items,0)))</f>
        <v>#N/A</v>
      </c>
      <c r="U91" s="1" t="str">
        <f t="array" ref="U91">IF(ISBLANK(INDEX(big_daily_table,MATCH(DATE(U$5,$J91,$I91),daily_dates,0),MATCH($B$3,daily_items,0))),NA(),INDEX(big_daily_table,MATCH(DATE(U$5,$J91,$I91),daily_dates,0),MATCH($B$3,daily_items,0)))</f>
        <v>#N/A</v>
      </c>
      <c r="V91" s="1" t="str">
        <f t="array" ref="V91">IF(ISBLANK(INDEX(big_daily_table,MATCH(DATE(V$5,$J91,$I91),daily_dates,0),MATCH($B$3,daily_items,0))),NA(),INDEX(big_daily_table,MATCH(DATE(V$5,$J91,$I91),daily_dates,0),MATCH($B$3,daily_items,0)))</f>
        <v>#N/A</v>
      </c>
      <c r="W91" s="1" t="str">
        <f t="array" ref="W91">IF(ISBLANK(INDEX(big_daily_table,MATCH(DATE(W$5,$J91,$I91),daily_dates,0),MATCH($B$3,daily_items,0))),NA(),INDEX(big_daily_table,MATCH(DATE(W$5,$J91,$I91),daily_dates,0),MATCH($B$3,daily_items,0)))</f>
        <v>#N/A</v>
      </c>
      <c r="X91" s="1" t="str">
        <f t="array" ref="X91">IF(ISBLANK(INDEX(big_daily_table,MATCH(DATE(X$5,$J91,$I91),daily_dates,0),MATCH($B$3,daily_items,0))),NA(),INDEX(big_daily_table,MATCH(DATE(X$5,$J91,$I91),daily_dates,0),MATCH($B$3,daily_items,0)))</f>
        <v>#N/A</v>
      </c>
      <c r="Y91" s="1" t="str">
        <f t="array" ref="Y91">IF(ISBLANK(INDEX(big_daily_table,MATCH(DATE(Y$5,$J91,$I91),daily_dates,0),MATCH($B$3,daily_items,0))),NA(),INDEX(big_daily_table,MATCH(DATE(Y$5,$J91,$I91),daily_dates,0),MATCH($B$3,daily_items,0)))</f>
        <v>#N/A</v>
      </c>
      <c r="Z91" s="1" t="str">
        <f t="shared" si="5"/>
        <v>#NAME?</v>
      </c>
      <c r="AA91" s="1" t="str">
        <f t="shared" si="6"/>
        <v>#NAME?</v>
      </c>
      <c r="AB91" s="1" t="str">
        <f t="shared" si="7"/>
        <v>#NAME?</v>
      </c>
      <c r="AC91" s="1" t="str">
        <f t="shared" si="8"/>
        <v>#NAME?</v>
      </c>
    </row>
    <row r="92" ht="14.25" customHeight="1">
      <c r="H92" s="1">
        <f t="shared" si="9"/>
        <v>87</v>
      </c>
      <c r="I92" s="1">
        <f t="shared" si="2"/>
        <v>27</v>
      </c>
      <c r="J92" s="1">
        <f t="shared" si="3"/>
        <v>3</v>
      </c>
      <c r="K92" s="23">
        <f t="shared" si="10"/>
        <v>36612</v>
      </c>
      <c r="L92" s="24">
        <f t="shared" si="4"/>
        <v>-1000000</v>
      </c>
      <c r="M92" s="1" t="str">
        <f t="array" ref="M92">IF(K92&gt;0,INDEX(big_daily_table,MATCH(DATE(N$5,$J92,$I92),daily_dates,0),MATCH($B$3,daily_items,0)),NA())</f>
        <v>#N/A</v>
      </c>
      <c r="N92" s="1" t="str">
        <f t="array" ref="N92">IF(L92&lt;0,INDEX(big_daily_table,MATCH(DATE(N$5,$J92,$I92),daily_dates,0),MATCH($B$3,daily_items,0)),NA())</f>
        <v>#N/A</v>
      </c>
      <c r="O92" s="1" t="str">
        <f t="array" ref="O92">IF(ISBLANK(INDEX(big_daily_table,MATCH(DATE(O$5,$J92,$I92),daily_dates,0),MATCH($B$3,daily_items,0))),NA(),INDEX(big_daily_table,MATCH(DATE(O$5,$J92,$I92),daily_dates,0),MATCH($B$3,daily_items,0)))</f>
        <v>#N/A</v>
      </c>
      <c r="P92" s="1" t="str">
        <f t="array" ref="P92">IF(ISBLANK(INDEX(big_daily_table,MATCH(DATE(P$5,$J92,$I92),daily_dates,0),MATCH($B$3,daily_items,0))),NA(),INDEX(big_daily_table,MATCH(DATE(P$5,$J92,$I92),daily_dates,0),MATCH($B$3,daily_items,0)))</f>
        <v>#N/A</v>
      </c>
      <c r="Q92" s="1" t="str">
        <f t="array" ref="Q92">IF(ISBLANK(INDEX(big_daily_table,MATCH(DATE(Q$5,$J92,$I92),daily_dates,0),MATCH($B$3,daily_items,0))),NA(),INDEX(big_daily_table,MATCH(DATE(Q$5,$J92,$I92),daily_dates,0),MATCH($B$3,daily_items,0)))</f>
        <v>#N/A</v>
      </c>
      <c r="R92" s="1" t="str">
        <f t="array" ref="R92">IF(ISBLANK(INDEX(big_daily_table,MATCH(DATE(R$5,$J92,$I92),daily_dates,0),MATCH($B$3,daily_items,0))),NA(),INDEX(big_daily_table,MATCH(DATE(R$5,$J92,$I92),daily_dates,0),MATCH($B$3,daily_items,0)))</f>
        <v>#N/A</v>
      </c>
      <c r="S92" s="1" t="str">
        <f t="array" ref="S92">IF(ISBLANK(INDEX(big_daily_table,MATCH(DATE(S$5,$J92,$I92),daily_dates,0),MATCH($B$3,daily_items,0))),NA(),INDEX(big_daily_table,MATCH(DATE(S$5,$J92,$I92),daily_dates,0),MATCH($B$3,daily_items,0)))</f>
        <v>#N/A</v>
      </c>
      <c r="T92" s="1" t="str">
        <f t="array" ref="T92">IF(ISBLANK(INDEX(big_daily_table,MATCH(DATE(T$5,$J92,$I92),daily_dates,0),MATCH($B$3,daily_items,0))),NA(),INDEX(big_daily_table,MATCH(DATE(T$5,$J92,$I92),daily_dates,0),MATCH($B$3,daily_items,0)))</f>
        <v>#N/A</v>
      </c>
      <c r="U92" s="1" t="str">
        <f t="array" ref="U92">IF(ISBLANK(INDEX(big_daily_table,MATCH(DATE(U$5,$J92,$I92),daily_dates,0),MATCH($B$3,daily_items,0))),NA(),INDEX(big_daily_table,MATCH(DATE(U$5,$J92,$I92),daily_dates,0),MATCH($B$3,daily_items,0)))</f>
        <v>#N/A</v>
      </c>
      <c r="V92" s="1" t="str">
        <f t="array" ref="V92">IF(ISBLANK(INDEX(big_daily_table,MATCH(DATE(V$5,$J92,$I92),daily_dates,0),MATCH($B$3,daily_items,0))),NA(),INDEX(big_daily_table,MATCH(DATE(V$5,$J92,$I92),daily_dates,0),MATCH($B$3,daily_items,0)))</f>
        <v>#N/A</v>
      </c>
      <c r="W92" s="1" t="str">
        <f t="array" ref="W92">IF(ISBLANK(INDEX(big_daily_table,MATCH(DATE(W$5,$J92,$I92),daily_dates,0),MATCH($B$3,daily_items,0))),NA(),INDEX(big_daily_table,MATCH(DATE(W$5,$J92,$I92),daily_dates,0),MATCH($B$3,daily_items,0)))</f>
        <v>#N/A</v>
      </c>
      <c r="X92" s="1" t="str">
        <f t="array" ref="X92">IF(ISBLANK(INDEX(big_daily_table,MATCH(DATE(X$5,$J92,$I92),daily_dates,0),MATCH($B$3,daily_items,0))),NA(),INDEX(big_daily_table,MATCH(DATE(X$5,$J92,$I92),daily_dates,0),MATCH($B$3,daily_items,0)))</f>
        <v>#N/A</v>
      </c>
      <c r="Y92" s="1" t="str">
        <f t="array" ref="Y92">IF(ISBLANK(INDEX(big_daily_table,MATCH(DATE(Y$5,$J92,$I92),daily_dates,0),MATCH($B$3,daily_items,0))),NA(),INDEX(big_daily_table,MATCH(DATE(Y$5,$J92,$I92),daily_dates,0),MATCH($B$3,daily_items,0)))</f>
        <v>#N/A</v>
      </c>
      <c r="Z92" s="1" t="str">
        <f t="shared" si="5"/>
        <v>#NAME?</v>
      </c>
      <c r="AA92" s="1" t="str">
        <f t="shared" si="6"/>
        <v>#NAME?</v>
      </c>
      <c r="AB92" s="1" t="str">
        <f t="shared" si="7"/>
        <v>#NAME?</v>
      </c>
      <c r="AC92" s="1" t="str">
        <f t="shared" si="8"/>
        <v>#NAME?</v>
      </c>
    </row>
    <row r="93" ht="14.25" customHeight="1">
      <c r="H93" s="1">
        <f t="shared" si="9"/>
        <v>88</v>
      </c>
      <c r="I93" s="1">
        <f t="shared" si="2"/>
        <v>28</v>
      </c>
      <c r="J93" s="1">
        <f t="shared" si="3"/>
        <v>3</v>
      </c>
      <c r="K93" s="23">
        <f t="shared" si="10"/>
        <v>36613</v>
      </c>
      <c r="L93" s="24">
        <f t="shared" si="4"/>
        <v>-1000000</v>
      </c>
      <c r="M93" s="1" t="str">
        <f t="array" ref="M93">IF(K93&gt;0,INDEX(big_daily_table,MATCH(DATE(N$5,$J93,$I93),daily_dates,0),MATCH($B$3,daily_items,0)),NA())</f>
        <v>#N/A</v>
      </c>
      <c r="N93" s="1" t="str">
        <f t="array" ref="N93">IF(L93&lt;0,INDEX(big_daily_table,MATCH(DATE(N$5,$J93,$I93),daily_dates,0),MATCH($B$3,daily_items,0)),NA())</f>
        <v>#N/A</v>
      </c>
      <c r="O93" s="1" t="str">
        <f t="array" ref="O93">IF(ISBLANK(INDEX(big_daily_table,MATCH(DATE(O$5,$J93,$I93),daily_dates,0),MATCH($B$3,daily_items,0))),NA(),INDEX(big_daily_table,MATCH(DATE(O$5,$J93,$I93),daily_dates,0),MATCH($B$3,daily_items,0)))</f>
        <v>#N/A</v>
      </c>
      <c r="P93" s="1" t="str">
        <f t="array" ref="P93">IF(ISBLANK(INDEX(big_daily_table,MATCH(DATE(P$5,$J93,$I93),daily_dates,0),MATCH($B$3,daily_items,0))),NA(),INDEX(big_daily_table,MATCH(DATE(P$5,$J93,$I93),daily_dates,0),MATCH($B$3,daily_items,0)))</f>
        <v>#N/A</v>
      </c>
      <c r="Q93" s="1" t="str">
        <f t="array" ref="Q93">IF(ISBLANK(INDEX(big_daily_table,MATCH(DATE(Q$5,$J93,$I93),daily_dates,0),MATCH($B$3,daily_items,0))),NA(),INDEX(big_daily_table,MATCH(DATE(Q$5,$J93,$I93),daily_dates,0),MATCH($B$3,daily_items,0)))</f>
        <v>#N/A</v>
      </c>
      <c r="R93" s="1" t="str">
        <f t="array" ref="R93">IF(ISBLANK(INDEX(big_daily_table,MATCH(DATE(R$5,$J93,$I93),daily_dates,0),MATCH($B$3,daily_items,0))),NA(),INDEX(big_daily_table,MATCH(DATE(R$5,$J93,$I93),daily_dates,0),MATCH($B$3,daily_items,0)))</f>
        <v>#N/A</v>
      </c>
      <c r="S93" s="1" t="str">
        <f t="array" ref="S93">IF(ISBLANK(INDEX(big_daily_table,MATCH(DATE(S$5,$J93,$I93),daily_dates,0),MATCH($B$3,daily_items,0))),NA(),INDEX(big_daily_table,MATCH(DATE(S$5,$J93,$I93),daily_dates,0),MATCH($B$3,daily_items,0)))</f>
        <v>#N/A</v>
      </c>
      <c r="T93" s="1" t="str">
        <f t="array" ref="T93">IF(ISBLANK(INDEX(big_daily_table,MATCH(DATE(T$5,$J93,$I93),daily_dates,0),MATCH($B$3,daily_items,0))),NA(),INDEX(big_daily_table,MATCH(DATE(T$5,$J93,$I93),daily_dates,0),MATCH($B$3,daily_items,0)))</f>
        <v>#N/A</v>
      </c>
      <c r="U93" s="1" t="str">
        <f t="array" ref="U93">IF(ISBLANK(INDEX(big_daily_table,MATCH(DATE(U$5,$J93,$I93),daily_dates,0),MATCH($B$3,daily_items,0))),NA(),INDEX(big_daily_table,MATCH(DATE(U$5,$J93,$I93),daily_dates,0),MATCH($B$3,daily_items,0)))</f>
        <v>#N/A</v>
      </c>
      <c r="V93" s="1" t="str">
        <f t="array" ref="V93">IF(ISBLANK(INDEX(big_daily_table,MATCH(DATE(V$5,$J93,$I93),daily_dates,0),MATCH($B$3,daily_items,0))),NA(),INDEX(big_daily_table,MATCH(DATE(V$5,$J93,$I93),daily_dates,0),MATCH($B$3,daily_items,0)))</f>
        <v>#N/A</v>
      </c>
      <c r="W93" s="1" t="str">
        <f t="array" ref="W93">IF(ISBLANK(INDEX(big_daily_table,MATCH(DATE(W$5,$J93,$I93),daily_dates,0),MATCH($B$3,daily_items,0))),NA(),INDEX(big_daily_table,MATCH(DATE(W$5,$J93,$I93),daily_dates,0),MATCH($B$3,daily_items,0)))</f>
        <v>#N/A</v>
      </c>
      <c r="X93" s="1" t="str">
        <f t="array" ref="X93">IF(ISBLANK(INDEX(big_daily_table,MATCH(DATE(X$5,$J93,$I93),daily_dates,0),MATCH($B$3,daily_items,0))),NA(),INDEX(big_daily_table,MATCH(DATE(X$5,$J93,$I93),daily_dates,0),MATCH($B$3,daily_items,0)))</f>
        <v>#N/A</v>
      </c>
      <c r="Y93" s="1" t="str">
        <f t="array" ref="Y93">IF(ISBLANK(INDEX(big_daily_table,MATCH(DATE(Y$5,$J93,$I93),daily_dates,0),MATCH($B$3,daily_items,0))),NA(),INDEX(big_daily_table,MATCH(DATE(Y$5,$J93,$I93),daily_dates,0),MATCH($B$3,daily_items,0)))</f>
        <v>#N/A</v>
      </c>
      <c r="Z93" s="1" t="str">
        <f t="shared" si="5"/>
        <v>#NAME?</v>
      </c>
      <c r="AA93" s="1" t="str">
        <f t="shared" si="6"/>
        <v>#NAME?</v>
      </c>
      <c r="AB93" s="1" t="str">
        <f t="shared" si="7"/>
        <v>#NAME?</v>
      </c>
      <c r="AC93" s="1" t="str">
        <f t="shared" si="8"/>
        <v>#NAME?</v>
      </c>
    </row>
    <row r="94" ht="14.25" customHeight="1">
      <c r="H94" s="1">
        <f t="shared" si="9"/>
        <v>89</v>
      </c>
      <c r="I94" s="1">
        <f t="shared" si="2"/>
        <v>29</v>
      </c>
      <c r="J94" s="1">
        <f t="shared" si="3"/>
        <v>3</v>
      </c>
      <c r="K94" s="23">
        <f t="shared" si="10"/>
        <v>36614</v>
      </c>
      <c r="L94" s="24">
        <f t="shared" si="4"/>
        <v>-1000000</v>
      </c>
      <c r="M94" s="1" t="str">
        <f t="array" ref="M94">IF(K94&gt;0,INDEX(big_daily_table,MATCH(DATE(N$5,$J94,$I94),daily_dates,0),MATCH($B$3,daily_items,0)),NA())</f>
        <v>#N/A</v>
      </c>
      <c r="N94" s="1" t="str">
        <f t="array" ref="N94">IF(L94&lt;0,INDEX(big_daily_table,MATCH(DATE(N$5,$J94,$I94),daily_dates,0),MATCH($B$3,daily_items,0)),NA())</f>
        <v>#N/A</v>
      </c>
      <c r="O94" s="1" t="str">
        <f t="array" ref="O94">IF(ISBLANK(INDEX(big_daily_table,MATCH(DATE(O$5,$J94,$I94),daily_dates,0),MATCH($B$3,daily_items,0))),NA(),INDEX(big_daily_table,MATCH(DATE(O$5,$J94,$I94),daily_dates,0),MATCH($B$3,daily_items,0)))</f>
        <v>#N/A</v>
      </c>
      <c r="P94" s="1" t="str">
        <f t="array" ref="P94">IF(ISBLANK(INDEX(big_daily_table,MATCH(DATE(P$5,$J94,$I94),daily_dates,0),MATCH($B$3,daily_items,0))),NA(),INDEX(big_daily_table,MATCH(DATE(P$5,$J94,$I94),daily_dates,0),MATCH($B$3,daily_items,0)))</f>
        <v>#N/A</v>
      </c>
      <c r="Q94" s="1" t="str">
        <f t="array" ref="Q94">IF(ISBLANK(INDEX(big_daily_table,MATCH(DATE(Q$5,$J94,$I94),daily_dates,0),MATCH($B$3,daily_items,0))),NA(),INDEX(big_daily_table,MATCH(DATE(Q$5,$J94,$I94),daily_dates,0),MATCH($B$3,daily_items,0)))</f>
        <v>#N/A</v>
      </c>
      <c r="R94" s="1" t="str">
        <f t="array" ref="R94">IF(ISBLANK(INDEX(big_daily_table,MATCH(DATE(R$5,$J94,$I94),daily_dates,0),MATCH($B$3,daily_items,0))),NA(),INDEX(big_daily_table,MATCH(DATE(R$5,$J94,$I94),daily_dates,0),MATCH($B$3,daily_items,0)))</f>
        <v>#N/A</v>
      </c>
      <c r="S94" s="1" t="str">
        <f t="array" ref="S94">IF(ISBLANK(INDEX(big_daily_table,MATCH(DATE(S$5,$J94,$I94),daily_dates,0),MATCH($B$3,daily_items,0))),NA(),INDEX(big_daily_table,MATCH(DATE(S$5,$J94,$I94),daily_dates,0),MATCH($B$3,daily_items,0)))</f>
        <v>#N/A</v>
      </c>
      <c r="T94" s="1" t="str">
        <f t="array" ref="T94">IF(ISBLANK(INDEX(big_daily_table,MATCH(DATE(T$5,$J94,$I94),daily_dates,0),MATCH($B$3,daily_items,0))),NA(),INDEX(big_daily_table,MATCH(DATE(T$5,$J94,$I94),daily_dates,0),MATCH($B$3,daily_items,0)))</f>
        <v>#N/A</v>
      </c>
      <c r="U94" s="1" t="str">
        <f t="array" ref="U94">IF(ISBLANK(INDEX(big_daily_table,MATCH(DATE(U$5,$J94,$I94),daily_dates,0),MATCH($B$3,daily_items,0))),NA(),INDEX(big_daily_table,MATCH(DATE(U$5,$J94,$I94),daily_dates,0),MATCH($B$3,daily_items,0)))</f>
        <v>#N/A</v>
      </c>
      <c r="V94" s="1" t="str">
        <f t="array" ref="V94">IF(ISBLANK(INDEX(big_daily_table,MATCH(DATE(V$5,$J94,$I94),daily_dates,0),MATCH($B$3,daily_items,0))),NA(),INDEX(big_daily_table,MATCH(DATE(V$5,$J94,$I94),daily_dates,0),MATCH($B$3,daily_items,0)))</f>
        <v>#N/A</v>
      </c>
      <c r="W94" s="1" t="str">
        <f t="array" ref="W94">IF(ISBLANK(INDEX(big_daily_table,MATCH(DATE(W$5,$J94,$I94),daily_dates,0),MATCH($B$3,daily_items,0))),NA(),INDEX(big_daily_table,MATCH(DATE(W$5,$J94,$I94),daily_dates,0),MATCH($B$3,daily_items,0)))</f>
        <v>#N/A</v>
      </c>
      <c r="X94" s="1" t="str">
        <f t="array" ref="X94">IF(ISBLANK(INDEX(big_daily_table,MATCH(DATE(X$5,$J94,$I94),daily_dates,0),MATCH($B$3,daily_items,0))),NA(),INDEX(big_daily_table,MATCH(DATE(X$5,$J94,$I94),daily_dates,0),MATCH($B$3,daily_items,0)))</f>
        <v>#N/A</v>
      </c>
      <c r="Y94" s="1" t="str">
        <f t="array" ref="Y94">IF(ISBLANK(INDEX(big_daily_table,MATCH(DATE(Y$5,$J94,$I94),daily_dates,0),MATCH($B$3,daily_items,0))),NA(),INDEX(big_daily_table,MATCH(DATE(Y$5,$J94,$I94),daily_dates,0),MATCH($B$3,daily_items,0)))</f>
        <v>#N/A</v>
      </c>
      <c r="Z94" s="1" t="str">
        <f t="shared" si="5"/>
        <v>#NAME?</v>
      </c>
      <c r="AA94" s="1" t="str">
        <f t="shared" si="6"/>
        <v>#NAME?</v>
      </c>
      <c r="AB94" s="1" t="str">
        <f t="shared" si="7"/>
        <v>#NAME?</v>
      </c>
      <c r="AC94" s="1" t="str">
        <f t="shared" si="8"/>
        <v>#NAME?</v>
      </c>
    </row>
    <row r="95" ht="14.25" customHeight="1">
      <c r="H95" s="1">
        <f t="shared" si="9"/>
        <v>90</v>
      </c>
      <c r="I95" s="1">
        <f t="shared" si="2"/>
        <v>30</v>
      </c>
      <c r="J95" s="1">
        <f t="shared" si="3"/>
        <v>3</v>
      </c>
      <c r="K95" s="23">
        <f t="shared" si="10"/>
        <v>36615</v>
      </c>
      <c r="L95" s="24">
        <f t="shared" si="4"/>
        <v>-1000000</v>
      </c>
      <c r="M95" s="1" t="str">
        <f t="array" ref="M95">IF(K95&gt;0,INDEX(big_daily_table,MATCH(DATE(N$5,$J95,$I95),daily_dates,0),MATCH($B$3,daily_items,0)),NA())</f>
        <v>#N/A</v>
      </c>
      <c r="N95" s="1" t="str">
        <f t="array" ref="N95">IF(L95&lt;0,INDEX(big_daily_table,MATCH(DATE(N$5,$J95,$I95),daily_dates,0),MATCH($B$3,daily_items,0)),NA())</f>
        <v>#N/A</v>
      </c>
      <c r="O95" s="1" t="str">
        <f t="array" ref="O95">IF(ISBLANK(INDEX(big_daily_table,MATCH(DATE(O$5,$J95,$I95),daily_dates,0),MATCH($B$3,daily_items,0))),NA(),INDEX(big_daily_table,MATCH(DATE(O$5,$J95,$I95),daily_dates,0),MATCH($B$3,daily_items,0)))</f>
        <v>#N/A</v>
      </c>
      <c r="P95" s="1" t="str">
        <f t="array" ref="P95">IF(ISBLANK(INDEX(big_daily_table,MATCH(DATE(P$5,$J95,$I95),daily_dates,0),MATCH($B$3,daily_items,0))),NA(),INDEX(big_daily_table,MATCH(DATE(P$5,$J95,$I95),daily_dates,0),MATCH($B$3,daily_items,0)))</f>
        <v>#N/A</v>
      </c>
      <c r="Q95" s="1" t="str">
        <f t="array" ref="Q95">IF(ISBLANK(INDEX(big_daily_table,MATCH(DATE(Q$5,$J95,$I95),daily_dates,0),MATCH($B$3,daily_items,0))),NA(),INDEX(big_daily_table,MATCH(DATE(Q$5,$J95,$I95),daily_dates,0),MATCH($B$3,daily_items,0)))</f>
        <v>#N/A</v>
      </c>
      <c r="R95" s="1" t="str">
        <f t="array" ref="R95">IF(ISBLANK(INDEX(big_daily_table,MATCH(DATE(R$5,$J95,$I95),daily_dates,0),MATCH($B$3,daily_items,0))),NA(),INDEX(big_daily_table,MATCH(DATE(R$5,$J95,$I95),daily_dates,0),MATCH($B$3,daily_items,0)))</f>
        <v>#N/A</v>
      </c>
      <c r="S95" s="1" t="str">
        <f t="array" ref="S95">IF(ISBLANK(INDEX(big_daily_table,MATCH(DATE(S$5,$J95,$I95),daily_dates,0),MATCH($B$3,daily_items,0))),NA(),INDEX(big_daily_table,MATCH(DATE(S$5,$J95,$I95),daily_dates,0),MATCH($B$3,daily_items,0)))</f>
        <v>#N/A</v>
      </c>
      <c r="T95" s="1" t="str">
        <f t="array" ref="T95">IF(ISBLANK(INDEX(big_daily_table,MATCH(DATE(T$5,$J95,$I95),daily_dates,0),MATCH($B$3,daily_items,0))),NA(),INDEX(big_daily_table,MATCH(DATE(T$5,$J95,$I95),daily_dates,0),MATCH($B$3,daily_items,0)))</f>
        <v>#N/A</v>
      </c>
      <c r="U95" s="1" t="str">
        <f t="array" ref="U95">IF(ISBLANK(INDEX(big_daily_table,MATCH(DATE(U$5,$J95,$I95),daily_dates,0),MATCH($B$3,daily_items,0))),NA(),INDEX(big_daily_table,MATCH(DATE(U$5,$J95,$I95),daily_dates,0),MATCH($B$3,daily_items,0)))</f>
        <v>#N/A</v>
      </c>
      <c r="V95" s="1" t="str">
        <f t="array" ref="V95">IF(ISBLANK(INDEX(big_daily_table,MATCH(DATE(V$5,$J95,$I95),daily_dates,0),MATCH($B$3,daily_items,0))),NA(),INDEX(big_daily_table,MATCH(DATE(V$5,$J95,$I95),daily_dates,0),MATCH($B$3,daily_items,0)))</f>
        <v>#N/A</v>
      </c>
      <c r="W95" s="1" t="str">
        <f t="array" ref="W95">IF(ISBLANK(INDEX(big_daily_table,MATCH(DATE(W$5,$J95,$I95),daily_dates,0),MATCH($B$3,daily_items,0))),NA(),INDEX(big_daily_table,MATCH(DATE(W$5,$J95,$I95),daily_dates,0),MATCH($B$3,daily_items,0)))</f>
        <v>#N/A</v>
      </c>
      <c r="X95" s="1" t="str">
        <f t="array" ref="X95">IF(ISBLANK(INDEX(big_daily_table,MATCH(DATE(X$5,$J95,$I95),daily_dates,0),MATCH($B$3,daily_items,0))),NA(),INDEX(big_daily_table,MATCH(DATE(X$5,$J95,$I95),daily_dates,0),MATCH($B$3,daily_items,0)))</f>
        <v>#N/A</v>
      </c>
      <c r="Y95" s="1" t="str">
        <f t="array" ref="Y95">IF(ISBLANK(INDEX(big_daily_table,MATCH(DATE(Y$5,$J95,$I95),daily_dates,0),MATCH($B$3,daily_items,0))),NA(),INDEX(big_daily_table,MATCH(DATE(Y$5,$J95,$I95),daily_dates,0),MATCH($B$3,daily_items,0)))</f>
        <v>#N/A</v>
      </c>
      <c r="Z95" s="1" t="str">
        <f t="shared" si="5"/>
        <v>#NAME?</v>
      </c>
      <c r="AA95" s="1" t="str">
        <f t="shared" si="6"/>
        <v>#NAME?</v>
      </c>
      <c r="AB95" s="1" t="str">
        <f t="shared" si="7"/>
        <v>#NAME?</v>
      </c>
      <c r="AC95" s="1" t="str">
        <f t="shared" si="8"/>
        <v>#NAME?</v>
      </c>
    </row>
    <row r="96" ht="14.25" customHeight="1">
      <c r="H96" s="1">
        <f t="shared" si="9"/>
        <v>91</v>
      </c>
      <c r="I96" s="1">
        <f t="shared" si="2"/>
        <v>31</v>
      </c>
      <c r="J96" s="1">
        <f t="shared" si="3"/>
        <v>3</v>
      </c>
      <c r="K96" s="23">
        <f t="shared" si="10"/>
        <v>36616</v>
      </c>
      <c r="L96" s="24">
        <f t="shared" si="4"/>
        <v>-1000000</v>
      </c>
      <c r="M96" s="1" t="str">
        <f t="array" ref="M96">IF(K96&gt;0,INDEX(big_daily_table,MATCH(DATE(N$5,$J96,$I96),daily_dates,0),MATCH($B$3,daily_items,0)),NA())</f>
        <v>#N/A</v>
      </c>
      <c r="N96" s="1" t="str">
        <f t="array" ref="N96">IF(L96&lt;0,INDEX(big_daily_table,MATCH(DATE(N$5,$J96,$I96),daily_dates,0),MATCH($B$3,daily_items,0)),NA())</f>
        <v>#N/A</v>
      </c>
      <c r="O96" s="1" t="str">
        <f t="array" ref="O96">IF(ISBLANK(INDEX(big_daily_table,MATCH(DATE(O$5,$J96,$I96),daily_dates,0),MATCH($B$3,daily_items,0))),NA(),INDEX(big_daily_table,MATCH(DATE(O$5,$J96,$I96),daily_dates,0),MATCH($B$3,daily_items,0)))</f>
        <v>#N/A</v>
      </c>
      <c r="P96" s="1" t="str">
        <f t="array" ref="P96">IF(ISBLANK(INDEX(big_daily_table,MATCH(DATE(P$5,$J96,$I96),daily_dates,0),MATCH($B$3,daily_items,0))),NA(),INDEX(big_daily_table,MATCH(DATE(P$5,$J96,$I96),daily_dates,0),MATCH($B$3,daily_items,0)))</f>
        <v>#N/A</v>
      </c>
      <c r="Q96" s="1" t="str">
        <f t="array" ref="Q96">IF(ISBLANK(INDEX(big_daily_table,MATCH(DATE(Q$5,$J96,$I96),daily_dates,0),MATCH($B$3,daily_items,0))),NA(),INDEX(big_daily_table,MATCH(DATE(Q$5,$J96,$I96),daily_dates,0),MATCH($B$3,daily_items,0)))</f>
        <v>#N/A</v>
      </c>
      <c r="R96" s="1" t="str">
        <f t="array" ref="R96">IF(ISBLANK(INDEX(big_daily_table,MATCH(DATE(R$5,$J96,$I96),daily_dates,0),MATCH($B$3,daily_items,0))),NA(),INDEX(big_daily_table,MATCH(DATE(R$5,$J96,$I96),daily_dates,0),MATCH($B$3,daily_items,0)))</f>
        <v>#N/A</v>
      </c>
      <c r="S96" s="1" t="str">
        <f t="array" ref="S96">IF(ISBLANK(INDEX(big_daily_table,MATCH(DATE(S$5,$J96,$I96),daily_dates,0),MATCH($B$3,daily_items,0))),NA(),INDEX(big_daily_table,MATCH(DATE(S$5,$J96,$I96),daily_dates,0),MATCH($B$3,daily_items,0)))</f>
        <v>#N/A</v>
      </c>
      <c r="T96" s="1" t="str">
        <f t="array" ref="T96">IF(ISBLANK(INDEX(big_daily_table,MATCH(DATE(T$5,$J96,$I96),daily_dates,0),MATCH($B$3,daily_items,0))),NA(),INDEX(big_daily_table,MATCH(DATE(T$5,$J96,$I96),daily_dates,0),MATCH($B$3,daily_items,0)))</f>
        <v>#N/A</v>
      </c>
      <c r="U96" s="1" t="str">
        <f t="array" ref="U96">IF(ISBLANK(INDEX(big_daily_table,MATCH(DATE(U$5,$J96,$I96),daily_dates,0),MATCH($B$3,daily_items,0))),NA(),INDEX(big_daily_table,MATCH(DATE(U$5,$J96,$I96),daily_dates,0),MATCH($B$3,daily_items,0)))</f>
        <v>#N/A</v>
      </c>
      <c r="V96" s="1" t="str">
        <f t="array" ref="V96">IF(ISBLANK(INDEX(big_daily_table,MATCH(DATE(V$5,$J96,$I96),daily_dates,0),MATCH($B$3,daily_items,0))),NA(),INDEX(big_daily_table,MATCH(DATE(V$5,$J96,$I96),daily_dates,0),MATCH($B$3,daily_items,0)))</f>
        <v>#N/A</v>
      </c>
      <c r="W96" s="1" t="str">
        <f t="array" ref="W96">IF(ISBLANK(INDEX(big_daily_table,MATCH(DATE(W$5,$J96,$I96),daily_dates,0),MATCH($B$3,daily_items,0))),NA(),INDEX(big_daily_table,MATCH(DATE(W$5,$J96,$I96),daily_dates,0),MATCH($B$3,daily_items,0)))</f>
        <v>#N/A</v>
      </c>
      <c r="X96" s="1" t="str">
        <f t="array" ref="X96">IF(ISBLANK(INDEX(big_daily_table,MATCH(DATE(X$5,$J96,$I96),daily_dates,0),MATCH($B$3,daily_items,0))),NA(),INDEX(big_daily_table,MATCH(DATE(X$5,$J96,$I96),daily_dates,0),MATCH($B$3,daily_items,0)))</f>
        <v>#N/A</v>
      </c>
      <c r="Y96" s="1" t="str">
        <f t="array" ref="Y96">IF(ISBLANK(INDEX(big_daily_table,MATCH(DATE(Y$5,$J96,$I96),daily_dates,0),MATCH($B$3,daily_items,0))),NA(),INDEX(big_daily_table,MATCH(DATE(Y$5,$J96,$I96),daily_dates,0),MATCH($B$3,daily_items,0)))</f>
        <v>#N/A</v>
      </c>
      <c r="Z96" s="1" t="str">
        <f t="shared" si="5"/>
        <v>#NAME?</v>
      </c>
      <c r="AA96" s="1" t="str">
        <f t="shared" si="6"/>
        <v>#NAME?</v>
      </c>
      <c r="AB96" s="1" t="str">
        <f t="shared" si="7"/>
        <v>#NAME?</v>
      </c>
      <c r="AC96" s="1" t="str">
        <f t="shared" si="8"/>
        <v>#NAME?</v>
      </c>
    </row>
    <row r="97" ht="14.25" customHeight="1">
      <c r="H97" s="1">
        <f t="shared" si="9"/>
        <v>92</v>
      </c>
      <c r="I97" s="1">
        <f t="shared" si="2"/>
        <v>1</v>
      </c>
      <c r="J97" s="1">
        <f t="shared" si="3"/>
        <v>4</v>
      </c>
      <c r="K97" s="23">
        <f t="shared" si="10"/>
        <v>36617</v>
      </c>
      <c r="L97" s="24">
        <f t="shared" si="4"/>
        <v>-1000000</v>
      </c>
      <c r="M97" s="1" t="str">
        <f t="array" ref="M97">IF(K97&gt;0,INDEX(big_daily_table,MATCH(DATE(N$5,$J97,$I97),daily_dates,0),MATCH($B$3,daily_items,0)),NA())</f>
        <v>#N/A</v>
      </c>
      <c r="N97" s="1" t="str">
        <f t="array" ref="N97">IF(L97&lt;0,INDEX(big_daily_table,MATCH(DATE(N$5,$J97,$I97),daily_dates,0),MATCH($B$3,daily_items,0)),NA())</f>
        <v>#N/A</v>
      </c>
      <c r="O97" s="1" t="str">
        <f t="array" ref="O97">IF(ISBLANK(INDEX(big_daily_table,MATCH(DATE(O$5,$J97,$I97),daily_dates,0),MATCH($B$3,daily_items,0))),NA(),INDEX(big_daily_table,MATCH(DATE(O$5,$J97,$I97),daily_dates,0),MATCH($B$3,daily_items,0)))</f>
        <v>#N/A</v>
      </c>
      <c r="P97" s="1" t="str">
        <f t="array" ref="P97">IF(ISBLANK(INDEX(big_daily_table,MATCH(DATE(P$5,$J97,$I97),daily_dates,0),MATCH($B$3,daily_items,0))),NA(),INDEX(big_daily_table,MATCH(DATE(P$5,$J97,$I97),daily_dates,0),MATCH($B$3,daily_items,0)))</f>
        <v>#N/A</v>
      </c>
      <c r="Q97" s="1" t="str">
        <f t="array" ref="Q97">IF(ISBLANK(INDEX(big_daily_table,MATCH(DATE(Q$5,$J97,$I97),daily_dates,0),MATCH($B$3,daily_items,0))),NA(),INDEX(big_daily_table,MATCH(DATE(Q$5,$J97,$I97),daily_dates,0),MATCH($B$3,daily_items,0)))</f>
        <v>#N/A</v>
      </c>
      <c r="R97" s="1" t="str">
        <f t="array" ref="R97">IF(ISBLANK(INDEX(big_daily_table,MATCH(DATE(R$5,$J97,$I97),daily_dates,0),MATCH($B$3,daily_items,0))),NA(),INDEX(big_daily_table,MATCH(DATE(R$5,$J97,$I97),daily_dates,0),MATCH($B$3,daily_items,0)))</f>
        <v>#N/A</v>
      </c>
      <c r="S97" s="1" t="str">
        <f t="array" ref="S97">IF(ISBLANK(INDEX(big_daily_table,MATCH(DATE(S$5,$J97,$I97),daily_dates,0),MATCH($B$3,daily_items,0))),NA(),INDEX(big_daily_table,MATCH(DATE(S$5,$J97,$I97),daily_dates,0),MATCH($B$3,daily_items,0)))</f>
        <v>#N/A</v>
      </c>
      <c r="T97" s="1" t="str">
        <f t="array" ref="T97">IF(ISBLANK(INDEX(big_daily_table,MATCH(DATE(T$5,$J97,$I97),daily_dates,0),MATCH($B$3,daily_items,0))),NA(),INDEX(big_daily_table,MATCH(DATE(T$5,$J97,$I97),daily_dates,0),MATCH($B$3,daily_items,0)))</f>
        <v>#N/A</v>
      </c>
      <c r="U97" s="1" t="str">
        <f t="array" ref="U97">IF(ISBLANK(INDEX(big_daily_table,MATCH(DATE(U$5,$J97,$I97),daily_dates,0),MATCH($B$3,daily_items,0))),NA(),INDEX(big_daily_table,MATCH(DATE(U$5,$J97,$I97),daily_dates,0),MATCH($B$3,daily_items,0)))</f>
        <v>#N/A</v>
      </c>
      <c r="V97" s="1" t="str">
        <f t="array" ref="V97">IF(ISBLANK(INDEX(big_daily_table,MATCH(DATE(V$5,$J97,$I97),daily_dates,0),MATCH($B$3,daily_items,0))),NA(),INDEX(big_daily_table,MATCH(DATE(V$5,$J97,$I97),daily_dates,0),MATCH($B$3,daily_items,0)))</f>
        <v>#N/A</v>
      </c>
      <c r="W97" s="1" t="str">
        <f t="array" ref="W97">IF(ISBLANK(INDEX(big_daily_table,MATCH(DATE(W$5,$J97,$I97),daily_dates,0),MATCH($B$3,daily_items,0))),NA(),INDEX(big_daily_table,MATCH(DATE(W$5,$J97,$I97),daily_dates,0),MATCH($B$3,daily_items,0)))</f>
        <v>#N/A</v>
      </c>
      <c r="X97" s="1" t="str">
        <f t="array" ref="X97">IF(ISBLANK(INDEX(big_daily_table,MATCH(DATE(X$5,$J97,$I97),daily_dates,0),MATCH($B$3,daily_items,0))),NA(),INDEX(big_daily_table,MATCH(DATE(X$5,$J97,$I97),daily_dates,0),MATCH($B$3,daily_items,0)))</f>
        <v>#N/A</v>
      </c>
      <c r="Y97" s="1" t="str">
        <f t="array" ref="Y97">IF(ISBLANK(INDEX(big_daily_table,MATCH(DATE(Y$5,$J97,$I97),daily_dates,0),MATCH($B$3,daily_items,0))),NA(),INDEX(big_daily_table,MATCH(DATE(Y$5,$J97,$I97),daily_dates,0),MATCH($B$3,daily_items,0)))</f>
        <v>#N/A</v>
      </c>
      <c r="Z97" s="1" t="str">
        <f t="shared" si="5"/>
        <v>#NAME?</v>
      </c>
      <c r="AA97" s="1" t="str">
        <f t="shared" si="6"/>
        <v>#NAME?</v>
      </c>
      <c r="AB97" s="1" t="str">
        <f t="shared" si="7"/>
        <v>#NAME?</v>
      </c>
      <c r="AC97" s="1" t="str">
        <f t="shared" si="8"/>
        <v>#NAME?</v>
      </c>
    </row>
    <row r="98" ht="14.25" customHeight="1">
      <c r="H98" s="1">
        <f t="shared" si="9"/>
        <v>93</v>
      </c>
      <c r="I98" s="1">
        <f t="shared" si="2"/>
        <v>2</v>
      </c>
      <c r="J98" s="1">
        <f t="shared" si="3"/>
        <v>4</v>
      </c>
      <c r="K98" s="23">
        <f t="shared" si="10"/>
        <v>36618</v>
      </c>
      <c r="L98" s="24">
        <f t="shared" si="4"/>
        <v>-1000000</v>
      </c>
      <c r="M98" s="1" t="str">
        <f t="array" ref="M98">IF(K98&gt;0,INDEX(big_daily_table,MATCH(DATE(N$5,$J98,$I98),daily_dates,0),MATCH($B$3,daily_items,0)),NA())</f>
        <v>#N/A</v>
      </c>
      <c r="N98" s="1" t="str">
        <f t="array" ref="N98">IF(L98&lt;0,INDEX(big_daily_table,MATCH(DATE(N$5,$J98,$I98),daily_dates,0),MATCH($B$3,daily_items,0)),NA())</f>
        <v>#N/A</v>
      </c>
      <c r="O98" s="1" t="str">
        <f t="array" ref="O98">IF(ISBLANK(INDEX(big_daily_table,MATCH(DATE(O$5,$J98,$I98),daily_dates,0),MATCH($B$3,daily_items,0))),NA(),INDEX(big_daily_table,MATCH(DATE(O$5,$J98,$I98),daily_dates,0),MATCH($B$3,daily_items,0)))</f>
        <v>#N/A</v>
      </c>
      <c r="P98" s="1" t="str">
        <f t="array" ref="P98">IF(ISBLANK(INDEX(big_daily_table,MATCH(DATE(P$5,$J98,$I98),daily_dates,0),MATCH($B$3,daily_items,0))),NA(),INDEX(big_daily_table,MATCH(DATE(P$5,$J98,$I98),daily_dates,0),MATCH($B$3,daily_items,0)))</f>
        <v>#N/A</v>
      </c>
      <c r="Q98" s="1" t="str">
        <f t="array" ref="Q98">IF(ISBLANK(INDEX(big_daily_table,MATCH(DATE(Q$5,$J98,$I98),daily_dates,0),MATCH($B$3,daily_items,0))),NA(),INDEX(big_daily_table,MATCH(DATE(Q$5,$J98,$I98),daily_dates,0),MATCH($B$3,daily_items,0)))</f>
        <v>#N/A</v>
      </c>
      <c r="R98" s="1" t="str">
        <f t="array" ref="R98">IF(ISBLANK(INDEX(big_daily_table,MATCH(DATE(R$5,$J98,$I98),daily_dates,0),MATCH($B$3,daily_items,0))),NA(),INDEX(big_daily_table,MATCH(DATE(R$5,$J98,$I98),daily_dates,0),MATCH($B$3,daily_items,0)))</f>
        <v>#N/A</v>
      </c>
      <c r="S98" s="1" t="str">
        <f t="array" ref="S98">IF(ISBLANK(INDEX(big_daily_table,MATCH(DATE(S$5,$J98,$I98),daily_dates,0),MATCH($B$3,daily_items,0))),NA(),INDEX(big_daily_table,MATCH(DATE(S$5,$J98,$I98),daily_dates,0),MATCH($B$3,daily_items,0)))</f>
        <v>#N/A</v>
      </c>
      <c r="T98" s="1" t="str">
        <f t="array" ref="T98">IF(ISBLANK(INDEX(big_daily_table,MATCH(DATE(T$5,$J98,$I98),daily_dates,0),MATCH($B$3,daily_items,0))),NA(),INDEX(big_daily_table,MATCH(DATE(T$5,$J98,$I98),daily_dates,0),MATCH($B$3,daily_items,0)))</f>
        <v>#N/A</v>
      </c>
      <c r="U98" s="1" t="str">
        <f t="array" ref="U98">IF(ISBLANK(INDEX(big_daily_table,MATCH(DATE(U$5,$J98,$I98),daily_dates,0),MATCH($B$3,daily_items,0))),NA(),INDEX(big_daily_table,MATCH(DATE(U$5,$J98,$I98),daily_dates,0),MATCH($B$3,daily_items,0)))</f>
        <v>#N/A</v>
      </c>
      <c r="V98" s="1" t="str">
        <f t="array" ref="V98">IF(ISBLANK(INDEX(big_daily_table,MATCH(DATE(V$5,$J98,$I98),daily_dates,0),MATCH($B$3,daily_items,0))),NA(),INDEX(big_daily_table,MATCH(DATE(V$5,$J98,$I98),daily_dates,0),MATCH($B$3,daily_items,0)))</f>
        <v>#N/A</v>
      </c>
      <c r="W98" s="1" t="str">
        <f t="array" ref="W98">IF(ISBLANK(INDEX(big_daily_table,MATCH(DATE(W$5,$J98,$I98),daily_dates,0),MATCH($B$3,daily_items,0))),NA(),INDEX(big_daily_table,MATCH(DATE(W$5,$J98,$I98),daily_dates,0),MATCH($B$3,daily_items,0)))</f>
        <v>#N/A</v>
      </c>
      <c r="X98" s="1" t="str">
        <f t="array" ref="X98">IF(ISBLANK(INDEX(big_daily_table,MATCH(DATE(X$5,$J98,$I98),daily_dates,0),MATCH($B$3,daily_items,0))),NA(),INDEX(big_daily_table,MATCH(DATE(X$5,$J98,$I98),daily_dates,0),MATCH($B$3,daily_items,0)))</f>
        <v>#N/A</v>
      </c>
      <c r="Y98" s="1" t="str">
        <f t="array" ref="Y98">IF(ISBLANK(INDEX(big_daily_table,MATCH(DATE(Y$5,$J98,$I98),daily_dates,0),MATCH($B$3,daily_items,0))),NA(),INDEX(big_daily_table,MATCH(DATE(Y$5,$J98,$I98),daily_dates,0),MATCH($B$3,daily_items,0)))</f>
        <v>#N/A</v>
      </c>
      <c r="Z98" s="1" t="str">
        <f t="shared" si="5"/>
        <v>#NAME?</v>
      </c>
      <c r="AA98" s="1" t="str">
        <f t="shared" si="6"/>
        <v>#NAME?</v>
      </c>
      <c r="AB98" s="1" t="str">
        <f t="shared" si="7"/>
        <v>#NAME?</v>
      </c>
      <c r="AC98" s="1" t="str">
        <f t="shared" si="8"/>
        <v>#NAME?</v>
      </c>
    </row>
    <row r="99" ht="14.25" customHeight="1">
      <c r="H99" s="1">
        <f t="shared" si="9"/>
        <v>94</v>
      </c>
      <c r="I99" s="1">
        <f t="shared" si="2"/>
        <v>3</v>
      </c>
      <c r="J99" s="1">
        <f t="shared" si="3"/>
        <v>4</v>
      </c>
      <c r="K99" s="23">
        <f t="shared" si="10"/>
        <v>36619</v>
      </c>
      <c r="L99" s="24">
        <f t="shared" si="4"/>
        <v>-1000000</v>
      </c>
      <c r="M99" s="1" t="str">
        <f t="array" ref="M99">IF(K99&gt;0,INDEX(big_daily_table,MATCH(DATE(N$5,$J99,$I99),daily_dates,0),MATCH($B$3,daily_items,0)),NA())</f>
        <v>#N/A</v>
      </c>
      <c r="N99" s="1" t="str">
        <f t="array" ref="N99">IF(L99&lt;0,INDEX(big_daily_table,MATCH(DATE(N$5,$J99,$I99),daily_dates,0),MATCH($B$3,daily_items,0)),NA())</f>
        <v>#N/A</v>
      </c>
      <c r="O99" s="1" t="str">
        <f t="array" ref="O99">IF(ISBLANK(INDEX(big_daily_table,MATCH(DATE(O$5,$J99,$I99),daily_dates,0),MATCH($B$3,daily_items,0))),NA(),INDEX(big_daily_table,MATCH(DATE(O$5,$J99,$I99),daily_dates,0),MATCH($B$3,daily_items,0)))</f>
        <v>#N/A</v>
      </c>
      <c r="P99" s="1" t="str">
        <f t="array" ref="P99">IF(ISBLANK(INDEX(big_daily_table,MATCH(DATE(P$5,$J99,$I99),daily_dates,0),MATCH($B$3,daily_items,0))),NA(),INDEX(big_daily_table,MATCH(DATE(P$5,$J99,$I99),daily_dates,0),MATCH($B$3,daily_items,0)))</f>
        <v>#N/A</v>
      </c>
      <c r="Q99" s="1" t="str">
        <f t="array" ref="Q99">IF(ISBLANK(INDEX(big_daily_table,MATCH(DATE(Q$5,$J99,$I99),daily_dates,0),MATCH($B$3,daily_items,0))),NA(),INDEX(big_daily_table,MATCH(DATE(Q$5,$J99,$I99),daily_dates,0),MATCH($B$3,daily_items,0)))</f>
        <v>#N/A</v>
      </c>
      <c r="R99" s="1" t="str">
        <f t="array" ref="R99">IF(ISBLANK(INDEX(big_daily_table,MATCH(DATE(R$5,$J99,$I99),daily_dates,0),MATCH($B$3,daily_items,0))),NA(),INDEX(big_daily_table,MATCH(DATE(R$5,$J99,$I99),daily_dates,0),MATCH($B$3,daily_items,0)))</f>
        <v>#N/A</v>
      </c>
      <c r="S99" s="1" t="str">
        <f t="array" ref="S99">IF(ISBLANK(INDEX(big_daily_table,MATCH(DATE(S$5,$J99,$I99),daily_dates,0),MATCH($B$3,daily_items,0))),NA(),INDEX(big_daily_table,MATCH(DATE(S$5,$J99,$I99),daily_dates,0),MATCH($B$3,daily_items,0)))</f>
        <v>#N/A</v>
      </c>
      <c r="T99" s="1" t="str">
        <f t="array" ref="T99">IF(ISBLANK(INDEX(big_daily_table,MATCH(DATE(T$5,$J99,$I99),daily_dates,0),MATCH($B$3,daily_items,0))),NA(),INDEX(big_daily_table,MATCH(DATE(T$5,$J99,$I99),daily_dates,0),MATCH($B$3,daily_items,0)))</f>
        <v>#N/A</v>
      </c>
      <c r="U99" s="1" t="str">
        <f t="array" ref="U99">IF(ISBLANK(INDEX(big_daily_table,MATCH(DATE(U$5,$J99,$I99),daily_dates,0),MATCH($B$3,daily_items,0))),NA(),INDEX(big_daily_table,MATCH(DATE(U$5,$J99,$I99),daily_dates,0),MATCH($B$3,daily_items,0)))</f>
        <v>#N/A</v>
      </c>
      <c r="V99" s="1" t="str">
        <f t="array" ref="V99">IF(ISBLANK(INDEX(big_daily_table,MATCH(DATE(V$5,$J99,$I99),daily_dates,0),MATCH($B$3,daily_items,0))),NA(),INDEX(big_daily_table,MATCH(DATE(V$5,$J99,$I99),daily_dates,0),MATCH($B$3,daily_items,0)))</f>
        <v>#N/A</v>
      </c>
      <c r="W99" s="1" t="str">
        <f t="array" ref="W99">IF(ISBLANK(INDEX(big_daily_table,MATCH(DATE(W$5,$J99,$I99),daily_dates,0),MATCH($B$3,daily_items,0))),NA(),INDEX(big_daily_table,MATCH(DATE(W$5,$J99,$I99),daily_dates,0),MATCH($B$3,daily_items,0)))</f>
        <v>#N/A</v>
      </c>
      <c r="X99" s="1" t="str">
        <f t="array" ref="X99">IF(ISBLANK(INDEX(big_daily_table,MATCH(DATE(X$5,$J99,$I99),daily_dates,0),MATCH($B$3,daily_items,0))),NA(),INDEX(big_daily_table,MATCH(DATE(X$5,$J99,$I99),daily_dates,0),MATCH($B$3,daily_items,0)))</f>
        <v>#N/A</v>
      </c>
      <c r="Y99" s="1" t="str">
        <f t="array" ref="Y99">IF(ISBLANK(INDEX(big_daily_table,MATCH(DATE(Y$5,$J99,$I99),daily_dates,0),MATCH($B$3,daily_items,0))),NA(),INDEX(big_daily_table,MATCH(DATE(Y$5,$J99,$I99),daily_dates,0),MATCH($B$3,daily_items,0)))</f>
        <v>#N/A</v>
      </c>
      <c r="Z99" s="1" t="str">
        <f t="shared" si="5"/>
        <v>#NAME?</v>
      </c>
      <c r="AA99" s="1" t="str">
        <f t="shared" si="6"/>
        <v>#NAME?</v>
      </c>
      <c r="AB99" s="1" t="str">
        <f t="shared" si="7"/>
        <v>#NAME?</v>
      </c>
      <c r="AC99" s="1" t="str">
        <f t="shared" si="8"/>
        <v>#NAME?</v>
      </c>
    </row>
    <row r="100" ht="14.25" customHeight="1">
      <c r="H100" s="1">
        <f t="shared" si="9"/>
        <v>95</v>
      </c>
      <c r="I100" s="1">
        <f t="shared" si="2"/>
        <v>4</v>
      </c>
      <c r="J100" s="1">
        <f t="shared" si="3"/>
        <v>4</v>
      </c>
      <c r="K100" s="23">
        <f t="shared" si="10"/>
        <v>36620</v>
      </c>
      <c r="L100" s="24">
        <f t="shared" si="4"/>
        <v>-1000000</v>
      </c>
      <c r="M100" s="1" t="str">
        <f t="array" ref="M100">IF(K100&gt;0,INDEX(big_daily_table,MATCH(DATE(N$5,$J100,$I100),daily_dates,0),MATCH($B$3,daily_items,0)),NA())</f>
        <v>#N/A</v>
      </c>
      <c r="N100" s="1" t="str">
        <f t="array" ref="N100">IF(L100&lt;0,INDEX(big_daily_table,MATCH(DATE(N$5,$J100,$I100),daily_dates,0),MATCH($B$3,daily_items,0)),NA())</f>
        <v>#N/A</v>
      </c>
      <c r="O100" s="1" t="str">
        <f t="array" ref="O100">IF(ISBLANK(INDEX(big_daily_table,MATCH(DATE(O$5,$J100,$I100),daily_dates,0),MATCH($B$3,daily_items,0))),NA(),INDEX(big_daily_table,MATCH(DATE(O$5,$J100,$I100),daily_dates,0),MATCH($B$3,daily_items,0)))</f>
        <v>#N/A</v>
      </c>
      <c r="P100" s="1" t="str">
        <f t="array" ref="P100">IF(ISBLANK(INDEX(big_daily_table,MATCH(DATE(P$5,$J100,$I100),daily_dates,0),MATCH($B$3,daily_items,0))),NA(),INDEX(big_daily_table,MATCH(DATE(P$5,$J100,$I100),daily_dates,0),MATCH($B$3,daily_items,0)))</f>
        <v>#N/A</v>
      </c>
      <c r="Q100" s="1" t="str">
        <f t="array" ref="Q100">IF(ISBLANK(INDEX(big_daily_table,MATCH(DATE(Q$5,$J100,$I100),daily_dates,0),MATCH($B$3,daily_items,0))),NA(),INDEX(big_daily_table,MATCH(DATE(Q$5,$J100,$I100),daily_dates,0),MATCH($B$3,daily_items,0)))</f>
        <v>#N/A</v>
      </c>
      <c r="R100" s="1" t="str">
        <f t="array" ref="R100">IF(ISBLANK(INDEX(big_daily_table,MATCH(DATE(R$5,$J100,$I100),daily_dates,0),MATCH($B$3,daily_items,0))),NA(),INDEX(big_daily_table,MATCH(DATE(R$5,$J100,$I100),daily_dates,0),MATCH($B$3,daily_items,0)))</f>
        <v>#N/A</v>
      </c>
      <c r="S100" s="1" t="str">
        <f t="array" ref="S100">IF(ISBLANK(INDEX(big_daily_table,MATCH(DATE(S$5,$J100,$I100),daily_dates,0),MATCH($B$3,daily_items,0))),NA(),INDEX(big_daily_table,MATCH(DATE(S$5,$J100,$I100),daily_dates,0),MATCH($B$3,daily_items,0)))</f>
        <v>#N/A</v>
      </c>
      <c r="T100" s="1" t="str">
        <f t="array" ref="T100">IF(ISBLANK(INDEX(big_daily_table,MATCH(DATE(T$5,$J100,$I100),daily_dates,0),MATCH($B$3,daily_items,0))),NA(),INDEX(big_daily_table,MATCH(DATE(T$5,$J100,$I100),daily_dates,0),MATCH($B$3,daily_items,0)))</f>
        <v>#N/A</v>
      </c>
      <c r="U100" s="1" t="str">
        <f t="array" ref="U100">IF(ISBLANK(INDEX(big_daily_table,MATCH(DATE(U$5,$J100,$I100),daily_dates,0),MATCH($B$3,daily_items,0))),NA(),INDEX(big_daily_table,MATCH(DATE(U$5,$J100,$I100),daily_dates,0),MATCH($B$3,daily_items,0)))</f>
        <v>#N/A</v>
      </c>
      <c r="V100" s="1" t="str">
        <f t="array" ref="V100">IF(ISBLANK(INDEX(big_daily_table,MATCH(DATE(V$5,$J100,$I100),daily_dates,0),MATCH($B$3,daily_items,0))),NA(),INDEX(big_daily_table,MATCH(DATE(V$5,$J100,$I100),daily_dates,0),MATCH($B$3,daily_items,0)))</f>
        <v>#N/A</v>
      </c>
      <c r="W100" s="1" t="str">
        <f t="array" ref="W100">IF(ISBLANK(INDEX(big_daily_table,MATCH(DATE(W$5,$J100,$I100),daily_dates,0),MATCH($B$3,daily_items,0))),NA(),INDEX(big_daily_table,MATCH(DATE(W$5,$J100,$I100),daily_dates,0),MATCH($B$3,daily_items,0)))</f>
        <v>#N/A</v>
      </c>
      <c r="X100" s="1" t="str">
        <f t="array" ref="X100">IF(ISBLANK(INDEX(big_daily_table,MATCH(DATE(X$5,$J100,$I100),daily_dates,0),MATCH($B$3,daily_items,0))),NA(),INDEX(big_daily_table,MATCH(DATE(X$5,$J100,$I100),daily_dates,0),MATCH($B$3,daily_items,0)))</f>
        <v>#N/A</v>
      </c>
      <c r="Y100" s="1" t="str">
        <f t="array" ref="Y100">IF(ISBLANK(INDEX(big_daily_table,MATCH(DATE(Y$5,$J100,$I100),daily_dates,0),MATCH($B$3,daily_items,0))),NA(),INDEX(big_daily_table,MATCH(DATE(Y$5,$J100,$I100),daily_dates,0),MATCH($B$3,daily_items,0)))</f>
        <v>#N/A</v>
      </c>
      <c r="Z100" s="1" t="str">
        <f t="shared" si="5"/>
        <v>#NAME?</v>
      </c>
      <c r="AA100" s="1" t="str">
        <f t="shared" si="6"/>
        <v>#NAME?</v>
      </c>
      <c r="AB100" s="1" t="str">
        <f t="shared" si="7"/>
        <v>#NAME?</v>
      </c>
      <c r="AC100" s="1" t="str">
        <f t="shared" si="8"/>
        <v>#NAME?</v>
      </c>
    </row>
    <row r="101" ht="14.25" customHeight="1">
      <c r="H101" s="1">
        <f t="shared" si="9"/>
        <v>96</v>
      </c>
      <c r="I101" s="1">
        <f t="shared" si="2"/>
        <v>5</v>
      </c>
      <c r="J101" s="1">
        <f t="shared" si="3"/>
        <v>4</v>
      </c>
      <c r="K101" s="23">
        <f t="shared" si="10"/>
        <v>36621</v>
      </c>
      <c r="L101" s="24">
        <f t="shared" si="4"/>
        <v>-1000000</v>
      </c>
      <c r="M101" s="1" t="str">
        <f t="array" ref="M101">IF(K101&gt;0,INDEX(big_daily_table,MATCH(DATE(N$5,$J101,$I101),daily_dates,0),MATCH($B$3,daily_items,0)),NA())</f>
        <v>#N/A</v>
      </c>
      <c r="N101" s="1" t="str">
        <f t="array" ref="N101">IF(L101&lt;0,INDEX(big_daily_table,MATCH(DATE(N$5,$J101,$I101),daily_dates,0),MATCH($B$3,daily_items,0)),NA())</f>
        <v>#N/A</v>
      </c>
      <c r="O101" s="1" t="str">
        <f t="array" ref="O101">IF(ISBLANK(INDEX(big_daily_table,MATCH(DATE(O$5,$J101,$I101),daily_dates,0),MATCH($B$3,daily_items,0))),NA(),INDEX(big_daily_table,MATCH(DATE(O$5,$J101,$I101),daily_dates,0),MATCH($B$3,daily_items,0)))</f>
        <v>#N/A</v>
      </c>
      <c r="P101" s="1" t="str">
        <f t="array" ref="P101">IF(ISBLANK(INDEX(big_daily_table,MATCH(DATE(P$5,$J101,$I101),daily_dates,0),MATCH($B$3,daily_items,0))),NA(),INDEX(big_daily_table,MATCH(DATE(P$5,$J101,$I101),daily_dates,0),MATCH($B$3,daily_items,0)))</f>
        <v>#N/A</v>
      </c>
      <c r="Q101" s="1" t="str">
        <f t="array" ref="Q101">IF(ISBLANK(INDEX(big_daily_table,MATCH(DATE(Q$5,$J101,$I101),daily_dates,0),MATCH($B$3,daily_items,0))),NA(),INDEX(big_daily_table,MATCH(DATE(Q$5,$J101,$I101),daily_dates,0),MATCH($B$3,daily_items,0)))</f>
        <v>#N/A</v>
      </c>
      <c r="R101" s="1" t="str">
        <f t="array" ref="R101">IF(ISBLANK(INDEX(big_daily_table,MATCH(DATE(R$5,$J101,$I101),daily_dates,0),MATCH($B$3,daily_items,0))),NA(),INDEX(big_daily_table,MATCH(DATE(R$5,$J101,$I101),daily_dates,0),MATCH($B$3,daily_items,0)))</f>
        <v>#N/A</v>
      </c>
      <c r="S101" s="1" t="str">
        <f t="array" ref="S101">IF(ISBLANK(INDEX(big_daily_table,MATCH(DATE(S$5,$J101,$I101),daily_dates,0),MATCH($B$3,daily_items,0))),NA(),INDEX(big_daily_table,MATCH(DATE(S$5,$J101,$I101),daily_dates,0),MATCH($B$3,daily_items,0)))</f>
        <v>#N/A</v>
      </c>
      <c r="T101" s="1" t="str">
        <f t="array" ref="T101">IF(ISBLANK(INDEX(big_daily_table,MATCH(DATE(T$5,$J101,$I101),daily_dates,0),MATCH($B$3,daily_items,0))),NA(),INDEX(big_daily_table,MATCH(DATE(T$5,$J101,$I101),daily_dates,0),MATCH($B$3,daily_items,0)))</f>
        <v>#N/A</v>
      </c>
      <c r="U101" s="1" t="str">
        <f t="array" ref="U101">IF(ISBLANK(INDEX(big_daily_table,MATCH(DATE(U$5,$J101,$I101),daily_dates,0),MATCH($B$3,daily_items,0))),NA(),INDEX(big_daily_table,MATCH(DATE(U$5,$J101,$I101),daily_dates,0),MATCH($B$3,daily_items,0)))</f>
        <v>#N/A</v>
      </c>
      <c r="V101" s="1" t="str">
        <f t="array" ref="V101">IF(ISBLANK(INDEX(big_daily_table,MATCH(DATE(V$5,$J101,$I101),daily_dates,0),MATCH($B$3,daily_items,0))),NA(),INDEX(big_daily_table,MATCH(DATE(V$5,$J101,$I101),daily_dates,0),MATCH($B$3,daily_items,0)))</f>
        <v>#N/A</v>
      </c>
      <c r="W101" s="1" t="str">
        <f t="array" ref="W101">IF(ISBLANK(INDEX(big_daily_table,MATCH(DATE(W$5,$J101,$I101),daily_dates,0),MATCH($B$3,daily_items,0))),NA(),INDEX(big_daily_table,MATCH(DATE(W$5,$J101,$I101),daily_dates,0),MATCH($B$3,daily_items,0)))</f>
        <v>#N/A</v>
      </c>
      <c r="X101" s="1" t="str">
        <f t="array" ref="X101">IF(ISBLANK(INDEX(big_daily_table,MATCH(DATE(X$5,$J101,$I101),daily_dates,0),MATCH($B$3,daily_items,0))),NA(),INDEX(big_daily_table,MATCH(DATE(X$5,$J101,$I101),daily_dates,0),MATCH($B$3,daily_items,0)))</f>
        <v>#N/A</v>
      </c>
      <c r="Y101" s="1" t="str">
        <f t="array" ref="Y101">IF(ISBLANK(INDEX(big_daily_table,MATCH(DATE(Y$5,$J101,$I101),daily_dates,0),MATCH($B$3,daily_items,0))),NA(),INDEX(big_daily_table,MATCH(DATE(Y$5,$J101,$I101),daily_dates,0),MATCH($B$3,daily_items,0)))</f>
        <v>#N/A</v>
      </c>
      <c r="Z101" s="1" t="str">
        <f t="shared" si="5"/>
        <v>#NAME?</v>
      </c>
      <c r="AA101" s="1" t="str">
        <f t="shared" si="6"/>
        <v>#NAME?</v>
      </c>
      <c r="AB101" s="1" t="str">
        <f t="shared" si="7"/>
        <v>#NAME?</v>
      </c>
      <c r="AC101" s="1" t="str">
        <f t="shared" si="8"/>
        <v>#NAME?</v>
      </c>
    </row>
    <row r="102" ht="14.25" customHeight="1">
      <c r="H102" s="1">
        <f t="shared" si="9"/>
        <v>97</v>
      </c>
      <c r="I102" s="1">
        <f t="shared" si="2"/>
        <v>6</v>
      </c>
      <c r="J102" s="1">
        <f t="shared" si="3"/>
        <v>4</v>
      </c>
      <c r="K102" s="23">
        <f t="shared" si="10"/>
        <v>36622</v>
      </c>
      <c r="L102" s="24">
        <f t="shared" si="4"/>
        <v>-1000000</v>
      </c>
      <c r="M102" s="1" t="str">
        <f t="array" ref="M102">IF(K102&gt;0,INDEX(big_daily_table,MATCH(DATE(N$5,$J102,$I102),daily_dates,0),MATCH($B$3,daily_items,0)),NA())</f>
        <v>#N/A</v>
      </c>
      <c r="N102" s="1" t="str">
        <f t="array" ref="N102">IF(L102&lt;0,INDEX(big_daily_table,MATCH(DATE(N$5,$J102,$I102),daily_dates,0),MATCH($B$3,daily_items,0)),NA())</f>
        <v>#N/A</v>
      </c>
      <c r="O102" s="1" t="str">
        <f t="array" ref="O102">IF(ISBLANK(INDEX(big_daily_table,MATCH(DATE(O$5,$J102,$I102),daily_dates,0),MATCH($B$3,daily_items,0))),NA(),INDEX(big_daily_table,MATCH(DATE(O$5,$J102,$I102),daily_dates,0),MATCH($B$3,daily_items,0)))</f>
        <v>#N/A</v>
      </c>
      <c r="P102" s="1" t="str">
        <f t="array" ref="P102">IF(ISBLANK(INDEX(big_daily_table,MATCH(DATE(P$5,$J102,$I102),daily_dates,0),MATCH($B$3,daily_items,0))),NA(),INDEX(big_daily_table,MATCH(DATE(P$5,$J102,$I102),daily_dates,0),MATCH($B$3,daily_items,0)))</f>
        <v>#N/A</v>
      </c>
      <c r="Q102" s="1" t="str">
        <f t="array" ref="Q102">IF(ISBLANK(INDEX(big_daily_table,MATCH(DATE(Q$5,$J102,$I102),daily_dates,0),MATCH($B$3,daily_items,0))),NA(),INDEX(big_daily_table,MATCH(DATE(Q$5,$J102,$I102),daily_dates,0),MATCH($B$3,daily_items,0)))</f>
        <v>#N/A</v>
      </c>
      <c r="R102" s="1" t="str">
        <f t="array" ref="R102">IF(ISBLANK(INDEX(big_daily_table,MATCH(DATE(R$5,$J102,$I102),daily_dates,0),MATCH($B$3,daily_items,0))),NA(),INDEX(big_daily_table,MATCH(DATE(R$5,$J102,$I102),daily_dates,0),MATCH($B$3,daily_items,0)))</f>
        <v>#N/A</v>
      </c>
      <c r="S102" s="1" t="str">
        <f t="array" ref="S102">IF(ISBLANK(INDEX(big_daily_table,MATCH(DATE(S$5,$J102,$I102),daily_dates,0),MATCH($B$3,daily_items,0))),NA(),INDEX(big_daily_table,MATCH(DATE(S$5,$J102,$I102),daily_dates,0),MATCH($B$3,daily_items,0)))</f>
        <v>#N/A</v>
      </c>
      <c r="T102" s="1" t="str">
        <f t="array" ref="T102">IF(ISBLANK(INDEX(big_daily_table,MATCH(DATE(T$5,$J102,$I102),daily_dates,0),MATCH($B$3,daily_items,0))),NA(),INDEX(big_daily_table,MATCH(DATE(T$5,$J102,$I102),daily_dates,0),MATCH($B$3,daily_items,0)))</f>
        <v>#N/A</v>
      </c>
      <c r="U102" s="1" t="str">
        <f t="array" ref="U102">IF(ISBLANK(INDEX(big_daily_table,MATCH(DATE(U$5,$J102,$I102),daily_dates,0),MATCH($B$3,daily_items,0))),NA(),INDEX(big_daily_table,MATCH(DATE(U$5,$J102,$I102),daily_dates,0),MATCH($B$3,daily_items,0)))</f>
        <v>#N/A</v>
      </c>
      <c r="V102" s="1" t="str">
        <f t="array" ref="V102">IF(ISBLANK(INDEX(big_daily_table,MATCH(DATE(V$5,$J102,$I102),daily_dates,0),MATCH($B$3,daily_items,0))),NA(),INDEX(big_daily_table,MATCH(DATE(V$5,$J102,$I102),daily_dates,0),MATCH($B$3,daily_items,0)))</f>
        <v>#N/A</v>
      </c>
      <c r="W102" s="1" t="str">
        <f t="array" ref="W102">IF(ISBLANK(INDEX(big_daily_table,MATCH(DATE(W$5,$J102,$I102),daily_dates,0),MATCH($B$3,daily_items,0))),NA(),INDEX(big_daily_table,MATCH(DATE(W$5,$J102,$I102),daily_dates,0),MATCH($B$3,daily_items,0)))</f>
        <v>#N/A</v>
      </c>
      <c r="X102" s="1" t="str">
        <f t="array" ref="X102">IF(ISBLANK(INDEX(big_daily_table,MATCH(DATE(X$5,$J102,$I102),daily_dates,0),MATCH($B$3,daily_items,0))),NA(),INDEX(big_daily_table,MATCH(DATE(X$5,$J102,$I102),daily_dates,0),MATCH($B$3,daily_items,0)))</f>
        <v>#N/A</v>
      </c>
      <c r="Y102" s="1" t="str">
        <f t="array" ref="Y102">IF(ISBLANK(INDEX(big_daily_table,MATCH(DATE(Y$5,$J102,$I102),daily_dates,0),MATCH($B$3,daily_items,0))),NA(),INDEX(big_daily_table,MATCH(DATE(Y$5,$J102,$I102),daily_dates,0),MATCH($B$3,daily_items,0)))</f>
        <v>#N/A</v>
      </c>
      <c r="Z102" s="1" t="str">
        <f t="shared" si="5"/>
        <v>#NAME?</v>
      </c>
      <c r="AA102" s="1" t="str">
        <f t="shared" si="6"/>
        <v>#NAME?</v>
      </c>
      <c r="AB102" s="1" t="str">
        <f t="shared" si="7"/>
        <v>#NAME?</v>
      </c>
      <c r="AC102" s="1" t="str">
        <f t="shared" si="8"/>
        <v>#NAME?</v>
      </c>
    </row>
    <row r="103" ht="14.25" customHeight="1">
      <c r="H103" s="1">
        <f t="shared" si="9"/>
        <v>98</v>
      </c>
      <c r="I103" s="1">
        <f t="shared" si="2"/>
        <v>7</v>
      </c>
      <c r="J103" s="1">
        <f t="shared" si="3"/>
        <v>4</v>
      </c>
      <c r="K103" s="23">
        <f t="shared" si="10"/>
        <v>36623</v>
      </c>
      <c r="L103" s="24">
        <f t="shared" si="4"/>
        <v>-1000000</v>
      </c>
      <c r="M103" s="1" t="str">
        <f t="array" ref="M103">IF(K103&gt;0,INDEX(big_daily_table,MATCH(DATE(N$5,$J103,$I103),daily_dates,0),MATCH($B$3,daily_items,0)),NA())</f>
        <v>#N/A</v>
      </c>
      <c r="N103" s="1" t="str">
        <f t="array" ref="N103">IF(L103&lt;0,INDEX(big_daily_table,MATCH(DATE(N$5,$J103,$I103),daily_dates,0),MATCH($B$3,daily_items,0)),NA())</f>
        <v>#N/A</v>
      </c>
      <c r="O103" s="1" t="str">
        <f t="array" ref="O103">IF(ISBLANK(INDEX(big_daily_table,MATCH(DATE(O$5,$J103,$I103),daily_dates,0),MATCH($B$3,daily_items,0))),NA(),INDEX(big_daily_table,MATCH(DATE(O$5,$J103,$I103),daily_dates,0),MATCH($B$3,daily_items,0)))</f>
        <v>#N/A</v>
      </c>
      <c r="P103" s="1" t="str">
        <f t="array" ref="P103">IF(ISBLANK(INDEX(big_daily_table,MATCH(DATE(P$5,$J103,$I103),daily_dates,0),MATCH($B$3,daily_items,0))),NA(),INDEX(big_daily_table,MATCH(DATE(P$5,$J103,$I103),daily_dates,0),MATCH($B$3,daily_items,0)))</f>
        <v>#N/A</v>
      </c>
      <c r="Q103" s="1" t="str">
        <f t="array" ref="Q103">IF(ISBLANK(INDEX(big_daily_table,MATCH(DATE(Q$5,$J103,$I103),daily_dates,0),MATCH($B$3,daily_items,0))),NA(),INDEX(big_daily_table,MATCH(DATE(Q$5,$J103,$I103),daily_dates,0),MATCH($B$3,daily_items,0)))</f>
        <v>#N/A</v>
      </c>
      <c r="R103" s="1" t="str">
        <f t="array" ref="R103">IF(ISBLANK(INDEX(big_daily_table,MATCH(DATE(R$5,$J103,$I103),daily_dates,0),MATCH($B$3,daily_items,0))),NA(),INDEX(big_daily_table,MATCH(DATE(R$5,$J103,$I103),daily_dates,0),MATCH($B$3,daily_items,0)))</f>
        <v>#N/A</v>
      </c>
      <c r="S103" s="1" t="str">
        <f t="array" ref="S103">IF(ISBLANK(INDEX(big_daily_table,MATCH(DATE(S$5,$J103,$I103),daily_dates,0),MATCH($B$3,daily_items,0))),NA(),INDEX(big_daily_table,MATCH(DATE(S$5,$J103,$I103),daily_dates,0),MATCH($B$3,daily_items,0)))</f>
        <v>#N/A</v>
      </c>
      <c r="T103" s="1" t="str">
        <f t="array" ref="T103">IF(ISBLANK(INDEX(big_daily_table,MATCH(DATE(T$5,$J103,$I103),daily_dates,0),MATCH($B$3,daily_items,0))),NA(),INDEX(big_daily_table,MATCH(DATE(T$5,$J103,$I103),daily_dates,0),MATCH($B$3,daily_items,0)))</f>
        <v>#N/A</v>
      </c>
      <c r="U103" s="1" t="str">
        <f t="array" ref="U103">IF(ISBLANK(INDEX(big_daily_table,MATCH(DATE(U$5,$J103,$I103),daily_dates,0),MATCH($B$3,daily_items,0))),NA(),INDEX(big_daily_table,MATCH(DATE(U$5,$J103,$I103),daily_dates,0),MATCH($B$3,daily_items,0)))</f>
        <v>#N/A</v>
      </c>
      <c r="V103" s="1" t="str">
        <f t="array" ref="V103">IF(ISBLANK(INDEX(big_daily_table,MATCH(DATE(V$5,$J103,$I103),daily_dates,0),MATCH($B$3,daily_items,0))),NA(),INDEX(big_daily_table,MATCH(DATE(V$5,$J103,$I103),daily_dates,0),MATCH($B$3,daily_items,0)))</f>
        <v>#N/A</v>
      </c>
      <c r="W103" s="1" t="str">
        <f t="array" ref="W103">IF(ISBLANK(INDEX(big_daily_table,MATCH(DATE(W$5,$J103,$I103),daily_dates,0),MATCH($B$3,daily_items,0))),NA(),INDEX(big_daily_table,MATCH(DATE(W$5,$J103,$I103),daily_dates,0),MATCH($B$3,daily_items,0)))</f>
        <v>#N/A</v>
      </c>
      <c r="X103" s="1" t="str">
        <f t="array" ref="X103">IF(ISBLANK(INDEX(big_daily_table,MATCH(DATE(X$5,$J103,$I103),daily_dates,0),MATCH($B$3,daily_items,0))),NA(),INDEX(big_daily_table,MATCH(DATE(X$5,$J103,$I103),daily_dates,0),MATCH($B$3,daily_items,0)))</f>
        <v>#N/A</v>
      </c>
      <c r="Y103" s="1" t="str">
        <f t="array" ref="Y103">IF(ISBLANK(INDEX(big_daily_table,MATCH(DATE(Y$5,$J103,$I103),daily_dates,0),MATCH($B$3,daily_items,0))),NA(),INDEX(big_daily_table,MATCH(DATE(Y$5,$J103,$I103),daily_dates,0),MATCH($B$3,daily_items,0)))</f>
        <v>#N/A</v>
      </c>
      <c r="Z103" s="1" t="str">
        <f t="shared" si="5"/>
        <v>#NAME?</v>
      </c>
      <c r="AA103" s="1" t="str">
        <f t="shared" si="6"/>
        <v>#NAME?</v>
      </c>
      <c r="AB103" s="1" t="str">
        <f t="shared" si="7"/>
        <v>#NAME?</v>
      </c>
      <c r="AC103" s="1" t="str">
        <f t="shared" si="8"/>
        <v>#NAME?</v>
      </c>
    </row>
    <row r="104" ht="14.25" customHeight="1">
      <c r="H104" s="1">
        <f t="shared" si="9"/>
        <v>99</v>
      </c>
      <c r="I104" s="1">
        <f t="shared" si="2"/>
        <v>8</v>
      </c>
      <c r="J104" s="1">
        <f t="shared" si="3"/>
        <v>4</v>
      </c>
      <c r="K104" s="23">
        <f t="shared" si="10"/>
        <v>36624</v>
      </c>
      <c r="L104" s="24">
        <f t="shared" si="4"/>
        <v>-1000000</v>
      </c>
      <c r="M104" s="1" t="str">
        <f t="array" ref="M104">IF(K104&gt;0,INDEX(big_daily_table,MATCH(DATE(N$5,$J104,$I104),daily_dates,0),MATCH($B$3,daily_items,0)),NA())</f>
        <v>#N/A</v>
      </c>
      <c r="N104" s="1" t="str">
        <f t="array" ref="N104">IF(L104&lt;0,INDEX(big_daily_table,MATCH(DATE(N$5,$J104,$I104),daily_dates,0),MATCH($B$3,daily_items,0)),NA())</f>
        <v>#N/A</v>
      </c>
      <c r="O104" s="1" t="str">
        <f t="array" ref="O104">IF(ISBLANK(INDEX(big_daily_table,MATCH(DATE(O$5,$J104,$I104),daily_dates,0),MATCH($B$3,daily_items,0))),NA(),INDEX(big_daily_table,MATCH(DATE(O$5,$J104,$I104),daily_dates,0),MATCH($B$3,daily_items,0)))</f>
        <v>#N/A</v>
      </c>
      <c r="P104" s="1" t="str">
        <f t="array" ref="P104">IF(ISBLANK(INDEX(big_daily_table,MATCH(DATE(P$5,$J104,$I104),daily_dates,0),MATCH($B$3,daily_items,0))),NA(),INDEX(big_daily_table,MATCH(DATE(P$5,$J104,$I104),daily_dates,0),MATCH($B$3,daily_items,0)))</f>
        <v>#N/A</v>
      </c>
      <c r="Q104" s="1" t="str">
        <f t="array" ref="Q104">IF(ISBLANK(INDEX(big_daily_table,MATCH(DATE(Q$5,$J104,$I104),daily_dates,0),MATCH($B$3,daily_items,0))),NA(),INDEX(big_daily_table,MATCH(DATE(Q$5,$J104,$I104),daily_dates,0),MATCH($B$3,daily_items,0)))</f>
        <v>#N/A</v>
      </c>
      <c r="R104" s="1" t="str">
        <f t="array" ref="R104">IF(ISBLANK(INDEX(big_daily_table,MATCH(DATE(R$5,$J104,$I104),daily_dates,0),MATCH($B$3,daily_items,0))),NA(),INDEX(big_daily_table,MATCH(DATE(R$5,$J104,$I104),daily_dates,0),MATCH($B$3,daily_items,0)))</f>
        <v>#N/A</v>
      </c>
      <c r="S104" s="1" t="str">
        <f t="array" ref="S104">IF(ISBLANK(INDEX(big_daily_table,MATCH(DATE(S$5,$J104,$I104),daily_dates,0),MATCH($B$3,daily_items,0))),NA(),INDEX(big_daily_table,MATCH(DATE(S$5,$J104,$I104),daily_dates,0),MATCH($B$3,daily_items,0)))</f>
        <v>#N/A</v>
      </c>
      <c r="T104" s="1" t="str">
        <f t="array" ref="T104">IF(ISBLANK(INDEX(big_daily_table,MATCH(DATE(T$5,$J104,$I104),daily_dates,0),MATCH($B$3,daily_items,0))),NA(),INDEX(big_daily_table,MATCH(DATE(T$5,$J104,$I104),daily_dates,0),MATCH($B$3,daily_items,0)))</f>
        <v>#N/A</v>
      </c>
      <c r="U104" s="1" t="str">
        <f t="array" ref="U104">IF(ISBLANK(INDEX(big_daily_table,MATCH(DATE(U$5,$J104,$I104),daily_dates,0),MATCH($B$3,daily_items,0))),NA(),INDEX(big_daily_table,MATCH(DATE(U$5,$J104,$I104),daily_dates,0),MATCH($B$3,daily_items,0)))</f>
        <v>#N/A</v>
      </c>
      <c r="V104" s="1" t="str">
        <f t="array" ref="V104">IF(ISBLANK(INDEX(big_daily_table,MATCH(DATE(V$5,$J104,$I104),daily_dates,0),MATCH($B$3,daily_items,0))),NA(),INDEX(big_daily_table,MATCH(DATE(V$5,$J104,$I104),daily_dates,0),MATCH($B$3,daily_items,0)))</f>
        <v>#N/A</v>
      </c>
      <c r="W104" s="1" t="str">
        <f t="array" ref="W104">IF(ISBLANK(INDEX(big_daily_table,MATCH(DATE(W$5,$J104,$I104),daily_dates,0),MATCH($B$3,daily_items,0))),NA(),INDEX(big_daily_table,MATCH(DATE(W$5,$J104,$I104),daily_dates,0),MATCH($B$3,daily_items,0)))</f>
        <v>#N/A</v>
      </c>
      <c r="X104" s="1" t="str">
        <f t="array" ref="X104">IF(ISBLANK(INDEX(big_daily_table,MATCH(DATE(X$5,$J104,$I104),daily_dates,0),MATCH($B$3,daily_items,0))),NA(),INDEX(big_daily_table,MATCH(DATE(X$5,$J104,$I104),daily_dates,0),MATCH($B$3,daily_items,0)))</f>
        <v>#N/A</v>
      </c>
      <c r="Y104" s="1" t="str">
        <f t="array" ref="Y104">IF(ISBLANK(INDEX(big_daily_table,MATCH(DATE(Y$5,$J104,$I104),daily_dates,0),MATCH($B$3,daily_items,0))),NA(),INDEX(big_daily_table,MATCH(DATE(Y$5,$J104,$I104),daily_dates,0),MATCH($B$3,daily_items,0)))</f>
        <v>#N/A</v>
      </c>
      <c r="Z104" s="1" t="str">
        <f t="shared" si="5"/>
        <v>#NAME?</v>
      </c>
      <c r="AA104" s="1" t="str">
        <f t="shared" si="6"/>
        <v>#NAME?</v>
      </c>
      <c r="AB104" s="1" t="str">
        <f t="shared" si="7"/>
        <v>#NAME?</v>
      </c>
      <c r="AC104" s="1" t="str">
        <f t="shared" si="8"/>
        <v>#NAME?</v>
      </c>
    </row>
    <row r="105" ht="14.25" customHeight="1">
      <c r="H105" s="1">
        <f t="shared" si="9"/>
        <v>100</v>
      </c>
      <c r="I105" s="1">
        <f t="shared" si="2"/>
        <v>9</v>
      </c>
      <c r="J105" s="1">
        <f t="shared" si="3"/>
        <v>4</v>
      </c>
      <c r="K105" s="23">
        <f t="shared" si="10"/>
        <v>36625</v>
      </c>
      <c r="L105" s="24">
        <f t="shared" si="4"/>
        <v>-1000000</v>
      </c>
      <c r="M105" s="1" t="str">
        <f t="array" ref="M105">IF(K105&gt;0,INDEX(big_daily_table,MATCH(DATE(N$5,$J105,$I105),daily_dates,0),MATCH($B$3,daily_items,0)),NA())</f>
        <v>#N/A</v>
      </c>
      <c r="N105" s="1" t="str">
        <f t="array" ref="N105">IF(L105&lt;0,INDEX(big_daily_table,MATCH(DATE(N$5,$J105,$I105),daily_dates,0),MATCH($B$3,daily_items,0)),NA())</f>
        <v>#N/A</v>
      </c>
      <c r="O105" s="1" t="str">
        <f t="array" ref="O105">IF(ISBLANK(INDEX(big_daily_table,MATCH(DATE(O$5,$J105,$I105),daily_dates,0),MATCH($B$3,daily_items,0))),NA(),INDEX(big_daily_table,MATCH(DATE(O$5,$J105,$I105),daily_dates,0),MATCH($B$3,daily_items,0)))</f>
        <v>#N/A</v>
      </c>
      <c r="P105" s="1" t="str">
        <f t="array" ref="P105">IF(ISBLANK(INDEX(big_daily_table,MATCH(DATE(P$5,$J105,$I105),daily_dates,0),MATCH($B$3,daily_items,0))),NA(),INDEX(big_daily_table,MATCH(DATE(P$5,$J105,$I105),daily_dates,0),MATCH($B$3,daily_items,0)))</f>
        <v>#N/A</v>
      </c>
      <c r="Q105" s="1" t="str">
        <f t="array" ref="Q105">IF(ISBLANK(INDEX(big_daily_table,MATCH(DATE(Q$5,$J105,$I105),daily_dates,0),MATCH($B$3,daily_items,0))),NA(),INDEX(big_daily_table,MATCH(DATE(Q$5,$J105,$I105),daily_dates,0),MATCH($B$3,daily_items,0)))</f>
        <v>#N/A</v>
      </c>
      <c r="R105" s="1" t="str">
        <f t="array" ref="R105">IF(ISBLANK(INDEX(big_daily_table,MATCH(DATE(R$5,$J105,$I105),daily_dates,0),MATCH($B$3,daily_items,0))),NA(),INDEX(big_daily_table,MATCH(DATE(R$5,$J105,$I105),daily_dates,0),MATCH($B$3,daily_items,0)))</f>
        <v>#N/A</v>
      </c>
      <c r="S105" s="1" t="str">
        <f t="array" ref="S105">IF(ISBLANK(INDEX(big_daily_table,MATCH(DATE(S$5,$J105,$I105),daily_dates,0),MATCH($B$3,daily_items,0))),NA(),INDEX(big_daily_table,MATCH(DATE(S$5,$J105,$I105),daily_dates,0),MATCH($B$3,daily_items,0)))</f>
        <v>#N/A</v>
      </c>
      <c r="T105" s="1" t="str">
        <f t="array" ref="T105">IF(ISBLANK(INDEX(big_daily_table,MATCH(DATE(T$5,$J105,$I105),daily_dates,0),MATCH($B$3,daily_items,0))),NA(),INDEX(big_daily_table,MATCH(DATE(T$5,$J105,$I105),daily_dates,0),MATCH($B$3,daily_items,0)))</f>
        <v>#N/A</v>
      </c>
      <c r="U105" s="1" t="str">
        <f t="array" ref="U105">IF(ISBLANK(INDEX(big_daily_table,MATCH(DATE(U$5,$J105,$I105),daily_dates,0),MATCH($B$3,daily_items,0))),NA(),INDEX(big_daily_table,MATCH(DATE(U$5,$J105,$I105),daily_dates,0),MATCH($B$3,daily_items,0)))</f>
        <v>#N/A</v>
      </c>
      <c r="V105" s="1" t="str">
        <f t="array" ref="V105">IF(ISBLANK(INDEX(big_daily_table,MATCH(DATE(V$5,$J105,$I105),daily_dates,0),MATCH($B$3,daily_items,0))),NA(),INDEX(big_daily_table,MATCH(DATE(V$5,$J105,$I105),daily_dates,0),MATCH($B$3,daily_items,0)))</f>
        <v>#N/A</v>
      </c>
      <c r="W105" s="1" t="str">
        <f t="array" ref="W105">IF(ISBLANK(INDEX(big_daily_table,MATCH(DATE(W$5,$J105,$I105),daily_dates,0),MATCH($B$3,daily_items,0))),NA(),INDEX(big_daily_table,MATCH(DATE(W$5,$J105,$I105),daily_dates,0),MATCH($B$3,daily_items,0)))</f>
        <v>#N/A</v>
      </c>
      <c r="X105" s="1" t="str">
        <f t="array" ref="X105">IF(ISBLANK(INDEX(big_daily_table,MATCH(DATE(X$5,$J105,$I105),daily_dates,0),MATCH($B$3,daily_items,0))),NA(),INDEX(big_daily_table,MATCH(DATE(X$5,$J105,$I105),daily_dates,0),MATCH($B$3,daily_items,0)))</f>
        <v>#N/A</v>
      </c>
      <c r="Y105" s="1" t="str">
        <f t="array" ref="Y105">IF(ISBLANK(INDEX(big_daily_table,MATCH(DATE(Y$5,$J105,$I105),daily_dates,0),MATCH($B$3,daily_items,0))),NA(),INDEX(big_daily_table,MATCH(DATE(Y$5,$J105,$I105),daily_dates,0),MATCH($B$3,daily_items,0)))</f>
        <v>#N/A</v>
      </c>
      <c r="Z105" s="1" t="str">
        <f t="shared" si="5"/>
        <v>#NAME?</v>
      </c>
      <c r="AA105" s="1" t="str">
        <f t="shared" si="6"/>
        <v>#NAME?</v>
      </c>
      <c r="AB105" s="1" t="str">
        <f t="shared" si="7"/>
        <v>#NAME?</v>
      </c>
      <c r="AC105" s="1" t="str">
        <f t="shared" si="8"/>
        <v>#NAME?</v>
      </c>
    </row>
    <row r="106" ht="14.25" customHeight="1">
      <c r="H106" s="1">
        <f t="shared" si="9"/>
        <v>101</v>
      </c>
      <c r="I106" s="1">
        <f t="shared" si="2"/>
        <v>10</v>
      </c>
      <c r="J106" s="1">
        <f t="shared" si="3"/>
        <v>4</v>
      </c>
      <c r="K106" s="23">
        <f t="shared" si="10"/>
        <v>36626</v>
      </c>
      <c r="L106" s="24">
        <f t="shared" si="4"/>
        <v>-1000000</v>
      </c>
      <c r="M106" s="1" t="str">
        <f t="array" ref="M106">IF(K106&gt;0,INDEX(big_daily_table,MATCH(DATE(N$5,$J106,$I106),daily_dates,0),MATCH($B$3,daily_items,0)),NA())</f>
        <v>#N/A</v>
      </c>
      <c r="N106" s="1" t="str">
        <f t="array" ref="N106">IF(L106&lt;0,INDEX(big_daily_table,MATCH(DATE(N$5,$J106,$I106),daily_dates,0),MATCH($B$3,daily_items,0)),NA())</f>
        <v>#N/A</v>
      </c>
      <c r="O106" s="1" t="str">
        <f t="array" ref="O106">IF(ISBLANK(INDEX(big_daily_table,MATCH(DATE(O$5,$J106,$I106),daily_dates,0),MATCH($B$3,daily_items,0))),NA(),INDEX(big_daily_table,MATCH(DATE(O$5,$J106,$I106),daily_dates,0),MATCH($B$3,daily_items,0)))</f>
        <v>#N/A</v>
      </c>
      <c r="P106" s="1" t="str">
        <f t="array" ref="P106">IF(ISBLANK(INDEX(big_daily_table,MATCH(DATE(P$5,$J106,$I106),daily_dates,0),MATCH($B$3,daily_items,0))),NA(),INDEX(big_daily_table,MATCH(DATE(P$5,$J106,$I106),daily_dates,0),MATCH($B$3,daily_items,0)))</f>
        <v>#N/A</v>
      </c>
      <c r="Q106" s="1" t="str">
        <f t="array" ref="Q106">IF(ISBLANK(INDEX(big_daily_table,MATCH(DATE(Q$5,$J106,$I106),daily_dates,0),MATCH($B$3,daily_items,0))),NA(),INDEX(big_daily_table,MATCH(DATE(Q$5,$J106,$I106),daily_dates,0),MATCH($B$3,daily_items,0)))</f>
        <v>#N/A</v>
      </c>
      <c r="R106" s="1" t="str">
        <f t="array" ref="R106">IF(ISBLANK(INDEX(big_daily_table,MATCH(DATE(R$5,$J106,$I106),daily_dates,0),MATCH($B$3,daily_items,0))),NA(),INDEX(big_daily_table,MATCH(DATE(R$5,$J106,$I106),daily_dates,0),MATCH($B$3,daily_items,0)))</f>
        <v>#N/A</v>
      </c>
      <c r="S106" s="1" t="str">
        <f t="array" ref="S106">IF(ISBLANK(INDEX(big_daily_table,MATCH(DATE(S$5,$J106,$I106),daily_dates,0),MATCH($B$3,daily_items,0))),NA(),INDEX(big_daily_table,MATCH(DATE(S$5,$J106,$I106),daily_dates,0),MATCH($B$3,daily_items,0)))</f>
        <v>#N/A</v>
      </c>
      <c r="T106" s="1" t="str">
        <f t="array" ref="T106">IF(ISBLANK(INDEX(big_daily_table,MATCH(DATE(T$5,$J106,$I106),daily_dates,0),MATCH($B$3,daily_items,0))),NA(),INDEX(big_daily_table,MATCH(DATE(T$5,$J106,$I106),daily_dates,0),MATCH($B$3,daily_items,0)))</f>
        <v>#N/A</v>
      </c>
      <c r="U106" s="1" t="str">
        <f t="array" ref="U106">IF(ISBLANK(INDEX(big_daily_table,MATCH(DATE(U$5,$J106,$I106),daily_dates,0),MATCH($B$3,daily_items,0))),NA(),INDEX(big_daily_table,MATCH(DATE(U$5,$J106,$I106),daily_dates,0),MATCH($B$3,daily_items,0)))</f>
        <v>#N/A</v>
      </c>
      <c r="V106" s="1" t="str">
        <f t="array" ref="V106">IF(ISBLANK(INDEX(big_daily_table,MATCH(DATE(V$5,$J106,$I106),daily_dates,0),MATCH($B$3,daily_items,0))),NA(),INDEX(big_daily_table,MATCH(DATE(V$5,$J106,$I106),daily_dates,0),MATCH($B$3,daily_items,0)))</f>
        <v>#N/A</v>
      </c>
      <c r="W106" s="1" t="str">
        <f t="array" ref="W106">IF(ISBLANK(INDEX(big_daily_table,MATCH(DATE(W$5,$J106,$I106),daily_dates,0),MATCH($B$3,daily_items,0))),NA(),INDEX(big_daily_table,MATCH(DATE(W$5,$J106,$I106),daily_dates,0),MATCH($B$3,daily_items,0)))</f>
        <v>#N/A</v>
      </c>
      <c r="X106" s="1" t="str">
        <f t="array" ref="X106">IF(ISBLANK(INDEX(big_daily_table,MATCH(DATE(X$5,$J106,$I106),daily_dates,0),MATCH($B$3,daily_items,0))),NA(),INDEX(big_daily_table,MATCH(DATE(X$5,$J106,$I106),daily_dates,0),MATCH($B$3,daily_items,0)))</f>
        <v>#N/A</v>
      </c>
      <c r="Y106" s="1" t="str">
        <f t="array" ref="Y106">IF(ISBLANK(INDEX(big_daily_table,MATCH(DATE(Y$5,$J106,$I106),daily_dates,0),MATCH($B$3,daily_items,0))),NA(),INDEX(big_daily_table,MATCH(DATE(Y$5,$J106,$I106),daily_dates,0),MATCH($B$3,daily_items,0)))</f>
        <v>#N/A</v>
      </c>
      <c r="Z106" s="1" t="str">
        <f t="shared" si="5"/>
        <v>#NAME?</v>
      </c>
      <c r="AA106" s="1" t="str">
        <f t="shared" si="6"/>
        <v>#NAME?</v>
      </c>
      <c r="AB106" s="1" t="str">
        <f t="shared" si="7"/>
        <v>#NAME?</v>
      </c>
      <c r="AC106" s="1" t="str">
        <f t="shared" si="8"/>
        <v>#NAME?</v>
      </c>
    </row>
    <row r="107" ht="14.25" customHeight="1">
      <c r="H107" s="1">
        <f t="shared" si="9"/>
        <v>102</v>
      </c>
      <c r="I107" s="1">
        <f t="shared" si="2"/>
        <v>11</v>
      </c>
      <c r="J107" s="1">
        <f t="shared" si="3"/>
        <v>4</v>
      </c>
      <c r="K107" s="23">
        <f t="shared" si="10"/>
        <v>36627</v>
      </c>
      <c r="L107" s="24">
        <f t="shared" si="4"/>
        <v>-1000000</v>
      </c>
      <c r="M107" s="1" t="str">
        <f t="array" ref="M107">IF(K107&gt;0,INDEX(big_daily_table,MATCH(DATE(N$5,$J107,$I107),daily_dates,0),MATCH($B$3,daily_items,0)),NA())</f>
        <v>#N/A</v>
      </c>
      <c r="N107" s="1" t="str">
        <f t="array" ref="N107">IF(L107&lt;0,INDEX(big_daily_table,MATCH(DATE(N$5,$J107,$I107),daily_dates,0),MATCH($B$3,daily_items,0)),NA())</f>
        <v>#N/A</v>
      </c>
      <c r="O107" s="1" t="str">
        <f t="array" ref="O107">IF(ISBLANK(INDEX(big_daily_table,MATCH(DATE(O$5,$J107,$I107),daily_dates,0),MATCH($B$3,daily_items,0))),NA(),INDEX(big_daily_table,MATCH(DATE(O$5,$J107,$I107),daily_dates,0),MATCH($B$3,daily_items,0)))</f>
        <v>#N/A</v>
      </c>
      <c r="P107" s="1" t="str">
        <f t="array" ref="P107">IF(ISBLANK(INDEX(big_daily_table,MATCH(DATE(P$5,$J107,$I107),daily_dates,0),MATCH($B$3,daily_items,0))),NA(),INDEX(big_daily_table,MATCH(DATE(P$5,$J107,$I107),daily_dates,0),MATCH($B$3,daily_items,0)))</f>
        <v>#N/A</v>
      </c>
      <c r="Q107" s="1" t="str">
        <f t="array" ref="Q107">IF(ISBLANK(INDEX(big_daily_table,MATCH(DATE(Q$5,$J107,$I107),daily_dates,0),MATCH($B$3,daily_items,0))),NA(),INDEX(big_daily_table,MATCH(DATE(Q$5,$J107,$I107),daily_dates,0),MATCH($B$3,daily_items,0)))</f>
        <v>#N/A</v>
      </c>
      <c r="R107" s="1" t="str">
        <f t="array" ref="R107">IF(ISBLANK(INDEX(big_daily_table,MATCH(DATE(R$5,$J107,$I107),daily_dates,0),MATCH($B$3,daily_items,0))),NA(),INDEX(big_daily_table,MATCH(DATE(R$5,$J107,$I107),daily_dates,0),MATCH($B$3,daily_items,0)))</f>
        <v>#N/A</v>
      </c>
      <c r="S107" s="1" t="str">
        <f t="array" ref="S107">IF(ISBLANK(INDEX(big_daily_table,MATCH(DATE(S$5,$J107,$I107),daily_dates,0),MATCH($B$3,daily_items,0))),NA(),INDEX(big_daily_table,MATCH(DATE(S$5,$J107,$I107),daily_dates,0),MATCH($B$3,daily_items,0)))</f>
        <v>#N/A</v>
      </c>
      <c r="T107" s="1" t="str">
        <f t="array" ref="T107">IF(ISBLANK(INDEX(big_daily_table,MATCH(DATE(T$5,$J107,$I107),daily_dates,0),MATCH($B$3,daily_items,0))),NA(),INDEX(big_daily_table,MATCH(DATE(T$5,$J107,$I107),daily_dates,0),MATCH($B$3,daily_items,0)))</f>
        <v>#N/A</v>
      </c>
      <c r="U107" s="1" t="str">
        <f t="array" ref="U107">IF(ISBLANK(INDEX(big_daily_table,MATCH(DATE(U$5,$J107,$I107),daily_dates,0),MATCH($B$3,daily_items,0))),NA(),INDEX(big_daily_table,MATCH(DATE(U$5,$J107,$I107),daily_dates,0),MATCH($B$3,daily_items,0)))</f>
        <v>#N/A</v>
      </c>
      <c r="V107" s="1" t="str">
        <f t="array" ref="V107">IF(ISBLANK(INDEX(big_daily_table,MATCH(DATE(V$5,$J107,$I107),daily_dates,0),MATCH($B$3,daily_items,0))),NA(),INDEX(big_daily_table,MATCH(DATE(V$5,$J107,$I107),daily_dates,0),MATCH($B$3,daily_items,0)))</f>
        <v>#N/A</v>
      </c>
      <c r="W107" s="1" t="str">
        <f t="array" ref="W107">IF(ISBLANK(INDEX(big_daily_table,MATCH(DATE(W$5,$J107,$I107),daily_dates,0),MATCH($B$3,daily_items,0))),NA(),INDEX(big_daily_table,MATCH(DATE(W$5,$J107,$I107),daily_dates,0),MATCH($B$3,daily_items,0)))</f>
        <v>#N/A</v>
      </c>
      <c r="X107" s="1" t="str">
        <f t="array" ref="X107">IF(ISBLANK(INDEX(big_daily_table,MATCH(DATE(X$5,$J107,$I107),daily_dates,0),MATCH($B$3,daily_items,0))),NA(),INDEX(big_daily_table,MATCH(DATE(X$5,$J107,$I107),daily_dates,0),MATCH($B$3,daily_items,0)))</f>
        <v>#N/A</v>
      </c>
      <c r="Y107" s="1" t="str">
        <f t="array" ref="Y107">IF(ISBLANK(INDEX(big_daily_table,MATCH(DATE(Y$5,$J107,$I107),daily_dates,0),MATCH($B$3,daily_items,0))),NA(),INDEX(big_daily_table,MATCH(DATE(Y$5,$J107,$I107),daily_dates,0),MATCH($B$3,daily_items,0)))</f>
        <v>#N/A</v>
      </c>
      <c r="Z107" s="1" t="str">
        <f t="shared" si="5"/>
        <v>#NAME?</v>
      </c>
      <c r="AA107" s="1" t="str">
        <f t="shared" si="6"/>
        <v>#NAME?</v>
      </c>
      <c r="AB107" s="1" t="str">
        <f t="shared" si="7"/>
        <v>#NAME?</v>
      </c>
      <c r="AC107" s="1" t="str">
        <f t="shared" si="8"/>
        <v>#NAME?</v>
      </c>
    </row>
    <row r="108" ht="14.25" customHeight="1">
      <c r="H108" s="1">
        <f t="shared" si="9"/>
        <v>103</v>
      </c>
      <c r="I108" s="1">
        <f t="shared" si="2"/>
        <v>12</v>
      </c>
      <c r="J108" s="1">
        <f t="shared" si="3"/>
        <v>4</v>
      </c>
      <c r="K108" s="23">
        <f t="shared" si="10"/>
        <v>36628</v>
      </c>
      <c r="L108" s="24">
        <f t="shared" si="4"/>
        <v>-1000000</v>
      </c>
      <c r="M108" s="1" t="str">
        <f t="array" ref="M108">IF(K108&gt;0,INDEX(big_daily_table,MATCH(DATE(N$5,$J108,$I108),daily_dates,0),MATCH($B$3,daily_items,0)),NA())</f>
        <v>#N/A</v>
      </c>
      <c r="N108" s="1" t="str">
        <f t="array" ref="N108">IF(L108&lt;0,INDEX(big_daily_table,MATCH(DATE(N$5,$J108,$I108),daily_dates,0),MATCH($B$3,daily_items,0)),NA())</f>
        <v>#N/A</v>
      </c>
      <c r="O108" s="1" t="str">
        <f t="array" ref="O108">IF(ISBLANK(INDEX(big_daily_table,MATCH(DATE(O$5,$J108,$I108),daily_dates,0),MATCH($B$3,daily_items,0))),NA(),INDEX(big_daily_table,MATCH(DATE(O$5,$J108,$I108),daily_dates,0),MATCH($B$3,daily_items,0)))</f>
        <v>#N/A</v>
      </c>
      <c r="P108" s="1" t="str">
        <f t="array" ref="P108">IF(ISBLANK(INDEX(big_daily_table,MATCH(DATE(P$5,$J108,$I108),daily_dates,0),MATCH($B$3,daily_items,0))),NA(),INDEX(big_daily_table,MATCH(DATE(P$5,$J108,$I108),daily_dates,0),MATCH($B$3,daily_items,0)))</f>
        <v>#N/A</v>
      </c>
      <c r="Q108" s="1" t="str">
        <f t="array" ref="Q108">IF(ISBLANK(INDEX(big_daily_table,MATCH(DATE(Q$5,$J108,$I108),daily_dates,0),MATCH($B$3,daily_items,0))),NA(),INDEX(big_daily_table,MATCH(DATE(Q$5,$J108,$I108),daily_dates,0),MATCH($B$3,daily_items,0)))</f>
        <v>#N/A</v>
      </c>
      <c r="R108" s="1" t="str">
        <f t="array" ref="R108">IF(ISBLANK(INDEX(big_daily_table,MATCH(DATE(R$5,$J108,$I108),daily_dates,0),MATCH($B$3,daily_items,0))),NA(),INDEX(big_daily_table,MATCH(DATE(R$5,$J108,$I108),daily_dates,0),MATCH($B$3,daily_items,0)))</f>
        <v>#N/A</v>
      </c>
      <c r="S108" s="1" t="str">
        <f t="array" ref="S108">IF(ISBLANK(INDEX(big_daily_table,MATCH(DATE(S$5,$J108,$I108),daily_dates,0),MATCH($B$3,daily_items,0))),NA(),INDEX(big_daily_table,MATCH(DATE(S$5,$J108,$I108),daily_dates,0),MATCH($B$3,daily_items,0)))</f>
        <v>#N/A</v>
      </c>
      <c r="T108" s="1" t="str">
        <f t="array" ref="T108">IF(ISBLANK(INDEX(big_daily_table,MATCH(DATE(T$5,$J108,$I108),daily_dates,0),MATCH($B$3,daily_items,0))),NA(),INDEX(big_daily_table,MATCH(DATE(T$5,$J108,$I108),daily_dates,0),MATCH($B$3,daily_items,0)))</f>
        <v>#N/A</v>
      </c>
      <c r="U108" s="1" t="str">
        <f t="array" ref="U108">IF(ISBLANK(INDEX(big_daily_table,MATCH(DATE(U$5,$J108,$I108),daily_dates,0),MATCH($B$3,daily_items,0))),NA(),INDEX(big_daily_table,MATCH(DATE(U$5,$J108,$I108),daily_dates,0),MATCH($B$3,daily_items,0)))</f>
        <v>#N/A</v>
      </c>
      <c r="V108" s="1" t="str">
        <f t="array" ref="V108">IF(ISBLANK(INDEX(big_daily_table,MATCH(DATE(V$5,$J108,$I108),daily_dates,0),MATCH($B$3,daily_items,0))),NA(),INDEX(big_daily_table,MATCH(DATE(V$5,$J108,$I108),daily_dates,0),MATCH($B$3,daily_items,0)))</f>
        <v>#N/A</v>
      </c>
      <c r="W108" s="1" t="str">
        <f t="array" ref="W108">IF(ISBLANK(INDEX(big_daily_table,MATCH(DATE(W$5,$J108,$I108),daily_dates,0),MATCH($B$3,daily_items,0))),NA(),INDEX(big_daily_table,MATCH(DATE(W$5,$J108,$I108),daily_dates,0),MATCH($B$3,daily_items,0)))</f>
        <v>#N/A</v>
      </c>
      <c r="X108" s="1" t="str">
        <f t="array" ref="X108">IF(ISBLANK(INDEX(big_daily_table,MATCH(DATE(X$5,$J108,$I108),daily_dates,0),MATCH($B$3,daily_items,0))),NA(),INDEX(big_daily_table,MATCH(DATE(X$5,$J108,$I108),daily_dates,0),MATCH($B$3,daily_items,0)))</f>
        <v>#N/A</v>
      </c>
      <c r="Y108" s="1" t="str">
        <f t="array" ref="Y108">IF(ISBLANK(INDEX(big_daily_table,MATCH(DATE(Y$5,$J108,$I108),daily_dates,0),MATCH($B$3,daily_items,0))),NA(),INDEX(big_daily_table,MATCH(DATE(Y$5,$J108,$I108),daily_dates,0),MATCH($B$3,daily_items,0)))</f>
        <v>#N/A</v>
      </c>
      <c r="Z108" s="1" t="str">
        <f t="shared" si="5"/>
        <v>#NAME?</v>
      </c>
      <c r="AA108" s="1" t="str">
        <f t="shared" si="6"/>
        <v>#NAME?</v>
      </c>
      <c r="AB108" s="1" t="str">
        <f t="shared" si="7"/>
        <v>#NAME?</v>
      </c>
      <c r="AC108" s="1" t="str">
        <f t="shared" si="8"/>
        <v>#NAME?</v>
      </c>
    </row>
    <row r="109" ht="14.25" customHeight="1">
      <c r="H109" s="1">
        <f t="shared" si="9"/>
        <v>104</v>
      </c>
      <c r="I109" s="1">
        <f t="shared" si="2"/>
        <v>13</v>
      </c>
      <c r="J109" s="1">
        <f t="shared" si="3"/>
        <v>4</v>
      </c>
      <c r="K109" s="23">
        <f t="shared" si="10"/>
        <v>36629</v>
      </c>
      <c r="L109" s="24">
        <f t="shared" si="4"/>
        <v>-1000000</v>
      </c>
      <c r="M109" s="1" t="str">
        <f t="array" ref="M109">IF(K109&gt;0,INDEX(big_daily_table,MATCH(DATE(N$5,$J109,$I109),daily_dates,0),MATCH($B$3,daily_items,0)),NA())</f>
        <v>#N/A</v>
      </c>
      <c r="N109" s="1" t="str">
        <f t="array" ref="N109">IF(L109&lt;0,INDEX(big_daily_table,MATCH(DATE(N$5,$J109,$I109),daily_dates,0),MATCH($B$3,daily_items,0)),NA())</f>
        <v>#N/A</v>
      </c>
      <c r="O109" s="1" t="str">
        <f t="array" ref="O109">IF(ISBLANK(INDEX(big_daily_table,MATCH(DATE(O$5,$J109,$I109),daily_dates,0),MATCH($B$3,daily_items,0))),NA(),INDEX(big_daily_table,MATCH(DATE(O$5,$J109,$I109),daily_dates,0),MATCH($B$3,daily_items,0)))</f>
        <v>#N/A</v>
      </c>
      <c r="P109" s="1" t="str">
        <f t="array" ref="P109">IF(ISBLANK(INDEX(big_daily_table,MATCH(DATE(P$5,$J109,$I109),daily_dates,0),MATCH($B$3,daily_items,0))),NA(),INDEX(big_daily_table,MATCH(DATE(P$5,$J109,$I109),daily_dates,0),MATCH($B$3,daily_items,0)))</f>
        <v>#N/A</v>
      </c>
      <c r="Q109" s="1" t="str">
        <f t="array" ref="Q109">IF(ISBLANK(INDEX(big_daily_table,MATCH(DATE(Q$5,$J109,$I109),daily_dates,0),MATCH($B$3,daily_items,0))),NA(),INDEX(big_daily_table,MATCH(DATE(Q$5,$J109,$I109),daily_dates,0),MATCH($B$3,daily_items,0)))</f>
        <v>#N/A</v>
      </c>
      <c r="R109" s="1" t="str">
        <f t="array" ref="R109">IF(ISBLANK(INDEX(big_daily_table,MATCH(DATE(R$5,$J109,$I109),daily_dates,0),MATCH($B$3,daily_items,0))),NA(),INDEX(big_daily_table,MATCH(DATE(R$5,$J109,$I109),daily_dates,0),MATCH($B$3,daily_items,0)))</f>
        <v>#N/A</v>
      </c>
      <c r="S109" s="1" t="str">
        <f t="array" ref="S109">IF(ISBLANK(INDEX(big_daily_table,MATCH(DATE(S$5,$J109,$I109),daily_dates,0),MATCH($B$3,daily_items,0))),NA(),INDEX(big_daily_table,MATCH(DATE(S$5,$J109,$I109),daily_dates,0),MATCH($B$3,daily_items,0)))</f>
        <v>#N/A</v>
      </c>
      <c r="T109" s="1" t="str">
        <f t="array" ref="T109">IF(ISBLANK(INDEX(big_daily_table,MATCH(DATE(T$5,$J109,$I109),daily_dates,0),MATCH($B$3,daily_items,0))),NA(),INDEX(big_daily_table,MATCH(DATE(T$5,$J109,$I109),daily_dates,0),MATCH($B$3,daily_items,0)))</f>
        <v>#N/A</v>
      </c>
      <c r="U109" s="1" t="str">
        <f t="array" ref="U109">IF(ISBLANK(INDEX(big_daily_table,MATCH(DATE(U$5,$J109,$I109),daily_dates,0),MATCH($B$3,daily_items,0))),NA(),INDEX(big_daily_table,MATCH(DATE(U$5,$J109,$I109),daily_dates,0),MATCH($B$3,daily_items,0)))</f>
        <v>#N/A</v>
      </c>
      <c r="V109" s="1" t="str">
        <f t="array" ref="V109">IF(ISBLANK(INDEX(big_daily_table,MATCH(DATE(V$5,$J109,$I109),daily_dates,0),MATCH($B$3,daily_items,0))),NA(),INDEX(big_daily_table,MATCH(DATE(V$5,$J109,$I109),daily_dates,0),MATCH($B$3,daily_items,0)))</f>
        <v>#N/A</v>
      </c>
      <c r="W109" s="1" t="str">
        <f t="array" ref="W109">IF(ISBLANK(INDEX(big_daily_table,MATCH(DATE(W$5,$J109,$I109),daily_dates,0),MATCH($B$3,daily_items,0))),NA(),INDEX(big_daily_table,MATCH(DATE(W$5,$J109,$I109),daily_dates,0),MATCH($B$3,daily_items,0)))</f>
        <v>#N/A</v>
      </c>
      <c r="X109" s="1" t="str">
        <f t="array" ref="X109">IF(ISBLANK(INDEX(big_daily_table,MATCH(DATE(X$5,$J109,$I109),daily_dates,0),MATCH($B$3,daily_items,0))),NA(),INDEX(big_daily_table,MATCH(DATE(X$5,$J109,$I109),daily_dates,0),MATCH($B$3,daily_items,0)))</f>
        <v>#N/A</v>
      </c>
      <c r="Y109" s="1" t="str">
        <f t="array" ref="Y109">IF(ISBLANK(INDEX(big_daily_table,MATCH(DATE(Y$5,$J109,$I109),daily_dates,0),MATCH($B$3,daily_items,0))),NA(),INDEX(big_daily_table,MATCH(DATE(Y$5,$J109,$I109),daily_dates,0),MATCH($B$3,daily_items,0)))</f>
        <v>#N/A</v>
      </c>
      <c r="Z109" s="1" t="str">
        <f t="shared" si="5"/>
        <v>#NAME?</v>
      </c>
      <c r="AA109" s="1" t="str">
        <f t="shared" si="6"/>
        <v>#NAME?</v>
      </c>
      <c r="AB109" s="1" t="str">
        <f t="shared" si="7"/>
        <v>#NAME?</v>
      </c>
      <c r="AC109" s="1" t="str">
        <f t="shared" si="8"/>
        <v>#NAME?</v>
      </c>
    </row>
    <row r="110" ht="14.25" customHeight="1">
      <c r="H110" s="1">
        <f t="shared" si="9"/>
        <v>105</v>
      </c>
      <c r="I110" s="1">
        <f t="shared" si="2"/>
        <v>14</v>
      </c>
      <c r="J110" s="1">
        <f t="shared" si="3"/>
        <v>4</v>
      </c>
      <c r="K110" s="23">
        <f t="shared" si="10"/>
        <v>36630</v>
      </c>
      <c r="L110" s="24">
        <f t="shared" si="4"/>
        <v>-1000000</v>
      </c>
      <c r="M110" s="1" t="str">
        <f t="array" ref="M110">IF(K110&gt;0,INDEX(big_daily_table,MATCH(DATE(N$5,$J110,$I110),daily_dates,0),MATCH($B$3,daily_items,0)),NA())</f>
        <v>#N/A</v>
      </c>
      <c r="N110" s="1" t="str">
        <f t="array" ref="N110">IF(L110&lt;0,INDEX(big_daily_table,MATCH(DATE(N$5,$J110,$I110),daily_dates,0),MATCH($B$3,daily_items,0)),NA())</f>
        <v>#N/A</v>
      </c>
      <c r="O110" s="1" t="str">
        <f t="array" ref="O110">IF(ISBLANK(INDEX(big_daily_table,MATCH(DATE(O$5,$J110,$I110),daily_dates,0),MATCH($B$3,daily_items,0))),NA(),INDEX(big_daily_table,MATCH(DATE(O$5,$J110,$I110),daily_dates,0),MATCH($B$3,daily_items,0)))</f>
        <v>#N/A</v>
      </c>
      <c r="P110" s="1" t="str">
        <f t="array" ref="P110">IF(ISBLANK(INDEX(big_daily_table,MATCH(DATE(P$5,$J110,$I110),daily_dates,0),MATCH($B$3,daily_items,0))),NA(),INDEX(big_daily_table,MATCH(DATE(P$5,$J110,$I110),daily_dates,0),MATCH($B$3,daily_items,0)))</f>
        <v>#N/A</v>
      </c>
      <c r="Q110" s="1" t="str">
        <f t="array" ref="Q110">IF(ISBLANK(INDEX(big_daily_table,MATCH(DATE(Q$5,$J110,$I110),daily_dates,0),MATCH($B$3,daily_items,0))),NA(),INDEX(big_daily_table,MATCH(DATE(Q$5,$J110,$I110),daily_dates,0),MATCH($B$3,daily_items,0)))</f>
        <v>#N/A</v>
      </c>
      <c r="R110" s="1" t="str">
        <f t="array" ref="R110">IF(ISBLANK(INDEX(big_daily_table,MATCH(DATE(R$5,$J110,$I110),daily_dates,0),MATCH($B$3,daily_items,0))),NA(),INDEX(big_daily_table,MATCH(DATE(R$5,$J110,$I110),daily_dates,0),MATCH($B$3,daily_items,0)))</f>
        <v>#N/A</v>
      </c>
      <c r="S110" s="1" t="str">
        <f t="array" ref="S110">IF(ISBLANK(INDEX(big_daily_table,MATCH(DATE(S$5,$J110,$I110),daily_dates,0),MATCH($B$3,daily_items,0))),NA(),INDEX(big_daily_table,MATCH(DATE(S$5,$J110,$I110),daily_dates,0),MATCH($B$3,daily_items,0)))</f>
        <v>#N/A</v>
      </c>
      <c r="T110" s="1" t="str">
        <f t="array" ref="T110">IF(ISBLANK(INDEX(big_daily_table,MATCH(DATE(T$5,$J110,$I110),daily_dates,0),MATCH($B$3,daily_items,0))),NA(),INDEX(big_daily_table,MATCH(DATE(T$5,$J110,$I110),daily_dates,0),MATCH($B$3,daily_items,0)))</f>
        <v>#N/A</v>
      </c>
      <c r="U110" s="1" t="str">
        <f t="array" ref="U110">IF(ISBLANK(INDEX(big_daily_table,MATCH(DATE(U$5,$J110,$I110),daily_dates,0),MATCH($B$3,daily_items,0))),NA(),INDEX(big_daily_table,MATCH(DATE(U$5,$J110,$I110),daily_dates,0),MATCH($B$3,daily_items,0)))</f>
        <v>#N/A</v>
      </c>
      <c r="V110" s="1" t="str">
        <f t="array" ref="V110">IF(ISBLANK(INDEX(big_daily_table,MATCH(DATE(V$5,$J110,$I110),daily_dates,0),MATCH($B$3,daily_items,0))),NA(),INDEX(big_daily_table,MATCH(DATE(V$5,$J110,$I110),daily_dates,0),MATCH($B$3,daily_items,0)))</f>
        <v>#N/A</v>
      </c>
      <c r="W110" s="1" t="str">
        <f t="array" ref="W110">IF(ISBLANK(INDEX(big_daily_table,MATCH(DATE(W$5,$J110,$I110),daily_dates,0),MATCH($B$3,daily_items,0))),NA(),INDEX(big_daily_table,MATCH(DATE(W$5,$J110,$I110),daily_dates,0),MATCH($B$3,daily_items,0)))</f>
        <v>#N/A</v>
      </c>
      <c r="X110" s="1" t="str">
        <f t="array" ref="X110">IF(ISBLANK(INDEX(big_daily_table,MATCH(DATE(X$5,$J110,$I110),daily_dates,0),MATCH($B$3,daily_items,0))),NA(),INDEX(big_daily_table,MATCH(DATE(X$5,$J110,$I110),daily_dates,0),MATCH($B$3,daily_items,0)))</f>
        <v>#N/A</v>
      </c>
      <c r="Y110" s="1" t="str">
        <f t="array" ref="Y110">IF(ISBLANK(INDEX(big_daily_table,MATCH(DATE(Y$5,$J110,$I110),daily_dates,0),MATCH($B$3,daily_items,0))),NA(),INDEX(big_daily_table,MATCH(DATE(Y$5,$J110,$I110),daily_dates,0),MATCH($B$3,daily_items,0)))</f>
        <v>#N/A</v>
      </c>
      <c r="Z110" s="1" t="str">
        <f t="shared" si="5"/>
        <v>#NAME?</v>
      </c>
      <c r="AA110" s="1" t="str">
        <f t="shared" si="6"/>
        <v>#NAME?</v>
      </c>
      <c r="AB110" s="1" t="str">
        <f t="shared" si="7"/>
        <v>#NAME?</v>
      </c>
      <c r="AC110" s="1" t="str">
        <f t="shared" si="8"/>
        <v>#NAME?</v>
      </c>
    </row>
    <row r="111" ht="14.25" customHeight="1">
      <c r="H111" s="1">
        <f t="shared" si="9"/>
        <v>106</v>
      </c>
      <c r="I111" s="1">
        <f t="shared" si="2"/>
        <v>15</v>
      </c>
      <c r="J111" s="1">
        <f t="shared" si="3"/>
        <v>4</v>
      </c>
      <c r="K111" s="23">
        <f t="shared" si="10"/>
        <v>36631</v>
      </c>
      <c r="L111" s="24">
        <f t="shared" si="4"/>
        <v>-1000000</v>
      </c>
      <c r="M111" s="1" t="str">
        <f t="array" ref="M111">IF(K111&gt;0,INDEX(big_daily_table,MATCH(DATE(N$5,$J111,$I111),daily_dates,0),MATCH($B$3,daily_items,0)),NA())</f>
        <v>#N/A</v>
      </c>
      <c r="N111" s="1" t="str">
        <f t="array" ref="N111">IF(L111&lt;0,INDEX(big_daily_table,MATCH(DATE(N$5,$J111,$I111),daily_dates,0),MATCH($B$3,daily_items,0)),NA())</f>
        <v>#N/A</v>
      </c>
      <c r="O111" s="1" t="str">
        <f t="array" ref="O111">IF(ISBLANK(INDEX(big_daily_table,MATCH(DATE(O$5,$J111,$I111),daily_dates,0),MATCH($B$3,daily_items,0))),NA(),INDEX(big_daily_table,MATCH(DATE(O$5,$J111,$I111),daily_dates,0),MATCH($B$3,daily_items,0)))</f>
        <v>#N/A</v>
      </c>
      <c r="P111" s="1" t="str">
        <f t="array" ref="P111">IF(ISBLANK(INDEX(big_daily_table,MATCH(DATE(P$5,$J111,$I111),daily_dates,0),MATCH($B$3,daily_items,0))),NA(),INDEX(big_daily_table,MATCH(DATE(P$5,$J111,$I111),daily_dates,0),MATCH($B$3,daily_items,0)))</f>
        <v>#N/A</v>
      </c>
      <c r="Q111" s="1" t="str">
        <f t="array" ref="Q111">IF(ISBLANK(INDEX(big_daily_table,MATCH(DATE(Q$5,$J111,$I111),daily_dates,0),MATCH($B$3,daily_items,0))),NA(),INDEX(big_daily_table,MATCH(DATE(Q$5,$J111,$I111),daily_dates,0),MATCH($B$3,daily_items,0)))</f>
        <v>#N/A</v>
      </c>
      <c r="R111" s="1" t="str">
        <f t="array" ref="R111">IF(ISBLANK(INDEX(big_daily_table,MATCH(DATE(R$5,$J111,$I111),daily_dates,0),MATCH($B$3,daily_items,0))),NA(),INDEX(big_daily_table,MATCH(DATE(R$5,$J111,$I111),daily_dates,0),MATCH($B$3,daily_items,0)))</f>
        <v>#N/A</v>
      </c>
      <c r="S111" s="1" t="str">
        <f t="array" ref="S111">IF(ISBLANK(INDEX(big_daily_table,MATCH(DATE(S$5,$J111,$I111),daily_dates,0),MATCH($B$3,daily_items,0))),NA(),INDEX(big_daily_table,MATCH(DATE(S$5,$J111,$I111),daily_dates,0),MATCH($B$3,daily_items,0)))</f>
        <v>#N/A</v>
      </c>
      <c r="T111" s="1" t="str">
        <f t="array" ref="T111">IF(ISBLANK(INDEX(big_daily_table,MATCH(DATE(T$5,$J111,$I111),daily_dates,0),MATCH($B$3,daily_items,0))),NA(),INDEX(big_daily_table,MATCH(DATE(T$5,$J111,$I111),daily_dates,0),MATCH($B$3,daily_items,0)))</f>
        <v>#N/A</v>
      </c>
      <c r="U111" s="1" t="str">
        <f t="array" ref="U111">IF(ISBLANK(INDEX(big_daily_table,MATCH(DATE(U$5,$J111,$I111),daily_dates,0),MATCH($B$3,daily_items,0))),NA(),INDEX(big_daily_table,MATCH(DATE(U$5,$J111,$I111),daily_dates,0),MATCH($B$3,daily_items,0)))</f>
        <v>#N/A</v>
      </c>
      <c r="V111" s="1" t="str">
        <f t="array" ref="V111">IF(ISBLANK(INDEX(big_daily_table,MATCH(DATE(V$5,$J111,$I111),daily_dates,0),MATCH($B$3,daily_items,0))),NA(),INDEX(big_daily_table,MATCH(DATE(V$5,$J111,$I111),daily_dates,0),MATCH($B$3,daily_items,0)))</f>
        <v>#N/A</v>
      </c>
      <c r="W111" s="1" t="str">
        <f t="array" ref="W111">IF(ISBLANK(INDEX(big_daily_table,MATCH(DATE(W$5,$J111,$I111),daily_dates,0),MATCH($B$3,daily_items,0))),NA(),INDEX(big_daily_table,MATCH(DATE(W$5,$J111,$I111),daily_dates,0),MATCH($B$3,daily_items,0)))</f>
        <v>#N/A</v>
      </c>
      <c r="X111" s="1" t="str">
        <f t="array" ref="X111">IF(ISBLANK(INDEX(big_daily_table,MATCH(DATE(X$5,$J111,$I111),daily_dates,0),MATCH($B$3,daily_items,0))),NA(),INDEX(big_daily_table,MATCH(DATE(X$5,$J111,$I111),daily_dates,0),MATCH($B$3,daily_items,0)))</f>
        <v>#N/A</v>
      </c>
      <c r="Y111" s="1" t="str">
        <f t="array" ref="Y111">IF(ISBLANK(INDEX(big_daily_table,MATCH(DATE(Y$5,$J111,$I111),daily_dates,0),MATCH($B$3,daily_items,0))),NA(),INDEX(big_daily_table,MATCH(DATE(Y$5,$J111,$I111),daily_dates,0),MATCH($B$3,daily_items,0)))</f>
        <v>#N/A</v>
      </c>
      <c r="Z111" s="1" t="str">
        <f t="shared" si="5"/>
        <v>#NAME?</v>
      </c>
      <c r="AA111" s="1" t="str">
        <f t="shared" si="6"/>
        <v>#NAME?</v>
      </c>
      <c r="AB111" s="1" t="str">
        <f t="shared" si="7"/>
        <v>#NAME?</v>
      </c>
      <c r="AC111" s="1" t="str">
        <f t="shared" si="8"/>
        <v>#NAME?</v>
      </c>
    </row>
    <row r="112" ht="14.25" customHeight="1">
      <c r="H112" s="1">
        <f t="shared" si="9"/>
        <v>107</v>
      </c>
      <c r="I112" s="1">
        <f t="shared" si="2"/>
        <v>16</v>
      </c>
      <c r="J112" s="1">
        <f t="shared" si="3"/>
        <v>4</v>
      </c>
      <c r="K112" s="23">
        <f t="shared" si="10"/>
        <v>36632</v>
      </c>
      <c r="L112" s="24">
        <f t="shared" si="4"/>
        <v>-1000000</v>
      </c>
      <c r="M112" s="1" t="str">
        <f t="array" ref="M112">IF(K112&gt;0,INDEX(big_daily_table,MATCH(DATE(N$5,$J112,$I112),daily_dates,0),MATCH($B$3,daily_items,0)),NA())</f>
        <v>#N/A</v>
      </c>
      <c r="N112" s="1" t="str">
        <f t="array" ref="N112">IF(L112&lt;0,INDEX(big_daily_table,MATCH(DATE(N$5,$J112,$I112),daily_dates,0),MATCH($B$3,daily_items,0)),NA())</f>
        <v>#N/A</v>
      </c>
      <c r="O112" s="1" t="str">
        <f t="array" ref="O112">IF(ISBLANK(INDEX(big_daily_table,MATCH(DATE(O$5,$J112,$I112),daily_dates,0),MATCH($B$3,daily_items,0))),NA(),INDEX(big_daily_table,MATCH(DATE(O$5,$J112,$I112),daily_dates,0),MATCH($B$3,daily_items,0)))</f>
        <v>#N/A</v>
      </c>
      <c r="P112" s="1" t="str">
        <f t="array" ref="P112">IF(ISBLANK(INDEX(big_daily_table,MATCH(DATE(P$5,$J112,$I112),daily_dates,0),MATCH($B$3,daily_items,0))),NA(),INDEX(big_daily_table,MATCH(DATE(P$5,$J112,$I112),daily_dates,0),MATCH($B$3,daily_items,0)))</f>
        <v>#N/A</v>
      </c>
      <c r="Q112" s="1" t="str">
        <f t="array" ref="Q112">IF(ISBLANK(INDEX(big_daily_table,MATCH(DATE(Q$5,$J112,$I112),daily_dates,0),MATCH($B$3,daily_items,0))),NA(),INDEX(big_daily_table,MATCH(DATE(Q$5,$J112,$I112),daily_dates,0),MATCH($B$3,daily_items,0)))</f>
        <v>#N/A</v>
      </c>
      <c r="R112" s="1" t="str">
        <f t="array" ref="R112">IF(ISBLANK(INDEX(big_daily_table,MATCH(DATE(R$5,$J112,$I112),daily_dates,0),MATCH($B$3,daily_items,0))),NA(),INDEX(big_daily_table,MATCH(DATE(R$5,$J112,$I112),daily_dates,0),MATCH($B$3,daily_items,0)))</f>
        <v>#N/A</v>
      </c>
      <c r="S112" s="1" t="str">
        <f t="array" ref="S112">IF(ISBLANK(INDEX(big_daily_table,MATCH(DATE(S$5,$J112,$I112),daily_dates,0),MATCH($B$3,daily_items,0))),NA(),INDEX(big_daily_table,MATCH(DATE(S$5,$J112,$I112),daily_dates,0),MATCH($B$3,daily_items,0)))</f>
        <v>#N/A</v>
      </c>
      <c r="T112" s="1" t="str">
        <f t="array" ref="T112">IF(ISBLANK(INDEX(big_daily_table,MATCH(DATE(T$5,$J112,$I112),daily_dates,0),MATCH($B$3,daily_items,0))),NA(),INDEX(big_daily_table,MATCH(DATE(T$5,$J112,$I112),daily_dates,0),MATCH($B$3,daily_items,0)))</f>
        <v>#N/A</v>
      </c>
      <c r="U112" s="1" t="str">
        <f t="array" ref="U112">IF(ISBLANK(INDEX(big_daily_table,MATCH(DATE(U$5,$J112,$I112),daily_dates,0),MATCH($B$3,daily_items,0))),NA(),INDEX(big_daily_table,MATCH(DATE(U$5,$J112,$I112),daily_dates,0),MATCH($B$3,daily_items,0)))</f>
        <v>#N/A</v>
      </c>
      <c r="V112" s="1" t="str">
        <f t="array" ref="V112">IF(ISBLANK(INDEX(big_daily_table,MATCH(DATE(V$5,$J112,$I112),daily_dates,0),MATCH($B$3,daily_items,0))),NA(),INDEX(big_daily_table,MATCH(DATE(V$5,$J112,$I112),daily_dates,0),MATCH($B$3,daily_items,0)))</f>
        <v>#N/A</v>
      </c>
      <c r="W112" s="1" t="str">
        <f t="array" ref="W112">IF(ISBLANK(INDEX(big_daily_table,MATCH(DATE(W$5,$J112,$I112),daily_dates,0),MATCH($B$3,daily_items,0))),NA(),INDEX(big_daily_table,MATCH(DATE(W$5,$J112,$I112),daily_dates,0),MATCH($B$3,daily_items,0)))</f>
        <v>#N/A</v>
      </c>
      <c r="X112" s="1" t="str">
        <f t="array" ref="X112">IF(ISBLANK(INDEX(big_daily_table,MATCH(DATE(X$5,$J112,$I112),daily_dates,0),MATCH($B$3,daily_items,0))),NA(),INDEX(big_daily_table,MATCH(DATE(X$5,$J112,$I112),daily_dates,0),MATCH($B$3,daily_items,0)))</f>
        <v>#N/A</v>
      </c>
      <c r="Y112" s="1" t="str">
        <f t="array" ref="Y112">IF(ISBLANK(INDEX(big_daily_table,MATCH(DATE(Y$5,$J112,$I112),daily_dates,0),MATCH($B$3,daily_items,0))),NA(),INDEX(big_daily_table,MATCH(DATE(Y$5,$J112,$I112),daily_dates,0),MATCH($B$3,daily_items,0)))</f>
        <v>#N/A</v>
      </c>
      <c r="Z112" s="1" t="str">
        <f t="shared" si="5"/>
        <v>#NAME?</v>
      </c>
      <c r="AA112" s="1" t="str">
        <f t="shared" si="6"/>
        <v>#NAME?</v>
      </c>
      <c r="AB112" s="1" t="str">
        <f t="shared" si="7"/>
        <v>#NAME?</v>
      </c>
      <c r="AC112" s="1" t="str">
        <f t="shared" si="8"/>
        <v>#NAME?</v>
      </c>
    </row>
    <row r="113" ht="14.25" customHeight="1">
      <c r="H113" s="1">
        <f t="shared" si="9"/>
        <v>108</v>
      </c>
      <c r="I113" s="1">
        <f t="shared" si="2"/>
        <v>17</v>
      </c>
      <c r="J113" s="1">
        <f t="shared" si="3"/>
        <v>4</v>
      </c>
      <c r="K113" s="23">
        <f t="shared" si="10"/>
        <v>36633</v>
      </c>
      <c r="L113" s="24">
        <f t="shared" si="4"/>
        <v>-1000000</v>
      </c>
      <c r="M113" s="1" t="str">
        <f t="array" ref="M113">IF(K113&gt;0,INDEX(big_daily_table,MATCH(DATE(N$5,$J113,$I113),daily_dates,0),MATCH($B$3,daily_items,0)),NA())</f>
        <v>#N/A</v>
      </c>
      <c r="N113" s="1" t="str">
        <f t="array" ref="N113">IF(L113&lt;0,INDEX(big_daily_table,MATCH(DATE(N$5,$J113,$I113),daily_dates,0),MATCH($B$3,daily_items,0)),NA())</f>
        <v>#N/A</v>
      </c>
      <c r="O113" s="1" t="str">
        <f t="array" ref="O113">IF(ISBLANK(INDEX(big_daily_table,MATCH(DATE(O$5,$J113,$I113),daily_dates,0),MATCH($B$3,daily_items,0))),NA(),INDEX(big_daily_table,MATCH(DATE(O$5,$J113,$I113),daily_dates,0),MATCH($B$3,daily_items,0)))</f>
        <v>#N/A</v>
      </c>
      <c r="P113" s="1" t="str">
        <f t="array" ref="P113">IF(ISBLANK(INDEX(big_daily_table,MATCH(DATE(P$5,$J113,$I113),daily_dates,0),MATCH($B$3,daily_items,0))),NA(),INDEX(big_daily_table,MATCH(DATE(P$5,$J113,$I113),daily_dates,0),MATCH($B$3,daily_items,0)))</f>
        <v>#N/A</v>
      </c>
      <c r="Q113" s="1" t="str">
        <f t="array" ref="Q113">IF(ISBLANK(INDEX(big_daily_table,MATCH(DATE(Q$5,$J113,$I113),daily_dates,0),MATCH($B$3,daily_items,0))),NA(),INDEX(big_daily_table,MATCH(DATE(Q$5,$J113,$I113),daily_dates,0),MATCH($B$3,daily_items,0)))</f>
        <v>#N/A</v>
      </c>
      <c r="R113" s="1" t="str">
        <f t="array" ref="R113">IF(ISBLANK(INDEX(big_daily_table,MATCH(DATE(R$5,$J113,$I113),daily_dates,0),MATCH($B$3,daily_items,0))),NA(),INDEX(big_daily_table,MATCH(DATE(R$5,$J113,$I113),daily_dates,0),MATCH($B$3,daily_items,0)))</f>
        <v>#N/A</v>
      </c>
      <c r="S113" s="1" t="str">
        <f t="array" ref="S113">IF(ISBLANK(INDEX(big_daily_table,MATCH(DATE(S$5,$J113,$I113),daily_dates,0),MATCH($B$3,daily_items,0))),NA(),INDEX(big_daily_table,MATCH(DATE(S$5,$J113,$I113),daily_dates,0),MATCH($B$3,daily_items,0)))</f>
        <v>#N/A</v>
      </c>
      <c r="T113" s="1" t="str">
        <f t="array" ref="T113">IF(ISBLANK(INDEX(big_daily_table,MATCH(DATE(T$5,$J113,$I113),daily_dates,0),MATCH($B$3,daily_items,0))),NA(),INDEX(big_daily_table,MATCH(DATE(T$5,$J113,$I113),daily_dates,0),MATCH($B$3,daily_items,0)))</f>
        <v>#N/A</v>
      </c>
      <c r="U113" s="1" t="str">
        <f t="array" ref="U113">IF(ISBLANK(INDEX(big_daily_table,MATCH(DATE(U$5,$J113,$I113),daily_dates,0),MATCH($B$3,daily_items,0))),NA(),INDEX(big_daily_table,MATCH(DATE(U$5,$J113,$I113),daily_dates,0),MATCH($B$3,daily_items,0)))</f>
        <v>#N/A</v>
      </c>
      <c r="V113" s="1" t="str">
        <f t="array" ref="V113">IF(ISBLANK(INDEX(big_daily_table,MATCH(DATE(V$5,$J113,$I113),daily_dates,0),MATCH($B$3,daily_items,0))),NA(),INDEX(big_daily_table,MATCH(DATE(V$5,$J113,$I113),daily_dates,0),MATCH($B$3,daily_items,0)))</f>
        <v>#N/A</v>
      </c>
      <c r="W113" s="1" t="str">
        <f t="array" ref="W113">IF(ISBLANK(INDEX(big_daily_table,MATCH(DATE(W$5,$J113,$I113),daily_dates,0),MATCH($B$3,daily_items,0))),NA(),INDEX(big_daily_table,MATCH(DATE(W$5,$J113,$I113),daily_dates,0),MATCH($B$3,daily_items,0)))</f>
        <v>#N/A</v>
      </c>
      <c r="X113" s="1" t="str">
        <f t="array" ref="X113">IF(ISBLANK(INDEX(big_daily_table,MATCH(DATE(X$5,$J113,$I113),daily_dates,0),MATCH($B$3,daily_items,0))),NA(),INDEX(big_daily_table,MATCH(DATE(X$5,$J113,$I113),daily_dates,0),MATCH($B$3,daily_items,0)))</f>
        <v>#N/A</v>
      </c>
      <c r="Y113" s="1" t="str">
        <f t="array" ref="Y113">IF(ISBLANK(INDEX(big_daily_table,MATCH(DATE(Y$5,$J113,$I113),daily_dates,0),MATCH($B$3,daily_items,0))),NA(),INDEX(big_daily_table,MATCH(DATE(Y$5,$J113,$I113),daily_dates,0),MATCH($B$3,daily_items,0)))</f>
        <v>#N/A</v>
      </c>
      <c r="Z113" s="1" t="str">
        <f t="shared" si="5"/>
        <v>#NAME?</v>
      </c>
      <c r="AA113" s="1" t="str">
        <f t="shared" si="6"/>
        <v>#NAME?</v>
      </c>
      <c r="AB113" s="1" t="str">
        <f t="shared" si="7"/>
        <v>#NAME?</v>
      </c>
      <c r="AC113" s="1" t="str">
        <f t="shared" si="8"/>
        <v>#NAME?</v>
      </c>
    </row>
    <row r="114" ht="14.25" customHeight="1">
      <c r="H114" s="1">
        <f t="shared" si="9"/>
        <v>109</v>
      </c>
      <c r="I114" s="1">
        <f t="shared" si="2"/>
        <v>18</v>
      </c>
      <c r="J114" s="1">
        <f t="shared" si="3"/>
        <v>4</v>
      </c>
      <c r="K114" s="23">
        <f t="shared" si="10"/>
        <v>36634</v>
      </c>
      <c r="L114" s="24">
        <f t="shared" si="4"/>
        <v>-1000000</v>
      </c>
      <c r="M114" s="1" t="str">
        <f t="array" ref="M114">IF(K114&gt;0,INDEX(big_daily_table,MATCH(DATE(N$5,$J114,$I114),daily_dates,0),MATCH($B$3,daily_items,0)),NA())</f>
        <v>#N/A</v>
      </c>
      <c r="N114" s="1" t="str">
        <f t="array" ref="N114">IF(L114&lt;0,INDEX(big_daily_table,MATCH(DATE(N$5,$J114,$I114),daily_dates,0),MATCH($B$3,daily_items,0)),NA())</f>
        <v>#N/A</v>
      </c>
      <c r="O114" s="1" t="str">
        <f t="array" ref="O114">IF(ISBLANK(INDEX(big_daily_table,MATCH(DATE(O$5,$J114,$I114),daily_dates,0),MATCH($B$3,daily_items,0))),NA(),INDEX(big_daily_table,MATCH(DATE(O$5,$J114,$I114),daily_dates,0),MATCH($B$3,daily_items,0)))</f>
        <v>#N/A</v>
      </c>
      <c r="P114" s="1" t="str">
        <f t="array" ref="P114">IF(ISBLANK(INDEX(big_daily_table,MATCH(DATE(P$5,$J114,$I114),daily_dates,0),MATCH($B$3,daily_items,0))),NA(),INDEX(big_daily_table,MATCH(DATE(P$5,$J114,$I114),daily_dates,0),MATCH($B$3,daily_items,0)))</f>
        <v>#N/A</v>
      </c>
      <c r="Q114" s="1" t="str">
        <f t="array" ref="Q114">IF(ISBLANK(INDEX(big_daily_table,MATCH(DATE(Q$5,$J114,$I114),daily_dates,0),MATCH($B$3,daily_items,0))),NA(),INDEX(big_daily_table,MATCH(DATE(Q$5,$J114,$I114),daily_dates,0),MATCH($B$3,daily_items,0)))</f>
        <v>#N/A</v>
      </c>
      <c r="R114" s="1" t="str">
        <f t="array" ref="R114">IF(ISBLANK(INDEX(big_daily_table,MATCH(DATE(R$5,$J114,$I114),daily_dates,0),MATCH($B$3,daily_items,0))),NA(),INDEX(big_daily_table,MATCH(DATE(R$5,$J114,$I114),daily_dates,0),MATCH($B$3,daily_items,0)))</f>
        <v>#N/A</v>
      </c>
      <c r="S114" s="1" t="str">
        <f t="array" ref="S114">IF(ISBLANK(INDEX(big_daily_table,MATCH(DATE(S$5,$J114,$I114),daily_dates,0),MATCH($B$3,daily_items,0))),NA(),INDEX(big_daily_table,MATCH(DATE(S$5,$J114,$I114),daily_dates,0),MATCH($B$3,daily_items,0)))</f>
        <v>#N/A</v>
      </c>
      <c r="T114" s="1" t="str">
        <f t="array" ref="T114">IF(ISBLANK(INDEX(big_daily_table,MATCH(DATE(T$5,$J114,$I114),daily_dates,0),MATCH($B$3,daily_items,0))),NA(),INDEX(big_daily_table,MATCH(DATE(T$5,$J114,$I114),daily_dates,0),MATCH($B$3,daily_items,0)))</f>
        <v>#N/A</v>
      </c>
      <c r="U114" s="1" t="str">
        <f t="array" ref="U114">IF(ISBLANK(INDEX(big_daily_table,MATCH(DATE(U$5,$J114,$I114),daily_dates,0),MATCH($B$3,daily_items,0))),NA(),INDEX(big_daily_table,MATCH(DATE(U$5,$J114,$I114),daily_dates,0),MATCH($B$3,daily_items,0)))</f>
        <v>#N/A</v>
      </c>
      <c r="V114" s="1" t="str">
        <f t="array" ref="V114">IF(ISBLANK(INDEX(big_daily_table,MATCH(DATE(V$5,$J114,$I114),daily_dates,0),MATCH($B$3,daily_items,0))),NA(),INDEX(big_daily_table,MATCH(DATE(V$5,$J114,$I114),daily_dates,0),MATCH($B$3,daily_items,0)))</f>
        <v>#N/A</v>
      </c>
      <c r="W114" s="1" t="str">
        <f t="array" ref="W114">IF(ISBLANK(INDEX(big_daily_table,MATCH(DATE(W$5,$J114,$I114),daily_dates,0),MATCH($B$3,daily_items,0))),NA(),INDEX(big_daily_table,MATCH(DATE(W$5,$J114,$I114),daily_dates,0),MATCH($B$3,daily_items,0)))</f>
        <v>#N/A</v>
      </c>
      <c r="X114" s="1" t="str">
        <f t="array" ref="X114">IF(ISBLANK(INDEX(big_daily_table,MATCH(DATE(X$5,$J114,$I114),daily_dates,0),MATCH($B$3,daily_items,0))),NA(),INDEX(big_daily_table,MATCH(DATE(X$5,$J114,$I114),daily_dates,0),MATCH($B$3,daily_items,0)))</f>
        <v>#N/A</v>
      </c>
      <c r="Y114" s="1" t="str">
        <f t="array" ref="Y114">IF(ISBLANK(INDEX(big_daily_table,MATCH(DATE(Y$5,$J114,$I114),daily_dates,0),MATCH($B$3,daily_items,0))),NA(),INDEX(big_daily_table,MATCH(DATE(Y$5,$J114,$I114),daily_dates,0),MATCH($B$3,daily_items,0)))</f>
        <v>#N/A</v>
      </c>
      <c r="Z114" s="1" t="str">
        <f t="shared" si="5"/>
        <v>#NAME?</v>
      </c>
      <c r="AA114" s="1" t="str">
        <f t="shared" si="6"/>
        <v>#NAME?</v>
      </c>
      <c r="AB114" s="1" t="str">
        <f t="shared" si="7"/>
        <v>#NAME?</v>
      </c>
      <c r="AC114" s="1" t="str">
        <f t="shared" si="8"/>
        <v>#NAME?</v>
      </c>
    </row>
    <row r="115" ht="14.25" customHeight="1">
      <c r="H115" s="1">
        <f t="shared" si="9"/>
        <v>110</v>
      </c>
      <c r="I115" s="1">
        <f t="shared" si="2"/>
        <v>19</v>
      </c>
      <c r="J115" s="1">
        <f t="shared" si="3"/>
        <v>4</v>
      </c>
      <c r="K115" s="23">
        <f t="shared" si="10"/>
        <v>36635</v>
      </c>
      <c r="L115" s="24">
        <f t="shared" si="4"/>
        <v>-1000000</v>
      </c>
      <c r="M115" s="1" t="str">
        <f t="array" ref="M115">IF(K115&gt;0,INDEX(big_daily_table,MATCH(DATE(N$5,$J115,$I115),daily_dates,0),MATCH($B$3,daily_items,0)),NA())</f>
        <v>#N/A</v>
      </c>
      <c r="N115" s="1" t="str">
        <f t="array" ref="N115">IF(L115&lt;0,INDEX(big_daily_table,MATCH(DATE(N$5,$J115,$I115),daily_dates,0),MATCH($B$3,daily_items,0)),NA())</f>
        <v>#N/A</v>
      </c>
      <c r="O115" s="1" t="str">
        <f t="array" ref="O115">IF(ISBLANK(INDEX(big_daily_table,MATCH(DATE(O$5,$J115,$I115),daily_dates,0),MATCH($B$3,daily_items,0))),NA(),INDEX(big_daily_table,MATCH(DATE(O$5,$J115,$I115),daily_dates,0),MATCH($B$3,daily_items,0)))</f>
        <v>#N/A</v>
      </c>
      <c r="P115" s="1" t="str">
        <f t="array" ref="P115">IF(ISBLANK(INDEX(big_daily_table,MATCH(DATE(P$5,$J115,$I115),daily_dates,0),MATCH($B$3,daily_items,0))),NA(),INDEX(big_daily_table,MATCH(DATE(P$5,$J115,$I115),daily_dates,0),MATCH($B$3,daily_items,0)))</f>
        <v>#N/A</v>
      </c>
      <c r="Q115" s="1" t="str">
        <f t="array" ref="Q115">IF(ISBLANK(INDEX(big_daily_table,MATCH(DATE(Q$5,$J115,$I115),daily_dates,0),MATCH($B$3,daily_items,0))),NA(),INDEX(big_daily_table,MATCH(DATE(Q$5,$J115,$I115),daily_dates,0),MATCH($B$3,daily_items,0)))</f>
        <v>#N/A</v>
      </c>
      <c r="R115" s="1" t="str">
        <f t="array" ref="R115">IF(ISBLANK(INDEX(big_daily_table,MATCH(DATE(R$5,$J115,$I115),daily_dates,0),MATCH($B$3,daily_items,0))),NA(),INDEX(big_daily_table,MATCH(DATE(R$5,$J115,$I115),daily_dates,0),MATCH($B$3,daily_items,0)))</f>
        <v>#N/A</v>
      </c>
      <c r="S115" s="1" t="str">
        <f t="array" ref="S115">IF(ISBLANK(INDEX(big_daily_table,MATCH(DATE(S$5,$J115,$I115),daily_dates,0),MATCH($B$3,daily_items,0))),NA(),INDEX(big_daily_table,MATCH(DATE(S$5,$J115,$I115),daily_dates,0),MATCH($B$3,daily_items,0)))</f>
        <v>#N/A</v>
      </c>
      <c r="T115" s="1" t="str">
        <f t="array" ref="T115">IF(ISBLANK(INDEX(big_daily_table,MATCH(DATE(T$5,$J115,$I115),daily_dates,0),MATCH($B$3,daily_items,0))),NA(),INDEX(big_daily_table,MATCH(DATE(T$5,$J115,$I115),daily_dates,0),MATCH($B$3,daily_items,0)))</f>
        <v>#N/A</v>
      </c>
      <c r="U115" s="1" t="str">
        <f t="array" ref="U115">IF(ISBLANK(INDEX(big_daily_table,MATCH(DATE(U$5,$J115,$I115),daily_dates,0),MATCH($B$3,daily_items,0))),NA(),INDEX(big_daily_table,MATCH(DATE(U$5,$J115,$I115),daily_dates,0),MATCH($B$3,daily_items,0)))</f>
        <v>#N/A</v>
      </c>
      <c r="V115" s="1" t="str">
        <f t="array" ref="V115">IF(ISBLANK(INDEX(big_daily_table,MATCH(DATE(V$5,$J115,$I115),daily_dates,0),MATCH($B$3,daily_items,0))),NA(),INDEX(big_daily_table,MATCH(DATE(V$5,$J115,$I115),daily_dates,0),MATCH($B$3,daily_items,0)))</f>
        <v>#N/A</v>
      </c>
      <c r="W115" s="1" t="str">
        <f t="array" ref="W115">IF(ISBLANK(INDEX(big_daily_table,MATCH(DATE(W$5,$J115,$I115),daily_dates,0),MATCH($B$3,daily_items,0))),NA(),INDEX(big_daily_table,MATCH(DATE(W$5,$J115,$I115),daily_dates,0),MATCH($B$3,daily_items,0)))</f>
        <v>#N/A</v>
      </c>
      <c r="X115" s="1" t="str">
        <f t="array" ref="X115">IF(ISBLANK(INDEX(big_daily_table,MATCH(DATE(X$5,$J115,$I115),daily_dates,0),MATCH($B$3,daily_items,0))),NA(),INDEX(big_daily_table,MATCH(DATE(X$5,$J115,$I115),daily_dates,0),MATCH($B$3,daily_items,0)))</f>
        <v>#N/A</v>
      </c>
      <c r="Y115" s="1" t="str">
        <f t="array" ref="Y115">IF(ISBLANK(INDEX(big_daily_table,MATCH(DATE(Y$5,$J115,$I115),daily_dates,0),MATCH($B$3,daily_items,0))),NA(),INDEX(big_daily_table,MATCH(DATE(Y$5,$J115,$I115),daily_dates,0),MATCH($B$3,daily_items,0)))</f>
        <v>#N/A</v>
      </c>
      <c r="Z115" s="1" t="str">
        <f t="shared" si="5"/>
        <v>#NAME?</v>
      </c>
      <c r="AA115" s="1" t="str">
        <f t="shared" si="6"/>
        <v>#NAME?</v>
      </c>
      <c r="AB115" s="1" t="str">
        <f t="shared" si="7"/>
        <v>#NAME?</v>
      </c>
      <c r="AC115" s="1" t="str">
        <f t="shared" si="8"/>
        <v>#NAME?</v>
      </c>
    </row>
    <row r="116" ht="14.25" customHeight="1">
      <c r="H116" s="1">
        <f t="shared" si="9"/>
        <v>111</v>
      </c>
      <c r="I116" s="1">
        <f t="shared" si="2"/>
        <v>20</v>
      </c>
      <c r="J116" s="1">
        <f t="shared" si="3"/>
        <v>4</v>
      </c>
      <c r="K116" s="23">
        <f t="shared" si="10"/>
        <v>36636</v>
      </c>
      <c r="L116" s="24">
        <f t="shared" si="4"/>
        <v>-1000000</v>
      </c>
      <c r="M116" s="1" t="str">
        <f t="array" ref="M116">IF(K116&gt;0,INDEX(big_daily_table,MATCH(DATE(N$5,$J116,$I116),daily_dates,0),MATCH($B$3,daily_items,0)),NA())</f>
        <v>#N/A</v>
      </c>
      <c r="N116" s="1" t="str">
        <f t="array" ref="N116">IF(L116&lt;0,INDEX(big_daily_table,MATCH(DATE(N$5,$J116,$I116),daily_dates,0),MATCH($B$3,daily_items,0)),NA())</f>
        <v>#N/A</v>
      </c>
      <c r="O116" s="1" t="str">
        <f t="array" ref="O116">IF(ISBLANK(INDEX(big_daily_table,MATCH(DATE(O$5,$J116,$I116),daily_dates,0),MATCH($B$3,daily_items,0))),NA(),INDEX(big_daily_table,MATCH(DATE(O$5,$J116,$I116),daily_dates,0),MATCH($B$3,daily_items,0)))</f>
        <v>#N/A</v>
      </c>
      <c r="P116" s="1" t="str">
        <f t="array" ref="P116">IF(ISBLANK(INDEX(big_daily_table,MATCH(DATE(P$5,$J116,$I116),daily_dates,0),MATCH($B$3,daily_items,0))),NA(),INDEX(big_daily_table,MATCH(DATE(P$5,$J116,$I116),daily_dates,0),MATCH($B$3,daily_items,0)))</f>
        <v>#N/A</v>
      </c>
      <c r="Q116" s="1" t="str">
        <f t="array" ref="Q116">IF(ISBLANK(INDEX(big_daily_table,MATCH(DATE(Q$5,$J116,$I116),daily_dates,0),MATCH($B$3,daily_items,0))),NA(),INDEX(big_daily_table,MATCH(DATE(Q$5,$J116,$I116),daily_dates,0),MATCH($B$3,daily_items,0)))</f>
        <v>#N/A</v>
      </c>
      <c r="R116" s="1" t="str">
        <f t="array" ref="R116">IF(ISBLANK(INDEX(big_daily_table,MATCH(DATE(R$5,$J116,$I116),daily_dates,0),MATCH($B$3,daily_items,0))),NA(),INDEX(big_daily_table,MATCH(DATE(R$5,$J116,$I116),daily_dates,0),MATCH($B$3,daily_items,0)))</f>
        <v>#N/A</v>
      </c>
      <c r="S116" s="1" t="str">
        <f t="array" ref="S116">IF(ISBLANK(INDEX(big_daily_table,MATCH(DATE(S$5,$J116,$I116),daily_dates,0),MATCH($B$3,daily_items,0))),NA(),INDEX(big_daily_table,MATCH(DATE(S$5,$J116,$I116),daily_dates,0),MATCH($B$3,daily_items,0)))</f>
        <v>#N/A</v>
      </c>
      <c r="T116" s="1" t="str">
        <f t="array" ref="T116">IF(ISBLANK(INDEX(big_daily_table,MATCH(DATE(T$5,$J116,$I116),daily_dates,0),MATCH($B$3,daily_items,0))),NA(),INDEX(big_daily_table,MATCH(DATE(T$5,$J116,$I116),daily_dates,0),MATCH($B$3,daily_items,0)))</f>
        <v>#N/A</v>
      </c>
      <c r="U116" s="1" t="str">
        <f t="array" ref="U116">IF(ISBLANK(INDEX(big_daily_table,MATCH(DATE(U$5,$J116,$I116),daily_dates,0),MATCH($B$3,daily_items,0))),NA(),INDEX(big_daily_table,MATCH(DATE(U$5,$J116,$I116),daily_dates,0),MATCH($B$3,daily_items,0)))</f>
        <v>#N/A</v>
      </c>
      <c r="V116" s="1" t="str">
        <f t="array" ref="V116">IF(ISBLANK(INDEX(big_daily_table,MATCH(DATE(V$5,$J116,$I116),daily_dates,0),MATCH($B$3,daily_items,0))),NA(),INDEX(big_daily_table,MATCH(DATE(V$5,$J116,$I116),daily_dates,0),MATCH($B$3,daily_items,0)))</f>
        <v>#N/A</v>
      </c>
      <c r="W116" s="1" t="str">
        <f t="array" ref="W116">IF(ISBLANK(INDEX(big_daily_table,MATCH(DATE(W$5,$J116,$I116),daily_dates,0),MATCH($B$3,daily_items,0))),NA(),INDEX(big_daily_table,MATCH(DATE(W$5,$J116,$I116),daily_dates,0),MATCH($B$3,daily_items,0)))</f>
        <v>#N/A</v>
      </c>
      <c r="X116" s="1" t="str">
        <f t="array" ref="X116">IF(ISBLANK(INDEX(big_daily_table,MATCH(DATE(X$5,$J116,$I116),daily_dates,0),MATCH($B$3,daily_items,0))),NA(),INDEX(big_daily_table,MATCH(DATE(X$5,$J116,$I116),daily_dates,0),MATCH($B$3,daily_items,0)))</f>
        <v>#N/A</v>
      </c>
      <c r="Y116" s="1" t="str">
        <f t="array" ref="Y116">IF(ISBLANK(INDEX(big_daily_table,MATCH(DATE(Y$5,$J116,$I116),daily_dates,0),MATCH($B$3,daily_items,0))),NA(),INDEX(big_daily_table,MATCH(DATE(Y$5,$J116,$I116),daily_dates,0),MATCH($B$3,daily_items,0)))</f>
        <v>#N/A</v>
      </c>
      <c r="Z116" s="1" t="str">
        <f t="shared" si="5"/>
        <v>#NAME?</v>
      </c>
      <c r="AA116" s="1" t="str">
        <f t="shared" si="6"/>
        <v>#NAME?</v>
      </c>
      <c r="AB116" s="1" t="str">
        <f t="shared" si="7"/>
        <v>#NAME?</v>
      </c>
      <c r="AC116" s="1" t="str">
        <f t="shared" si="8"/>
        <v>#NAME?</v>
      </c>
    </row>
    <row r="117" ht="14.25" customHeight="1">
      <c r="H117" s="1">
        <f t="shared" si="9"/>
        <v>112</v>
      </c>
      <c r="I117" s="1">
        <f t="shared" si="2"/>
        <v>21</v>
      </c>
      <c r="J117" s="1">
        <f t="shared" si="3"/>
        <v>4</v>
      </c>
      <c r="K117" s="23">
        <f t="shared" si="10"/>
        <v>36637</v>
      </c>
      <c r="L117" s="24">
        <f t="shared" si="4"/>
        <v>-1000000</v>
      </c>
      <c r="M117" s="1" t="str">
        <f t="array" ref="M117">IF(K117&gt;0,INDEX(big_daily_table,MATCH(DATE(N$5,$J117,$I117),daily_dates,0),MATCH($B$3,daily_items,0)),NA())</f>
        <v>#N/A</v>
      </c>
      <c r="N117" s="1" t="str">
        <f t="array" ref="N117">IF(L117&lt;0,INDEX(big_daily_table,MATCH(DATE(N$5,$J117,$I117),daily_dates,0),MATCH($B$3,daily_items,0)),NA())</f>
        <v>#N/A</v>
      </c>
      <c r="O117" s="1" t="str">
        <f t="array" ref="O117">IF(ISBLANK(INDEX(big_daily_table,MATCH(DATE(O$5,$J117,$I117),daily_dates,0),MATCH($B$3,daily_items,0))),NA(),INDEX(big_daily_table,MATCH(DATE(O$5,$J117,$I117),daily_dates,0),MATCH($B$3,daily_items,0)))</f>
        <v>#N/A</v>
      </c>
      <c r="P117" s="1" t="str">
        <f t="array" ref="P117">IF(ISBLANK(INDEX(big_daily_table,MATCH(DATE(P$5,$J117,$I117),daily_dates,0),MATCH($B$3,daily_items,0))),NA(),INDEX(big_daily_table,MATCH(DATE(P$5,$J117,$I117),daily_dates,0),MATCH($B$3,daily_items,0)))</f>
        <v>#N/A</v>
      </c>
      <c r="Q117" s="1" t="str">
        <f t="array" ref="Q117">IF(ISBLANK(INDEX(big_daily_table,MATCH(DATE(Q$5,$J117,$I117),daily_dates,0),MATCH($B$3,daily_items,0))),NA(),INDEX(big_daily_table,MATCH(DATE(Q$5,$J117,$I117),daily_dates,0),MATCH($B$3,daily_items,0)))</f>
        <v>#N/A</v>
      </c>
      <c r="R117" s="1" t="str">
        <f t="array" ref="R117">IF(ISBLANK(INDEX(big_daily_table,MATCH(DATE(R$5,$J117,$I117),daily_dates,0),MATCH($B$3,daily_items,0))),NA(),INDEX(big_daily_table,MATCH(DATE(R$5,$J117,$I117),daily_dates,0),MATCH($B$3,daily_items,0)))</f>
        <v>#N/A</v>
      </c>
      <c r="S117" s="1" t="str">
        <f t="array" ref="S117">IF(ISBLANK(INDEX(big_daily_table,MATCH(DATE(S$5,$J117,$I117),daily_dates,0),MATCH($B$3,daily_items,0))),NA(),INDEX(big_daily_table,MATCH(DATE(S$5,$J117,$I117),daily_dates,0),MATCH($B$3,daily_items,0)))</f>
        <v>#N/A</v>
      </c>
      <c r="T117" s="1" t="str">
        <f t="array" ref="T117">IF(ISBLANK(INDEX(big_daily_table,MATCH(DATE(T$5,$J117,$I117),daily_dates,0),MATCH($B$3,daily_items,0))),NA(),INDEX(big_daily_table,MATCH(DATE(T$5,$J117,$I117),daily_dates,0),MATCH($B$3,daily_items,0)))</f>
        <v>#N/A</v>
      </c>
      <c r="U117" s="1" t="str">
        <f t="array" ref="U117">IF(ISBLANK(INDEX(big_daily_table,MATCH(DATE(U$5,$J117,$I117),daily_dates,0),MATCH($B$3,daily_items,0))),NA(),INDEX(big_daily_table,MATCH(DATE(U$5,$J117,$I117),daily_dates,0),MATCH($B$3,daily_items,0)))</f>
        <v>#N/A</v>
      </c>
      <c r="V117" s="1" t="str">
        <f t="array" ref="V117">IF(ISBLANK(INDEX(big_daily_table,MATCH(DATE(V$5,$J117,$I117),daily_dates,0),MATCH($B$3,daily_items,0))),NA(),INDEX(big_daily_table,MATCH(DATE(V$5,$J117,$I117),daily_dates,0),MATCH($B$3,daily_items,0)))</f>
        <v>#N/A</v>
      </c>
      <c r="W117" s="1" t="str">
        <f t="array" ref="W117">IF(ISBLANK(INDEX(big_daily_table,MATCH(DATE(W$5,$J117,$I117),daily_dates,0),MATCH($B$3,daily_items,0))),NA(),INDEX(big_daily_table,MATCH(DATE(W$5,$J117,$I117),daily_dates,0),MATCH($B$3,daily_items,0)))</f>
        <v>#N/A</v>
      </c>
      <c r="X117" s="1" t="str">
        <f t="array" ref="X117">IF(ISBLANK(INDEX(big_daily_table,MATCH(DATE(X$5,$J117,$I117),daily_dates,0),MATCH($B$3,daily_items,0))),NA(),INDEX(big_daily_table,MATCH(DATE(X$5,$J117,$I117),daily_dates,0),MATCH($B$3,daily_items,0)))</f>
        <v>#N/A</v>
      </c>
      <c r="Y117" s="1" t="str">
        <f t="array" ref="Y117">IF(ISBLANK(INDEX(big_daily_table,MATCH(DATE(Y$5,$J117,$I117),daily_dates,0),MATCH($B$3,daily_items,0))),NA(),INDEX(big_daily_table,MATCH(DATE(Y$5,$J117,$I117),daily_dates,0),MATCH($B$3,daily_items,0)))</f>
        <v>#N/A</v>
      </c>
      <c r="Z117" s="1" t="str">
        <f t="shared" si="5"/>
        <v>#NAME?</v>
      </c>
      <c r="AA117" s="1" t="str">
        <f t="shared" si="6"/>
        <v>#NAME?</v>
      </c>
      <c r="AB117" s="1" t="str">
        <f t="shared" si="7"/>
        <v>#NAME?</v>
      </c>
      <c r="AC117" s="1" t="str">
        <f t="shared" si="8"/>
        <v>#NAME?</v>
      </c>
    </row>
    <row r="118" ht="14.25" customHeight="1">
      <c r="H118" s="1">
        <f t="shared" si="9"/>
        <v>113</v>
      </c>
      <c r="I118" s="1">
        <f t="shared" si="2"/>
        <v>22</v>
      </c>
      <c r="J118" s="1">
        <f t="shared" si="3"/>
        <v>4</v>
      </c>
      <c r="K118" s="23">
        <f t="shared" si="10"/>
        <v>36638</v>
      </c>
      <c r="L118" s="24">
        <f t="shared" si="4"/>
        <v>-1000000</v>
      </c>
      <c r="M118" s="1" t="str">
        <f t="array" ref="M118">IF(K118&gt;0,INDEX(big_daily_table,MATCH(DATE(N$5,$J118,$I118),daily_dates,0),MATCH($B$3,daily_items,0)),NA())</f>
        <v>#N/A</v>
      </c>
      <c r="N118" s="1" t="str">
        <f t="array" ref="N118">IF(L118&lt;0,INDEX(big_daily_table,MATCH(DATE(N$5,$J118,$I118),daily_dates,0),MATCH($B$3,daily_items,0)),NA())</f>
        <v>#N/A</v>
      </c>
      <c r="O118" s="1" t="str">
        <f t="array" ref="O118">IF(ISBLANK(INDEX(big_daily_table,MATCH(DATE(O$5,$J118,$I118),daily_dates,0),MATCH($B$3,daily_items,0))),NA(),INDEX(big_daily_table,MATCH(DATE(O$5,$J118,$I118),daily_dates,0),MATCH($B$3,daily_items,0)))</f>
        <v>#N/A</v>
      </c>
      <c r="P118" s="1" t="str">
        <f t="array" ref="P118">IF(ISBLANK(INDEX(big_daily_table,MATCH(DATE(P$5,$J118,$I118),daily_dates,0),MATCH($B$3,daily_items,0))),NA(),INDEX(big_daily_table,MATCH(DATE(P$5,$J118,$I118),daily_dates,0),MATCH($B$3,daily_items,0)))</f>
        <v>#N/A</v>
      </c>
      <c r="Q118" s="1" t="str">
        <f t="array" ref="Q118">IF(ISBLANK(INDEX(big_daily_table,MATCH(DATE(Q$5,$J118,$I118),daily_dates,0),MATCH($B$3,daily_items,0))),NA(),INDEX(big_daily_table,MATCH(DATE(Q$5,$J118,$I118),daily_dates,0),MATCH($B$3,daily_items,0)))</f>
        <v>#N/A</v>
      </c>
      <c r="R118" s="1" t="str">
        <f t="array" ref="R118">IF(ISBLANK(INDEX(big_daily_table,MATCH(DATE(R$5,$J118,$I118),daily_dates,0),MATCH($B$3,daily_items,0))),NA(),INDEX(big_daily_table,MATCH(DATE(R$5,$J118,$I118),daily_dates,0),MATCH($B$3,daily_items,0)))</f>
        <v>#N/A</v>
      </c>
      <c r="S118" s="1" t="str">
        <f t="array" ref="S118">IF(ISBLANK(INDEX(big_daily_table,MATCH(DATE(S$5,$J118,$I118),daily_dates,0),MATCH($B$3,daily_items,0))),NA(),INDEX(big_daily_table,MATCH(DATE(S$5,$J118,$I118),daily_dates,0),MATCH($B$3,daily_items,0)))</f>
        <v>#N/A</v>
      </c>
      <c r="T118" s="1" t="str">
        <f t="array" ref="T118">IF(ISBLANK(INDEX(big_daily_table,MATCH(DATE(T$5,$J118,$I118),daily_dates,0),MATCH($B$3,daily_items,0))),NA(),INDEX(big_daily_table,MATCH(DATE(T$5,$J118,$I118),daily_dates,0),MATCH($B$3,daily_items,0)))</f>
        <v>#N/A</v>
      </c>
      <c r="U118" s="1" t="str">
        <f t="array" ref="U118">IF(ISBLANK(INDEX(big_daily_table,MATCH(DATE(U$5,$J118,$I118),daily_dates,0),MATCH($B$3,daily_items,0))),NA(),INDEX(big_daily_table,MATCH(DATE(U$5,$J118,$I118),daily_dates,0),MATCH($B$3,daily_items,0)))</f>
        <v>#N/A</v>
      </c>
      <c r="V118" s="1" t="str">
        <f t="array" ref="V118">IF(ISBLANK(INDEX(big_daily_table,MATCH(DATE(V$5,$J118,$I118),daily_dates,0),MATCH($B$3,daily_items,0))),NA(),INDEX(big_daily_table,MATCH(DATE(V$5,$J118,$I118),daily_dates,0),MATCH($B$3,daily_items,0)))</f>
        <v>#N/A</v>
      </c>
      <c r="W118" s="1" t="str">
        <f t="array" ref="W118">IF(ISBLANK(INDEX(big_daily_table,MATCH(DATE(W$5,$J118,$I118),daily_dates,0),MATCH($B$3,daily_items,0))),NA(),INDEX(big_daily_table,MATCH(DATE(W$5,$J118,$I118),daily_dates,0),MATCH($B$3,daily_items,0)))</f>
        <v>#N/A</v>
      </c>
      <c r="X118" s="1" t="str">
        <f t="array" ref="X118">IF(ISBLANK(INDEX(big_daily_table,MATCH(DATE(X$5,$J118,$I118),daily_dates,0),MATCH($B$3,daily_items,0))),NA(),INDEX(big_daily_table,MATCH(DATE(X$5,$J118,$I118),daily_dates,0),MATCH($B$3,daily_items,0)))</f>
        <v>#N/A</v>
      </c>
      <c r="Y118" s="1" t="str">
        <f t="array" ref="Y118">IF(ISBLANK(INDEX(big_daily_table,MATCH(DATE(Y$5,$J118,$I118),daily_dates,0),MATCH($B$3,daily_items,0))),NA(),INDEX(big_daily_table,MATCH(DATE(Y$5,$J118,$I118),daily_dates,0),MATCH($B$3,daily_items,0)))</f>
        <v>#N/A</v>
      </c>
      <c r="Z118" s="1" t="str">
        <f t="shared" si="5"/>
        <v>#NAME?</v>
      </c>
      <c r="AA118" s="1" t="str">
        <f t="shared" si="6"/>
        <v>#NAME?</v>
      </c>
      <c r="AB118" s="1" t="str">
        <f t="shared" si="7"/>
        <v>#NAME?</v>
      </c>
      <c r="AC118" s="1" t="str">
        <f t="shared" si="8"/>
        <v>#NAME?</v>
      </c>
    </row>
    <row r="119" ht="14.25" customHeight="1">
      <c r="H119" s="1">
        <f t="shared" si="9"/>
        <v>114</v>
      </c>
      <c r="I119" s="1">
        <f t="shared" si="2"/>
        <v>23</v>
      </c>
      <c r="J119" s="1">
        <f t="shared" si="3"/>
        <v>4</v>
      </c>
      <c r="K119" s="23">
        <f t="shared" si="10"/>
        <v>36639</v>
      </c>
      <c r="L119" s="24">
        <f t="shared" si="4"/>
        <v>-1000000</v>
      </c>
      <c r="M119" s="1" t="str">
        <f t="array" ref="M119">IF(K119&gt;0,INDEX(big_daily_table,MATCH(DATE(N$5,$J119,$I119),daily_dates,0),MATCH($B$3,daily_items,0)),NA())</f>
        <v>#N/A</v>
      </c>
      <c r="N119" s="1" t="str">
        <f t="array" ref="N119">IF(L119&lt;0,INDEX(big_daily_table,MATCH(DATE(N$5,$J119,$I119),daily_dates,0),MATCH($B$3,daily_items,0)),NA())</f>
        <v>#N/A</v>
      </c>
      <c r="O119" s="1" t="str">
        <f t="array" ref="O119">IF(ISBLANK(INDEX(big_daily_table,MATCH(DATE(O$5,$J119,$I119),daily_dates,0),MATCH($B$3,daily_items,0))),NA(),INDEX(big_daily_table,MATCH(DATE(O$5,$J119,$I119),daily_dates,0),MATCH($B$3,daily_items,0)))</f>
        <v>#N/A</v>
      </c>
      <c r="P119" s="1" t="str">
        <f t="array" ref="P119">IF(ISBLANK(INDEX(big_daily_table,MATCH(DATE(P$5,$J119,$I119),daily_dates,0),MATCH($B$3,daily_items,0))),NA(),INDEX(big_daily_table,MATCH(DATE(P$5,$J119,$I119),daily_dates,0),MATCH($B$3,daily_items,0)))</f>
        <v>#N/A</v>
      </c>
      <c r="Q119" s="1" t="str">
        <f t="array" ref="Q119">IF(ISBLANK(INDEX(big_daily_table,MATCH(DATE(Q$5,$J119,$I119),daily_dates,0),MATCH($B$3,daily_items,0))),NA(),INDEX(big_daily_table,MATCH(DATE(Q$5,$J119,$I119),daily_dates,0),MATCH($B$3,daily_items,0)))</f>
        <v>#N/A</v>
      </c>
      <c r="R119" s="1" t="str">
        <f t="array" ref="R119">IF(ISBLANK(INDEX(big_daily_table,MATCH(DATE(R$5,$J119,$I119),daily_dates,0),MATCH($B$3,daily_items,0))),NA(),INDEX(big_daily_table,MATCH(DATE(R$5,$J119,$I119),daily_dates,0),MATCH($B$3,daily_items,0)))</f>
        <v>#N/A</v>
      </c>
      <c r="S119" s="1" t="str">
        <f t="array" ref="S119">IF(ISBLANK(INDEX(big_daily_table,MATCH(DATE(S$5,$J119,$I119),daily_dates,0),MATCH($B$3,daily_items,0))),NA(),INDEX(big_daily_table,MATCH(DATE(S$5,$J119,$I119),daily_dates,0),MATCH($B$3,daily_items,0)))</f>
        <v>#N/A</v>
      </c>
      <c r="T119" s="1" t="str">
        <f t="array" ref="T119">IF(ISBLANK(INDEX(big_daily_table,MATCH(DATE(T$5,$J119,$I119),daily_dates,0),MATCH($B$3,daily_items,0))),NA(),INDEX(big_daily_table,MATCH(DATE(T$5,$J119,$I119),daily_dates,0),MATCH($B$3,daily_items,0)))</f>
        <v>#N/A</v>
      </c>
      <c r="U119" s="1" t="str">
        <f t="array" ref="U119">IF(ISBLANK(INDEX(big_daily_table,MATCH(DATE(U$5,$J119,$I119),daily_dates,0),MATCH($B$3,daily_items,0))),NA(),INDEX(big_daily_table,MATCH(DATE(U$5,$J119,$I119),daily_dates,0),MATCH($B$3,daily_items,0)))</f>
        <v>#N/A</v>
      </c>
      <c r="V119" s="1" t="str">
        <f t="array" ref="V119">IF(ISBLANK(INDEX(big_daily_table,MATCH(DATE(V$5,$J119,$I119),daily_dates,0),MATCH($B$3,daily_items,0))),NA(),INDEX(big_daily_table,MATCH(DATE(V$5,$J119,$I119),daily_dates,0),MATCH($B$3,daily_items,0)))</f>
        <v>#N/A</v>
      </c>
      <c r="W119" s="1" t="str">
        <f t="array" ref="W119">IF(ISBLANK(INDEX(big_daily_table,MATCH(DATE(W$5,$J119,$I119),daily_dates,0),MATCH($B$3,daily_items,0))),NA(),INDEX(big_daily_table,MATCH(DATE(W$5,$J119,$I119),daily_dates,0),MATCH($B$3,daily_items,0)))</f>
        <v>#N/A</v>
      </c>
      <c r="X119" s="1" t="str">
        <f t="array" ref="X119">IF(ISBLANK(INDEX(big_daily_table,MATCH(DATE(X$5,$J119,$I119),daily_dates,0),MATCH($B$3,daily_items,0))),NA(),INDEX(big_daily_table,MATCH(DATE(X$5,$J119,$I119),daily_dates,0),MATCH($B$3,daily_items,0)))</f>
        <v>#N/A</v>
      </c>
      <c r="Y119" s="1" t="str">
        <f t="array" ref="Y119">IF(ISBLANK(INDEX(big_daily_table,MATCH(DATE(Y$5,$J119,$I119),daily_dates,0),MATCH($B$3,daily_items,0))),NA(),INDEX(big_daily_table,MATCH(DATE(Y$5,$J119,$I119),daily_dates,0),MATCH($B$3,daily_items,0)))</f>
        <v>#N/A</v>
      </c>
      <c r="Z119" s="1" t="str">
        <f t="shared" si="5"/>
        <v>#NAME?</v>
      </c>
      <c r="AA119" s="1" t="str">
        <f t="shared" si="6"/>
        <v>#NAME?</v>
      </c>
      <c r="AB119" s="1" t="str">
        <f t="shared" si="7"/>
        <v>#NAME?</v>
      </c>
      <c r="AC119" s="1" t="str">
        <f t="shared" si="8"/>
        <v>#NAME?</v>
      </c>
    </row>
    <row r="120" ht="14.25" customHeight="1">
      <c r="H120" s="1">
        <f t="shared" si="9"/>
        <v>115</v>
      </c>
      <c r="I120" s="1">
        <f t="shared" si="2"/>
        <v>24</v>
      </c>
      <c r="J120" s="1">
        <f t="shared" si="3"/>
        <v>4</v>
      </c>
      <c r="K120" s="23">
        <f t="shared" si="10"/>
        <v>36640</v>
      </c>
      <c r="L120" s="24">
        <f t="shared" si="4"/>
        <v>-1000000</v>
      </c>
      <c r="M120" s="1" t="str">
        <f t="array" ref="M120">IF(K120&gt;0,INDEX(big_daily_table,MATCH(DATE(N$5,$J120,$I120),daily_dates,0),MATCH($B$3,daily_items,0)),NA())</f>
        <v>#N/A</v>
      </c>
      <c r="N120" s="1" t="str">
        <f t="array" ref="N120">IF(L120&lt;0,INDEX(big_daily_table,MATCH(DATE(N$5,$J120,$I120),daily_dates,0),MATCH($B$3,daily_items,0)),NA())</f>
        <v>#N/A</v>
      </c>
      <c r="O120" s="1" t="str">
        <f t="array" ref="O120">IF(ISBLANK(INDEX(big_daily_table,MATCH(DATE(O$5,$J120,$I120),daily_dates,0),MATCH($B$3,daily_items,0))),NA(),INDEX(big_daily_table,MATCH(DATE(O$5,$J120,$I120),daily_dates,0),MATCH($B$3,daily_items,0)))</f>
        <v>#N/A</v>
      </c>
      <c r="P120" s="1" t="str">
        <f t="array" ref="P120">IF(ISBLANK(INDEX(big_daily_table,MATCH(DATE(P$5,$J120,$I120),daily_dates,0),MATCH($B$3,daily_items,0))),NA(),INDEX(big_daily_table,MATCH(DATE(P$5,$J120,$I120),daily_dates,0),MATCH($B$3,daily_items,0)))</f>
        <v>#N/A</v>
      </c>
      <c r="Q120" s="1" t="str">
        <f t="array" ref="Q120">IF(ISBLANK(INDEX(big_daily_table,MATCH(DATE(Q$5,$J120,$I120),daily_dates,0),MATCH($B$3,daily_items,0))),NA(),INDEX(big_daily_table,MATCH(DATE(Q$5,$J120,$I120),daily_dates,0),MATCH($B$3,daily_items,0)))</f>
        <v>#N/A</v>
      </c>
      <c r="R120" s="1" t="str">
        <f t="array" ref="R120">IF(ISBLANK(INDEX(big_daily_table,MATCH(DATE(R$5,$J120,$I120),daily_dates,0),MATCH($B$3,daily_items,0))),NA(),INDEX(big_daily_table,MATCH(DATE(R$5,$J120,$I120),daily_dates,0),MATCH($B$3,daily_items,0)))</f>
        <v>#N/A</v>
      </c>
      <c r="S120" s="1" t="str">
        <f t="array" ref="S120">IF(ISBLANK(INDEX(big_daily_table,MATCH(DATE(S$5,$J120,$I120),daily_dates,0),MATCH($B$3,daily_items,0))),NA(),INDEX(big_daily_table,MATCH(DATE(S$5,$J120,$I120),daily_dates,0),MATCH($B$3,daily_items,0)))</f>
        <v>#N/A</v>
      </c>
      <c r="T120" s="1" t="str">
        <f t="array" ref="T120">IF(ISBLANK(INDEX(big_daily_table,MATCH(DATE(T$5,$J120,$I120),daily_dates,0),MATCH($B$3,daily_items,0))),NA(),INDEX(big_daily_table,MATCH(DATE(T$5,$J120,$I120),daily_dates,0),MATCH($B$3,daily_items,0)))</f>
        <v>#N/A</v>
      </c>
      <c r="U120" s="1" t="str">
        <f t="array" ref="U120">IF(ISBLANK(INDEX(big_daily_table,MATCH(DATE(U$5,$J120,$I120),daily_dates,0),MATCH($B$3,daily_items,0))),NA(),INDEX(big_daily_table,MATCH(DATE(U$5,$J120,$I120),daily_dates,0),MATCH($B$3,daily_items,0)))</f>
        <v>#N/A</v>
      </c>
      <c r="V120" s="1" t="str">
        <f t="array" ref="V120">IF(ISBLANK(INDEX(big_daily_table,MATCH(DATE(V$5,$J120,$I120),daily_dates,0),MATCH($B$3,daily_items,0))),NA(),INDEX(big_daily_table,MATCH(DATE(V$5,$J120,$I120),daily_dates,0),MATCH($B$3,daily_items,0)))</f>
        <v>#N/A</v>
      </c>
      <c r="W120" s="1" t="str">
        <f t="array" ref="W120">IF(ISBLANK(INDEX(big_daily_table,MATCH(DATE(W$5,$J120,$I120),daily_dates,0),MATCH($B$3,daily_items,0))),NA(),INDEX(big_daily_table,MATCH(DATE(W$5,$J120,$I120),daily_dates,0),MATCH($B$3,daily_items,0)))</f>
        <v>#N/A</v>
      </c>
      <c r="X120" s="1" t="str">
        <f t="array" ref="X120">IF(ISBLANK(INDEX(big_daily_table,MATCH(DATE(X$5,$J120,$I120),daily_dates,0),MATCH($B$3,daily_items,0))),NA(),INDEX(big_daily_table,MATCH(DATE(X$5,$J120,$I120),daily_dates,0),MATCH($B$3,daily_items,0)))</f>
        <v>#N/A</v>
      </c>
      <c r="Y120" s="1" t="str">
        <f t="array" ref="Y120">IF(ISBLANK(INDEX(big_daily_table,MATCH(DATE(Y$5,$J120,$I120),daily_dates,0),MATCH($B$3,daily_items,0))),NA(),INDEX(big_daily_table,MATCH(DATE(Y$5,$J120,$I120),daily_dates,0),MATCH($B$3,daily_items,0)))</f>
        <v>#N/A</v>
      </c>
      <c r="Z120" s="1" t="str">
        <f t="shared" si="5"/>
        <v>#NAME?</v>
      </c>
      <c r="AA120" s="1" t="str">
        <f t="shared" si="6"/>
        <v>#NAME?</v>
      </c>
      <c r="AB120" s="1" t="str">
        <f t="shared" si="7"/>
        <v>#NAME?</v>
      </c>
      <c r="AC120" s="1" t="str">
        <f t="shared" si="8"/>
        <v>#NAME?</v>
      </c>
    </row>
    <row r="121" ht="14.25" customHeight="1">
      <c r="H121" s="1">
        <f t="shared" si="9"/>
        <v>116</v>
      </c>
      <c r="I121" s="1">
        <f t="shared" si="2"/>
        <v>25</v>
      </c>
      <c r="J121" s="1">
        <f t="shared" si="3"/>
        <v>4</v>
      </c>
      <c r="K121" s="23">
        <f t="shared" si="10"/>
        <v>36641</v>
      </c>
      <c r="L121" s="24">
        <f t="shared" si="4"/>
        <v>-1000000</v>
      </c>
      <c r="M121" s="1" t="str">
        <f t="array" ref="M121">IF(K121&gt;0,INDEX(big_daily_table,MATCH(DATE(N$5,$J121,$I121),daily_dates,0),MATCH($B$3,daily_items,0)),NA())</f>
        <v>#N/A</v>
      </c>
      <c r="N121" s="1" t="str">
        <f t="array" ref="N121">IF(L121&lt;0,INDEX(big_daily_table,MATCH(DATE(N$5,$J121,$I121),daily_dates,0),MATCH($B$3,daily_items,0)),NA())</f>
        <v>#N/A</v>
      </c>
      <c r="O121" s="1" t="str">
        <f t="array" ref="O121">IF(ISBLANK(INDEX(big_daily_table,MATCH(DATE(O$5,$J121,$I121),daily_dates,0),MATCH($B$3,daily_items,0))),NA(),INDEX(big_daily_table,MATCH(DATE(O$5,$J121,$I121),daily_dates,0),MATCH($B$3,daily_items,0)))</f>
        <v>#N/A</v>
      </c>
      <c r="P121" s="1" t="str">
        <f t="array" ref="P121">IF(ISBLANK(INDEX(big_daily_table,MATCH(DATE(P$5,$J121,$I121),daily_dates,0),MATCH($B$3,daily_items,0))),NA(),INDEX(big_daily_table,MATCH(DATE(P$5,$J121,$I121),daily_dates,0),MATCH($B$3,daily_items,0)))</f>
        <v>#N/A</v>
      </c>
      <c r="Q121" s="1" t="str">
        <f t="array" ref="Q121">IF(ISBLANK(INDEX(big_daily_table,MATCH(DATE(Q$5,$J121,$I121),daily_dates,0),MATCH($B$3,daily_items,0))),NA(),INDEX(big_daily_table,MATCH(DATE(Q$5,$J121,$I121),daily_dates,0),MATCH($B$3,daily_items,0)))</f>
        <v>#N/A</v>
      </c>
      <c r="R121" s="1" t="str">
        <f t="array" ref="R121">IF(ISBLANK(INDEX(big_daily_table,MATCH(DATE(R$5,$J121,$I121),daily_dates,0),MATCH($B$3,daily_items,0))),NA(),INDEX(big_daily_table,MATCH(DATE(R$5,$J121,$I121),daily_dates,0),MATCH($B$3,daily_items,0)))</f>
        <v>#N/A</v>
      </c>
      <c r="S121" s="1" t="str">
        <f t="array" ref="S121">IF(ISBLANK(INDEX(big_daily_table,MATCH(DATE(S$5,$J121,$I121),daily_dates,0),MATCH($B$3,daily_items,0))),NA(),INDEX(big_daily_table,MATCH(DATE(S$5,$J121,$I121),daily_dates,0),MATCH($B$3,daily_items,0)))</f>
        <v>#N/A</v>
      </c>
      <c r="T121" s="1" t="str">
        <f t="array" ref="T121">IF(ISBLANK(INDEX(big_daily_table,MATCH(DATE(T$5,$J121,$I121),daily_dates,0),MATCH($B$3,daily_items,0))),NA(),INDEX(big_daily_table,MATCH(DATE(T$5,$J121,$I121),daily_dates,0),MATCH($B$3,daily_items,0)))</f>
        <v>#N/A</v>
      </c>
      <c r="U121" s="1" t="str">
        <f t="array" ref="U121">IF(ISBLANK(INDEX(big_daily_table,MATCH(DATE(U$5,$J121,$I121),daily_dates,0),MATCH($B$3,daily_items,0))),NA(),INDEX(big_daily_table,MATCH(DATE(U$5,$J121,$I121),daily_dates,0),MATCH($B$3,daily_items,0)))</f>
        <v>#N/A</v>
      </c>
      <c r="V121" s="1" t="str">
        <f t="array" ref="V121">IF(ISBLANK(INDEX(big_daily_table,MATCH(DATE(V$5,$J121,$I121),daily_dates,0),MATCH($B$3,daily_items,0))),NA(),INDEX(big_daily_table,MATCH(DATE(V$5,$J121,$I121),daily_dates,0),MATCH($B$3,daily_items,0)))</f>
        <v>#N/A</v>
      </c>
      <c r="W121" s="1" t="str">
        <f t="array" ref="W121">IF(ISBLANK(INDEX(big_daily_table,MATCH(DATE(W$5,$J121,$I121),daily_dates,0),MATCH($B$3,daily_items,0))),NA(),INDEX(big_daily_table,MATCH(DATE(W$5,$J121,$I121),daily_dates,0),MATCH($B$3,daily_items,0)))</f>
        <v>#N/A</v>
      </c>
      <c r="X121" s="1" t="str">
        <f t="array" ref="X121">IF(ISBLANK(INDEX(big_daily_table,MATCH(DATE(X$5,$J121,$I121),daily_dates,0),MATCH($B$3,daily_items,0))),NA(),INDEX(big_daily_table,MATCH(DATE(X$5,$J121,$I121),daily_dates,0),MATCH($B$3,daily_items,0)))</f>
        <v>#N/A</v>
      </c>
      <c r="Y121" s="1" t="str">
        <f t="array" ref="Y121">IF(ISBLANK(INDEX(big_daily_table,MATCH(DATE(Y$5,$J121,$I121),daily_dates,0),MATCH($B$3,daily_items,0))),NA(),INDEX(big_daily_table,MATCH(DATE(Y$5,$J121,$I121),daily_dates,0),MATCH($B$3,daily_items,0)))</f>
        <v>#N/A</v>
      </c>
      <c r="Z121" s="1" t="str">
        <f t="shared" si="5"/>
        <v>#NAME?</v>
      </c>
      <c r="AA121" s="1" t="str">
        <f t="shared" si="6"/>
        <v>#NAME?</v>
      </c>
      <c r="AB121" s="1" t="str">
        <f t="shared" si="7"/>
        <v>#NAME?</v>
      </c>
      <c r="AC121" s="1" t="str">
        <f t="shared" si="8"/>
        <v>#NAME?</v>
      </c>
    </row>
    <row r="122" ht="14.25" customHeight="1">
      <c r="H122" s="1">
        <f t="shared" si="9"/>
        <v>117</v>
      </c>
      <c r="I122" s="1">
        <f t="shared" si="2"/>
        <v>26</v>
      </c>
      <c r="J122" s="1">
        <f t="shared" si="3"/>
        <v>4</v>
      </c>
      <c r="K122" s="23">
        <f t="shared" si="10"/>
        <v>36642</v>
      </c>
      <c r="L122" s="24">
        <f t="shared" si="4"/>
        <v>-1000000</v>
      </c>
      <c r="M122" s="1" t="str">
        <f t="array" ref="M122">IF(K122&gt;0,INDEX(big_daily_table,MATCH(DATE(N$5,$J122,$I122),daily_dates,0),MATCH($B$3,daily_items,0)),NA())</f>
        <v>#N/A</v>
      </c>
      <c r="N122" s="1" t="str">
        <f t="array" ref="N122">IF(L122&lt;0,INDEX(big_daily_table,MATCH(DATE(N$5,$J122,$I122),daily_dates,0),MATCH($B$3,daily_items,0)),NA())</f>
        <v>#N/A</v>
      </c>
      <c r="O122" s="1" t="str">
        <f t="array" ref="O122">IF(ISBLANK(INDEX(big_daily_table,MATCH(DATE(O$5,$J122,$I122),daily_dates,0),MATCH($B$3,daily_items,0))),NA(),INDEX(big_daily_table,MATCH(DATE(O$5,$J122,$I122),daily_dates,0),MATCH($B$3,daily_items,0)))</f>
        <v>#N/A</v>
      </c>
      <c r="P122" s="1" t="str">
        <f t="array" ref="P122">IF(ISBLANK(INDEX(big_daily_table,MATCH(DATE(P$5,$J122,$I122),daily_dates,0),MATCH($B$3,daily_items,0))),NA(),INDEX(big_daily_table,MATCH(DATE(P$5,$J122,$I122),daily_dates,0),MATCH($B$3,daily_items,0)))</f>
        <v>#N/A</v>
      </c>
      <c r="Q122" s="1" t="str">
        <f t="array" ref="Q122">IF(ISBLANK(INDEX(big_daily_table,MATCH(DATE(Q$5,$J122,$I122),daily_dates,0),MATCH($B$3,daily_items,0))),NA(),INDEX(big_daily_table,MATCH(DATE(Q$5,$J122,$I122),daily_dates,0),MATCH($B$3,daily_items,0)))</f>
        <v>#N/A</v>
      </c>
      <c r="R122" s="1" t="str">
        <f t="array" ref="R122">IF(ISBLANK(INDEX(big_daily_table,MATCH(DATE(R$5,$J122,$I122),daily_dates,0),MATCH($B$3,daily_items,0))),NA(),INDEX(big_daily_table,MATCH(DATE(R$5,$J122,$I122),daily_dates,0),MATCH($B$3,daily_items,0)))</f>
        <v>#N/A</v>
      </c>
      <c r="S122" s="1" t="str">
        <f t="array" ref="S122">IF(ISBLANK(INDEX(big_daily_table,MATCH(DATE(S$5,$J122,$I122),daily_dates,0),MATCH($B$3,daily_items,0))),NA(),INDEX(big_daily_table,MATCH(DATE(S$5,$J122,$I122),daily_dates,0),MATCH($B$3,daily_items,0)))</f>
        <v>#N/A</v>
      </c>
      <c r="T122" s="1" t="str">
        <f t="array" ref="T122">IF(ISBLANK(INDEX(big_daily_table,MATCH(DATE(T$5,$J122,$I122),daily_dates,0),MATCH($B$3,daily_items,0))),NA(),INDEX(big_daily_table,MATCH(DATE(T$5,$J122,$I122),daily_dates,0),MATCH($B$3,daily_items,0)))</f>
        <v>#N/A</v>
      </c>
      <c r="U122" s="1" t="str">
        <f t="array" ref="U122">IF(ISBLANK(INDEX(big_daily_table,MATCH(DATE(U$5,$J122,$I122),daily_dates,0),MATCH($B$3,daily_items,0))),NA(),INDEX(big_daily_table,MATCH(DATE(U$5,$J122,$I122),daily_dates,0),MATCH($B$3,daily_items,0)))</f>
        <v>#N/A</v>
      </c>
      <c r="V122" s="1" t="str">
        <f t="array" ref="V122">IF(ISBLANK(INDEX(big_daily_table,MATCH(DATE(V$5,$J122,$I122),daily_dates,0),MATCH($B$3,daily_items,0))),NA(),INDEX(big_daily_table,MATCH(DATE(V$5,$J122,$I122),daily_dates,0),MATCH($B$3,daily_items,0)))</f>
        <v>#N/A</v>
      </c>
      <c r="W122" s="1" t="str">
        <f t="array" ref="W122">IF(ISBLANK(INDEX(big_daily_table,MATCH(DATE(W$5,$J122,$I122),daily_dates,0),MATCH($B$3,daily_items,0))),NA(),INDEX(big_daily_table,MATCH(DATE(W$5,$J122,$I122),daily_dates,0),MATCH($B$3,daily_items,0)))</f>
        <v>#N/A</v>
      </c>
      <c r="X122" s="1" t="str">
        <f t="array" ref="X122">IF(ISBLANK(INDEX(big_daily_table,MATCH(DATE(X$5,$J122,$I122),daily_dates,0),MATCH($B$3,daily_items,0))),NA(),INDEX(big_daily_table,MATCH(DATE(X$5,$J122,$I122),daily_dates,0),MATCH($B$3,daily_items,0)))</f>
        <v>#N/A</v>
      </c>
      <c r="Y122" s="1" t="str">
        <f t="array" ref="Y122">IF(ISBLANK(INDEX(big_daily_table,MATCH(DATE(Y$5,$J122,$I122),daily_dates,0),MATCH($B$3,daily_items,0))),NA(),INDEX(big_daily_table,MATCH(DATE(Y$5,$J122,$I122),daily_dates,0),MATCH($B$3,daily_items,0)))</f>
        <v>#N/A</v>
      </c>
      <c r="Z122" s="1" t="str">
        <f t="shared" si="5"/>
        <v>#NAME?</v>
      </c>
      <c r="AA122" s="1" t="str">
        <f t="shared" si="6"/>
        <v>#NAME?</v>
      </c>
      <c r="AB122" s="1" t="str">
        <f t="shared" si="7"/>
        <v>#NAME?</v>
      </c>
      <c r="AC122" s="1" t="str">
        <f t="shared" si="8"/>
        <v>#NAME?</v>
      </c>
    </row>
    <row r="123" ht="14.25" customHeight="1">
      <c r="H123" s="1">
        <f t="shared" si="9"/>
        <v>118</v>
      </c>
      <c r="I123" s="1">
        <f t="shared" si="2"/>
        <v>27</v>
      </c>
      <c r="J123" s="1">
        <f t="shared" si="3"/>
        <v>4</v>
      </c>
      <c r="K123" s="23">
        <f t="shared" si="10"/>
        <v>36643</v>
      </c>
      <c r="L123" s="24">
        <f t="shared" si="4"/>
        <v>-1000000</v>
      </c>
      <c r="M123" s="1" t="str">
        <f t="array" ref="M123">IF(K123&gt;0,INDEX(big_daily_table,MATCH(DATE(N$5,$J123,$I123),daily_dates,0),MATCH($B$3,daily_items,0)),NA())</f>
        <v>#N/A</v>
      </c>
      <c r="N123" s="1" t="str">
        <f t="array" ref="N123">IF(L123&lt;0,INDEX(big_daily_table,MATCH(DATE(N$5,$J123,$I123),daily_dates,0),MATCH($B$3,daily_items,0)),NA())</f>
        <v>#N/A</v>
      </c>
      <c r="O123" s="1" t="str">
        <f t="array" ref="O123">IF(ISBLANK(INDEX(big_daily_table,MATCH(DATE(O$5,$J123,$I123),daily_dates,0),MATCH($B$3,daily_items,0))),NA(),INDEX(big_daily_table,MATCH(DATE(O$5,$J123,$I123),daily_dates,0),MATCH($B$3,daily_items,0)))</f>
        <v>#N/A</v>
      </c>
      <c r="P123" s="1" t="str">
        <f t="array" ref="P123">IF(ISBLANK(INDEX(big_daily_table,MATCH(DATE(P$5,$J123,$I123),daily_dates,0),MATCH($B$3,daily_items,0))),NA(),INDEX(big_daily_table,MATCH(DATE(P$5,$J123,$I123),daily_dates,0),MATCH($B$3,daily_items,0)))</f>
        <v>#N/A</v>
      </c>
      <c r="Q123" s="1" t="str">
        <f t="array" ref="Q123">IF(ISBLANK(INDEX(big_daily_table,MATCH(DATE(Q$5,$J123,$I123),daily_dates,0),MATCH($B$3,daily_items,0))),NA(),INDEX(big_daily_table,MATCH(DATE(Q$5,$J123,$I123),daily_dates,0),MATCH($B$3,daily_items,0)))</f>
        <v>#N/A</v>
      </c>
      <c r="R123" s="1" t="str">
        <f t="array" ref="R123">IF(ISBLANK(INDEX(big_daily_table,MATCH(DATE(R$5,$J123,$I123),daily_dates,0),MATCH($B$3,daily_items,0))),NA(),INDEX(big_daily_table,MATCH(DATE(R$5,$J123,$I123),daily_dates,0),MATCH($B$3,daily_items,0)))</f>
        <v>#N/A</v>
      </c>
      <c r="S123" s="1" t="str">
        <f t="array" ref="S123">IF(ISBLANK(INDEX(big_daily_table,MATCH(DATE(S$5,$J123,$I123),daily_dates,0),MATCH($B$3,daily_items,0))),NA(),INDEX(big_daily_table,MATCH(DATE(S$5,$J123,$I123),daily_dates,0),MATCH($B$3,daily_items,0)))</f>
        <v>#N/A</v>
      </c>
      <c r="T123" s="1" t="str">
        <f t="array" ref="T123">IF(ISBLANK(INDEX(big_daily_table,MATCH(DATE(T$5,$J123,$I123),daily_dates,0),MATCH($B$3,daily_items,0))),NA(),INDEX(big_daily_table,MATCH(DATE(T$5,$J123,$I123),daily_dates,0),MATCH($B$3,daily_items,0)))</f>
        <v>#N/A</v>
      </c>
      <c r="U123" s="1" t="str">
        <f t="array" ref="U123">IF(ISBLANK(INDEX(big_daily_table,MATCH(DATE(U$5,$J123,$I123),daily_dates,0),MATCH($B$3,daily_items,0))),NA(),INDEX(big_daily_table,MATCH(DATE(U$5,$J123,$I123),daily_dates,0),MATCH($B$3,daily_items,0)))</f>
        <v>#N/A</v>
      </c>
      <c r="V123" s="1" t="str">
        <f t="array" ref="V123">IF(ISBLANK(INDEX(big_daily_table,MATCH(DATE(V$5,$J123,$I123),daily_dates,0),MATCH($B$3,daily_items,0))),NA(),INDEX(big_daily_table,MATCH(DATE(V$5,$J123,$I123),daily_dates,0),MATCH($B$3,daily_items,0)))</f>
        <v>#N/A</v>
      </c>
      <c r="W123" s="1" t="str">
        <f t="array" ref="W123">IF(ISBLANK(INDEX(big_daily_table,MATCH(DATE(W$5,$J123,$I123),daily_dates,0),MATCH($B$3,daily_items,0))),NA(),INDEX(big_daily_table,MATCH(DATE(W$5,$J123,$I123),daily_dates,0),MATCH($B$3,daily_items,0)))</f>
        <v>#N/A</v>
      </c>
      <c r="X123" s="1" t="str">
        <f t="array" ref="X123">IF(ISBLANK(INDEX(big_daily_table,MATCH(DATE(X$5,$J123,$I123),daily_dates,0),MATCH($B$3,daily_items,0))),NA(),INDEX(big_daily_table,MATCH(DATE(X$5,$J123,$I123),daily_dates,0),MATCH($B$3,daily_items,0)))</f>
        <v>#N/A</v>
      </c>
      <c r="Y123" s="1" t="str">
        <f t="array" ref="Y123">IF(ISBLANK(INDEX(big_daily_table,MATCH(DATE(Y$5,$J123,$I123),daily_dates,0),MATCH($B$3,daily_items,0))),NA(),INDEX(big_daily_table,MATCH(DATE(Y$5,$J123,$I123),daily_dates,0),MATCH($B$3,daily_items,0)))</f>
        <v>#N/A</v>
      </c>
      <c r="Z123" s="1" t="str">
        <f t="shared" si="5"/>
        <v>#NAME?</v>
      </c>
      <c r="AA123" s="1" t="str">
        <f t="shared" si="6"/>
        <v>#NAME?</v>
      </c>
      <c r="AB123" s="1" t="str">
        <f t="shared" si="7"/>
        <v>#NAME?</v>
      </c>
      <c r="AC123" s="1" t="str">
        <f t="shared" si="8"/>
        <v>#NAME?</v>
      </c>
    </row>
    <row r="124" ht="14.25" customHeight="1">
      <c r="H124" s="1">
        <f t="shared" si="9"/>
        <v>119</v>
      </c>
      <c r="I124" s="1">
        <f t="shared" si="2"/>
        <v>28</v>
      </c>
      <c r="J124" s="1">
        <f t="shared" si="3"/>
        <v>4</v>
      </c>
      <c r="K124" s="23">
        <f t="shared" si="10"/>
        <v>36644</v>
      </c>
      <c r="L124" s="24">
        <f t="shared" si="4"/>
        <v>-1000000</v>
      </c>
      <c r="M124" s="1" t="str">
        <f t="array" ref="M124">IF(K124&gt;0,INDEX(big_daily_table,MATCH(DATE(N$5,$J124,$I124),daily_dates,0),MATCH($B$3,daily_items,0)),NA())</f>
        <v>#N/A</v>
      </c>
      <c r="N124" s="1" t="str">
        <f t="array" ref="N124">IF(L124&lt;0,INDEX(big_daily_table,MATCH(DATE(N$5,$J124,$I124),daily_dates,0),MATCH($B$3,daily_items,0)),NA())</f>
        <v>#N/A</v>
      </c>
      <c r="O124" s="1" t="str">
        <f t="array" ref="O124">IF(ISBLANK(INDEX(big_daily_table,MATCH(DATE(O$5,$J124,$I124),daily_dates,0),MATCH($B$3,daily_items,0))),NA(),INDEX(big_daily_table,MATCH(DATE(O$5,$J124,$I124),daily_dates,0),MATCH($B$3,daily_items,0)))</f>
        <v>#N/A</v>
      </c>
      <c r="P124" s="1" t="str">
        <f t="array" ref="P124">IF(ISBLANK(INDEX(big_daily_table,MATCH(DATE(P$5,$J124,$I124),daily_dates,0),MATCH($B$3,daily_items,0))),NA(),INDEX(big_daily_table,MATCH(DATE(P$5,$J124,$I124),daily_dates,0),MATCH($B$3,daily_items,0)))</f>
        <v>#N/A</v>
      </c>
      <c r="Q124" s="1" t="str">
        <f t="array" ref="Q124">IF(ISBLANK(INDEX(big_daily_table,MATCH(DATE(Q$5,$J124,$I124),daily_dates,0),MATCH($B$3,daily_items,0))),NA(),INDEX(big_daily_table,MATCH(DATE(Q$5,$J124,$I124),daily_dates,0),MATCH($B$3,daily_items,0)))</f>
        <v>#N/A</v>
      </c>
      <c r="R124" s="1" t="str">
        <f t="array" ref="R124">IF(ISBLANK(INDEX(big_daily_table,MATCH(DATE(R$5,$J124,$I124),daily_dates,0),MATCH($B$3,daily_items,0))),NA(),INDEX(big_daily_table,MATCH(DATE(R$5,$J124,$I124),daily_dates,0),MATCH($B$3,daily_items,0)))</f>
        <v>#N/A</v>
      </c>
      <c r="S124" s="1" t="str">
        <f t="array" ref="S124">IF(ISBLANK(INDEX(big_daily_table,MATCH(DATE(S$5,$J124,$I124),daily_dates,0),MATCH($B$3,daily_items,0))),NA(),INDEX(big_daily_table,MATCH(DATE(S$5,$J124,$I124),daily_dates,0),MATCH($B$3,daily_items,0)))</f>
        <v>#N/A</v>
      </c>
      <c r="T124" s="1" t="str">
        <f t="array" ref="T124">IF(ISBLANK(INDEX(big_daily_table,MATCH(DATE(T$5,$J124,$I124),daily_dates,0),MATCH($B$3,daily_items,0))),NA(),INDEX(big_daily_table,MATCH(DATE(T$5,$J124,$I124),daily_dates,0),MATCH($B$3,daily_items,0)))</f>
        <v>#N/A</v>
      </c>
      <c r="U124" s="1" t="str">
        <f t="array" ref="U124">IF(ISBLANK(INDEX(big_daily_table,MATCH(DATE(U$5,$J124,$I124),daily_dates,0),MATCH($B$3,daily_items,0))),NA(),INDEX(big_daily_table,MATCH(DATE(U$5,$J124,$I124),daily_dates,0),MATCH($B$3,daily_items,0)))</f>
        <v>#N/A</v>
      </c>
      <c r="V124" s="1" t="str">
        <f t="array" ref="V124">IF(ISBLANK(INDEX(big_daily_table,MATCH(DATE(V$5,$J124,$I124),daily_dates,0),MATCH($B$3,daily_items,0))),NA(),INDEX(big_daily_table,MATCH(DATE(V$5,$J124,$I124),daily_dates,0),MATCH($B$3,daily_items,0)))</f>
        <v>#N/A</v>
      </c>
      <c r="W124" s="1" t="str">
        <f t="array" ref="W124">IF(ISBLANK(INDEX(big_daily_table,MATCH(DATE(W$5,$J124,$I124),daily_dates,0),MATCH($B$3,daily_items,0))),NA(),INDEX(big_daily_table,MATCH(DATE(W$5,$J124,$I124),daily_dates,0),MATCH($B$3,daily_items,0)))</f>
        <v>#N/A</v>
      </c>
      <c r="X124" s="1" t="str">
        <f t="array" ref="X124">IF(ISBLANK(INDEX(big_daily_table,MATCH(DATE(X$5,$J124,$I124),daily_dates,0),MATCH($B$3,daily_items,0))),NA(),INDEX(big_daily_table,MATCH(DATE(X$5,$J124,$I124),daily_dates,0),MATCH($B$3,daily_items,0)))</f>
        <v>#N/A</v>
      </c>
      <c r="Y124" s="1" t="str">
        <f t="array" ref="Y124">IF(ISBLANK(INDEX(big_daily_table,MATCH(DATE(Y$5,$J124,$I124),daily_dates,0),MATCH($B$3,daily_items,0))),NA(),INDEX(big_daily_table,MATCH(DATE(Y$5,$J124,$I124),daily_dates,0),MATCH($B$3,daily_items,0)))</f>
        <v>#N/A</v>
      </c>
      <c r="Z124" s="1" t="str">
        <f t="shared" si="5"/>
        <v>#NAME?</v>
      </c>
      <c r="AA124" s="1" t="str">
        <f t="shared" si="6"/>
        <v>#NAME?</v>
      </c>
      <c r="AB124" s="1" t="str">
        <f t="shared" si="7"/>
        <v>#NAME?</v>
      </c>
      <c r="AC124" s="1" t="str">
        <f t="shared" si="8"/>
        <v>#NAME?</v>
      </c>
    </row>
    <row r="125" ht="14.25" customHeight="1">
      <c r="H125" s="1">
        <f t="shared" si="9"/>
        <v>120</v>
      </c>
      <c r="I125" s="1">
        <f t="shared" si="2"/>
        <v>29</v>
      </c>
      <c r="J125" s="1">
        <f t="shared" si="3"/>
        <v>4</v>
      </c>
      <c r="K125" s="23">
        <f t="shared" si="10"/>
        <v>36645</v>
      </c>
      <c r="L125" s="24">
        <f t="shared" si="4"/>
        <v>-1000000</v>
      </c>
      <c r="M125" s="1" t="str">
        <f t="array" ref="M125">IF(K125&gt;0,INDEX(big_daily_table,MATCH(DATE(N$5,$J125,$I125),daily_dates,0),MATCH($B$3,daily_items,0)),NA())</f>
        <v>#N/A</v>
      </c>
      <c r="N125" s="1" t="str">
        <f t="array" ref="N125">IF(L125&lt;0,INDEX(big_daily_table,MATCH(DATE(N$5,$J125,$I125),daily_dates,0),MATCH($B$3,daily_items,0)),NA())</f>
        <v>#N/A</v>
      </c>
      <c r="O125" s="1" t="str">
        <f t="array" ref="O125">IF(ISBLANK(INDEX(big_daily_table,MATCH(DATE(O$5,$J125,$I125),daily_dates,0),MATCH($B$3,daily_items,0))),NA(),INDEX(big_daily_table,MATCH(DATE(O$5,$J125,$I125),daily_dates,0),MATCH($B$3,daily_items,0)))</f>
        <v>#N/A</v>
      </c>
      <c r="P125" s="1" t="str">
        <f t="array" ref="P125">IF(ISBLANK(INDEX(big_daily_table,MATCH(DATE(P$5,$J125,$I125),daily_dates,0),MATCH($B$3,daily_items,0))),NA(),INDEX(big_daily_table,MATCH(DATE(P$5,$J125,$I125),daily_dates,0),MATCH($B$3,daily_items,0)))</f>
        <v>#N/A</v>
      </c>
      <c r="Q125" s="1" t="str">
        <f t="array" ref="Q125">IF(ISBLANK(INDEX(big_daily_table,MATCH(DATE(Q$5,$J125,$I125),daily_dates,0),MATCH($B$3,daily_items,0))),NA(),INDEX(big_daily_table,MATCH(DATE(Q$5,$J125,$I125),daily_dates,0),MATCH($B$3,daily_items,0)))</f>
        <v>#N/A</v>
      </c>
      <c r="R125" s="1" t="str">
        <f t="array" ref="R125">IF(ISBLANK(INDEX(big_daily_table,MATCH(DATE(R$5,$J125,$I125),daily_dates,0),MATCH($B$3,daily_items,0))),NA(),INDEX(big_daily_table,MATCH(DATE(R$5,$J125,$I125),daily_dates,0),MATCH($B$3,daily_items,0)))</f>
        <v>#N/A</v>
      </c>
      <c r="S125" s="1" t="str">
        <f t="array" ref="S125">IF(ISBLANK(INDEX(big_daily_table,MATCH(DATE(S$5,$J125,$I125),daily_dates,0),MATCH($B$3,daily_items,0))),NA(),INDEX(big_daily_table,MATCH(DATE(S$5,$J125,$I125),daily_dates,0),MATCH($B$3,daily_items,0)))</f>
        <v>#N/A</v>
      </c>
      <c r="T125" s="1" t="str">
        <f t="array" ref="T125">IF(ISBLANK(INDEX(big_daily_table,MATCH(DATE(T$5,$J125,$I125),daily_dates,0),MATCH($B$3,daily_items,0))),NA(),INDEX(big_daily_table,MATCH(DATE(T$5,$J125,$I125),daily_dates,0),MATCH($B$3,daily_items,0)))</f>
        <v>#N/A</v>
      </c>
      <c r="U125" s="1" t="str">
        <f t="array" ref="U125">IF(ISBLANK(INDEX(big_daily_table,MATCH(DATE(U$5,$J125,$I125),daily_dates,0),MATCH($B$3,daily_items,0))),NA(),INDEX(big_daily_table,MATCH(DATE(U$5,$J125,$I125),daily_dates,0),MATCH($B$3,daily_items,0)))</f>
        <v>#N/A</v>
      </c>
      <c r="V125" s="1" t="str">
        <f t="array" ref="V125">IF(ISBLANK(INDEX(big_daily_table,MATCH(DATE(V$5,$J125,$I125),daily_dates,0),MATCH($B$3,daily_items,0))),NA(),INDEX(big_daily_table,MATCH(DATE(V$5,$J125,$I125),daily_dates,0),MATCH($B$3,daily_items,0)))</f>
        <v>#N/A</v>
      </c>
      <c r="W125" s="1" t="str">
        <f t="array" ref="W125">IF(ISBLANK(INDEX(big_daily_table,MATCH(DATE(W$5,$J125,$I125),daily_dates,0),MATCH($B$3,daily_items,0))),NA(),INDEX(big_daily_table,MATCH(DATE(W$5,$J125,$I125),daily_dates,0),MATCH($B$3,daily_items,0)))</f>
        <v>#N/A</v>
      </c>
      <c r="X125" s="1" t="str">
        <f t="array" ref="X125">IF(ISBLANK(INDEX(big_daily_table,MATCH(DATE(X$5,$J125,$I125),daily_dates,0),MATCH($B$3,daily_items,0))),NA(),INDEX(big_daily_table,MATCH(DATE(X$5,$J125,$I125),daily_dates,0),MATCH($B$3,daily_items,0)))</f>
        <v>#N/A</v>
      </c>
      <c r="Y125" s="1" t="str">
        <f t="array" ref="Y125">IF(ISBLANK(INDEX(big_daily_table,MATCH(DATE(Y$5,$J125,$I125),daily_dates,0),MATCH($B$3,daily_items,0))),NA(),INDEX(big_daily_table,MATCH(DATE(Y$5,$J125,$I125),daily_dates,0),MATCH($B$3,daily_items,0)))</f>
        <v>#N/A</v>
      </c>
      <c r="Z125" s="1" t="str">
        <f t="shared" si="5"/>
        <v>#NAME?</v>
      </c>
      <c r="AA125" s="1" t="str">
        <f t="shared" si="6"/>
        <v>#NAME?</v>
      </c>
      <c r="AB125" s="1" t="str">
        <f t="shared" si="7"/>
        <v>#NAME?</v>
      </c>
      <c r="AC125" s="1" t="str">
        <f t="shared" si="8"/>
        <v>#NAME?</v>
      </c>
    </row>
    <row r="126" ht="14.25" customHeight="1">
      <c r="H126" s="1">
        <f t="shared" si="9"/>
        <v>121</v>
      </c>
      <c r="I126" s="1">
        <f t="shared" si="2"/>
        <v>30</v>
      </c>
      <c r="J126" s="1">
        <f t="shared" si="3"/>
        <v>4</v>
      </c>
      <c r="K126" s="23">
        <f t="shared" si="10"/>
        <v>36646</v>
      </c>
      <c r="L126" s="24">
        <f t="shared" si="4"/>
        <v>-1000000</v>
      </c>
      <c r="M126" s="1" t="str">
        <f t="array" ref="M126">IF(K126&gt;0,INDEX(big_daily_table,MATCH(DATE(N$5,$J126,$I126),daily_dates,0),MATCH($B$3,daily_items,0)),NA())</f>
        <v>#N/A</v>
      </c>
      <c r="N126" s="1" t="str">
        <f t="array" ref="N126">IF(L126&lt;0,INDEX(big_daily_table,MATCH(DATE(N$5,$J126,$I126),daily_dates,0),MATCH($B$3,daily_items,0)),NA())</f>
        <v>#N/A</v>
      </c>
      <c r="O126" s="1" t="str">
        <f t="array" ref="O126">IF(ISBLANK(INDEX(big_daily_table,MATCH(DATE(O$5,$J126,$I126),daily_dates,0),MATCH($B$3,daily_items,0))),NA(),INDEX(big_daily_table,MATCH(DATE(O$5,$J126,$I126),daily_dates,0),MATCH($B$3,daily_items,0)))</f>
        <v>#N/A</v>
      </c>
      <c r="P126" s="1" t="str">
        <f t="array" ref="P126">IF(ISBLANK(INDEX(big_daily_table,MATCH(DATE(P$5,$J126,$I126),daily_dates,0),MATCH($B$3,daily_items,0))),NA(),INDEX(big_daily_table,MATCH(DATE(P$5,$J126,$I126),daily_dates,0),MATCH($B$3,daily_items,0)))</f>
        <v>#N/A</v>
      </c>
      <c r="Q126" s="1" t="str">
        <f t="array" ref="Q126">IF(ISBLANK(INDEX(big_daily_table,MATCH(DATE(Q$5,$J126,$I126),daily_dates,0),MATCH($B$3,daily_items,0))),NA(),INDEX(big_daily_table,MATCH(DATE(Q$5,$J126,$I126),daily_dates,0),MATCH($B$3,daily_items,0)))</f>
        <v>#N/A</v>
      </c>
      <c r="R126" s="1" t="str">
        <f t="array" ref="R126">IF(ISBLANK(INDEX(big_daily_table,MATCH(DATE(R$5,$J126,$I126),daily_dates,0),MATCH($B$3,daily_items,0))),NA(),INDEX(big_daily_table,MATCH(DATE(R$5,$J126,$I126),daily_dates,0),MATCH($B$3,daily_items,0)))</f>
        <v>#N/A</v>
      </c>
      <c r="S126" s="1" t="str">
        <f t="array" ref="S126">IF(ISBLANK(INDEX(big_daily_table,MATCH(DATE(S$5,$J126,$I126),daily_dates,0),MATCH($B$3,daily_items,0))),NA(),INDEX(big_daily_table,MATCH(DATE(S$5,$J126,$I126),daily_dates,0),MATCH($B$3,daily_items,0)))</f>
        <v>#N/A</v>
      </c>
      <c r="T126" s="1" t="str">
        <f t="array" ref="T126">IF(ISBLANK(INDEX(big_daily_table,MATCH(DATE(T$5,$J126,$I126),daily_dates,0),MATCH($B$3,daily_items,0))),NA(),INDEX(big_daily_table,MATCH(DATE(T$5,$J126,$I126),daily_dates,0),MATCH($B$3,daily_items,0)))</f>
        <v>#N/A</v>
      </c>
      <c r="U126" s="1" t="str">
        <f t="array" ref="U126">IF(ISBLANK(INDEX(big_daily_table,MATCH(DATE(U$5,$J126,$I126),daily_dates,0),MATCH($B$3,daily_items,0))),NA(),INDEX(big_daily_table,MATCH(DATE(U$5,$J126,$I126),daily_dates,0),MATCH($B$3,daily_items,0)))</f>
        <v>#N/A</v>
      </c>
      <c r="V126" s="1" t="str">
        <f t="array" ref="V126">IF(ISBLANK(INDEX(big_daily_table,MATCH(DATE(V$5,$J126,$I126),daily_dates,0),MATCH($B$3,daily_items,0))),NA(),INDEX(big_daily_table,MATCH(DATE(V$5,$J126,$I126),daily_dates,0),MATCH($B$3,daily_items,0)))</f>
        <v>#N/A</v>
      </c>
      <c r="W126" s="1" t="str">
        <f t="array" ref="W126">IF(ISBLANK(INDEX(big_daily_table,MATCH(DATE(W$5,$J126,$I126),daily_dates,0),MATCH($B$3,daily_items,0))),NA(),INDEX(big_daily_table,MATCH(DATE(W$5,$J126,$I126),daily_dates,0),MATCH($B$3,daily_items,0)))</f>
        <v>#N/A</v>
      </c>
      <c r="X126" s="1" t="str">
        <f t="array" ref="X126">IF(ISBLANK(INDEX(big_daily_table,MATCH(DATE(X$5,$J126,$I126),daily_dates,0),MATCH($B$3,daily_items,0))),NA(),INDEX(big_daily_table,MATCH(DATE(X$5,$J126,$I126),daily_dates,0),MATCH($B$3,daily_items,0)))</f>
        <v>#N/A</v>
      </c>
      <c r="Y126" s="1" t="str">
        <f t="array" ref="Y126">IF(ISBLANK(INDEX(big_daily_table,MATCH(DATE(Y$5,$J126,$I126),daily_dates,0),MATCH($B$3,daily_items,0))),NA(),INDEX(big_daily_table,MATCH(DATE(Y$5,$J126,$I126),daily_dates,0),MATCH($B$3,daily_items,0)))</f>
        <v>#N/A</v>
      </c>
      <c r="Z126" s="1" t="str">
        <f t="shared" si="5"/>
        <v>#NAME?</v>
      </c>
      <c r="AA126" s="1" t="str">
        <f t="shared" si="6"/>
        <v>#NAME?</v>
      </c>
      <c r="AB126" s="1" t="str">
        <f t="shared" si="7"/>
        <v>#NAME?</v>
      </c>
      <c r="AC126" s="1" t="str">
        <f t="shared" si="8"/>
        <v>#NAME?</v>
      </c>
    </row>
    <row r="127" ht="14.25" customHeight="1">
      <c r="H127" s="1">
        <f t="shared" si="9"/>
        <v>122</v>
      </c>
      <c r="I127" s="1">
        <f t="shared" si="2"/>
        <v>1</v>
      </c>
      <c r="J127" s="1">
        <f t="shared" si="3"/>
        <v>5</v>
      </c>
      <c r="K127" s="23">
        <f t="shared" si="10"/>
        <v>36647</v>
      </c>
      <c r="L127" s="24">
        <f t="shared" si="4"/>
        <v>-1000000</v>
      </c>
      <c r="M127" s="1" t="str">
        <f t="array" ref="M127">IF(K127&gt;0,INDEX(big_daily_table,MATCH(DATE(N$5,$J127,$I127),daily_dates,0),MATCH($B$3,daily_items,0)),NA())</f>
        <v>#N/A</v>
      </c>
      <c r="N127" s="1" t="str">
        <f t="array" ref="N127">IF(L127&lt;0,INDEX(big_daily_table,MATCH(DATE(N$5,$J127,$I127),daily_dates,0),MATCH($B$3,daily_items,0)),NA())</f>
        <v>#N/A</v>
      </c>
      <c r="O127" s="1" t="str">
        <f t="array" ref="O127">IF(ISBLANK(INDEX(big_daily_table,MATCH(DATE(O$5,$J127,$I127),daily_dates,0),MATCH($B$3,daily_items,0))),NA(),INDEX(big_daily_table,MATCH(DATE(O$5,$J127,$I127),daily_dates,0),MATCH($B$3,daily_items,0)))</f>
        <v>#N/A</v>
      </c>
      <c r="P127" s="1" t="str">
        <f t="array" ref="P127">IF(ISBLANK(INDEX(big_daily_table,MATCH(DATE(P$5,$J127,$I127),daily_dates,0),MATCH($B$3,daily_items,0))),NA(),INDEX(big_daily_table,MATCH(DATE(P$5,$J127,$I127),daily_dates,0),MATCH($B$3,daily_items,0)))</f>
        <v>#N/A</v>
      </c>
      <c r="Q127" s="1" t="str">
        <f t="array" ref="Q127">IF(ISBLANK(INDEX(big_daily_table,MATCH(DATE(Q$5,$J127,$I127),daily_dates,0),MATCH($B$3,daily_items,0))),NA(),INDEX(big_daily_table,MATCH(DATE(Q$5,$J127,$I127),daily_dates,0),MATCH($B$3,daily_items,0)))</f>
        <v>#N/A</v>
      </c>
      <c r="R127" s="1" t="str">
        <f t="array" ref="R127">IF(ISBLANK(INDEX(big_daily_table,MATCH(DATE(R$5,$J127,$I127),daily_dates,0),MATCH($B$3,daily_items,0))),NA(),INDEX(big_daily_table,MATCH(DATE(R$5,$J127,$I127),daily_dates,0),MATCH($B$3,daily_items,0)))</f>
        <v>#N/A</v>
      </c>
      <c r="S127" s="1" t="str">
        <f t="array" ref="S127">IF(ISBLANK(INDEX(big_daily_table,MATCH(DATE(S$5,$J127,$I127),daily_dates,0),MATCH($B$3,daily_items,0))),NA(),INDEX(big_daily_table,MATCH(DATE(S$5,$J127,$I127),daily_dates,0),MATCH($B$3,daily_items,0)))</f>
        <v>#N/A</v>
      </c>
      <c r="T127" s="1" t="str">
        <f t="array" ref="T127">IF(ISBLANK(INDEX(big_daily_table,MATCH(DATE(T$5,$J127,$I127),daily_dates,0),MATCH($B$3,daily_items,0))),NA(),INDEX(big_daily_table,MATCH(DATE(T$5,$J127,$I127),daily_dates,0),MATCH($B$3,daily_items,0)))</f>
        <v>#N/A</v>
      </c>
      <c r="U127" s="1" t="str">
        <f t="array" ref="U127">IF(ISBLANK(INDEX(big_daily_table,MATCH(DATE(U$5,$J127,$I127),daily_dates,0),MATCH($B$3,daily_items,0))),NA(),INDEX(big_daily_table,MATCH(DATE(U$5,$J127,$I127),daily_dates,0),MATCH($B$3,daily_items,0)))</f>
        <v>#N/A</v>
      </c>
      <c r="V127" s="1" t="str">
        <f t="array" ref="V127">IF(ISBLANK(INDEX(big_daily_table,MATCH(DATE(V$5,$J127,$I127),daily_dates,0),MATCH($B$3,daily_items,0))),NA(),INDEX(big_daily_table,MATCH(DATE(V$5,$J127,$I127),daily_dates,0),MATCH($B$3,daily_items,0)))</f>
        <v>#N/A</v>
      </c>
      <c r="W127" s="1" t="str">
        <f t="array" ref="W127">IF(ISBLANK(INDEX(big_daily_table,MATCH(DATE(W$5,$J127,$I127),daily_dates,0),MATCH($B$3,daily_items,0))),NA(),INDEX(big_daily_table,MATCH(DATE(W$5,$J127,$I127),daily_dates,0),MATCH($B$3,daily_items,0)))</f>
        <v>#N/A</v>
      </c>
      <c r="X127" s="1" t="str">
        <f t="array" ref="X127">IF(ISBLANK(INDEX(big_daily_table,MATCH(DATE(X$5,$J127,$I127),daily_dates,0),MATCH($B$3,daily_items,0))),NA(),INDEX(big_daily_table,MATCH(DATE(X$5,$J127,$I127),daily_dates,0),MATCH($B$3,daily_items,0)))</f>
        <v>#N/A</v>
      </c>
      <c r="Y127" s="1" t="str">
        <f t="array" ref="Y127">IF(ISBLANK(INDEX(big_daily_table,MATCH(DATE(Y$5,$J127,$I127),daily_dates,0),MATCH($B$3,daily_items,0))),NA(),INDEX(big_daily_table,MATCH(DATE(Y$5,$J127,$I127),daily_dates,0),MATCH($B$3,daily_items,0)))</f>
        <v>#N/A</v>
      </c>
      <c r="Z127" s="1" t="str">
        <f t="shared" si="5"/>
        <v>#NAME?</v>
      </c>
      <c r="AA127" s="1" t="str">
        <f t="shared" si="6"/>
        <v>#NAME?</v>
      </c>
      <c r="AB127" s="1" t="str">
        <f t="shared" si="7"/>
        <v>#NAME?</v>
      </c>
      <c r="AC127" s="1" t="str">
        <f t="shared" si="8"/>
        <v>#NAME?</v>
      </c>
    </row>
    <row r="128" ht="14.25" customHeight="1">
      <c r="H128" s="1">
        <f t="shared" si="9"/>
        <v>123</v>
      </c>
      <c r="I128" s="1">
        <f t="shared" si="2"/>
        <v>2</v>
      </c>
      <c r="J128" s="1">
        <f t="shared" si="3"/>
        <v>5</v>
      </c>
      <c r="K128" s="23">
        <f t="shared" si="10"/>
        <v>36648</v>
      </c>
      <c r="L128" s="24">
        <f t="shared" si="4"/>
        <v>-1000000</v>
      </c>
      <c r="M128" s="1" t="str">
        <f t="array" ref="M128">IF(K128&gt;0,INDEX(big_daily_table,MATCH(DATE(N$5,$J128,$I128),daily_dates,0),MATCH($B$3,daily_items,0)),NA())</f>
        <v>#N/A</v>
      </c>
      <c r="N128" s="1" t="str">
        <f t="array" ref="N128">IF(L128&lt;0,INDEX(big_daily_table,MATCH(DATE(N$5,$J128,$I128),daily_dates,0),MATCH($B$3,daily_items,0)),NA())</f>
        <v>#N/A</v>
      </c>
      <c r="O128" s="1" t="str">
        <f t="array" ref="O128">IF(ISBLANK(INDEX(big_daily_table,MATCH(DATE(O$5,$J128,$I128),daily_dates,0),MATCH($B$3,daily_items,0))),NA(),INDEX(big_daily_table,MATCH(DATE(O$5,$J128,$I128),daily_dates,0),MATCH($B$3,daily_items,0)))</f>
        <v>#N/A</v>
      </c>
      <c r="P128" s="1" t="str">
        <f t="array" ref="P128">IF(ISBLANK(INDEX(big_daily_table,MATCH(DATE(P$5,$J128,$I128),daily_dates,0),MATCH($B$3,daily_items,0))),NA(),INDEX(big_daily_table,MATCH(DATE(P$5,$J128,$I128),daily_dates,0),MATCH($B$3,daily_items,0)))</f>
        <v>#N/A</v>
      </c>
      <c r="Q128" s="1" t="str">
        <f t="array" ref="Q128">IF(ISBLANK(INDEX(big_daily_table,MATCH(DATE(Q$5,$J128,$I128),daily_dates,0),MATCH($B$3,daily_items,0))),NA(),INDEX(big_daily_table,MATCH(DATE(Q$5,$J128,$I128),daily_dates,0),MATCH($B$3,daily_items,0)))</f>
        <v>#N/A</v>
      </c>
      <c r="R128" s="1" t="str">
        <f t="array" ref="R128">IF(ISBLANK(INDEX(big_daily_table,MATCH(DATE(R$5,$J128,$I128),daily_dates,0),MATCH($B$3,daily_items,0))),NA(),INDEX(big_daily_table,MATCH(DATE(R$5,$J128,$I128),daily_dates,0),MATCH($B$3,daily_items,0)))</f>
        <v>#N/A</v>
      </c>
      <c r="S128" s="1" t="str">
        <f t="array" ref="S128">IF(ISBLANK(INDEX(big_daily_table,MATCH(DATE(S$5,$J128,$I128),daily_dates,0),MATCH($B$3,daily_items,0))),NA(),INDEX(big_daily_table,MATCH(DATE(S$5,$J128,$I128),daily_dates,0),MATCH($B$3,daily_items,0)))</f>
        <v>#N/A</v>
      </c>
      <c r="T128" s="1" t="str">
        <f t="array" ref="T128">IF(ISBLANK(INDEX(big_daily_table,MATCH(DATE(T$5,$J128,$I128),daily_dates,0),MATCH($B$3,daily_items,0))),NA(),INDEX(big_daily_table,MATCH(DATE(T$5,$J128,$I128),daily_dates,0),MATCH($B$3,daily_items,0)))</f>
        <v>#N/A</v>
      </c>
      <c r="U128" s="1" t="str">
        <f t="array" ref="U128">IF(ISBLANK(INDEX(big_daily_table,MATCH(DATE(U$5,$J128,$I128),daily_dates,0),MATCH($B$3,daily_items,0))),NA(),INDEX(big_daily_table,MATCH(DATE(U$5,$J128,$I128),daily_dates,0),MATCH($B$3,daily_items,0)))</f>
        <v>#N/A</v>
      </c>
      <c r="V128" s="1" t="str">
        <f t="array" ref="V128">IF(ISBLANK(INDEX(big_daily_table,MATCH(DATE(V$5,$J128,$I128),daily_dates,0),MATCH($B$3,daily_items,0))),NA(),INDEX(big_daily_table,MATCH(DATE(V$5,$J128,$I128),daily_dates,0),MATCH($B$3,daily_items,0)))</f>
        <v>#N/A</v>
      </c>
      <c r="W128" s="1" t="str">
        <f t="array" ref="W128">IF(ISBLANK(INDEX(big_daily_table,MATCH(DATE(W$5,$J128,$I128),daily_dates,0),MATCH($B$3,daily_items,0))),NA(),INDEX(big_daily_table,MATCH(DATE(W$5,$J128,$I128),daily_dates,0),MATCH($B$3,daily_items,0)))</f>
        <v>#N/A</v>
      </c>
      <c r="X128" s="1" t="str">
        <f t="array" ref="X128">IF(ISBLANK(INDEX(big_daily_table,MATCH(DATE(X$5,$J128,$I128),daily_dates,0),MATCH($B$3,daily_items,0))),NA(),INDEX(big_daily_table,MATCH(DATE(X$5,$J128,$I128),daily_dates,0),MATCH($B$3,daily_items,0)))</f>
        <v>#N/A</v>
      </c>
      <c r="Y128" s="1" t="str">
        <f t="array" ref="Y128">IF(ISBLANK(INDEX(big_daily_table,MATCH(DATE(Y$5,$J128,$I128),daily_dates,0),MATCH($B$3,daily_items,0))),NA(),INDEX(big_daily_table,MATCH(DATE(Y$5,$J128,$I128),daily_dates,0),MATCH($B$3,daily_items,0)))</f>
        <v>#N/A</v>
      </c>
      <c r="Z128" s="1" t="str">
        <f t="shared" si="5"/>
        <v>#NAME?</v>
      </c>
      <c r="AA128" s="1" t="str">
        <f t="shared" si="6"/>
        <v>#NAME?</v>
      </c>
      <c r="AB128" s="1" t="str">
        <f t="shared" si="7"/>
        <v>#NAME?</v>
      </c>
      <c r="AC128" s="1" t="str">
        <f t="shared" si="8"/>
        <v>#NAME?</v>
      </c>
    </row>
    <row r="129" ht="14.25" customHeight="1">
      <c r="H129" s="1">
        <f t="shared" si="9"/>
        <v>124</v>
      </c>
      <c r="I129" s="1">
        <f t="shared" si="2"/>
        <v>3</v>
      </c>
      <c r="J129" s="1">
        <f t="shared" si="3"/>
        <v>5</v>
      </c>
      <c r="K129" s="23">
        <f t="shared" si="10"/>
        <v>36649</v>
      </c>
      <c r="L129" s="24">
        <f t="shared" si="4"/>
        <v>-1000000</v>
      </c>
      <c r="M129" s="1" t="str">
        <f t="array" ref="M129">IF(K129&gt;0,INDEX(big_daily_table,MATCH(DATE(N$5,$J129,$I129),daily_dates,0),MATCH($B$3,daily_items,0)),NA())</f>
        <v>#N/A</v>
      </c>
      <c r="N129" s="1" t="str">
        <f t="array" ref="N129">IF(L129&lt;0,INDEX(big_daily_table,MATCH(DATE(N$5,$J129,$I129),daily_dates,0),MATCH($B$3,daily_items,0)),NA())</f>
        <v>#N/A</v>
      </c>
      <c r="O129" s="1" t="str">
        <f t="array" ref="O129">IF(ISBLANK(INDEX(big_daily_table,MATCH(DATE(O$5,$J129,$I129),daily_dates,0),MATCH($B$3,daily_items,0))),NA(),INDEX(big_daily_table,MATCH(DATE(O$5,$J129,$I129),daily_dates,0),MATCH($B$3,daily_items,0)))</f>
        <v>#N/A</v>
      </c>
      <c r="P129" s="1" t="str">
        <f t="array" ref="P129">IF(ISBLANK(INDEX(big_daily_table,MATCH(DATE(P$5,$J129,$I129),daily_dates,0),MATCH($B$3,daily_items,0))),NA(),INDEX(big_daily_table,MATCH(DATE(P$5,$J129,$I129),daily_dates,0),MATCH($B$3,daily_items,0)))</f>
        <v>#N/A</v>
      </c>
      <c r="Q129" s="1" t="str">
        <f t="array" ref="Q129">IF(ISBLANK(INDEX(big_daily_table,MATCH(DATE(Q$5,$J129,$I129),daily_dates,0),MATCH($B$3,daily_items,0))),NA(),INDEX(big_daily_table,MATCH(DATE(Q$5,$J129,$I129),daily_dates,0),MATCH($B$3,daily_items,0)))</f>
        <v>#N/A</v>
      </c>
      <c r="R129" s="1" t="str">
        <f t="array" ref="R129">IF(ISBLANK(INDEX(big_daily_table,MATCH(DATE(R$5,$J129,$I129),daily_dates,0),MATCH($B$3,daily_items,0))),NA(),INDEX(big_daily_table,MATCH(DATE(R$5,$J129,$I129),daily_dates,0),MATCH($B$3,daily_items,0)))</f>
        <v>#N/A</v>
      </c>
      <c r="S129" s="1" t="str">
        <f t="array" ref="S129">IF(ISBLANK(INDEX(big_daily_table,MATCH(DATE(S$5,$J129,$I129),daily_dates,0),MATCH($B$3,daily_items,0))),NA(),INDEX(big_daily_table,MATCH(DATE(S$5,$J129,$I129),daily_dates,0),MATCH($B$3,daily_items,0)))</f>
        <v>#N/A</v>
      </c>
      <c r="T129" s="1" t="str">
        <f t="array" ref="T129">IF(ISBLANK(INDEX(big_daily_table,MATCH(DATE(T$5,$J129,$I129),daily_dates,0),MATCH($B$3,daily_items,0))),NA(),INDEX(big_daily_table,MATCH(DATE(T$5,$J129,$I129),daily_dates,0),MATCH($B$3,daily_items,0)))</f>
        <v>#N/A</v>
      </c>
      <c r="U129" s="1" t="str">
        <f t="array" ref="U129">IF(ISBLANK(INDEX(big_daily_table,MATCH(DATE(U$5,$J129,$I129),daily_dates,0),MATCH($B$3,daily_items,0))),NA(),INDEX(big_daily_table,MATCH(DATE(U$5,$J129,$I129),daily_dates,0),MATCH($B$3,daily_items,0)))</f>
        <v>#N/A</v>
      </c>
      <c r="V129" s="1" t="str">
        <f t="array" ref="V129">IF(ISBLANK(INDEX(big_daily_table,MATCH(DATE(V$5,$J129,$I129),daily_dates,0),MATCH($B$3,daily_items,0))),NA(),INDEX(big_daily_table,MATCH(DATE(V$5,$J129,$I129),daily_dates,0),MATCH($B$3,daily_items,0)))</f>
        <v>#N/A</v>
      </c>
      <c r="W129" s="1" t="str">
        <f t="array" ref="W129">IF(ISBLANK(INDEX(big_daily_table,MATCH(DATE(W$5,$J129,$I129),daily_dates,0),MATCH($B$3,daily_items,0))),NA(),INDEX(big_daily_table,MATCH(DATE(W$5,$J129,$I129),daily_dates,0),MATCH($B$3,daily_items,0)))</f>
        <v>#N/A</v>
      </c>
      <c r="X129" s="1" t="str">
        <f t="array" ref="X129">IF(ISBLANK(INDEX(big_daily_table,MATCH(DATE(X$5,$J129,$I129),daily_dates,0),MATCH($B$3,daily_items,0))),NA(),INDEX(big_daily_table,MATCH(DATE(X$5,$J129,$I129),daily_dates,0),MATCH($B$3,daily_items,0)))</f>
        <v>#N/A</v>
      </c>
      <c r="Y129" s="1" t="str">
        <f t="array" ref="Y129">IF(ISBLANK(INDEX(big_daily_table,MATCH(DATE(Y$5,$J129,$I129),daily_dates,0),MATCH($B$3,daily_items,0))),NA(),INDEX(big_daily_table,MATCH(DATE(Y$5,$J129,$I129),daily_dates,0),MATCH($B$3,daily_items,0)))</f>
        <v>#N/A</v>
      </c>
      <c r="Z129" s="1" t="str">
        <f t="shared" si="5"/>
        <v>#NAME?</v>
      </c>
      <c r="AA129" s="1" t="str">
        <f t="shared" si="6"/>
        <v>#NAME?</v>
      </c>
      <c r="AB129" s="1" t="str">
        <f t="shared" si="7"/>
        <v>#NAME?</v>
      </c>
      <c r="AC129" s="1" t="str">
        <f t="shared" si="8"/>
        <v>#NAME?</v>
      </c>
    </row>
    <row r="130" ht="14.25" customHeight="1">
      <c r="H130" s="1">
        <f t="shared" si="9"/>
        <v>125</v>
      </c>
      <c r="I130" s="1">
        <f t="shared" si="2"/>
        <v>4</v>
      </c>
      <c r="J130" s="1">
        <f t="shared" si="3"/>
        <v>5</v>
      </c>
      <c r="K130" s="23">
        <f t="shared" si="10"/>
        <v>36650</v>
      </c>
      <c r="L130" s="24">
        <f t="shared" si="4"/>
        <v>-1000000</v>
      </c>
      <c r="M130" s="1" t="str">
        <f t="array" ref="M130">IF(K130&gt;0,INDEX(big_daily_table,MATCH(DATE(N$5,$J130,$I130),daily_dates,0),MATCH($B$3,daily_items,0)),NA())</f>
        <v>#N/A</v>
      </c>
      <c r="N130" s="1" t="str">
        <f t="array" ref="N130">IF(L130&lt;0,INDEX(big_daily_table,MATCH(DATE(N$5,$J130,$I130),daily_dates,0),MATCH($B$3,daily_items,0)),NA())</f>
        <v>#N/A</v>
      </c>
      <c r="O130" s="1" t="str">
        <f t="array" ref="O130">IF(ISBLANK(INDEX(big_daily_table,MATCH(DATE(O$5,$J130,$I130),daily_dates,0),MATCH($B$3,daily_items,0))),NA(),INDEX(big_daily_table,MATCH(DATE(O$5,$J130,$I130),daily_dates,0),MATCH($B$3,daily_items,0)))</f>
        <v>#N/A</v>
      </c>
      <c r="P130" s="1" t="str">
        <f t="array" ref="P130">IF(ISBLANK(INDEX(big_daily_table,MATCH(DATE(P$5,$J130,$I130),daily_dates,0),MATCH($B$3,daily_items,0))),NA(),INDEX(big_daily_table,MATCH(DATE(P$5,$J130,$I130),daily_dates,0),MATCH($B$3,daily_items,0)))</f>
        <v>#N/A</v>
      </c>
      <c r="Q130" s="1" t="str">
        <f t="array" ref="Q130">IF(ISBLANK(INDEX(big_daily_table,MATCH(DATE(Q$5,$J130,$I130),daily_dates,0),MATCH($B$3,daily_items,0))),NA(),INDEX(big_daily_table,MATCH(DATE(Q$5,$J130,$I130),daily_dates,0),MATCH($B$3,daily_items,0)))</f>
        <v>#N/A</v>
      </c>
      <c r="R130" s="1" t="str">
        <f t="array" ref="R130">IF(ISBLANK(INDEX(big_daily_table,MATCH(DATE(R$5,$J130,$I130),daily_dates,0),MATCH($B$3,daily_items,0))),NA(),INDEX(big_daily_table,MATCH(DATE(R$5,$J130,$I130),daily_dates,0),MATCH($B$3,daily_items,0)))</f>
        <v>#N/A</v>
      </c>
      <c r="S130" s="1" t="str">
        <f t="array" ref="S130">IF(ISBLANK(INDEX(big_daily_table,MATCH(DATE(S$5,$J130,$I130),daily_dates,0),MATCH($B$3,daily_items,0))),NA(),INDEX(big_daily_table,MATCH(DATE(S$5,$J130,$I130),daily_dates,0),MATCH($B$3,daily_items,0)))</f>
        <v>#N/A</v>
      </c>
      <c r="T130" s="1" t="str">
        <f t="array" ref="T130">IF(ISBLANK(INDEX(big_daily_table,MATCH(DATE(T$5,$J130,$I130),daily_dates,0),MATCH($B$3,daily_items,0))),NA(),INDEX(big_daily_table,MATCH(DATE(T$5,$J130,$I130),daily_dates,0),MATCH($B$3,daily_items,0)))</f>
        <v>#N/A</v>
      </c>
      <c r="U130" s="1" t="str">
        <f t="array" ref="U130">IF(ISBLANK(INDEX(big_daily_table,MATCH(DATE(U$5,$J130,$I130),daily_dates,0),MATCH($B$3,daily_items,0))),NA(),INDEX(big_daily_table,MATCH(DATE(U$5,$J130,$I130),daily_dates,0),MATCH($B$3,daily_items,0)))</f>
        <v>#N/A</v>
      </c>
      <c r="V130" s="1" t="str">
        <f t="array" ref="V130">IF(ISBLANK(INDEX(big_daily_table,MATCH(DATE(V$5,$J130,$I130),daily_dates,0),MATCH($B$3,daily_items,0))),NA(),INDEX(big_daily_table,MATCH(DATE(V$5,$J130,$I130),daily_dates,0),MATCH($B$3,daily_items,0)))</f>
        <v>#N/A</v>
      </c>
      <c r="W130" s="1" t="str">
        <f t="array" ref="W130">IF(ISBLANK(INDEX(big_daily_table,MATCH(DATE(W$5,$J130,$I130),daily_dates,0),MATCH($B$3,daily_items,0))),NA(),INDEX(big_daily_table,MATCH(DATE(W$5,$J130,$I130),daily_dates,0),MATCH($B$3,daily_items,0)))</f>
        <v>#N/A</v>
      </c>
      <c r="X130" s="1" t="str">
        <f t="array" ref="X130">IF(ISBLANK(INDEX(big_daily_table,MATCH(DATE(X$5,$J130,$I130),daily_dates,0),MATCH($B$3,daily_items,0))),NA(),INDEX(big_daily_table,MATCH(DATE(X$5,$J130,$I130),daily_dates,0),MATCH($B$3,daily_items,0)))</f>
        <v>#N/A</v>
      </c>
      <c r="Y130" s="1" t="str">
        <f t="array" ref="Y130">IF(ISBLANK(INDEX(big_daily_table,MATCH(DATE(Y$5,$J130,$I130),daily_dates,0),MATCH($B$3,daily_items,0))),NA(),INDEX(big_daily_table,MATCH(DATE(Y$5,$J130,$I130),daily_dates,0),MATCH($B$3,daily_items,0)))</f>
        <v>#N/A</v>
      </c>
      <c r="Z130" s="1" t="str">
        <f t="shared" si="5"/>
        <v>#NAME?</v>
      </c>
      <c r="AA130" s="1" t="str">
        <f t="shared" si="6"/>
        <v>#NAME?</v>
      </c>
      <c r="AB130" s="1" t="str">
        <f t="shared" si="7"/>
        <v>#NAME?</v>
      </c>
      <c r="AC130" s="1" t="str">
        <f t="shared" si="8"/>
        <v>#NAME?</v>
      </c>
    </row>
    <row r="131" ht="14.25" customHeight="1">
      <c r="H131" s="1">
        <f t="shared" si="9"/>
        <v>126</v>
      </c>
      <c r="I131" s="1">
        <f t="shared" si="2"/>
        <v>5</v>
      </c>
      <c r="J131" s="1">
        <f t="shared" si="3"/>
        <v>5</v>
      </c>
      <c r="K131" s="23">
        <f t="shared" si="10"/>
        <v>36651</v>
      </c>
      <c r="L131" s="24">
        <f t="shared" si="4"/>
        <v>-1000000</v>
      </c>
      <c r="M131" s="1" t="str">
        <f t="array" ref="M131">IF(K131&gt;0,INDEX(big_daily_table,MATCH(DATE(N$5,$J131,$I131),daily_dates,0),MATCH($B$3,daily_items,0)),NA())</f>
        <v>#N/A</v>
      </c>
      <c r="N131" s="1" t="str">
        <f t="array" ref="N131">IF(L131&lt;0,INDEX(big_daily_table,MATCH(DATE(N$5,$J131,$I131),daily_dates,0),MATCH($B$3,daily_items,0)),NA())</f>
        <v>#N/A</v>
      </c>
      <c r="O131" s="1" t="str">
        <f t="array" ref="O131">IF(ISBLANK(INDEX(big_daily_table,MATCH(DATE(O$5,$J131,$I131),daily_dates,0),MATCH($B$3,daily_items,0))),NA(),INDEX(big_daily_table,MATCH(DATE(O$5,$J131,$I131),daily_dates,0),MATCH($B$3,daily_items,0)))</f>
        <v>#N/A</v>
      </c>
      <c r="P131" s="1" t="str">
        <f t="array" ref="P131">IF(ISBLANK(INDEX(big_daily_table,MATCH(DATE(P$5,$J131,$I131),daily_dates,0),MATCH($B$3,daily_items,0))),NA(),INDEX(big_daily_table,MATCH(DATE(P$5,$J131,$I131),daily_dates,0),MATCH($B$3,daily_items,0)))</f>
        <v>#N/A</v>
      </c>
      <c r="Q131" s="1" t="str">
        <f t="array" ref="Q131">IF(ISBLANK(INDEX(big_daily_table,MATCH(DATE(Q$5,$J131,$I131),daily_dates,0),MATCH($B$3,daily_items,0))),NA(),INDEX(big_daily_table,MATCH(DATE(Q$5,$J131,$I131),daily_dates,0),MATCH($B$3,daily_items,0)))</f>
        <v>#N/A</v>
      </c>
      <c r="R131" s="1" t="str">
        <f t="array" ref="R131">IF(ISBLANK(INDEX(big_daily_table,MATCH(DATE(R$5,$J131,$I131),daily_dates,0),MATCH($B$3,daily_items,0))),NA(),INDEX(big_daily_table,MATCH(DATE(R$5,$J131,$I131),daily_dates,0),MATCH($B$3,daily_items,0)))</f>
        <v>#N/A</v>
      </c>
      <c r="S131" s="1" t="str">
        <f t="array" ref="S131">IF(ISBLANK(INDEX(big_daily_table,MATCH(DATE(S$5,$J131,$I131),daily_dates,0),MATCH($B$3,daily_items,0))),NA(),INDEX(big_daily_table,MATCH(DATE(S$5,$J131,$I131),daily_dates,0),MATCH($B$3,daily_items,0)))</f>
        <v>#N/A</v>
      </c>
      <c r="T131" s="1" t="str">
        <f t="array" ref="T131">IF(ISBLANK(INDEX(big_daily_table,MATCH(DATE(T$5,$J131,$I131),daily_dates,0),MATCH($B$3,daily_items,0))),NA(),INDEX(big_daily_table,MATCH(DATE(T$5,$J131,$I131),daily_dates,0),MATCH($B$3,daily_items,0)))</f>
        <v>#N/A</v>
      </c>
      <c r="U131" s="1" t="str">
        <f t="array" ref="U131">IF(ISBLANK(INDEX(big_daily_table,MATCH(DATE(U$5,$J131,$I131),daily_dates,0),MATCH($B$3,daily_items,0))),NA(),INDEX(big_daily_table,MATCH(DATE(U$5,$J131,$I131),daily_dates,0),MATCH($B$3,daily_items,0)))</f>
        <v>#N/A</v>
      </c>
      <c r="V131" s="1" t="str">
        <f t="array" ref="V131">IF(ISBLANK(INDEX(big_daily_table,MATCH(DATE(V$5,$J131,$I131),daily_dates,0),MATCH($B$3,daily_items,0))),NA(),INDEX(big_daily_table,MATCH(DATE(V$5,$J131,$I131),daily_dates,0),MATCH($B$3,daily_items,0)))</f>
        <v>#N/A</v>
      </c>
      <c r="W131" s="1" t="str">
        <f t="array" ref="W131">IF(ISBLANK(INDEX(big_daily_table,MATCH(DATE(W$5,$J131,$I131),daily_dates,0),MATCH($B$3,daily_items,0))),NA(),INDEX(big_daily_table,MATCH(DATE(W$5,$J131,$I131),daily_dates,0),MATCH($B$3,daily_items,0)))</f>
        <v>#N/A</v>
      </c>
      <c r="X131" s="1" t="str">
        <f t="array" ref="X131">IF(ISBLANK(INDEX(big_daily_table,MATCH(DATE(X$5,$J131,$I131),daily_dates,0),MATCH($B$3,daily_items,0))),NA(),INDEX(big_daily_table,MATCH(DATE(X$5,$J131,$I131),daily_dates,0),MATCH($B$3,daily_items,0)))</f>
        <v>#N/A</v>
      </c>
      <c r="Y131" s="1" t="str">
        <f t="array" ref="Y131">IF(ISBLANK(INDEX(big_daily_table,MATCH(DATE(Y$5,$J131,$I131),daily_dates,0),MATCH($B$3,daily_items,0))),NA(),INDEX(big_daily_table,MATCH(DATE(Y$5,$J131,$I131),daily_dates,0),MATCH($B$3,daily_items,0)))</f>
        <v>#N/A</v>
      </c>
      <c r="Z131" s="1" t="str">
        <f t="shared" si="5"/>
        <v>#NAME?</v>
      </c>
      <c r="AA131" s="1" t="str">
        <f t="shared" si="6"/>
        <v>#NAME?</v>
      </c>
      <c r="AB131" s="1" t="str">
        <f t="shared" si="7"/>
        <v>#NAME?</v>
      </c>
      <c r="AC131" s="1" t="str">
        <f t="shared" si="8"/>
        <v>#NAME?</v>
      </c>
    </row>
    <row r="132" ht="14.25" customHeight="1">
      <c r="H132" s="1">
        <f t="shared" si="9"/>
        <v>127</v>
      </c>
      <c r="I132" s="1">
        <f t="shared" si="2"/>
        <v>6</v>
      </c>
      <c r="J132" s="1">
        <f t="shared" si="3"/>
        <v>5</v>
      </c>
      <c r="K132" s="23">
        <f t="shared" si="10"/>
        <v>36652</v>
      </c>
      <c r="L132" s="24">
        <f t="shared" si="4"/>
        <v>-1000000</v>
      </c>
      <c r="M132" s="1" t="str">
        <f t="array" ref="M132">IF(K132&gt;0,INDEX(big_daily_table,MATCH(DATE(N$5,$J132,$I132),daily_dates,0),MATCH($B$3,daily_items,0)),NA())</f>
        <v>#N/A</v>
      </c>
      <c r="N132" s="1" t="str">
        <f t="array" ref="N132">IF(L132&lt;0,INDEX(big_daily_table,MATCH(DATE(N$5,$J132,$I132),daily_dates,0),MATCH($B$3,daily_items,0)),NA())</f>
        <v>#N/A</v>
      </c>
      <c r="O132" s="1" t="str">
        <f t="array" ref="O132">IF(ISBLANK(INDEX(big_daily_table,MATCH(DATE(O$5,$J132,$I132),daily_dates,0),MATCH($B$3,daily_items,0))),NA(),INDEX(big_daily_table,MATCH(DATE(O$5,$J132,$I132),daily_dates,0),MATCH($B$3,daily_items,0)))</f>
        <v>#N/A</v>
      </c>
      <c r="P132" s="1" t="str">
        <f t="array" ref="P132">IF(ISBLANK(INDEX(big_daily_table,MATCH(DATE(P$5,$J132,$I132),daily_dates,0),MATCH($B$3,daily_items,0))),NA(),INDEX(big_daily_table,MATCH(DATE(P$5,$J132,$I132),daily_dates,0),MATCH($B$3,daily_items,0)))</f>
        <v>#N/A</v>
      </c>
      <c r="Q132" s="1" t="str">
        <f t="array" ref="Q132">IF(ISBLANK(INDEX(big_daily_table,MATCH(DATE(Q$5,$J132,$I132),daily_dates,0),MATCH($B$3,daily_items,0))),NA(),INDEX(big_daily_table,MATCH(DATE(Q$5,$J132,$I132),daily_dates,0),MATCH($B$3,daily_items,0)))</f>
        <v>#N/A</v>
      </c>
      <c r="R132" s="1" t="str">
        <f t="array" ref="R132">IF(ISBLANK(INDEX(big_daily_table,MATCH(DATE(R$5,$J132,$I132),daily_dates,0),MATCH($B$3,daily_items,0))),NA(),INDEX(big_daily_table,MATCH(DATE(R$5,$J132,$I132),daily_dates,0),MATCH($B$3,daily_items,0)))</f>
        <v>#N/A</v>
      </c>
      <c r="S132" s="1" t="str">
        <f t="array" ref="S132">IF(ISBLANK(INDEX(big_daily_table,MATCH(DATE(S$5,$J132,$I132),daily_dates,0),MATCH($B$3,daily_items,0))),NA(),INDEX(big_daily_table,MATCH(DATE(S$5,$J132,$I132),daily_dates,0),MATCH($B$3,daily_items,0)))</f>
        <v>#N/A</v>
      </c>
      <c r="T132" s="1" t="str">
        <f t="array" ref="T132">IF(ISBLANK(INDEX(big_daily_table,MATCH(DATE(T$5,$J132,$I132),daily_dates,0),MATCH($B$3,daily_items,0))),NA(),INDEX(big_daily_table,MATCH(DATE(T$5,$J132,$I132),daily_dates,0),MATCH($B$3,daily_items,0)))</f>
        <v>#N/A</v>
      </c>
      <c r="U132" s="1" t="str">
        <f t="array" ref="U132">IF(ISBLANK(INDEX(big_daily_table,MATCH(DATE(U$5,$J132,$I132),daily_dates,0),MATCH($B$3,daily_items,0))),NA(),INDEX(big_daily_table,MATCH(DATE(U$5,$J132,$I132),daily_dates,0),MATCH($B$3,daily_items,0)))</f>
        <v>#N/A</v>
      </c>
      <c r="V132" s="1" t="str">
        <f t="array" ref="V132">IF(ISBLANK(INDEX(big_daily_table,MATCH(DATE(V$5,$J132,$I132),daily_dates,0),MATCH($B$3,daily_items,0))),NA(),INDEX(big_daily_table,MATCH(DATE(V$5,$J132,$I132),daily_dates,0),MATCH($B$3,daily_items,0)))</f>
        <v>#N/A</v>
      </c>
      <c r="W132" s="1" t="str">
        <f t="array" ref="W132">IF(ISBLANK(INDEX(big_daily_table,MATCH(DATE(W$5,$J132,$I132),daily_dates,0),MATCH($B$3,daily_items,0))),NA(),INDEX(big_daily_table,MATCH(DATE(W$5,$J132,$I132),daily_dates,0),MATCH($B$3,daily_items,0)))</f>
        <v>#N/A</v>
      </c>
      <c r="X132" s="1" t="str">
        <f t="array" ref="X132">IF(ISBLANK(INDEX(big_daily_table,MATCH(DATE(X$5,$J132,$I132),daily_dates,0),MATCH($B$3,daily_items,0))),NA(),INDEX(big_daily_table,MATCH(DATE(X$5,$J132,$I132),daily_dates,0),MATCH($B$3,daily_items,0)))</f>
        <v>#N/A</v>
      </c>
      <c r="Y132" s="1" t="str">
        <f t="array" ref="Y132">IF(ISBLANK(INDEX(big_daily_table,MATCH(DATE(Y$5,$J132,$I132),daily_dates,0),MATCH($B$3,daily_items,0))),NA(),INDEX(big_daily_table,MATCH(DATE(Y$5,$J132,$I132),daily_dates,0),MATCH($B$3,daily_items,0)))</f>
        <v>#N/A</v>
      </c>
      <c r="Z132" s="1" t="str">
        <f t="shared" si="5"/>
        <v>#NAME?</v>
      </c>
      <c r="AA132" s="1" t="str">
        <f t="shared" si="6"/>
        <v>#NAME?</v>
      </c>
      <c r="AB132" s="1" t="str">
        <f t="shared" si="7"/>
        <v>#NAME?</v>
      </c>
      <c r="AC132" s="1" t="str">
        <f t="shared" si="8"/>
        <v>#NAME?</v>
      </c>
    </row>
    <row r="133" ht="14.25" customHeight="1">
      <c r="H133" s="1">
        <f t="shared" si="9"/>
        <v>128</v>
      </c>
      <c r="I133" s="1">
        <f t="shared" si="2"/>
        <v>7</v>
      </c>
      <c r="J133" s="1">
        <f t="shared" si="3"/>
        <v>5</v>
      </c>
      <c r="K133" s="23">
        <f t="shared" si="10"/>
        <v>36653</v>
      </c>
      <c r="L133" s="24">
        <f t="shared" si="4"/>
        <v>-1000000</v>
      </c>
      <c r="M133" s="1" t="str">
        <f t="array" ref="M133">IF(K133&gt;0,INDEX(big_daily_table,MATCH(DATE(N$5,$J133,$I133),daily_dates,0),MATCH($B$3,daily_items,0)),NA())</f>
        <v>#N/A</v>
      </c>
      <c r="N133" s="1" t="str">
        <f t="array" ref="N133">IF(L133&lt;0,INDEX(big_daily_table,MATCH(DATE(N$5,$J133,$I133),daily_dates,0),MATCH($B$3,daily_items,0)),NA())</f>
        <v>#N/A</v>
      </c>
      <c r="O133" s="1" t="str">
        <f t="array" ref="O133">IF(ISBLANK(INDEX(big_daily_table,MATCH(DATE(O$5,$J133,$I133),daily_dates,0),MATCH($B$3,daily_items,0))),NA(),INDEX(big_daily_table,MATCH(DATE(O$5,$J133,$I133),daily_dates,0),MATCH($B$3,daily_items,0)))</f>
        <v>#N/A</v>
      </c>
      <c r="P133" s="1" t="str">
        <f t="array" ref="P133">IF(ISBLANK(INDEX(big_daily_table,MATCH(DATE(P$5,$J133,$I133),daily_dates,0),MATCH($B$3,daily_items,0))),NA(),INDEX(big_daily_table,MATCH(DATE(P$5,$J133,$I133),daily_dates,0),MATCH($B$3,daily_items,0)))</f>
        <v>#N/A</v>
      </c>
      <c r="Q133" s="1" t="str">
        <f t="array" ref="Q133">IF(ISBLANK(INDEX(big_daily_table,MATCH(DATE(Q$5,$J133,$I133),daily_dates,0),MATCH($B$3,daily_items,0))),NA(),INDEX(big_daily_table,MATCH(DATE(Q$5,$J133,$I133),daily_dates,0),MATCH($B$3,daily_items,0)))</f>
        <v>#N/A</v>
      </c>
      <c r="R133" s="1" t="str">
        <f t="array" ref="R133">IF(ISBLANK(INDEX(big_daily_table,MATCH(DATE(R$5,$J133,$I133),daily_dates,0),MATCH($B$3,daily_items,0))),NA(),INDEX(big_daily_table,MATCH(DATE(R$5,$J133,$I133),daily_dates,0),MATCH($B$3,daily_items,0)))</f>
        <v>#N/A</v>
      </c>
      <c r="S133" s="1" t="str">
        <f t="array" ref="S133">IF(ISBLANK(INDEX(big_daily_table,MATCH(DATE(S$5,$J133,$I133),daily_dates,0),MATCH($B$3,daily_items,0))),NA(),INDEX(big_daily_table,MATCH(DATE(S$5,$J133,$I133),daily_dates,0),MATCH($B$3,daily_items,0)))</f>
        <v>#N/A</v>
      </c>
      <c r="T133" s="1" t="str">
        <f t="array" ref="T133">IF(ISBLANK(INDEX(big_daily_table,MATCH(DATE(T$5,$J133,$I133),daily_dates,0),MATCH($B$3,daily_items,0))),NA(),INDEX(big_daily_table,MATCH(DATE(T$5,$J133,$I133),daily_dates,0),MATCH($B$3,daily_items,0)))</f>
        <v>#N/A</v>
      </c>
      <c r="U133" s="1" t="str">
        <f t="array" ref="U133">IF(ISBLANK(INDEX(big_daily_table,MATCH(DATE(U$5,$J133,$I133),daily_dates,0),MATCH($B$3,daily_items,0))),NA(),INDEX(big_daily_table,MATCH(DATE(U$5,$J133,$I133),daily_dates,0),MATCH($B$3,daily_items,0)))</f>
        <v>#N/A</v>
      </c>
      <c r="V133" s="1" t="str">
        <f t="array" ref="V133">IF(ISBLANK(INDEX(big_daily_table,MATCH(DATE(V$5,$J133,$I133),daily_dates,0),MATCH($B$3,daily_items,0))),NA(),INDEX(big_daily_table,MATCH(DATE(V$5,$J133,$I133),daily_dates,0),MATCH($B$3,daily_items,0)))</f>
        <v>#N/A</v>
      </c>
      <c r="W133" s="1" t="str">
        <f t="array" ref="W133">IF(ISBLANK(INDEX(big_daily_table,MATCH(DATE(W$5,$J133,$I133),daily_dates,0),MATCH($B$3,daily_items,0))),NA(),INDEX(big_daily_table,MATCH(DATE(W$5,$J133,$I133),daily_dates,0),MATCH($B$3,daily_items,0)))</f>
        <v>#N/A</v>
      </c>
      <c r="X133" s="1" t="str">
        <f t="array" ref="X133">IF(ISBLANK(INDEX(big_daily_table,MATCH(DATE(X$5,$J133,$I133),daily_dates,0),MATCH($B$3,daily_items,0))),NA(),INDEX(big_daily_table,MATCH(DATE(X$5,$J133,$I133),daily_dates,0),MATCH($B$3,daily_items,0)))</f>
        <v>#N/A</v>
      </c>
      <c r="Y133" s="1" t="str">
        <f t="array" ref="Y133">IF(ISBLANK(INDEX(big_daily_table,MATCH(DATE(Y$5,$J133,$I133),daily_dates,0),MATCH($B$3,daily_items,0))),NA(),INDEX(big_daily_table,MATCH(DATE(Y$5,$J133,$I133),daily_dates,0),MATCH($B$3,daily_items,0)))</f>
        <v>#N/A</v>
      </c>
      <c r="Z133" s="1" t="str">
        <f t="shared" si="5"/>
        <v>#NAME?</v>
      </c>
      <c r="AA133" s="1" t="str">
        <f t="shared" si="6"/>
        <v>#NAME?</v>
      </c>
      <c r="AB133" s="1" t="str">
        <f t="shared" si="7"/>
        <v>#NAME?</v>
      </c>
      <c r="AC133" s="1" t="str">
        <f t="shared" si="8"/>
        <v>#NAME?</v>
      </c>
    </row>
    <row r="134" ht="14.25" customHeight="1">
      <c r="H134" s="1">
        <f t="shared" si="9"/>
        <v>129</v>
      </c>
      <c r="I134" s="1">
        <f t="shared" si="2"/>
        <v>8</v>
      </c>
      <c r="J134" s="1">
        <f t="shared" si="3"/>
        <v>5</v>
      </c>
      <c r="K134" s="23">
        <f t="shared" si="10"/>
        <v>36654</v>
      </c>
      <c r="L134" s="24">
        <f t="shared" si="4"/>
        <v>-1000000</v>
      </c>
      <c r="M134" s="1" t="str">
        <f t="array" ref="M134">IF(K134&gt;0,INDEX(big_daily_table,MATCH(DATE(N$5,$J134,$I134),daily_dates,0),MATCH($B$3,daily_items,0)),NA())</f>
        <v>#N/A</v>
      </c>
      <c r="N134" s="1" t="str">
        <f t="array" ref="N134">IF(L134&lt;0,INDEX(big_daily_table,MATCH(DATE(N$5,$J134,$I134),daily_dates,0),MATCH($B$3,daily_items,0)),NA())</f>
        <v>#N/A</v>
      </c>
      <c r="O134" s="1" t="str">
        <f t="array" ref="O134">IF(ISBLANK(INDEX(big_daily_table,MATCH(DATE(O$5,$J134,$I134),daily_dates,0),MATCH($B$3,daily_items,0))),NA(),INDEX(big_daily_table,MATCH(DATE(O$5,$J134,$I134),daily_dates,0),MATCH($B$3,daily_items,0)))</f>
        <v>#N/A</v>
      </c>
      <c r="P134" s="1" t="str">
        <f t="array" ref="P134">IF(ISBLANK(INDEX(big_daily_table,MATCH(DATE(P$5,$J134,$I134),daily_dates,0),MATCH($B$3,daily_items,0))),NA(),INDEX(big_daily_table,MATCH(DATE(P$5,$J134,$I134),daily_dates,0),MATCH($B$3,daily_items,0)))</f>
        <v>#N/A</v>
      </c>
      <c r="Q134" s="1" t="str">
        <f t="array" ref="Q134">IF(ISBLANK(INDEX(big_daily_table,MATCH(DATE(Q$5,$J134,$I134),daily_dates,0),MATCH($B$3,daily_items,0))),NA(),INDEX(big_daily_table,MATCH(DATE(Q$5,$J134,$I134),daily_dates,0),MATCH($B$3,daily_items,0)))</f>
        <v>#N/A</v>
      </c>
      <c r="R134" s="1" t="str">
        <f t="array" ref="R134">IF(ISBLANK(INDEX(big_daily_table,MATCH(DATE(R$5,$J134,$I134),daily_dates,0),MATCH($B$3,daily_items,0))),NA(),INDEX(big_daily_table,MATCH(DATE(R$5,$J134,$I134),daily_dates,0),MATCH($B$3,daily_items,0)))</f>
        <v>#N/A</v>
      </c>
      <c r="S134" s="1" t="str">
        <f t="array" ref="S134">IF(ISBLANK(INDEX(big_daily_table,MATCH(DATE(S$5,$J134,$I134),daily_dates,0),MATCH($B$3,daily_items,0))),NA(),INDEX(big_daily_table,MATCH(DATE(S$5,$J134,$I134),daily_dates,0),MATCH($B$3,daily_items,0)))</f>
        <v>#N/A</v>
      </c>
      <c r="T134" s="1" t="str">
        <f t="array" ref="T134">IF(ISBLANK(INDEX(big_daily_table,MATCH(DATE(T$5,$J134,$I134),daily_dates,0),MATCH($B$3,daily_items,0))),NA(),INDEX(big_daily_table,MATCH(DATE(T$5,$J134,$I134),daily_dates,0),MATCH($B$3,daily_items,0)))</f>
        <v>#N/A</v>
      </c>
      <c r="U134" s="1" t="str">
        <f t="array" ref="U134">IF(ISBLANK(INDEX(big_daily_table,MATCH(DATE(U$5,$J134,$I134),daily_dates,0),MATCH($B$3,daily_items,0))),NA(),INDEX(big_daily_table,MATCH(DATE(U$5,$J134,$I134),daily_dates,0),MATCH($B$3,daily_items,0)))</f>
        <v>#N/A</v>
      </c>
      <c r="V134" s="1" t="str">
        <f t="array" ref="V134">IF(ISBLANK(INDEX(big_daily_table,MATCH(DATE(V$5,$J134,$I134),daily_dates,0),MATCH($B$3,daily_items,0))),NA(),INDEX(big_daily_table,MATCH(DATE(V$5,$J134,$I134),daily_dates,0),MATCH($B$3,daily_items,0)))</f>
        <v>#N/A</v>
      </c>
      <c r="W134" s="1" t="str">
        <f t="array" ref="W134">IF(ISBLANK(INDEX(big_daily_table,MATCH(DATE(W$5,$J134,$I134),daily_dates,0),MATCH($B$3,daily_items,0))),NA(),INDEX(big_daily_table,MATCH(DATE(W$5,$J134,$I134),daily_dates,0),MATCH($B$3,daily_items,0)))</f>
        <v>#N/A</v>
      </c>
      <c r="X134" s="1" t="str">
        <f t="array" ref="X134">IF(ISBLANK(INDEX(big_daily_table,MATCH(DATE(X$5,$J134,$I134),daily_dates,0),MATCH($B$3,daily_items,0))),NA(),INDEX(big_daily_table,MATCH(DATE(X$5,$J134,$I134),daily_dates,0),MATCH($B$3,daily_items,0)))</f>
        <v>#N/A</v>
      </c>
      <c r="Y134" s="1" t="str">
        <f t="array" ref="Y134">IF(ISBLANK(INDEX(big_daily_table,MATCH(DATE(Y$5,$J134,$I134),daily_dates,0),MATCH($B$3,daily_items,0))),NA(),INDEX(big_daily_table,MATCH(DATE(Y$5,$J134,$I134),daily_dates,0),MATCH($B$3,daily_items,0)))</f>
        <v>#N/A</v>
      </c>
      <c r="Z134" s="1" t="str">
        <f t="shared" si="5"/>
        <v>#NAME?</v>
      </c>
      <c r="AA134" s="1" t="str">
        <f t="shared" si="6"/>
        <v>#NAME?</v>
      </c>
      <c r="AB134" s="1" t="str">
        <f t="shared" si="7"/>
        <v>#NAME?</v>
      </c>
      <c r="AC134" s="1" t="str">
        <f t="shared" si="8"/>
        <v>#NAME?</v>
      </c>
    </row>
    <row r="135" ht="14.25" customHeight="1">
      <c r="H135" s="1">
        <f t="shared" si="9"/>
        <v>130</v>
      </c>
      <c r="I135" s="1">
        <f t="shared" si="2"/>
        <v>9</v>
      </c>
      <c r="J135" s="1">
        <f t="shared" si="3"/>
        <v>5</v>
      </c>
      <c r="K135" s="23">
        <f t="shared" si="10"/>
        <v>36655</v>
      </c>
      <c r="L135" s="24">
        <f t="shared" si="4"/>
        <v>-1000000</v>
      </c>
      <c r="M135" s="1" t="str">
        <f t="array" ref="M135">IF(K135&gt;0,INDEX(big_daily_table,MATCH(DATE(N$5,$J135,$I135),daily_dates,0),MATCH($B$3,daily_items,0)),NA())</f>
        <v>#N/A</v>
      </c>
      <c r="N135" s="1" t="str">
        <f t="array" ref="N135">IF(L135&lt;0,INDEX(big_daily_table,MATCH(DATE(N$5,$J135,$I135),daily_dates,0),MATCH($B$3,daily_items,0)),NA())</f>
        <v>#N/A</v>
      </c>
      <c r="O135" s="1" t="str">
        <f t="array" ref="O135">IF(ISBLANK(INDEX(big_daily_table,MATCH(DATE(O$5,$J135,$I135),daily_dates,0),MATCH($B$3,daily_items,0))),NA(),INDEX(big_daily_table,MATCH(DATE(O$5,$J135,$I135),daily_dates,0),MATCH($B$3,daily_items,0)))</f>
        <v>#N/A</v>
      </c>
      <c r="P135" s="1" t="str">
        <f t="array" ref="P135">IF(ISBLANK(INDEX(big_daily_table,MATCH(DATE(P$5,$J135,$I135),daily_dates,0),MATCH($B$3,daily_items,0))),NA(),INDEX(big_daily_table,MATCH(DATE(P$5,$J135,$I135),daily_dates,0),MATCH($B$3,daily_items,0)))</f>
        <v>#N/A</v>
      </c>
      <c r="Q135" s="1" t="str">
        <f t="array" ref="Q135">IF(ISBLANK(INDEX(big_daily_table,MATCH(DATE(Q$5,$J135,$I135),daily_dates,0),MATCH($B$3,daily_items,0))),NA(),INDEX(big_daily_table,MATCH(DATE(Q$5,$J135,$I135),daily_dates,0),MATCH($B$3,daily_items,0)))</f>
        <v>#N/A</v>
      </c>
      <c r="R135" s="1" t="str">
        <f t="array" ref="R135">IF(ISBLANK(INDEX(big_daily_table,MATCH(DATE(R$5,$J135,$I135),daily_dates,0),MATCH($B$3,daily_items,0))),NA(),INDEX(big_daily_table,MATCH(DATE(R$5,$J135,$I135),daily_dates,0),MATCH($B$3,daily_items,0)))</f>
        <v>#N/A</v>
      </c>
      <c r="S135" s="1" t="str">
        <f t="array" ref="S135">IF(ISBLANK(INDEX(big_daily_table,MATCH(DATE(S$5,$J135,$I135),daily_dates,0),MATCH($B$3,daily_items,0))),NA(),INDEX(big_daily_table,MATCH(DATE(S$5,$J135,$I135),daily_dates,0),MATCH($B$3,daily_items,0)))</f>
        <v>#N/A</v>
      </c>
      <c r="T135" s="1" t="str">
        <f t="array" ref="T135">IF(ISBLANK(INDEX(big_daily_table,MATCH(DATE(T$5,$J135,$I135),daily_dates,0),MATCH($B$3,daily_items,0))),NA(),INDEX(big_daily_table,MATCH(DATE(T$5,$J135,$I135),daily_dates,0),MATCH($B$3,daily_items,0)))</f>
        <v>#N/A</v>
      </c>
      <c r="U135" s="1" t="str">
        <f t="array" ref="U135">IF(ISBLANK(INDEX(big_daily_table,MATCH(DATE(U$5,$J135,$I135),daily_dates,0),MATCH($B$3,daily_items,0))),NA(),INDEX(big_daily_table,MATCH(DATE(U$5,$J135,$I135),daily_dates,0),MATCH($B$3,daily_items,0)))</f>
        <v>#N/A</v>
      </c>
      <c r="V135" s="1" t="str">
        <f t="array" ref="V135">IF(ISBLANK(INDEX(big_daily_table,MATCH(DATE(V$5,$J135,$I135),daily_dates,0),MATCH($B$3,daily_items,0))),NA(),INDEX(big_daily_table,MATCH(DATE(V$5,$J135,$I135),daily_dates,0),MATCH($B$3,daily_items,0)))</f>
        <v>#N/A</v>
      </c>
      <c r="W135" s="1" t="str">
        <f t="array" ref="W135">IF(ISBLANK(INDEX(big_daily_table,MATCH(DATE(W$5,$J135,$I135),daily_dates,0),MATCH($B$3,daily_items,0))),NA(),INDEX(big_daily_table,MATCH(DATE(W$5,$J135,$I135),daily_dates,0),MATCH($B$3,daily_items,0)))</f>
        <v>#N/A</v>
      </c>
      <c r="X135" s="1" t="str">
        <f t="array" ref="X135">IF(ISBLANK(INDEX(big_daily_table,MATCH(DATE(X$5,$J135,$I135),daily_dates,0),MATCH($B$3,daily_items,0))),NA(),INDEX(big_daily_table,MATCH(DATE(X$5,$J135,$I135),daily_dates,0),MATCH($B$3,daily_items,0)))</f>
        <v>#N/A</v>
      </c>
      <c r="Y135" s="1" t="str">
        <f t="array" ref="Y135">IF(ISBLANK(INDEX(big_daily_table,MATCH(DATE(Y$5,$J135,$I135),daily_dates,0),MATCH($B$3,daily_items,0))),NA(),INDEX(big_daily_table,MATCH(DATE(Y$5,$J135,$I135),daily_dates,0),MATCH($B$3,daily_items,0)))</f>
        <v>#N/A</v>
      </c>
      <c r="Z135" s="1" t="str">
        <f t="shared" si="5"/>
        <v>#NAME?</v>
      </c>
      <c r="AA135" s="1" t="str">
        <f t="shared" si="6"/>
        <v>#NAME?</v>
      </c>
      <c r="AB135" s="1" t="str">
        <f t="shared" si="7"/>
        <v>#NAME?</v>
      </c>
      <c r="AC135" s="1" t="str">
        <f t="shared" si="8"/>
        <v>#NAME?</v>
      </c>
    </row>
    <row r="136" ht="14.25" customHeight="1">
      <c r="H136" s="1">
        <f t="shared" si="9"/>
        <v>131</v>
      </c>
      <c r="I136" s="1">
        <f t="shared" si="2"/>
        <v>10</v>
      </c>
      <c r="J136" s="1">
        <f t="shared" si="3"/>
        <v>5</v>
      </c>
      <c r="K136" s="23">
        <f t="shared" si="10"/>
        <v>36656</v>
      </c>
      <c r="L136" s="24">
        <f t="shared" si="4"/>
        <v>-1000000</v>
      </c>
      <c r="M136" s="1" t="str">
        <f t="array" ref="M136">IF(K136&gt;0,INDEX(big_daily_table,MATCH(DATE(N$5,$J136,$I136),daily_dates,0),MATCH($B$3,daily_items,0)),NA())</f>
        <v>#N/A</v>
      </c>
      <c r="N136" s="1" t="str">
        <f t="array" ref="N136">IF(L136&lt;0,INDEX(big_daily_table,MATCH(DATE(N$5,$J136,$I136),daily_dates,0),MATCH($B$3,daily_items,0)),NA())</f>
        <v>#N/A</v>
      </c>
      <c r="O136" s="1" t="str">
        <f t="array" ref="O136">IF(ISBLANK(INDEX(big_daily_table,MATCH(DATE(O$5,$J136,$I136),daily_dates,0),MATCH($B$3,daily_items,0))),NA(),INDEX(big_daily_table,MATCH(DATE(O$5,$J136,$I136),daily_dates,0),MATCH($B$3,daily_items,0)))</f>
        <v>#N/A</v>
      </c>
      <c r="P136" s="1" t="str">
        <f t="array" ref="P136">IF(ISBLANK(INDEX(big_daily_table,MATCH(DATE(P$5,$J136,$I136),daily_dates,0),MATCH($B$3,daily_items,0))),NA(),INDEX(big_daily_table,MATCH(DATE(P$5,$J136,$I136),daily_dates,0),MATCH($B$3,daily_items,0)))</f>
        <v>#N/A</v>
      </c>
      <c r="Q136" s="1" t="str">
        <f t="array" ref="Q136">IF(ISBLANK(INDEX(big_daily_table,MATCH(DATE(Q$5,$J136,$I136),daily_dates,0),MATCH($B$3,daily_items,0))),NA(),INDEX(big_daily_table,MATCH(DATE(Q$5,$J136,$I136),daily_dates,0),MATCH($B$3,daily_items,0)))</f>
        <v>#N/A</v>
      </c>
      <c r="R136" s="1" t="str">
        <f t="array" ref="R136">IF(ISBLANK(INDEX(big_daily_table,MATCH(DATE(R$5,$J136,$I136),daily_dates,0),MATCH($B$3,daily_items,0))),NA(),INDEX(big_daily_table,MATCH(DATE(R$5,$J136,$I136),daily_dates,0),MATCH($B$3,daily_items,0)))</f>
        <v>#N/A</v>
      </c>
      <c r="S136" s="1" t="str">
        <f t="array" ref="S136">IF(ISBLANK(INDEX(big_daily_table,MATCH(DATE(S$5,$J136,$I136),daily_dates,0),MATCH($B$3,daily_items,0))),NA(),INDEX(big_daily_table,MATCH(DATE(S$5,$J136,$I136),daily_dates,0),MATCH($B$3,daily_items,0)))</f>
        <v>#N/A</v>
      </c>
      <c r="T136" s="1" t="str">
        <f t="array" ref="T136">IF(ISBLANK(INDEX(big_daily_table,MATCH(DATE(T$5,$J136,$I136),daily_dates,0),MATCH($B$3,daily_items,0))),NA(),INDEX(big_daily_table,MATCH(DATE(T$5,$J136,$I136),daily_dates,0),MATCH($B$3,daily_items,0)))</f>
        <v>#N/A</v>
      </c>
      <c r="U136" s="1" t="str">
        <f t="array" ref="U136">IF(ISBLANK(INDEX(big_daily_table,MATCH(DATE(U$5,$J136,$I136),daily_dates,0),MATCH($B$3,daily_items,0))),NA(),INDEX(big_daily_table,MATCH(DATE(U$5,$J136,$I136),daily_dates,0),MATCH($B$3,daily_items,0)))</f>
        <v>#N/A</v>
      </c>
      <c r="V136" s="1" t="str">
        <f t="array" ref="V136">IF(ISBLANK(INDEX(big_daily_table,MATCH(DATE(V$5,$J136,$I136),daily_dates,0),MATCH($B$3,daily_items,0))),NA(),INDEX(big_daily_table,MATCH(DATE(V$5,$J136,$I136),daily_dates,0),MATCH($B$3,daily_items,0)))</f>
        <v>#N/A</v>
      </c>
      <c r="W136" s="1" t="str">
        <f t="array" ref="W136">IF(ISBLANK(INDEX(big_daily_table,MATCH(DATE(W$5,$J136,$I136),daily_dates,0),MATCH($B$3,daily_items,0))),NA(),INDEX(big_daily_table,MATCH(DATE(W$5,$J136,$I136),daily_dates,0),MATCH($B$3,daily_items,0)))</f>
        <v>#N/A</v>
      </c>
      <c r="X136" s="1" t="str">
        <f t="array" ref="X136">IF(ISBLANK(INDEX(big_daily_table,MATCH(DATE(X$5,$J136,$I136),daily_dates,0),MATCH($B$3,daily_items,0))),NA(),INDEX(big_daily_table,MATCH(DATE(X$5,$J136,$I136),daily_dates,0),MATCH($B$3,daily_items,0)))</f>
        <v>#N/A</v>
      </c>
      <c r="Y136" s="1" t="str">
        <f t="array" ref="Y136">IF(ISBLANK(INDEX(big_daily_table,MATCH(DATE(Y$5,$J136,$I136),daily_dates,0),MATCH($B$3,daily_items,0))),NA(),INDEX(big_daily_table,MATCH(DATE(Y$5,$J136,$I136),daily_dates,0),MATCH($B$3,daily_items,0)))</f>
        <v>#N/A</v>
      </c>
      <c r="Z136" s="1" t="str">
        <f t="shared" si="5"/>
        <v>#NAME?</v>
      </c>
      <c r="AA136" s="1" t="str">
        <f t="shared" si="6"/>
        <v>#NAME?</v>
      </c>
      <c r="AB136" s="1" t="str">
        <f t="shared" si="7"/>
        <v>#NAME?</v>
      </c>
      <c r="AC136" s="1" t="str">
        <f t="shared" si="8"/>
        <v>#NAME?</v>
      </c>
    </row>
    <row r="137" ht="14.25" customHeight="1">
      <c r="H137" s="1">
        <f t="shared" si="9"/>
        <v>132</v>
      </c>
      <c r="I137" s="1">
        <f t="shared" si="2"/>
        <v>11</v>
      </c>
      <c r="J137" s="1">
        <f t="shared" si="3"/>
        <v>5</v>
      </c>
      <c r="K137" s="23">
        <f t="shared" si="10"/>
        <v>36657</v>
      </c>
      <c r="L137" s="24">
        <f t="shared" si="4"/>
        <v>-1000000</v>
      </c>
      <c r="M137" s="1" t="str">
        <f t="array" ref="M137">IF(K137&gt;0,INDEX(big_daily_table,MATCH(DATE(N$5,$J137,$I137),daily_dates,0),MATCH($B$3,daily_items,0)),NA())</f>
        <v>#N/A</v>
      </c>
      <c r="N137" s="1" t="str">
        <f t="array" ref="N137">IF(L137&lt;0,INDEX(big_daily_table,MATCH(DATE(N$5,$J137,$I137),daily_dates,0),MATCH($B$3,daily_items,0)),NA())</f>
        <v>#N/A</v>
      </c>
      <c r="O137" s="1" t="str">
        <f t="array" ref="O137">IF(ISBLANK(INDEX(big_daily_table,MATCH(DATE(O$5,$J137,$I137),daily_dates,0),MATCH($B$3,daily_items,0))),NA(),INDEX(big_daily_table,MATCH(DATE(O$5,$J137,$I137),daily_dates,0),MATCH($B$3,daily_items,0)))</f>
        <v>#N/A</v>
      </c>
      <c r="P137" s="1" t="str">
        <f t="array" ref="P137">IF(ISBLANK(INDEX(big_daily_table,MATCH(DATE(P$5,$J137,$I137),daily_dates,0),MATCH($B$3,daily_items,0))),NA(),INDEX(big_daily_table,MATCH(DATE(P$5,$J137,$I137),daily_dates,0),MATCH($B$3,daily_items,0)))</f>
        <v>#N/A</v>
      </c>
      <c r="Q137" s="1" t="str">
        <f t="array" ref="Q137">IF(ISBLANK(INDEX(big_daily_table,MATCH(DATE(Q$5,$J137,$I137),daily_dates,0),MATCH($B$3,daily_items,0))),NA(),INDEX(big_daily_table,MATCH(DATE(Q$5,$J137,$I137),daily_dates,0),MATCH($B$3,daily_items,0)))</f>
        <v>#N/A</v>
      </c>
      <c r="R137" s="1" t="str">
        <f t="array" ref="R137">IF(ISBLANK(INDEX(big_daily_table,MATCH(DATE(R$5,$J137,$I137),daily_dates,0),MATCH($B$3,daily_items,0))),NA(),INDEX(big_daily_table,MATCH(DATE(R$5,$J137,$I137),daily_dates,0),MATCH($B$3,daily_items,0)))</f>
        <v>#N/A</v>
      </c>
      <c r="S137" s="1" t="str">
        <f t="array" ref="S137">IF(ISBLANK(INDEX(big_daily_table,MATCH(DATE(S$5,$J137,$I137),daily_dates,0),MATCH($B$3,daily_items,0))),NA(),INDEX(big_daily_table,MATCH(DATE(S$5,$J137,$I137),daily_dates,0),MATCH($B$3,daily_items,0)))</f>
        <v>#N/A</v>
      </c>
      <c r="T137" s="1" t="str">
        <f t="array" ref="T137">IF(ISBLANK(INDEX(big_daily_table,MATCH(DATE(T$5,$J137,$I137),daily_dates,0),MATCH($B$3,daily_items,0))),NA(),INDEX(big_daily_table,MATCH(DATE(T$5,$J137,$I137),daily_dates,0),MATCH($B$3,daily_items,0)))</f>
        <v>#N/A</v>
      </c>
      <c r="U137" s="1" t="str">
        <f t="array" ref="U137">IF(ISBLANK(INDEX(big_daily_table,MATCH(DATE(U$5,$J137,$I137),daily_dates,0),MATCH($B$3,daily_items,0))),NA(),INDEX(big_daily_table,MATCH(DATE(U$5,$J137,$I137),daily_dates,0),MATCH($B$3,daily_items,0)))</f>
        <v>#N/A</v>
      </c>
      <c r="V137" s="1" t="str">
        <f t="array" ref="V137">IF(ISBLANK(INDEX(big_daily_table,MATCH(DATE(V$5,$J137,$I137),daily_dates,0),MATCH($B$3,daily_items,0))),NA(),INDEX(big_daily_table,MATCH(DATE(V$5,$J137,$I137),daily_dates,0),MATCH($B$3,daily_items,0)))</f>
        <v>#N/A</v>
      </c>
      <c r="W137" s="1" t="str">
        <f t="array" ref="W137">IF(ISBLANK(INDEX(big_daily_table,MATCH(DATE(W$5,$J137,$I137),daily_dates,0),MATCH($B$3,daily_items,0))),NA(),INDEX(big_daily_table,MATCH(DATE(W$5,$J137,$I137),daily_dates,0),MATCH($B$3,daily_items,0)))</f>
        <v>#N/A</v>
      </c>
      <c r="X137" s="1" t="str">
        <f t="array" ref="X137">IF(ISBLANK(INDEX(big_daily_table,MATCH(DATE(X$5,$J137,$I137),daily_dates,0),MATCH($B$3,daily_items,0))),NA(),INDEX(big_daily_table,MATCH(DATE(X$5,$J137,$I137),daily_dates,0),MATCH($B$3,daily_items,0)))</f>
        <v>#N/A</v>
      </c>
      <c r="Y137" s="1" t="str">
        <f t="array" ref="Y137">IF(ISBLANK(INDEX(big_daily_table,MATCH(DATE(Y$5,$J137,$I137),daily_dates,0),MATCH($B$3,daily_items,0))),NA(),INDEX(big_daily_table,MATCH(DATE(Y$5,$J137,$I137),daily_dates,0),MATCH($B$3,daily_items,0)))</f>
        <v>#N/A</v>
      </c>
      <c r="Z137" s="1" t="str">
        <f t="shared" si="5"/>
        <v>#NAME?</v>
      </c>
      <c r="AA137" s="1" t="str">
        <f t="shared" si="6"/>
        <v>#NAME?</v>
      </c>
      <c r="AB137" s="1" t="str">
        <f t="shared" si="7"/>
        <v>#NAME?</v>
      </c>
      <c r="AC137" s="1" t="str">
        <f t="shared" si="8"/>
        <v>#NAME?</v>
      </c>
    </row>
    <row r="138" ht="14.25" customHeight="1">
      <c r="H138" s="1">
        <f t="shared" si="9"/>
        <v>133</v>
      </c>
      <c r="I138" s="1">
        <f t="shared" si="2"/>
        <v>12</v>
      </c>
      <c r="J138" s="1">
        <f t="shared" si="3"/>
        <v>5</v>
      </c>
      <c r="K138" s="23">
        <f t="shared" si="10"/>
        <v>36658</v>
      </c>
      <c r="L138" s="24">
        <f t="shared" si="4"/>
        <v>-1000000</v>
      </c>
      <c r="M138" s="1" t="str">
        <f t="array" ref="M138">IF(K138&gt;0,INDEX(big_daily_table,MATCH(DATE(N$5,$J138,$I138),daily_dates,0),MATCH($B$3,daily_items,0)),NA())</f>
        <v>#N/A</v>
      </c>
      <c r="N138" s="1" t="str">
        <f t="array" ref="N138">IF(L138&lt;0,INDEX(big_daily_table,MATCH(DATE(N$5,$J138,$I138),daily_dates,0),MATCH($B$3,daily_items,0)),NA())</f>
        <v>#N/A</v>
      </c>
      <c r="O138" s="1" t="str">
        <f t="array" ref="O138">IF(ISBLANK(INDEX(big_daily_table,MATCH(DATE(O$5,$J138,$I138),daily_dates,0),MATCH($B$3,daily_items,0))),NA(),INDEX(big_daily_table,MATCH(DATE(O$5,$J138,$I138),daily_dates,0),MATCH($B$3,daily_items,0)))</f>
        <v>#N/A</v>
      </c>
      <c r="P138" s="1" t="str">
        <f t="array" ref="P138">IF(ISBLANK(INDEX(big_daily_table,MATCH(DATE(P$5,$J138,$I138),daily_dates,0),MATCH($B$3,daily_items,0))),NA(),INDEX(big_daily_table,MATCH(DATE(P$5,$J138,$I138),daily_dates,0),MATCH($B$3,daily_items,0)))</f>
        <v>#N/A</v>
      </c>
      <c r="Q138" s="1" t="str">
        <f t="array" ref="Q138">IF(ISBLANK(INDEX(big_daily_table,MATCH(DATE(Q$5,$J138,$I138),daily_dates,0),MATCH($B$3,daily_items,0))),NA(),INDEX(big_daily_table,MATCH(DATE(Q$5,$J138,$I138),daily_dates,0),MATCH($B$3,daily_items,0)))</f>
        <v>#N/A</v>
      </c>
      <c r="R138" s="1" t="str">
        <f t="array" ref="R138">IF(ISBLANK(INDEX(big_daily_table,MATCH(DATE(R$5,$J138,$I138),daily_dates,0),MATCH($B$3,daily_items,0))),NA(),INDEX(big_daily_table,MATCH(DATE(R$5,$J138,$I138),daily_dates,0),MATCH($B$3,daily_items,0)))</f>
        <v>#N/A</v>
      </c>
      <c r="S138" s="1" t="str">
        <f t="array" ref="S138">IF(ISBLANK(INDEX(big_daily_table,MATCH(DATE(S$5,$J138,$I138),daily_dates,0),MATCH($B$3,daily_items,0))),NA(),INDEX(big_daily_table,MATCH(DATE(S$5,$J138,$I138),daily_dates,0),MATCH($B$3,daily_items,0)))</f>
        <v>#N/A</v>
      </c>
      <c r="T138" s="1" t="str">
        <f t="array" ref="T138">IF(ISBLANK(INDEX(big_daily_table,MATCH(DATE(T$5,$J138,$I138),daily_dates,0),MATCH($B$3,daily_items,0))),NA(),INDEX(big_daily_table,MATCH(DATE(T$5,$J138,$I138),daily_dates,0),MATCH($B$3,daily_items,0)))</f>
        <v>#N/A</v>
      </c>
      <c r="U138" s="1" t="str">
        <f t="array" ref="U138">IF(ISBLANK(INDEX(big_daily_table,MATCH(DATE(U$5,$J138,$I138),daily_dates,0),MATCH($B$3,daily_items,0))),NA(),INDEX(big_daily_table,MATCH(DATE(U$5,$J138,$I138),daily_dates,0),MATCH($B$3,daily_items,0)))</f>
        <v>#N/A</v>
      </c>
      <c r="V138" s="1" t="str">
        <f t="array" ref="V138">IF(ISBLANK(INDEX(big_daily_table,MATCH(DATE(V$5,$J138,$I138),daily_dates,0),MATCH($B$3,daily_items,0))),NA(),INDEX(big_daily_table,MATCH(DATE(V$5,$J138,$I138),daily_dates,0),MATCH($B$3,daily_items,0)))</f>
        <v>#N/A</v>
      </c>
      <c r="W138" s="1" t="str">
        <f t="array" ref="W138">IF(ISBLANK(INDEX(big_daily_table,MATCH(DATE(W$5,$J138,$I138),daily_dates,0),MATCH($B$3,daily_items,0))),NA(),INDEX(big_daily_table,MATCH(DATE(W$5,$J138,$I138),daily_dates,0),MATCH($B$3,daily_items,0)))</f>
        <v>#N/A</v>
      </c>
      <c r="X138" s="1" t="str">
        <f t="array" ref="X138">IF(ISBLANK(INDEX(big_daily_table,MATCH(DATE(X$5,$J138,$I138),daily_dates,0),MATCH($B$3,daily_items,0))),NA(),INDEX(big_daily_table,MATCH(DATE(X$5,$J138,$I138),daily_dates,0),MATCH($B$3,daily_items,0)))</f>
        <v>#N/A</v>
      </c>
      <c r="Y138" s="1" t="str">
        <f t="array" ref="Y138">IF(ISBLANK(INDEX(big_daily_table,MATCH(DATE(Y$5,$J138,$I138),daily_dates,0),MATCH($B$3,daily_items,0))),NA(),INDEX(big_daily_table,MATCH(DATE(Y$5,$J138,$I138),daily_dates,0),MATCH($B$3,daily_items,0)))</f>
        <v>#N/A</v>
      </c>
      <c r="Z138" s="1" t="str">
        <f t="shared" si="5"/>
        <v>#NAME?</v>
      </c>
      <c r="AA138" s="1" t="str">
        <f t="shared" si="6"/>
        <v>#NAME?</v>
      </c>
      <c r="AB138" s="1" t="str">
        <f t="shared" si="7"/>
        <v>#NAME?</v>
      </c>
      <c r="AC138" s="1" t="str">
        <f t="shared" si="8"/>
        <v>#NAME?</v>
      </c>
    </row>
    <row r="139" ht="14.25" customHeight="1">
      <c r="H139" s="1">
        <f t="shared" si="9"/>
        <v>134</v>
      </c>
      <c r="I139" s="1">
        <f t="shared" si="2"/>
        <v>13</v>
      </c>
      <c r="J139" s="1">
        <f t="shared" si="3"/>
        <v>5</v>
      </c>
      <c r="K139" s="23">
        <f t="shared" si="10"/>
        <v>36659</v>
      </c>
      <c r="L139" s="24">
        <f t="shared" si="4"/>
        <v>-1000000</v>
      </c>
      <c r="M139" s="1" t="str">
        <f t="array" ref="M139">IF(K139&gt;0,INDEX(big_daily_table,MATCH(DATE(N$5,$J139,$I139),daily_dates,0),MATCH($B$3,daily_items,0)),NA())</f>
        <v>#N/A</v>
      </c>
      <c r="N139" s="1" t="str">
        <f t="array" ref="N139">IF(L139&lt;0,INDEX(big_daily_table,MATCH(DATE(N$5,$J139,$I139),daily_dates,0),MATCH($B$3,daily_items,0)),NA())</f>
        <v>#N/A</v>
      </c>
      <c r="O139" s="1" t="str">
        <f t="array" ref="O139">IF(ISBLANK(INDEX(big_daily_table,MATCH(DATE(O$5,$J139,$I139),daily_dates,0),MATCH($B$3,daily_items,0))),NA(),INDEX(big_daily_table,MATCH(DATE(O$5,$J139,$I139),daily_dates,0),MATCH($B$3,daily_items,0)))</f>
        <v>#N/A</v>
      </c>
      <c r="P139" s="1" t="str">
        <f t="array" ref="P139">IF(ISBLANK(INDEX(big_daily_table,MATCH(DATE(P$5,$J139,$I139),daily_dates,0),MATCH($B$3,daily_items,0))),NA(),INDEX(big_daily_table,MATCH(DATE(P$5,$J139,$I139),daily_dates,0),MATCH($B$3,daily_items,0)))</f>
        <v>#N/A</v>
      </c>
      <c r="Q139" s="1" t="str">
        <f t="array" ref="Q139">IF(ISBLANK(INDEX(big_daily_table,MATCH(DATE(Q$5,$J139,$I139),daily_dates,0),MATCH($B$3,daily_items,0))),NA(),INDEX(big_daily_table,MATCH(DATE(Q$5,$J139,$I139),daily_dates,0),MATCH($B$3,daily_items,0)))</f>
        <v>#N/A</v>
      </c>
      <c r="R139" s="1" t="str">
        <f t="array" ref="R139">IF(ISBLANK(INDEX(big_daily_table,MATCH(DATE(R$5,$J139,$I139),daily_dates,0),MATCH($B$3,daily_items,0))),NA(),INDEX(big_daily_table,MATCH(DATE(R$5,$J139,$I139),daily_dates,0),MATCH($B$3,daily_items,0)))</f>
        <v>#N/A</v>
      </c>
      <c r="S139" s="1" t="str">
        <f t="array" ref="S139">IF(ISBLANK(INDEX(big_daily_table,MATCH(DATE(S$5,$J139,$I139),daily_dates,0),MATCH($B$3,daily_items,0))),NA(),INDEX(big_daily_table,MATCH(DATE(S$5,$J139,$I139),daily_dates,0),MATCH($B$3,daily_items,0)))</f>
        <v>#N/A</v>
      </c>
      <c r="T139" s="1" t="str">
        <f t="array" ref="T139">IF(ISBLANK(INDEX(big_daily_table,MATCH(DATE(T$5,$J139,$I139),daily_dates,0),MATCH($B$3,daily_items,0))),NA(),INDEX(big_daily_table,MATCH(DATE(T$5,$J139,$I139),daily_dates,0),MATCH($B$3,daily_items,0)))</f>
        <v>#N/A</v>
      </c>
      <c r="U139" s="1" t="str">
        <f t="array" ref="U139">IF(ISBLANK(INDEX(big_daily_table,MATCH(DATE(U$5,$J139,$I139),daily_dates,0),MATCH($B$3,daily_items,0))),NA(),INDEX(big_daily_table,MATCH(DATE(U$5,$J139,$I139),daily_dates,0),MATCH($B$3,daily_items,0)))</f>
        <v>#N/A</v>
      </c>
      <c r="V139" s="1" t="str">
        <f t="array" ref="V139">IF(ISBLANK(INDEX(big_daily_table,MATCH(DATE(V$5,$J139,$I139),daily_dates,0),MATCH($B$3,daily_items,0))),NA(),INDEX(big_daily_table,MATCH(DATE(V$5,$J139,$I139),daily_dates,0),MATCH($B$3,daily_items,0)))</f>
        <v>#N/A</v>
      </c>
      <c r="W139" s="1" t="str">
        <f t="array" ref="W139">IF(ISBLANK(INDEX(big_daily_table,MATCH(DATE(W$5,$J139,$I139),daily_dates,0),MATCH($B$3,daily_items,0))),NA(),INDEX(big_daily_table,MATCH(DATE(W$5,$J139,$I139),daily_dates,0),MATCH($B$3,daily_items,0)))</f>
        <v>#N/A</v>
      </c>
      <c r="X139" s="1" t="str">
        <f t="array" ref="X139">IF(ISBLANK(INDEX(big_daily_table,MATCH(DATE(X$5,$J139,$I139),daily_dates,0),MATCH($B$3,daily_items,0))),NA(),INDEX(big_daily_table,MATCH(DATE(X$5,$J139,$I139),daily_dates,0),MATCH($B$3,daily_items,0)))</f>
        <v>#N/A</v>
      </c>
      <c r="Y139" s="1" t="str">
        <f t="array" ref="Y139">IF(ISBLANK(INDEX(big_daily_table,MATCH(DATE(Y$5,$J139,$I139),daily_dates,0),MATCH($B$3,daily_items,0))),NA(),INDEX(big_daily_table,MATCH(DATE(Y$5,$J139,$I139),daily_dates,0),MATCH($B$3,daily_items,0)))</f>
        <v>#N/A</v>
      </c>
      <c r="Z139" s="1" t="str">
        <f t="shared" si="5"/>
        <v>#NAME?</v>
      </c>
      <c r="AA139" s="1" t="str">
        <f t="shared" si="6"/>
        <v>#NAME?</v>
      </c>
      <c r="AB139" s="1" t="str">
        <f t="shared" si="7"/>
        <v>#NAME?</v>
      </c>
      <c r="AC139" s="1" t="str">
        <f t="shared" si="8"/>
        <v>#NAME?</v>
      </c>
    </row>
    <row r="140" ht="14.25" customHeight="1">
      <c r="H140" s="1">
        <f t="shared" si="9"/>
        <v>135</v>
      </c>
      <c r="I140" s="1">
        <f t="shared" si="2"/>
        <v>14</v>
      </c>
      <c r="J140" s="1">
        <f t="shared" si="3"/>
        <v>5</v>
      </c>
      <c r="K140" s="23">
        <f t="shared" si="10"/>
        <v>36660</v>
      </c>
      <c r="L140" s="24">
        <f t="shared" si="4"/>
        <v>-1000000</v>
      </c>
      <c r="M140" s="1" t="str">
        <f t="array" ref="M140">IF(K140&gt;0,INDEX(big_daily_table,MATCH(DATE(N$5,$J140,$I140),daily_dates,0),MATCH($B$3,daily_items,0)),NA())</f>
        <v>#N/A</v>
      </c>
      <c r="N140" s="1" t="str">
        <f t="array" ref="N140">IF(L140&lt;0,INDEX(big_daily_table,MATCH(DATE(N$5,$J140,$I140),daily_dates,0),MATCH($B$3,daily_items,0)),NA())</f>
        <v>#N/A</v>
      </c>
      <c r="O140" s="1" t="str">
        <f t="array" ref="O140">IF(ISBLANK(INDEX(big_daily_table,MATCH(DATE(O$5,$J140,$I140),daily_dates,0),MATCH($B$3,daily_items,0))),NA(),INDEX(big_daily_table,MATCH(DATE(O$5,$J140,$I140),daily_dates,0),MATCH($B$3,daily_items,0)))</f>
        <v>#N/A</v>
      </c>
      <c r="P140" s="1" t="str">
        <f t="array" ref="P140">IF(ISBLANK(INDEX(big_daily_table,MATCH(DATE(P$5,$J140,$I140),daily_dates,0),MATCH($B$3,daily_items,0))),NA(),INDEX(big_daily_table,MATCH(DATE(P$5,$J140,$I140),daily_dates,0),MATCH($B$3,daily_items,0)))</f>
        <v>#N/A</v>
      </c>
      <c r="Q140" s="1" t="str">
        <f t="array" ref="Q140">IF(ISBLANK(INDEX(big_daily_table,MATCH(DATE(Q$5,$J140,$I140),daily_dates,0),MATCH($B$3,daily_items,0))),NA(),INDEX(big_daily_table,MATCH(DATE(Q$5,$J140,$I140),daily_dates,0),MATCH($B$3,daily_items,0)))</f>
        <v>#N/A</v>
      </c>
      <c r="R140" s="1" t="str">
        <f t="array" ref="R140">IF(ISBLANK(INDEX(big_daily_table,MATCH(DATE(R$5,$J140,$I140),daily_dates,0),MATCH($B$3,daily_items,0))),NA(),INDEX(big_daily_table,MATCH(DATE(R$5,$J140,$I140),daily_dates,0),MATCH($B$3,daily_items,0)))</f>
        <v>#N/A</v>
      </c>
      <c r="S140" s="1" t="str">
        <f t="array" ref="S140">IF(ISBLANK(INDEX(big_daily_table,MATCH(DATE(S$5,$J140,$I140),daily_dates,0),MATCH($B$3,daily_items,0))),NA(),INDEX(big_daily_table,MATCH(DATE(S$5,$J140,$I140),daily_dates,0),MATCH($B$3,daily_items,0)))</f>
        <v>#N/A</v>
      </c>
      <c r="T140" s="1" t="str">
        <f t="array" ref="T140">IF(ISBLANK(INDEX(big_daily_table,MATCH(DATE(T$5,$J140,$I140),daily_dates,0),MATCH($B$3,daily_items,0))),NA(),INDEX(big_daily_table,MATCH(DATE(T$5,$J140,$I140),daily_dates,0),MATCH($B$3,daily_items,0)))</f>
        <v>#N/A</v>
      </c>
      <c r="U140" s="1" t="str">
        <f t="array" ref="U140">IF(ISBLANK(INDEX(big_daily_table,MATCH(DATE(U$5,$J140,$I140),daily_dates,0),MATCH($B$3,daily_items,0))),NA(),INDEX(big_daily_table,MATCH(DATE(U$5,$J140,$I140),daily_dates,0),MATCH($B$3,daily_items,0)))</f>
        <v>#N/A</v>
      </c>
      <c r="V140" s="1" t="str">
        <f t="array" ref="V140">IF(ISBLANK(INDEX(big_daily_table,MATCH(DATE(V$5,$J140,$I140),daily_dates,0),MATCH($B$3,daily_items,0))),NA(),INDEX(big_daily_table,MATCH(DATE(V$5,$J140,$I140),daily_dates,0),MATCH($B$3,daily_items,0)))</f>
        <v>#N/A</v>
      </c>
      <c r="W140" s="1" t="str">
        <f t="array" ref="W140">IF(ISBLANK(INDEX(big_daily_table,MATCH(DATE(W$5,$J140,$I140),daily_dates,0),MATCH($B$3,daily_items,0))),NA(),INDEX(big_daily_table,MATCH(DATE(W$5,$J140,$I140),daily_dates,0),MATCH($B$3,daily_items,0)))</f>
        <v>#N/A</v>
      </c>
      <c r="X140" s="1" t="str">
        <f t="array" ref="X140">IF(ISBLANK(INDEX(big_daily_table,MATCH(DATE(X$5,$J140,$I140),daily_dates,0),MATCH($B$3,daily_items,0))),NA(),INDEX(big_daily_table,MATCH(DATE(X$5,$J140,$I140),daily_dates,0),MATCH($B$3,daily_items,0)))</f>
        <v>#N/A</v>
      </c>
      <c r="Y140" s="1" t="str">
        <f t="array" ref="Y140">IF(ISBLANK(INDEX(big_daily_table,MATCH(DATE(Y$5,$J140,$I140),daily_dates,0),MATCH($B$3,daily_items,0))),NA(),INDEX(big_daily_table,MATCH(DATE(Y$5,$J140,$I140),daily_dates,0),MATCH($B$3,daily_items,0)))</f>
        <v>#N/A</v>
      </c>
      <c r="Z140" s="1" t="str">
        <f t="shared" si="5"/>
        <v>#NAME?</v>
      </c>
      <c r="AA140" s="1" t="str">
        <f t="shared" si="6"/>
        <v>#NAME?</v>
      </c>
      <c r="AB140" s="1" t="str">
        <f t="shared" si="7"/>
        <v>#NAME?</v>
      </c>
      <c r="AC140" s="1" t="str">
        <f t="shared" si="8"/>
        <v>#NAME?</v>
      </c>
    </row>
    <row r="141" ht="14.25" customHeight="1">
      <c r="H141" s="1">
        <f t="shared" si="9"/>
        <v>136</v>
      </c>
      <c r="I141" s="1">
        <f t="shared" si="2"/>
        <v>15</v>
      </c>
      <c r="J141" s="1">
        <f t="shared" si="3"/>
        <v>5</v>
      </c>
      <c r="K141" s="23">
        <f t="shared" si="10"/>
        <v>36661</v>
      </c>
      <c r="L141" s="24">
        <f t="shared" si="4"/>
        <v>-1000000</v>
      </c>
      <c r="M141" s="1" t="str">
        <f t="array" ref="M141">IF(K141&gt;0,INDEX(big_daily_table,MATCH(DATE(N$5,$J141,$I141),daily_dates,0),MATCH($B$3,daily_items,0)),NA())</f>
        <v>#N/A</v>
      </c>
      <c r="N141" s="1" t="str">
        <f t="array" ref="N141">IF(L141&lt;0,INDEX(big_daily_table,MATCH(DATE(N$5,$J141,$I141),daily_dates,0),MATCH($B$3,daily_items,0)),NA())</f>
        <v>#N/A</v>
      </c>
      <c r="O141" s="1" t="str">
        <f t="array" ref="O141">IF(ISBLANK(INDEX(big_daily_table,MATCH(DATE(O$5,$J141,$I141),daily_dates,0),MATCH($B$3,daily_items,0))),NA(),INDEX(big_daily_table,MATCH(DATE(O$5,$J141,$I141),daily_dates,0),MATCH($B$3,daily_items,0)))</f>
        <v>#N/A</v>
      </c>
      <c r="P141" s="1" t="str">
        <f t="array" ref="P141">IF(ISBLANK(INDEX(big_daily_table,MATCH(DATE(P$5,$J141,$I141),daily_dates,0),MATCH($B$3,daily_items,0))),NA(),INDEX(big_daily_table,MATCH(DATE(P$5,$J141,$I141),daily_dates,0),MATCH($B$3,daily_items,0)))</f>
        <v>#N/A</v>
      </c>
      <c r="Q141" s="1" t="str">
        <f t="array" ref="Q141">IF(ISBLANK(INDEX(big_daily_table,MATCH(DATE(Q$5,$J141,$I141),daily_dates,0),MATCH($B$3,daily_items,0))),NA(),INDEX(big_daily_table,MATCH(DATE(Q$5,$J141,$I141),daily_dates,0),MATCH($B$3,daily_items,0)))</f>
        <v>#N/A</v>
      </c>
      <c r="R141" s="1" t="str">
        <f t="array" ref="R141">IF(ISBLANK(INDEX(big_daily_table,MATCH(DATE(R$5,$J141,$I141),daily_dates,0),MATCH($B$3,daily_items,0))),NA(),INDEX(big_daily_table,MATCH(DATE(R$5,$J141,$I141),daily_dates,0),MATCH($B$3,daily_items,0)))</f>
        <v>#N/A</v>
      </c>
      <c r="S141" s="1" t="str">
        <f t="array" ref="S141">IF(ISBLANK(INDEX(big_daily_table,MATCH(DATE(S$5,$J141,$I141),daily_dates,0),MATCH($B$3,daily_items,0))),NA(),INDEX(big_daily_table,MATCH(DATE(S$5,$J141,$I141),daily_dates,0),MATCH($B$3,daily_items,0)))</f>
        <v>#N/A</v>
      </c>
      <c r="T141" s="1" t="str">
        <f t="array" ref="T141">IF(ISBLANK(INDEX(big_daily_table,MATCH(DATE(T$5,$J141,$I141),daily_dates,0),MATCH($B$3,daily_items,0))),NA(),INDEX(big_daily_table,MATCH(DATE(T$5,$J141,$I141),daily_dates,0),MATCH($B$3,daily_items,0)))</f>
        <v>#N/A</v>
      </c>
      <c r="U141" s="1" t="str">
        <f t="array" ref="U141">IF(ISBLANK(INDEX(big_daily_table,MATCH(DATE(U$5,$J141,$I141),daily_dates,0),MATCH($B$3,daily_items,0))),NA(),INDEX(big_daily_table,MATCH(DATE(U$5,$J141,$I141),daily_dates,0),MATCH($B$3,daily_items,0)))</f>
        <v>#N/A</v>
      </c>
      <c r="V141" s="1" t="str">
        <f t="array" ref="V141">IF(ISBLANK(INDEX(big_daily_table,MATCH(DATE(V$5,$J141,$I141),daily_dates,0),MATCH($B$3,daily_items,0))),NA(),INDEX(big_daily_table,MATCH(DATE(V$5,$J141,$I141),daily_dates,0),MATCH($B$3,daily_items,0)))</f>
        <v>#N/A</v>
      </c>
      <c r="W141" s="1" t="str">
        <f t="array" ref="W141">IF(ISBLANK(INDEX(big_daily_table,MATCH(DATE(W$5,$J141,$I141),daily_dates,0),MATCH($B$3,daily_items,0))),NA(),INDEX(big_daily_table,MATCH(DATE(W$5,$J141,$I141),daily_dates,0),MATCH($B$3,daily_items,0)))</f>
        <v>#N/A</v>
      </c>
      <c r="X141" s="1" t="str">
        <f t="array" ref="X141">IF(ISBLANK(INDEX(big_daily_table,MATCH(DATE(X$5,$J141,$I141),daily_dates,0),MATCH($B$3,daily_items,0))),NA(),INDEX(big_daily_table,MATCH(DATE(X$5,$J141,$I141),daily_dates,0),MATCH($B$3,daily_items,0)))</f>
        <v>#N/A</v>
      </c>
      <c r="Y141" s="1" t="str">
        <f t="array" ref="Y141">IF(ISBLANK(INDEX(big_daily_table,MATCH(DATE(Y$5,$J141,$I141),daily_dates,0),MATCH($B$3,daily_items,0))),NA(),INDEX(big_daily_table,MATCH(DATE(Y$5,$J141,$I141),daily_dates,0),MATCH($B$3,daily_items,0)))</f>
        <v>#N/A</v>
      </c>
      <c r="Z141" s="1" t="str">
        <f t="shared" si="5"/>
        <v>#NAME?</v>
      </c>
      <c r="AA141" s="1" t="str">
        <f t="shared" si="6"/>
        <v>#NAME?</v>
      </c>
      <c r="AB141" s="1" t="str">
        <f t="shared" si="7"/>
        <v>#NAME?</v>
      </c>
      <c r="AC141" s="1" t="str">
        <f t="shared" si="8"/>
        <v>#NAME?</v>
      </c>
    </row>
    <row r="142" ht="14.25" customHeight="1">
      <c r="H142" s="1">
        <f t="shared" si="9"/>
        <v>137</v>
      </c>
      <c r="I142" s="1">
        <f t="shared" si="2"/>
        <v>16</v>
      </c>
      <c r="J142" s="1">
        <f t="shared" si="3"/>
        <v>5</v>
      </c>
      <c r="K142" s="23">
        <f t="shared" si="10"/>
        <v>36662</v>
      </c>
      <c r="L142" s="24">
        <f t="shared" si="4"/>
        <v>-1000000</v>
      </c>
      <c r="M142" s="1" t="str">
        <f t="array" ref="M142">IF(K142&gt;0,INDEX(big_daily_table,MATCH(DATE(N$5,$J142,$I142),daily_dates,0),MATCH($B$3,daily_items,0)),NA())</f>
        <v>#N/A</v>
      </c>
      <c r="N142" s="1" t="str">
        <f t="array" ref="N142">IF(L142&lt;0,INDEX(big_daily_table,MATCH(DATE(N$5,$J142,$I142),daily_dates,0),MATCH($B$3,daily_items,0)),NA())</f>
        <v>#N/A</v>
      </c>
      <c r="O142" s="1" t="str">
        <f t="array" ref="O142">IF(ISBLANK(INDEX(big_daily_table,MATCH(DATE(O$5,$J142,$I142),daily_dates,0),MATCH($B$3,daily_items,0))),NA(),INDEX(big_daily_table,MATCH(DATE(O$5,$J142,$I142),daily_dates,0),MATCH($B$3,daily_items,0)))</f>
        <v>#N/A</v>
      </c>
      <c r="P142" s="1" t="str">
        <f t="array" ref="P142">IF(ISBLANK(INDEX(big_daily_table,MATCH(DATE(P$5,$J142,$I142),daily_dates,0),MATCH($B$3,daily_items,0))),NA(),INDEX(big_daily_table,MATCH(DATE(P$5,$J142,$I142),daily_dates,0),MATCH($B$3,daily_items,0)))</f>
        <v>#N/A</v>
      </c>
      <c r="Q142" s="1" t="str">
        <f t="array" ref="Q142">IF(ISBLANK(INDEX(big_daily_table,MATCH(DATE(Q$5,$J142,$I142),daily_dates,0),MATCH($B$3,daily_items,0))),NA(),INDEX(big_daily_table,MATCH(DATE(Q$5,$J142,$I142),daily_dates,0),MATCH($B$3,daily_items,0)))</f>
        <v>#N/A</v>
      </c>
      <c r="R142" s="1" t="str">
        <f t="array" ref="R142">IF(ISBLANK(INDEX(big_daily_table,MATCH(DATE(R$5,$J142,$I142),daily_dates,0),MATCH($B$3,daily_items,0))),NA(),INDEX(big_daily_table,MATCH(DATE(R$5,$J142,$I142),daily_dates,0),MATCH($B$3,daily_items,0)))</f>
        <v>#N/A</v>
      </c>
      <c r="S142" s="1" t="str">
        <f t="array" ref="S142">IF(ISBLANK(INDEX(big_daily_table,MATCH(DATE(S$5,$J142,$I142),daily_dates,0),MATCH($B$3,daily_items,0))),NA(),INDEX(big_daily_table,MATCH(DATE(S$5,$J142,$I142),daily_dates,0),MATCH($B$3,daily_items,0)))</f>
        <v>#N/A</v>
      </c>
      <c r="T142" s="1" t="str">
        <f t="array" ref="T142">IF(ISBLANK(INDEX(big_daily_table,MATCH(DATE(T$5,$J142,$I142),daily_dates,0),MATCH($B$3,daily_items,0))),NA(),INDEX(big_daily_table,MATCH(DATE(T$5,$J142,$I142),daily_dates,0),MATCH($B$3,daily_items,0)))</f>
        <v>#N/A</v>
      </c>
      <c r="U142" s="1" t="str">
        <f t="array" ref="U142">IF(ISBLANK(INDEX(big_daily_table,MATCH(DATE(U$5,$J142,$I142),daily_dates,0),MATCH($B$3,daily_items,0))),NA(),INDEX(big_daily_table,MATCH(DATE(U$5,$J142,$I142),daily_dates,0),MATCH($B$3,daily_items,0)))</f>
        <v>#N/A</v>
      </c>
      <c r="V142" s="1" t="str">
        <f t="array" ref="V142">IF(ISBLANK(INDEX(big_daily_table,MATCH(DATE(V$5,$J142,$I142),daily_dates,0),MATCH($B$3,daily_items,0))),NA(),INDEX(big_daily_table,MATCH(DATE(V$5,$J142,$I142),daily_dates,0),MATCH($B$3,daily_items,0)))</f>
        <v>#N/A</v>
      </c>
      <c r="W142" s="1" t="str">
        <f t="array" ref="W142">IF(ISBLANK(INDEX(big_daily_table,MATCH(DATE(W$5,$J142,$I142),daily_dates,0),MATCH($B$3,daily_items,0))),NA(),INDEX(big_daily_table,MATCH(DATE(W$5,$J142,$I142),daily_dates,0),MATCH($B$3,daily_items,0)))</f>
        <v>#N/A</v>
      </c>
      <c r="X142" s="1" t="str">
        <f t="array" ref="X142">IF(ISBLANK(INDEX(big_daily_table,MATCH(DATE(X$5,$J142,$I142),daily_dates,0),MATCH($B$3,daily_items,0))),NA(),INDEX(big_daily_table,MATCH(DATE(X$5,$J142,$I142),daily_dates,0),MATCH($B$3,daily_items,0)))</f>
        <v>#N/A</v>
      </c>
      <c r="Y142" s="1" t="str">
        <f t="array" ref="Y142">IF(ISBLANK(INDEX(big_daily_table,MATCH(DATE(Y$5,$J142,$I142),daily_dates,0),MATCH($B$3,daily_items,0))),NA(),INDEX(big_daily_table,MATCH(DATE(Y$5,$J142,$I142),daily_dates,0),MATCH($B$3,daily_items,0)))</f>
        <v>#N/A</v>
      </c>
      <c r="Z142" s="1" t="str">
        <f t="shared" si="5"/>
        <v>#NAME?</v>
      </c>
      <c r="AA142" s="1" t="str">
        <f t="shared" si="6"/>
        <v>#NAME?</v>
      </c>
      <c r="AB142" s="1" t="str">
        <f t="shared" si="7"/>
        <v>#NAME?</v>
      </c>
      <c r="AC142" s="1" t="str">
        <f t="shared" si="8"/>
        <v>#NAME?</v>
      </c>
    </row>
    <row r="143" ht="14.25" customHeight="1">
      <c r="H143" s="1">
        <f t="shared" si="9"/>
        <v>138</v>
      </c>
      <c r="I143" s="1">
        <f t="shared" si="2"/>
        <v>17</v>
      </c>
      <c r="J143" s="1">
        <f t="shared" si="3"/>
        <v>5</v>
      </c>
      <c r="K143" s="23">
        <f t="shared" si="10"/>
        <v>36663</v>
      </c>
      <c r="L143" s="24">
        <f t="shared" si="4"/>
        <v>-1000000</v>
      </c>
      <c r="M143" s="1" t="str">
        <f t="array" ref="M143">IF(K143&gt;0,INDEX(big_daily_table,MATCH(DATE(N$5,$J143,$I143),daily_dates,0),MATCH($B$3,daily_items,0)),NA())</f>
        <v>#N/A</v>
      </c>
      <c r="N143" s="1" t="str">
        <f t="array" ref="N143">IF(L143&lt;0,INDEX(big_daily_table,MATCH(DATE(N$5,$J143,$I143),daily_dates,0),MATCH($B$3,daily_items,0)),NA())</f>
        <v>#N/A</v>
      </c>
      <c r="O143" s="1" t="str">
        <f t="array" ref="O143">IF(ISBLANK(INDEX(big_daily_table,MATCH(DATE(O$5,$J143,$I143),daily_dates,0),MATCH($B$3,daily_items,0))),NA(),INDEX(big_daily_table,MATCH(DATE(O$5,$J143,$I143),daily_dates,0),MATCH($B$3,daily_items,0)))</f>
        <v>#N/A</v>
      </c>
      <c r="P143" s="1" t="str">
        <f t="array" ref="P143">IF(ISBLANK(INDEX(big_daily_table,MATCH(DATE(P$5,$J143,$I143),daily_dates,0),MATCH($B$3,daily_items,0))),NA(),INDEX(big_daily_table,MATCH(DATE(P$5,$J143,$I143),daily_dates,0),MATCH($B$3,daily_items,0)))</f>
        <v>#N/A</v>
      </c>
      <c r="Q143" s="1" t="str">
        <f t="array" ref="Q143">IF(ISBLANK(INDEX(big_daily_table,MATCH(DATE(Q$5,$J143,$I143),daily_dates,0),MATCH($B$3,daily_items,0))),NA(),INDEX(big_daily_table,MATCH(DATE(Q$5,$J143,$I143),daily_dates,0),MATCH($B$3,daily_items,0)))</f>
        <v>#N/A</v>
      </c>
      <c r="R143" s="1" t="str">
        <f t="array" ref="R143">IF(ISBLANK(INDEX(big_daily_table,MATCH(DATE(R$5,$J143,$I143),daily_dates,0),MATCH($B$3,daily_items,0))),NA(),INDEX(big_daily_table,MATCH(DATE(R$5,$J143,$I143),daily_dates,0),MATCH($B$3,daily_items,0)))</f>
        <v>#N/A</v>
      </c>
      <c r="S143" s="1" t="str">
        <f t="array" ref="S143">IF(ISBLANK(INDEX(big_daily_table,MATCH(DATE(S$5,$J143,$I143),daily_dates,0),MATCH($B$3,daily_items,0))),NA(),INDEX(big_daily_table,MATCH(DATE(S$5,$J143,$I143),daily_dates,0),MATCH($B$3,daily_items,0)))</f>
        <v>#N/A</v>
      </c>
      <c r="T143" s="1" t="str">
        <f t="array" ref="T143">IF(ISBLANK(INDEX(big_daily_table,MATCH(DATE(T$5,$J143,$I143),daily_dates,0),MATCH($B$3,daily_items,0))),NA(),INDEX(big_daily_table,MATCH(DATE(T$5,$J143,$I143),daily_dates,0),MATCH($B$3,daily_items,0)))</f>
        <v>#N/A</v>
      </c>
      <c r="U143" s="1" t="str">
        <f t="array" ref="U143">IF(ISBLANK(INDEX(big_daily_table,MATCH(DATE(U$5,$J143,$I143),daily_dates,0),MATCH($B$3,daily_items,0))),NA(),INDEX(big_daily_table,MATCH(DATE(U$5,$J143,$I143),daily_dates,0),MATCH($B$3,daily_items,0)))</f>
        <v>#N/A</v>
      </c>
      <c r="V143" s="1" t="str">
        <f t="array" ref="V143">IF(ISBLANK(INDEX(big_daily_table,MATCH(DATE(V$5,$J143,$I143),daily_dates,0),MATCH($B$3,daily_items,0))),NA(),INDEX(big_daily_table,MATCH(DATE(V$5,$J143,$I143),daily_dates,0),MATCH($B$3,daily_items,0)))</f>
        <v>#N/A</v>
      </c>
      <c r="W143" s="1" t="str">
        <f t="array" ref="W143">IF(ISBLANK(INDEX(big_daily_table,MATCH(DATE(W$5,$J143,$I143),daily_dates,0),MATCH($B$3,daily_items,0))),NA(),INDEX(big_daily_table,MATCH(DATE(W$5,$J143,$I143),daily_dates,0),MATCH($B$3,daily_items,0)))</f>
        <v>#N/A</v>
      </c>
      <c r="X143" s="1" t="str">
        <f t="array" ref="X143">IF(ISBLANK(INDEX(big_daily_table,MATCH(DATE(X$5,$J143,$I143),daily_dates,0),MATCH($B$3,daily_items,0))),NA(),INDEX(big_daily_table,MATCH(DATE(X$5,$J143,$I143),daily_dates,0),MATCH($B$3,daily_items,0)))</f>
        <v>#N/A</v>
      </c>
      <c r="Y143" s="1" t="str">
        <f t="array" ref="Y143">IF(ISBLANK(INDEX(big_daily_table,MATCH(DATE(Y$5,$J143,$I143),daily_dates,0),MATCH($B$3,daily_items,0))),NA(),INDEX(big_daily_table,MATCH(DATE(Y$5,$J143,$I143),daily_dates,0),MATCH($B$3,daily_items,0)))</f>
        <v>#N/A</v>
      </c>
      <c r="Z143" s="1" t="str">
        <f t="shared" si="5"/>
        <v>#NAME?</v>
      </c>
      <c r="AA143" s="1" t="str">
        <f t="shared" si="6"/>
        <v>#NAME?</v>
      </c>
      <c r="AB143" s="1" t="str">
        <f t="shared" si="7"/>
        <v>#NAME?</v>
      </c>
      <c r="AC143" s="1" t="str">
        <f t="shared" si="8"/>
        <v>#NAME?</v>
      </c>
    </row>
    <row r="144" ht="14.25" customHeight="1">
      <c r="H144" s="1">
        <f t="shared" si="9"/>
        <v>139</v>
      </c>
      <c r="I144" s="1">
        <f t="shared" si="2"/>
        <v>18</v>
      </c>
      <c r="J144" s="1">
        <f t="shared" si="3"/>
        <v>5</v>
      </c>
      <c r="K144" s="23">
        <f t="shared" si="10"/>
        <v>36664</v>
      </c>
      <c r="L144" s="24">
        <f t="shared" si="4"/>
        <v>-1000000</v>
      </c>
      <c r="M144" s="1" t="str">
        <f t="array" ref="M144">IF(K144&gt;0,INDEX(big_daily_table,MATCH(DATE(N$5,$J144,$I144),daily_dates,0),MATCH($B$3,daily_items,0)),NA())</f>
        <v>#N/A</v>
      </c>
      <c r="N144" s="1" t="str">
        <f t="array" ref="N144">IF(L144&lt;0,INDEX(big_daily_table,MATCH(DATE(N$5,$J144,$I144),daily_dates,0),MATCH($B$3,daily_items,0)),NA())</f>
        <v>#N/A</v>
      </c>
      <c r="O144" s="1" t="str">
        <f t="array" ref="O144">IF(ISBLANK(INDEX(big_daily_table,MATCH(DATE(O$5,$J144,$I144),daily_dates,0),MATCH($B$3,daily_items,0))),NA(),INDEX(big_daily_table,MATCH(DATE(O$5,$J144,$I144),daily_dates,0),MATCH($B$3,daily_items,0)))</f>
        <v>#N/A</v>
      </c>
      <c r="P144" s="1" t="str">
        <f t="array" ref="P144">IF(ISBLANK(INDEX(big_daily_table,MATCH(DATE(P$5,$J144,$I144),daily_dates,0),MATCH($B$3,daily_items,0))),NA(),INDEX(big_daily_table,MATCH(DATE(P$5,$J144,$I144),daily_dates,0),MATCH($B$3,daily_items,0)))</f>
        <v>#N/A</v>
      </c>
      <c r="Q144" s="1" t="str">
        <f t="array" ref="Q144">IF(ISBLANK(INDEX(big_daily_table,MATCH(DATE(Q$5,$J144,$I144),daily_dates,0),MATCH($B$3,daily_items,0))),NA(),INDEX(big_daily_table,MATCH(DATE(Q$5,$J144,$I144),daily_dates,0),MATCH($B$3,daily_items,0)))</f>
        <v>#N/A</v>
      </c>
      <c r="R144" s="1" t="str">
        <f t="array" ref="R144">IF(ISBLANK(INDEX(big_daily_table,MATCH(DATE(R$5,$J144,$I144),daily_dates,0),MATCH($B$3,daily_items,0))),NA(),INDEX(big_daily_table,MATCH(DATE(R$5,$J144,$I144),daily_dates,0),MATCH($B$3,daily_items,0)))</f>
        <v>#N/A</v>
      </c>
      <c r="S144" s="1" t="str">
        <f t="array" ref="S144">IF(ISBLANK(INDEX(big_daily_table,MATCH(DATE(S$5,$J144,$I144),daily_dates,0),MATCH($B$3,daily_items,0))),NA(),INDEX(big_daily_table,MATCH(DATE(S$5,$J144,$I144),daily_dates,0),MATCH($B$3,daily_items,0)))</f>
        <v>#N/A</v>
      </c>
      <c r="T144" s="1" t="str">
        <f t="array" ref="T144">IF(ISBLANK(INDEX(big_daily_table,MATCH(DATE(T$5,$J144,$I144),daily_dates,0),MATCH($B$3,daily_items,0))),NA(),INDEX(big_daily_table,MATCH(DATE(T$5,$J144,$I144),daily_dates,0),MATCH($B$3,daily_items,0)))</f>
        <v>#N/A</v>
      </c>
      <c r="U144" s="1" t="str">
        <f t="array" ref="U144">IF(ISBLANK(INDEX(big_daily_table,MATCH(DATE(U$5,$J144,$I144),daily_dates,0),MATCH($B$3,daily_items,0))),NA(),INDEX(big_daily_table,MATCH(DATE(U$5,$J144,$I144),daily_dates,0),MATCH($B$3,daily_items,0)))</f>
        <v>#N/A</v>
      </c>
      <c r="V144" s="1" t="str">
        <f t="array" ref="V144">IF(ISBLANK(INDEX(big_daily_table,MATCH(DATE(V$5,$J144,$I144),daily_dates,0),MATCH($B$3,daily_items,0))),NA(),INDEX(big_daily_table,MATCH(DATE(V$5,$J144,$I144),daily_dates,0),MATCH($B$3,daily_items,0)))</f>
        <v>#N/A</v>
      </c>
      <c r="W144" s="1" t="str">
        <f t="array" ref="W144">IF(ISBLANK(INDEX(big_daily_table,MATCH(DATE(W$5,$J144,$I144),daily_dates,0),MATCH($B$3,daily_items,0))),NA(),INDEX(big_daily_table,MATCH(DATE(W$5,$J144,$I144),daily_dates,0),MATCH($B$3,daily_items,0)))</f>
        <v>#N/A</v>
      </c>
      <c r="X144" s="1" t="str">
        <f t="array" ref="X144">IF(ISBLANK(INDEX(big_daily_table,MATCH(DATE(X$5,$J144,$I144),daily_dates,0),MATCH($B$3,daily_items,0))),NA(),INDEX(big_daily_table,MATCH(DATE(X$5,$J144,$I144),daily_dates,0),MATCH($B$3,daily_items,0)))</f>
        <v>#N/A</v>
      </c>
      <c r="Y144" s="1" t="str">
        <f t="array" ref="Y144">IF(ISBLANK(INDEX(big_daily_table,MATCH(DATE(Y$5,$J144,$I144),daily_dates,0),MATCH($B$3,daily_items,0))),NA(),INDEX(big_daily_table,MATCH(DATE(Y$5,$J144,$I144),daily_dates,0),MATCH($B$3,daily_items,0)))</f>
        <v>#N/A</v>
      </c>
      <c r="Z144" s="1" t="str">
        <f t="shared" si="5"/>
        <v>#NAME?</v>
      </c>
      <c r="AA144" s="1" t="str">
        <f t="shared" si="6"/>
        <v>#NAME?</v>
      </c>
      <c r="AB144" s="1" t="str">
        <f t="shared" si="7"/>
        <v>#NAME?</v>
      </c>
      <c r="AC144" s="1" t="str">
        <f t="shared" si="8"/>
        <v>#NAME?</v>
      </c>
    </row>
    <row r="145" ht="14.25" customHeight="1">
      <c r="H145" s="1">
        <f t="shared" si="9"/>
        <v>140</v>
      </c>
      <c r="I145" s="1">
        <f t="shared" si="2"/>
        <v>19</v>
      </c>
      <c r="J145" s="1">
        <f t="shared" si="3"/>
        <v>5</v>
      </c>
      <c r="K145" s="23">
        <f t="shared" si="10"/>
        <v>36665</v>
      </c>
      <c r="L145" s="24">
        <f t="shared" si="4"/>
        <v>-1000000</v>
      </c>
      <c r="M145" s="1" t="str">
        <f t="array" ref="M145">IF(K145&gt;0,INDEX(big_daily_table,MATCH(DATE(N$5,$J145,$I145),daily_dates,0),MATCH($B$3,daily_items,0)),NA())</f>
        <v>#N/A</v>
      </c>
      <c r="N145" s="1" t="str">
        <f t="array" ref="N145">IF(L145&lt;0,INDEX(big_daily_table,MATCH(DATE(N$5,$J145,$I145),daily_dates,0),MATCH($B$3,daily_items,0)),NA())</f>
        <v>#N/A</v>
      </c>
      <c r="O145" s="1" t="str">
        <f t="array" ref="O145">IF(ISBLANK(INDEX(big_daily_table,MATCH(DATE(O$5,$J145,$I145),daily_dates,0),MATCH($B$3,daily_items,0))),NA(),INDEX(big_daily_table,MATCH(DATE(O$5,$J145,$I145),daily_dates,0),MATCH($B$3,daily_items,0)))</f>
        <v>#N/A</v>
      </c>
      <c r="P145" s="1" t="str">
        <f t="array" ref="P145">IF(ISBLANK(INDEX(big_daily_table,MATCH(DATE(P$5,$J145,$I145),daily_dates,0),MATCH($B$3,daily_items,0))),NA(),INDEX(big_daily_table,MATCH(DATE(P$5,$J145,$I145),daily_dates,0),MATCH($B$3,daily_items,0)))</f>
        <v>#N/A</v>
      </c>
      <c r="Q145" s="1" t="str">
        <f t="array" ref="Q145">IF(ISBLANK(INDEX(big_daily_table,MATCH(DATE(Q$5,$J145,$I145),daily_dates,0),MATCH($B$3,daily_items,0))),NA(),INDEX(big_daily_table,MATCH(DATE(Q$5,$J145,$I145),daily_dates,0),MATCH($B$3,daily_items,0)))</f>
        <v>#N/A</v>
      </c>
      <c r="R145" s="1" t="str">
        <f t="array" ref="R145">IF(ISBLANK(INDEX(big_daily_table,MATCH(DATE(R$5,$J145,$I145),daily_dates,0),MATCH($B$3,daily_items,0))),NA(),INDEX(big_daily_table,MATCH(DATE(R$5,$J145,$I145),daily_dates,0),MATCH($B$3,daily_items,0)))</f>
        <v>#N/A</v>
      </c>
      <c r="S145" s="1" t="str">
        <f t="array" ref="S145">IF(ISBLANK(INDEX(big_daily_table,MATCH(DATE(S$5,$J145,$I145),daily_dates,0),MATCH($B$3,daily_items,0))),NA(),INDEX(big_daily_table,MATCH(DATE(S$5,$J145,$I145),daily_dates,0),MATCH($B$3,daily_items,0)))</f>
        <v>#N/A</v>
      </c>
      <c r="T145" s="1" t="str">
        <f t="array" ref="T145">IF(ISBLANK(INDEX(big_daily_table,MATCH(DATE(T$5,$J145,$I145),daily_dates,0),MATCH($B$3,daily_items,0))),NA(),INDEX(big_daily_table,MATCH(DATE(T$5,$J145,$I145),daily_dates,0),MATCH($B$3,daily_items,0)))</f>
        <v>#N/A</v>
      </c>
      <c r="U145" s="1" t="str">
        <f t="array" ref="U145">IF(ISBLANK(INDEX(big_daily_table,MATCH(DATE(U$5,$J145,$I145),daily_dates,0),MATCH($B$3,daily_items,0))),NA(),INDEX(big_daily_table,MATCH(DATE(U$5,$J145,$I145),daily_dates,0),MATCH($B$3,daily_items,0)))</f>
        <v>#N/A</v>
      </c>
      <c r="V145" s="1" t="str">
        <f t="array" ref="V145">IF(ISBLANK(INDEX(big_daily_table,MATCH(DATE(V$5,$J145,$I145),daily_dates,0),MATCH($B$3,daily_items,0))),NA(),INDEX(big_daily_table,MATCH(DATE(V$5,$J145,$I145),daily_dates,0),MATCH($B$3,daily_items,0)))</f>
        <v>#N/A</v>
      </c>
      <c r="W145" s="1" t="str">
        <f t="array" ref="W145">IF(ISBLANK(INDEX(big_daily_table,MATCH(DATE(W$5,$J145,$I145),daily_dates,0),MATCH($B$3,daily_items,0))),NA(),INDEX(big_daily_table,MATCH(DATE(W$5,$J145,$I145),daily_dates,0),MATCH($B$3,daily_items,0)))</f>
        <v>#N/A</v>
      </c>
      <c r="X145" s="1" t="str">
        <f t="array" ref="X145">IF(ISBLANK(INDEX(big_daily_table,MATCH(DATE(X$5,$J145,$I145),daily_dates,0),MATCH($B$3,daily_items,0))),NA(),INDEX(big_daily_table,MATCH(DATE(X$5,$J145,$I145),daily_dates,0),MATCH($B$3,daily_items,0)))</f>
        <v>#N/A</v>
      </c>
      <c r="Y145" s="1" t="str">
        <f t="array" ref="Y145">IF(ISBLANK(INDEX(big_daily_table,MATCH(DATE(Y$5,$J145,$I145),daily_dates,0),MATCH($B$3,daily_items,0))),NA(),INDEX(big_daily_table,MATCH(DATE(Y$5,$J145,$I145),daily_dates,0),MATCH($B$3,daily_items,0)))</f>
        <v>#N/A</v>
      </c>
      <c r="Z145" s="1" t="str">
        <f t="shared" si="5"/>
        <v>#NAME?</v>
      </c>
      <c r="AA145" s="1" t="str">
        <f t="shared" si="6"/>
        <v>#NAME?</v>
      </c>
      <c r="AB145" s="1" t="str">
        <f t="shared" si="7"/>
        <v>#NAME?</v>
      </c>
      <c r="AC145" s="1" t="str">
        <f t="shared" si="8"/>
        <v>#NAME?</v>
      </c>
    </row>
    <row r="146" ht="14.25" customHeight="1">
      <c r="H146" s="1">
        <f t="shared" si="9"/>
        <v>141</v>
      </c>
      <c r="I146" s="1">
        <f t="shared" si="2"/>
        <v>20</v>
      </c>
      <c r="J146" s="1">
        <f t="shared" si="3"/>
        <v>5</v>
      </c>
      <c r="K146" s="23">
        <f t="shared" si="10"/>
        <v>36666</v>
      </c>
      <c r="L146" s="24">
        <f t="shared" si="4"/>
        <v>-1000000</v>
      </c>
      <c r="M146" s="1" t="str">
        <f t="array" ref="M146">IF(K146&gt;0,INDEX(big_daily_table,MATCH(DATE(N$5,$J146,$I146),daily_dates,0),MATCH($B$3,daily_items,0)),NA())</f>
        <v>#N/A</v>
      </c>
      <c r="N146" s="1" t="str">
        <f t="array" ref="N146">IF(L146&lt;0,INDEX(big_daily_table,MATCH(DATE(N$5,$J146,$I146),daily_dates,0),MATCH($B$3,daily_items,0)),NA())</f>
        <v>#N/A</v>
      </c>
      <c r="O146" s="1" t="str">
        <f t="array" ref="O146">IF(ISBLANK(INDEX(big_daily_table,MATCH(DATE(O$5,$J146,$I146),daily_dates,0),MATCH($B$3,daily_items,0))),NA(),INDEX(big_daily_table,MATCH(DATE(O$5,$J146,$I146),daily_dates,0),MATCH($B$3,daily_items,0)))</f>
        <v>#N/A</v>
      </c>
      <c r="P146" s="1" t="str">
        <f t="array" ref="P146">IF(ISBLANK(INDEX(big_daily_table,MATCH(DATE(P$5,$J146,$I146),daily_dates,0),MATCH($B$3,daily_items,0))),NA(),INDEX(big_daily_table,MATCH(DATE(P$5,$J146,$I146),daily_dates,0),MATCH($B$3,daily_items,0)))</f>
        <v>#N/A</v>
      </c>
      <c r="Q146" s="1" t="str">
        <f t="array" ref="Q146">IF(ISBLANK(INDEX(big_daily_table,MATCH(DATE(Q$5,$J146,$I146),daily_dates,0),MATCH($B$3,daily_items,0))),NA(),INDEX(big_daily_table,MATCH(DATE(Q$5,$J146,$I146),daily_dates,0),MATCH($B$3,daily_items,0)))</f>
        <v>#N/A</v>
      </c>
      <c r="R146" s="1" t="str">
        <f t="array" ref="R146">IF(ISBLANK(INDEX(big_daily_table,MATCH(DATE(R$5,$J146,$I146),daily_dates,0),MATCH($B$3,daily_items,0))),NA(),INDEX(big_daily_table,MATCH(DATE(R$5,$J146,$I146),daily_dates,0),MATCH($B$3,daily_items,0)))</f>
        <v>#N/A</v>
      </c>
      <c r="S146" s="1" t="str">
        <f t="array" ref="S146">IF(ISBLANK(INDEX(big_daily_table,MATCH(DATE(S$5,$J146,$I146),daily_dates,0),MATCH($B$3,daily_items,0))),NA(),INDEX(big_daily_table,MATCH(DATE(S$5,$J146,$I146),daily_dates,0),MATCH($B$3,daily_items,0)))</f>
        <v>#N/A</v>
      </c>
      <c r="T146" s="1" t="str">
        <f t="array" ref="T146">IF(ISBLANK(INDEX(big_daily_table,MATCH(DATE(T$5,$J146,$I146),daily_dates,0),MATCH($B$3,daily_items,0))),NA(),INDEX(big_daily_table,MATCH(DATE(T$5,$J146,$I146),daily_dates,0),MATCH($B$3,daily_items,0)))</f>
        <v>#N/A</v>
      </c>
      <c r="U146" s="1" t="str">
        <f t="array" ref="U146">IF(ISBLANK(INDEX(big_daily_table,MATCH(DATE(U$5,$J146,$I146),daily_dates,0),MATCH($B$3,daily_items,0))),NA(),INDEX(big_daily_table,MATCH(DATE(U$5,$J146,$I146),daily_dates,0),MATCH($B$3,daily_items,0)))</f>
        <v>#N/A</v>
      </c>
      <c r="V146" s="1" t="str">
        <f t="array" ref="V146">IF(ISBLANK(INDEX(big_daily_table,MATCH(DATE(V$5,$J146,$I146),daily_dates,0),MATCH($B$3,daily_items,0))),NA(),INDEX(big_daily_table,MATCH(DATE(V$5,$J146,$I146),daily_dates,0),MATCH($B$3,daily_items,0)))</f>
        <v>#N/A</v>
      </c>
      <c r="W146" s="1" t="str">
        <f t="array" ref="W146">IF(ISBLANK(INDEX(big_daily_table,MATCH(DATE(W$5,$J146,$I146),daily_dates,0),MATCH($B$3,daily_items,0))),NA(),INDEX(big_daily_table,MATCH(DATE(W$5,$J146,$I146),daily_dates,0),MATCH($B$3,daily_items,0)))</f>
        <v>#N/A</v>
      </c>
      <c r="X146" s="1" t="str">
        <f t="array" ref="X146">IF(ISBLANK(INDEX(big_daily_table,MATCH(DATE(X$5,$J146,$I146),daily_dates,0),MATCH($B$3,daily_items,0))),NA(),INDEX(big_daily_table,MATCH(DATE(X$5,$J146,$I146),daily_dates,0),MATCH($B$3,daily_items,0)))</f>
        <v>#N/A</v>
      </c>
      <c r="Y146" s="1" t="str">
        <f t="array" ref="Y146">IF(ISBLANK(INDEX(big_daily_table,MATCH(DATE(Y$5,$J146,$I146),daily_dates,0),MATCH($B$3,daily_items,0))),NA(),INDEX(big_daily_table,MATCH(DATE(Y$5,$J146,$I146),daily_dates,0),MATCH($B$3,daily_items,0)))</f>
        <v>#N/A</v>
      </c>
      <c r="Z146" s="1" t="str">
        <f t="shared" si="5"/>
        <v>#NAME?</v>
      </c>
      <c r="AA146" s="1" t="str">
        <f t="shared" si="6"/>
        <v>#NAME?</v>
      </c>
      <c r="AB146" s="1" t="str">
        <f t="shared" si="7"/>
        <v>#NAME?</v>
      </c>
      <c r="AC146" s="1" t="str">
        <f t="shared" si="8"/>
        <v>#NAME?</v>
      </c>
    </row>
    <row r="147" ht="14.25" customHeight="1">
      <c r="H147" s="1">
        <f t="shared" si="9"/>
        <v>142</v>
      </c>
      <c r="I147" s="1">
        <f t="shared" si="2"/>
        <v>21</v>
      </c>
      <c r="J147" s="1">
        <f t="shared" si="3"/>
        <v>5</v>
      </c>
      <c r="K147" s="23">
        <f t="shared" si="10"/>
        <v>36667</v>
      </c>
      <c r="L147" s="24">
        <f t="shared" si="4"/>
        <v>-1000000</v>
      </c>
      <c r="M147" s="1" t="str">
        <f t="array" ref="M147">IF(K147&gt;0,INDEX(big_daily_table,MATCH(DATE(N$5,$J147,$I147),daily_dates,0),MATCH($B$3,daily_items,0)),NA())</f>
        <v>#N/A</v>
      </c>
      <c r="N147" s="1" t="str">
        <f t="array" ref="N147">IF(L147&lt;0,INDEX(big_daily_table,MATCH(DATE(N$5,$J147,$I147),daily_dates,0),MATCH($B$3,daily_items,0)),NA())</f>
        <v>#N/A</v>
      </c>
      <c r="O147" s="1" t="str">
        <f t="array" ref="O147">IF(ISBLANK(INDEX(big_daily_table,MATCH(DATE(O$5,$J147,$I147),daily_dates,0),MATCH($B$3,daily_items,0))),NA(),INDEX(big_daily_table,MATCH(DATE(O$5,$J147,$I147),daily_dates,0),MATCH($B$3,daily_items,0)))</f>
        <v>#N/A</v>
      </c>
      <c r="P147" s="1" t="str">
        <f t="array" ref="P147">IF(ISBLANK(INDEX(big_daily_table,MATCH(DATE(P$5,$J147,$I147),daily_dates,0),MATCH($B$3,daily_items,0))),NA(),INDEX(big_daily_table,MATCH(DATE(P$5,$J147,$I147),daily_dates,0),MATCH($B$3,daily_items,0)))</f>
        <v>#N/A</v>
      </c>
      <c r="Q147" s="1" t="str">
        <f t="array" ref="Q147">IF(ISBLANK(INDEX(big_daily_table,MATCH(DATE(Q$5,$J147,$I147),daily_dates,0),MATCH($B$3,daily_items,0))),NA(),INDEX(big_daily_table,MATCH(DATE(Q$5,$J147,$I147),daily_dates,0),MATCH($B$3,daily_items,0)))</f>
        <v>#N/A</v>
      </c>
      <c r="R147" s="1" t="str">
        <f t="array" ref="R147">IF(ISBLANK(INDEX(big_daily_table,MATCH(DATE(R$5,$J147,$I147),daily_dates,0),MATCH($B$3,daily_items,0))),NA(),INDEX(big_daily_table,MATCH(DATE(R$5,$J147,$I147),daily_dates,0),MATCH($B$3,daily_items,0)))</f>
        <v>#N/A</v>
      </c>
      <c r="S147" s="1" t="str">
        <f t="array" ref="S147">IF(ISBLANK(INDEX(big_daily_table,MATCH(DATE(S$5,$J147,$I147),daily_dates,0),MATCH($B$3,daily_items,0))),NA(),INDEX(big_daily_table,MATCH(DATE(S$5,$J147,$I147),daily_dates,0),MATCH($B$3,daily_items,0)))</f>
        <v>#N/A</v>
      </c>
      <c r="T147" s="1" t="str">
        <f t="array" ref="T147">IF(ISBLANK(INDEX(big_daily_table,MATCH(DATE(T$5,$J147,$I147),daily_dates,0),MATCH($B$3,daily_items,0))),NA(),INDEX(big_daily_table,MATCH(DATE(T$5,$J147,$I147),daily_dates,0),MATCH($B$3,daily_items,0)))</f>
        <v>#N/A</v>
      </c>
      <c r="U147" s="1" t="str">
        <f t="array" ref="U147">IF(ISBLANK(INDEX(big_daily_table,MATCH(DATE(U$5,$J147,$I147),daily_dates,0),MATCH($B$3,daily_items,0))),NA(),INDEX(big_daily_table,MATCH(DATE(U$5,$J147,$I147),daily_dates,0),MATCH($B$3,daily_items,0)))</f>
        <v>#N/A</v>
      </c>
      <c r="V147" s="1" t="str">
        <f t="array" ref="V147">IF(ISBLANK(INDEX(big_daily_table,MATCH(DATE(V$5,$J147,$I147),daily_dates,0),MATCH($B$3,daily_items,0))),NA(),INDEX(big_daily_table,MATCH(DATE(V$5,$J147,$I147),daily_dates,0),MATCH($B$3,daily_items,0)))</f>
        <v>#N/A</v>
      </c>
      <c r="W147" s="1" t="str">
        <f t="array" ref="W147">IF(ISBLANK(INDEX(big_daily_table,MATCH(DATE(W$5,$J147,$I147),daily_dates,0),MATCH($B$3,daily_items,0))),NA(),INDEX(big_daily_table,MATCH(DATE(W$5,$J147,$I147),daily_dates,0),MATCH($B$3,daily_items,0)))</f>
        <v>#N/A</v>
      </c>
      <c r="X147" s="1" t="str">
        <f t="array" ref="X147">IF(ISBLANK(INDEX(big_daily_table,MATCH(DATE(X$5,$J147,$I147),daily_dates,0),MATCH($B$3,daily_items,0))),NA(),INDEX(big_daily_table,MATCH(DATE(X$5,$J147,$I147),daily_dates,0),MATCH($B$3,daily_items,0)))</f>
        <v>#N/A</v>
      </c>
      <c r="Y147" s="1" t="str">
        <f t="array" ref="Y147">IF(ISBLANK(INDEX(big_daily_table,MATCH(DATE(Y$5,$J147,$I147),daily_dates,0),MATCH($B$3,daily_items,0))),NA(),INDEX(big_daily_table,MATCH(DATE(Y$5,$J147,$I147),daily_dates,0),MATCH($B$3,daily_items,0)))</f>
        <v>#N/A</v>
      </c>
      <c r="Z147" s="1" t="str">
        <f t="shared" si="5"/>
        <v>#NAME?</v>
      </c>
      <c r="AA147" s="1" t="str">
        <f t="shared" si="6"/>
        <v>#NAME?</v>
      </c>
      <c r="AB147" s="1" t="str">
        <f t="shared" si="7"/>
        <v>#NAME?</v>
      </c>
      <c r="AC147" s="1" t="str">
        <f t="shared" si="8"/>
        <v>#NAME?</v>
      </c>
    </row>
    <row r="148" ht="14.25" customHeight="1">
      <c r="H148" s="1">
        <f t="shared" si="9"/>
        <v>143</v>
      </c>
      <c r="I148" s="1">
        <f t="shared" si="2"/>
        <v>22</v>
      </c>
      <c r="J148" s="1">
        <f t="shared" si="3"/>
        <v>5</v>
      </c>
      <c r="K148" s="23">
        <f t="shared" si="10"/>
        <v>36668</v>
      </c>
      <c r="L148" s="24">
        <f t="shared" si="4"/>
        <v>-1000000</v>
      </c>
      <c r="M148" s="1" t="str">
        <f t="array" ref="M148">IF(K148&gt;0,INDEX(big_daily_table,MATCH(DATE(N$5,$J148,$I148),daily_dates,0),MATCH($B$3,daily_items,0)),NA())</f>
        <v>#N/A</v>
      </c>
      <c r="N148" s="1" t="str">
        <f t="array" ref="N148">IF(L148&lt;0,INDEX(big_daily_table,MATCH(DATE(N$5,$J148,$I148),daily_dates,0),MATCH($B$3,daily_items,0)),NA())</f>
        <v>#N/A</v>
      </c>
      <c r="O148" s="1" t="str">
        <f t="array" ref="O148">IF(ISBLANK(INDEX(big_daily_table,MATCH(DATE(O$5,$J148,$I148),daily_dates,0),MATCH($B$3,daily_items,0))),NA(),INDEX(big_daily_table,MATCH(DATE(O$5,$J148,$I148),daily_dates,0),MATCH($B$3,daily_items,0)))</f>
        <v>#N/A</v>
      </c>
      <c r="P148" s="1" t="str">
        <f t="array" ref="P148">IF(ISBLANK(INDEX(big_daily_table,MATCH(DATE(P$5,$J148,$I148),daily_dates,0),MATCH($B$3,daily_items,0))),NA(),INDEX(big_daily_table,MATCH(DATE(P$5,$J148,$I148),daily_dates,0),MATCH($B$3,daily_items,0)))</f>
        <v>#N/A</v>
      </c>
      <c r="Q148" s="1" t="str">
        <f t="array" ref="Q148">IF(ISBLANK(INDEX(big_daily_table,MATCH(DATE(Q$5,$J148,$I148),daily_dates,0),MATCH($B$3,daily_items,0))),NA(),INDEX(big_daily_table,MATCH(DATE(Q$5,$J148,$I148),daily_dates,0),MATCH($B$3,daily_items,0)))</f>
        <v>#N/A</v>
      </c>
      <c r="R148" s="1" t="str">
        <f t="array" ref="R148">IF(ISBLANK(INDEX(big_daily_table,MATCH(DATE(R$5,$J148,$I148),daily_dates,0),MATCH($B$3,daily_items,0))),NA(),INDEX(big_daily_table,MATCH(DATE(R$5,$J148,$I148),daily_dates,0),MATCH($B$3,daily_items,0)))</f>
        <v>#N/A</v>
      </c>
      <c r="S148" s="1" t="str">
        <f t="array" ref="S148">IF(ISBLANK(INDEX(big_daily_table,MATCH(DATE(S$5,$J148,$I148),daily_dates,0),MATCH($B$3,daily_items,0))),NA(),INDEX(big_daily_table,MATCH(DATE(S$5,$J148,$I148),daily_dates,0),MATCH($B$3,daily_items,0)))</f>
        <v>#N/A</v>
      </c>
      <c r="T148" s="1" t="str">
        <f t="array" ref="T148">IF(ISBLANK(INDEX(big_daily_table,MATCH(DATE(T$5,$J148,$I148),daily_dates,0),MATCH($B$3,daily_items,0))),NA(),INDEX(big_daily_table,MATCH(DATE(T$5,$J148,$I148),daily_dates,0),MATCH($B$3,daily_items,0)))</f>
        <v>#N/A</v>
      </c>
      <c r="U148" s="1" t="str">
        <f t="array" ref="U148">IF(ISBLANK(INDEX(big_daily_table,MATCH(DATE(U$5,$J148,$I148),daily_dates,0),MATCH($B$3,daily_items,0))),NA(),INDEX(big_daily_table,MATCH(DATE(U$5,$J148,$I148),daily_dates,0),MATCH($B$3,daily_items,0)))</f>
        <v>#N/A</v>
      </c>
      <c r="V148" s="1" t="str">
        <f t="array" ref="V148">IF(ISBLANK(INDEX(big_daily_table,MATCH(DATE(V$5,$J148,$I148),daily_dates,0),MATCH($B$3,daily_items,0))),NA(),INDEX(big_daily_table,MATCH(DATE(V$5,$J148,$I148),daily_dates,0),MATCH($B$3,daily_items,0)))</f>
        <v>#N/A</v>
      </c>
      <c r="W148" s="1" t="str">
        <f t="array" ref="W148">IF(ISBLANK(INDEX(big_daily_table,MATCH(DATE(W$5,$J148,$I148),daily_dates,0),MATCH($B$3,daily_items,0))),NA(),INDEX(big_daily_table,MATCH(DATE(W$5,$J148,$I148),daily_dates,0),MATCH($B$3,daily_items,0)))</f>
        <v>#N/A</v>
      </c>
      <c r="X148" s="1" t="str">
        <f t="array" ref="X148">IF(ISBLANK(INDEX(big_daily_table,MATCH(DATE(X$5,$J148,$I148),daily_dates,0),MATCH($B$3,daily_items,0))),NA(),INDEX(big_daily_table,MATCH(DATE(X$5,$J148,$I148),daily_dates,0),MATCH($B$3,daily_items,0)))</f>
        <v>#N/A</v>
      </c>
      <c r="Y148" s="1" t="str">
        <f t="array" ref="Y148">IF(ISBLANK(INDEX(big_daily_table,MATCH(DATE(Y$5,$J148,$I148),daily_dates,0),MATCH($B$3,daily_items,0))),NA(),INDEX(big_daily_table,MATCH(DATE(Y$5,$J148,$I148),daily_dates,0),MATCH($B$3,daily_items,0)))</f>
        <v>#N/A</v>
      </c>
      <c r="Z148" s="1" t="str">
        <f t="shared" si="5"/>
        <v>#NAME?</v>
      </c>
      <c r="AA148" s="1" t="str">
        <f t="shared" si="6"/>
        <v>#NAME?</v>
      </c>
      <c r="AB148" s="1" t="str">
        <f t="shared" si="7"/>
        <v>#NAME?</v>
      </c>
      <c r="AC148" s="1" t="str">
        <f t="shared" si="8"/>
        <v>#NAME?</v>
      </c>
    </row>
    <row r="149" ht="14.25" customHeight="1">
      <c r="H149" s="1">
        <f t="shared" si="9"/>
        <v>144</v>
      </c>
      <c r="I149" s="1">
        <f t="shared" si="2"/>
        <v>23</v>
      </c>
      <c r="J149" s="1">
        <f t="shared" si="3"/>
        <v>5</v>
      </c>
      <c r="K149" s="23">
        <f t="shared" si="10"/>
        <v>36669</v>
      </c>
      <c r="L149" s="24">
        <f t="shared" si="4"/>
        <v>-1000000</v>
      </c>
      <c r="M149" s="1" t="str">
        <f t="array" ref="M149">IF(K149&gt;0,INDEX(big_daily_table,MATCH(DATE(N$5,$J149,$I149),daily_dates,0),MATCH($B$3,daily_items,0)),NA())</f>
        <v>#N/A</v>
      </c>
      <c r="N149" s="1" t="str">
        <f t="array" ref="N149">IF(L149&lt;0,INDEX(big_daily_table,MATCH(DATE(N$5,$J149,$I149),daily_dates,0),MATCH($B$3,daily_items,0)),NA())</f>
        <v>#N/A</v>
      </c>
      <c r="O149" s="1" t="str">
        <f t="array" ref="O149">IF(ISBLANK(INDEX(big_daily_table,MATCH(DATE(O$5,$J149,$I149),daily_dates,0),MATCH($B$3,daily_items,0))),NA(),INDEX(big_daily_table,MATCH(DATE(O$5,$J149,$I149),daily_dates,0),MATCH($B$3,daily_items,0)))</f>
        <v>#N/A</v>
      </c>
      <c r="P149" s="1" t="str">
        <f t="array" ref="P149">IF(ISBLANK(INDEX(big_daily_table,MATCH(DATE(P$5,$J149,$I149),daily_dates,0),MATCH($B$3,daily_items,0))),NA(),INDEX(big_daily_table,MATCH(DATE(P$5,$J149,$I149),daily_dates,0),MATCH($B$3,daily_items,0)))</f>
        <v>#N/A</v>
      </c>
      <c r="Q149" s="1" t="str">
        <f t="array" ref="Q149">IF(ISBLANK(INDEX(big_daily_table,MATCH(DATE(Q$5,$J149,$I149),daily_dates,0),MATCH($B$3,daily_items,0))),NA(),INDEX(big_daily_table,MATCH(DATE(Q$5,$J149,$I149),daily_dates,0),MATCH($B$3,daily_items,0)))</f>
        <v>#N/A</v>
      </c>
      <c r="R149" s="1" t="str">
        <f t="array" ref="R149">IF(ISBLANK(INDEX(big_daily_table,MATCH(DATE(R$5,$J149,$I149),daily_dates,0),MATCH($B$3,daily_items,0))),NA(),INDEX(big_daily_table,MATCH(DATE(R$5,$J149,$I149),daily_dates,0),MATCH($B$3,daily_items,0)))</f>
        <v>#N/A</v>
      </c>
      <c r="S149" s="1" t="str">
        <f t="array" ref="S149">IF(ISBLANK(INDEX(big_daily_table,MATCH(DATE(S$5,$J149,$I149),daily_dates,0),MATCH($B$3,daily_items,0))),NA(),INDEX(big_daily_table,MATCH(DATE(S$5,$J149,$I149),daily_dates,0),MATCH($B$3,daily_items,0)))</f>
        <v>#N/A</v>
      </c>
      <c r="T149" s="1" t="str">
        <f t="array" ref="T149">IF(ISBLANK(INDEX(big_daily_table,MATCH(DATE(T$5,$J149,$I149),daily_dates,0),MATCH($B$3,daily_items,0))),NA(),INDEX(big_daily_table,MATCH(DATE(T$5,$J149,$I149),daily_dates,0),MATCH($B$3,daily_items,0)))</f>
        <v>#N/A</v>
      </c>
      <c r="U149" s="1" t="str">
        <f t="array" ref="U149">IF(ISBLANK(INDEX(big_daily_table,MATCH(DATE(U$5,$J149,$I149),daily_dates,0),MATCH($B$3,daily_items,0))),NA(),INDEX(big_daily_table,MATCH(DATE(U$5,$J149,$I149),daily_dates,0),MATCH($B$3,daily_items,0)))</f>
        <v>#N/A</v>
      </c>
      <c r="V149" s="1" t="str">
        <f t="array" ref="V149">IF(ISBLANK(INDEX(big_daily_table,MATCH(DATE(V$5,$J149,$I149),daily_dates,0),MATCH($B$3,daily_items,0))),NA(),INDEX(big_daily_table,MATCH(DATE(V$5,$J149,$I149),daily_dates,0),MATCH($B$3,daily_items,0)))</f>
        <v>#N/A</v>
      </c>
      <c r="W149" s="1" t="str">
        <f t="array" ref="W149">IF(ISBLANK(INDEX(big_daily_table,MATCH(DATE(W$5,$J149,$I149),daily_dates,0),MATCH($B$3,daily_items,0))),NA(),INDEX(big_daily_table,MATCH(DATE(W$5,$J149,$I149),daily_dates,0),MATCH($B$3,daily_items,0)))</f>
        <v>#N/A</v>
      </c>
      <c r="X149" s="1" t="str">
        <f t="array" ref="X149">IF(ISBLANK(INDEX(big_daily_table,MATCH(DATE(X$5,$J149,$I149),daily_dates,0),MATCH($B$3,daily_items,0))),NA(),INDEX(big_daily_table,MATCH(DATE(X$5,$J149,$I149),daily_dates,0),MATCH($B$3,daily_items,0)))</f>
        <v>#N/A</v>
      </c>
      <c r="Y149" s="1" t="str">
        <f t="array" ref="Y149">IF(ISBLANK(INDEX(big_daily_table,MATCH(DATE(Y$5,$J149,$I149),daily_dates,0),MATCH($B$3,daily_items,0))),NA(),INDEX(big_daily_table,MATCH(DATE(Y$5,$J149,$I149),daily_dates,0),MATCH($B$3,daily_items,0)))</f>
        <v>#N/A</v>
      </c>
      <c r="Z149" s="1" t="str">
        <f t="shared" si="5"/>
        <v>#NAME?</v>
      </c>
      <c r="AA149" s="1" t="str">
        <f t="shared" si="6"/>
        <v>#NAME?</v>
      </c>
      <c r="AB149" s="1" t="str">
        <f t="shared" si="7"/>
        <v>#NAME?</v>
      </c>
      <c r="AC149" s="1" t="str">
        <f t="shared" si="8"/>
        <v>#NAME?</v>
      </c>
    </row>
    <row r="150" ht="14.25" customHeight="1">
      <c r="H150" s="1">
        <f t="shared" si="9"/>
        <v>145</v>
      </c>
      <c r="I150" s="1">
        <f t="shared" si="2"/>
        <v>24</v>
      </c>
      <c r="J150" s="1">
        <f t="shared" si="3"/>
        <v>5</v>
      </c>
      <c r="K150" s="23">
        <f t="shared" si="10"/>
        <v>36670</v>
      </c>
      <c r="L150" s="24">
        <f t="shared" si="4"/>
        <v>-1000000</v>
      </c>
      <c r="M150" s="1" t="str">
        <f t="array" ref="M150">IF(K150&gt;0,INDEX(big_daily_table,MATCH(DATE(N$5,$J150,$I150),daily_dates,0),MATCH($B$3,daily_items,0)),NA())</f>
        <v>#N/A</v>
      </c>
      <c r="N150" s="1" t="str">
        <f t="array" ref="N150">IF(L150&lt;0,INDEX(big_daily_table,MATCH(DATE(N$5,$J150,$I150),daily_dates,0),MATCH($B$3,daily_items,0)),NA())</f>
        <v>#N/A</v>
      </c>
      <c r="O150" s="1" t="str">
        <f t="array" ref="O150">IF(ISBLANK(INDEX(big_daily_table,MATCH(DATE(O$5,$J150,$I150),daily_dates,0),MATCH($B$3,daily_items,0))),NA(),INDEX(big_daily_table,MATCH(DATE(O$5,$J150,$I150),daily_dates,0),MATCH($B$3,daily_items,0)))</f>
        <v>#N/A</v>
      </c>
      <c r="P150" s="1" t="str">
        <f t="array" ref="P150">IF(ISBLANK(INDEX(big_daily_table,MATCH(DATE(P$5,$J150,$I150),daily_dates,0),MATCH($B$3,daily_items,0))),NA(),INDEX(big_daily_table,MATCH(DATE(P$5,$J150,$I150),daily_dates,0),MATCH($B$3,daily_items,0)))</f>
        <v>#N/A</v>
      </c>
      <c r="Q150" s="1" t="str">
        <f t="array" ref="Q150">IF(ISBLANK(INDEX(big_daily_table,MATCH(DATE(Q$5,$J150,$I150),daily_dates,0),MATCH($B$3,daily_items,0))),NA(),INDEX(big_daily_table,MATCH(DATE(Q$5,$J150,$I150),daily_dates,0),MATCH($B$3,daily_items,0)))</f>
        <v>#N/A</v>
      </c>
      <c r="R150" s="1" t="str">
        <f t="array" ref="R150">IF(ISBLANK(INDEX(big_daily_table,MATCH(DATE(R$5,$J150,$I150),daily_dates,0),MATCH($B$3,daily_items,0))),NA(),INDEX(big_daily_table,MATCH(DATE(R$5,$J150,$I150),daily_dates,0),MATCH($B$3,daily_items,0)))</f>
        <v>#N/A</v>
      </c>
      <c r="S150" s="1" t="str">
        <f t="array" ref="S150">IF(ISBLANK(INDEX(big_daily_table,MATCH(DATE(S$5,$J150,$I150),daily_dates,0),MATCH($B$3,daily_items,0))),NA(),INDEX(big_daily_table,MATCH(DATE(S$5,$J150,$I150),daily_dates,0),MATCH($B$3,daily_items,0)))</f>
        <v>#N/A</v>
      </c>
      <c r="T150" s="1" t="str">
        <f t="array" ref="T150">IF(ISBLANK(INDEX(big_daily_table,MATCH(DATE(T$5,$J150,$I150),daily_dates,0),MATCH($B$3,daily_items,0))),NA(),INDEX(big_daily_table,MATCH(DATE(T$5,$J150,$I150),daily_dates,0),MATCH($B$3,daily_items,0)))</f>
        <v>#N/A</v>
      </c>
      <c r="U150" s="1" t="str">
        <f t="array" ref="U150">IF(ISBLANK(INDEX(big_daily_table,MATCH(DATE(U$5,$J150,$I150),daily_dates,0),MATCH($B$3,daily_items,0))),NA(),INDEX(big_daily_table,MATCH(DATE(U$5,$J150,$I150),daily_dates,0),MATCH($B$3,daily_items,0)))</f>
        <v>#N/A</v>
      </c>
      <c r="V150" s="1" t="str">
        <f t="array" ref="V150">IF(ISBLANK(INDEX(big_daily_table,MATCH(DATE(V$5,$J150,$I150),daily_dates,0),MATCH($B$3,daily_items,0))),NA(),INDEX(big_daily_table,MATCH(DATE(V$5,$J150,$I150),daily_dates,0),MATCH($B$3,daily_items,0)))</f>
        <v>#N/A</v>
      </c>
      <c r="W150" s="1" t="str">
        <f t="array" ref="W150">IF(ISBLANK(INDEX(big_daily_table,MATCH(DATE(W$5,$J150,$I150),daily_dates,0),MATCH($B$3,daily_items,0))),NA(),INDEX(big_daily_table,MATCH(DATE(W$5,$J150,$I150),daily_dates,0),MATCH($B$3,daily_items,0)))</f>
        <v>#N/A</v>
      </c>
      <c r="X150" s="1" t="str">
        <f t="array" ref="X150">IF(ISBLANK(INDEX(big_daily_table,MATCH(DATE(X$5,$J150,$I150),daily_dates,0),MATCH($B$3,daily_items,0))),NA(),INDEX(big_daily_table,MATCH(DATE(X$5,$J150,$I150),daily_dates,0),MATCH($B$3,daily_items,0)))</f>
        <v>#N/A</v>
      </c>
      <c r="Y150" s="1" t="str">
        <f t="array" ref="Y150">IF(ISBLANK(INDEX(big_daily_table,MATCH(DATE(Y$5,$J150,$I150),daily_dates,0),MATCH($B$3,daily_items,0))),NA(),INDEX(big_daily_table,MATCH(DATE(Y$5,$J150,$I150),daily_dates,0),MATCH($B$3,daily_items,0)))</f>
        <v>#N/A</v>
      </c>
      <c r="Z150" s="1" t="str">
        <f t="shared" si="5"/>
        <v>#NAME?</v>
      </c>
      <c r="AA150" s="1" t="str">
        <f t="shared" si="6"/>
        <v>#NAME?</v>
      </c>
      <c r="AB150" s="1" t="str">
        <f t="shared" si="7"/>
        <v>#NAME?</v>
      </c>
      <c r="AC150" s="1" t="str">
        <f t="shared" si="8"/>
        <v>#NAME?</v>
      </c>
    </row>
    <row r="151" ht="14.25" customHeight="1">
      <c r="H151" s="1">
        <f t="shared" si="9"/>
        <v>146</v>
      </c>
      <c r="I151" s="1">
        <f t="shared" si="2"/>
        <v>25</v>
      </c>
      <c r="J151" s="1">
        <f t="shared" si="3"/>
        <v>5</v>
      </c>
      <c r="K151" s="23">
        <f t="shared" si="10"/>
        <v>36671</v>
      </c>
      <c r="L151" s="24">
        <f t="shared" si="4"/>
        <v>-1000000</v>
      </c>
      <c r="M151" s="1" t="str">
        <f t="array" ref="M151">IF(K151&gt;0,INDEX(big_daily_table,MATCH(DATE(N$5,$J151,$I151),daily_dates,0),MATCH($B$3,daily_items,0)),NA())</f>
        <v>#N/A</v>
      </c>
      <c r="N151" s="1" t="str">
        <f t="array" ref="N151">IF(L151&lt;0,INDEX(big_daily_table,MATCH(DATE(N$5,$J151,$I151),daily_dates,0),MATCH($B$3,daily_items,0)),NA())</f>
        <v>#N/A</v>
      </c>
      <c r="O151" s="1" t="str">
        <f t="array" ref="O151">IF(ISBLANK(INDEX(big_daily_table,MATCH(DATE(O$5,$J151,$I151),daily_dates,0),MATCH($B$3,daily_items,0))),NA(),INDEX(big_daily_table,MATCH(DATE(O$5,$J151,$I151),daily_dates,0),MATCH($B$3,daily_items,0)))</f>
        <v>#N/A</v>
      </c>
      <c r="P151" s="1" t="str">
        <f t="array" ref="P151">IF(ISBLANK(INDEX(big_daily_table,MATCH(DATE(P$5,$J151,$I151),daily_dates,0),MATCH($B$3,daily_items,0))),NA(),INDEX(big_daily_table,MATCH(DATE(P$5,$J151,$I151),daily_dates,0),MATCH($B$3,daily_items,0)))</f>
        <v>#N/A</v>
      </c>
      <c r="Q151" s="1" t="str">
        <f t="array" ref="Q151">IF(ISBLANK(INDEX(big_daily_table,MATCH(DATE(Q$5,$J151,$I151),daily_dates,0),MATCH($B$3,daily_items,0))),NA(),INDEX(big_daily_table,MATCH(DATE(Q$5,$J151,$I151),daily_dates,0),MATCH($B$3,daily_items,0)))</f>
        <v>#N/A</v>
      </c>
      <c r="R151" s="1" t="str">
        <f t="array" ref="R151">IF(ISBLANK(INDEX(big_daily_table,MATCH(DATE(R$5,$J151,$I151),daily_dates,0),MATCH($B$3,daily_items,0))),NA(),INDEX(big_daily_table,MATCH(DATE(R$5,$J151,$I151),daily_dates,0),MATCH($B$3,daily_items,0)))</f>
        <v>#N/A</v>
      </c>
      <c r="S151" s="1" t="str">
        <f t="array" ref="S151">IF(ISBLANK(INDEX(big_daily_table,MATCH(DATE(S$5,$J151,$I151),daily_dates,0),MATCH($B$3,daily_items,0))),NA(),INDEX(big_daily_table,MATCH(DATE(S$5,$J151,$I151),daily_dates,0),MATCH($B$3,daily_items,0)))</f>
        <v>#N/A</v>
      </c>
      <c r="T151" s="1" t="str">
        <f t="array" ref="T151">IF(ISBLANK(INDEX(big_daily_table,MATCH(DATE(T$5,$J151,$I151),daily_dates,0),MATCH($B$3,daily_items,0))),NA(),INDEX(big_daily_table,MATCH(DATE(T$5,$J151,$I151),daily_dates,0),MATCH($B$3,daily_items,0)))</f>
        <v>#N/A</v>
      </c>
      <c r="U151" s="1" t="str">
        <f t="array" ref="U151">IF(ISBLANK(INDEX(big_daily_table,MATCH(DATE(U$5,$J151,$I151),daily_dates,0),MATCH($B$3,daily_items,0))),NA(),INDEX(big_daily_table,MATCH(DATE(U$5,$J151,$I151),daily_dates,0),MATCH($B$3,daily_items,0)))</f>
        <v>#N/A</v>
      </c>
      <c r="V151" s="1" t="str">
        <f t="array" ref="V151">IF(ISBLANK(INDEX(big_daily_table,MATCH(DATE(V$5,$J151,$I151),daily_dates,0),MATCH($B$3,daily_items,0))),NA(),INDEX(big_daily_table,MATCH(DATE(V$5,$J151,$I151),daily_dates,0),MATCH($B$3,daily_items,0)))</f>
        <v>#N/A</v>
      </c>
      <c r="W151" s="1" t="str">
        <f t="array" ref="W151">IF(ISBLANK(INDEX(big_daily_table,MATCH(DATE(W$5,$J151,$I151),daily_dates,0),MATCH($B$3,daily_items,0))),NA(),INDEX(big_daily_table,MATCH(DATE(W$5,$J151,$I151),daily_dates,0),MATCH($B$3,daily_items,0)))</f>
        <v>#N/A</v>
      </c>
      <c r="X151" s="1" t="str">
        <f t="array" ref="X151">IF(ISBLANK(INDEX(big_daily_table,MATCH(DATE(X$5,$J151,$I151),daily_dates,0),MATCH($B$3,daily_items,0))),NA(),INDEX(big_daily_table,MATCH(DATE(X$5,$J151,$I151),daily_dates,0),MATCH($B$3,daily_items,0)))</f>
        <v>#N/A</v>
      </c>
      <c r="Y151" s="1" t="str">
        <f t="array" ref="Y151">IF(ISBLANK(INDEX(big_daily_table,MATCH(DATE(Y$5,$J151,$I151),daily_dates,0),MATCH($B$3,daily_items,0))),NA(),INDEX(big_daily_table,MATCH(DATE(Y$5,$J151,$I151),daily_dates,0),MATCH($B$3,daily_items,0)))</f>
        <v>#N/A</v>
      </c>
      <c r="Z151" s="1" t="str">
        <f t="shared" si="5"/>
        <v>#NAME?</v>
      </c>
      <c r="AA151" s="1" t="str">
        <f t="shared" si="6"/>
        <v>#NAME?</v>
      </c>
      <c r="AB151" s="1" t="str">
        <f t="shared" si="7"/>
        <v>#NAME?</v>
      </c>
      <c r="AC151" s="1" t="str">
        <f t="shared" si="8"/>
        <v>#NAME?</v>
      </c>
    </row>
    <row r="152" ht="14.25" customHeight="1">
      <c r="H152" s="1">
        <f t="shared" si="9"/>
        <v>147</v>
      </c>
      <c r="I152" s="1">
        <f t="shared" si="2"/>
        <v>26</v>
      </c>
      <c r="J152" s="1">
        <f t="shared" si="3"/>
        <v>5</v>
      </c>
      <c r="K152" s="23">
        <f t="shared" si="10"/>
        <v>36672</v>
      </c>
      <c r="L152" s="24">
        <f t="shared" si="4"/>
        <v>-1000000</v>
      </c>
      <c r="M152" s="1" t="str">
        <f t="array" ref="M152">IF(K152&gt;0,INDEX(big_daily_table,MATCH(DATE(N$5,$J152,$I152),daily_dates,0),MATCH($B$3,daily_items,0)),NA())</f>
        <v>#N/A</v>
      </c>
      <c r="N152" s="1" t="str">
        <f t="array" ref="N152">IF(L152&lt;0,INDEX(big_daily_table,MATCH(DATE(N$5,$J152,$I152),daily_dates,0),MATCH($B$3,daily_items,0)),NA())</f>
        <v>#N/A</v>
      </c>
      <c r="O152" s="1" t="str">
        <f t="array" ref="O152">IF(ISBLANK(INDEX(big_daily_table,MATCH(DATE(O$5,$J152,$I152),daily_dates,0),MATCH($B$3,daily_items,0))),NA(),INDEX(big_daily_table,MATCH(DATE(O$5,$J152,$I152),daily_dates,0),MATCH($B$3,daily_items,0)))</f>
        <v>#N/A</v>
      </c>
      <c r="P152" s="1" t="str">
        <f t="array" ref="P152">IF(ISBLANK(INDEX(big_daily_table,MATCH(DATE(P$5,$J152,$I152),daily_dates,0),MATCH($B$3,daily_items,0))),NA(),INDEX(big_daily_table,MATCH(DATE(P$5,$J152,$I152),daily_dates,0),MATCH($B$3,daily_items,0)))</f>
        <v>#N/A</v>
      </c>
      <c r="Q152" s="1" t="str">
        <f t="array" ref="Q152">IF(ISBLANK(INDEX(big_daily_table,MATCH(DATE(Q$5,$J152,$I152),daily_dates,0),MATCH($B$3,daily_items,0))),NA(),INDEX(big_daily_table,MATCH(DATE(Q$5,$J152,$I152),daily_dates,0),MATCH($B$3,daily_items,0)))</f>
        <v>#N/A</v>
      </c>
      <c r="R152" s="1" t="str">
        <f t="array" ref="R152">IF(ISBLANK(INDEX(big_daily_table,MATCH(DATE(R$5,$J152,$I152),daily_dates,0),MATCH($B$3,daily_items,0))),NA(),INDEX(big_daily_table,MATCH(DATE(R$5,$J152,$I152),daily_dates,0),MATCH($B$3,daily_items,0)))</f>
        <v>#N/A</v>
      </c>
      <c r="S152" s="1" t="str">
        <f t="array" ref="S152">IF(ISBLANK(INDEX(big_daily_table,MATCH(DATE(S$5,$J152,$I152),daily_dates,0),MATCH($B$3,daily_items,0))),NA(),INDEX(big_daily_table,MATCH(DATE(S$5,$J152,$I152),daily_dates,0),MATCH($B$3,daily_items,0)))</f>
        <v>#N/A</v>
      </c>
      <c r="T152" s="1" t="str">
        <f t="array" ref="T152">IF(ISBLANK(INDEX(big_daily_table,MATCH(DATE(T$5,$J152,$I152),daily_dates,0),MATCH($B$3,daily_items,0))),NA(),INDEX(big_daily_table,MATCH(DATE(T$5,$J152,$I152),daily_dates,0),MATCH($B$3,daily_items,0)))</f>
        <v>#N/A</v>
      </c>
      <c r="U152" s="1" t="str">
        <f t="array" ref="U152">IF(ISBLANK(INDEX(big_daily_table,MATCH(DATE(U$5,$J152,$I152),daily_dates,0),MATCH($B$3,daily_items,0))),NA(),INDEX(big_daily_table,MATCH(DATE(U$5,$J152,$I152),daily_dates,0),MATCH($B$3,daily_items,0)))</f>
        <v>#N/A</v>
      </c>
      <c r="V152" s="1" t="str">
        <f t="array" ref="V152">IF(ISBLANK(INDEX(big_daily_table,MATCH(DATE(V$5,$J152,$I152),daily_dates,0),MATCH($B$3,daily_items,0))),NA(),INDEX(big_daily_table,MATCH(DATE(V$5,$J152,$I152),daily_dates,0),MATCH($B$3,daily_items,0)))</f>
        <v>#N/A</v>
      </c>
      <c r="W152" s="1" t="str">
        <f t="array" ref="W152">IF(ISBLANK(INDEX(big_daily_table,MATCH(DATE(W$5,$J152,$I152),daily_dates,0),MATCH($B$3,daily_items,0))),NA(),INDEX(big_daily_table,MATCH(DATE(W$5,$J152,$I152),daily_dates,0),MATCH($B$3,daily_items,0)))</f>
        <v>#N/A</v>
      </c>
      <c r="X152" s="1" t="str">
        <f t="array" ref="X152">IF(ISBLANK(INDEX(big_daily_table,MATCH(DATE(X$5,$J152,$I152),daily_dates,0),MATCH($B$3,daily_items,0))),NA(),INDEX(big_daily_table,MATCH(DATE(X$5,$J152,$I152),daily_dates,0),MATCH($B$3,daily_items,0)))</f>
        <v>#N/A</v>
      </c>
      <c r="Y152" s="1" t="str">
        <f t="array" ref="Y152">IF(ISBLANK(INDEX(big_daily_table,MATCH(DATE(Y$5,$J152,$I152),daily_dates,0),MATCH($B$3,daily_items,0))),NA(),INDEX(big_daily_table,MATCH(DATE(Y$5,$J152,$I152),daily_dates,0),MATCH($B$3,daily_items,0)))</f>
        <v>#N/A</v>
      </c>
      <c r="Z152" s="1" t="str">
        <f t="shared" si="5"/>
        <v>#NAME?</v>
      </c>
      <c r="AA152" s="1" t="str">
        <f t="shared" si="6"/>
        <v>#NAME?</v>
      </c>
      <c r="AB152" s="1" t="str">
        <f t="shared" si="7"/>
        <v>#NAME?</v>
      </c>
      <c r="AC152" s="1" t="str">
        <f t="shared" si="8"/>
        <v>#NAME?</v>
      </c>
    </row>
    <row r="153" ht="14.25" customHeight="1">
      <c r="H153" s="1">
        <f t="shared" si="9"/>
        <v>148</v>
      </c>
      <c r="I153" s="1">
        <f t="shared" si="2"/>
        <v>27</v>
      </c>
      <c r="J153" s="1">
        <f t="shared" si="3"/>
        <v>5</v>
      </c>
      <c r="K153" s="23">
        <f t="shared" si="10"/>
        <v>36673</v>
      </c>
      <c r="L153" s="24">
        <f t="shared" si="4"/>
        <v>-1000000</v>
      </c>
      <c r="M153" s="1" t="str">
        <f t="array" ref="M153">IF(K153&gt;0,INDEX(big_daily_table,MATCH(DATE(N$5,$J153,$I153),daily_dates,0),MATCH($B$3,daily_items,0)),NA())</f>
        <v>#N/A</v>
      </c>
      <c r="N153" s="1" t="str">
        <f t="array" ref="N153">IF(L153&lt;0,INDEX(big_daily_table,MATCH(DATE(N$5,$J153,$I153),daily_dates,0),MATCH($B$3,daily_items,0)),NA())</f>
        <v>#N/A</v>
      </c>
      <c r="O153" s="1" t="str">
        <f t="array" ref="O153">IF(ISBLANK(INDEX(big_daily_table,MATCH(DATE(O$5,$J153,$I153),daily_dates,0),MATCH($B$3,daily_items,0))),NA(),INDEX(big_daily_table,MATCH(DATE(O$5,$J153,$I153),daily_dates,0),MATCH($B$3,daily_items,0)))</f>
        <v>#N/A</v>
      </c>
      <c r="P153" s="1" t="str">
        <f t="array" ref="P153">IF(ISBLANK(INDEX(big_daily_table,MATCH(DATE(P$5,$J153,$I153),daily_dates,0),MATCH($B$3,daily_items,0))),NA(),INDEX(big_daily_table,MATCH(DATE(P$5,$J153,$I153),daily_dates,0),MATCH($B$3,daily_items,0)))</f>
        <v>#N/A</v>
      </c>
      <c r="Q153" s="1" t="str">
        <f t="array" ref="Q153">IF(ISBLANK(INDEX(big_daily_table,MATCH(DATE(Q$5,$J153,$I153),daily_dates,0),MATCH($B$3,daily_items,0))),NA(),INDEX(big_daily_table,MATCH(DATE(Q$5,$J153,$I153),daily_dates,0),MATCH($B$3,daily_items,0)))</f>
        <v>#N/A</v>
      </c>
      <c r="R153" s="1" t="str">
        <f t="array" ref="R153">IF(ISBLANK(INDEX(big_daily_table,MATCH(DATE(R$5,$J153,$I153),daily_dates,0),MATCH($B$3,daily_items,0))),NA(),INDEX(big_daily_table,MATCH(DATE(R$5,$J153,$I153),daily_dates,0),MATCH($B$3,daily_items,0)))</f>
        <v>#N/A</v>
      </c>
      <c r="S153" s="1" t="str">
        <f t="array" ref="S153">IF(ISBLANK(INDEX(big_daily_table,MATCH(DATE(S$5,$J153,$I153),daily_dates,0),MATCH($B$3,daily_items,0))),NA(),INDEX(big_daily_table,MATCH(DATE(S$5,$J153,$I153),daily_dates,0),MATCH($B$3,daily_items,0)))</f>
        <v>#N/A</v>
      </c>
      <c r="T153" s="1" t="str">
        <f t="array" ref="T153">IF(ISBLANK(INDEX(big_daily_table,MATCH(DATE(T$5,$J153,$I153),daily_dates,0),MATCH($B$3,daily_items,0))),NA(),INDEX(big_daily_table,MATCH(DATE(T$5,$J153,$I153),daily_dates,0),MATCH($B$3,daily_items,0)))</f>
        <v>#N/A</v>
      </c>
      <c r="U153" s="1" t="str">
        <f t="array" ref="U153">IF(ISBLANK(INDEX(big_daily_table,MATCH(DATE(U$5,$J153,$I153),daily_dates,0),MATCH($B$3,daily_items,0))),NA(),INDEX(big_daily_table,MATCH(DATE(U$5,$J153,$I153),daily_dates,0),MATCH($B$3,daily_items,0)))</f>
        <v>#N/A</v>
      </c>
      <c r="V153" s="1" t="str">
        <f t="array" ref="V153">IF(ISBLANK(INDEX(big_daily_table,MATCH(DATE(V$5,$J153,$I153),daily_dates,0),MATCH($B$3,daily_items,0))),NA(),INDEX(big_daily_table,MATCH(DATE(V$5,$J153,$I153),daily_dates,0),MATCH($B$3,daily_items,0)))</f>
        <v>#N/A</v>
      </c>
      <c r="W153" s="1" t="str">
        <f t="array" ref="W153">IF(ISBLANK(INDEX(big_daily_table,MATCH(DATE(W$5,$J153,$I153),daily_dates,0),MATCH($B$3,daily_items,0))),NA(),INDEX(big_daily_table,MATCH(DATE(W$5,$J153,$I153),daily_dates,0),MATCH($B$3,daily_items,0)))</f>
        <v>#N/A</v>
      </c>
      <c r="X153" s="1" t="str">
        <f t="array" ref="X153">IF(ISBLANK(INDEX(big_daily_table,MATCH(DATE(X$5,$J153,$I153),daily_dates,0),MATCH($B$3,daily_items,0))),NA(),INDEX(big_daily_table,MATCH(DATE(X$5,$J153,$I153),daily_dates,0),MATCH($B$3,daily_items,0)))</f>
        <v>#N/A</v>
      </c>
      <c r="Y153" s="1" t="str">
        <f t="array" ref="Y153">IF(ISBLANK(INDEX(big_daily_table,MATCH(DATE(Y$5,$J153,$I153),daily_dates,0),MATCH($B$3,daily_items,0))),NA(),INDEX(big_daily_table,MATCH(DATE(Y$5,$J153,$I153),daily_dates,0),MATCH($B$3,daily_items,0)))</f>
        <v>#N/A</v>
      </c>
      <c r="Z153" s="1" t="str">
        <f t="shared" si="5"/>
        <v>#NAME?</v>
      </c>
      <c r="AA153" s="1" t="str">
        <f t="shared" si="6"/>
        <v>#NAME?</v>
      </c>
      <c r="AB153" s="1" t="str">
        <f t="shared" si="7"/>
        <v>#NAME?</v>
      </c>
      <c r="AC153" s="1" t="str">
        <f t="shared" si="8"/>
        <v>#NAME?</v>
      </c>
    </row>
    <row r="154" ht="14.25" customHeight="1">
      <c r="H154" s="1">
        <f t="shared" si="9"/>
        <v>149</v>
      </c>
      <c r="I154" s="1">
        <f t="shared" si="2"/>
        <v>28</v>
      </c>
      <c r="J154" s="1">
        <f t="shared" si="3"/>
        <v>5</v>
      </c>
      <c r="K154" s="23">
        <f t="shared" si="10"/>
        <v>36674</v>
      </c>
      <c r="L154" s="24">
        <f t="shared" si="4"/>
        <v>-1000000</v>
      </c>
      <c r="M154" s="1" t="str">
        <f t="array" ref="M154">IF(K154&gt;0,INDEX(big_daily_table,MATCH(DATE(N$5,$J154,$I154),daily_dates,0),MATCH($B$3,daily_items,0)),NA())</f>
        <v>#N/A</v>
      </c>
      <c r="N154" s="1" t="str">
        <f t="array" ref="N154">IF(L154&lt;0,INDEX(big_daily_table,MATCH(DATE(N$5,$J154,$I154),daily_dates,0),MATCH($B$3,daily_items,0)),NA())</f>
        <v>#N/A</v>
      </c>
      <c r="O154" s="1" t="str">
        <f t="array" ref="O154">IF(ISBLANK(INDEX(big_daily_table,MATCH(DATE(O$5,$J154,$I154),daily_dates,0),MATCH($B$3,daily_items,0))),NA(),INDEX(big_daily_table,MATCH(DATE(O$5,$J154,$I154),daily_dates,0),MATCH($B$3,daily_items,0)))</f>
        <v>#N/A</v>
      </c>
      <c r="P154" s="1" t="str">
        <f t="array" ref="P154">IF(ISBLANK(INDEX(big_daily_table,MATCH(DATE(P$5,$J154,$I154),daily_dates,0),MATCH($B$3,daily_items,0))),NA(),INDEX(big_daily_table,MATCH(DATE(P$5,$J154,$I154),daily_dates,0),MATCH($B$3,daily_items,0)))</f>
        <v>#N/A</v>
      </c>
      <c r="Q154" s="1" t="str">
        <f t="array" ref="Q154">IF(ISBLANK(INDEX(big_daily_table,MATCH(DATE(Q$5,$J154,$I154),daily_dates,0),MATCH($B$3,daily_items,0))),NA(),INDEX(big_daily_table,MATCH(DATE(Q$5,$J154,$I154),daily_dates,0),MATCH($B$3,daily_items,0)))</f>
        <v>#N/A</v>
      </c>
      <c r="R154" s="1" t="str">
        <f t="array" ref="R154">IF(ISBLANK(INDEX(big_daily_table,MATCH(DATE(R$5,$J154,$I154),daily_dates,0),MATCH($B$3,daily_items,0))),NA(),INDEX(big_daily_table,MATCH(DATE(R$5,$J154,$I154),daily_dates,0),MATCH($B$3,daily_items,0)))</f>
        <v>#N/A</v>
      </c>
      <c r="S154" s="1" t="str">
        <f t="array" ref="S154">IF(ISBLANK(INDEX(big_daily_table,MATCH(DATE(S$5,$J154,$I154),daily_dates,0),MATCH($B$3,daily_items,0))),NA(),INDEX(big_daily_table,MATCH(DATE(S$5,$J154,$I154),daily_dates,0),MATCH($B$3,daily_items,0)))</f>
        <v>#N/A</v>
      </c>
      <c r="T154" s="1" t="str">
        <f t="array" ref="T154">IF(ISBLANK(INDEX(big_daily_table,MATCH(DATE(T$5,$J154,$I154),daily_dates,0),MATCH($B$3,daily_items,0))),NA(),INDEX(big_daily_table,MATCH(DATE(T$5,$J154,$I154),daily_dates,0),MATCH($B$3,daily_items,0)))</f>
        <v>#N/A</v>
      </c>
      <c r="U154" s="1" t="str">
        <f t="array" ref="U154">IF(ISBLANK(INDEX(big_daily_table,MATCH(DATE(U$5,$J154,$I154),daily_dates,0),MATCH($B$3,daily_items,0))),NA(),INDEX(big_daily_table,MATCH(DATE(U$5,$J154,$I154),daily_dates,0),MATCH($B$3,daily_items,0)))</f>
        <v>#N/A</v>
      </c>
      <c r="V154" s="1" t="str">
        <f t="array" ref="V154">IF(ISBLANK(INDEX(big_daily_table,MATCH(DATE(V$5,$J154,$I154),daily_dates,0),MATCH($B$3,daily_items,0))),NA(),INDEX(big_daily_table,MATCH(DATE(V$5,$J154,$I154),daily_dates,0),MATCH($B$3,daily_items,0)))</f>
        <v>#N/A</v>
      </c>
      <c r="W154" s="1" t="str">
        <f t="array" ref="W154">IF(ISBLANK(INDEX(big_daily_table,MATCH(DATE(W$5,$J154,$I154),daily_dates,0),MATCH($B$3,daily_items,0))),NA(),INDEX(big_daily_table,MATCH(DATE(W$5,$J154,$I154),daily_dates,0),MATCH($B$3,daily_items,0)))</f>
        <v>#N/A</v>
      </c>
      <c r="X154" s="1" t="str">
        <f t="array" ref="X154">IF(ISBLANK(INDEX(big_daily_table,MATCH(DATE(X$5,$J154,$I154),daily_dates,0),MATCH($B$3,daily_items,0))),NA(),INDEX(big_daily_table,MATCH(DATE(X$5,$J154,$I154),daily_dates,0),MATCH($B$3,daily_items,0)))</f>
        <v>#N/A</v>
      </c>
      <c r="Y154" s="1" t="str">
        <f t="array" ref="Y154">IF(ISBLANK(INDEX(big_daily_table,MATCH(DATE(Y$5,$J154,$I154),daily_dates,0),MATCH($B$3,daily_items,0))),NA(),INDEX(big_daily_table,MATCH(DATE(Y$5,$J154,$I154),daily_dates,0),MATCH($B$3,daily_items,0)))</f>
        <v>#N/A</v>
      </c>
      <c r="Z154" s="1" t="str">
        <f t="shared" si="5"/>
        <v>#NAME?</v>
      </c>
      <c r="AA154" s="1" t="str">
        <f t="shared" si="6"/>
        <v>#NAME?</v>
      </c>
      <c r="AB154" s="1" t="str">
        <f t="shared" si="7"/>
        <v>#NAME?</v>
      </c>
      <c r="AC154" s="1" t="str">
        <f t="shared" si="8"/>
        <v>#NAME?</v>
      </c>
    </row>
    <row r="155" ht="14.25" customHeight="1">
      <c r="H155" s="1">
        <f t="shared" si="9"/>
        <v>150</v>
      </c>
      <c r="I155" s="1">
        <f t="shared" si="2"/>
        <v>29</v>
      </c>
      <c r="J155" s="1">
        <f t="shared" si="3"/>
        <v>5</v>
      </c>
      <c r="K155" s="23">
        <f t="shared" si="10"/>
        <v>36675</v>
      </c>
      <c r="L155" s="24">
        <f t="shared" si="4"/>
        <v>-1000000</v>
      </c>
      <c r="M155" s="1" t="str">
        <f t="array" ref="M155">IF(K155&gt;0,INDEX(big_daily_table,MATCH(DATE(N$5,$J155,$I155),daily_dates,0),MATCH($B$3,daily_items,0)),NA())</f>
        <v>#N/A</v>
      </c>
      <c r="N155" s="1" t="str">
        <f t="array" ref="N155">IF(L155&lt;0,INDEX(big_daily_table,MATCH(DATE(N$5,$J155,$I155),daily_dates,0),MATCH($B$3,daily_items,0)),NA())</f>
        <v>#N/A</v>
      </c>
      <c r="O155" s="1" t="str">
        <f t="array" ref="O155">IF(ISBLANK(INDEX(big_daily_table,MATCH(DATE(O$5,$J155,$I155),daily_dates,0),MATCH($B$3,daily_items,0))),NA(),INDEX(big_daily_table,MATCH(DATE(O$5,$J155,$I155),daily_dates,0),MATCH($B$3,daily_items,0)))</f>
        <v>#N/A</v>
      </c>
      <c r="P155" s="1" t="str">
        <f t="array" ref="P155">IF(ISBLANK(INDEX(big_daily_table,MATCH(DATE(P$5,$J155,$I155),daily_dates,0),MATCH($B$3,daily_items,0))),NA(),INDEX(big_daily_table,MATCH(DATE(P$5,$J155,$I155),daily_dates,0),MATCH($B$3,daily_items,0)))</f>
        <v>#N/A</v>
      </c>
      <c r="Q155" s="1" t="str">
        <f t="array" ref="Q155">IF(ISBLANK(INDEX(big_daily_table,MATCH(DATE(Q$5,$J155,$I155),daily_dates,0),MATCH($B$3,daily_items,0))),NA(),INDEX(big_daily_table,MATCH(DATE(Q$5,$J155,$I155),daily_dates,0),MATCH($B$3,daily_items,0)))</f>
        <v>#N/A</v>
      </c>
      <c r="R155" s="1" t="str">
        <f t="array" ref="R155">IF(ISBLANK(INDEX(big_daily_table,MATCH(DATE(R$5,$J155,$I155),daily_dates,0),MATCH($B$3,daily_items,0))),NA(),INDEX(big_daily_table,MATCH(DATE(R$5,$J155,$I155),daily_dates,0),MATCH($B$3,daily_items,0)))</f>
        <v>#N/A</v>
      </c>
      <c r="S155" s="1" t="str">
        <f t="array" ref="S155">IF(ISBLANK(INDEX(big_daily_table,MATCH(DATE(S$5,$J155,$I155),daily_dates,0),MATCH($B$3,daily_items,0))),NA(),INDEX(big_daily_table,MATCH(DATE(S$5,$J155,$I155),daily_dates,0),MATCH($B$3,daily_items,0)))</f>
        <v>#N/A</v>
      </c>
      <c r="T155" s="1" t="str">
        <f t="array" ref="T155">IF(ISBLANK(INDEX(big_daily_table,MATCH(DATE(T$5,$J155,$I155),daily_dates,0),MATCH($B$3,daily_items,0))),NA(),INDEX(big_daily_table,MATCH(DATE(T$5,$J155,$I155),daily_dates,0),MATCH($B$3,daily_items,0)))</f>
        <v>#N/A</v>
      </c>
      <c r="U155" s="1" t="str">
        <f t="array" ref="U155">IF(ISBLANK(INDEX(big_daily_table,MATCH(DATE(U$5,$J155,$I155),daily_dates,0),MATCH($B$3,daily_items,0))),NA(),INDEX(big_daily_table,MATCH(DATE(U$5,$J155,$I155),daily_dates,0),MATCH($B$3,daily_items,0)))</f>
        <v>#N/A</v>
      </c>
      <c r="V155" s="1" t="str">
        <f t="array" ref="V155">IF(ISBLANK(INDEX(big_daily_table,MATCH(DATE(V$5,$J155,$I155),daily_dates,0),MATCH($B$3,daily_items,0))),NA(),INDEX(big_daily_table,MATCH(DATE(V$5,$J155,$I155),daily_dates,0),MATCH($B$3,daily_items,0)))</f>
        <v>#N/A</v>
      </c>
      <c r="W155" s="1" t="str">
        <f t="array" ref="W155">IF(ISBLANK(INDEX(big_daily_table,MATCH(DATE(W$5,$J155,$I155),daily_dates,0),MATCH($B$3,daily_items,0))),NA(),INDEX(big_daily_table,MATCH(DATE(W$5,$J155,$I155),daily_dates,0),MATCH($B$3,daily_items,0)))</f>
        <v>#N/A</v>
      </c>
      <c r="X155" s="1" t="str">
        <f t="array" ref="X155">IF(ISBLANK(INDEX(big_daily_table,MATCH(DATE(X$5,$J155,$I155),daily_dates,0),MATCH($B$3,daily_items,0))),NA(),INDEX(big_daily_table,MATCH(DATE(X$5,$J155,$I155),daily_dates,0),MATCH($B$3,daily_items,0)))</f>
        <v>#N/A</v>
      </c>
      <c r="Y155" s="1" t="str">
        <f t="array" ref="Y155">IF(ISBLANK(INDEX(big_daily_table,MATCH(DATE(Y$5,$J155,$I155),daily_dates,0),MATCH($B$3,daily_items,0))),NA(),INDEX(big_daily_table,MATCH(DATE(Y$5,$J155,$I155),daily_dates,0),MATCH($B$3,daily_items,0)))</f>
        <v>#N/A</v>
      </c>
      <c r="Z155" s="1" t="str">
        <f t="shared" si="5"/>
        <v>#NAME?</v>
      </c>
      <c r="AA155" s="1" t="str">
        <f t="shared" si="6"/>
        <v>#NAME?</v>
      </c>
      <c r="AB155" s="1" t="str">
        <f t="shared" si="7"/>
        <v>#NAME?</v>
      </c>
      <c r="AC155" s="1" t="str">
        <f t="shared" si="8"/>
        <v>#NAME?</v>
      </c>
    </row>
    <row r="156" ht="14.25" customHeight="1">
      <c r="H156" s="1">
        <f t="shared" si="9"/>
        <v>151</v>
      </c>
      <c r="I156" s="1">
        <f t="shared" si="2"/>
        <v>30</v>
      </c>
      <c r="J156" s="1">
        <f t="shared" si="3"/>
        <v>5</v>
      </c>
      <c r="K156" s="23">
        <f t="shared" si="10"/>
        <v>36676</v>
      </c>
      <c r="L156" s="24">
        <f t="shared" si="4"/>
        <v>-1000000</v>
      </c>
      <c r="M156" s="1" t="str">
        <f t="array" ref="M156">IF(K156&gt;0,INDEX(big_daily_table,MATCH(DATE(N$5,$J156,$I156),daily_dates,0),MATCH($B$3,daily_items,0)),NA())</f>
        <v>#N/A</v>
      </c>
      <c r="N156" s="1" t="str">
        <f t="array" ref="N156">IF(L156&lt;0,INDEX(big_daily_table,MATCH(DATE(N$5,$J156,$I156),daily_dates,0),MATCH($B$3,daily_items,0)),NA())</f>
        <v>#N/A</v>
      </c>
      <c r="O156" s="1" t="str">
        <f t="array" ref="O156">IF(ISBLANK(INDEX(big_daily_table,MATCH(DATE(O$5,$J156,$I156),daily_dates,0),MATCH($B$3,daily_items,0))),NA(),INDEX(big_daily_table,MATCH(DATE(O$5,$J156,$I156),daily_dates,0),MATCH($B$3,daily_items,0)))</f>
        <v>#N/A</v>
      </c>
      <c r="P156" s="1" t="str">
        <f t="array" ref="P156">IF(ISBLANK(INDEX(big_daily_table,MATCH(DATE(P$5,$J156,$I156),daily_dates,0),MATCH($B$3,daily_items,0))),NA(),INDEX(big_daily_table,MATCH(DATE(P$5,$J156,$I156),daily_dates,0),MATCH($B$3,daily_items,0)))</f>
        <v>#N/A</v>
      </c>
      <c r="Q156" s="1" t="str">
        <f t="array" ref="Q156">IF(ISBLANK(INDEX(big_daily_table,MATCH(DATE(Q$5,$J156,$I156),daily_dates,0),MATCH($B$3,daily_items,0))),NA(),INDEX(big_daily_table,MATCH(DATE(Q$5,$J156,$I156),daily_dates,0),MATCH($B$3,daily_items,0)))</f>
        <v>#N/A</v>
      </c>
      <c r="R156" s="1" t="str">
        <f t="array" ref="R156">IF(ISBLANK(INDEX(big_daily_table,MATCH(DATE(R$5,$J156,$I156),daily_dates,0),MATCH($B$3,daily_items,0))),NA(),INDEX(big_daily_table,MATCH(DATE(R$5,$J156,$I156),daily_dates,0),MATCH($B$3,daily_items,0)))</f>
        <v>#N/A</v>
      </c>
      <c r="S156" s="1" t="str">
        <f t="array" ref="S156">IF(ISBLANK(INDEX(big_daily_table,MATCH(DATE(S$5,$J156,$I156),daily_dates,0),MATCH($B$3,daily_items,0))),NA(),INDEX(big_daily_table,MATCH(DATE(S$5,$J156,$I156),daily_dates,0),MATCH($B$3,daily_items,0)))</f>
        <v>#N/A</v>
      </c>
      <c r="T156" s="1" t="str">
        <f t="array" ref="T156">IF(ISBLANK(INDEX(big_daily_table,MATCH(DATE(T$5,$J156,$I156),daily_dates,0),MATCH($B$3,daily_items,0))),NA(),INDEX(big_daily_table,MATCH(DATE(T$5,$J156,$I156),daily_dates,0),MATCH($B$3,daily_items,0)))</f>
        <v>#N/A</v>
      </c>
      <c r="U156" s="1" t="str">
        <f t="array" ref="U156">IF(ISBLANK(INDEX(big_daily_table,MATCH(DATE(U$5,$J156,$I156),daily_dates,0),MATCH($B$3,daily_items,0))),NA(),INDEX(big_daily_table,MATCH(DATE(U$5,$J156,$I156),daily_dates,0),MATCH($B$3,daily_items,0)))</f>
        <v>#N/A</v>
      </c>
      <c r="V156" s="1" t="str">
        <f t="array" ref="V156">IF(ISBLANK(INDEX(big_daily_table,MATCH(DATE(V$5,$J156,$I156),daily_dates,0),MATCH($B$3,daily_items,0))),NA(),INDEX(big_daily_table,MATCH(DATE(V$5,$J156,$I156),daily_dates,0),MATCH($B$3,daily_items,0)))</f>
        <v>#N/A</v>
      </c>
      <c r="W156" s="1" t="str">
        <f t="array" ref="W156">IF(ISBLANK(INDEX(big_daily_table,MATCH(DATE(W$5,$J156,$I156),daily_dates,0),MATCH($B$3,daily_items,0))),NA(),INDEX(big_daily_table,MATCH(DATE(W$5,$J156,$I156),daily_dates,0),MATCH($B$3,daily_items,0)))</f>
        <v>#N/A</v>
      </c>
      <c r="X156" s="1" t="str">
        <f t="array" ref="X156">IF(ISBLANK(INDEX(big_daily_table,MATCH(DATE(X$5,$J156,$I156),daily_dates,0),MATCH($B$3,daily_items,0))),NA(),INDEX(big_daily_table,MATCH(DATE(X$5,$J156,$I156),daily_dates,0),MATCH($B$3,daily_items,0)))</f>
        <v>#N/A</v>
      </c>
      <c r="Y156" s="1" t="str">
        <f t="array" ref="Y156">IF(ISBLANK(INDEX(big_daily_table,MATCH(DATE(Y$5,$J156,$I156),daily_dates,0),MATCH($B$3,daily_items,0))),NA(),INDEX(big_daily_table,MATCH(DATE(Y$5,$J156,$I156),daily_dates,0),MATCH($B$3,daily_items,0)))</f>
        <v>#N/A</v>
      </c>
      <c r="Z156" s="1" t="str">
        <f t="shared" si="5"/>
        <v>#NAME?</v>
      </c>
      <c r="AA156" s="1" t="str">
        <f t="shared" si="6"/>
        <v>#NAME?</v>
      </c>
      <c r="AB156" s="1" t="str">
        <f t="shared" si="7"/>
        <v>#NAME?</v>
      </c>
      <c r="AC156" s="1" t="str">
        <f t="shared" si="8"/>
        <v>#NAME?</v>
      </c>
    </row>
    <row r="157" ht="14.25" customHeight="1">
      <c r="H157" s="1">
        <f t="shared" si="9"/>
        <v>152</v>
      </c>
      <c r="I157" s="1">
        <f t="shared" si="2"/>
        <v>31</v>
      </c>
      <c r="J157" s="1">
        <f t="shared" si="3"/>
        <v>5</v>
      </c>
      <c r="K157" s="23">
        <f t="shared" si="10"/>
        <v>36677</v>
      </c>
      <c r="L157" s="24">
        <f t="shared" si="4"/>
        <v>-1000000</v>
      </c>
      <c r="M157" s="1" t="str">
        <f t="array" ref="M157">IF(K157&gt;0,INDEX(big_daily_table,MATCH(DATE(N$5,$J157,$I157),daily_dates,0),MATCH($B$3,daily_items,0)),NA())</f>
        <v>#N/A</v>
      </c>
      <c r="N157" s="1" t="str">
        <f t="array" ref="N157">IF(L157&lt;0,INDEX(big_daily_table,MATCH(DATE(N$5,$J157,$I157),daily_dates,0),MATCH($B$3,daily_items,0)),NA())</f>
        <v>#N/A</v>
      </c>
      <c r="O157" s="1" t="str">
        <f t="array" ref="O157">IF(ISBLANK(INDEX(big_daily_table,MATCH(DATE(O$5,$J157,$I157),daily_dates,0),MATCH($B$3,daily_items,0))),NA(),INDEX(big_daily_table,MATCH(DATE(O$5,$J157,$I157),daily_dates,0),MATCH($B$3,daily_items,0)))</f>
        <v>#N/A</v>
      </c>
      <c r="P157" s="1" t="str">
        <f t="array" ref="P157">IF(ISBLANK(INDEX(big_daily_table,MATCH(DATE(P$5,$J157,$I157),daily_dates,0),MATCH($B$3,daily_items,0))),NA(),INDEX(big_daily_table,MATCH(DATE(P$5,$J157,$I157),daily_dates,0),MATCH($B$3,daily_items,0)))</f>
        <v>#N/A</v>
      </c>
      <c r="Q157" s="1" t="str">
        <f t="array" ref="Q157">IF(ISBLANK(INDEX(big_daily_table,MATCH(DATE(Q$5,$J157,$I157),daily_dates,0),MATCH($B$3,daily_items,0))),NA(),INDEX(big_daily_table,MATCH(DATE(Q$5,$J157,$I157),daily_dates,0),MATCH($B$3,daily_items,0)))</f>
        <v>#N/A</v>
      </c>
      <c r="R157" s="1" t="str">
        <f t="array" ref="R157">IF(ISBLANK(INDEX(big_daily_table,MATCH(DATE(R$5,$J157,$I157),daily_dates,0),MATCH($B$3,daily_items,0))),NA(),INDEX(big_daily_table,MATCH(DATE(R$5,$J157,$I157),daily_dates,0),MATCH($B$3,daily_items,0)))</f>
        <v>#N/A</v>
      </c>
      <c r="S157" s="1" t="str">
        <f t="array" ref="S157">IF(ISBLANK(INDEX(big_daily_table,MATCH(DATE(S$5,$J157,$I157),daily_dates,0),MATCH($B$3,daily_items,0))),NA(),INDEX(big_daily_table,MATCH(DATE(S$5,$J157,$I157),daily_dates,0),MATCH($B$3,daily_items,0)))</f>
        <v>#N/A</v>
      </c>
      <c r="T157" s="1" t="str">
        <f t="array" ref="T157">IF(ISBLANK(INDEX(big_daily_table,MATCH(DATE(T$5,$J157,$I157),daily_dates,0),MATCH($B$3,daily_items,0))),NA(),INDEX(big_daily_table,MATCH(DATE(T$5,$J157,$I157),daily_dates,0),MATCH($B$3,daily_items,0)))</f>
        <v>#N/A</v>
      </c>
      <c r="U157" s="1" t="str">
        <f t="array" ref="U157">IF(ISBLANK(INDEX(big_daily_table,MATCH(DATE(U$5,$J157,$I157),daily_dates,0),MATCH($B$3,daily_items,0))),NA(),INDEX(big_daily_table,MATCH(DATE(U$5,$J157,$I157),daily_dates,0),MATCH($B$3,daily_items,0)))</f>
        <v>#N/A</v>
      </c>
      <c r="V157" s="1" t="str">
        <f t="array" ref="V157">IF(ISBLANK(INDEX(big_daily_table,MATCH(DATE(V$5,$J157,$I157),daily_dates,0),MATCH($B$3,daily_items,0))),NA(),INDEX(big_daily_table,MATCH(DATE(V$5,$J157,$I157),daily_dates,0),MATCH($B$3,daily_items,0)))</f>
        <v>#N/A</v>
      </c>
      <c r="W157" s="1" t="str">
        <f t="array" ref="W157">IF(ISBLANK(INDEX(big_daily_table,MATCH(DATE(W$5,$J157,$I157),daily_dates,0),MATCH($B$3,daily_items,0))),NA(),INDEX(big_daily_table,MATCH(DATE(W$5,$J157,$I157),daily_dates,0),MATCH($B$3,daily_items,0)))</f>
        <v>#N/A</v>
      </c>
      <c r="X157" s="1" t="str">
        <f t="array" ref="X157">IF(ISBLANK(INDEX(big_daily_table,MATCH(DATE(X$5,$J157,$I157),daily_dates,0),MATCH($B$3,daily_items,0))),NA(),INDEX(big_daily_table,MATCH(DATE(X$5,$J157,$I157),daily_dates,0),MATCH($B$3,daily_items,0)))</f>
        <v>#N/A</v>
      </c>
      <c r="Y157" s="1" t="str">
        <f t="array" ref="Y157">IF(ISBLANK(INDEX(big_daily_table,MATCH(DATE(Y$5,$J157,$I157),daily_dates,0),MATCH($B$3,daily_items,0))),NA(),INDEX(big_daily_table,MATCH(DATE(Y$5,$J157,$I157),daily_dates,0),MATCH($B$3,daily_items,0)))</f>
        <v>#N/A</v>
      </c>
      <c r="Z157" s="1" t="str">
        <f t="shared" si="5"/>
        <v>#NAME?</v>
      </c>
      <c r="AA157" s="1" t="str">
        <f t="shared" si="6"/>
        <v>#NAME?</v>
      </c>
      <c r="AB157" s="1" t="str">
        <f t="shared" si="7"/>
        <v>#NAME?</v>
      </c>
      <c r="AC157" s="1" t="str">
        <f t="shared" si="8"/>
        <v>#NAME?</v>
      </c>
    </row>
    <row r="158" ht="14.25" customHeight="1">
      <c r="H158" s="1">
        <f t="shared" si="9"/>
        <v>153</v>
      </c>
      <c r="I158" s="1">
        <f t="shared" si="2"/>
        <v>1</v>
      </c>
      <c r="J158" s="1">
        <f t="shared" si="3"/>
        <v>6</v>
      </c>
      <c r="K158" s="23">
        <f t="shared" si="10"/>
        <v>36678</v>
      </c>
      <c r="L158" s="24">
        <f t="shared" si="4"/>
        <v>-1000000</v>
      </c>
      <c r="M158" s="1" t="str">
        <f t="array" ref="M158">IF(K158&gt;0,INDEX(big_daily_table,MATCH(DATE(N$5,$J158,$I158),daily_dates,0),MATCH($B$3,daily_items,0)),NA())</f>
        <v>#N/A</v>
      </c>
      <c r="N158" s="1" t="str">
        <f t="array" ref="N158">IF(L158&lt;0,INDEX(big_daily_table,MATCH(DATE(N$5,$J158,$I158),daily_dates,0),MATCH($B$3,daily_items,0)),NA())</f>
        <v>#N/A</v>
      </c>
      <c r="O158" s="1" t="str">
        <f t="array" ref="O158">IF(ISBLANK(INDEX(big_daily_table,MATCH(DATE(O$5,$J158,$I158),daily_dates,0),MATCH($B$3,daily_items,0))),NA(),INDEX(big_daily_table,MATCH(DATE(O$5,$J158,$I158),daily_dates,0),MATCH($B$3,daily_items,0)))</f>
        <v>#N/A</v>
      </c>
      <c r="P158" s="1" t="str">
        <f t="array" ref="P158">IF(ISBLANK(INDEX(big_daily_table,MATCH(DATE(P$5,$J158,$I158),daily_dates,0),MATCH($B$3,daily_items,0))),NA(),INDEX(big_daily_table,MATCH(DATE(P$5,$J158,$I158),daily_dates,0),MATCH($B$3,daily_items,0)))</f>
        <v>#N/A</v>
      </c>
      <c r="Q158" s="1" t="str">
        <f t="array" ref="Q158">IF(ISBLANK(INDEX(big_daily_table,MATCH(DATE(Q$5,$J158,$I158),daily_dates,0),MATCH($B$3,daily_items,0))),NA(),INDEX(big_daily_table,MATCH(DATE(Q$5,$J158,$I158),daily_dates,0),MATCH($B$3,daily_items,0)))</f>
        <v>#N/A</v>
      </c>
      <c r="R158" s="1" t="str">
        <f t="array" ref="R158">IF(ISBLANK(INDEX(big_daily_table,MATCH(DATE(R$5,$J158,$I158),daily_dates,0),MATCH($B$3,daily_items,0))),NA(),INDEX(big_daily_table,MATCH(DATE(R$5,$J158,$I158),daily_dates,0),MATCH($B$3,daily_items,0)))</f>
        <v>#N/A</v>
      </c>
      <c r="S158" s="1" t="str">
        <f t="array" ref="S158">IF(ISBLANK(INDEX(big_daily_table,MATCH(DATE(S$5,$J158,$I158),daily_dates,0),MATCH($B$3,daily_items,0))),NA(),INDEX(big_daily_table,MATCH(DATE(S$5,$J158,$I158),daily_dates,0),MATCH($B$3,daily_items,0)))</f>
        <v>#N/A</v>
      </c>
      <c r="T158" s="1" t="str">
        <f t="array" ref="T158">IF(ISBLANK(INDEX(big_daily_table,MATCH(DATE(T$5,$J158,$I158),daily_dates,0),MATCH($B$3,daily_items,0))),NA(),INDEX(big_daily_table,MATCH(DATE(T$5,$J158,$I158),daily_dates,0),MATCH($B$3,daily_items,0)))</f>
        <v>#N/A</v>
      </c>
      <c r="U158" s="1" t="str">
        <f t="array" ref="U158">IF(ISBLANK(INDEX(big_daily_table,MATCH(DATE(U$5,$J158,$I158),daily_dates,0),MATCH($B$3,daily_items,0))),NA(),INDEX(big_daily_table,MATCH(DATE(U$5,$J158,$I158),daily_dates,0),MATCH($B$3,daily_items,0)))</f>
        <v>#N/A</v>
      </c>
      <c r="V158" s="1" t="str">
        <f t="array" ref="V158">IF(ISBLANK(INDEX(big_daily_table,MATCH(DATE(V$5,$J158,$I158),daily_dates,0),MATCH($B$3,daily_items,0))),NA(),INDEX(big_daily_table,MATCH(DATE(V$5,$J158,$I158),daily_dates,0),MATCH($B$3,daily_items,0)))</f>
        <v>#N/A</v>
      </c>
      <c r="W158" s="1" t="str">
        <f t="array" ref="W158">IF(ISBLANK(INDEX(big_daily_table,MATCH(DATE(W$5,$J158,$I158),daily_dates,0),MATCH($B$3,daily_items,0))),NA(),INDEX(big_daily_table,MATCH(DATE(W$5,$J158,$I158),daily_dates,0),MATCH($B$3,daily_items,0)))</f>
        <v>#N/A</v>
      </c>
      <c r="X158" s="1" t="str">
        <f t="array" ref="X158">IF(ISBLANK(INDEX(big_daily_table,MATCH(DATE(X$5,$J158,$I158),daily_dates,0),MATCH($B$3,daily_items,0))),NA(),INDEX(big_daily_table,MATCH(DATE(X$5,$J158,$I158),daily_dates,0),MATCH($B$3,daily_items,0)))</f>
        <v>#N/A</v>
      </c>
      <c r="Y158" s="1" t="str">
        <f t="array" ref="Y158">IF(ISBLANK(INDEX(big_daily_table,MATCH(DATE(Y$5,$J158,$I158),daily_dates,0),MATCH($B$3,daily_items,0))),NA(),INDEX(big_daily_table,MATCH(DATE(Y$5,$J158,$I158),daily_dates,0),MATCH($B$3,daily_items,0)))</f>
        <v>#N/A</v>
      </c>
      <c r="Z158" s="1" t="str">
        <f t="shared" si="5"/>
        <v>#NAME?</v>
      </c>
      <c r="AA158" s="1" t="str">
        <f t="shared" si="6"/>
        <v>#NAME?</v>
      </c>
      <c r="AB158" s="1" t="str">
        <f t="shared" si="7"/>
        <v>#NAME?</v>
      </c>
      <c r="AC158" s="1" t="str">
        <f t="shared" si="8"/>
        <v>#NAME?</v>
      </c>
    </row>
    <row r="159" ht="14.25" customHeight="1">
      <c r="H159" s="1">
        <f t="shared" si="9"/>
        <v>154</v>
      </c>
      <c r="I159" s="1">
        <f t="shared" si="2"/>
        <v>2</v>
      </c>
      <c r="J159" s="1">
        <f t="shared" si="3"/>
        <v>6</v>
      </c>
      <c r="K159" s="23">
        <f t="shared" si="10"/>
        <v>36679</v>
      </c>
      <c r="L159" s="24">
        <f t="shared" si="4"/>
        <v>-1000000</v>
      </c>
      <c r="M159" s="1" t="str">
        <f t="array" ref="M159">IF(K159&gt;0,INDEX(big_daily_table,MATCH(DATE(N$5,$J159,$I159),daily_dates,0),MATCH($B$3,daily_items,0)),NA())</f>
        <v>#N/A</v>
      </c>
      <c r="N159" s="1" t="str">
        <f t="array" ref="N159">IF(L159&lt;0,INDEX(big_daily_table,MATCH(DATE(N$5,$J159,$I159),daily_dates,0),MATCH($B$3,daily_items,0)),NA())</f>
        <v>#N/A</v>
      </c>
      <c r="O159" s="1" t="str">
        <f t="array" ref="O159">IF(ISBLANK(INDEX(big_daily_table,MATCH(DATE(O$5,$J159,$I159),daily_dates,0),MATCH($B$3,daily_items,0))),NA(),INDEX(big_daily_table,MATCH(DATE(O$5,$J159,$I159),daily_dates,0),MATCH($B$3,daily_items,0)))</f>
        <v>#N/A</v>
      </c>
      <c r="P159" s="1" t="str">
        <f t="array" ref="P159">IF(ISBLANK(INDEX(big_daily_table,MATCH(DATE(P$5,$J159,$I159),daily_dates,0),MATCH($B$3,daily_items,0))),NA(),INDEX(big_daily_table,MATCH(DATE(P$5,$J159,$I159),daily_dates,0),MATCH($B$3,daily_items,0)))</f>
        <v>#N/A</v>
      </c>
      <c r="Q159" s="1" t="str">
        <f t="array" ref="Q159">IF(ISBLANK(INDEX(big_daily_table,MATCH(DATE(Q$5,$J159,$I159),daily_dates,0),MATCH($B$3,daily_items,0))),NA(),INDEX(big_daily_table,MATCH(DATE(Q$5,$J159,$I159),daily_dates,0),MATCH($B$3,daily_items,0)))</f>
        <v>#N/A</v>
      </c>
      <c r="R159" s="1" t="str">
        <f t="array" ref="R159">IF(ISBLANK(INDEX(big_daily_table,MATCH(DATE(R$5,$J159,$I159),daily_dates,0),MATCH($B$3,daily_items,0))),NA(),INDEX(big_daily_table,MATCH(DATE(R$5,$J159,$I159),daily_dates,0),MATCH($B$3,daily_items,0)))</f>
        <v>#N/A</v>
      </c>
      <c r="S159" s="1" t="str">
        <f t="array" ref="S159">IF(ISBLANK(INDEX(big_daily_table,MATCH(DATE(S$5,$J159,$I159),daily_dates,0),MATCH($B$3,daily_items,0))),NA(),INDEX(big_daily_table,MATCH(DATE(S$5,$J159,$I159),daily_dates,0),MATCH($B$3,daily_items,0)))</f>
        <v>#N/A</v>
      </c>
      <c r="T159" s="1" t="str">
        <f t="array" ref="T159">IF(ISBLANK(INDEX(big_daily_table,MATCH(DATE(T$5,$J159,$I159),daily_dates,0),MATCH($B$3,daily_items,0))),NA(),INDEX(big_daily_table,MATCH(DATE(T$5,$J159,$I159),daily_dates,0),MATCH($B$3,daily_items,0)))</f>
        <v>#N/A</v>
      </c>
      <c r="U159" s="1" t="str">
        <f t="array" ref="U159">IF(ISBLANK(INDEX(big_daily_table,MATCH(DATE(U$5,$J159,$I159),daily_dates,0),MATCH($B$3,daily_items,0))),NA(),INDEX(big_daily_table,MATCH(DATE(U$5,$J159,$I159),daily_dates,0),MATCH($B$3,daily_items,0)))</f>
        <v>#N/A</v>
      </c>
      <c r="V159" s="1" t="str">
        <f t="array" ref="V159">IF(ISBLANK(INDEX(big_daily_table,MATCH(DATE(V$5,$J159,$I159),daily_dates,0),MATCH($B$3,daily_items,0))),NA(),INDEX(big_daily_table,MATCH(DATE(V$5,$J159,$I159),daily_dates,0),MATCH($B$3,daily_items,0)))</f>
        <v>#N/A</v>
      </c>
      <c r="W159" s="1" t="str">
        <f t="array" ref="W159">IF(ISBLANK(INDEX(big_daily_table,MATCH(DATE(W$5,$J159,$I159),daily_dates,0),MATCH($B$3,daily_items,0))),NA(),INDEX(big_daily_table,MATCH(DATE(W$5,$J159,$I159),daily_dates,0),MATCH($B$3,daily_items,0)))</f>
        <v>#N/A</v>
      </c>
      <c r="X159" s="1" t="str">
        <f t="array" ref="X159">IF(ISBLANK(INDEX(big_daily_table,MATCH(DATE(X$5,$J159,$I159),daily_dates,0),MATCH($B$3,daily_items,0))),NA(),INDEX(big_daily_table,MATCH(DATE(X$5,$J159,$I159),daily_dates,0),MATCH($B$3,daily_items,0)))</f>
        <v>#N/A</v>
      </c>
      <c r="Y159" s="1" t="str">
        <f t="array" ref="Y159">IF(ISBLANK(INDEX(big_daily_table,MATCH(DATE(Y$5,$J159,$I159),daily_dates,0),MATCH($B$3,daily_items,0))),NA(),INDEX(big_daily_table,MATCH(DATE(Y$5,$J159,$I159),daily_dates,0),MATCH($B$3,daily_items,0)))</f>
        <v>#N/A</v>
      </c>
      <c r="Z159" s="1" t="str">
        <f t="shared" si="5"/>
        <v>#NAME?</v>
      </c>
      <c r="AA159" s="1" t="str">
        <f t="shared" si="6"/>
        <v>#NAME?</v>
      </c>
      <c r="AB159" s="1" t="str">
        <f t="shared" si="7"/>
        <v>#NAME?</v>
      </c>
      <c r="AC159" s="1" t="str">
        <f t="shared" si="8"/>
        <v>#NAME?</v>
      </c>
    </row>
    <row r="160" ht="14.25" customHeight="1">
      <c r="H160" s="1">
        <f t="shared" si="9"/>
        <v>155</v>
      </c>
      <c r="I160" s="1">
        <f t="shared" si="2"/>
        <v>3</v>
      </c>
      <c r="J160" s="1">
        <f t="shared" si="3"/>
        <v>6</v>
      </c>
      <c r="K160" s="23">
        <f t="shared" si="10"/>
        <v>36680</v>
      </c>
      <c r="L160" s="24">
        <f t="shared" si="4"/>
        <v>-1000000</v>
      </c>
      <c r="M160" s="1" t="str">
        <f t="array" ref="M160">IF(K160&gt;0,INDEX(big_daily_table,MATCH(DATE(N$5,$J160,$I160),daily_dates,0),MATCH($B$3,daily_items,0)),NA())</f>
        <v>#N/A</v>
      </c>
      <c r="N160" s="1" t="str">
        <f t="array" ref="N160">IF(L160&lt;0,INDEX(big_daily_table,MATCH(DATE(N$5,$J160,$I160),daily_dates,0),MATCH($B$3,daily_items,0)),NA())</f>
        <v>#N/A</v>
      </c>
      <c r="O160" s="1" t="str">
        <f t="array" ref="O160">IF(ISBLANK(INDEX(big_daily_table,MATCH(DATE(O$5,$J160,$I160),daily_dates,0),MATCH($B$3,daily_items,0))),NA(),INDEX(big_daily_table,MATCH(DATE(O$5,$J160,$I160),daily_dates,0),MATCH($B$3,daily_items,0)))</f>
        <v>#N/A</v>
      </c>
      <c r="P160" s="1" t="str">
        <f t="array" ref="P160">IF(ISBLANK(INDEX(big_daily_table,MATCH(DATE(P$5,$J160,$I160),daily_dates,0),MATCH($B$3,daily_items,0))),NA(),INDEX(big_daily_table,MATCH(DATE(P$5,$J160,$I160),daily_dates,0),MATCH($B$3,daily_items,0)))</f>
        <v>#N/A</v>
      </c>
      <c r="Q160" s="1" t="str">
        <f t="array" ref="Q160">IF(ISBLANK(INDEX(big_daily_table,MATCH(DATE(Q$5,$J160,$I160),daily_dates,0),MATCH($B$3,daily_items,0))),NA(),INDEX(big_daily_table,MATCH(DATE(Q$5,$J160,$I160),daily_dates,0),MATCH($B$3,daily_items,0)))</f>
        <v>#N/A</v>
      </c>
      <c r="R160" s="1" t="str">
        <f t="array" ref="R160">IF(ISBLANK(INDEX(big_daily_table,MATCH(DATE(R$5,$J160,$I160),daily_dates,0),MATCH($B$3,daily_items,0))),NA(),INDEX(big_daily_table,MATCH(DATE(R$5,$J160,$I160),daily_dates,0),MATCH($B$3,daily_items,0)))</f>
        <v>#N/A</v>
      </c>
      <c r="S160" s="1" t="str">
        <f t="array" ref="S160">IF(ISBLANK(INDEX(big_daily_table,MATCH(DATE(S$5,$J160,$I160),daily_dates,0),MATCH($B$3,daily_items,0))),NA(),INDEX(big_daily_table,MATCH(DATE(S$5,$J160,$I160),daily_dates,0),MATCH($B$3,daily_items,0)))</f>
        <v>#N/A</v>
      </c>
      <c r="T160" s="1" t="str">
        <f t="array" ref="T160">IF(ISBLANK(INDEX(big_daily_table,MATCH(DATE(T$5,$J160,$I160),daily_dates,0),MATCH($B$3,daily_items,0))),NA(),INDEX(big_daily_table,MATCH(DATE(T$5,$J160,$I160),daily_dates,0),MATCH($B$3,daily_items,0)))</f>
        <v>#N/A</v>
      </c>
      <c r="U160" s="1" t="str">
        <f t="array" ref="U160">IF(ISBLANK(INDEX(big_daily_table,MATCH(DATE(U$5,$J160,$I160),daily_dates,0),MATCH($B$3,daily_items,0))),NA(),INDEX(big_daily_table,MATCH(DATE(U$5,$J160,$I160),daily_dates,0),MATCH($B$3,daily_items,0)))</f>
        <v>#N/A</v>
      </c>
      <c r="V160" s="1" t="str">
        <f t="array" ref="V160">IF(ISBLANK(INDEX(big_daily_table,MATCH(DATE(V$5,$J160,$I160),daily_dates,0),MATCH($B$3,daily_items,0))),NA(),INDEX(big_daily_table,MATCH(DATE(V$5,$J160,$I160),daily_dates,0),MATCH($B$3,daily_items,0)))</f>
        <v>#N/A</v>
      </c>
      <c r="W160" s="1" t="str">
        <f t="array" ref="W160">IF(ISBLANK(INDEX(big_daily_table,MATCH(DATE(W$5,$J160,$I160),daily_dates,0),MATCH($B$3,daily_items,0))),NA(),INDEX(big_daily_table,MATCH(DATE(W$5,$J160,$I160),daily_dates,0),MATCH($B$3,daily_items,0)))</f>
        <v>#N/A</v>
      </c>
      <c r="X160" s="1" t="str">
        <f t="array" ref="X160">IF(ISBLANK(INDEX(big_daily_table,MATCH(DATE(X$5,$J160,$I160),daily_dates,0),MATCH($B$3,daily_items,0))),NA(),INDEX(big_daily_table,MATCH(DATE(X$5,$J160,$I160),daily_dates,0),MATCH($B$3,daily_items,0)))</f>
        <v>#N/A</v>
      </c>
      <c r="Y160" s="1" t="str">
        <f t="array" ref="Y160">IF(ISBLANK(INDEX(big_daily_table,MATCH(DATE(Y$5,$J160,$I160),daily_dates,0),MATCH($B$3,daily_items,0))),NA(),INDEX(big_daily_table,MATCH(DATE(Y$5,$J160,$I160),daily_dates,0),MATCH($B$3,daily_items,0)))</f>
        <v>#N/A</v>
      </c>
      <c r="Z160" s="1" t="str">
        <f t="shared" si="5"/>
        <v>#NAME?</v>
      </c>
      <c r="AA160" s="1" t="str">
        <f t="shared" si="6"/>
        <v>#NAME?</v>
      </c>
      <c r="AB160" s="1" t="str">
        <f t="shared" si="7"/>
        <v>#NAME?</v>
      </c>
      <c r="AC160" s="1" t="str">
        <f t="shared" si="8"/>
        <v>#NAME?</v>
      </c>
    </row>
    <row r="161" ht="14.25" customHeight="1">
      <c r="H161" s="1">
        <f t="shared" si="9"/>
        <v>156</v>
      </c>
      <c r="I161" s="1">
        <f t="shared" si="2"/>
        <v>4</v>
      </c>
      <c r="J161" s="1">
        <f t="shared" si="3"/>
        <v>6</v>
      </c>
      <c r="K161" s="23">
        <f t="shared" si="10"/>
        <v>36681</v>
      </c>
      <c r="L161" s="24">
        <f t="shared" si="4"/>
        <v>-1000000</v>
      </c>
      <c r="M161" s="1" t="str">
        <f t="array" ref="M161">IF(K161&gt;0,INDEX(big_daily_table,MATCH(DATE(N$5,$J161,$I161),daily_dates,0),MATCH($B$3,daily_items,0)),NA())</f>
        <v>#N/A</v>
      </c>
      <c r="N161" s="1" t="str">
        <f t="array" ref="N161">IF(L161&lt;0,INDEX(big_daily_table,MATCH(DATE(N$5,$J161,$I161),daily_dates,0),MATCH($B$3,daily_items,0)),NA())</f>
        <v>#N/A</v>
      </c>
      <c r="O161" s="1" t="str">
        <f t="array" ref="O161">IF(ISBLANK(INDEX(big_daily_table,MATCH(DATE(O$5,$J161,$I161),daily_dates,0),MATCH($B$3,daily_items,0))),NA(),INDEX(big_daily_table,MATCH(DATE(O$5,$J161,$I161),daily_dates,0),MATCH($B$3,daily_items,0)))</f>
        <v>#N/A</v>
      </c>
      <c r="P161" s="1" t="str">
        <f t="array" ref="P161">IF(ISBLANK(INDEX(big_daily_table,MATCH(DATE(P$5,$J161,$I161),daily_dates,0),MATCH($B$3,daily_items,0))),NA(),INDEX(big_daily_table,MATCH(DATE(P$5,$J161,$I161),daily_dates,0),MATCH($B$3,daily_items,0)))</f>
        <v>#N/A</v>
      </c>
      <c r="Q161" s="1" t="str">
        <f t="array" ref="Q161">IF(ISBLANK(INDEX(big_daily_table,MATCH(DATE(Q$5,$J161,$I161),daily_dates,0),MATCH($B$3,daily_items,0))),NA(),INDEX(big_daily_table,MATCH(DATE(Q$5,$J161,$I161),daily_dates,0),MATCH($B$3,daily_items,0)))</f>
        <v>#N/A</v>
      </c>
      <c r="R161" s="1" t="str">
        <f t="array" ref="R161">IF(ISBLANK(INDEX(big_daily_table,MATCH(DATE(R$5,$J161,$I161),daily_dates,0),MATCH($B$3,daily_items,0))),NA(),INDEX(big_daily_table,MATCH(DATE(R$5,$J161,$I161),daily_dates,0),MATCH($B$3,daily_items,0)))</f>
        <v>#N/A</v>
      </c>
      <c r="S161" s="1" t="str">
        <f t="array" ref="S161">IF(ISBLANK(INDEX(big_daily_table,MATCH(DATE(S$5,$J161,$I161),daily_dates,0),MATCH($B$3,daily_items,0))),NA(),INDEX(big_daily_table,MATCH(DATE(S$5,$J161,$I161),daily_dates,0),MATCH($B$3,daily_items,0)))</f>
        <v>#N/A</v>
      </c>
      <c r="T161" s="1" t="str">
        <f t="array" ref="T161">IF(ISBLANK(INDEX(big_daily_table,MATCH(DATE(T$5,$J161,$I161),daily_dates,0),MATCH($B$3,daily_items,0))),NA(),INDEX(big_daily_table,MATCH(DATE(T$5,$J161,$I161),daily_dates,0),MATCH($B$3,daily_items,0)))</f>
        <v>#N/A</v>
      </c>
      <c r="U161" s="1" t="str">
        <f t="array" ref="U161">IF(ISBLANK(INDEX(big_daily_table,MATCH(DATE(U$5,$J161,$I161),daily_dates,0),MATCH($B$3,daily_items,0))),NA(),INDEX(big_daily_table,MATCH(DATE(U$5,$J161,$I161),daily_dates,0),MATCH($B$3,daily_items,0)))</f>
        <v>#N/A</v>
      </c>
      <c r="V161" s="1" t="str">
        <f t="array" ref="V161">IF(ISBLANK(INDEX(big_daily_table,MATCH(DATE(V$5,$J161,$I161),daily_dates,0),MATCH($B$3,daily_items,0))),NA(),INDEX(big_daily_table,MATCH(DATE(V$5,$J161,$I161),daily_dates,0),MATCH($B$3,daily_items,0)))</f>
        <v>#N/A</v>
      </c>
      <c r="W161" s="1" t="str">
        <f t="array" ref="W161">IF(ISBLANK(INDEX(big_daily_table,MATCH(DATE(W$5,$J161,$I161),daily_dates,0),MATCH($B$3,daily_items,0))),NA(),INDEX(big_daily_table,MATCH(DATE(W$5,$J161,$I161),daily_dates,0),MATCH($B$3,daily_items,0)))</f>
        <v>#N/A</v>
      </c>
      <c r="X161" s="1" t="str">
        <f t="array" ref="X161">IF(ISBLANK(INDEX(big_daily_table,MATCH(DATE(X$5,$J161,$I161),daily_dates,0),MATCH($B$3,daily_items,0))),NA(),INDEX(big_daily_table,MATCH(DATE(X$5,$J161,$I161),daily_dates,0),MATCH($B$3,daily_items,0)))</f>
        <v>#N/A</v>
      </c>
      <c r="Y161" s="1" t="str">
        <f t="array" ref="Y161">IF(ISBLANK(INDEX(big_daily_table,MATCH(DATE(Y$5,$J161,$I161),daily_dates,0),MATCH($B$3,daily_items,0))),NA(),INDEX(big_daily_table,MATCH(DATE(Y$5,$J161,$I161),daily_dates,0),MATCH($B$3,daily_items,0)))</f>
        <v>#N/A</v>
      </c>
      <c r="Z161" s="1" t="str">
        <f t="shared" si="5"/>
        <v>#NAME?</v>
      </c>
      <c r="AA161" s="1" t="str">
        <f t="shared" si="6"/>
        <v>#NAME?</v>
      </c>
      <c r="AB161" s="1" t="str">
        <f t="shared" si="7"/>
        <v>#NAME?</v>
      </c>
      <c r="AC161" s="1" t="str">
        <f t="shared" si="8"/>
        <v>#NAME?</v>
      </c>
    </row>
    <row r="162" ht="14.25" customHeight="1">
      <c r="H162" s="1">
        <f t="shared" si="9"/>
        <v>157</v>
      </c>
      <c r="I162" s="1">
        <f t="shared" si="2"/>
        <v>5</v>
      </c>
      <c r="J162" s="1">
        <f t="shared" si="3"/>
        <v>6</v>
      </c>
      <c r="K162" s="23">
        <f t="shared" si="10"/>
        <v>36682</v>
      </c>
      <c r="L162" s="24">
        <f t="shared" si="4"/>
        <v>-1000000</v>
      </c>
      <c r="M162" s="1" t="str">
        <f t="array" ref="M162">IF(K162&gt;0,INDEX(big_daily_table,MATCH(DATE(N$5,$J162,$I162),daily_dates,0),MATCH($B$3,daily_items,0)),NA())</f>
        <v>#N/A</v>
      </c>
      <c r="N162" s="1" t="str">
        <f t="array" ref="N162">IF(L162&lt;0,INDEX(big_daily_table,MATCH(DATE(N$5,$J162,$I162),daily_dates,0),MATCH($B$3,daily_items,0)),NA())</f>
        <v>#N/A</v>
      </c>
      <c r="O162" s="1" t="str">
        <f t="array" ref="O162">IF(ISBLANK(INDEX(big_daily_table,MATCH(DATE(O$5,$J162,$I162),daily_dates,0),MATCH($B$3,daily_items,0))),NA(),INDEX(big_daily_table,MATCH(DATE(O$5,$J162,$I162),daily_dates,0),MATCH($B$3,daily_items,0)))</f>
        <v>#N/A</v>
      </c>
      <c r="P162" s="1" t="str">
        <f t="array" ref="P162">IF(ISBLANK(INDEX(big_daily_table,MATCH(DATE(P$5,$J162,$I162),daily_dates,0),MATCH($B$3,daily_items,0))),NA(),INDEX(big_daily_table,MATCH(DATE(P$5,$J162,$I162),daily_dates,0),MATCH($B$3,daily_items,0)))</f>
        <v>#N/A</v>
      </c>
      <c r="Q162" s="1" t="str">
        <f t="array" ref="Q162">IF(ISBLANK(INDEX(big_daily_table,MATCH(DATE(Q$5,$J162,$I162),daily_dates,0),MATCH($B$3,daily_items,0))),NA(),INDEX(big_daily_table,MATCH(DATE(Q$5,$J162,$I162),daily_dates,0),MATCH($B$3,daily_items,0)))</f>
        <v>#N/A</v>
      </c>
      <c r="R162" s="1" t="str">
        <f t="array" ref="R162">IF(ISBLANK(INDEX(big_daily_table,MATCH(DATE(R$5,$J162,$I162),daily_dates,0),MATCH($B$3,daily_items,0))),NA(),INDEX(big_daily_table,MATCH(DATE(R$5,$J162,$I162),daily_dates,0),MATCH($B$3,daily_items,0)))</f>
        <v>#N/A</v>
      </c>
      <c r="S162" s="1" t="str">
        <f t="array" ref="S162">IF(ISBLANK(INDEX(big_daily_table,MATCH(DATE(S$5,$J162,$I162),daily_dates,0),MATCH($B$3,daily_items,0))),NA(),INDEX(big_daily_table,MATCH(DATE(S$5,$J162,$I162),daily_dates,0),MATCH($B$3,daily_items,0)))</f>
        <v>#N/A</v>
      </c>
      <c r="T162" s="1" t="str">
        <f t="array" ref="T162">IF(ISBLANK(INDEX(big_daily_table,MATCH(DATE(T$5,$J162,$I162),daily_dates,0),MATCH($B$3,daily_items,0))),NA(),INDEX(big_daily_table,MATCH(DATE(T$5,$J162,$I162),daily_dates,0),MATCH($B$3,daily_items,0)))</f>
        <v>#N/A</v>
      </c>
      <c r="U162" s="1" t="str">
        <f t="array" ref="U162">IF(ISBLANK(INDEX(big_daily_table,MATCH(DATE(U$5,$J162,$I162),daily_dates,0),MATCH($B$3,daily_items,0))),NA(),INDEX(big_daily_table,MATCH(DATE(U$5,$J162,$I162),daily_dates,0),MATCH($B$3,daily_items,0)))</f>
        <v>#N/A</v>
      </c>
      <c r="V162" s="1" t="str">
        <f t="array" ref="V162">IF(ISBLANK(INDEX(big_daily_table,MATCH(DATE(V$5,$J162,$I162),daily_dates,0),MATCH($B$3,daily_items,0))),NA(),INDEX(big_daily_table,MATCH(DATE(V$5,$J162,$I162),daily_dates,0),MATCH($B$3,daily_items,0)))</f>
        <v>#N/A</v>
      </c>
      <c r="W162" s="1" t="str">
        <f t="array" ref="W162">IF(ISBLANK(INDEX(big_daily_table,MATCH(DATE(W$5,$J162,$I162),daily_dates,0),MATCH($B$3,daily_items,0))),NA(),INDEX(big_daily_table,MATCH(DATE(W$5,$J162,$I162),daily_dates,0),MATCH($B$3,daily_items,0)))</f>
        <v>#N/A</v>
      </c>
      <c r="X162" s="1" t="str">
        <f t="array" ref="X162">IF(ISBLANK(INDEX(big_daily_table,MATCH(DATE(X$5,$J162,$I162),daily_dates,0),MATCH($B$3,daily_items,0))),NA(),INDEX(big_daily_table,MATCH(DATE(X$5,$J162,$I162),daily_dates,0),MATCH($B$3,daily_items,0)))</f>
        <v>#N/A</v>
      </c>
      <c r="Y162" s="1" t="str">
        <f t="array" ref="Y162">IF(ISBLANK(INDEX(big_daily_table,MATCH(DATE(Y$5,$J162,$I162),daily_dates,0),MATCH($B$3,daily_items,0))),NA(),INDEX(big_daily_table,MATCH(DATE(Y$5,$J162,$I162),daily_dates,0),MATCH($B$3,daily_items,0)))</f>
        <v>#N/A</v>
      </c>
      <c r="Z162" s="1" t="str">
        <f t="shared" si="5"/>
        <v>#NAME?</v>
      </c>
      <c r="AA162" s="1" t="str">
        <f t="shared" si="6"/>
        <v>#NAME?</v>
      </c>
      <c r="AB162" s="1" t="str">
        <f t="shared" si="7"/>
        <v>#NAME?</v>
      </c>
      <c r="AC162" s="1" t="str">
        <f t="shared" si="8"/>
        <v>#NAME?</v>
      </c>
    </row>
    <row r="163" ht="14.25" customHeight="1">
      <c r="H163" s="1">
        <f t="shared" si="9"/>
        <v>158</v>
      </c>
      <c r="I163" s="1">
        <f t="shared" si="2"/>
        <v>6</v>
      </c>
      <c r="J163" s="1">
        <f t="shared" si="3"/>
        <v>6</v>
      </c>
      <c r="K163" s="23">
        <f t="shared" si="10"/>
        <v>36683</v>
      </c>
      <c r="L163" s="24">
        <f t="shared" si="4"/>
        <v>-1000000</v>
      </c>
      <c r="M163" s="1" t="str">
        <f t="array" ref="M163">IF(K163&gt;0,INDEX(big_daily_table,MATCH(DATE(N$5,$J163,$I163),daily_dates,0),MATCH($B$3,daily_items,0)),NA())</f>
        <v>#N/A</v>
      </c>
      <c r="N163" s="1" t="str">
        <f t="array" ref="N163">IF(L163&lt;0,INDEX(big_daily_table,MATCH(DATE(N$5,$J163,$I163),daily_dates,0),MATCH($B$3,daily_items,0)),NA())</f>
        <v>#N/A</v>
      </c>
      <c r="O163" s="1" t="str">
        <f t="array" ref="O163">IF(ISBLANK(INDEX(big_daily_table,MATCH(DATE(O$5,$J163,$I163),daily_dates,0),MATCH($B$3,daily_items,0))),NA(),INDEX(big_daily_table,MATCH(DATE(O$5,$J163,$I163),daily_dates,0),MATCH($B$3,daily_items,0)))</f>
        <v>#N/A</v>
      </c>
      <c r="P163" s="1" t="str">
        <f t="array" ref="P163">IF(ISBLANK(INDEX(big_daily_table,MATCH(DATE(P$5,$J163,$I163),daily_dates,0),MATCH($B$3,daily_items,0))),NA(),INDEX(big_daily_table,MATCH(DATE(P$5,$J163,$I163),daily_dates,0),MATCH($B$3,daily_items,0)))</f>
        <v>#N/A</v>
      </c>
      <c r="Q163" s="1" t="str">
        <f t="array" ref="Q163">IF(ISBLANK(INDEX(big_daily_table,MATCH(DATE(Q$5,$J163,$I163),daily_dates,0),MATCH($B$3,daily_items,0))),NA(),INDEX(big_daily_table,MATCH(DATE(Q$5,$J163,$I163),daily_dates,0),MATCH($B$3,daily_items,0)))</f>
        <v>#N/A</v>
      </c>
      <c r="R163" s="1" t="str">
        <f t="array" ref="R163">IF(ISBLANK(INDEX(big_daily_table,MATCH(DATE(R$5,$J163,$I163),daily_dates,0),MATCH($B$3,daily_items,0))),NA(),INDEX(big_daily_table,MATCH(DATE(R$5,$J163,$I163),daily_dates,0),MATCH($B$3,daily_items,0)))</f>
        <v>#N/A</v>
      </c>
      <c r="S163" s="1" t="str">
        <f t="array" ref="S163">IF(ISBLANK(INDEX(big_daily_table,MATCH(DATE(S$5,$J163,$I163),daily_dates,0),MATCH($B$3,daily_items,0))),NA(),INDEX(big_daily_table,MATCH(DATE(S$5,$J163,$I163),daily_dates,0),MATCH($B$3,daily_items,0)))</f>
        <v>#N/A</v>
      </c>
      <c r="T163" s="1" t="str">
        <f t="array" ref="T163">IF(ISBLANK(INDEX(big_daily_table,MATCH(DATE(T$5,$J163,$I163),daily_dates,0),MATCH($B$3,daily_items,0))),NA(),INDEX(big_daily_table,MATCH(DATE(T$5,$J163,$I163),daily_dates,0),MATCH($B$3,daily_items,0)))</f>
        <v>#N/A</v>
      </c>
      <c r="U163" s="1" t="str">
        <f t="array" ref="U163">IF(ISBLANK(INDEX(big_daily_table,MATCH(DATE(U$5,$J163,$I163),daily_dates,0),MATCH($B$3,daily_items,0))),NA(),INDEX(big_daily_table,MATCH(DATE(U$5,$J163,$I163),daily_dates,0),MATCH($B$3,daily_items,0)))</f>
        <v>#N/A</v>
      </c>
      <c r="V163" s="1" t="str">
        <f t="array" ref="V163">IF(ISBLANK(INDEX(big_daily_table,MATCH(DATE(V$5,$J163,$I163),daily_dates,0),MATCH($B$3,daily_items,0))),NA(),INDEX(big_daily_table,MATCH(DATE(V$5,$J163,$I163),daily_dates,0),MATCH($B$3,daily_items,0)))</f>
        <v>#N/A</v>
      </c>
      <c r="W163" s="1" t="str">
        <f t="array" ref="W163">IF(ISBLANK(INDEX(big_daily_table,MATCH(DATE(W$5,$J163,$I163),daily_dates,0),MATCH($B$3,daily_items,0))),NA(),INDEX(big_daily_table,MATCH(DATE(W$5,$J163,$I163),daily_dates,0),MATCH($B$3,daily_items,0)))</f>
        <v>#N/A</v>
      </c>
      <c r="X163" s="1" t="str">
        <f t="array" ref="X163">IF(ISBLANK(INDEX(big_daily_table,MATCH(DATE(X$5,$J163,$I163),daily_dates,0),MATCH($B$3,daily_items,0))),NA(),INDEX(big_daily_table,MATCH(DATE(X$5,$J163,$I163),daily_dates,0),MATCH($B$3,daily_items,0)))</f>
        <v>#N/A</v>
      </c>
      <c r="Y163" s="1" t="str">
        <f t="array" ref="Y163">IF(ISBLANK(INDEX(big_daily_table,MATCH(DATE(Y$5,$J163,$I163),daily_dates,0),MATCH($B$3,daily_items,0))),NA(),INDEX(big_daily_table,MATCH(DATE(Y$5,$J163,$I163),daily_dates,0),MATCH($B$3,daily_items,0)))</f>
        <v>#N/A</v>
      </c>
      <c r="Z163" s="1" t="str">
        <f t="shared" si="5"/>
        <v>#NAME?</v>
      </c>
      <c r="AA163" s="1" t="str">
        <f t="shared" si="6"/>
        <v>#NAME?</v>
      </c>
      <c r="AB163" s="1" t="str">
        <f t="shared" si="7"/>
        <v>#NAME?</v>
      </c>
      <c r="AC163" s="1" t="str">
        <f t="shared" si="8"/>
        <v>#NAME?</v>
      </c>
    </row>
    <row r="164" ht="14.25" customHeight="1">
      <c r="H164" s="1">
        <f t="shared" si="9"/>
        <v>159</v>
      </c>
      <c r="I164" s="1">
        <f t="shared" si="2"/>
        <v>7</v>
      </c>
      <c r="J164" s="1">
        <f t="shared" si="3"/>
        <v>6</v>
      </c>
      <c r="K164" s="23">
        <f t="shared" si="10"/>
        <v>36684</v>
      </c>
      <c r="L164" s="24">
        <f t="shared" si="4"/>
        <v>-1000000</v>
      </c>
      <c r="M164" s="1" t="str">
        <f t="array" ref="M164">IF(K164&gt;0,INDEX(big_daily_table,MATCH(DATE(N$5,$J164,$I164),daily_dates,0),MATCH($B$3,daily_items,0)),NA())</f>
        <v>#N/A</v>
      </c>
      <c r="N164" s="1" t="str">
        <f t="array" ref="N164">IF(L164&lt;0,INDEX(big_daily_table,MATCH(DATE(N$5,$J164,$I164),daily_dates,0),MATCH($B$3,daily_items,0)),NA())</f>
        <v>#N/A</v>
      </c>
      <c r="O164" s="1" t="str">
        <f t="array" ref="O164">IF(ISBLANK(INDEX(big_daily_table,MATCH(DATE(O$5,$J164,$I164),daily_dates,0),MATCH($B$3,daily_items,0))),NA(),INDEX(big_daily_table,MATCH(DATE(O$5,$J164,$I164),daily_dates,0),MATCH($B$3,daily_items,0)))</f>
        <v>#N/A</v>
      </c>
      <c r="P164" s="1" t="str">
        <f t="array" ref="P164">IF(ISBLANK(INDEX(big_daily_table,MATCH(DATE(P$5,$J164,$I164),daily_dates,0),MATCH($B$3,daily_items,0))),NA(),INDEX(big_daily_table,MATCH(DATE(P$5,$J164,$I164),daily_dates,0),MATCH($B$3,daily_items,0)))</f>
        <v>#N/A</v>
      </c>
      <c r="Q164" s="1" t="str">
        <f t="array" ref="Q164">IF(ISBLANK(INDEX(big_daily_table,MATCH(DATE(Q$5,$J164,$I164),daily_dates,0),MATCH($B$3,daily_items,0))),NA(),INDEX(big_daily_table,MATCH(DATE(Q$5,$J164,$I164),daily_dates,0),MATCH($B$3,daily_items,0)))</f>
        <v>#N/A</v>
      </c>
      <c r="R164" s="1" t="str">
        <f t="array" ref="R164">IF(ISBLANK(INDEX(big_daily_table,MATCH(DATE(R$5,$J164,$I164),daily_dates,0),MATCH($B$3,daily_items,0))),NA(),INDEX(big_daily_table,MATCH(DATE(R$5,$J164,$I164),daily_dates,0),MATCH($B$3,daily_items,0)))</f>
        <v>#N/A</v>
      </c>
      <c r="S164" s="1" t="str">
        <f t="array" ref="S164">IF(ISBLANK(INDEX(big_daily_table,MATCH(DATE(S$5,$J164,$I164),daily_dates,0),MATCH($B$3,daily_items,0))),NA(),INDEX(big_daily_table,MATCH(DATE(S$5,$J164,$I164),daily_dates,0),MATCH($B$3,daily_items,0)))</f>
        <v>#N/A</v>
      </c>
      <c r="T164" s="1" t="str">
        <f t="array" ref="T164">IF(ISBLANK(INDEX(big_daily_table,MATCH(DATE(T$5,$J164,$I164),daily_dates,0),MATCH($B$3,daily_items,0))),NA(),INDEX(big_daily_table,MATCH(DATE(T$5,$J164,$I164),daily_dates,0),MATCH($B$3,daily_items,0)))</f>
        <v>#N/A</v>
      </c>
      <c r="U164" s="1" t="str">
        <f t="array" ref="U164">IF(ISBLANK(INDEX(big_daily_table,MATCH(DATE(U$5,$J164,$I164),daily_dates,0),MATCH($B$3,daily_items,0))),NA(),INDEX(big_daily_table,MATCH(DATE(U$5,$J164,$I164),daily_dates,0),MATCH($B$3,daily_items,0)))</f>
        <v>#N/A</v>
      </c>
      <c r="V164" s="1" t="str">
        <f t="array" ref="V164">IF(ISBLANK(INDEX(big_daily_table,MATCH(DATE(V$5,$J164,$I164),daily_dates,0),MATCH($B$3,daily_items,0))),NA(),INDEX(big_daily_table,MATCH(DATE(V$5,$J164,$I164),daily_dates,0),MATCH($B$3,daily_items,0)))</f>
        <v>#N/A</v>
      </c>
      <c r="W164" s="1" t="str">
        <f t="array" ref="W164">IF(ISBLANK(INDEX(big_daily_table,MATCH(DATE(W$5,$J164,$I164),daily_dates,0),MATCH($B$3,daily_items,0))),NA(),INDEX(big_daily_table,MATCH(DATE(W$5,$J164,$I164),daily_dates,0),MATCH($B$3,daily_items,0)))</f>
        <v>#N/A</v>
      </c>
      <c r="X164" s="1" t="str">
        <f t="array" ref="X164">IF(ISBLANK(INDEX(big_daily_table,MATCH(DATE(X$5,$J164,$I164),daily_dates,0),MATCH($B$3,daily_items,0))),NA(),INDEX(big_daily_table,MATCH(DATE(X$5,$J164,$I164),daily_dates,0),MATCH($B$3,daily_items,0)))</f>
        <v>#N/A</v>
      </c>
      <c r="Y164" s="1" t="str">
        <f t="array" ref="Y164">IF(ISBLANK(INDEX(big_daily_table,MATCH(DATE(Y$5,$J164,$I164),daily_dates,0),MATCH($B$3,daily_items,0))),NA(),INDEX(big_daily_table,MATCH(DATE(Y$5,$J164,$I164),daily_dates,0),MATCH($B$3,daily_items,0)))</f>
        <v>#N/A</v>
      </c>
      <c r="Z164" s="1" t="str">
        <f t="shared" si="5"/>
        <v>#NAME?</v>
      </c>
      <c r="AA164" s="1" t="str">
        <f t="shared" si="6"/>
        <v>#NAME?</v>
      </c>
      <c r="AB164" s="1" t="str">
        <f t="shared" si="7"/>
        <v>#NAME?</v>
      </c>
      <c r="AC164" s="1" t="str">
        <f t="shared" si="8"/>
        <v>#NAME?</v>
      </c>
    </row>
    <row r="165" ht="14.25" customHeight="1">
      <c r="H165" s="1">
        <f t="shared" si="9"/>
        <v>160</v>
      </c>
      <c r="I165" s="1">
        <f t="shared" si="2"/>
        <v>8</v>
      </c>
      <c r="J165" s="1">
        <f t="shared" si="3"/>
        <v>6</v>
      </c>
      <c r="K165" s="23">
        <f t="shared" si="10"/>
        <v>36685</v>
      </c>
      <c r="L165" s="24">
        <f t="shared" si="4"/>
        <v>-1000000</v>
      </c>
      <c r="M165" s="1" t="str">
        <f t="array" ref="M165">IF(K165&gt;0,INDEX(big_daily_table,MATCH(DATE(N$5,$J165,$I165),daily_dates,0),MATCH($B$3,daily_items,0)),NA())</f>
        <v>#N/A</v>
      </c>
      <c r="N165" s="1" t="str">
        <f t="array" ref="N165">IF(L165&lt;0,INDEX(big_daily_table,MATCH(DATE(N$5,$J165,$I165),daily_dates,0),MATCH($B$3,daily_items,0)),NA())</f>
        <v>#N/A</v>
      </c>
      <c r="O165" s="1" t="str">
        <f t="array" ref="O165">IF(ISBLANK(INDEX(big_daily_table,MATCH(DATE(O$5,$J165,$I165),daily_dates,0),MATCH($B$3,daily_items,0))),NA(),INDEX(big_daily_table,MATCH(DATE(O$5,$J165,$I165),daily_dates,0),MATCH($B$3,daily_items,0)))</f>
        <v>#N/A</v>
      </c>
      <c r="P165" s="1" t="str">
        <f t="array" ref="P165">IF(ISBLANK(INDEX(big_daily_table,MATCH(DATE(P$5,$J165,$I165),daily_dates,0),MATCH($B$3,daily_items,0))),NA(),INDEX(big_daily_table,MATCH(DATE(P$5,$J165,$I165),daily_dates,0),MATCH($B$3,daily_items,0)))</f>
        <v>#N/A</v>
      </c>
      <c r="Q165" s="1" t="str">
        <f t="array" ref="Q165">IF(ISBLANK(INDEX(big_daily_table,MATCH(DATE(Q$5,$J165,$I165),daily_dates,0),MATCH($B$3,daily_items,0))),NA(),INDEX(big_daily_table,MATCH(DATE(Q$5,$J165,$I165),daily_dates,0),MATCH($B$3,daily_items,0)))</f>
        <v>#N/A</v>
      </c>
      <c r="R165" s="1" t="str">
        <f t="array" ref="R165">IF(ISBLANK(INDEX(big_daily_table,MATCH(DATE(R$5,$J165,$I165),daily_dates,0),MATCH($B$3,daily_items,0))),NA(),INDEX(big_daily_table,MATCH(DATE(R$5,$J165,$I165),daily_dates,0),MATCH($B$3,daily_items,0)))</f>
        <v>#N/A</v>
      </c>
      <c r="S165" s="1" t="str">
        <f t="array" ref="S165">IF(ISBLANK(INDEX(big_daily_table,MATCH(DATE(S$5,$J165,$I165),daily_dates,0),MATCH($B$3,daily_items,0))),NA(),INDEX(big_daily_table,MATCH(DATE(S$5,$J165,$I165),daily_dates,0),MATCH($B$3,daily_items,0)))</f>
        <v>#N/A</v>
      </c>
      <c r="T165" s="1" t="str">
        <f t="array" ref="T165">IF(ISBLANK(INDEX(big_daily_table,MATCH(DATE(T$5,$J165,$I165),daily_dates,0),MATCH($B$3,daily_items,0))),NA(),INDEX(big_daily_table,MATCH(DATE(T$5,$J165,$I165),daily_dates,0),MATCH($B$3,daily_items,0)))</f>
        <v>#N/A</v>
      </c>
      <c r="U165" s="1" t="str">
        <f t="array" ref="U165">IF(ISBLANK(INDEX(big_daily_table,MATCH(DATE(U$5,$J165,$I165),daily_dates,0),MATCH($B$3,daily_items,0))),NA(),INDEX(big_daily_table,MATCH(DATE(U$5,$J165,$I165),daily_dates,0),MATCH($B$3,daily_items,0)))</f>
        <v>#N/A</v>
      </c>
      <c r="V165" s="1" t="str">
        <f t="array" ref="V165">IF(ISBLANK(INDEX(big_daily_table,MATCH(DATE(V$5,$J165,$I165),daily_dates,0),MATCH($B$3,daily_items,0))),NA(),INDEX(big_daily_table,MATCH(DATE(V$5,$J165,$I165),daily_dates,0),MATCH($B$3,daily_items,0)))</f>
        <v>#N/A</v>
      </c>
      <c r="W165" s="1" t="str">
        <f t="array" ref="W165">IF(ISBLANK(INDEX(big_daily_table,MATCH(DATE(W$5,$J165,$I165),daily_dates,0),MATCH($B$3,daily_items,0))),NA(),INDEX(big_daily_table,MATCH(DATE(W$5,$J165,$I165),daily_dates,0),MATCH($B$3,daily_items,0)))</f>
        <v>#N/A</v>
      </c>
      <c r="X165" s="1" t="str">
        <f t="array" ref="X165">IF(ISBLANK(INDEX(big_daily_table,MATCH(DATE(X$5,$J165,$I165),daily_dates,0),MATCH($B$3,daily_items,0))),NA(),INDEX(big_daily_table,MATCH(DATE(X$5,$J165,$I165),daily_dates,0),MATCH($B$3,daily_items,0)))</f>
        <v>#N/A</v>
      </c>
      <c r="Y165" s="1" t="str">
        <f t="array" ref="Y165">IF(ISBLANK(INDEX(big_daily_table,MATCH(DATE(Y$5,$J165,$I165),daily_dates,0),MATCH($B$3,daily_items,0))),NA(),INDEX(big_daily_table,MATCH(DATE(Y$5,$J165,$I165),daily_dates,0),MATCH($B$3,daily_items,0)))</f>
        <v>#N/A</v>
      </c>
      <c r="Z165" s="1" t="str">
        <f t="shared" si="5"/>
        <v>#NAME?</v>
      </c>
      <c r="AA165" s="1" t="str">
        <f t="shared" si="6"/>
        <v>#NAME?</v>
      </c>
      <c r="AB165" s="1" t="str">
        <f t="shared" si="7"/>
        <v>#NAME?</v>
      </c>
      <c r="AC165" s="1" t="str">
        <f t="shared" si="8"/>
        <v>#NAME?</v>
      </c>
    </row>
    <row r="166" ht="14.25" customHeight="1">
      <c r="H166" s="1">
        <f t="shared" si="9"/>
        <v>161</v>
      </c>
      <c r="I166" s="1">
        <f t="shared" si="2"/>
        <v>9</v>
      </c>
      <c r="J166" s="1">
        <f t="shared" si="3"/>
        <v>6</v>
      </c>
      <c r="K166" s="23">
        <f t="shared" si="10"/>
        <v>36686</v>
      </c>
      <c r="L166" s="24">
        <f t="shared" si="4"/>
        <v>-1000000</v>
      </c>
      <c r="M166" s="1" t="str">
        <f t="array" ref="M166">IF(K166&gt;0,INDEX(big_daily_table,MATCH(DATE(N$5,$J166,$I166),daily_dates,0),MATCH($B$3,daily_items,0)),NA())</f>
        <v>#N/A</v>
      </c>
      <c r="N166" s="1" t="str">
        <f t="array" ref="N166">IF(L166&lt;0,INDEX(big_daily_table,MATCH(DATE(N$5,$J166,$I166),daily_dates,0),MATCH($B$3,daily_items,0)),NA())</f>
        <v>#N/A</v>
      </c>
      <c r="O166" s="1" t="str">
        <f t="array" ref="O166">IF(ISBLANK(INDEX(big_daily_table,MATCH(DATE(O$5,$J166,$I166),daily_dates,0),MATCH($B$3,daily_items,0))),NA(),INDEX(big_daily_table,MATCH(DATE(O$5,$J166,$I166),daily_dates,0),MATCH($B$3,daily_items,0)))</f>
        <v>#N/A</v>
      </c>
      <c r="P166" s="1" t="str">
        <f t="array" ref="P166">IF(ISBLANK(INDEX(big_daily_table,MATCH(DATE(P$5,$J166,$I166),daily_dates,0),MATCH($B$3,daily_items,0))),NA(),INDEX(big_daily_table,MATCH(DATE(P$5,$J166,$I166),daily_dates,0),MATCH($B$3,daily_items,0)))</f>
        <v>#N/A</v>
      </c>
      <c r="Q166" s="1" t="str">
        <f t="array" ref="Q166">IF(ISBLANK(INDEX(big_daily_table,MATCH(DATE(Q$5,$J166,$I166),daily_dates,0),MATCH($B$3,daily_items,0))),NA(),INDEX(big_daily_table,MATCH(DATE(Q$5,$J166,$I166),daily_dates,0),MATCH($B$3,daily_items,0)))</f>
        <v>#N/A</v>
      </c>
      <c r="R166" s="1" t="str">
        <f t="array" ref="R166">IF(ISBLANK(INDEX(big_daily_table,MATCH(DATE(R$5,$J166,$I166),daily_dates,0),MATCH($B$3,daily_items,0))),NA(),INDEX(big_daily_table,MATCH(DATE(R$5,$J166,$I166),daily_dates,0),MATCH($B$3,daily_items,0)))</f>
        <v>#N/A</v>
      </c>
      <c r="S166" s="1" t="str">
        <f t="array" ref="S166">IF(ISBLANK(INDEX(big_daily_table,MATCH(DATE(S$5,$J166,$I166),daily_dates,0),MATCH($B$3,daily_items,0))),NA(),INDEX(big_daily_table,MATCH(DATE(S$5,$J166,$I166),daily_dates,0),MATCH($B$3,daily_items,0)))</f>
        <v>#N/A</v>
      </c>
      <c r="T166" s="1" t="str">
        <f t="array" ref="T166">IF(ISBLANK(INDEX(big_daily_table,MATCH(DATE(T$5,$J166,$I166),daily_dates,0),MATCH($B$3,daily_items,0))),NA(),INDEX(big_daily_table,MATCH(DATE(T$5,$J166,$I166),daily_dates,0),MATCH($B$3,daily_items,0)))</f>
        <v>#N/A</v>
      </c>
      <c r="U166" s="1" t="str">
        <f t="array" ref="U166">IF(ISBLANK(INDEX(big_daily_table,MATCH(DATE(U$5,$J166,$I166),daily_dates,0),MATCH($B$3,daily_items,0))),NA(),INDEX(big_daily_table,MATCH(DATE(U$5,$J166,$I166),daily_dates,0),MATCH($B$3,daily_items,0)))</f>
        <v>#N/A</v>
      </c>
      <c r="V166" s="1" t="str">
        <f t="array" ref="V166">IF(ISBLANK(INDEX(big_daily_table,MATCH(DATE(V$5,$J166,$I166),daily_dates,0),MATCH($B$3,daily_items,0))),NA(),INDEX(big_daily_table,MATCH(DATE(V$5,$J166,$I166),daily_dates,0),MATCH($B$3,daily_items,0)))</f>
        <v>#N/A</v>
      </c>
      <c r="W166" s="1" t="str">
        <f t="array" ref="W166">IF(ISBLANK(INDEX(big_daily_table,MATCH(DATE(W$5,$J166,$I166),daily_dates,0),MATCH($B$3,daily_items,0))),NA(),INDEX(big_daily_table,MATCH(DATE(W$5,$J166,$I166),daily_dates,0),MATCH($B$3,daily_items,0)))</f>
        <v>#N/A</v>
      </c>
      <c r="X166" s="1" t="str">
        <f t="array" ref="X166">IF(ISBLANK(INDEX(big_daily_table,MATCH(DATE(X$5,$J166,$I166),daily_dates,0),MATCH($B$3,daily_items,0))),NA(),INDEX(big_daily_table,MATCH(DATE(X$5,$J166,$I166),daily_dates,0),MATCH($B$3,daily_items,0)))</f>
        <v>#N/A</v>
      </c>
      <c r="Y166" s="1" t="str">
        <f t="array" ref="Y166">IF(ISBLANK(INDEX(big_daily_table,MATCH(DATE(Y$5,$J166,$I166),daily_dates,0),MATCH($B$3,daily_items,0))),NA(),INDEX(big_daily_table,MATCH(DATE(Y$5,$J166,$I166),daily_dates,0),MATCH($B$3,daily_items,0)))</f>
        <v>#N/A</v>
      </c>
      <c r="Z166" s="1" t="str">
        <f t="shared" si="5"/>
        <v>#NAME?</v>
      </c>
      <c r="AA166" s="1" t="str">
        <f t="shared" si="6"/>
        <v>#NAME?</v>
      </c>
      <c r="AB166" s="1" t="str">
        <f t="shared" si="7"/>
        <v>#NAME?</v>
      </c>
      <c r="AC166" s="1" t="str">
        <f t="shared" si="8"/>
        <v>#NAME?</v>
      </c>
    </row>
    <row r="167" ht="14.25" customHeight="1">
      <c r="H167" s="1">
        <f t="shared" si="9"/>
        <v>162</v>
      </c>
      <c r="I167" s="1">
        <f t="shared" si="2"/>
        <v>10</v>
      </c>
      <c r="J167" s="1">
        <f t="shared" si="3"/>
        <v>6</v>
      </c>
      <c r="K167" s="23">
        <f t="shared" si="10"/>
        <v>36687</v>
      </c>
      <c r="L167" s="24">
        <f t="shared" si="4"/>
        <v>-1000000</v>
      </c>
      <c r="M167" s="1" t="str">
        <f t="array" ref="M167">IF(K167&gt;0,INDEX(big_daily_table,MATCH(DATE(N$5,$J167,$I167),daily_dates,0),MATCH($B$3,daily_items,0)),NA())</f>
        <v>#N/A</v>
      </c>
      <c r="N167" s="1" t="str">
        <f t="array" ref="N167">IF(L167&lt;0,INDEX(big_daily_table,MATCH(DATE(N$5,$J167,$I167),daily_dates,0),MATCH($B$3,daily_items,0)),NA())</f>
        <v>#N/A</v>
      </c>
      <c r="O167" s="1" t="str">
        <f t="array" ref="O167">IF(ISBLANK(INDEX(big_daily_table,MATCH(DATE(O$5,$J167,$I167),daily_dates,0),MATCH($B$3,daily_items,0))),NA(),INDEX(big_daily_table,MATCH(DATE(O$5,$J167,$I167),daily_dates,0),MATCH($B$3,daily_items,0)))</f>
        <v>#N/A</v>
      </c>
      <c r="P167" s="1" t="str">
        <f t="array" ref="P167">IF(ISBLANK(INDEX(big_daily_table,MATCH(DATE(P$5,$J167,$I167),daily_dates,0),MATCH($B$3,daily_items,0))),NA(),INDEX(big_daily_table,MATCH(DATE(P$5,$J167,$I167),daily_dates,0),MATCH($B$3,daily_items,0)))</f>
        <v>#N/A</v>
      </c>
      <c r="Q167" s="1" t="str">
        <f t="array" ref="Q167">IF(ISBLANK(INDEX(big_daily_table,MATCH(DATE(Q$5,$J167,$I167),daily_dates,0),MATCH($B$3,daily_items,0))),NA(),INDEX(big_daily_table,MATCH(DATE(Q$5,$J167,$I167),daily_dates,0),MATCH($B$3,daily_items,0)))</f>
        <v>#N/A</v>
      </c>
      <c r="R167" s="1" t="str">
        <f t="array" ref="R167">IF(ISBLANK(INDEX(big_daily_table,MATCH(DATE(R$5,$J167,$I167),daily_dates,0),MATCH($B$3,daily_items,0))),NA(),INDEX(big_daily_table,MATCH(DATE(R$5,$J167,$I167),daily_dates,0),MATCH($B$3,daily_items,0)))</f>
        <v>#N/A</v>
      </c>
      <c r="S167" s="1" t="str">
        <f t="array" ref="S167">IF(ISBLANK(INDEX(big_daily_table,MATCH(DATE(S$5,$J167,$I167),daily_dates,0),MATCH($B$3,daily_items,0))),NA(),INDEX(big_daily_table,MATCH(DATE(S$5,$J167,$I167),daily_dates,0),MATCH($B$3,daily_items,0)))</f>
        <v>#N/A</v>
      </c>
      <c r="T167" s="1" t="str">
        <f t="array" ref="T167">IF(ISBLANK(INDEX(big_daily_table,MATCH(DATE(T$5,$J167,$I167),daily_dates,0),MATCH($B$3,daily_items,0))),NA(),INDEX(big_daily_table,MATCH(DATE(T$5,$J167,$I167),daily_dates,0),MATCH($B$3,daily_items,0)))</f>
        <v>#N/A</v>
      </c>
      <c r="U167" s="1" t="str">
        <f t="array" ref="U167">IF(ISBLANK(INDEX(big_daily_table,MATCH(DATE(U$5,$J167,$I167),daily_dates,0),MATCH($B$3,daily_items,0))),NA(),INDEX(big_daily_table,MATCH(DATE(U$5,$J167,$I167),daily_dates,0),MATCH($B$3,daily_items,0)))</f>
        <v>#N/A</v>
      </c>
      <c r="V167" s="1" t="str">
        <f t="array" ref="V167">IF(ISBLANK(INDEX(big_daily_table,MATCH(DATE(V$5,$J167,$I167),daily_dates,0),MATCH($B$3,daily_items,0))),NA(),INDEX(big_daily_table,MATCH(DATE(V$5,$J167,$I167),daily_dates,0),MATCH($B$3,daily_items,0)))</f>
        <v>#N/A</v>
      </c>
      <c r="W167" s="1" t="str">
        <f t="array" ref="W167">IF(ISBLANK(INDEX(big_daily_table,MATCH(DATE(W$5,$J167,$I167),daily_dates,0),MATCH($B$3,daily_items,0))),NA(),INDEX(big_daily_table,MATCH(DATE(W$5,$J167,$I167),daily_dates,0),MATCH($B$3,daily_items,0)))</f>
        <v>#N/A</v>
      </c>
      <c r="X167" s="1" t="str">
        <f t="array" ref="X167">IF(ISBLANK(INDEX(big_daily_table,MATCH(DATE(X$5,$J167,$I167),daily_dates,0),MATCH($B$3,daily_items,0))),NA(),INDEX(big_daily_table,MATCH(DATE(X$5,$J167,$I167),daily_dates,0),MATCH($B$3,daily_items,0)))</f>
        <v>#N/A</v>
      </c>
      <c r="Y167" s="1" t="str">
        <f t="array" ref="Y167">IF(ISBLANK(INDEX(big_daily_table,MATCH(DATE(Y$5,$J167,$I167),daily_dates,0),MATCH($B$3,daily_items,0))),NA(),INDEX(big_daily_table,MATCH(DATE(Y$5,$J167,$I167),daily_dates,0),MATCH($B$3,daily_items,0)))</f>
        <v>#N/A</v>
      </c>
      <c r="Z167" s="1" t="str">
        <f t="shared" si="5"/>
        <v>#NAME?</v>
      </c>
      <c r="AA167" s="1" t="str">
        <f t="shared" si="6"/>
        <v>#NAME?</v>
      </c>
      <c r="AB167" s="1" t="str">
        <f t="shared" si="7"/>
        <v>#NAME?</v>
      </c>
      <c r="AC167" s="1" t="str">
        <f t="shared" si="8"/>
        <v>#NAME?</v>
      </c>
    </row>
    <row r="168" ht="14.25" customHeight="1">
      <c r="H168" s="1">
        <f t="shared" si="9"/>
        <v>163</v>
      </c>
      <c r="I168" s="1">
        <f t="shared" si="2"/>
        <v>11</v>
      </c>
      <c r="J168" s="1">
        <f t="shared" si="3"/>
        <v>6</v>
      </c>
      <c r="K168" s="23">
        <f t="shared" si="10"/>
        <v>36688</v>
      </c>
      <c r="L168" s="24">
        <f t="shared" si="4"/>
        <v>-1000000</v>
      </c>
      <c r="M168" s="1" t="str">
        <f t="array" ref="M168">IF(K168&gt;0,INDEX(big_daily_table,MATCH(DATE(N$5,$J168,$I168),daily_dates,0),MATCH($B$3,daily_items,0)),NA())</f>
        <v>#N/A</v>
      </c>
      <c r="N168" s="1" t="str">
        <f t="array" ref="N168">IF(L168&lt;0,INDEX(big_daily_table,MATCH(DATE(N$5,$J168,$I168),daily_dates,0),MATCH($B$3,daily_items,0)),NA())</f>
        <v>#N/A</v>
      </c>
      <c r="O168" s="1" t="str">
        <f t="array" ref="O168">IF(ISBLANK(INDEX(big_daily_table,MATCH(DATE(O$5,$J168,$I168),daily_dates,0),MATCH($B$3,daily_items,0))),NA(),INDEX(big_daily_table,MATCH(DATE(O$5,$J168,$I168),daily_dates,0),MATCH($B$3,daily_items,0)))</f>
        <v>#N/A</v>
      </c>
      <c r="P168" s="1" t="str">
        <f t="array" ref="P168">IF(ISBLANK(INDEX(big_daily_table,MATCH(DATE(P$5,$J168,$I168),daily_dates,0),MATCH($B$3,daily_items,0))),NA(),INDEX(big_daily_table,MATCH(DATE(P$5,$J168,$I168),daily_dates,0),MATCH($B$3,daily_items,0)))</f>
        <v>#N/A</v>
      </c>
      <c r="Q168" s="1" t="str">
        <f t="array" ref="Q168">IF(ISBLANK(INDEX(big_daily_table,MATCH(DATE(Q$5,$J168,$I168),daily_dates,0),MATCH($B$3,daily_items,0))),NA(),INDEX(big_daily_table,MATCH(DATE(Q$5,$J168,$I168),daily_dates,0),MATCH($B$3,daily_items,0)))</f>
        <v>#N/A</v>
      </c>
      <c r="R168" s="1" t="str">
        <f t="array" ref="R168">IF(ISBLANK(INDEX(big_daily_table,MATCH(DATE(R$5,$J168,$I168),daily_dates,0),MATCH($B$3,daily_items,0))),NA(),INDEX(big_daily_table,MATCH(DATE(R$5,$J168,$I168),daily_dates,0),MATCH($B$3,daily_items,0)))</f>
        <v>#N/A</v>
      </c>
      <c r="S168" s="1" t="str">
        <f t="array" ref="S168">IF(ISBLANK(INDEX(big_daily_table,MATCH(DATE(S$5,$J168,$I168),daily_dates,0),MATCH($B$3,daily_items,0))),NA(),INDEX(big_daily_table,MATCH(DATE(S$5,$J168,$I168),daily_dates,0),MATCH($B$3,daily_items,0)))</f>
        <v>#N/A</v>
      </c>
      <c r="T168" s="1" t="str">
        <f t="array" ref="T168">IF(ISBLANK(INDEX(big_daily_table,MATCH(DATE(T$5,$J168,$I168),daily_dates,0),MATCH($B$3,daily_items,0))),NA(),INDEX(big_daily_table,MATCH(DATE(T$5,$J168,$I168),daily_dates,0),MATCH($B$3,daily_items,0)))</f>
        <v>#N/A</v>
      </c>
      <c r="U168" s="1" t="str">
        <f t="array" ref="U168">IF(ISBLANK(INDEX(big_daily_table,MATCH(DATE(U$5,$J168,$I168),daily_dates,0),MATCH($B$3,daily_items,0))),NA(),INDEX(big_daily_table,MATCH(DATE(U$5,$J168,$I168),daily_dates,0),MATCH($B$3,daily_items,0)))</f>
        <v>#N/A</v>
      </c>
      <c r="V168" s="1" t="str">
        <f t="array" ref="V168">IF(ISBLANK(INDEX(big_daily_table,MATCH(DATE(V$5,$J168,$I168),daily_dates,0),MATCH($B$3,daily_items,0))),NA(),INDEX(big_daily_table,MATCH(DATE(V$5,$J168,$I168),daily_dates,0),MATCH($B$3,daily_items,0)))</f>
        <v>#N/A</v>
      </c>
      <c r="W168" s="1" t="str">
        <f t="array" ref="W168">IF(ISBLANK(INDEX(big_daily_table,MATCH(DATE(W$5,$J168,$I168),daily_dates,0),MATCH($B$3,daily_items,0))),NA(),INDEX(big_daily_table,MATCH(DATE(W$5,$J168,$I168),daily_dates,0),MATCH($B$3,daily_items,0)))</f>
        <v>#N/A</v>
      </c>
      <c r="X168" s="1" t="str">
        <f t="array" ref="X168">IF(ISBLANK(INDEX(big_daily_table,MATCH(DATE(X$5,$J168,$I168),daily_dates,0),MATCH($B$3,daily_items,0))),NA(),INDEX(big_daily_table,MATCH(DATE(X$5,$J168,$I168),daily_dates,0),MATCH($B$3,daily_items,0)))</f>
        <v>#N/A</v>
      </c>
      <c r="Y168" s="1" t="str">
        <f t="array" ref="Y168">IF(ISBLANK(INDEX(big_daily_table,MATCH(DATE(Y$5,$J168,$I168),daily_dates,0),MATCH($B$3,daily_items,0))),NA(),INDEX(big_daily_table,MATCH(DATE(Y$5,$J168,$I168),daily_dates,0),MATCH($B$3,daily_items,0)))</f>
        <v>#N/A</v>
      </c>
      <c r="Z168" s="1" t="str">
        <f t="shared" si="5"/>
        <v>#NAME?</v>
      </c>
      <c r="AA168" s="1" t="str">
        <f t="shared" si="6"/>
        <v>#NAME?</v>
      </c>
      <c r="AB168" s="1" t="str">
        <f t="shared" si="7"/>
        <v>#NAME?</v>
      </c>
      <c r="AC168" s="1" t="str">
        <f t="shared" si="8"/>
        <v>#NAME?</v>
      </c>
    </row>
    <row r="169" ht="14.25" customHeight="1">
      <c r="H169" s="1">
        <f t="shared" si="9"/>
        <v>164</v>
      </c>
      <c r="I169" s="1">
        <f t="shared" si="2"/>
        <v>12</v>
      </c>
      <c r="J169" s="1">
        <f t="shared" si="3"/>
        <v>6</v>
      </c>
      <c r="K169" s="23">
        <f t="shared" si="10"/>
        <v>36689</v>
      </c>
      <c r="L169" s="24">
        <f t="shared" si="4"/>
        <v>-1000000</v>
      </c>
      <c r="M169" s="1" t="str">
        <f t="array" ref="M169">IF(K169&gt;0,INDEX(big_daily_table,MATCH(DATE(N$5,$J169,$I169),daily_dates,0),MATCH($B$3,daily_items,0)),NA())</f>
        <v>#N/A</v>
      </c>
      <c r="N169" s="1" t="str">
        <f t="array" ref="N169">IF(L169&lt;0,INDEX(big_daily_table,MATCH(DATE(N$5,$J169,$I169),daily_dates,0),MATCH($B$3,daily_items,0)),NA())</f>
        <v>#N/A</v>
      </c>
      <c r="O169" s="1" t="str">
        <f t="array" ref="O169">IF(ISBLANK(INDEX(big_daily_table,MATCH(DATE(O$5,$J169,$I169),daily_dates,0),MATCH($B$3,daily_items,0))),NA(),INDEX(big_daily_table,MATCH(DATE(O$5,$J169,$I169),daily_dates,0),MATCH($B$3,daily_items,0)))</f>
        <v>#N/A</v>
      </c>
      <c r="P169" s="1" t="str">
        <f t="array" ref="P169">IF(ISBLANK(INDEX(big_daily_table,MATCH(DATE(P$5,$J169,$I169),daily_dates,0),MATCH($B$3,daily_items,0))),NA(),INDEX(big_daily_table,MATCH(DATE(P$5,$J169,$I169),daily_dates,0),MATCH($B$3,daily_items,0)))</f>
        <v>#N/A</v>
      </c>
      <c r="Q169" s="1" t="str">
        <f t="array" ref="Q169">IF(ISBLANK(INDEX(big_daily_table,MATCH(DATE(Q$5,$J169,$I169),daily_dates,0),MATCH($B$3,daily_items,0))),NA(),INDEX(big_daily_table,MATCH(DATE(Q$5,$J169,$I169),daily_dates,0),MATCH($B$3,daily_items,0)))</f>
        <v>#N/A</v>
      </c>
      <c r="R169" s="1" t="str">
        <f t="array" ref="R169">IF(ISBLANK(INDEX(big_daily_table,MATCH(DATE(R$5,$J169,$I169),daily_dates,0),MATCH($B$3,daily_items,0))),NA(),INDEX(big_daily_table,MATCH(DATE(R$5,$J169,$I169),daily_dates,0),MATCH($B$3,daily_items,0)))</f>
        <v>#N/A</v>
      </c>
      <c r="S169" s="1" t="str">
        <f t="array" ref="S169">IF(ISBLANK(INDEX(big_daily_table,MATCH(DATE(S$5,$J169,$I169),daily_dates,0),MATCH($B$3,daily_items,0))),NA(),INDEX(big_daily_table,MATCH(DATE(S$5,$J169,$I169),daily_dates,0),MATCH($B$3,daily_items,0)))</f>
        <v>#N/A</v>
      </c>
      <c r="T169" s="1" t="str">
        <f t="array" ref="T169">IF(ISBLANK(INDEX(big_daily_table,MATCH(DATE(T$5,$J169,$I169),daily_dates,0),MATCH($B$3,daily_items,0))),NA(),INDEX(big_daily_table,MATCH(DATE(T$5,$J169,$I169),daily_dates,0),MATCH($B$3,daily_items,0)))</f>
        <v>#N/A</v>
      </c>
      <c r="U169" s="1" t="str">
        <f t="array" ref="U169">IF(ISBLANK(INDEX(big_daily_table,MATCH(DATE(U$5,$J169,$I169),daily_dates,0),MATCH($B$3,daily_items,0))),NA(),INDEX(big_daily_table,MATCH(DATE(U$5,$J169,$I169),daily_dates,0),MATCH($B$3,daily_items,0)))</f>
        <v>#N/A</v>
      </c>
      <c r="V169" s="1" t="str">
        <f t="array" ref="V169">IF(ISBLANK(INDEX(big_daily_table,MATCH(DATE(V$5,$J169,$I169),daily_dates,0),MATCH($B$3,daily_items,0))),NA(),INDEX(big_daily_table,MATCH(DATE(V$5,$J169,$I169),daily_dates,0),MATCH($B$3,daily_items,0)))</f>
        <v>#N/A</v>
      </c>
      <c r="W169" s="1" t="str">
        <f t="array" ref="W169">IF(ISBLANK(INDEX(big_daily_table,MATCH(DATE(W$5,$J169,$I169),daily_dates,0),MATCH($B$3,daily_items,0))),NA(),INDEX(big_daily_table,MATCH(DATE(W$5,$J169,$I169),daily_dates,0),MATCH($B$3,daily_items,0)))</f>
        <v>#N/A</v>
      </c>
      <c r="X169" s="1" t="str">
        <f t="array" ref="X169">IF(ISBLANK(INDEX(big_daily_table,MATCH(DATE(X$5,$J169,$I169),daily_dates,0),MATCH($B$3,daily_items,0))),NA(),INDEX(big_daily_table,MATCH(DATE(X$5,$J169,$I169),daily_dates,0),MATCH($B$3,daily_items,0)))</f>
        <v>#N/A</v>
      </c>
      <c r="Y169" s="1" t="str">
        <f t="array" ref="Y169">IF(ISBLANK(INDEX(big_daily_table,MATCH(DATE(Y$5,$J169,$I169),daily_dates,0),MATCH($B$3,daily_items,0))),NA(),INDEX(big_daily_table,MATCH(DATE(Y$5,$J169,$I169),daily_dates,0),MATCH($B$3,daily_items,0)))</f>
        <v>#N/A</v>
      </c>
      <c r="Z169" s="1" t="str">
        <f t="shared" si="5"/>
        <v>#NAME?</v>
      </c>
      <c r="AA169" s="1" t="str">
        <f t="shared" si="6"/>
        <v>#NAME?</v>
      </c>
      <c r="AB169" s="1" t="str">
        <f t="shared" si="7"/>
        <v>#NAME?</v>
      </c>
      <c r="AC169" s="1" t="str">
        <f t="shared" si="8"/>
        <v>#NAME?</v>
      </c>
    </row>
    <row r="170" ht="14.25" customHeight="1">
      <c r="H170" s="1">
        <f t="shared" si="9"/>
        <v>165</v>
      </c>
      <c r="I170" s="1">
        <f t="shared" si="2"/>
        <v>13</v>
      </c>
      <c r="J170" s="1">
        <f t="shared" si="3"/>
        <v>6</v>
      </c>
      <c r="K170" s="23">
        <f t="shared" si="10"/>
        <v>36690</v>
      </c>
      <c r="L170" s="24">
        <f t="shared" si="4"/>
        <v>-1000000</v>
      </c>
      <c r="M170" s="1" t="str">
        <f t="array" ref="M170">IF(K170&gt;0,INDEX(big_daily_table,MATCH(DATE(N$5,$J170,$I170),daily_dates,0),MATCH($B$3,daily_items,0)),NA())</f>
        <v>#N/A</v>
      </c>
      <c r="N170" s="1" t="str">
        <f t="array" ref="N170">IF(L170&lt;0,INDEX(big_daily_table,MATCH(DATE(N$5,$J170,$I170),daily_dates,0),MATCH($B$3,daily_items,0)),NA())</f>
        <v>#N/A</v>
      </c>
      <c r="O170" s="1" t="str">
        <f t="array" ref="O170">IF(ISBLANK(INDEX(big_daily_table,MATCH(DATE(O$5,$J170,$I170),daily_dates,0),MATCH($B$3,daily_items,0))),NA(),INDEX(big_daily_table,MATCH(DATE(O$5,$J170,$I170),daily_dates,0),MATCH($B$3,daily_items,0)))</f>
        <v>#N/A</v>
      </c>
      <c r="P170" s="1" t="str">
        <f t="array" ref="P170">IF(ISBLANK(INDEX(big_daily_table,MATCH(DATE(P$5,$J170,$I170),daily_dates,0),MATCH($B$3,daily_items,0))),NA(),INDEX(big_daily_table,MATCH(DATE(P$5,$J170,$I170),daily_dates,0),MATCH($B$3,daily_items,0)))</f>
        <v>#N/A</v>
      </c>
      <c r="Q170" s="1" t="str">
        <f t="array" ref="Q170">IF(ISBLANK(INDEX(big_daily_table,MATCH(DATE(Q$5,$J170,$I170),daily_dates,0),MATCH($B$3,daily_items,0))),NA(),INDEX(big_daily_table,MATCH(DATE(Q$5,$J170,$I170),daily_dates,0),MATCH($B$3,daily_items,0)))</f>
        <v>#N/A</v>
      </c>
      <c r="R170" s="1" t="str">
        <f t="array" ref="R170">IF(ISBLANK(INDEX(big_daily_table,MATCH(DATE(R$5,$J170,$I170),daily_dates,0),MATCH($B$3,daily_items,0))),NA(),INDEX(big_daily_table,MATCH(DATE(R$5,$J170,$I170),daily_dates,0),MATCH($B$3,daily_items,0)))</f>
        <v>#N/A</v>
      </c>
      <c r="S170" s="1" t="str">
        <f t="array" ref="S170">IF(ISBLANK(INDEX(big_daily_table,MATCH(DATE(S$5,$J170,$I170),daily_dates,0),MATCH($B$3,daily_items,0))),NA(),INDEX(big_daily_table,MATCH(DATE(S$5,$J170,$I170),daily_dates,0),MATCH($B$3,daily_items,0)))</f>
        <v>#N/A</v>
      </c>
      <c r="T170" s="1" t="str">
        <f t="array" ref="T170">IF(ISBLANK(INDEX(big_daily_table,MATCH(DATE(T$5,$J170,$I170),daily_dates,0),MATCH($B$3,daily_items,0))),NA(),INDEX(big_daily_table,MATCH(DATE(T$5,$J170,$I170),daily_dates,0),MATCH($B$3,daily_items,0)))</f>
        <v>#N/A</v>
      </c>
      <c r="U170" s="1" t="str">
        <f t="array" ref="U170">IF(ISBLANK(INDEX(big_daily_table,MATCH(DATE(U$5,$J170,$I170),daily_dates,0),MATCH($B$3,daily_items,0))),NA(),INDEX(big_daily_table,MATCH(DATE(U$5,$J170,$I170),daily_dates,0),MATCH($B$3,daily_items,0)))</f>
        <v>#N/A</v>
      </c>
      <c r="V170" s="1" t="str">
        <f t="array" ref="V170">IF(ISBLANK(INDEX(big_daily_table,MATCH(DATE(V$5,$J170,$I170),daily_dates,0),MATCH($B$3,daily_items,0))),NA(),INDEX(big_daily_table,MATCH(DATE(V$5,$J170,$I170),daily_dates,0),MATCH($B$3,daily_items,0)))</f>
        <v>#N/A</v>
      </c>
      <c r="W170" s="1" t="str">
        <f t="array" ref="W170">IF(ISBLANK(INDEX(big_daily_table,MATCH(DATE(W$5,$J170,$I170),daily_dates,0),MATCH($B$3,daily_items,0))),NA(),INDEX(big_daily_table,MATCH(DATE(W$5,$J170,$I170),daily_dates,0),MATCH($B$3,daily_items,0)))</f>
        <v>#N/A</v>
      </c>
      <c r="X170" s="1" t="str">
        <f t="array" ref="X170">IF(ISBLANK(INDEX(big_daily_table,MATCH(DATE(X$5,$J170,$I170),daily_dates,0),MATCH($B$3,daily_items,0))),NA(),INDEX(big_daily_table,MATCH(DATE(X$5,$J170,$I170),daily_dates,0),MATCH($B$3,daily_items,0)))</f>
        <v>#N/A</v>
      </c>
      <c r="Y170" s="1" t="str">
        <f t="array" ref="Y170">IF(ISBLANK(INDEX(big_daily_table,MATCH(DATE(Y$5,$J170,$I170),daily_dates,0),MATCH($B$3,daily_items,0))),NA(),INDEX(big_daily_table,MATCH(DATE(Y$5,$J170,$I170),daily_dates,0),MATCH($B$3,daily_items,0)))</f>
        <v>#N/A</v>
      </c>
      <c r="Z170" s="1" t="str">
        <f t="shared" si="5"/>
        <v>#NAME?</v>
      </c>
      <c r="AA170" s="1" t="str">
        <f t="shared" si="6"/>
        <v>#NAME?</v>
      </c>
      <c r="AB170" s="1" t="str">
        <f t="shared" si="7"/>
        <v>#NAME?</v>
      </c>
      <c r="AC170" s="1" t="str">
        <f t="shared" si="8"/>
        <v>#NAME?</v>
      </c>
    </row>
    <row r="171" ht="14.25" customHeight="1">
      <c r="H171" s="1">
        <f t="shared" si="9"/>
        <v>166</v>
      </c>
      <c r="I171" s="1">
        <f t="shared" si="2"/>
        <v>14</v>
      </c>
      <c r="J171" s="1">
        <f t="shared" si="3"/>
        <v>6</v>
      </c>
      <c r="K171" s="23">
        <f t="shared" si="10"/>
        <v>36691</v>
      </c>
      <c r="L171" s="24">
        <f t="shared" si="4"/>
        <v>-1000000</v>
      </c>
      <c r="M171" s="1" t="str">
        <f t="array" ref="M171">IF(K171&gt;0,INDEX(big_daily_table,MATCH(DATE(N$5,$J171,$I171),daily_dates,0),MATCH($B$3,daily_items,0)),NA())</f>
        <v>#N/A</v>
      </c>
      <c r="N171" s="1" t="str">
        <f t="array" ref="N171">IF(L171&lt;0,INDEX(big_daily_table,MATCH(DATE(N$5,$J171,$I171),daily_dates,0),MATCH($B$3,daily_items,0)),NA())</f>
        <v>#N/A</v>
      </c>
      <c r="O171" s="1" t="str">
        <f t="array" ref="O171">IF(ISBLANK(INDEX(big_daily_table,MATCH(DATE(O$5,$J171,$I171),daily_dates,0),MATCH($B$3,daily_items,0))),NA(),INDEX(big_daily_table,MATCH(DATE(O$5,$J171,$I171),daily_dates,0),MATCH($B$3,daily_items,0)))</f>
        <v>#N/A</v>
      </c>
      <c r="P171" s="1" t="str">
        <f t="array" ref="P171">IF(ISBLANK(INDEX(big_daily_table,MATCH(DATE(P$5,$J171,$I171),daily_dates,0),MATCH($B$3,daily_items,0))),NA(),INDEX(big_daily_table,MATCH(DATE(P$5,$J171,$I171),daily_dates,0),MATCH($B$3,daily_items,0)))</f>
        <v>#N/A</v>
      </c>
      <c r="Q171" s="1" t="str">
        <f t="array" ref="Q171">IF(ISBLANK(INDEX(big_daily_table,MATCH(DATE(Q$5,$J171,$I171),daily_dates,0),MATCH($B$3,daily_items,0))),NA(),INDEX(big_daily_table,MATCH(DATE(Q$5,$J171,$I171),daily_dates,0),MATCH($B$3,daily_items,0)))</f>
        <v>#N/A</v>
      </c>
      <c r="R171" s="1" t="str">
        <f t="array" ref="R171">IF(ISBLANK(INDEX(big_daily_table,MATCH(DATE(R$5,$J171,$I171),daily_dates,0),MATCH($B$3,daily_items,0))),NA(),INDEX(big_daily_table,MATCH(DATE(R$5,$J171,$I171),daily_dates,0),MATCH($B$3,daily_items,0)))</f>
        <v>#N/A</v>
      </c>
      <c r="S171" s="1" t="str">
        <f t="array" ref="S171">IF(ISBLANK(INDEX(big_daily_table,MATCH(DATE(S$5,$J171,$I171),daily_dates,0),MATCH($B$3,daily_items,0))),NA(),INDEX(big_daily_table,MATCH(DATE(S$5,$J171,$I171),daily_dates,0),MATCH($B$3,daily_items,0)))</f>
        <v>#N/A</v>
      </c>
      <c r="T171" s="1" t="str">
        <f t="array" ref="T171">IF(ISBLANK(INDEX(big_daily_table,MATCH(DATE(T$5,$J171,$I171),daily_dates,0),MATCH($B$3,daily_items,0))),NA(),INDEX(big_daily_table,MATCH(DATE(T$5,$J171,$I171),daily_dates,0),MATCH($B$3,daily_items,0)))</f>
        <v>#N/A</v>
      </c>
      <c r="U171" s="1" t="str">
        <f t="array" ref="U171">IF(ISBLANK(INDEX(big_daily_table,MATCH(DATE(U$5,$J171,$I171),daily_dates,0),MATCH($B$3,daily_items,0))),NA(),INDEX(big_daily_table,MATCH(DATE(U$5,$J171,$I171),daily_dates,0),MATCH($B$3,daily_items,0)))</f>
        <v>#N/A</v>
      </c>
      <c r="V171" s="1" t="str">
        <f t="array" ref="V171">IF(ISBLANK(INDEX(big_daily_table,MATCH(DATE(V$5,$J171,$I171),daily_dates,0),MATCH($B$3,daily_items,0))),NA(),INDEX(big_daily_table,MATCH(DATE(V$5,$J171,$I171),daily_dates,0),MATCH($B$3,daily_items,0)))</f>
        <v>#N/A</v>
      </c>
      <c r="W171" s="1" t="str">
        <f t="array" ref="W171">IF(ISBLANK(INDEX(big_daily_table,MATCH(DATE(W$5,$J171,$I171),daily_dates,0),MATCH($B$3,daily_items,0))),NA(),INDEX(big_daily_table,MATCH(DATE(W$5,$J171,$I171),daily_dates,0),MATCH($B$3,daily_items,0)))</f>
        <v>#N/A</v>
      </c>
      <c r="X171" s="1" t="str">
        <f t="array" ref="X171">IF(ISBLANK(INDEX(big_daily_table,MATCH(DATE(X$5,$J171,$I171),daily_dates,0),MATCH($B$3,daily_items,0))),NA(),INDEX(big_daily_table,MATCH(DATE(X$5,$J171,$I171),daily_dates,0),MATCH($B$3,daily_items,0)))</f>
        <v>#N/A</v>
      </c>
      <c r="Y171" s="1" t="str">
        <f t="array" ref="Y171">IF(ISBLANK(INDEX(big_daily_table,MATCH(DATE(Y$5,$J171,$I171),daily_dates,0),MATCH($B$3,daily_items,0))),NA(),INDEX(big_daily_table,MATCH(DATE(Y$5,$J171,$I171),daily_dates,0),MATCH($B$3,daily_items,0)))</f>
        <v>#N/A</v>
      </c>
      <c r="Z171" s="1" t="str">
        <f t="shared" si="5"/>
        <v>#NAME?</v>
      </c>
      <c r="AA171" s="1" t="str">
        <f t="shared" si="6"/>
        <v>#NAME?</v>
      </c>
      <c r="AB171" s="1" t="str">
        <f t="shared" si="7"/>
        <v>#NAME?</v>
      </c>
      <c r="AC171" s="1" t="str">
        <f t="shared" si="8"/>
        <v>#NAME?</v>
      </c>
    </row>
    <row r="172" ht="14.25" customHeight="1">
      <c r="H172" s="1">
        <f t="shared" si="9"/>
        <v>167</v>
      </c>
      <c r="I172" s="1">
        <f t="shared" si="2"/>
        <v>15</v>
      </c>
      <c r="J172" s="1">
        <f t="shared" si="3"/>
        <v>6</v>
      </c>
      <c r="K172" s="23">
        <f t="shared" si="10"/>
        <v>36692</v>
      </c>
      <c r="L172" s="24">
        <f t="shared" si="4"/>
        <v>-1000000</v>
      </c>
      <c r="M172" s="1" t="str">
        <f t="array" ref="M172">IF(K172&gt;0,INDEX(big_daily_table,MATCH(DATE(N$5,$J172,$I172),daily_dates,0),MATCH($B$3,daily_items,0)),NA())</f>
        <v>#N/A</v>
      </c>
      <c r="N172" s="1" t="str">
        <f t="array" ref="N172">IF(L172&lt;0,INDEX(big_daily_table,MATCH(DATE(N$5,$J172,$I172),daily_dates,0),MATCH($B$3,daily_items,0)),NA())</f>
        <v>#N/A</v>
      </c>
      <c r="O172" s="1" t="str">
        <f t="array" ref="O172">IF(ISBLANK(INDEX(big_daily_table,MATCH(DATE(O$5,$J172,$I172),daily_dates,0),MATCH($B$3,daily_items,0))),NA(),INDEX(big_daily_table,MATCH(DATE(O$5,$J172,$I172),daily_dates,0),MATCH($B$3,daily_items,0)))</f>
        <v>#N/A</v>
      </c>
      <c r="P172" s="1" t="str">
        <f t="array" ref="P172">IF(ISBLANK(INDEX(big_daily_table,MATCH(DATE(P$5,$J172,$I172),daily_dates,0),MATCH($B$3,daily_items,0))),NA(),INDEX(big_daily_table,MATCH(DATE(P$5,$J172,$I172),daily_dates,0),MATCH($B$3,daily_items,0)))</f>
        <v>#N/A</v>
      </c>
      <c r="Q172" s="1" t="str">
        <f t="array" ref="Q172">IF(ISBLANK(INDEX(big_daily_table,MATCH(DATE(Q$5,$J172,$I172),daily_dates,0),MATCH($B$3,daily_items,0))),NA(),INDEX(big_daily_table,MATCH(DATE(Q$5,$J172,$I172),daily_dates,0),MATCH($B$3,daily_items,0)))</f>
        <v>#N/A</v>
      </c>
      <c r="R172" s="1" t="str">
        <f t="array" ref="R172">IF(ISBLANK(INDEX(big_daily_table,MATCH(DATE(R$5,$J172,$I172),daily_dates,0),MATCH($B$3,daily_items,0))),NA(),INDEX(big_daily_table,MATCH(DATE(R$5,$J172,$I172),daily_dates,0),MATCH($B$3,daily_items,0)))</f>
        <v>#N/A</v>
      </c>
      <c r="S172" s="1" t="str">
        <f t="array" ref="S172">IF(ISBLANK(INDEX(big_daily_table,MATCH(DATE(S$5,$J172,$I172),daily_dates,0),MATCH($B$3,daily_items,0))),NA(),INDEX(big_daily_table,MATCH(DATE(S$5,$J172,$I172),daily_dates,0),MATCH($B$3,daily_items,0)))</f>
        <v>#N/A</v>
      </c>
      <c r="T172" s="1" t="str">
        <f t="array" ref="T172">IF(ISBLANK(INDEX(big_daily_table,MATCH(DATE(T$5,$J172,$I172),daily_dates,0),MATCH($B$3,daily_items,0))),NA(),INDEX(big_daily_table,MATCH(DATE(T$5,$J172,$I172),daily_dates,0),MATCH($B$3,daily_items,0)))</f>
        <v>#N/A</v>
      </c>
      <c r="U172" s="1" t="str">
        <f t="array" ref="U172">IF(ISBLANK(INDEX(big_daily_table,MATCH(DATE(U$5,$J172,$I172),daily_dates,0),MATCH($B$3,daily_items,0))),NA(),INDEX(big_daily_table,MATCH(DATE(U$5,$J172,$I172),daily_dates,0),MATCH($B$3,daily_items,0)))</f>
        <v>#N/A</v>
      </c>
      <c r="V172" s="1" t="str">
        <f t="array" ref="V172">IF(ISBLANK(INDEX(big_daily_table,MATCH(DATE(V$5,$J172,$I172),daily_dates,0),MATCH($B$3,daily_items,0))),NA(),INDEX(big_daily_table,MATCH(DATE(V$5,$J172,$I172),daily_dates,0),MATCH($B$3,daily_items,0)))</f>
        <v>#N/A</v>
      </c>
      <c r="W172" s="1" t="str">
        <f t="array" ref="W172">IF(ISBLANK(INDEX(big_daily_table,MATCH(DATE(W$5,$J172,$I172),daily_dates,0),MATCH($B$3,daily_items,0))),NA(),INDEX(big_daily_table,MATCH(DATE(W$5,$J172,$I172),daily_dates,0),MATCH($B$3,daily_items,0)))</f>
        <v>#N/A</v>
      </c>
      <c r="X172" s="1" t="str">
        <f t="array" ref="X172">IF(ISBLANK(INDEX(big_daily_table,MATCH(DATE(X$5,$J172,$I172),daily_dates,0),MATCH($B$3,daily_items,0))),NA(),INDEX(big_daily_table,MATCH(DATE(X$5,$J172,$I172),daily_dates,0),MATCH($B$3,daily_items,0)))</f>
        <v>#N/A</v>
      </c>
      <c r="Y172" s="1" t="str">
        <f t="array" ref="Y172">IF(ISBLANK(INDEX(big_daily_table,MATCH(DATE(Y$5,$J172,$I172),daily_dates,0),MATCH($B$3,daily_items,0))),NA(),INDEX(big_daily_table,MATCH(DATE(Y$5,$J172,$I172),daily_dates,0),MATCH($B$3,daily_items,0)))</f>
        <v>#N/A</v>
      </c>
      <c r="Z172" s="1" t="str">
        <f t="shared" si="5"/>
        <v>#NAME?</v>
      </c>
      <c r="AA172" s="1" t="str">
        <f t="shared" si="6"/>
        <v>#NAME?</v>
      </c>
      <c r="AB172" s="1" t="str">
        <f t="shared" si="7"/>
        <v>#NAME?</v>
      </c>
      <c r="AC172" s="1" t="str">
        <f t="shared" si="8"/>
        <v>#NAME?</v>
      </c>
    </row>
    <row r="173" ht="14.25" customHeight="1">
      <c r="H173" s="1">
        <f t="shared" si="9"/>
        <v>168</v>
      </c>
      <c r="I173" s="1">
        <f t="shared" si="2"/>
        <v>16</v>
      </c>
      <c r="J173" s="1">
        <f t="shared" si="3"/>
        <v>6</v>
      </c>
      <c r="K173" s="23">
        <f t="shared" si="10"/>
        <v>36693</v>
      </c>
      <c r="L173" s="24">
        <f t="shared" si="4"/>
        <v>-1000000</v>
      </c>
      <c r="M173" s="1" t="str">
        <f t="array" ref="M173">IF(K173&gt;0,INDEX(big_daily_table,MATCH(DATE(N$5,$J173,$I173),daily_dates,0),MATCH($B$3,daily_items,0)),NA())</f>
        <v>#N/A</v>
      </c>
      <c r="N173" s="1" t="str">
        <f t="array" ref="N173">IF(L173&lt;0,INDEX(big_daily_table,MATCH(DATE(N$5,$J173,$I173),daily_dates,0),MATCH($B$3,daily_items,0)),NA())</f>
        <v>#N/A</v>
      </c>
      <c r="O173" s="1" t="str">
        <f t="array" ref="O173">IF(ISBLANK(INDEX(big_daily_table,MATCH(DATE(O$5,$J173,$I173),daily_dates,0),MATCH($B$3,daily_items,0))),NA(),INDEX(big_daily_table,MATCH(DATE(O$5,$J173,$I173),daily_dates,0),MATCH($B$3,daily_items,0)))</f>
        <v>#N/A</v>
      </c>
      <c r="P173" s="1" t="str">
        <f t="array" ref="P173">IF(ISBLANK(INDEX(big_daily_table,MATCH(DATE(P$5,$J173,$I173),daily_dates,0),MATCH($B$3,daily_items,0))),NA(),INDEX(big_daily_table,MATCH(DATE(P$5,$J173,$I173),daily_dates,0),MATCH($B$3,daily_items,0)))</f>
        <v>#N/A</v>
      </c>
      <c r="Q173" s="1" t="str">
        <f t="array" ref="Q173">IF(ISBLANK(INDEX(big_daily_table,MATCH(DATE(Q$5,$J173,$I173),daily_dates,0),MATCH($B$3,daily_items,0))),NA(),INDEX(big_daily_table,MATCH(DATE(Q$5,$J173,$I173),daily_dates,0),MATCH($B$3,daily_items,0)))</f>
        <v>#N/A</v>
      </c>
      <c r="R173" s="1" t="str">
        <f t="array" ref="R173">IF(ISBLANK(INDEX(big_daily_table,MATCH(DATE(R$5,$J173,$I173),daily_dates,0),MATCH($B$3,daily_items,0))),NA(),INDEX(big_daily_table,MATCH(DATE(R$5,$J173,$I173),daily_dates,0),MATCH($B$3,daily_items,0)))</f>
        <v>#N/A</v>
      </c>
      <c r="S173" s="1" t="str">
        <f t="array" ref="S173">IF(ISBLANK(INDEX(big_daily_table,MATCH(DATE(S$5,$J173,$I173),daily_dates,0),MATCH($B$3,daily_items,0))),NA(),INDEX(big_daily_table,MATCH(DATE(S$5,$J173,$I173),daily_dates,0),MATCH($B$3,daily_items,0)))</f>
        <v>#N/A</v>
      </c>
      <c r="T173" s="1" t="str">
        <f t="array" ref="T173">IF(ISBLANK(INDEX(big_daily_table,MATCH(DATE(T$5,$J173,$I173),daily_dates,0),MATCH($B$3,daily_items,0))),NA(),INDEX(big_daily_table,MATCH(DATE(T$5,$J173,$I173),daily_dates,0),MATCH($B$3,daily_items,0)))</f>
        <v>#N/A</v>
      </c>
      <c r="U173" s="1" t="str">
        <f t="array" ref="U173">IF(ISBLANK(INDEX(big_daily_table,MATCH(DATE(U$5,$J173,$I173),daily_dates,0),MATCH($B$3,daily_items,0))),NA(),INDEX(big_daily_table,MATCH(DATE(U$5,$J173,$I173),daily_dates,0),MATCH($B$3,daily_items,0)))</f>
        <v>#N/A</v>
      </c>
      <c r="V173" s="1" t="str">
        <f t="array" ref="V173">IF(ISBLANK(INDEX(big_daily_table,MATCH(DATE(V$5,$J173,$I173),daily_dates,0),MATCH($B$3,daily_items,0))),NA(),INDEX(big_daily_table,MATCH(DATE(V$5,$J173,$I173),daily_dates,0),MATCH($B$3,daily_items,0)))</f>
        <v>#N/A</v>
      </c>
      <c r="W173" s="1" t="str">
        <f t="array" ref="W173">IF(ISBLANK(INDEX(big_daily_table,MATCH(DATE(W$5,$J173,$I173),daily_dates,0),MATCH($B$3,daily_items,0))),NA(),INDEX(big_daily_table,MATCH(DATE(W$5,$J173,$I173),daily_dates,0),MATCH($B$3,daily_items,0)))</f>
        <v>#N/A</v>
      </c>
      <c r="X173" s="1" t="str">
        <f t="array" ref="X173">IF(ISBLANK(INDEX(big_daily_table,MATCH(DATE(X$5,$J173,$I173),daily_dates,0),MATCH($B$3,daily_items,0))),NA(),INDEX(big_daily_table,MATCH(DATE(X$5,$J173,$I173),daily_dates,0),MATCH($B$3,daily_items,0)))</f>
        <v>#N/A</v>
      </c>
      <c r="Y173" s="1" t="str">
        <f t="array" ref="Y173">IF(ISBLANK(INDEX(big_daily_table,MATCH(DATE(Y$5,$J173,$I173),daily_dates,0),MATCH($B$3,daily_items,0))),NA(),INDEX(big_daily_table,MATCH(DATE(Y$5,$J173,$I173),daily_dates,0),MATCH($B$3,daily_items,0)))</f>
        <v>#N/A</v>
      </c>
      <c r="Z173" s="1" t="str">
        <f t="shared" si="5"/>
        <v>#NAME?</v>
      </c>
      <c r="AA173" s="1" t="str">
        <f t="shared" si="6"/>
        <v>#NAME?</v>
      </c>
      <c r="AB173" s="1" t="str">
        <f t="shared" si="7"/>
        <v>#NAME?</v>
      </c>
      <c r="AC173" s="1" t="str">
        <f t="shared" si="8"/>
        <v>#NAME?</v>
      </c>
    </row>
    <row r="174" ht="14.25" customHeight="1">
      <c r="H174" s="1">
        <f t="shared" si="9"/>
        <v>169</v>
      </c>
      <c r="I174" s="1">
        <f t="shared" si="2"/>
        <v>17</v>
      </c>
      <c r="J174" s="1">
        <f t="shared" si="3"/>
        <v>6</v>
      </c>
      <c r="K174" s="23">
        <f t="shared" si="10"/>
        <v>36694</v>
      </c>
      <c r="L174" s="24">
        <f t="shared" si="4"/>
        <v>-1000000</v>
      </c>
      <c r="M174" s="1" t="str">
        <f t="array" ref="M174">IF(K174&gt;0,INDEX(big_daily_table,MATCH(DATE(N$5,$J174,$I174),daily_dates,0),MATCH($B$3,daily_items,0)),NA())</f>
        <v>#N/A</v>
      </c>
      <c r="N174" s="1" t="str">
        <f t="array" ref="N174">IF(L174&lt;0,INDEX(big_daily_table,MATCH(DATE(N$5,$J174,$I174),daily_dates,0),MATCH($B$3,daily_items,0)),NA())</f>
        <v>#N/A</v>
      </c>
      <c r="O174" s="1" t="str">
        <f t="array" ref="O174">IF(ISBLANK(INDEX(big_daily_table,MATCH(DATE(O$5,$J174,$I174),daily_dates,0),MATCH($B$3,daily_items,0))),NA(),INDEX(big_daily_table,MATCH(DATE(O$5,$J174,$I174),daily_dates,0),MATCH($B$3,daily_items,0)))</f>
        <v>#N/A</v>
      </c>
      <c r="P174" s="1" t="str">
        <f t="array" ref="P174">IF(ISBLANK(INDEX(big_daily_table,MATCH(DATE(P$5,$J174,$I174),daily_dates,0),MATCH($B$3,daily_items,0))),NA(),INDEX(big_daily_table,MATCH(DATE(P$5,$J174,$I174),daily_dates,0),MATCH($B$3,daily_items,0)))</f>
        <v>#N/A</v>
      </c>
      <c r="Q174" s="1" t="str">
        <f t="array" ref="Q174">IF(ISBLANK(INDEX(big_daily_table,MATCH(DATE(Q$5,$J174,$I174),daily_dates,0),MATCH($B$3,daily_items,0))),NA(),INDEX(big_daily_table,MATCH(DATE(Q$5,$J174,$I174),daily_dates,0),MATCH($B$3,daily_items,0)))</f>
        <v>#N/A</v>
      </c>
      <c r="R174" s="1" t="str">
        <f t="array" ref="R174">IF(ISBLANK(INDEX(big_daily_table,MATCH(DATE(R$5,$J174,$I174),daily_dates,0),MATCH($B$3,daily_items,0))),NA(),INDEX(big_daily_table,MATCH(DATE(R$5,$J174,$I174),daily_dates,0),MATCH($B$3,daily_items,0)))</f>
        <v>#N/A</v>
      </c>
      <c r="S174" s="1" t="str">
        <f t="array" ref="S174">IF(ISBLANK(INDEX(big_daily_table,MATCH(DATE(S$5,$J174,$I174),daily_dates,0),MATCH($B$3,daily_items,0))),NA(),INDEX(big_daily_table,MATCH(DATE(S$5,$J174,$I174),daily_dates,0),MATCH($B$3,daily_items,0)))</f>
        <v>#N/A</v>
      </c>
      <c r="T174" s="1" t="str">
        <f t="array" ref="T174">IF(ISBLANK(INDEX(big_daily_table,MATCH(DATE(T$5,$J174,$I174),daily_dates,0),MATCH($B$3,daily_items,0))),NA(),INDEX(big_daily_table,MATCH(DATE(T$5,$J174,$I174),daily_dates,0),MATCH($B$3,daily_items,0)))</f>
        <v>#N/A</v>
      </c>
      <c r="U174" s="1" t="str">
        <f t="array" ref="U174">IF(ISBLANK(INDEX(big_daily_table,MATCH(DATE(U$5,$J174,$I174),daily_dates,0),MATCH($B$3,daily_items,0))),NA(),INDEX(big_daily_table,MATCH(DATE(U$5,$J174,$I174),daily_dates,0),MATCH($B$3,daily_items,0)))</f>
        <v>#N/A</v>
      </c>
      <c r="V174" s="1" t="str">
        <f t="array" ref="V174">IF(ISBLANK(INDEX(big_daily_table,MATCH(DATE(V$5,$J174,$I174),daily_dates,0),MATCH($B$3,daily_items,0))),NA(),INDEX(big_daily_table,MATCH(DATE(V$5,$J174,$I174),daily_dates,0),MATCH($B$3,daily_items,0)))</f>
        <v>#N/A</v>
      </c>
      <c r="W174" s="1" t="str">
        <f t="array" ref="W174">IF(ISBLANK(INDEX(big_daily_table,MATCH(DATE(W$5,$J174,$I174),daily_dates,0),MATCH($B$3,daily_items,0))),NA(),INDEX(big_daily_table,MATCH(DATE(W$5,$J174,$I174),daily_dates,0),MATCH($B$3,daily_items,0)))</f>
        <v>#N/A</v>
      </c>
      <c r="X174" s="1" t="str">
        <f t="array" ref="X174">IF(ISBLANK(INDEX(big_daily_table,MATCH(DATE(X$5,$J174,$I174),daily_dates,0),MATCH($B$3,daily_items,0))),NA(),INDEX(big_daily_table,MATCH(DATE(X$5,$J174,$I174),daily_dates,0),MATCH($B$3,daily_items,0)))</f>
        <v>#N/A</v>
      </c>
      <c r="Y174" s="1" t="str">
        <f t="array" ref="Y174">IF(ISBLANK(INDEX(big_daily_table,MATCH(DATE(Y$5,$J174,$I174),daily_dates,0),MATCH($B$3,daily_items,0))),NA(),INDEX(big_daily_table,MATCH(DATE(Y$5,$J174,$I174),daily_dates,0),MATCH($B$3,daily_items,0)))</f>
        <v>#N/A</v>
      </c>
      <c r="Z174" s="1" t="str">
        <f t="shared" si="5"/>
        <v>#NAME?</v>
      </c>
      <c r="AA174" s="1" t="str">
        <f t="shared" si="6"/>
        <v>#NAME?</v>
      </c>
      <c r="AB174" s="1" t="str">
        <f t="shared" si="7"/>
        <v>#NAME?</v>
      </c>
      <c r="AC174" s="1" t="str">
        <f t="shared" si="8"/>
        <v>#NAME?</v>
      </c>
    </row>
    <row r="175" ht="14.25" customHeight="1">
      <c r="H175" s="1">
        <f t="shared" si="9"/>
        <v>170</v>
      </c>
      <c r="I175" s="1">
        <f t="shared" si="2"/>
        <v>18</v>
      </c>
      <c r="J175" s="1">
        <f t="shared" si="3"/>
        <v>6</v>
      </c>
      <c r="K175" s="23">
        <f t="shared" si="10"/>
        <v>36695</v>
      </c>
      <c r="L175" s="24">
        <f t="shared" si="4"/>
        <v>-1000000</v>
      </c>
      <c r="M175" s="1" t="str">
        <f t="array" ref="M175">IF(K175&gt;0,INDEX(big_daily_table,MATCH(DATE(N$5,$J175,$I175),daily_dates,0),MATCH($B$3,daily_items,0)),NA())</f>
        <v>#N/A</v>
      </c>
      <c r="N175" s="1" t="str">
        <f t="array" ref="N175">IF(L175&lt;0,INDEX(big_daily_table,MATCH(DATE(N$5,$J175,$I175),daily_dates,0),MATCH($B$3,daily_items,0)),NA())</f>
        <v>#N/A</v>
      </c>
      <c r="O175" s="1" t="str">
        <f t="array" ref="O175">IF(ISBLANK(INDEX(big_daily_table,MATCH(DATE(O$5,$J175,$I175),daily_dates,0),MATCH($B$3,daily_items,0))),NA(),INDEX(big_daily_table,MATCH(DATE(O$5,$J175,$I175),daily_dates,0),MATCH($B$3,daily_items,0)))</f>
        <v>#N/A</v>
      </c>
      <c r="P175" s="1" t="str">
        <f t="array" ref="P175">IF(ISBLANK(INDEX(big_daily_table,MATCH(DATE(P$5,$J175,$I175),daily_dates,0),MATCH($B$3,daily_items,0))),NA(),INDEX(big_daily_table,MATCH(DATE(P$5,$J175,$I175),daily_dates,0),MATCH($B$3,daily_items,0)))</f>
        <v>#N/A</v>
      </c>
      <c r="Q175" s="1" t="str">
        <f t="array" ref="Q175">IF(ISBLANK(INDEX(big_daily_table,MATCH(DATE(Q$5,$J175,$I175),daily_dates,0),MATCH($B$3,daily_items,0))),NA(),INDEX(big_daily_table,MATCH(DATE(Q$5,$J175,$I175),daily_dates,0),MATCH($B$3,daily_items,0)))</f>
        <v>#N/A</v>
      </c>
      <c r="R175" s="1" t="str">
        <f t="array" ref="R175">IF(ISBLANK(INDEX(big_daily_table,MATCH(DATE(R$5,$J175,$I175),daily_dates,0),MATCH($B$3,daily_items,0))),NA(),INDEX(big_daily_table,MATCH(DATE(R$5,$J175,$I175),daily_dates,0),MATCH($B$3,daily_items,0)))</f>
        <v>#N/A</v>
      </c>
      <c r="S175" s="1" t="str">
        <f t="array" ref="S175">IF(ISBLANK(INDEX(big_daily_table,MATCH(DATE(S$5,$J175,$I175),daily_dates,0),MATCH($B$3,daily_items,0))),NA(),INDEX(big_daily_table,MATCH(DATE(S$5,$J175,$I175),daily_dates,0),MATCH($B$3,daily_items,0)))</f>
        <v>#N/A</v>
      </c>
      <c r="T175" s="1" t="str">
        <f t="array" ref="T175">IF(ISBLANK(INDEX(big_daily_table,MATCH(DATE(T$5,$J175,$I175),daily_dates,0),MATCH($B$3,daily_items,0))),NA(),INDEX(big_daily_table,MATCH(DATE(T$5,$J175,$I175),daily_dates,0),MATCH($B$3,daily_items,0)))</f>
        <v>#N/A</v>
      </c>
      <c r="U175" s="1" t="str">
        <f t="array" ref="U175">IF(ISBLANK(INDEX(big_daily_table,MATCH(DATE(U$5,$J175,$I175),daily_dates,0),MATCH($B$3,daily_items,0))),NA(),INDEX(big_daily_table,MATCH(DATE(U$5,$J175,$I175),daily_dates,0),MATCH($B$3,daily_items,0)))</f>
        <v>#N/A</v>
      </c>
      <c r="V175" s="1" t="str">
        <f t="array" ref="V175">IF(ISBLANK(INDEX(big_daily_table,MATCH(DATE(V$5,$J175,$I175),daily_dates,0),MATCH($B$3,daily_items,0))),NA(),INDEX(big_daily_table,MATCH(DATE(V$5,$J175,$I175),daily_dates,0),MATCH($B$3,daily_items,0)))</f>
        <v>#N/A</v>
      </c>
      <c r="W175" s="1" t="str">
        <f t="array" ref="W175">IF(ISBLANK(INDEX(big_daily_table,MATCH(DATE(W$5,$J175,$I175),daily_dates,0),MATCH($B$3,daily_items,0))),NA(),INDEX(big_daily_table,MATCH(DATE(W$5,$J175,$I175),daily_dates,0),MATCH($B$3,daily_items,0)))</f>
        <v>#N/A</v>
      </c>
      <c r="X175" s="1" t="str">
        <f t="array" ref="X175">IF(ISBLANK(INDEX(big_daily_table,MATCH(DATE(X$5,$J175,$I175),daily_dates,0),MATCH($B$3,daily_items,0))),NA(),INDEX(big_daily_table,MATCH(DATE(X$5,$J175,$I175),daily_dates,0),MATCH($B$3,daily_items,0)))</f>
        <v>#N/A</v>
      </c>
      <c r="Y175" s="1" t="str">
        <f t="array" ref="Y175">IF(ISBLANK(INDEX(big_daily_table,MATCH(DATE(Y$5,$J175,$I175),daily_dates,0),MATCH($B$3,daily_items,0))),NA(),INDEX(big_daily_table,MATCH(DATE(Y$5,$J175,$I175),daily_dates,0),MATCH($B$3,daily_items,0)))</f>
        <v>#N/A</v>
      </c>
      <c r="Z175" s="1" t="str">
        <f t="shared" si="5"/>
        <v>#NAME?</v>
      </c>
      <c r="AA175" s="1" t="str">
        <f t="shared" si="6"/>
        <v>#NAME?</v>
      </c>
      <c r="AB175" s="1" t="str">
        <f t="shared" si="7"/>
        <v>#NAME?</v>
      </c>
      <c r="AC175" s="1" t="str">
        <f t="shared" si="8"/>
        <v>#NAME?</v>
      </c>
    </row>
    <row r="176" ht="14.25" customHeight="1">
      <c r="H176" s="1">
        <f t="shared" si="9"/>
        <v>171</v>
      </c>
      <c r="I176" s="1">
        <f t="shared" si="2"/>
        <v>19</v>
      </c>
      <c r="J176" s="1">
        <f t="shared" si="3"/>
        <v>6</v>
      </c>
      <c r="K176" s="23">
        <f t="shared" si="10"/>
        <v>36696</v>
      </c>
      <c r="L176" s="24">
        <f t="shared" si="4"/>
        <v>-1000000</v>
      </c>
      <c r="M176" s="1" t="str">
        <f t="array" ref="M176">IF(K176&gt;0,INDEX(big_daily_table,MATCH(DATE(N$5,$J176,$I176),daily_dates,0),MATCH($B$3,daily_items,0)),NA())</f>
        <v>#N/A</v>
      </c>
      <c r="N176" s="1" t="str">
        <f t="array" ref="N176">IF(L176&lt;0,INDEX(big_daily_table,MATCH(DATE(N$5,$J176,$I176),daily_dates,0),MATCH($B$3,daily_items,0)),NA())</f>
        <v>#N/A</v>
      </c>
      <c r="O176" s="1" t="str">
        <f t="array" ref="O176">IF(ISBLANK(INDEX(big_daily_table,MATCH(DATE(O$5,$J176,$I176),daily_dates,0),MATCH($B$3,daily_items,0))),NA(),INDEX(big_daily_table,MATCH(DATE(O$5,$J176,$I176),daily_dates,0),MATCH($B$3,daily_items,0)))</f>
        <v>#N/A</v>
      </c>
      <c r="P176" s="1" t="str">
        <f t="array" ref="P176">IF(ISBLANK(INDEX(big_daily_table,MATCH(DATE(P$5,$J176,$I176),daily_dates,0),MATCH($B$3,daily_items,0))),NA(),INDEX(big_daily_table,MATCH(DATE(P$5,$J176,$I176),daily_dates,0),MATCH($B$3,daily_items,0)))</f>
        <v>#N/A</v>
      </c>
      <c r="Q176" s="1" t="str">
        <f t="array" ref="Q176">IF(ISBLANK(INDEX(big_daily_table,MATCH(DATE(Q$5,$J176,$I176),daily_dates,0),MATCH($B$3,daily_items,0))),NA(),INDEX(big_daily_table,MATCH(DATE(Q$5,$J176,$I176),daily_dates,0),MATCH($B$3,daily_items,0)))</f>
        <v>#N/A</v>
      </c>
      <c r="R176" s="1" t="str">
        <f t="array" ref="R176">IF(ISBLANK(INDEX(big_daily_table,MATCH(DATE(R$5,$J176,$I176),daily_dates,0),MATCH($B$3,daily_items,0))),NA(),INDEX(big_daily_table,MATCH(DATE(R$5,$J176,$I176),daily_dates,0),MATCH($B$3,daily_items,0)))</f>
        <v>#N/A</v>
      </c>
      <c r="S176" s="1" t="str">
        <f t="array" ref="S176">IF(ISBLANK(INDEX(big_daily_table,MATCH(DATE(S$5,$J176,$I176),daily_dates,0),MATCH($B$3,daily_items,0))),NA(),INDEX(big_daily_table,MATCH(DATE(S$5,$J176,$I176),daily_dates,0),MATCH($B$3,daily_items,0)))</f>
        <v>#N/A</v>
      </c>
      <c r="T176" s="1" t="str">
        <f t="array" ref="T176">IF(ISBLANK(INDEX(big_daily_table,MATCH(DATE(T$5,$J176,$I176),daily_dates,0),MATCH($B$3,daily_items,0))),NA(),INDEX(big_daily_table,MATCH(DATE(T$5,$J176,$I176),daily_dates,0),MATCH($B$3,daily_items,0)))</f>
        <v>#N/A</v>
      </c>
      <c r="U176" s="1" t="str">
        <f t="array" ref="U176">IF(ISBLANK(INDEX(big_daily_table,MATCH(DATE(U$5,$J176,$I176),daily_dates,0),MATCH($B$3,daily_items,0))),NA(),INDEX(big_daily_table,MATCH(DATE(U$5,$J176,$I176),daily_dates,0),MATCH($B$3,daily_items,0)))</f>
        <v>#N/A</v>
      </c>
      <c r="V176" s="1" t="str">
        <f t="array" ref="V176">IF(ISBLANK(INDEX(big_daily_table,MATCH(DATE(V$5,$J176,$I176),daily_dates,0),MATCH($B$3,daily_items,0))),NA(),INDEX(big_daily_table,MATCH(DATE(V$5,$J176,$I176),daily_dates,0),MATCH($B$3,daily_items,0)))</f>
        <v>#N/A</v>
      </c>
      <c r="W176" s="1" t="str">
        <f t="array" ref="W176">IF(ISBLANK(INDEX(big_daily_table,MATCH(DATE(W$5,$J176,$I176),daily_dates,0),MATCH($B$3,daily_items,0))),NA(),INDEX(big_daily_table,MATCH(DATE(W$5,$J176,$I176),daily_dates,0),MATCH($B$3,daily_items,0)))</f>
        <v>#N/A</v>
      </c>
      <c r="X176" s="1" t="str">
        <f t="array" ref="X176">IF(ISBLANK(INDEX(big_daily_table,MATCH(DATE(X$5,$J176,$I176),daily_dates,0),MATCH($B$3,daily_items,0))),NA(),INDEX(big_daily_table,MATCH(DATE(X$5,$J176,$I176),daily_dates,0),MATCH($B$3,daily_items,0)))</f>
        <v>#N/A</v>
      </c>
      <c r="Y176" s="1" t="str">
        <f t="array" ref="Y176">IF(ISBLANK(INDEX(big_daily_table,MATCH(DATE(Y$5,$J176,$I176),daily_dates,0),MATCH($B$3,daily_items,0))),NA(),INDEX(big_daily_table,MATCH(DATE(Y$5,$J176,$I176),daily_dates,0),MATCH($B$3,daily_items,0)))</f>
        <v>#N/A</v>
      </c>
      <c r="Z176" s="1" t="str">
        <f t="shared" si="5"/>
        <v>#NAME?</v>
      </c>
      <c r="AA176" s="1" t="str">
        <f t="shared" si="6"/>
        <v>#NAME?</v>
      </c>
      <c r="AB176" s="1" t="str">
        <f t="shared" si="7"/>
        <v>#NAME?</v>
      </c>
      <c r="AC176" s="1" t="str">
        <f t="shared" si="8"/>
        <v>#NAME?</v>
      </c>
    </row>
    <row r="177" ht="14.25" customHeight="1">
      <c r="H177" s="1">
        <f t="shared" si="9"/>
        <v>172</v>
      </c>
      <c r="I177" s="1">
        <f t="shared" si="2"/>
        <v>20</v>
      </c>
      <c r="J177" s="1">
        <f t="shared" si="3"/>
        <v>6</v>
      </c>
      <c r="K177" s="23">
        <f t="shared" si="10"/>
        <v>36697</v>
      </c>
      <c r="L177" s="24">
        <f t="shared" si="4"/>
        <v>-1000000</v>
      </c>
      <c r="M177" s="1" t="str">
        <f t="array" ref="M177">IF(K177&gt;0,INDEX(big_daily_table,MATCH(DATE(N$5,$J177,$I177),daily_dates,0),MATCH($B$3,daily_items,0)),NA())</f>
        <v>#N/A</v>
      </c>
      <c r="N177" s="1" t="str">
        <f t="array" ref="N177">IF(L177&lt;0,INDEX(big_daily_table,MATCH(DATE(N$5,$J177,$I177),daily_dates,0),MATCH($B$3,daily_items,0)),NA())</f>
        <v>#N/A</v>
      </c>
      <c r="O177" s="1" t="str">
        <f t="array" ref="O177">IF(ISBLANK(INDEX(big_daily_table,MATCH(DATE(O$5,$J177,$I177),daily_dates,0),MATCH($B$3,daily_items,0))),NA(),INDEX(big_daily_table,MATCH(DATE(O$5,$J177,$I177),daily_dates,0),MATCH($B$3,daily_items,0)))</f>
        <v>#N/A</v>
      </c>
      <c r="P177" s="1" t="str">
        <f t="array" ref="P177">IF(ISBLANK(INDEX(big_daily_table,MATCH(DATE(P$5,$J177,$I177),daily_dates,0),MATCH($B$3,daily_items,0))),NA(),INDEX(big_daily_table,MATCH(DATE(P$5,$J177,$I177),daily_dates,0),MATCH($B$3,daily_items,0)))</f>
        <v>#N/A</v>
      </c>
      <c r="Q177" s="1" t="str">
        <f t="array" ref="Q177">IF(ISBLANK(INDEX(big_daily_table,MATCH(DATE(Q$5,$J177,$I177),daily_dates,0),MATCH($B$3,daily_items,0))),NA(),INDEX(big_daily_table,MATCH(DATE(Q$5,$J177,$I177),daily_dates,0),MATCH($B$3,daily_items,0)))</f>
        <v>#N/A</v>
      </c>
      <c r="R177" s="1" t="str">
        <f t="array" ref="R177">IF(ISBLANK(INDEX(big_daily_table,MATCH(DATE(R$5,$J177,$I177),daily_dates,0),MATCH($B$3,daily_items,0))),NA(),INDEX(big_daily_table,MATCH(DATE(R$5,$J177,$I177),daily_dates,0),MATCH($B$3,daily_items,0)))</f>
        <v>#N/A</v>
      </c>
      <c r="S177" s="1" t="str">
        <f t="array" ref="S177">IF(ISBLANK(INDEX(big_daily_table,MATCH(DATE(S$5,$J177,$I177),daily_dates,0),MATCH($B$3,daily_items,0))),NA(),INDEX(big_daily_table,MATCH(DATE(S$5,$J177,$I177),daily_dates,0),MATCH($B$3,daily_items,0)))</f>
        <v>#N/A</v>
      </c>
      <c r="T177" s="1" t="str">
        <f t="array" ref="T177">IF(ISBLANK(INDEX(big_daily_table,MATCH(DATE(T$5,$J177,$I177),daily_dates,0),MATCH($B$3,daily_items,0))),NA(),INDEX(big_daily_table,MATCH(DATE(T$5,$J177,$I177),daily_dates,0),MATCH($B$3,daily_items,0)))</f>
        <v>#N/A</v>
      </c>
      <c r="U177" s="1" t="str">
        <f t="array" ref="U177">IF(ISBLANK(INDEX(big_daily_table,MATCH(DATE(U$5,$J177,$I177),daily_dates,0),MATCH($B$3,daily_items,0))),NA(),INDEX(big_daily_table,MATCH(DATE(U$5,$J177,$I177),daily_dates,0),MATCH($B$3,daily_items,0)))</f>
        <v>#N/A</v>
      </c>
      <c r="V177" s="1" t="str">
        <f t="array" ref="V177">IF(ISBLANK(INDEX(big_daily_table,MATCH(DATE(V$5,$J177,$I177),daily_dates,0),MATCH($B$3,daily_items,0))),NA(),INDEX(big_daily_table,MATCH(DATE(V$5,$J177,$I177),daily_dates,0),MATCH($B$3,daily_items,0)))</f>
        <v>#N/A</v>
      </c>
      <c r="W177" s="1" t="str">
        <f t="array" ref="W177">IF(ISBLANK(INDEX(big_daily_table,MATCH(DATE(W$5,$J177,$I177),daily_dates,0),MATCH($B$3,daily_items,0))),NA(),INDEX(big_daily_table,MATCH(DATE(W$5,$J177,$I177),daily_dates,0),MATCH($B$3,daily_items,0)))</f>
        <v>#N/A</v>
      </c>
      <c r="X177" s="1" t="str">
        <f t="array" ref="X177">IF(ISBLANK(INDEX(big_daily_table,MATCH(DATE(X$5,$J177,$I177),daily_dates,0),MATCH($B$3,daily_items,0))),NA(),INDEX(big_daily_table,MATCH(DATE(X$5,$J177,$I177),daily_dates,0),MATCH($B$3,daily_items,0)))</f>
        <v>#N/A</v>
      </c>
      <c r="Y177" s="1" t="str">
        <f t="array" ref="Y177">IF(ISBLANK(INDEX(big_daily_table,MATCH(DATE(Y$5,$J177,$I177),daily_dates,0),MATCH($B$3,daily_items,0))),NA(),INDEX(big_daily_table,MATCH(DATE(Y$5,$J177,$I177),daily_dates,0),MATCH($B$3,daily_items,0)))</f>
        <v>#N/A</v>
      </c>
      <c r="Z177" s="1" t="str">
        <f t="shared" si="5"/>
        <v>#NAME?</v>
      </c>
      <c r="AA177" s="1" t="str">
        <f t="shared" si="6"/>
        <v>#NAME?</v>
      </c>
      <c r="AB177" s="1" t="str">
        <f t="shared" si="7"/>
        <v>#NAME?</v>
      </c>
      <c r="AC177" s="1" t="str">
        <f t="shared" si="8"/>
        <v>#NAME?</v>
      </c>
    </row>
    <row r="178" ht="14.25" customHeight="1">
      <c r="H178" s="1">
        <f t="shared" si="9"/>
        <v>173</v>
      </c>
      <c r="I178" s="1">
        <f t="shared" si="2"/>
        <v>21</v>
      </c>
      <c r="J178" s="1">
        <f t="shared" si="3"/>
        <v>6</v>
      </c>
      <c r="K178" s="23">
        <f t="shared" si="10"/>
        <v>36698</v>
      </c>
      <c r="L178" s="24">
        <f t="shared" si="4"/>
        <v>-1000000</v>
      </c>
      <c r="M178" s="1" t="str">
        <f t="array" ref="M178">IF(K178&gt;0,INDEX(big_daily_table,MATCH(DATE(N$5,$J178,$I178),daily_dates,0),MATCH($B$3,daily_items,0)),NA())</f>
        <v>#N/A</v>
      </c>
      <c r="N178" s="1" t="str">
        <f t="array" ref="N178">IF(L178&lt;0,INDEX(big_daily_table,MATCH(DATE(N$5,$J178,$I178),daily_dates,0),MATCH($B$3,daily_items,0)),NA())</f>
        <v>#N/A</v>
      </c>
      <c r="O178" s="1" t="str">
        <f t="array" ref="O178">IF(ISBLANK(INDEX(big_daily_table,MATCH(DATE(O$5,$J178,$I178),daily_dates,0),MATCH($B$3,daily_items,0))),NA(),INDEX(big_daily_table,MATCH(DATE(O$5,$J178,$I178),daily_dates,0),MATCH($B$3,daily_items,0)))</f>
        <v>#N/A</v>
      </c>
      <c r="P178" s="1" t="str">
        <f t="array" ref="P178">IF(ISBLANK(INDEX(big_daily_table,MATCH(DATE(P$5,$J178,$I178),daily_dates,0),MATCH($B$3,daily_items,0))),NA(),INDEX(big_daily_table,MATCH(DATE(P$5,$J178,$I178),daily_dates,0),MATCH($B$3,daily_items,0)))</f>
        <v>#N/A</v>
      </c>
      <c r="Q178" s="1" t="str">
        <f t="array" ref="Q178">IF(ISBLANK(INDEX(big_daily_table,MATCH(DATE(Q$5,$J178,$I178),daily_dates,0),MATCH($B$3,daily_items,0))),NA(),INDEX(big_daily_table,MATCH(DATE(Q$5,$J178,$I178),daily_dates,0),MATCH($B$3,daily_items,0)))</f>
        <v>#N/A</v>
      </c>
      <c r="R178" s="1" t="str">
        <f t="array" ref="R178">IF(ISBLANK(INDEX(big_daily_table,MATCH(DATE(R$5,$J178,$I178),daily_dates,0),MATCH($B$3,daily_items,0))),NA(),INDEX(big_daily_table,MATCH(DATE(R$5,$J178,$I178),daily_dates,0),MATCH($B$3,daily_items,0)))</f>
        <v>#N/A</v>
      </c>
      <c r="S178" s="1" t="str">
        <f t="array" ref="S178">IF(ISBLANK(INDEX(big_daily_table,MATCH(DATE(S$5,$J178,$I178),daily_dates,0),MATCH($B$3,daily_items,0))),NA(),INDEX(big_daily_table,MATCH(DATE(S$5,$J178,$I178),daily_dates,0),MATCH($B$3,daily_items,0)))</f>
        <v>#N/A</v>
      </c>
      <c r="T178" s="1" t="str">
        <f t="array" ref="T178">IF(ISBLANK(INDEX(big_daily_table,MATCH(DATE(T$5,$J178,$I178),daily_dates,0),MATCH($B$3,daily_items,0))),NA(),INDEX(big_daily_table,MATCH(DATE(T$5,$J178,$I178),daily_dates,0),MATCH($B$3,daily_items,0)))</f>
        <v>#N/A</v>
      </c>
      <c r="U178" s="1" t="str">
        <f t="array" ref="U178">IF(ISBLANK(INDEX(big_daily_table,MATCH(DATE(U$5,$J178,$I178),daily_dates,0),MATCH($B$3,daily_items,0))),NA(),INDEX(big_daily_table,MATCH(DATE(U$5,$J178,$I178),daily_dates,0),MATCH($B$3,daily_items,0)))</f>
        <v>#N/A</v>
      </c>
      <c r="V178" s="1" t="str">
        <f t="array" ref="V178">IF(ISBLANK(INDEX(big_daily_table,MATCH(DATE(V$5,$J178,$I178),daily_dates,0),MATCH($B$3,daily_items,0))),NA(),INDEX(big_daily_table,MATCH(DATE(V$5,$J178,$I178),daily_dates,0),MATCH($B$3,daily_items,0)))</f>
        <v>#N/A</v>
      </c>
      <c r="W178" s="1" t="str">
        <f t="array" ref="W178">IF(ISBLANK(INDEX(big_daily_table,MATCH(DATE(W$5,$J178,$I178),daily_dates,0),MATCH($B$3,daily_items,0))),NA(),INDEX(big_daily_table,MATCH(DATE(W$5,$J178,$I178),daily_dates,0),MATCH($B$3,daily_items,0)))</f>
        <v>#N/A</v>
      </c>
      <c r="X178" s="1" t="str">
        <f t="array" ref="X178">IF(ISBLANK(INDEX(big_daily_table,MATCH(DATE(X$5,$J178,$I178),daily_dates,0),MATCH($B$3,daily_items,0))),NA(),INDEX(big_daily_table,MATCH(DATE(X$5,$J178,$I178),daily_dates,0),MATCH($B$3,daily_items,0)))</f>
        <v>#N/A</v>
      </c>
      <c r="Y178" s="1" t="str">
        <f t="array" ref="Y178">IF(ISBLANK(INDEX(big_daily_table,MATCH(DATE(Y$5,$J178,$I178),daily_dates,0),MATCH($B$3,daily_items,0))),NA(),INDEX(big_daily_table,MATCH(DATE(Y$5,$J178,$I178),daily_dates,0),MATCH($B$3,daily_items,0)))</f>
        <v>#N/A</v>
      </c>
      <c r="Z178" s="1" t="str">
        <f t="shared" si="5"/>
        <v>#NAME?</v>
      </c>
      <c r="AA178" s="1" t="str">
        <f t="shared" si="6"/>
        <v>#NAME?</v>
      </c>
      <c r="AB178" s="1" t="str">
        <f t="shared" si="7"/>
        <v>#NAME?</v>
      </c>
      <c r="AC178" s="1" t="str">
        <f t="shared" si="8"/>
        <v>#NAME?</v>
      </c>
    </row>
    <row r="179" ht="14.25" customHeight="1">
      <c r="H179" s="1">
        <f t="shared" si="9"/>
        <v>174</v>
      </c>
      <c r="I179" s="1">
        <f t="shared" si="2"/>
        <v>22</v>
      </c>
      <c r="J179" s="1">
        <f t="shared" si="3"/>
        <v>6</v>
      </c>
      <c r="K179" s="23">
        <f t="shared" si="10"/>
        <v>36699</v>
      </c>
      <c r="L179" s="24">
        <f t="shared" si="4"/>
        <v>-1000000</v>
      </c>
      <c r="M179" s="1" t="str">
        <f t="array" ref="M179">IF(K179&gt;0,INDEX(big_daily_table,MATCH(DATE(N$5,$J179,$I179),daily_dates,0),MATCH($B$3,daily_items,0)),NA())</f>
        <v>#N/A</v>
      </c>
      <c r="N179" s="1" t="str">
        <f t="array" ref="N179">IF(L179&lt;0,INDEX(big_daily_table,MATCH(DATE(N$5,$J179,$I179),daily_dates,0),MATCH($B$3,daily_items,0)),NA())</f>
        <v>#N/A</v>
      </c>
      <c r="O179" s="1" t="str">
        <f t="array" ref="O179">IF(ISBLANK(INDEX(big_daily_table,MATCH(DATE(O$5,$J179,$I179),daily_dates,0),MATCH($B$3,daily_items,0))),NA(),INDEX(big_daily_table,MATCH(DATE(O$5,$J179,$I179),daily_dates,0),MATCH($B$3,daily_items,0)))</f>
        <v>#N/A</v>
      </c>
      <c r="P179" s="1" t="str">
        <f t="array" ref="P179">IF(ISBLANK(INDEX(big_daily_table,MATCH(DATE(P$5,$J179,$I179),daily_dates,0),MATCH($B$3,daily_items,0))),NA(),INDEX(big_daily_table,MATCH(DATE(P$5,$J179,$I179),daily_dates,0),MATCH($B$3,daily_items,0)))</f>
        <v>#N/A</v>
      </c>
      <c r="Q179" s="1" t="str">
        <f t="array" ref="Q179">IF(ISBLANK(INDEX(big_daily_table,MATCH(DATE(Q$5,$J179,$I179),daily_dates,0),MATCH($B$3,daily_items,0))),NA(),INDEX(big_daily_table,MATCH(DATE(Q$5,$J179,$I179),daily_dates,0),MATCH($B$3,daily_items,0)))</f>
        <v>#N/A</v>
      </c>
      <c r="R179" s="1" t="str">
        <f t="array" ref="R179">IF(ISBLANK(INDEX(big_daily_table,MATCH(DATE(R$5,$J179,$I179),daily_dates,0),MATCH($B$3,daily_items,0))),NA(),INDEX(big_daily_table,MATCH(DATE(R$5,$J179,$I179),daily_dates,0),MATCH($B$3,daily_items,0)))</f>
        <v>#N/A</v>
      </c>
      <c r="S179" s="1" t="str">
        <f t="array" ref="S179">IF(ISBLANK(INDEX(big_daily_table,MATCH(DATE(S$5,$J179,$I179),daily_dates,0),MATCH($B$3,daily_items,0))),NA(),INDEX(big_daily_table,MATCH(DATE(S$5,$J179,$I179),daily_dates,0),MATCH($B$3,daily_items,0)))</f>
        <v>#N/A</v>
      </c>
      <c r="T179" s="1" t="str">
        <f t="array" ref="T179">IF(ISBLANK(INDEX(big_daily_table,MATCH(DATE(T$5,$J179,$I179),daily_dates,0),MATCH($B$3,daily_items,0))),NA(),INDEX(big_daily_table,MATCH(DATE(T$5,$J179,$I179),daily_dates,0),MATCH($B$3,daily_items,0)))</f>
        <v>#N/A</v>
      </c>
      <c r="U179" s="1" t="str">
        <f t="array" ref="U179">IF(ISBLANK(INDEX(big_daily_table,MATCH(DATE(U$5,$J179,$I179),daily_dates,0),MATCH($B$3,daily_items,0))),NA(),INDEX(big_daily_table,MATCH(DATE(U$5,$J179,$I179),daily_dates,0),MATCH($B$3,daily_items,0)))</f>
        <v>#N/A</v>
      </c>
      <c r="V179" s="1" t="str">
        <f t="array" ref="V179">IF(ISBLANK(INDEX(big_daily_table,MATCH(DATE(V$5,$J179,$I179),daily_dates,0),MATCH($B$3,daily_items,0))),NA(),INDEX(big_daily_table,MATCH(DATE(V$5,$J179,$I179),daily_dates,0),MATCH($B$3,daily_items,0)))</f>
        <v>#N/A</v>
      </c>
      <c r="W179" s="1" t="str">
        <f t="array" ref="W179">IF(ISBLANK(INDEX(big_daily_table,MATCH(DATE(W$5,$J179,$I179),daily_dates,0),MATCH($B$3,daily_items,0))),NA(),INDEX(big_daily_table,MATCH(DATE(W$5,$J179,$I179),daily_dates,0),MATCH($B$3,daily_items,0)))</f>
        <v>#N/A</v>
      </c>
      <c r="X179" s="1" t="str">
        <f t="array" ref="X179">IF(ISBLANK(INDEX(big_daily_table,MATCH(DATE(X$5,$J179,$I179),daily_dates,0),MATCH($B$3,daily_items,0))),NA(),INDEX(big_daily_table,MATCH(DATE(X$5,$J179,$I179),daily_dates,0),MATCH($B$3,daily_items,0)))</f>
        <v>#N/A</v>
      </c>
      <c r="Y179" s="1" t="str">
        <f t="array" ref="Y179">IF(ISBLANK(INDEX(big_daily_table,MATCH(DATE(Y$5,$J179,$I179),daily_dates,0),MATCH($B$3,daily_items,0))),NA(),INDEX(big_daily_table,MATCH(DATE(Y$5,$J179,$I179),daily_dates,0),MATCH($B$3,daily_items,0)))</f>
        <v>#N/A</v>
      </c>
      <c r="Z179" s="1" t="str">
        <f t="shared" si="5"/>
        <v>#NAME?</v>
      </c>
      <c r="AA179" s="1" t="str">
        <f t="shared" si="6"/>
        <v>#NAME?</v>
      </c>
      <c r="AB179" s="1" t="str">
        <f t="shared" si="7"/>
        <v>#NAME?</v>
      </c>
      <c r="AC179" s="1" t="str">
        <f t="shared" si="8"/>
        <v>#NAME?</v>
      </c>
    </row>
    <row r="180" ht="14.25" customHeight="1">
      <c r="H180" s="1">
        <f t="shared" si="9"/>
        <v>175</v>
      </c>
      <c r="I180" s="1">
        <f t="shared" si="2"/>
        <v>23</v>
      </c>
      <c r="J180" s="1">
        <f t="shared" si="3"/>
        <v>6</v>
      </c>
      <c r="K180" s="23">
        <f t="shared" si="10"/>
        <v>36700</v>
      </c>
      <c r="L180" s="24">
        <f t="shared" si="4"/>
        <v>-1000000</v>
      </c>
      <c r="M180" s="1" t="str">
        <f t="array" ref="M180">IF(K180&gt;0,INDEX(big_daily_table,MATCH(DATE(N$5,$J180,$I180),daily_dates,0),MATCH($B$3,daily_items,0)),NA())</f>
        <v>#N/A</v>
      </c>
      <c r="N180" s="1" t="str">
        <f t="array" ref="N180">IF(L180&lt;0,INDEX(big_daily_table,MATCH(DATE(N$5,$J180,$I180),daily_dates,0),MATCH($B$3,daily_items,0)),NA())</f>
        <v>#N/A</v>
      </c>
      <c r="O180" s="1" t="str">
        <f t="array" ref="O180">IF(ISBLANK(INDEX(big_daily_table,MATCH(DATE(O$5,$J180,$I180),daily_dates,0),MATCH($B$3,daily_items,0))),NA(),INDEX(big_daily_table,MATCH(DATE(O$5,$J180,$I180),daily_dates,0),MATCH($B$3,daily_items,0)))</f>
        <v>#N/A</v>
      </c>
      <c r="P180" s="1" t="str">
        <f t="array" ref="P180">IF(ISBLANK(INDEX(big_daily_table,MATCH(DATE(P$5,$J180,$I180),daily_dates,0),MATCH($B$3,daily_items,0))),NA(),INDEX(big_daily_table,MATCH(DATE(P$5,$J180,$I180),daily_dates,0),MATCH($B$3,daily_items,0)))</f>
        <v>#N/A</v>
      </c>
      <c r="Q180" s="1" t="str">
        <f t="array" ref="Q180">IF(ISBLANK(INDEX(big_daily_table,MATCH(DATE(Q$5,$J180,$I180),daily_dates,0),MATCH($B$3,daily_items,0))),NA(),INDEX(big_daily_table,MATCH(DATE(Q$5,$J180,$I180),daily_dates,0),MATCH($B$3,daily_items,0)))</f>
        <v>#N/A</v>
      </c>
      <c r="R180" s="1" t="str">
        <f t="array" ref="R180">IF(ISBLANK(INDEX(big_daily_table,MATCH(DATE(R$5,$J180,$I180),daily_dates,0),MATCH($B$3,daily_items,0))),NA(),INDEX(big_daily_table,MATCH(DATE(R$5,$J180,$I180),daily_dates,0),MATCH($B$3,daily_items,0)))</f>
        <v>#N/A</v>
      </c>
      <c r="S180" s="1" t="str">
        <f t="array" ref="S180">IF(ISBLANK(INDEX(big_daily_table,MATCH(DATE(S$5,$J180,$I180),daily_dates,0),MATCH($B$3,daily_items,0))),NA(),INDEX(big_daily_table,MATCH(DATE(S$5,$J180,$I180),daily_dates,0),MATCH($B$3,daily_items,0)))</f>
        <v>#N/A</v>
      </c>
      <c r="T180" s="1" t="str">
        <f t="array" ref="T180">IF(ISBLANK(INDEX(big_daily_table,MATCH(DATE(T$5,$J180,$I180),daily_dates,0),MATCH($B$3,daily_items,0))),NA(),INDEX(big_daily_table,MATCH(DATE(T$5,$J180,$I180),daily_dates,0),MATCH($B$3,daily_items,0)))</f>
        <v>#N/A</v>
      </c>
      <c r="U180" s="1" t="str">
        <f t="array" ref="U180">IF(ISBLANK(INDEX(big_daily_table,MATCH(DATE(U$5,$J180,$I180),daily_dates,0),MATCH($B$3,daily_items,0))),NA(),INDEX(big_daily_table,MATCH(DATE(U$5,$J180,$I180),daily_dates,0),MATCH($B$3,daily_items,0)))</f>
        <v>#N/A</v>
      </c>
      <c r="V180" s="1" t="str">
        <f t="array" ref="V180">IF(ISBLANK(INDEX(big_daily_table,MATCH(DATE(V$5,$J180,$I180),daily_dates,0),MATCH($B$3,daily_items,0))),NA(),INDEX(big_daily_table,MATCH(DATE(V$5,$J180,$I180),daily_dates,0),MATCH($B$3,daily_items,0)))</f>
        <v>#N/A</v>
      </c>
      <c r="W180" s="1" t="str">
        <f t="array" ref="W180">IF(ISBLANK(INDEX(big_daily_table,MATCH(DATE(W$5,$J180,$I180),daily_dates,0),MATCH($B$3,daily_items,0))),NA(),INDEX(big_daily_table,MATCH(DATE(W$5,$J180,$I180),daily_dates,0),MATCH($B$3,daily_items,0)))</f>
        <v>#N/A</v>
      </c>
      <c r="X180" s="1" t="str">
        <f t="array" ref="X180">IF(ISBLANK(INDEX(big_daily_table,MATCH(DATE(X$5,$J180,$I180),daily_dates,0),MATCH($B$3,daily_items,0))),NA(),INDEX(big_daily_table,MATCH(DATE(X$5,$J180,$I180),daily_dates,0),MATCH($B$3,daily_items,0)))</f>
        <v>#N/A</v>
      </c>
      <c r="Y180" s="1" t="str">
        <f t="array" ref="Y180">IF(ISBLANK(INDEX(big_daily_table,MATCH(DATE(Y$5,$J180,$I180),daily_dates,0),MATCH($B$3,daily_items,0))),NA(),INDEX(big_daily_table,MATCH(DATE(Y$5,$J180,$I180),daily_dates,0),MATCH($B$3,daily_items,0)))</f>
        <v>#N/A</v>
      </c>
      <c r="Z180" s="1" t="str">
        <f t="shared" si="5"/>
        <v>#NAME?</v>
      </c>
      <c r="AA180" s="1" t="str">
        <f t="shared" si="6"/>
        <v>#NAME?</v>
      </c>
      <c r="AB180" s="1" t="str">
        <f t="shared" si="7"/>
        <v>#NAME?</v>
      </c>
      <c r="AC180" s="1" t="str">
        <f t="shared" si="8"/>
        <v>#NAME?</v>
      </c>
    </row>
    <row r="181" ht="14.25" customHeight="1">
      <c r="H181" s="1">
        <f t="shared" si="9"/>
        <v>176</v>
      </c>
      <c r="I181" s="1">
        <f t="shared" si="2"/>
        <v>24</v>
      </c>
      <c r="J181" s="1">
        <f t="shared" si="3"/>
        <v>6</v>
      </c>
      <c r="K181" s="23">
        <f t="shared" si="10"/>
        <v>36701</v>
      </c>
      <c r="L181" s="24">
        <f t="shared" si="4"/>
        <v>-1000000</v>
      </c>
      <c r="M181" s="1" t="str">
        <f t="array" ref="M181">IF(K181&gt;0,INDEX(big_daily_table,MATCH(DATE(N$5,$J181,$I181),daily_dates,0),MATCH($B$3,daily_items,0)),NA())</f>
        <v>#N/A</v>
      </c>
      <c r="N181" s="1" t="str">
        <f t="array" ref="N181">IF(L181&lt;0,INDEX(big_daily_table,MATCH(DATE(N$5,$J181,$I181),daily_dates,0),MATCH($B$3,daily_items,0)),NA())</f>
        <v>#N/A</v>
      </c>
      <c r="O181" s="1" t="str">
        <f t="array" ref="O181">IF(ISBLANK(INDEX(big_daily_table,MATCH(DATE(O$5,$J181,$I181),daily_dates,0),MATCH($B$3,daily_items,0))),NA(),INDEX(big_daily_table,MATCH(DATE(O$5,$J181,$I181),daily_dates,0),MATCH($B$3,daily_items,0)))</f>
        <v>#N/A</v>
      </c>
      <c r="P181" s="1" t="str">
        <f t="array" ref="P181">IF(ISBLANK(INDEX(big_daily_table,MATCH(DATE(P$5,$J181,$I181),daily_dates,0),MATCH($B$3,daily_items,0))),NA(),INDEX(big_daily_table,MATCH(DATE(P$5,$J181,$I181),daily_dates,0),MATCH($B$3,daily_items,0)))</f>
        <v>#N/A</v>
      </c>
      <c r="Q181" s="1" t="str">
        <f t="array" ref="Q181">IF(ISBLANK(INDEX(big_daily_table,MATCH(DATE(Q$5,$J181,$I181),daily_dates,0),MATCH($B$3,daily_items,0))),NA(),INDEX(big_daily_table,MATCH(DATE(Q$5,$J181,$I181),daily_dates,0),MATCH($B$3,daily_items,0)))</f>
        <v>#N/A</v>
      </c>
      <c r="R181" s="1" t="str">
        <f t="array" ref="R181">IF(ISBLANK(INDEX(big_daily_table,MATCH(DATE(R$5,$J181,$I181),daily_dates,0),MATCH($B$3,daily_items,0))),NA(),INDEX(big_daily_table,MATCH(DATE(R$5,$J181,$I181),daily_dates,0),MATCH($B$3,daily_items,0)))</f>
        <v>#N/A</v>
      </c>
      <c r="S181" s="1" t="str">
        <f t="array" ref="S181">IF(ISBLANK(INDEX(big_daily_table,MATCH(DATE(S$5,$J181,$I181),daily_dates,0),MATCH($B$3,daily_items,0))),NA(),INDEX(big_daily_table,MATCH(DATE(S$5,$J181,$I181),daily_dates,0),MATCH($B$3,daily_items,0)))</f>
        <v>#N/A</v>
      </c>
      <c r="T181" s="1" t="str">
        <f t="array" ref="T181">IF(ISBLANK(INDEX(big_daily_table,MATCH(DATE(T$5,$J181,$I181),daily_dates,0),MATCH($B$3,daily_items,0))),NA(),INDEX(big_daily_table,MATCH(DATE(T$5,$J181,$I181),daily_dates,0),MATCH($B$3,daily_items,0)))</f>
        <v>#N/A</v>
      </c>
      <c r="U181" s="1" t="str">
        <f t="array" ref="U181">IF(ISBLANK(INDEX(big_daily_table,MATCH(DATE(U$5,$J181,$I181),daily_dates,0),MATCH($B$3,daily_items,0))),NA(),INDEX(big_daily_table,MATCH(DATE(U$5,$J181,$I181),daily_dates,0),MATCH($B$3,daily_items,0)))</f>
        <v>#N/A</v>
      </c>
      <c r="V181" s="1" t="str">
        <f t="array" ref="V181">IF(ISBLANK(INDEX(big_daily_table,MATCH(DATE(V$5,$J181,$I181),daily_dates,0),MATCH($B$3,daily_items,0))),NA(),INDEX(big_daily_table,MATCH(DATE(V$5,$J181,$I181),daily_dates,0),MATCH($B$3,daily_items,0)))</f>
        <v>#N/A</v>
      </c>
      <c r="W181" s="1" t="str">
        <f t="array" ref="W181">IF(ISBLANK(INDEX(big_daily_table,MATCH(DATE(W$5,$J181,$I181),daily_dates,0),MATCH($B$3,daily_items,0))),NA(),INDEX(big_daily_table,MATCH(DATE(W$5,$J181,$I181),daily_dates,0),MATCH($B$3,daily_items,0)))</f>
        <v>#N/A</v>
      </c>
      <c r="X181" s="1" t="str">
        <f t="array" ref="X181">IF(ISBLANK(INDEX(big_daily_table,MATCH(DATE(X$5,$J181,$I181),daily_dates,0),MATCH($B$3,daily_items,0))),NA(),INDEX(big_daily_table,MATCH(DATE(X$5,$J181,$I181),daily_dates,0),MATCH($B$3,daily_items,0)))</f>
        <v>#N/A</v>
      </c>
      <c r="Y181" s="1" t="str">
        <f t="array" ref="Y181">IF(ISBLANK(INDEX(big_daily_table,MATCH(DATE(Y$5,$J181,$I181),daily_dates,0),MATCH($B$3,daily_items,0))),NA(),INDEX(big_daily_table,MATCH(DATE(Y$5,$J181,$I181),daily_dates,0),MATCH($B$3,daily_items,0)))</f>
        <v>#N/A</v>
      </c>
      <c r="Z181" s="1" t="str">
        <f t="shared" si="5"/>
        <v>#NAME?</v>
      </c>
      <c r="AA181" s="1" t="str">
        <f t="shared" si="6"/>
        <v>#NAME?</v>
      </c>
      <c r="AB181" s="1" t="str">
        <f t="shared" si="7"/>
        <v>#NAME?</v>
      </c>
      <c r="AC181" s="1" t="str">
        <f t="shared" si="8"/>
        <v>#NAME?</v>
      </c>
    </row>
    <row r="182" ht="14.25" customHeight="1">
      <c r="H182" s="1">
        <f t="shared" si="9"/>
        <v>177</v>
      </c>
      <c r="I182" s="1">
        <f t="shared" si="2"/>
        <v>25</v>
      </c>
      <c r="J182" s="1">
        <f t="shared" si="3"/>
        <v>6</v>
      </c>
      <c r="K182" s="23">
        <f t="shared" si="10"/>
        <v>36702</v>
      </c>
      <c r="L182" s="24">
        <f t="shared" si="4"/>
        <v>-1000000</v>
      </c>
      <c r="M182" s="1" t="str">
        <f t="array" ref="M182">IF(K182&gt;0,INDEX(big_daily_table,MATCH(DATE(N$5,$J182,$I182),daily_dates,0),MATCH($B$3,daily_items,0)),NA())</f>
        <v>#N/A</v>
      </c>
      <c r="N182" s="1" t="str">
        <f t="array" ref="N182">IF(L182&lt;0,INDEX(big_daily_table,MATCH(DATE(N$5,$J182,$I182),daily_dates,0),MATCH($B$3,daily_items,0)),NA())</f>
        <v>#N/A</v>
      </c>
      <c r="O182" s="1" t="str">
        <f t="array" ref="O182">IF(ISBLANK(INDEX(big_daily_table,MATCH(DATE(O$5,$J182,$I182),daily_dates,0),MATCH($B$3,daily_items,0))),NA(),INDEX(big_daily_table,MATCH(DATE(O$5,$J182,$I182),daily_dates,0),MATCH($B$3,daily_items,0)))</f>
        <v>#N/A</v>
      </c>
      <c r="P182" s="1" t="str">
        <f t="array" ref="P182">IF(ISBLANK(INDEX(big_daily_table,MATCH(DATE(P$5,$J182,$I182),daily_dates,0),MATCH($B$3,daily_items,0))),NA(),INDEX(big_daily_table,MATCH(DATE(P$5,$J182,$I182),daily_dates,0),MATCH($B$3,daily_items,0)))</f>
        <v>#N/A</v>
      </c>
      <c r="Q182" s="1" t="str">
        <f t="array" ref="Q182">IF(ISBLANK(INDEX(big_daily_table,MATCH(DATE(Q$5,$J182,$I182),daily_dates,0),MATCH($B$3,daily_items,0))),NA(),INDEX(big_daily_table,MATCH(DATE(Q$5,$J182,$I182),daily_dates,0),MATCH($B$3,daily_items,0)))</f>
        <v>#N/A</v>
      </c>
      <c r="R182" s="1" t="str">
        <f t="array" ref="R182">IF(ISBLANK(INDEX(big_daily_table,MATCH(DATE(R$5,$J182,$I182),daily_dates,0),MATCH($B$3,daily_items,0))),NA(),INDEX(big_daily_table,MATCH(DATE(R$5,$J182,$I182),daily_dates,0),MATCH($B$3,daily_items,0)))</f>
        <v>#N/A</v>
      </c>
      <c r="S182" s="1" t="str">
        <f t="array" ref="S182">IF(ISBLANK(INDEX(big_daily_table,MATCH(DATE(S$5,$J182,$I182),daily_dates,0),MATCH($B$3,daily_items,0))),NA(),INDEX(big_daily_table,MATCH(DATE(S$5,$J182,$I182),daily_dates,0),MATCH($B$3,daily_items,0)))</f>
        <v>#N/A</v>
      </c>
      <c r="T182" s="1" t="str">
        <f t="array" ref="T182">IF(ISBLANK(INDEX(big_daily_table,MATCH(DATE(T$5,$J182,$I182),daily_dates,0),MATCH($B$3,daily_items,0))),NA(),INDEX(big_daily_table,MATCH(DATE(T$5,$J182,$I182),daily_dates,0),MATCH($B$3,daily_items,0)))</f>
        <v>#N/A</v>
      </c>
      <c r="U182" s="1" t="str">
        <f t="array" ref="U182">IF(ISBLANK(INDEX(big_daily_table,MATCH(DATE(U$5,$J182,$I182),daily_dates,0),MATCH($B$3,daily_items,0))),NA(),INDEX(big_daily_table,MATCH(DATE(U$5,$J182,$I182),daily_dates,0),MATCH($B$3,daily_items,0)))</f>
        <v>#N/A</v>
      </c>
      <c r="V182" s="1" t="str">
        <f t="array" ref="V182">IF(ISBLANK(INDEX(big_daily_table,MATCH(DATE(V$5,$J182,$I182),daily_dates,0),MATCH($B$3,daily_items,0))),NA(),INDEX(big_daily_table,MATCH(DATE(V$5,$J182,$I182),daily_dates,0),MATCH($B$3,daily_items,0)))</f>
        <v>#N/A</v>
      </c>
      <c r="W182" s="1" t="str">
        <f t="array" ref="W182">IF(ISBLANK(INDEX(big_daily_table,MATCH(DATE(W$5,$J182,$I182),daily_dates,0),MATCH($B$3,daily_items,0))),NA(),INDEX(big_daily_table,MATCH(DATE(W$5,$J182,$I182),daily_dates,0),MATCH($B$3,daily_items,0)))</f>
        <v>#N/A</v>
      </c>
      <c r="X182" s="1" t="str">
        <f t="array" ref="X182">IF(ISBLANK(INDEX(big_daily_table,MATCH(DATE(X$5,$J182,$I182),daily_dates,0),MATCH($B$3,daily_items,0))),NA(),INDEX(big_daily_table,MATCH(DATE(X$5,$J182,$I182),daily_dates,0),MATCH($B$3,daily_items,0)))</f>
        <v>#N/A</v>
      </c>
      <c r="Y182" s="1" t="str">
        <f t="array" ref="Y182">IF(ISBLANK(INDEX(big_daily_table,MATCH(DATE(Y$5,$J182,$I182),daily_dates,0),MATCH($B$3,daily_items,0))),NA(),INDEX(big_daily_table,MATCH(DATE(Y$5,$J182,$I182),daily_dates,0),MATCH($B$3,daily_items,0)))</f>
        <v>#N/A</v>
      </c>
      <c r="Z182" s="1" t="str">
        <f t="shared" si="5"/>
        <v>#NAME?</v>
      </c>
      <c r="AA182" s="1" t="str">
        <f t="shared" si="6"/>
        <v>#NAME?</v>
      </c>
      <c r="AB182" s="1" t="str">
        <f t="shared" si="7"/>
        <v>#NAME?</v>
      </c>
      <c r="AC182" s="1" t="str">
        <f t="shared" si="8"/>
        <v>#NAME?</v>
      </c>
    </row>
    <row r="183" ht="14.25" customHeight="1">
      <c r="H183" s="1">
        <f t="shared" si="9"/>
        <v>178</v>
      </c>
      <c r="I183" s="1">
        <f t="shared" si="2"/>
        <v>26</v>
      </c>
      <c r="J183" s="1">
        <f t="shared" si="3"/>
        <v>6</v>
      </c>
      <c r="K183" s="23">
        <f t="shared" si="10"/>
        <v>36703</v>
      </c>
      <c r="L183" s="24">
        <f t="shared" si="4"/>
        <v>-1000000</v>
      </c>
      <c r="M183" s="1" t="str">
        <f t="array" ref="M183">IF(K183&gt;0,INDEX(big_daily_table,MATCH(DATE(N$5,$J183,$I183),daily_dates,0),MATCH($B$3,daily_items,0)),NA())</f>
        <v>#N/A</v>
      </c>
      <c r="N183" s="1" t="str">
        <f t="array" ref="N183">IF(L183&lt;0,INDEX(big_daily_table,MATCH(DATE(N$5,$J183,$I183),daily_dates,0),MATCH($B$3,daily_items,0)),NA())</f>
        <v>#N/A</v>
      </c>
      <c r="O183" s="1" t="str">
        <f t="array" ref="O183">IF(ISBLANK(INDEX(big_daily_table,MATCH(DATE(O$5,$J183,$I183),daily_dates,0),MATCH($B$3,daily_items,0))),NA(),INDEX(big_daily_table,MATCH(DATE(O$5,$J183,$I183),daily_dates,0),MATCH($B$3,daily_items,0)))</f>
        <v>#N/A</v>
      </c>
      <c r="P183" s="1" t="str">
        <f t="array" ref="P183">IF(ISBLANK(INDEX(big_daily_table,MATCH(DATE(P$5,$J183,$I183),daily_dates,0),MATCH($B$3,daily_items,0))),NA(),INDEX(big_daily_table,MATCH(DATE(P$5,$J183,$I183),daily_dates,0),MATCH($B$3,daily_items,0)))</f>
        <v>#N/A</v>
      </c>
      <c r="Q183" s="1" t="str">
        <f t="array" ref="Q183">IF(ISBLANK(INDEX(big_daily_table,MATCH(DATE(Q$5,$J183,$I183),daily_dates,0),MATCH($B$3,daily_items,0))),NA(),INDEX(big_daily_table,MATCH(DATE(Q$5,$J183,$I183),daily_dates,0),MATCH($B$3,daily_items,0)))</f>
        <v>#N/A</v>
      </c>
      <c r="R183" s="1" t="str">
        <f t="array" ref="R183">IF(ISBLANK(INDEX(big_daily_table,MATCH(DATE(R$5,$J183,$I183),daily_dates,0),MATCH($B$3,daily_items,0))),NA(),INDEX(big_daily_table,MATCH(DATE(R$5,$J183,$I183),daily_dates,0),MATCH($B$3,daily_items,0)))</f>
        <v>#N/A</v>
      </c>
      <c r="S183" s="1" t="str">
        <f t="array" ref="S183">IF(ISBLANK(INDEX(big_daily_table,MATCH(DATE(S$5,$J183,$I183),daily_dates,0),MATCH($B$3,daily_items,0))),NA(),INDEX(big_daily_table,MATCH(DATE(S$5,$J183,$I183),daily_dates,0),MATCH($B$3,daily_items,0)))</f>
        <v>#N/A</v>
      </c>
      <c r="T183" s="1" t="str">
        <f t="array" ref="T183">IF(ISBLANK(INDEX(big_daily_table,MATCH(DATE(T$5,$J183,$I183),daily_dates,0),MATCH($B$3,daily_items,0))),NA(),INDEX(big_daily_table,MATCH(DATE(T$5,$J183,$I183),daily_dates,0),MATCH($B$3,daily_items,0)))</f>
        <v>#N/A</v>
      </c>
      <c r="U183" s="1" t="str">
        <f t="array" ref="U183">IF(ISBLANK(INDEX(big_daily_table,MATCH(DATE(U$5,$J183,$I183),daily_dates,0),MATCH($B$3,daily_items,0))),NA(),INDEX(big_daily_table,MATCH(DATE(U$5,$J183,$I183),daily_dates,0),MATCH($B$3,daily_items,0)))</f>
        <v>#N/A</v>
      </c>
      <c r="V183" s="1" t="str">
        <f t="array" ref="V183">IF(ISBLANK(INDEX(big_daily_table,MATCH(DATE(V$5,$J183,$I183),daily_dates,0),MATCH($B$3,daily_items,0))),NA(),INDEX(big_daily_table,MATCH(DATE(V$5,$J183,$I183),daily_dates,0),MATCH($B$3,daily_items,0)))</f>
        <v>#N/A</v>
      </c>
      <c r="W183" s="1" t="str">
        <f t="array" ref="W183">IF(ISBLANK(INDEX(big_daily_table,MATCH(DATE(W$5,$J183,$I183),daily_dates,0),MATCH($B$3,daily_items,0))),NA(),INDEX(big_daily_table,MATCH(DATE(W$5,$J183,$I183),daily_dates,0),MATCH($B$3,daily_items,0)))</f>
        <v>#N/A</v>
      </c>
      <c r="X183" s="1" t="str">
        <f t="array" ref="X183">IF(ISBLANK(INDEX(big_daily_table,MATCH(DATE(X$5,$J183,$I183),daily_dates,0),MATCH($B$3,daily_items,0))),NA(),INDEX(big_daily_table,MATCH(DATE(X$5,$J183,$I183),daily_dates,0),MATCH($B$3,daily_items,0)))</f>
        <v>#N/A</v>
      </c>
      <c r="Y183" s="1" t="str">
        <f t="array" ref="Y183">IF(ISBLANK(INDEX(big_daily_table,MATCH(DATE(Y$5,$J183,$I183),daily_dates,0),MATCH($B$3,daily_items,0))),NA(),INDEX(big_daily_table,MATCH(DATE(Y$5,$J183,$I183),daily_dates,0),MATCH($B$3,daily_items,0)))</f>
        <v>#N/A</v>
      </c>
      <c r="Z183" s="1" t="str">
        <f t="shared" si="5"/>
        <v>#NAME?</v>
      </c>
      <c r="AA183" s="1" t="str">
        <f t="shared" si="6"/>
        <v>#NAME?</v>
      </c>
      <c r="AB183" s="1" t="str">
        <f t="shared" si="7"/>
        <v>#NAME?</v>
      </c>
      <c r="AC183" s="1" t="str">
        <f t="shared" si="8"/>
        <v>#NAME?</v>
      </c>
    </row>
    <row r="184" ht="14.25" customHeight="1">
      <c r="H184" s="1">
        <f t="shared" si="9"/>
        <v>179</v>
      </c>
      <c r="I184" s="1">
        <f t="shared" si="2"/>
        <v>27</v>
      </c>
      <c r="J184" s="1">
        <f t="shared" si="3"/>
        <v>6</v>
      </c>
      <c r="K184" s="23">
        <f t="shared" si="10"/>
        <v>36704</v>
      </c>
      <c r="L184" s="24">
        <f t="shared" si="4"/>
        <v>-1000000</v>
      </c>
      <c r="M184" s="1" t="str">
        <f t="array" ref="M184">IF(K184&gt;0,INDEX(big_daily_table,MATCH(DATE(N$5,$J184,$I184),daily_dates,0),MATCH($B$3,daily_items,0)),NA())</f>
        <v>#N/A</v>
      </c>
      <c r="N184" s="1" t="str">
        <f t="array" ref="N184">IF(L184&lt;0,INDEX(big_daily_table,MATCH(DATE(N$5,$J184,$I184),daily_dates,0),MATCH($B$3,daily_items,0)),NA())</f>
        <v>#N/A</v>
      </c>
      <c r="O184" s="1" t="str">
        <f t="array" ref="O184">IF(ISBLANK(INDEX(big_daily_table,MATCH(DATE(O$5,$J184,$I184),daily_dates,0),MATCH($B$3,daily_items,0))),NA(),INDEX(big_daily_table,MATCH(DATE(O$5,$J184,$I184),daily_dates,0),MATCH($B$3,daily_items,0)))</f>
        <v>#N/A</v>
      </c>
      <c r="P184" s="1" t="str">
        <f t="array" ref="P184">IF(ISBLANK(INDEX(big_daily_table,MATCH(DATE(P$5,$J184,$I184),daily_dates,0),MATCH($B$3,daily_items,0))),NA(),INDEX(big_daily_table,MATCH(DATE(P$5,$J184,$I184),daily_dates,0),MATCH($B$3,daily_items,0)))</f>
        <v>#N/A</v>
      </c>
      <c r="Q184" s="1" t="str">
        <f t="array" ref="Q184">IF(ISBLANK(INDEX(big_daily_table,MATCH(DATE(Q$5,$J184,$I184),daily_dates,0),MATCH($B$3,daily_items,0))),NA(),INDEX(big_daily_table,MATCH(DATE(Q$5,$J184,$I184),daily_dates,0),MATCH($B$3,daily_items,0)))</f>
        <v>#N/A</v>
      </c>
      <c r="R184" s="1" t="str">
        <f t="array" ref="R184">IF(ISBLANK(INDEX(big_daily_table,MATCH(DATE(R$5,$J184,$I184),daily_dates,0),MATCH($B$3,daily_items,0))),NA(),INDEX(big_daily_table,MATCH(DATE(R$5,$J184,$I184),daily_dates,0),MATCH($B$3,daily_items,0)))</f>
        <v>#N/A</v>
      </c>
      <c r="S184" s="1" t="str">
        <f t="array" ref="S184">IF(ISBLANK(INDEX(big_daily_table,MATCH(DATE(S$5,$J184,$I184),daily_dates,0),MATCH($B$3,daily_items,0))),NA(),INDEX(big_daily_table,MATCH(DATE(S$5,$J184,$I184),daily_dates,0),MATCH($B$3,daily_items,0)))</f>
        <v>#N/A</v>
      </c>
      <c r="T184" s="1" t="str">
        <f t="array" ref="T184">IF(ISBLANK(INDEX(big_daily_table,MATCH(DATE(T$5,$J184,$I184),daily_dates,0),MATCH($B$3,daily_items,0))),NA(),INDEX(big_daily_table,MATCH(DATE(T$5,$J184,$I184),daily_dates,0),MATCH($B$3,daily_items,0)))</f>
        <v>#N/A</v>
      </c>
      <c r="U184" s="1" t="str">
        <f t="array" ref="U184">IF(ISBLANK(INDEX(big_daily_table,MATCH(DATE(U$5,$J184,$I184),daily_dates,0),MATCH($B$3,daily_items,0))),NA(),INDEX(big_daily_table,MATCH(DATE(U$5,$J184,$I184),daily_dates,0),MATCH($B$3,daily_items,0)))</f>
        <v>#N/A</v>
      </c>
      <c r="V184" s="1" t="str">
        <f t="array" ref="V184">IF(ISBLANK(INDEX(big_daily_table,MATCH(DATE(V$5,$J184,$I184),daily_dates,0),MATCH($B$3,daily_items,0))),NA(),INDEX(big_daily_table,MATCH(DATE(V$5,$J184,$I184),daily_dates,0),MATCH($B$3,daily_items,0)))</f>
        <v>#N/A</v>
      </c>
      <c r="W184" s="1" t="str">
        <f t="array" ref="W184">IF(ISBLANK(INDEX(big_daily_table,MATCH(DATE(W$5,$J184,$I184),daily_dates,0),MATCH($B$3,daily_items,0))),NA(),INDEX(big_daily_table,MATCH(DATE(W$5,$J184,$I184),daily_dates,0),MATCH($B$3,daily_items,0)))</f>
        <v>#N/A</v>
      </c>
      <c r="X184" s="1" t="str">
        <f t="array" ref="X184">IF(ISBLANK(INDEX(big_daily_table,MATCH(DATE(X$5,$J184,$I184),daily_dates,0),MATCH($B$3,daily_items,0))),NA(),INDEX(big_daily_table,MATCH(DATE(X$5,$J184,$I184),daily_dates,0),MATCH($B$3,daily_items,0)))</f>
        <v>#N/A</v>
      </c>
      <c r="Y184" s="1" t="str">
        <f t="array" ref="Y184">IF(ISBLANK(INDEX(big_daily_table,MATCH(DATE(Y$5,$J184,$I184),daily_dates,0),MATCH($B$3,daily_items,0))),NA(),INDEX(big_daily_table,MATCH(DATE(Y$5,$J184,$I184),daily_dates,0),MATCH($B$3,daily_items,0)))</f>
        <v>#N/A</v>
      </c>
      <c r="Z184" s="1" t="str">
        <f t="shared" si="5"/>
        <v>#NAME?</v>
      </c>
      <c r="AA184" s="1" t="str">
        <f t="shared" si="6"/>
        <v>#NAME?</v>
      </c>
      <c r="AB184" s="1" t="str">
        <f t="shared" si="7"/>
        <v>#NAME?</v>
      </c>
      <c r="AC184" s="1" t="str">
        <f t="shared" si="8"/>
        <v>#NAME?</v>
      </c>
    </row>
    <row r="185" ht="14.25" customHeight="1">
      <c r="H185" s="1">
        <f t="shared" si="9"/>
        <v>180</v>
      </c>
      <c r="I185" s="1">
        <f t="shared" si="2"/>
        <v>28</v>
      </c>
      <c r="J185" s="1">
        <f t="shared" si="3"/>
        <v>6</v>
      </c>
      <c r="K185" s="23">
        <f t="shared" si="10"/>
        <v>36705</v>
      </c>
      <c r="L185" s="24">
        <f t="shared" si="4"/>
        <v>-1000000</v>
      </c>
      <c r="M185" s="1" t="str">
        <f t="array" ref="M185">IF(K185&gt;0,INDEX(big_daily_table,MATCH(DATE(N$5,$J185,$I185),daily_dates,0),MATCH($B$3,daily_items,0)),NA())</f>
        <v>#N/A</v>
      </c>
      <c r="N185" s="1" t="str">
        <f t="array" ref="N185">IF(L185&lt;0,INDEX(big_daily_table,MATCH(DATE(N$5,$J185,$I185),daily_dates,0),MATCH($B$3,daily_items,0)),NA())</f>
        <v>#N/A</v>
      </c>
      <c r="O185" s="1" t="str">
        <f t="array" ref="O185">IF(ISBLANK(INDEX(big_daily_table,MATCH(DATE(O$5,$J185,$I185),daily_dates,0),MATCH($B$3,daily_items,0))),NA(),INDEX(big_daily_table,MATCH(DATE(O$5,$J185,$I185),daily_dates,0),MATCH($B$3,daily_items,0)))</f>
        <v>#N/A</v>
      </c>
      <c r="P185" s="1" t="str">
        <f t="array" ref="P185">IF(ISBLANK(INDEX(big_daily_table,MATCH(DATE(P$5,$J185,$I185),daily_dates,0),MATCH($B$3,daily_items,0))),NA(),INDEX(big_daily_table,MATCH(DATE(P$5,$J185,$I185),daily_dates,0),MATCH($B$3,daily_items,0)))</f>
        <v>#N/A</v>
      </c>
      <c r="Q185" s="1" t="str">
        <f t="array" ref="Q185">IF(ISBLANK(INDEX(big_daily_table,MATCH(DATE(Q$5,$J185,$I185),daily_dates,0),MATCH($B$3,daily_items,0))),NA(),INDEX(big_daily_table,MATCH(DATE(Q$5,$J185,$I185),daily_dates,0),MATCH($B$3,daily_items,0)))</f>
        <v>#N/A</v>
      </c>
      <c r="R185" s="1" t="str">
        <f t="array" ref="R185">IF(ISBLANK(INDEX(big_daily_table,MATCH(DATE(R$5,$J185,$I185),daily_dates,0),MATCH($B$3,daily_items,0))),NA(),INDEX(big_daily_table,MATCH(DATE(R$5,$J185,$I185),daily_dates,0),MATCH($B$3,daily_items,0)))</f>
        <v>#N/A</v>
      </c>
      <c r="S185" s="1" t="str">
        <f t="array" ref="S185">IF(ISBLANK(INDEX(big_daily_table,MATCH(DATE(S$5,$J185,$I185),daily_dates,0),MATCH($B$3,daily_items,0))),NA(),INDEX(big_daily_table,MATCH(DATE(S$5,$J185,$I185),daily_dates,0),MATCH($B$3,daily_items,0)))</f>
        <v>#N/A</v>
      </c>
      <c r="T185" s="1" t="str">
        <f t="array" ref="T185">IF(ISBLANK(INDEX(big_daily_table,MATCH(DATE(T$5,$J185,$I185),daily_dates,0),MATCH($B$3,daily_items,0))),NA(),INDEX(big_daily_table,MATCH(DATE(T$5,$J185,$I185),daily_dates,0),MATCH($B$3,daily_items,0)))</f>
        <v>#N/A</v>
      </c>
      <c r="U185" s="1" t="str">
        <f t="array" ref="U185">IF(ISBLANK(INDEX(big_daily_table,MATCH(DATE(U$5,$J185,$I185),daily_dates,0),MATCH($B$3,daily_items,0))),NA(),INDEX(big_daily_table,MATCH(DATE(U$5,$J185,$I185),daily_dates,0),MATCH($B$3,daily_items,0)))</f>
        <v>#N/A</v>
      </c>
      <c r="V185" s="1" t="str">
        <f t="array" ref="V185">IF(ISBLANK(INDEX(big_daily_table,MATCH(DATE(V$5,$J185,$I185),daily_dates,0),MATCH($B$3,daily_items,0))),NA(),INDEX(big_daily_table,MATCH(DATE(V$5,$J185,$I185),daily_dates,0),MATCH($B$3,daily_items,0)))</f>
        <v>#N/A</v>
      </c>
      <c r="W185" s="1" t="str">
        <f t="array" ref="W185">IF(ISBLANK(INDEX(big_daily_table,MATCH(DATE(W$5,$J185,$I185),daily_dates,0),MATCH($B$3,daily_items,0))),NA(),INDEX(big_daily_table,MATCH(DATE(W$5,$J185,$I185),daily_dates,0),MATCH($B$3,daily_items,0)))</f>
        <v>#N/A</v>
      </c>
      <c r="X185" s="1" t="str">
        <f t="array" ref="X185">IF(ISBLANK(INDEX(big_daily_table,MATCH(DATE(X$5,$J185,$I185),daily_dates,0),MATCH($B$3,daily_items,0))),NA(),INDEX(big_daily_table,MATCH(DATE(X$5,$J185,$I185),daily_dates,0),MATCH($B$3,daily_items,0)))</f>
        <v>#N/A</v>
      </c>
      <c r="Y185" s="1" t="str">
        <f t="array" ref="Y185">IF(ISBLANK(INDEX(big_daily_table,MATCH(DATE(Y$5,$J185,$I185),daily_dates,0),MATCH($B$3,daily_items,0))),NA(),INDEX(big_daily_table,MATCH(DATE(Y$5,$J185,$I185),daily_dates,0),MATCH($B$3,daily_items,0)))</f>
        <v>#N/A</v>
      </c>
      <c r="Z185" s="1" t="str">
        <f t="shared" si="5"/>
        <v>#NAME?</v>
      </c>
      <c r="AA185" s="1" t="str">
        <f t="shared" si="6"/>
        <v>#NAME?</v>
      </c>
      <c r="AB185" s="1" t="str">
        <f t="shared" si="7"/>
        <v>#NAME?</v>
      </c>
      <c r="AC185" s="1" t="str">
        <f t="shared" si="8"/>
        <v>#NAME?</v>
      </c>
    </row>
    <row r="186" ht="14.25" customHeight="1">
      <c r="H186" s="1">
        <f t="shared" si="9"/>
        <v>181</v>
      </c>
      <c r="I186" s="1">
        <f t="shared" si="2"/>
        <v>29</v>
      </c>
      <c r="J186" s="1">
        <f t="shared" si="3"/>
        <v>6</v>
      </c>
      <c r="K186" s="23">
        <f t="shared" si="10"/>
        <v>36706</v>
      </c>
      <c r="L186" s="24">
        <f t="shared" si="4"/>
        <v>-1000000</v>
      </c>
      <c r="M186" s="1" t="str">
        <f t="array" ref="M186">IF(K186&gt;0,INDEX(big_daily_table,MATCH(DATE(N$5,$J186,$I186),daily_dates,0),MATCH($B$3,daily_items,0)),NA())</f>
        <v>#N/A</v>
      </c>
      <c r="N186" s="1" t="str">
        <f t="array" ref="N186">IF(L186&lt;0,INDEX(big_daily_table,MATCH(DATE(N$5,$J186,$I186),daily_dates,0),MATCH($B$3,daily_items,0)),NA())</f>
        <v>#N/A</v>
      </c>
      <c r="O186" s="1" t="str">
        <f t="array" ref="O186">IF(ISBLANK(INDEX(big_daily_table,MATCH(DATE(O$5,$J186,$I186),daily_dates,0),MATCH($B$3,daily_items,0))),NA(),INDEX(big_daily_table,MATCH(DATE(O$5,$J186,$I186),daily_dates,0),MATCH($B$3,daily_items,0)))</f>
        <v>#N/A</v>
      </c>
      <c r="P186" s="1" t="str">
        <f t="array" ref="P186">IF(ISBLANK(INDEX(big_daily_table,MATCH(DATE(P$5,$J186,$I186),daily_dates,0),MATCH($B$3,daily_items,0))),NA(),INDEX(big_daily_table,MATCH(DATE(P$5,$J186,$I186),daily_dates,0),MATCH($B$3,daily_items,0)))</f>
        <v>#N/A</v>
      </c>
      <c r="Q186" s="1" t="str">
        <f t="array" ref="Q186">IF(ISBLANK(INDEX(big_daily_table,MATCH(DATE(Q$5,$J186,$I186),daily_dates,0),MATCH($B$3,daily_items,0))),NA(),INDEX(big_daily_table,MATCH(DATE(Q$5,$J186,$I186),daily_dates,0),MATCH($B$3,daily_items,0)))</f>
        <v>#N/A</v>
      </c>
      <c r="R186" s="1" t="str">
        <f t="array" ref="R186">IF(ISBLANK(INDEX(big_daily_table,MATCH(DATE(R$5,$J186,$I186),daily_dates,0),MATCH($B$3,daily_items,0))),NA(),INDEX(big_daily_table,MATCH(DATE(R$5,$J186,$I186),daily_dates,0),MATCH($B$3,daily_items,0)))</f>
        <v>#N/A</v>
      </c>
      <c r="S186" s="1" t="str">
        <f t="array" ref="S186">IF(ISBLANK(INDEX(big_daily_table,MATCH(DATE(S$5,$J186,$I186),daily_dates,0),MATCH($B$3,daily_items,0))),NA(),INDEX(big_daily_table,MATCH(DATE(S$5,$J186,$I186),daily_dates,0),MATCH($B$3,daily_items,0)))</f>
        <v>#N/A</v>
      </c>
      <c r="T186" s="1" t="str">
        <f t="array" ref="T186">IF(ISBLANK(INDEX(big_daily_table,MATCH(DATE(T$5,$J186,$I186),daily_dates,0),MATCH($B$3,daily_items,0))),NA(),INDEX(big_daily_table,MATCH(DATE(T$5,$J186,$I186),daily_dates,0),MATCH($B$3,daily_items,0)))</f>
        <v>#N/A</v>
      </c>
      <c r="U186" s="1" t="str">
        <f t="array" ref="U186">IF(ISBLANK(INDEX(big_daily_table,MATCH(DATE(U$5,$J186,$I186),daily_dates,0),MATCH($B$3,daily_items,0))),NA(),INDEX(big_daily_table,MATCH(DATE(U$5,$J186,$I186),daily_dates,0),MATCH($B$3,daily_items,0)))</f>
        <v>#N/A</v>
      </c>
      <c r="V186" s="1" t="str">
        <f t="array" ref="V186">IF(ISBLANK(INDEX(big_daily_table,MATCH(DATE(V$5,$J186,$I186),daily_dates,0),MATCH($B$3,daily_items,0))),NA(),INDEX(big_daily_table,MATCH(DATE(V$5,$J186,$I186),daily_dates,0),MATCH($B$3,daily_items,0)))</f>
        <v>#N/A</v>
      </c>
      <c r="W186" s="1" t="str">
        <f t="array" ref="W186">IF(ISBLANK(INDEX(big_daily_table,MATCH(DATE(W$5,$J186,$I186),daily_dates,0),MATCH($B$3,daily_items,0))),NA(),INDEX(big_daily_table,MATCH(DATE(W$5,$J186,$I186),daily_dates,0),MATCH($B$3,daily_items,0)))</f>
        <v>#N/A</v>
      </c>
      <c r="X186" s="1" t="str">
        <f t="array" ref="X186">IF(ISBLANK(INDEX(big_daily_table,MATCH(DATE(X$5,$J186,$I186),daily_dates,0),MATCH($B$3,daily_items,0))),NA(),INDEX(big_daily_table,MATCH(DATE(X$5,$J186,$I186),daily_dates,0),MATCH($B$3,daily_items,0)))</f>
        <v>#N/A</v>
      </c>
      <c r="Y186" s="1" t="str">
        <f t="array" ref="Y186">IF(ISBLANK(INDEX(big_daily_table,MATCH(DATE(Y$5,$J186,$I186),daily_dates,0),MATCH($B$3,daily_items,0))),NA(),INDEX(big_daily_table,MATCH(DATE(Y$5,$J186,$I186),daily_dates,0),MATCH($B$3,daily_items,0)))</f>
        <v>#N/A</v>
      </c>
      <c r="Z186" s="1" t="str">
        <f t="shared" si="5"/>
        <v>#NAME?</v>
      </c>
      <c r="AA186" s="1" t="str">
        <f t="shared" si="6"/>
        <v>#NAME?</v>
      </c>
      <c r="AB186" s="1" t="str">
        <f t="shared" si="7"/>
        <v>#NAME?</v>
      </c>
      <c r="AC186" s="1" t="str">
        <f t="shared" si="8"/>
        <v>#NAME?</v>
      </c>
    </row>
    <row r="187" ht="14.25" customHeight="1">
      <c r="H187" s="1">
        <f t="shared" si="9"/>
        <v>182</v>
      </c>
      <c r="I187" s="1">
        <f t="shared" si="2"/>
        <v>30</v>
      </c>
      <c r="J187" s="1">
        <f t="shared" si="3"/>
        <v>6</v>
      </c>
      <c r="K187" s="23">
        <f t="shared" si="10"/>
        <v>36707</v>
      </c>
      <c r="L187" s="24">
        <f t="shared" si="4"/>
        <v>-1000000</v>
      </c>
      <c r="M187" s="1" t="str">
        <f t="array" ref="M187">IF(K187&gt;0,INDEX(big_daily_table,MATCH(DATE(N$5,$J187,$I187),daily_dates,0),MATCH($B$3,daily_items,0)),NA())</f>
        <v>#N/A</v>
      </c>
      <c r="N187" s="1" t="str">
        <f t="array" ref="N187">IF(L187&lt;0,INDEX(big_daily_table,MATCH(DATE(N$5,$J187,$I187),daily_dates,0),MATCH($B$3,daily_items,0)),NA())</f>
        <v>#N/A</v>
      </c>
      <c r="O187" s="1" t="str">
        <f t="array" ref="O187">IF(ISBLANK(INDEX(big_daily_table,MATCH(DATE(O$5,$J187,$I187),daily_dates,0),MATCH($B$3,daily_items,0))),NA(),INDEX(big_daily_table,MATCH(DATE(O$5,$J187,$I187),daily_dates,0),MATCH($B$3,daily_items,0)))</f>
        <v>#N/A</v>
      </c>
      <c r="P187" s="1" t="str">
        <f t="array" ref="P187">IF(ISBLANK(INDEX(big_daily_table,MATCH(DATE(P$5,$J187,$I187),daily_dates,0),MATCH($B$3,daily_items,0))),NA(),INDEX(big_daily_table,MATCH(DATE(P$5,$J187,$I187),daily_dates,0),MATCH($B$3,daily_items,0)))</f>
        <v>#N/A</v>
      </c>
      <c r="Q187" s="1" t="str">
        <f t="array" ref="Q187">IF(ISBLANK(INDEX(big_daily_table,MATCH(DATE(Q$5,$J187,$I187),daily_dates,0),MATCH($B$3,daily_items,0))),NA(),INDEX(big_daily_table,MATCH(DATE(Q$5,$J187,$I187),daily_dates,0),MATCH($B$3,daily_items,0)))</f>
        <v>#N/A</v>
      </c>
      <c r="R187" s="1" t="str">
        <f t="array" ref="R187">IF(ISBLANK(INDEX(big_daily_table,MATCH(DATE(R$5,$J187,$I187),daily_dates,0),MATCH($B$3,daily_items,0))),NA(),INDEX(big_daily_table,MATCH(DATE(R$5,$J187,$I187),daily_dates,0),MATCH($B$3,daily_items,0)))</f>
        <v>#N/A</v>
      </c>
      <c r="S187" s="1" t="str">
        <f t="array" ref="S187">IF(ISBLANK(INDEX(big_daily_table,MATCH(DATE(S$5,$J187,$I187),daily_dates,0),MATCH($B$3,daily_items,0))),NA(),INDEX(big_daily_table,MATCH(DATE(S$5,$J187,$I187),daily_dates,0),MATCH($B$3,daily_items,0)))</f>
        <v>#N/A</v>
      </c>
      <c r="T187" s="1" t="str">
        <f t="array" ref="T187">IF(ISBLANK(INDEX(big_daily_table,MATCH(DATE(T$5,$J187,$I187),daily_dates,0),MATCH($B$3,daily_items,0))),NA(),INDEX(big_daily_table,MATCH(DATE(T$5,$J187,$I187),daily_dates,0),MATCH($B$3,daily_items,0)))</f>
        <v>#N/A</v>
      </c>
      <c r="U187" s="1" t="str">
        <f t="array" ref="U187">IF(ISBLANK(INDEX(big_daily_table,MATCH(DATE(U$5,$J187,$I187),daily_dates,0),MATCH($B$3,daily_items,0))),NA(),INDEX(big_daily_table,MATCH(DATE(U$5,$J187,$I187),daily_dates,0),MATCH($B$3,daily_items,0)))</f>
        <v>#N/A</v>
      </c>
      <c r="V187" s="1" t="str">
        <f t="array" ref="V187">IF(ISBLANK(INDEX(big_daily_table,MATCH(DATE(V$5,$J187,$I187),daily_dates,0),MATCH($B$3,daily_items,0))),NA(),INDEX(big_daily_table,MATCH(DATE(V$5,$J187,$I187),daily_dates,0),MATCH($B$3,daily_items,0)))</f>
        <v>#N/A</v>
      </c>
      <c r="W187" s="1" t="str">
        <f t="array" ref="W187">IF(ISBLANK(INDEX(big_daily_table,MATCH(DATE(W$5,$J187,$I187),daily_dates,0),MATCH($B$3,daily_items,0))),NA(),INDEX(big_daily_table,MATCH(DATE(W$5,$J187,$I187),daily_dates,0),MATCH($B$3,daily_items,0)))</f>
        <v>#N/A</v>
      </c>
      <c r="X187" s="1" t="str">
        <f t="array" ref="X187">IF(ISBLANK(INDEX(big_daily_table,MATCH(DATE(X$5,$J187,$I187),daily_dates,0),MATCH($B$3,daily_items,0))),NA(),INDEX(big_daily_table,MATCH(DATE(X$5,$J187,$I187),daily_dates,0),MATCH($B$3,daily_items,0)))</f>
        <v>#N/A</v>
      </c>
      <c r="Y187" s="1" t="str">
        <f t="array" ref="Y187">IF(ISBLANK(INDEX(big_daily_table,MATCH(DATE(Y$5,$J187,$I187),daily_dates,0),MATCH($B$3,daily_items,0))),NA(),INDEX(big_daily_table,MATCH(DATE(Y$5,$J187,$I187),daily_dates,0),MATCH($B$3,daily_items,0)))</f>
        <v>#N/A</v>
      </c>
      <c r="Z187" s="1" t="str">
        <f t="shared" si="5"/>
        <v>#NAME?</v>
      </c>
      <c r="AA187" s="1" t="str">
        <f t="shared" si="6"/>
        <v>#NAME?</v>
      </c>
      <c r="AB187" s="1" t="str">
        <f t="shared" si="7"/>
        <v>#NAME?</v>
      </c>
      <c r="AC187" s="1" t="str">
        <f t="shared" si="8"/>
        <v>#NAME?</v>
      </c>
    </row>
    <row r="188" ht="14.25" customHeight="1">
      <c r="H188" s="1">
        <f t="shared" si="9"/>
        <v>183</v>
      </c>
      <c r="I188" s="1">
        <f t="shared" si="2"/>
        <v>1</v>
      </c>
      <c r="J188" s="1">
        <f t="shared" si="3"/>
        <v>7</v>
      </c>
      <c r="K188" s="23">
        <f t="shared" si="10"/>
        <v>36708</v>
      </c>
      <c r="L188" s="24">
        <f t="shared" si="4"/>
        <v>-1000000</v>
      </c>
      <c r="M188" s="1" t="str">
        <f t="array" ref="M188">IF(K188&gt;0,INDEX(big_daily_table,MATCH(DATE(N$5,$J188,$I188),daily_dates,0),MATCH($B$3,daily_items,0)),NA())</f>
        <v>#N/A</v>
      </c>
      <c r="N188" s="1" t="str">
        <f t="array" ref="N188">IF(L188&lt;0,INDEX(big_daily_table,MATCH(DATE(N$5,$J188,$I188),daily_dates,0),MATCH($B$3,daily_items,0)),NA())</f>
        <v>#N/A</v>
      </c>
      <c r="O188" s="1" t="str">
        <f t="array" ref="O188">IF(ISBLANK(INDEX(big_daily_table,MATCH(DATE(O$5,$J188,$I188),daily_dates,0),MATCH($B$3,daily_items,0))),NA(),INDEX(big_daily_table,MATCH(DATE(O$5,$J188,$I188),daily_dates,0),MATCH($B$3,daily_items,0)))</f>
        <v>#N/A</v>
      </c>
      <c r="P188" s="1" t="str">
        <f t="array" ref="P188">IF(ISBLANK(INDEX(big_daily_table,MATCH(DATE(P$5,$J188,$I188),daily_dates,0),MATCH($B$3,daily_items,0))),NA(),INDEX(big_daily_table,MATCH(DATE(P$5,$J188,$I188),daily_dates,0),MATCH($B$3,daily_items,0)))</f>
        <v>#N/A</v>
      </c>
      <c r="Q188" s="1" t="str">
        <f t="array" ref="Q188">IF(ISBLANK(INDEX(big_daily_table,MATCH(DATE(Q$5,$J188,$I188),daily_dates,0),MATCH($B$3,daily_items,0))),NA(),INDEX(big_daily_table,MATCH(DATE(Q$5,$J188,$I188),daily_dates,0),MATCH($B$3,daily_items,0)))</f>
        <v>#N/A</v>
      </c>
      <c r="R188" s="1" t="str">
        <f t="array" ref="R188">IF(ISBLANK(INDEX(big_daily_table,MATCH(DATE(R$5,$J188,$I188),daily_dates,0),MATCH($B$3,daily_items,0))),NA(),INDEX(big_daily_table,MATCH(DATE(R$5,$J188,$I188),daily_dates,0),MATCH($B$3,daily_items,0)))</f>
        <v>#N/A</v>
      </c>
      <c r="S188" s="1" t="str">
        <f t="array" ref="S188">IF(ISBLANK(INDEX(big_daily_table,MATCH(DATE(S$5,$J188,$I188),daily_dates,0),MATCH($B$3,daily_items,0))),NA(),INDEX(big_daily_table,MATCH(DATE(S$5,$J188,$I188),daily_dates,0),MATCH($B$3,daily_items,0)))</f>
        <v>#N/A</v>
      </c>
      <c r="T188" s="1" t="str">
        <f t="array" ref="T188">IF(ISBLANK(INDEX(big_daily_table,MATCH(DATE(T$5,$J188,$I188),daily_dates,0),MATCH($B$3,daily_items,0))),NA(),INDEX(big_daily_table,MATCH(DATE(T$5,$J188,$I188),daily_dates,0),MATCH($B$3,daily_items,0)))</f>
        <v>#N/A</v>
      </c>
      <c r="U188" s="1" t="str">
        <f t="array" ref="U188">IF(ISBLANK(INDEX(big_daily_table,MATCH(DATE(U$5,$J188,$I188),daily_dates,0),MATCH($B$3,daily_items,0))),NA(),INDEX(big_daily_table,MATCH(DATE(U$5,$J188,$I188),daily_dates,0),MATCH($B$3,daily_items,0)))</f>
        <v>#N/A</v>
      </c>
      <c r="V188" s="1" t="str">
        <f t="array" ref="V188">IF(ISBLANK(INDEX(big_daily_table,MATCH(DATE(V$5,$J188,$I188),daily_dates,0),MATCH($B$3,daily_items,0))),NA(),INDEX(big_daily_table,MATCH(DATE(V$5,$J188,$I188),daily_dates,0),MATCH($B$3,daily_items,0)))</f>
        <v>#N/A</v>
      </c>
      <c r="W188" s="1" t="str">
        <f t="array" ref="W188">IF(ISBLANK(INDEX(big_daily_table,MATCH(DATE(W$5,$J188,$I188),daily_dates,0),MATCH($B$3,daily_items,0))),NA(),INDEX(big_daily_table,MATCH(DATE(W$5,$J188,$I188),daily_dates,0),MATCH($B$3,daily_items,0)))</f>
        <v>#N/A</v>
      </c>
      <c r="X188" s="1" t="str">
        <f t="array" ref="X188">IF(ISBLANK(INDEX(big_daily_table,MATCH(DATE(X$5,$J188,$I188),daily_dates,0),MATCH($B$3,daily_items,0))),NA(),INDEX(big_daily_table,MATCH(DATE(X$5,$J188,$I188),daily_dates,0),MATCH($B$3,daily_items,0)))</f>
        <v>#N/A</v>
      </c>
      <c r="Y188" s="1" t="str">
        <f t="array" ref="Y188">IF(ISBLANK(INDEX(big_daily_table,MATCH(DATE(Y$5,$J188,$I188),daily_dates,0),MATCH($B$3,daily_items,0))),NA(),INDEX(big_daily_table,MATCH(DATE(Y$5,$J188,$I188),daily_dates,0),MATCH($B$3,daily_items,0)))</f>
        <v>#N/A</v>
      </c>
      <c r="Z188" s="1" t="str">
        <f t="shared" si="5"/>
        <v>#NAME?</v>
      </c>
      <c r="AA188" s="1" t="str">
        <f t="shared" si="6"/>
        <v>#NAME?</v>
      </c>
      <c r="AB188" s="1" t="str">
        <f t="shared" si="7"/>
        <v>#NAME?</v>
      </c>
      <c r="AC188" s="1" t="str">
        <f t="shared" si="8"/>
        <v>#NAME?</v>
      </c>
    </row>
    <row r="189" ht="14.25" customHeight="1">
      <c r="H189" s="1">
        <f t="shared" si="9"/>
        <v>184</v>
      </c>
      <c r="I189" s="1">
        <f t="shared" si="2"/>
        <v>2</v>
      </c>
      <c r="J189" s="1">
        <f t="shared" si="3"/>
        <v>7</v>
      </c>
      <c r="K189" s="23">
        <f t="shared" si="10"/>
        <v>36709</v>
      </c>
      <c r="L189" s="24">
        <f t="shared" si="4"/>
        <v>-1000000</v>
      </c>
      <c r="M189" s="1" t="str">
        <f t="array" ref="M189">IF(K189&gt;0,INDEX(big_daily_table,MATCH(DATE(N$5,$J189,$I189),daily_dates,0),MATCH($B$3,daily_items,0)),NA())</f>
        <v>#N/A</v>
      </c>
      <c r="N189" s="1" t="str">
        <f t="array" ref="N189">IF(L189&lt;0,INDEX(big_daily_table,MATCH(DATE(N$5,$J189,$I189),daily_dates,0),MATCH($B$3,daily_items,0)),NA())</f>
        <v>#N/A</v>
      </c>
      <c r="O189" s="1" t="str">
        <f t="array" ref="O189">IF(ISBLANK(INDEX(big_daily_table,MATCH(DATE(O$5,$J189,$I189),daily_dates,0),MATCH($B$3,daily_items,0))),NA(),INDEX(big_daily_table,MATCH(DATE(O$5,$J189,$I189),daily_dates,0),MATCH($B$3,daily_items,0)))</f>
        <v>#N/A</v>
      </c>
      <c r="P189" s="1" t="str">
        <f t="array" ref="P189">IF(ISBLANK(INDEX(big_daily_table,MATCH(DATE(P$5,$J189,$I189),daily_dates,0),MATCH($B$3,daily_items,0))),NA(),INDEX(big_daily_table,MATCH(DATE(P$5,$J189,$I189),daily_dates,0),MATCH($B$3,daily_items,0)))</f>
        <v>#N/A</v>
      </c>
      <c r="Q189" s="1" t="str">
        <f t="array" ref="Q189">IF(ISBLANK(INDEX(big_daily_table,MATCH(DATE(Q$5,$J189,$I189),daily_dates,0),MATCH($B$3,daily_items,0))),NA(),INDEX(big_daily_table,MATCH(DATE(Q$5,$J189,$I189),daily_dates,0),MATCH($B$3,daily_items,0)))</f>
        <v>#N/A</v>
      </c>
      <c r="R189" s="1" t="str">
        <f t="array" ref="R189">IF(ISBLANK(INDEX(big_daily_table,MATCH(DATE(R$5,$J189,$I189),daily_dates,0),MATCH($B$3,daily_items,0))),NA(),INDEX(big_daily_table,MATCH(DATE(R$5,$J189,$I189),daily_dates,0),MATCH($B$3,daily_items,0)))</f>
        <v>#N/A</v>
      </c>
      <c r="S189" s="1" t="str">
        <f t="array" ref="S189">IF(ISBLANK(INDEX(big_daily_table,MATCH(DATE(S$5,$J189,$I189),daily_dates,0),MATCH($B$3,daily_items,0))),NA(),INDEX(big_daily_table,MATCH(DATE(S$5,$J189,$I189),daily_dates,0),MATCH($B$3,daily_items,0)))</f>
        <v>#N/A</v>
      </c>
      <c r="T189" s="1" t="str">
        <f t="array" ref="T189">IF(ISBLANK(INDEX(big_daily_table,MATCH(DATE(T$5,$J189,$I189),daily_dates,0),MATCH($B$3,daily_items,0))),NA(),INDEX(big_daily_table,MATCH(DATE(T$5,$J189,$I189),daily_dates,0),MATCH($B$3,daily_items,0)))</f>
        <v>#N/A</v>
      </c>
      <c r="U189" s="1" t="str">
        <f t="array" ref="U189">IF(ISBLANK(INDEX(big_daily_table,MATCH(DATE(U$5,$J189,$I189),daily_dates,0),MATCH($B$3,daily_items,0))),NA(),INDEX(big_daily_table,MATCH(DATE(U$5,$J189,$I189),daily_dates,0),MATCH($B$3,daily_items,0)))</f>
        <v>#N/A</v>
      </c>
      <c r="V189" s="1" t="str">
        <f t="array" ref="V189">IF(ISBLANK(INDEX(big_daily_table,MATCH(DATE(V$5,$J189,$I189),daily_dates,0),MATCH($B$3,daily_items,0))),NA(),INDEX(big_daily_table,MATCH(DATE(V$5,$J189,$I189),daily_dates,0),MATCH($B$3,daily_items,0)))</f>
        <v>#N/A</v>
      </c>
      <c r="W189" s="1" t="str">
        <f t="array" ref="W189">IF(ISBLANK(INDEX(big_daily_table,MATCH(DATE(W$5,$J189,$I189),daily_dates,0),MATCH($B$3,daily_items,0))),NA(),INDEX(big_daily_table,MATCH(DATE(W$5,$J189,$I189),daily_dates,0),MATCH($B$3,daily_items,0)))</f>
        <v>#N/A</v>
      </c>
      <c r="X189" s="1" t="str">
        <f t="array" ref="X189">IF(ISBLANK(INDEX(big_daily_table,MATCH(DATE(X$5,$J189,$I189),daily_dates,0),MATCH($B$3,daily_items,0))),NA(),INDEX(big_daily_table,MATCH(DATE(X$5,$J189,$I189),daily_dates,0),MATCH($B$3,daily_items,0)))</f>
        <v>#N/A</v>
      </c>
      <c r="Y189" s="1" t="str">
        <f t="array" ref="Y189">IF(ISBLANK(INDEX(big_daily_table,MATCH(DATE(Y$5,$J189,$I189),daily_dates,0),MATCH($B$3,daily_items,0))),NA(),INDEX(big_daily_table,MATCH(DATE(Y$5,$J189,$I189),daily_dates,0),MATCH($B$3,daily_items,0)))</f>
        <v>#N/A</v>
      </c>
      <c r="Z189" s="1" t="str">
        <f t="shared" si="5"/>
        <v>#NAME?</v>
      </c>
      <c r="AA189" s="1" t="str">
        <f t="shared" si="6"/>
        <v>#NAME?</v>
      </c>
      <c r="AB189" s="1" t="str">
        <f t="shared" si="7"/>
        <v>#NAME?</v>
      </c>
      <c r="AC189" s="1" t="str">
        <f t="shared" si="8"/>
        <v>#NAME?</v>
      </c>
    </row>
    <row r="190" ht="14.25" customHeight="1">
      <c r="H190" s="1">
        <f t="shared" si="9"/>
        <v>185</v>
      </c>
      <c r="I190" s="1">
        <f t="shared" si="2"/>
        <v>3</v>
      </c>
      <c r="J190" s="1">
        <f t="shared" si="3"/>
        <v>7</v>
      </c>
      <c r="K190" s="23">
        <f t="shared" si="10"/>
        <v>36710</v>
      </c>
      <c r="L190" s="24">
        <f t="shared" si="4"/>
        <v>-1000000</v>
      </c>
      <c r="M190" s="1" t="str">
        <f t="array" ref="M190">IF(K190&gt;0,INDEX(big_daily_table,MATCH(DATE(N$5,$J190,$I190),daily_dates,0),MATCH($B$3,daily_items,0)),NA())</f>
        <v>#N/A</v>
      </c>
      <c r="N190" s="1" t="str">
        <f t="array" ref="N190">IF(L190&lt;0,INDEX(big_daily_table,MATCH(DATE(N$5,$J190,$I190),daily_dates,0),MATCH($B$3,daily_items,0)),NA())</f>
        <v>#N/A</v>
      </c>
      <c r="O190" s="1" t="str">
        <f t="array" ref="O190">IF(ISBLANK(INDEX(big_daily_table,MATCH(DATE(O$5,$J190,$I190),daily_dates,0),MATCH($B$3,daily_items,0))),NA(),INDEX(big_daily_table,MATCH(DATE(O$5,$J190,$I190),daily_dates,0),MATCH($B$3,daily_items,0)))</f>
        <v>#N/A</v>
      </c>
      <c r="P190" s="1" t="str">
        <f t="array" ref="P190">IF(ISBLANK(INDEX(big_daily_table,MATCH(DATE(P$5,$J190,$I190),daily_dates,0),MATCH($B$3,daily_items,0))),NA(),INDEX(big_daily_table,MATCH(DATE(P$5,$J190,$I190),daily_dates,0),MATCH($B$3,daily_items,0)))</f>
        <v>#N/A</v>
      </c>
      <c r="Q190" s="1" t="str">
        <f t="array" ref="Q190">IF(ISBLANK(INDEX(big_daily_table,MATCH(DATE(Q$5,$J190,$I190),daily_dates,0),MATCH($B$3,daily_items,0))),NA(),INDEX(big_daily_table,MATCH(DATE(Q$5,$J190,$I190),daily_dates,0),MATCH($B$3,daily_items,0)))</f>
        <v>#N/A</v>
      </c>
      <c r="R190" s="1" t="str">
        <f t="array" ref="R190">IF(ISBLANK(INDEX(big_daily_table,MATCH(DATE(R$5,$J190,$I190),daily_dates,0),MATCH($B$3,daily_items,0))),NA(),INDEX(big_daily_table,MATCH(DATE(R$5,$J190,$I190),daily_dates,0),MATCH($B$3,daily_items,0)))</f>
        <v>#N/A</v>
      </c>
      <c r="S190" s="1" t="str">
        <f t="array" ref="S190">IF(ISBLANK(INDEX(big_daily_table,MATCH(DATE(S$5,$J190,$I190),daily_dates,0),MATCH($B$3,daily_items,0))),NA(),INDEX(big_daily_table,MATCH(DATE(S$5,$J190,$I190),daily_dates,0),MATCH($B$3,daily_items,0)))</f>
        <v>#N/A</v>
      </c>
      <c r="T190" s="1" t="str">
        <f t="array" ref="T190">IF(ISBLANK(INDEX(big_daily_table,MATCH(DATE(T$5,$J190,$I190),daily_dates,0),MATCH($B$3,daily_items,0))),NA(),INDEX(big_daily_table,MATCH(DATE(T$5,$J190,$I190),daily_dates,0),MATCH($B$3,daily_items,0)))</f>
        <v>#N/A</v>
      </c>
      <c r="U190" s="1" t="str">
        <f t="array" ref="U190">IF(ISBLANK(INDEX(big_daily_table,MATCH(DATE(U$5,$J190,$I190),daily_dates,0),MATCH($B$3,daily_items,0))),NA(),INDEX(big_daily_table,MATCH(DATE(U$5,$J190,$I190),daily_dates,0),MATCH($B$3,daily_items,0)))</f>
        <v>#N/A</v>
      </c>
      <c r="V190" s="1" t="str">
        <f t="array" ref="V190">IF(ISBLANK(INDEX(big_daily_table,MATCH(DATE(V$5,$J190,$I190),daily_dates,0),MATCH($B$3,daily_items,0))),NA(),INDEX(big_daily_table,MATCH(DATE(V$5,$J190,$I190),daily_dates,0),MATCH($B$3,daily_items,0)))</f>
        <v>#N/A</v>
      </c>
      <c r="W190" s="1" t="str">
        <f t="array" ref="W190">IF(ISBLANK(INDEX(big_daily_table,MATCH(DATE(W$5,$J190,$I190),daily_dates,0),MATCH($B$3,daily_items,0))),NA(),INDEX(big_daily_table,MATCH(DATE(W$5,$J190,$I190),daily_dates,0),MATCH($B$3,daily_items,0)))</f>
        <v>#N/A</v>
      </c>
      <c r="X190" s="1" t="str">
        <f t="array" ref="X190">IF(ISBLANK(INDEX(big_daily_table,MATCH(DATE(X$5,$J190,$I190),daily_dates,0),MATCH($B$3,daily_items,0))),NA(),INDEX(big_daily_table,MATCH(DATE(X$5,$J190,$I190),daily_dates,0),MATCH($B$3,daily_items,0)))</f>
        <v>#N/A</v>
      </c>
      <c r="Y190" s="1" t="str">
        <f t="array" ref="Y190">IF(ISBLANK(INDEX(big_daily_table,MATCH(DATE(Y$5,$J190,$I190),daily_dates,0),MATCH($B$3,daily_items,0))),NA(),INDEX(big_daily_table,MATCH(DATE(Y$5,$J190,$I190),daily_dates,0),MATCH($B$3,daily_items,0)))</f>
        <v>#N/A</v>
      </c>
      <c r="Z190" s="1" t="str">
        <f t="shared" si="5"/>
        <v>#NAME?</v>
      </c>
      <c r="AA190" s="1" t="str">
        <f t="shared" si="6"/>
        <v>#NAME?</v>
      </c>
      <c r="AB190" s="1" t="str">
        <f t="shared" si="7"/>
        <v>#NAME?</v>
      </c>
      <c r="AC190" s="1" t="str">
        <f t="shared" si="8"/>
        <v>#NAME?</v>
      </c>
    </row>
    <row r="191" ht="14.25" customHeight="1">
      <c r="H191" s="1">
        <f t="shared" si="9"/>
        <v>186</v>
      </c>
      <c r="I191" s="1">
        <f t="shared" si="2"/>
        <v>4</v>
      </c>
      <c r="J191" s="1">
        <f t="shared" si="3"/>
        <v>7</v>
      </c>
      <c r="K191" s="23">
        <f t="shared" si="10"/>
        <v>36711</v>
      </c>
      <c r="L191" s="24">
        <f t="shared" si="4"/>
        <v>-1000000</v>
      </c>
      <c r="M191" s="1" t="str">
        <f t="array" ref="M191">IF(K191&gt;0,INDEX(big_daily_table,MATCH(DATE(N$5,$J191,$I191),daily_dates,0),MATCH($B$3,daily_items,0)),NA())</f>
        <v>#N/A</v>
      </c>
      <c r="N191" s="1" t="str">
        <f t="array" ref="N191">IF(L191&lt;0,INDEX(big_daily_table,MATCH(DATE(N$5,$J191,$I191),daily_dates,0),MATCH($B$3,daily_items,0)),NA())</f>
        <v>#N/A</v>
      </c>
      <c r="O191" s="1" t="str">
        <f t="array" ref="O191">IF(ISBLANK(INDEX(big_daily_table,MATCH(DATE(O$5,$J191,$I191),daily_dates,0),MATCH($B$3,daily_items,0))),NA(),INDEX(big_daily_table,MATCH(DATE(O$5,$J191,$I191),daily_dates,0),MATCH($B$3,daily_items,0)))</f>
        <v>#N/A</v>
      </c>
      <c r="P191" s="1" t="str">
        <f t="array" ref="P191">IF(ISBLANK(INDEX(big_daily_table,MATCH(DATE(P$5,$J191,$I191),daily_dates,0),MATCH($B$3,daily_items,0))),NA(),INDEX(big_daily_table,MATCH(DATE(P$5,$J191,$I191),daily_dates,0),MATCH($B$3,daily_items,0)))</f>
        <v>#N/A</v>
      </c>
      <c r="Q191" s="1" t="str">
        <f t="array" ref="Q191">IF(ISBLANK(INDEX(big_daily_table,MATCH(DATE(Q$5,$J191,$I191),daily_dates,0),MATCH($B$3,daily_items,0))),NA(),INDEX(big_daily_table,MATCH(DATE(Q$5,$J191,$I191),daily_dates,0),MATCH($B$3,daily_items,0)))</f>
        <v>#N/A</v>
      </c>
      <c r="R191" s="1" t="str">
        <f t="array" ref="R191">IF(ISBLANK(INDEX(big_daily_table,MATCH(DATE(R$5,$J191,$I191),daily_dates,0),MATCH($B$3,daily_items,0))),NA(),INDEX(big_daily_table,MATCH(DATE(R$5,$J191,$I191),daily_dates,0),MATCH($B$3,daily_items,0)))</f>
        <v>#N/A</v>
      </c>
      <c r="S191" s="1" t="str">
        <f t="array" ref="S191">IF(ISBLANK(INDEX(big_daily_table,MATCH(DATE(S$5,$J191,$I191),daily_dates,0),MATCH($B$3,daily_items,0))),NA(),INDEX(big_daily_table,MATCH(DATE(S$5,$J191,$I191),daily_dates,0),MATCH($B$3,daily_items,0)))</f>
        <v>#N/A</v>
      </c>
      <c r="T191" s="1" t="str">
        <f t="array" ref="T191">IF(ISBLANK(INDEX(big_daily_table,MATCH(DATE(T$5,$J191,$I191),daily_dates,0),MATCH($B$3,daily_items,0))),NA(),INDEX(big_daily_table,MATCH(DATE(T$5,$J191,$I191),daily_dates,0),MATCH($B$3,daily_items,0)))</f>
        <v>#N/A</v>
      </c>
      <c r="U191" s="1" t="str">
        <f t="array" ref="U191">IF(ISBLANK(INDEX(big_daily_table,MATCH(DATE(U$5,$J191,$I191),daily_dates,0),MATCH($B$3,daily_items,0))),NA(),INDEX(big_daily_table,MATCH(DATE(U$5,$J191,$I191),daily_dates,0),MATCH($B$3,daily_items,0)))</f>
        <v>#N/A</v>
      </c>
      <c r="V191" s="1" t="str">
        <f t="array" ref="V191">IF(ISBLANK(INDEX(big_daily_table,MATCH(DATE(V$5,$J191,$I191),daily_dates,0),MATCH($B$3,daily_items,0))),NA(),INDEX(big_daily_table,MATCH(DATE(V$5,$J191,$I191),daily_dates,0),MATCH($B$3,daily_items,0)))</f>
        <v>#N/A</v>
      </c>
      <c r="W191" s="1" t="str">
        <f t="array" ref="W191">IF(ISBLANK(INDEX(big_daily_table,MATCH(DATE(W$5,$J191,$I191),daily_dates,0),MATCH($B$3,daily_items,0))),NA(),INDEX(big_daily_table,MATCH(DATE(W$5,$J191,$I191),daily_dates,0),MATCH($B$3,daily_items,0)))</f>
        <v>#N/A</v>
      </c>
      <c r="X191" s="1" t="str">
        <f t="array" ref="X191">IF(ISBLANK(INDEX(big_daily_table,MATCH(DATE(X$5,$J191,$I191),daily_dates,0),MATCH($B$3,daily_items,0))),NA(),INDEX(big_daily_table,MATCH(DATE(X$5,$J191,$I191),daily_dates,0),MATCH($B$3,daily_items,0)))</f>
        <v>#N/A</v>
      </c>
      <c r="Y191" s="1" t="str">
        <f t="array" ref="Y191">IF(ISBLANK(INDEX(big_daily_table,MATCH(DATE(Y$5,$J191,$I191),daily_dates,0),MATCH($B$3,daily_items,0))),NA(),INDEX(big_daily_table,MATCH(DATE(Y$5,$J191,$I191),daily_dates,0),MATCH($B$3,daily_items,0)))</f>
        <v>#N/A</v>
      </c>
      <c r="Z191" s="1" t="str">
        <f t="shared" si="5"/>
        <v>#NAME?</v>
      </c>
      <c r="AA191" s="1" t="str">
        <f t="shared" si="6"/>
        <v>#NAME?</v>
      </c>
      <c r="AB191" s="1" t="str">
        <f t="shared" si="7"/>
        <v>#NAME?</v>
      </c>
      <c r="AC191" s="1" t="str">
        <f t="shared" si="8"/>
        <v>#NAME?</v>
      </c>
    </row>
    <row r="192" ht="14.25" customHeight="1">
      <c r="H192" s="1">
        <f t="shared" si="9"/>
        <v>187</v>
      </c>
      <c r="I192" s="1">
        <f t="shared" si="2"/>
        <v>5</v>
      </c>
      <c r="J192" s="1">
        <f t="shared" si="3"/>
        <v>7</v>
      </c>
      <c r="K192" s="23">
        <f t="shared" si="10"/>
        <v>36712</v>
      </c>
      <c r="L192" s="24">
        <f t="shared" si="4"/>
        <v>-1000000</v>
      </c>
      <c r="M192" s="1" t="str">
        <f t="array" ref="M192">IF(K192&gt;0,INDEX(big_daily_table,MATCH(DATE(N$5,$J192,$I192),daily_dates,0),MATCH($B$3,daily_items,0)),NA())</f>
        <v>#N/A</v>
      </c>
      <c r="N192" s="1" t="str">
        <f t="array" ref="N192">IF(L192&lt;0,INDEX(big_daily_table,MATCH(DATE(N$5,$J192,$I192),daily_dates,0),MATCH($B$3,daily_items,0)),NA())</f>
        <v>#N/A</v>
      </c>
      <c r="O192" s="1" t="str">
        <f t="array" ref="O192">IF(ISBLANK(INDEX(big_daily_table,MATCH(DATE(O$5,$J192,$I192),daily_dates,0),MATCH($B$3,daily_items,0))),NA(),INDEX(big_daily_table,MATCH(DATE(O$5,$J192,$I192),daily_dates,0),MATCH($B$3,daily_items,0)))</f>
        <v>#N/A</v>
      </c>
      <c r="P192" s="1" t="str">
        <f t="array" ref="P192">IF(ISBLANK(INDEX(big_daily_table,MATCH(DATE(P$5,$J192,$I192),daily_dates,0),MATCH($B$3,daily_items,0))),NA(),INDEX(big_daily_table,MATCH(DATE(P$5,$J192,$I192),daily_dates,0),MATCH($B$3,daily_items,0)))</f>
        <v>#N/A</v>
      </c>
      <c r="Q192" s="1" t="str">
        <f t="array" ref="Q192">IF(ISBLANK(INDEX(big_daily_table,MATCH(DATE(Q$5,$J192,$I192),daily_dates,0),MATCH($B$3,daily_items,0))),NA(),INDEX(big_daily_table,MATCH(DATE(Q$5,$J192,$I192),daily_dates,0),MATCH($B$3,daily_items,0)))</f>
        <v>#N/A</v>
      </c>
      <c r="R192" s="1" t="str">
        <f t="array" ref="R192">IF(ISBLANK(INDEX(big_daily_table,MATCH(DATE(R$5,$J192,$I192),daily_dates,0),MATCH($B$3,daily_items,0))),NA(),INDEX(big_daily_table,MATCH(DATE(R$5,$J192,$I192),daily_dates,0),MATCH($B$3,daily_items,0)))</f>
        <v>#N/A</v>
      </c>
      <c r="S192" s="1" t="str">
        <f t="array" ref="S192">IF(ISBLANK(INDEX(big_daily_table,MATCH(DATE(S$5,$J192,$I192),daily_dates,0),MATCH($B$3,daily_items,0))),NA(),INDEX(big_daily_table,MATCH(DATE(S$5,$J192,$I192),daily_dates,0),MATCH($B$3,daily_items,0)))</f>
        <v>#N/A</v>
      </c>
      <c r="T192" s="1" t="str">
        <f t="array" ref="T192">IF(ISBLANK(INDEX(big_daily_table,MATCH(DATE(T$5,$J192,$I192),daily_dates,0),MATCH($B$3,daily_items,0))),NA(),INDEX(big_daily_table,MATCH(DATE(T$5,$J192,$I192),daily_dates,0),MATCH($B$3,daily_items,0)))</f>
        <v>#N/A</v>
      </c>
      <c r="U192" s="1" t="str">
        <f t="array" ref="U192">IF(ISBLANK(INDEX(big_daily_table,MATCH(DATE(U$5,$J192,$I192),daily_dates,0),MATCH($B$3,daily_items,0))),NA(),INDEX(big_daily_table,MATCH(DATE(U$5,$J192,$I192),daily_dates,0),MATCH($B$3,daily_items,0)))</f>
        <v>#N/A</v>
      </c>
      <c r="V192" s="1" t="str">
        <f t="array" ref="V192">IF(ISBLANK(INDEX(big_daily_table,MATCH(DATE(V$5,$J192,$I192),daily_dates,0),MATCH($B$3,daily_items,0))),NA(),INDEX(big_daily_table,MATCH(DATE(V$5,$J192,$I192),daily_dates,0),MATCH($B$3,daily_items,0)))</f>
        <v>#N/A</v>
      </c>
      <c r="W192" s="1" t="str">
        <f t="array" ref="W192">IF(ISBLANK(INDEX(big_daily_table,MATCH(DATE(W$5,$J192,$I192),daily_dates,0),MATCH($B$3,daily_items,0))),NA(),INDEX(big_daily_table,MATCH(DATE(W$5,$J192,$I192),daily_dates,0),MATCH($B$3,daily_items,0)))</f>
        <v>#N/A</v>
      </c>
      <c r="X192" s="1" t="str">
        <f t="array" ref="X192">IF(ISBLANK(INDEX(big_daily_table,MATCH(DATE(X$5,$J192,$I192),daily_dates,0),MATCH($B$3,daily_items,0))),NA(),INDEX(big_daily_table,MATCH(DATE(X$5,$J192,$I192),daily_dates,0),MATCH($B$3,daily_items,0)))</f>
        <v>#N/A</v>
      </c>
      <c r="Y192" s="1" t="str">
        <f t="array" ref="Y192">IF(ISBLANK(INDEX(big_daily_table,MATCH(DATE(Y$5,$J192,$I192),daily_dates,0),MATCH($B$3,daily_items,0))),NA(),INDEX(big_daily_table,MATCH(DATE(Y$5,$J192,$I192),daily_dates,0),MATCH($B$3,daily_items,0)))</f>
        <v>#N/A</v>
      </c>
      <c r="Z192" s="1" t="str">
        <f t="shared" si="5"/>
        <v>#NAME?</v>
      </c>
      <c r="AA192" s="1" t="str">
        <f t="shared" si="6"/>
        <v>#NAME?</v>
      </c>
      <c r="AB192" s="1" t="str">
        <f t="shared" si="7"/>
        <v>#NAME?</v>
      </c>
      <c r="AC192" s="1" t="str">
        <f t="shared" si="8"/>
        <v>#NAME?</v>
      </c>
    </row>
    <row r="193" ht="14.25" customHeight="1">
      <c r="H193" s="1">
        <f t="shared" si="9"/>
        <v>188</v>
      </c>
      <c r="I193" s="1">
        <f t="shared" si="2"/>
        <v>6</v>
      </c>
      <c r="J193" s="1">
        <f t="shared" si="3"/>
        <v>7</v>
      </c>
      <c r="K193" s="23">
        <f t="shared" si="10"/>
        <v>36713</v>
      </c>
      <c r="L193" s="24">
        <f t="shared" si="4"/>
        <v>-1000000</v>
      </c>
      <c r="M193" s="1" t="str">
        <f t="array" ref="M193">IF(K193&gt;0,INDEX(big_daily_table,MATCH(DATE(N$5,$J193,$I193),daily_dates,0),MATCH($B$3,daily_items,0)),NA())</f>
        <v>#N/A</v>
      </c>
      <c r="N193" s="1" t="str">
        <f t="array" ref="N193">IF(L193&lt;0,INDEX(big_daily_table,MATCH(DATE(N$5,$J193,$I193),daily_dates,0),MATCH($B$3,daily_items,0)),NA())</f>
        <v>#N/A</v>
      </c>
      <c r="O193" s="1" t="str">
        <f t="array" ref="O193">IF(ISBLANK(INDEX(big_daily_table,MATCH(DATE(O$5,$J193,$I193),daily_dates,0),MATCH($B$3,daily_items,0))),NA(),INDEX(big_daily_table,MATCH(DATE(O$5,$J193,$I193),daily_dates,0),MATCH($B$3,daily_items,0)))</f>
        <v>#N/A</v>
      </c>
      <c r="P193" s="1" t="str">
        <f t="array" ref="P193">IF(ISBLANK(INDEX(big_daily_table,MATCH(DATE(P$5,$J193,$I193),daily_dates,0),MATCH($B$3,daily_items,0))),NA(),INDEX(big_daily_table,MATCH(DATE(P$5,$J193,$I193),daily_dates,0),MATCH($B$3,daily_items,0)))</f>
        <v>#N/A</v>
      </c>
      <c r="Q193" s="1" t="str">
        <f t="array" ref="Q193">IF(ISBLANK(INDEX(big_daily_table,MATCH(DATE(Q$5,$J193,$I193),daily_dates,0),MATCH($B$3,daily_items,0))),NA(),INDEX(big_daily_table,MATCH(DATE(Q$5,$J193,$I193),daily_dates,0),MATCH($B$3,daily_items,0)))</f>
        <v>#N/A</v>
      </c>
      <c r="R193" s="1" t="str">
        <f t="array" ref="R193">IF(ISBLANK(INDEX(big_daily_table,MATCH(DATE(R$5,$J193,$I193),daily_dates,0),MATCH($B$3,daily_items,0))),NA(),INDEX(big_daily_table,MATCH(DATE(R$5,$J193,$I193),daily_dates,0),MATCH($B$3,daily_items,0)))</f>
        <v>#N/A</v>
      </c>
      <c r="S193" s="1" t="str">
        <f t="array" ref="S193">IF(ISBLANK(INDEX(big_daily_table,MATCH(DATE(S$5,$J193,$I193),daily_dates,0),MATCH($B$3,daily_items,0))),NA(),INDEX(big_daily_table,MATCH(DATE(S$5,$J193,$I193),daily_dates,0),MATCH($B$3,daily_items,0)))</f>
        <v>#N/A</v>
      </c>
      <c r="T193" s="1" t="str">
        <f t="array" ref="T193">IF(ISBLANK(INDEX(big_daily_table,MATCH(DATE(T$5,$J193,$I193),daily_dates,0),MATCH($B$3,daily_items,0))),NA(),INDEX(big_daily_table,MATCH(DATE(T$5,$J193,$I193),daily_dates,0),MATCH($B$3,daily_items,0)))</f>
        <v>#N/A</v>
      </c>
      <c r="U193" s="1" t="str">
        <f t="array" ref="U193">IF(ISBLANK(INDEX(big_daily_table,MATCH(DATE(U$5,$J193,$I193),daily_dates,0),MATCH($B$3,daily_items,0))),NA(),INDEX(big_daily_table,MATCH(DATE(U$5,$J193,$I193),daily_dates,0),MATCH($B$3,daily_items,0)))</f>
        <v>#N/A</v>
      </c>
      <c r="V193" s="1" t="str">
        <f t="array" ref="V193">IF(ISBLANK(INDEX(big_daily_table,MATCH(DATE(V$5,$J193,$I193),daily_dates,0),MATCH($B$3,daily_items,0))),NA(),INDEX(big_daily_table,MATCH(DATE(V$5,$J193,$I193),daily_dates,0),MATCH($B$3,daily_items,0)))</f>
        <v>#N/A</v>
      </c>
      <c r="W193" s="1" t="str">
        <f t="array" ref="W193">IF(ISBLANK(INDEX(big_daily_table,MATCH(DATE(W$5,$J193,$I193),daily_dates,0),MATCH($B$3,daily_items,0))),NA(),INDEX(big_daily_table,MATCH(DATE(W$5,$J193,$I193),daily_dates,0),MATCH($B$3,daily_items,0)))</f>
        <v>#N/A</v>
      </c>
      <c r="X193" s="1" t="str">
        <f t="array" ref="X193">IF(ISBLANK(INDEX(big_daily_table,MATCH(DATE(X$5,$J193,$I193),daily_dates,0),MATCH($B$3,daily_items,0))),NA(),INDEX(big_daily_table,MATCH(DATE(X$5,$J193,$I193),daily_dates,0),MATCH($B$3,daily_items,0)))</f>
        <v>#N/A</v>
      </c>
      <c r="Y193" s="1" t="str">
        <f t="array" ref="Y193">IF(ISBLANK(INDEX(big_daily_table,MATCH(DATE(Y$5,$J193,$I193),daily_dates,0),MATCH($B$3,daily_items,0))),NA(),INDEX(big_daily_table,MATCH(DATE(Y$5,$J193,$I193),daily_dates,0),MATCH($B$3,daily_items,0)))</f>
        <v>#N/A</v>
      </c>
      <c r="Z193" s="1" t="str">
        <f t="shared" si="5"/>
        <v>#NAME?</v>
      </c>
      <c r="AA193" s="1" t="str">
        <f t="shared" si="6"/>
        <v>#NAME?</v>
      </c>
      <c r="AB193" s="1" t="str">
        <f t="shared" si="7"/>
        <v>#NAME?</v>
      </c>
      <c r="AC193" s="1" t="str">
        <f t="shared" si="8"/>
        <v>#NAME?</v>
      </c>
    </row>
    <row r="194" ht="14.25" customHeight="1">
      <c r="H194" s="1">
        <f t="shared" si="9"/>
        <v>189</v>
      </c>
      <c r="I194" s="1">
        <f t="shared" si="2"/>
        <v>7</v>
      </c>
      <c r="J194" s="1">
        <f t="shared" si="3"/>
        <v>7</v>
      </c>
      <c r="K194" s="23">
        <f t="shared" si="10"/>
        <v>36714</v>
      </c>
      <c r="L194" s="24">
        <f t="shared" si="4"/>
        <v>-1000000</v>
      </c>
      <c r="M194" s="1" t="str">
        <f t="array" ref="M194">IF(K194&gt;0,INDEX(big_daily_table,MATCH(DATE(N$5,$J194,$I194),daily_dates,0),MATCH($B$3,daily_items,0)),NA())</f>
        <v>#N/A</v>
      </c>
      <c r="N194" s="1" t="str">
        <f t="array" ref="N194">IF(L194&lt;0,INDEX(big_daily_table,MATCH(DATE(N$5,$J194,$I194),daily_dates,0),MATCH($B$3,daily_items,0)),NA())</f>
        <v>#N/A</v>
      </c>
      <c r="O194" s="1" t="str">
        <f t="array" ref="O194">IF(ISBLANK(INDEX(big_daily_table,MATCH(DATE(O$5,$J194,$I194),daily_dates,0),MATCH($B$3,daily_items,0))),NA(),INDEX(big_daily_table,MATCH(DATE(O$5,$J194,$I194),daily_dates,0),MATCH($B$3,daily_items,0)))</f>
        <v>#N/A</v>
      </c>
      <c r="P194" s="1" t="str">
        <f t="array" ref="P194">IF(ISBLANK(INDEX(big_daily_table,MATCH(DATE(P$5,$J194,$I194),daily_dates,0),MATCH($B$3,daily_items,0))),NA(),INDEX(big_daily_table,MATCH(DATE(P$5,$J194,$I194),daily_dates,0),MATCH($B$3,daily_items,0)))</f>
        <v>#N/A</v>
      </c>
      <c r="Q194" s="1" t="str">
        <f t="array" ref="Q194">IF(ISBLANK(INDEX(big_daily_table,MATCH(DATE(Q$5,$J194,$I194),daily_dates,0),MATCH($B$3,daily_items,0))),NA(),INDEX(big_daily_table,MATCH(DATE(Q$5,$J194,$I194),daily_dates,0),MATCH($B$3,daily_items,0)))</f>
        <v>#N/A</v>
      </c>
      <c r="R194" s="1" t="str">
        <f t="array" ref="R194">IF(ISBLANK(INDEX(big_daily_table,MATCH(DATE(R$5,$J194,$I194),daily_dates,0),MATCH($B$3,daily_items,0))),NA(),INDEX(big_daily_table,MATCH(DATE(R$5,$J194,$I194),daily_dates,0),MATCH($B$3,daily_items,0)))</f>
        <v>#N/A</v>
      </c>
      <c r="S194" s="1" t="str">
        <f t="array" ref="S194">IF(ISBLANK(INDEX(big_daily_table,MATCH(DATE(S$5,$J194,$I194),daily_dates,0),MATCH($B$3,daily_items,0))),NA(),INDEX(big_daily_table,MATCH(DATE(S$5,$J194,$I194),daily_dates,0),MATCH($B$3,daily_items,0)))</f>
        <v>#N/A</v>
      </c>
      <c r="T194" s="1" t="str">
        <f t="array" ref="T194">IF(ISBLANK(INDEX(big_daily_table,MATCH(DATE(T$5,$J194,$I194),daily_dates,0),MATCH($B$3,daily_items,0))),NA(),INDEX(big_daily_table,MATCH(DATE(T$5,$J194,$I194),daily_dates,0),MATCH($B$3,daily_items,0)))</f>
        <v>#N/A</v>
      </c>
      <c r="U194" s="1" t="str">
        <f t="array" ref="U194">IF(ISBLANK(INDEX(big_daily_table,MATCH(DATE(U$5,$J194,$I194),daily_dates,0),MATCH($B$3,daily_items,0))),NA(),INDEX(big_daily_table,MATCH(DATE(U$5,$J194,$I194),daily_dates,0),MATCH($B$3,daily_items,0)))</f>
        <v>#N/A</v>
      </c>
      <c r="V194" s="1" t="str">
        <f t="array" ref="V194">IF(ISBLANK(INDEX(big_daily_table,MATCH(DATE(V$5,$J194,$I194),daily_dates,0),MATCH($B$3,daily_items,0))),NA(),INDEX(big_daily_table,MATCH(DATE(V$5,$J194,$I194),daily_dates,0),MATCH($B$3,daily_items,0)))</f>
        <v>#N/A</v>
      </c>
      <c r="W194" s="1" t="str">
        <f t="array" ref="W194">IF(ISBLANK(INDEX(big_daily_table,MATCH(DATE(W$5,$J194,$I194),daily_dates,0),MATCH($B$3,daily_items,0))),NA(),INDEX(big_daily_table,MATCH(DATE(W$5,$J194,$I194),daily_dates,0),MATCH($B$3,daily_items,0)))</f>
        <v>#N/A</v>
      </c>
      <c r="X194" s="1" t="str">
        <f t="array" ref="X194">IF(ISBLANK(INDEX(big_daily_table,MATCH(DATE(X$5,$J194,$I194),daily_dates,0),MATCH($B$3,daily_items,0))),NA(),INDEX(big_daily_table,MATCH(DATE(X$5,$J194,$I194),daily_dates,0),MATCH($B$3,daily_items,0)))</f>
        <v>#N/A</v>
      </c>
      <c r="Y194" s="1" t="str">
        <f t="array" ref="Y194">IF(ISBLANK(INDEX(big_daily_table,MATCH(DATE(Y$5,$J194,$I194),daily_dates,0),MATCH($B$3,daily_items,0))),NA(),INDEX(big_daily_table,MATCH(DATE(Y$5,$J194,$I194),daily_dates,0),MATCH($B$3,daily_items,0)))</f>
        <v>#N/A</v>
      </c>
      <c r="Z194" s="1" t="str">
        <f t="shared" si="5"/>
        <v>#NAME?</v>
      </c>
      <c r="AA194" s="1" t="str">
        <f t="shared" si="6"/>
        <v>#NAME?</v>
      </c>
      <c r="AB194" s="1" t="str">
        <f t="shared" si="7"/>
        <v>#NAME?</v>
      </c>
      <c r="AC194" s="1" t="str">
        <f t="shared" si="8"/>
        <v>#NAME?</v>
      </c>
    </row>
    <row r="195" ht="14.25" customHeight="1">
      <c r="H195" s="1">
        <f t="shared" si="9"/>
        <v>190</v>
      </c>
      <c r="I195" s="1">
        <f t="shared" si="2"/>
        <v>8</v>
      </c>
      <c r="J195" s="1">
        <f t="shared" si="3"/>
        <v>7</v>
      </c>
      <c r="K195" s="23">
        <f t="shared" si="10"/>
        <v>36715</v>
      </c>
      <c r="L195" s="24">
        <f t="shared" si="4"/>
        <v>-1000000</v>
      </c>
      <c r="M195" s="1" t="str">
        <f t="array" ref="M195">IF(K195&gt;0,INDEX(big_daily_table,MATCH(DATE(N$5,$J195,$I195),daily_dates,0),MATCH($B$3,daily_items,0)),NA())</f>
        <v>#N/A</v>
      </c>
      <c r="N195" s="1" t="str">
        <f t="array" ref="N195">IF(L195&lt;0,INDEX(big_daily_table,MATCH(DATE(N$5,$J195,$I195),daily_dates,0),MATCH($B$3,daily_items,0)),NA())</f>
        <v>#N/A</v>
      </c>
      <c r="O195" s="1" t="str">
        <f t="array" ref="O195">IF(ISBLANK(INDEX(big_daily_table,MATCH(DATE(O$5,$J195,$I195),daily_dates,0),MATCH($B$3,daily_items,0))),NA(),INDEX(big_daily_table,MATCH(DATE(O$5,$J195,$I195),daily_dates,0),MATCH($B$3,daily_items,0)))</f>
        <v>#N/A</v>
      </c>
      <c r="P195" s="1" t="str">
        <f t="array" ref="P195">IF(ISBLANK(INDEX(big_daily_table,MATCH(DATE(P$5,$J195,$I195),daily_dates,0),MATCH($B$3,daily_items,0))),NA(),INDEX(big_daily_table,MATCH(DATE(P$5,$J195,$I195),daily_dates,0),MATCH($B$3,daily_items,0)))</f>
        <v>#N/A</v>
      </c>
      <c r="Q195" s="1" t="str">
        <f t="array" ref="Q195">IF(ISBLANK(INDEX(big_daily_table,MATCH(DATE(Q$5,$J195,$I195),daily_dates,0),MATCH($B$3,daily_items,0))),NA(),INDEX(big_daily_table,MATCH(DATE(Q$5,$J195,$I195),daily_dates,0),MATCH($B$3,daily_items,0)))</f>
        <v>#N/A</v>
      </c>
      <c r="R195" s="1" t="str">
        <f t="array" ref="R195">IF(ISBLANK(INDEX(big_daily_table,MATCH(DATE(R$5,$J195,$I195),daily_dates,0),MATCH($B$3,daily_items,0))),NA(),INDEX(big_daily_table,MATCH(DATE(R$5,$J195,$I195),daily_dates,0),MATCH($B$3,daily_items,0)))</f>
        <v>#N/A</v>
      </c>
      <c r="S195" s="1" t="str">
        <f t="array" ref="S195">IF(ISBLANK(INDEX(big_daily_table,MATCH(DATE(S$5,$J195,$I195),daily_dates,0),MATCH($B$3,daily_items,0))),NA(),INDEX(big_daily_table,MATCH(DATE(S$5,$J195,$I195),daily_dates,0),MATCH($B$3,daily_items,0)))</f>
        <v>#N/A</v>
      </c>
      <c r="T195" s="1" t="str">
        <f t="array" ref="T195">IF(ISBLANK(INDEX(big_daily_table,MATCH(DATE(T$5,$J195,$I195),daily_dates,0),MATCH($B$3,daily_items,0))),NA(),INDEX(big_daily_table,MATCH(DATE(T$5,$J195,$I195),daily_dates,0),MATCH($B$3,daily_items,0)))</f>
        <v>#N/A</v>
      </c>
      <c r="U195" s="1" t="str">
        <f t="array" ref="U195">IF(ISBLANK(INDEX(big_daily_table,MATCH(DATE(U$5,$J195,$I195),daily_dates,0),MATCH($B$3,daily_items,0))),NA(),INDEX(big_daily_table,MATCH(DATE(U$5,$J195,$I195),daily_dates,0),MATCH($B$3,daily_items,0)))</f>
        <v>#N/A</v>
      </c>
      <c r="V195" s="1" t="str">
        <f t="array" ref="V195">IF(ISBLANK(INDEX(big_daily_table,MATCH(DATE(V$5,$J195,$I195),daily_dates,0),MATCH($B$3,daily_items,0))),NA(),INDEX(big_daily_table,MATCH(DATE(V$5,$J195,$I195),daily_dates,0),MATCH($B$3,daily_items,0)))</f>
        <v>#N/A</v>
      </c>
      <c r="W195" s="1" t="str">
        <f t="array" ref="W195">IF(ISBLANK(INDEX(big_daily_table,MATCH(DATE(W$5,$J195,$I195),daily_dates,0),MATCH($B$3,daily_items,0))),NA(),INDEX(big_daily_table,MATCH(DATE(W$5,$J195,$I195),daily_dates,0),MATCH($B$3,daily_items,0)))</f>
        <v>#N/A</v>
      </c>
      <c r="X195" s="1" t="str">
        <f t="array" ref="X195">IF(ISBLANK(INDEX(big_daily_table,MATCH(DATE(X$5,$J195,$I195),daily_dates,0),MATCH($B$3,daily_items,0))),NA(),INDEX(big_daily_table,MATCH(DATE(X$5,$J195,$I195),daily_dates,0),MATCH($B$3,daily_items,0)))</f>
        <v>#N/A</v>
      </c>
      <c r="Y195" s="1" t="str">
        <f t="array" ref="Y195">IF(ISBLANK(INDEX(big_daily_table,MATCH(DATE(Y$5,$J195,$I195),daily_dates,0),MATCH($B$3,daily_items,0))),NA(),INDEX(big_daily_table,MATCH(DATE(Y$5,$J195,$I195),daily_dates,0),MATCH($B$3,daily_items,0)))</f>
        <v>#N/A</v>
      </c>
      <c r="Z195" s="1" t="str">
        <f t="shared" si="5"/>
        <v>#NAME?</v>
      </c>
      <c r="AA195" s="1" t="str">
        <f t="shared" si="6"/>
        <v>#NAME?</v>
      </c>
      <c r="AB195" s="1" t="str">
        <f t="shared" si="7"/>
        <v>#NAME?</v>
      </c>
      <c r="AC195" s="1" t="str">
        <f t="shared" si="8"/>
        <v>#NAME?</v>
      </c>
    </row>
    <row r="196" ht="14.25" customHeight="1">
      <c r="H196" s="1">
        <f t="shared" si="9"/>
        <v>191</v>
      </c>
      <c r="I196" s="1">
        <f t="shared" si="2"/>
        <v>9</v>
      </c>
      <c r="J196" s="1">
        <f t="shared" si="3"/>
        <v>7</v>
      </c>
      <c r="K196" s="23">
        <f t="shared" si="10"/>
        <v>36716</v>
      </c>
      <c r="L196" s="24">
        <f t="shared" si="4"/>
        <v>-1000000</v>
      </c>
      <c r="M196" s="1" t="str">
        <f t="array" ref="M196">IF(K196&gt;0,INDEX(big_daily_table,MATCH(DATE(N$5,$J196,$I196),daily_dates,0),MATCH($B$3,daily_items,0)),NA())</f>
        <v>#N/A</v>
      </c>
      <c r="N196" s="1" t="str">
        <f t="array" ref="N196">IF(L196&lt;0,INDEX(big_daily_table,MATCH(DATE(N$5,$J196,$I196),daily_dates,0),MATCH($B$3,daily_items,0)),NA())</f>
        <v>#N/A</v>
      </c>
      <c r="O196" s="1" t="str">
        <f t="array" ref="O196">IF(ISBLANK(INDEX(big_daily_table,MATCH(DATE(O$5,$J196,$I196),daily_dates,0),MATCH($B$3,daily_items,0))),NA(),INDEX(big_daily_table,MATCH(DATE(O$5,$J196,$I196),daily_dates,0),MATCH($B$3,daily_items,0)))</f>
        <v>#N/A</v>
      </c>
      <c r="P196" s="1" t="str">
        <f t="array" ref="P196">IF(ISBLANK(INDEX(big_daily_table,MATCH(DATE(P$5,$J196,$I196),daily_dates,0),MATCH($B$3,daily_items,0))),NA(),INDEX(big_daily_table,MATCH(DATE(P$5,$J196,$I196),daily_dates,0),MATCH($B$3,daily_items,0)))</f>
        <v>#N/A</v>
      </c>
      <c r="Q196" s="1" t="str">
        <f t="array" ref="Q196">IF(ISBLANK(INDEX(big_daily_table,MATCH(DATE(Q$5,$J196,$I196),daily_dates,0),MATCH($B$3,daily_items,0))),NA(),INDEX(big_daily_table,MATCH(DATE(Q$5,$J196,$I196),daily_dates,0),MATCH($B$3,daily_items,0)))</f>
        <v>#N/A</v>
      </c>
      <c r="R196" s="1" t="str">
        <f t="array" ref="R196">IF(ISBLANK(INDEX(big_daily_table,MATCH(DATE(R$5,$J196,$I196),daily_dates,0),MATCH($B$3,daily_items,0))),NA(),INDEX(big_daily_table,MATCH(DATE(R$5,$J196,$I196),daily_dates,0),MATCH($B$3,daily_items,0)))</f>
        <v>#N/A</v>
      </c>
      <c r="S196" s="1" t="str">
        <f t="array" ref="S196">IF(ISBLANK(INDEX(big_daily_table,MATCH(DATE(S$5,$J196,$I196),daily_dates,0),MATCH($B$3,daily_items,0))),NA(),INDEX(big_daily_table,MATCH(DATE(S$5,$J196,$I196),daily_dates,0),MATCH($B$3,daily_items,0)))</f>
        <v>#N/A</v>
      </c>
      <c r="T196" s="1" t="str">
        <f t="array" ref="T196">IF(ISBLANK(INDEX(big_daily_table,MATCH(DATE(T$5,$J196,$I196),daily_dates,0),MATCH($B$3,daily_items,0))),NA(),INDEX(big_daily_table,MATCH(DATE(T$5,$J196,$I196),daily_dates,0),MATCH($B$3,daily_items,0)))</f>
        <v>#N/A</v>
      </c>
      <c r="U196" s="1" t="str">
        <f t="array" ref="U196">IF(ISBLANK(INDEX(big_daily_table,MATCH(DATE(U$5,$J196,$I196),daily_dates,0),MATCH($B$3,daily_items,0))),NA(),INDEX(big_daily_table,MATCH(DATE(U$5,$J196,$I196),daily_dates,0),MATCH($B$3,daily_items,0)))</f>
        <v>#N/A</v>
      </c>
      <c r="V196" s="1" t="str">
        <f t="array" ref="V196">IF(ISBLANK(INDEX(big_daily_table,MATCH(DATE(V$5,$J196,$I196),daily_dates,0),MATCH($B$3,daily_items,0))),NA(),INDEX(big_daily_table,MATCH(DATE(V$5,$J196,$I196),daily_dates,0),MATCH($B$3,daily_items,0)))</f>
        <v>#N/A</v>
      </c>
      <c r="W196" s="1" t="str">
        <f t="array" ref="W196">IF(ISBLANK(INDEX(big_daily_table,MATCH(DATE(W$5,$J196,$I196),daily_dates,0),MATCH($B$3,daily_items,0))),NA(),INDEX(big_daily_table,MATCH(DATE(W$5,$J196,$I196),daily_dates,0),MATCH($B$3,daily_items,0)))</f>
        <v>#N/A</v>
      </c>
      <c r="X196" s="1" t="str">
        <f t="array" ref="X196">IF(ISBLANK(INDEX(big_daily_table,MATCH(DATE(X$5,$J196,$I196),daily_dates,0),MATCH($B$3,daily_items,0))),NA(),INDEX(big_daily_table,MATCH(DATE(X$5,$J196,$I196),daily_dates,0),MATCH($B$3,daily_items,0)))</f>
        <v>#N/A</v>
      </c>
      <c r="Y196" s="1" t="str">
        <f t="array" ref="Y196">IF(ISBLANK(INDEX(big_daily_table,MATCH(DATE(Y$5,$J196,$I196),daily_dates,0),MATCH($B$3,daily_items,0))),NA(),INDEX(big_daily_table,MATCH(DATE(Y$5,$J196,$I196),daily_dates,0),MATCH($B$3,daily_items,0)))</f>
        <v>#N/A</v>
      </c>
      <c r="Z196" s="1" t="str">
        <f t="shared" si="5"/>
        <v>#NAME?</v>
      </c>
      <c r="AA196" s="1" t="str">
        <f t="shared" si="6"/>
        <v>#NAME?</v>
      </c>
      <c r="AB196" s="1" t="str">
        <f t="shared" si="7"/>
        <v>#NAME?</v>
      </c>
      <c r="AC196" s="1" t="str">
        <f t="shared" si="8"/>
        <v>#NAME?</v>
      </c>
    </row>
    <row r="197" ht="14.25" customHeight="1">
      <c r="H197" s="1">
        <f t="shared" si="9"/>
        <v>192</v>
      </c>
      <c r="I197" s="1">
        <f t="shared" si="2"/>
        <v>10</v>
      </c>
      <c r="J197" s="1">
        <f t="shared" si="3"/>
        <v>7</v>
      </c>
      <c r="K197" s="23">
        <f t="shared" si="10"/>
        <v>36717</v>
      </c>
      <c r="L197" s="24">
        <f t="shared" si="4"/>
        <v>-1000000</v>
      </c>
      <c r="M197" s="1" t="str">
        <f t="array" ref="M197">IF(K197&gt;0,INDEX(big_daily_table,MATCH(DATE(N$5,$J197,$I197),daily_dates,0),MATCH($B$3,daily_items,0)),NA())</f>
        <v>#N/A</v>
      </c>
      <c r="N197" s="1" t="str">
        <f t="array" ref="N197">IF(L197&lt;0,INDEX(big_daily_table,MATCH(DATE(N$5,$J197,$I197),daily_dates,0),MATCH($B$3,daily_items,0)),NA())</f>
        <v>#N/A</v>
      </c>
      <c r="O197" s="1" t="str">
        <f t="array" ref="O197">IF(ISBLANK(INDEX(big_daily_table,MATCH(DATE(O$5,$J197,$I197),daily_dates,0),MATCH($B$3,daily_items,0))),NA(),INDEX(big_daily_table,MATCH(DATE(O$5,$J197,$I197),daily_dates,0),MATCH($B$3,daily_items,0)))</f>
        <v>#N/A</v>
      </c>
      <c r="P197" s="1" t="str">
        <f t="array" ref="P197">IF(ISBLANK(INDEX(big_daily_table,MATCH(DATE(P$5,$J197,$I197),daily_dates,0),MATCH($B$3,daily_items,0))),NA(),INDEX(big_daily_table,MATCH(DATE(P$5,$J197,$I197),daily_dates,0),MATCH($B$3,daily_items,0)))</f>
        <v>#N/A</v>
      </c>
      <c r="Q197" s="1" t="str">
        <f t="array" ref="Q197">IF(ISBLANK(INDEX(big_daily_table,MATCH(DATE(Q$5,$J197,$I197),daily_dates,0),MATCH($B$3,daily_items,0))),NA(),INDEX(big_daily_table,MATCH(DATE(Q$5,$J197,$I197),daily_dates,0),MATCH($B$3,daily_items,0)))</f>
        <v>#N/A</v>
      </c>
      <c r="R197" s="1" t="str">
        <f t="array" ref="R197">IF(ISBLANK(INDEX(big_daily_table,MATCH(DATE(R$5,$J197,$I197),daily_dates,0),MATCH($B$3,daily_items,0))),NA(),INDEX(big_daily_table,MATCH(DATE(R$5,$J197,$I197),daily_dates,0),MATCH($B$3,daily_items,0)))</f>
        <v>#N/A</v>
      </c>
      <c r="S197" s="1" t="str">
        <f t="array" ref="S197">IF(ISBLANK(INDEX(big_daily_table,MATCH(DATE(S$5,$J197,$I197),daily_dates,0),MATCH($B$3,daily_items,0))),NA(),INDEX(big_daily_table,MATCH(DATE(S$5,$J197,$I197),daily_dates,0),MATCH($B$3,daily_items,0)))</f>
        <v>#N/A</v>
      </c>
      <c r="T197" s="1" t="str">
        <f t="array" ref="T197">IF(ISBLANK(INDEX(big_daily_table,MATCH(DATE(T$5,$J197,$I197),daily_dates,0),MATCH($B$3,daily_items,0))),NA(),INDEX(big_daily_table,MATCH(DATE(T$5,$J197,$I197),daily_dates,0),MATCH($B$3,daily_items,0)))</f>
        <v>#N/A</v>
      </c>
      <c r="U197" s="1" t="str">
        <f t="array" ref="U197">IF(ISBLANK(INDEX(big_daily_table,MATCH(DATE(U$5,$J197,$I197),daily_dates,0),MATCH($B$3,daily_items,0))),NA(),INDEX(big_daily_table,MATCH(DATE(U$5,$J197,$I197),daily_dates,0),MATCH($B$3,daily_items,0)))</f>
        <v>#N/A</v>
      </c>
      <c r="V197" s="1" t="str">
        <f t="array" ref="V197">IF(ISBLANK(INDEX(big_daily_table,MATCH(DATE(V$5,$J197,$I197),daily_dates,0),MATCH($B$3,daily_items,0))),NA(),INDEX(big_daily_table,MATCH(DATE(V$5,$J197,$I197),daily_dates,0),MATCH($B$3,daily_items,0)))</f>
        <v>#N/A</v>
      </c>
      <c r="W197" s="1" t="str">
        <f t="array" ref="W197">IF(ISBLANK(INDEX(big_daily_table,MATCH(DATE(W$5,$J197,$I197),daily_dates,0),MATCH($B$3,daily_items,0))),NA(),INDEX(big_daily_table,MATCH(DATE(W$5,$J197,$I197),daily_dates,0),MATCH($B$3,daily_items,0)))</f>
        <v>#N/A</v>
      </c>
      <c r="X197" s="1" t="str">
        <f t="array" ref="X197">IF(ISBLANK(INDEX(big_daily_table,MATCH(DATE(X$5,$J197,$I197),daily_dates,0),MATCH($B$3,daily_items,0))),NA(),INDEX(big_daily_table,MATCH(DATE(X$5,$J197,$I197),daily_dates,0),MATCH($B$3,daily_items,0)))</f>
        <v>#N/A</v>
      </c>
      <c r="Y197" s="1" t="str">
        <f t="array" ref="Y197">IF(ISBLANK(INDEX(big_daily_table,MATCH(DATE(Y$5,$J197,$I197),daily_dates,0),MATCH($B$3,daily_items,0))),NA(),INDEX(big_daily_table,MATCH(DATE(Y$5,$J197,$I197),daily_dates,0),MATCH($B$3,daily_items,0)))</f>
        <v>#N/A</v>
      </c>
      <c r="Z197" s="1" t="str">
        <f t="shared" si="5"/>
        <v>#NAME?</v>
      </c>
      <c r="AA197" s="1" t="str">
        <f t="shared" si="6"/>
        <v>#NAME?</v>
      </c>
      <c r="AB197" s="1" t="str">
        <f t="shared" si="7"/>
        <v>#NAME?</v>
      </c>
      <c r="AC197" s="1" t="str">
        <f t="shared" si="8"/>
        <v>#NAME?</v>
      </c>
    </row>
    <row r="198" ht="14.25" customHeight="1">
      <c r="H198" s="1">
        <f t="shared" si="9"/>
        <v>193</v>
      </c>
      <c r="I198" s="1">
        <f t="shared" si="2"/>
        <v>11</v>
      </c>
      <c r="J198" s="1">
        <f t="shared" si="3"/>
        <v>7</v>
      </c>
      <c r="K198" s="23">
        <f t="shared" si="10"/>
        <v>36718</v>
      </c>
      <c r="L198" s="24">
        <f t="shared" si="4"/>
        <v>-1000000</v>
      </c>
      <c r="M198" s="1" t="str">
        <f t="array" ref="M198">IF(K198&gt;0,INDEX(big_daily_table,MATCH(DATE(N$5,$J198,$I198),daily_dates,0),MATCH($B$3,daily_items,0)),NA())</f>
        <v>#N/A</v>
      </c>
      <c r="N198" s="1" t="str">
        <f t="array" ref="N198">IF(L198&lt;0,INDEX(big_daily_table,MATCH(DATE(N$5,$J198,$I198),daily_dates,0),MATCH($B$3,daily_items,0)),NA())</f>
        <v>#N/A</v>
      </c>
      <c r="O198" s="1" t="str">
        <f t="array" ref="O198">IF(ISBLANK(INDEX(big_daily_table,MATCH(DATE(O$5,$J198,$I198),daily_dates,0),MATCH($B$3,daily_items,0))),NA(),INDEX(big_daily_table,MATCH(DATE(O$5,$J198,$I198),daily_dates,0),MATCH($B$3,daily_items,0)))</f>
        <v>#N/A</v>
      </c>
      <c r="P198" s="1" t="str">
        <f t="array" ref="P198">IF(ISBLANK(INDEX(big_daily_table,MATCH(DATE(P$5,$J198,$I198),daily_dates,0),MATCH($B$3,daily_items,0))),NA(),INDEX(big_daily_table,MATCH(DATE(P$5,$J198,$I198),daily_dates,0),MATCH($B$3,daily_items,0)))</f>
        <v>#N/A</v>
      </c>
      <c r="Q198" s="1" t="str">
        <f t="array" ref="Q198">IF(ISBLANK(INDEX(big_daily_table,MATCH(DATE(Q$5,$J198,$I198),daily_dates,0),MATCH($B$3,daily_items,0))),NA(),INDEX(big_daily_table,MATCH(DATE(Q$5,$J198,$I198),daily_dates,0),MATCH($B$3,daily_items,0)))</f>
        <v>#N/A</v>
      </c>
      <c r="R198" s="1" t="str">
        <f t="array" ref="R198">IF(ISBLANK(INDEX(big_daily_table,MATCH(DATE(R$5,$J198,$I198),daily_dates,0),MATCH($B$3,daily_items,0))),NA(),INDEX(big_daily_table,MATCH(DATE(R$5,$J198,$I198),daily_dates,0),MATCH($B$3,daily_items,0)))</f>
        <v>#N/A</v>
      </c>
      <c r="S198" s="1" t="str">
        <f t="array" ref="S198">IF(ISBLANK(INDEX(big_daily_table,MATCH(DATE(S$5,$J198,$I198),daily_dates,0),MATCH($B$3,daily_items,0))),NA(),INDEX(big_daily_table,MATCH(DATE(S$5,$J198,$I198),daily_dates,0),MATCH($B$3,daily_items,0)))</f>
        <v>#N/A</v>
      </c>
      <c r="T198" s="1" t="str">
        <f t="array" ref="T198">IF(ISBLANK(INDEX(big_daily_table,MATCH(DATE(T$5,$J198,$I198),daily_dates,0),MATCH($B$3,daily_items,0))),NA(),INDEX(big_daily_table,MATCH(DATE(T$5,$J198,$I198),daily_dates,0),MATCH($B$3,daily_items,0)))</f>
        <v>#N/A</v>
      </c>
      <c r="U198" s="1" t="str">
        <f t="array" ref="U198">IF(ISBLANK(INDEX(big_daily_table,MATCH(DATE(U$5,$J198,$I198),daily_dates,0),MATCH($B$3,daily_items,0))),NA(),INDEX(big_daily_table,MATCH(DATE(U$5,$J198,$I198),daily_dates,0),MATCH($B$3,daily_items,0)))</f>
        <v>#N/A</v>
      </c>
      <c r="V198" s="1" t="str">
        <f t="array" ref="V198">IF(ISBLANK(INDEX(big_daily_table,MATCH(DATE(V$5,$J198,$I198),daily_dates,0),MATCH($B$3,daily_items,0))),NA(),INDEX(big_daily_table,MATCH(DATE(V$5,$J198,$I198),daily_dates,0),MATCH($B$3,daily_items,0)))</f>
        <v>#N/A</v>
      </c>
      <c r="W198" s="1" t="str">
        <f t="array" ref="W198">IF(ISBLANK(INDEX(big_daily_table,MATCH(DATE(W$5,$J198,$I198),daily_dates,0),MATCH($B$3,daily_items,0))),NA(),INDEX(big_daily_table,MATCH(DATE(W$5,$J198,$I198),daily_dates,0),MATCH($B$3,daily_items,0)))</f>
        <v>#N/A</v>
      </c>
      <c r="X198" s="1" t="str">
        <f t="array" ref="X198">IF(ISBLANK(INDEX(big_daily_table,MATCH(DATE(X$5,$J198,$I198),daily_dates,0),MATCH($B$3,daily_items,0))),NA(),INDEX(big_daily_table,MATCH(DATE(X$5,$J198,$I198),daily_dates,0),MATCH($B$3,daily_items,0)))</f>
        <v>#N/A</v>
      </c>
      <c r="Y198" s="1" t="str">
        <f t="array" ref="Y198">IF(ISBLANK(INDEX(big_daily_table,MATCH(DATE(Y$5,$J198,$I198),daily_dates,0),MATCH($B$3,daily_items,0))),NA(),INDEX(big_daily_table,MATCH(DATE(Y$5,$J198,$I198),daily_dates,0),MATCH($B$3,daily_items,0)))</f>
        <v>#N/A</v>
      </c>
      <c r="Z198" s="1" t="str">
        <f t="shared" si="5"/>
        <v>#NAME?</v>
      </c>
      <c r="AA198" s="1" t="str">
        <f t="shared" si="6"/>
        <v>#NAME?</v>
      </c>
      <c r="AB198" s="1" t="str">
        <f t="shared" si="7"/>
        <v>#NAME?</v>
      </c>
      <c r="AC198" s="1" t="str">
        <f t="shared" si="8"/>
        <v>#NAME?</v>
      </c>
    </row>
    <row r="199" ht="14.25" customHeight="1">
      <c r="H199" s="1">
        <f t="shared" si="9"/>
        <v>194</v>
      </c>
      <c r="I199" s="1">
        <f t="shared" si="2"/>
        <v>12</v>
      </c>
      <c r="J199" s="1">
        <f t="shared" si="3"/>
        <v>7</v>
      </c>
      <c r="K199" s="23">
        <f t="shared" si="10"/>
        <v>36719</v>
      </c>
      <c r="L199" s="24">
        <f t="shared" si="4"/>
        <v>-1000000</v>
      </c>
      <c r="M199" s="1" t="str">
        <f t="array" ref="M199">IF(K199&gt;0,INDEX(big_daily_table,MATCH(DATE(N$5,$J199,$I199),daily_dates,0),MATCH($B$3,daily_items,0)),NA())</f>
        <v>#N/A</v>
      </c>
      <c r="N199" s="1" t="str">
        <f t="array" ref="N199">IF(L199&lt;0,INDEX(big_daily_table,MATCH(DATE(N$5,$J199,$I199),daily_dates,0),MATCH($B$3,daily_items,0)),NA())</f>
        <v>#N/A</v>
      </c>
      <c r="O199" s="1" t="str">
        <f t="array" ref="O199">IF(ISBLANK(INDEX(big_daily_table,MATCH(DATE(O$5,$J199,$I199),daily_dates,0),MATCH($B$3,daily_items,0))),NA(),INDEX(big_daily_table,MATCH(DATE(O$5,$J199,$I199),daily_dates,0),MATCH($B$3,daily_items,0)))</f>
        <v>#N/A</v>
      </c>
      <c r="P199" s="1" t="str">
        <f t="array" ref="P199">IF(ISBLANK(INDEX(big_daily_table,MATCH(DATE(P$5,$J199,$I199),daily_dates,0),MATCH($B$3,daily_items,0))),NA(),INDEX(big_daily_table,MATCH(DATE(P$5,$J199,$I199),daily_dates,0),MATCH($B$3,daily_items,0)))</f>
        <v>#N/A</v>
      </c>
      <c r="Q199" s="1" t="str">
        <f t="array" ref="Q199">IF(ISBLANK(INDEX(big_daily_table,MATCH(DATE(Q$5,$J199,$I199),daily_dates,0),MATCH($B$3,daily_items,0))),NA(),INDEX(big_daily_table,MATCH(DATE(Q$5,$J199,$I199),daily_dates,0),MATCH($B$3,daily_items,0)))</f>
        <v>#N/A</v>
      </c>
      <c r="R199" s="1" t="str">
        <f t="array" ref="R199">IF(ISBLANK(INDEX(big_daily_table,MATCH(DATE(R$5,$J199,$I199),daily_dates,0),MATCH($B$3,daily_items,0))),NA(),INDEX(big_daily_table,MATCH(DATE(R$5,$J199,$I199),daily_dates,0),MATCH($B$3,daily_items,0)))</f>
        <v>#N/A</v>
      </c>
      <c r="S199" s="1" t="str">
        <f t="array" ref="S199">IF(ISBLANK(INDEX(big_daily_table,MATCH(DATE(S$5,$J199,$I199),daily_dates,0),MATCH($B$3,daily_items,0))),NA(),INDEX(big_daily_table,MATCH(DATE(S$5,$J199,$I199),daily_dates,0),MATCH($B$3,daily_items,0)))</f>
        <v>#N/A</v>
      </c>
      <c r="T199" s="1" t="str">
        <f t="array" ref="T199">IF(ISBLANK(INDEX(big_daily_table,MATCH(DATE(T$5,$J199,$I199),daily_dates,0),MATCH($B$3,daily_items,0))),NA(),INDEX(big_daily_table,MATCH(DATE(T$5,$J199,$I199),daily_dates,0),MATCH($B$3,daily_items,0)))</f>
        <v>#N/A</v>
      </c>
      <c r="U199" s="1" t="str">
        <f t="array" ref="U199">IF(ISBLANK(INDEX(big_daily_table,MATCH(DATE(U$5,$J199,$I199),daily_dates,0),MATCH($B$3,daily_items,0))),NA(),INDEX(big_daily_table,MATCH(DATE(U$5,$J199,$I199),daily_dates,0),MATCH($B$3,daily_items,0)))</f>
        <v>#N/A</v>
      </c>
      <c r="V199" s="1" t="str">
        <f t="array" ref="V199">IF(ISBLANK(INDEX(big_daily_table,MATCH(DATE(V$5,$J199,$I199),daily_dates,0),MATCH($B$3,daily_items,0))),NA(),INDEX(big_daily_table,MATCH(DATE(V$5,$J199,$I199),daily_dates,0),MATCH($B$3,daily_items,0)))</f>
        <v>#N/A</v>
      </c>
      <c r="W199" s="1" t="str">
        <f t="array" ref="W199">IF(ISBLANK(INDEX(big_daily_table,MATCH(DATE(W$5,$J199,$I199),daily_dates,0),MATCH($B$3,daily_items,0))),NA(),INDEX(big_daily_table,MATCH(DATE(W$5,$J199,$I199),daily_dates,0),MATCH($B$3,daily_items,0)))</f>
        <v>#N/A</v>
      </c>
      <c r="X199" s="1" t="str">
        <f t="array" ref="X199">IF(ISBLANK(INDEX(big_daily_table,MATCH(DATE(X$5,$J199,$I199),daily_dates,0),MATCH($B$3,daily_items,0))),NA(),INDEX(big_daily_table,MATCH(DATE(X$5,$J199,$I199),daily_dates,0),MATCH($B$3,daily_items,0)))</f>
        <v>#N/A</v>
      </c>
      <c r="Y199" s="1" t="str">
        <f t="array" ref="Y199">IF(ISBLANK(INDEX(big_daily_table,MATCH(DATE(Y$5,$J199,$I199),daily_dates,0),MATCH($B$3,daily_items,0))),NA(),INDEX(big_daily_table,MATCH(DATE(Y$5,$J199,$I199),daily_dates,0),MATCH($B$3,daily_items,0)))</f>
        <v>#N/A</v>
      </c>
      <c r="Z199" s="1" t="str">
        <f t="shared" si="5"/>
        <v>#NAME?</v>
      </c>
      <c r="AA199" s="1" t="str">
        <f t="shared" si="6"/>
        <v>#NAME?</v>
      </c>
      <c r="AB199" s="1" t="str">
        <f t="shared" si="7"/>
        <v>#NAME?</v>
      </c>
      <c r="AC199" s="1" t="str">
        <f t="shared" si="8"/>
        <v>#NAME?</v>
      </c>
    </row>
    <row r="200" ht="14.25" customHeight="1">
      <c r="H200" s="1">
        <f t="shared" si="9"/>
        <v>195</v>
      </c>
      <c r="I200" s="1">
        <f t="shared" si="2"/>
        <v>13</v>
      </c>
      <c r="J200" s="1">
        <f t="shared" si="3"/>
        <v>7</v>
      </c>
      <c r="K200" s="23">
        <f t="shared" si="10"/>
        <v>36720</v>
      </c>
      <c r="L200" s="24">
        <f t="shared" si="4"/>
        <v>-1000000</v>
      </c>
      <c r="M200" s="1" t="str">
        <f t="array" ref="M200">IF(K200&gt;0,INDEX(big_daily_table,MATCH(DATE(N$5,$J200,$I200),daily_dates,0),MATCH($B$3,daily_items,0)),NA())</f>
        <v>#N/A</v>
      </c>
      <c r="N200" s="1" t="str">
        <f t="array" ref="N200">IF(L200&lt;0,INDEX(big_daily_table,MATCH(DATE(N$5,$J200,$I200),daily_dates,0),MATCH($B$3,daily_items,0)),NA())</f>
        <v>#N/A</v>
      </c>
      <c r="O200" s="1" t="str">
        <f t="array" ref="O200">IF(ISBLANK(INDEX(big_daily_table,MATCH(DATE(O$5,$J200,$I200),daily_dates,0),MATCH($B$3,daily_items,0))),NA(),INDEX(big_daily_table,MATCH(DATE(O$5,$J200,$I200),daily_dates,0),MATCH($B$3,daily_items,0)))</f>
        <v>#N/A</v>
      </c>
      <c r="P200" s="1" t="str">
        <f t="array" ref="P200">IF(ISBLANK(INDEX(big_daily_table,MATCH(DATE(P$5,$J200,$I200),daily_dates,0),MATCH($B$3,daily_items,0))),NA(),INDEX(big_daily_table,MATCH(DATE(P$5,$J200,$I200),daily_dates,0),MATCH($B$3,daily_items,0)))</f>
        <v>#N/A</v>
      </c>
      <c r="Q200" s="1" t="str">
        <f t="array" ref="Q200">IF(ISBLANK(INDEX(big_daily_table,MATCH(DATE(Q$5,$J200,$I200),daily_dates,0),MATCH($B$3,daily_items,0))),NA(),INDEX(big_daily_table,MATCH(DATE(Q$5,$J200,$I200),daily_dates,0),MATCH($B$3,daily_items,0)))</f>
        <v>#N/A</v>
      </c>
      <c r="R200" s="1" t="str">
        <f t="array" ref="R200">IF(ISBLANK(INDEX(big_daily_table,MATCH(DATE(R$5,$J200,$I200),daily_dates,0),MATCH($B$3,daily_items,0))),NA(),INDEX(big_daily_table,MATCH(DATE(R$5,$J200,$I200),daily_dates,0),MATCH($B$3,daily_items,0)))</f>
        <v>#N/A</v>
      </c>
      <c r="S200" s="1" t="str">
        <f t="array" ref="S200">IF(ISBLANK(INDEX(big_daily_table,MATCH(DATE(S$5,$J200,$I200),daily_dates,0),MATCH($B$3,daily_items,0))),NA(),INDEX(big_daily_table,MATCH(DATE(S$5,$J200,$I200),daily_dates,0),MATCH($B$3,daily_items,0)))</f>
        <v>#N/A</v>
      </c>
      <c r="T200" s="1" t="str">
        <f t="array" ref="T200">IF(ISBLANK(INDEX(big_daily_table,MATCH(DATE(T$5,$J200,$I200),daily_dates,0),MATCH($B$3,daily_items,0))),NA(),INDEX(big_daily_table,MATCH(DATE(T$5,$J200,$I200),daily_dates,0),MATCH($B$3,daily_items,0)))</f>
        <v>#N/A</v>
      </c>
      <c r="U200" s="1" t="str">
        <f t="array" ref="U200">IF(ISBLANK(INDEX(big_daily_table,MATCH(DATE(U$5,$J200,$I200),daily_dates,0),MATCH($B$3,daily_items,0))),NA(),INDEX(big_daily_table,MATCH(DATE(U$5,$J200,$I200),daily_dates,0),MATCH($B$3,daily_items,0)))</f>
        <v>#N/A</v>
      </c>
      <c r="V200" s="1" t="str">
        <f t="array" ref="V200">IF(ISBLANK(INDEX(big_daily_table,MATCH(DATE(V$5,$J200,$I200),daily_dates,0),MATCH($B$3,daily_items,0))),NA(),INDEX(big_daily_table,MATCH(DATE(V$5,$J200,$I200),daily_dates,0),MATCH($B$3,daily_items,0)))</f>
        <v>#N/A</v>
      </c>
      <c r="W200" s="1" t="str">
        <f t="array" ref="W200">IF(ISBLANK(INDEX(big_daily_table,MATCH(DATE(W$5,$J200,$I200),daily_dates,0),MATCH($B$3,daily_items,0))),NA(),INDEX(big_daily_table,MATCH(DATE(W$5,$J200,$I200),daily_dates,0),MATCH($B$3,daily_items,0)))</f>
        <v>#N/A</v>
      </c>
      <c r="X200" s="1" t="str">
        <f t="array" ref="X200">IF(ISBLANK(INDEX(big_daily_table,MATCH(DATE(X$5,$J200,$I200),daily_dates,0),MATCH($B$3,daily_items,0))),NA(),INDEX(big_daily_table,MATCH(DATE(X$5,$J200,$I200),daily_dates,0),MATCH($B$3,daily_items,0)))</f>
        <v>#N/A</v>
      </c>
      <c r="Y200" s="1" t="str">
        <f t="array" ref="Y200">IF(ISBLANK(INDEX(big_daily_table,MATCH(DATE(Y$5,$J200,$I200),daily_dates,0),MATCH($B$3,daily_items,0))),NA(),INDEX(big_daily_table,MATCH(DATE(Y$5,$J200,$I200),daily_dates,0),MATCH($B$3,daily_items,0)))</f>
        <v>#N/A</v>
      </c>
      <c r="Z200" s="1" t="str">
        <f t="shared" si="5"/>
        <v>#NAME?</v>
      </c>
      <c r="AA200" s="1" t="str">
        <f t="shared" si="6"/>
        <v>#NAME?</v>
      </c>
      <c r="AB200" s="1" t="str">
        <f t="shared" si="7"/>
        <v>#NAME?</v>
      </c>
      <c r="AC200" s="1" t="str">
        <f t="shared" si="8"/>
        <v>#NAME?</v>
      </c>
    </row>
    <row r="201" ht="14.25" customHeight="1">
      <c r="H201" s="1">
        <f t="shared" si="9"/>
        <v>196</v>
      </c>
      <c r="I201" s="1">
        <f t="shared" si="2"/>
        <v>14</v>
      </c>
      <c r="J201" s="1">
        <f t="shared" si="3"/>
        <v>7</v>
      </c>
      <c r="K201" s="23">
        <f t="shared" si="10"/>
        <v>36721</v>
      </c>
      <c r="L201" s="24">
        <f t="shared" si="4"/>
        <v>-1000000</v>
      </c>
      <c r="M201" s="1" t="str">
        <f t="array" ref="M201">IF(K201&gt;0,INDEX(big_daily_table,MATCH(DATE(N$5,$J201,$I201),daily_dates,0),MATCH($B$3,daily_items,0)),NA())</f>
        <v>#N/A</v>
      </c>
      <c r="N201" s="1" t="str">
        <f t="array" ref="N201">IF(L201&lt;0,INDEX(big_daily_table,MATCH(DATE(N$5,$J201,$I201),daily_dates,0),MATCH($B$3,daily_items,0)),NA())</f>
        <v>#N/A</v>
      </c>
      <c r="O201" s="1" t="str">
        <f t="array" ref="O201">IF(ISBLANK(INDEX(big_daily_table,MATCH(DATE(O$5,$J201,$I201),daily_dates,0),MATCH($B$3,daily_items,0))),NA(),INDEX(big_daily_table,MATCH(DATE(O$5,$J201,$I201),daily_dates,0),MATCH($B$3,daily_items,0)))</f>
        <v>#N/A</v>
      </c>
      <c r="P201" s="1" t="str">
        <f t="array" ref="P201">IF(ISBLANK(INDEX(big_daily_table,MATCH(DATE(P$5,$J201,$I201),daily_dates,0),MATCH($B$3,daily_items,0))),NA(),INDEX(big_daily_table,MATCH(DATE(P$5,$J201,$I201),daily_dates,0),MATCH($B$3,daily_items,0)))</f>
        <v>#N/A</v>
      </c>
      <c r="Q201" s="1" t="str">
        <f t="array" ref="Q201">IF(ISBLANK(INDEX(big_daily_table,MATCH(DATE(Q$5,$J201,$I201),daily_dates,0),MATCH($B$3,daily_items,0))),NA(),INDEX(big_daily_table,MATCH(DATE(Q$5,$J201,$I201),daily_dates,0),MATCH($B$3,daily_items,0)))</f>
        <v>#N/A</v>
      </c>
      <c r="R201" s="1" t="str">
        <f t="array" ref="R201">IF(ISBLANK(INDEX(big_daily_table,MATCH(DATE(R$5,$J201,$I201),daily_dates,0),MATCH($B$3,daily_items,0))),NA(),INDEX(big_daily_table,MATCH(DATE(R$5,$J201,$I201),daily_dates,0),MATCH($B$3,daily_items,0)))</f>
        <v>#N/A</v>
      </c>
      <c r="S201" s="1" t="str">
        <f t="array" ref="S201">IF(ISBLANK(INDEX(big_daily_table,MATCH(DATE(S$5,$J201,$I201),daily_dates,0),MATCH($B$3,daily_items,0))),NA(),INDEX(big_daily_table,MATCH(DATE(S$5,$J201,$I201),daily_dates,0),MATCH($B$3,daily_items,0)))</f>
        <v>#N/A</v>
      </c>
      <c r="T201" s="1" t="str">
        <f t="array" ref="T201">IF(ISBLANK(INDEX(big_daily_table,MATCH(DATE(T$5,$J201,$I201),daily_dates,0),MATCH($B$3,daily_items,0))),NA(),INDEX(big_daily_table,MATCH(DATE(T$5,$J201,$I201),daily_dates,0),MATCH($B$3,daily_items,0)))</f>
        <v>#N/A</v>
      </c>
      <c r="U201" s="1" t="str">
        <f t="array" ref="U201">IF(ISBLANK(INDEX(big_daily_table,MATCH(DATE(U$5,$J201,$I201),daily_dates,0),MATCH($B$3,daily_items,0))),NA(),INDEX(big_daily_table,MATCH(DATE(U$5,$J201,$I201),daily_dates,0),MATCH($B$3,daily_items,0)))</f>
        <v>#N/A</v>
      </c>
      <c r="V201" s="1" t="str">
        <f t="array" ref="V201">IF(ISBLANK(INDEX(big_daily_table,MATCH(DATE(V$5,$J201,$I201),daily_dates,0),MATCH($B$3,daily_items,0))),NA(),INDEX(big_daily_table,MATCH(DATE(V$5,$J201,$I201),daily_dates,0),MATCH($B$3,daily_items,0)))</f>
        <v>#N/A</v>
      </c>
      <c r="W201" s="1" t="str">
        <f t="array" ref="W201">IF(ISBLANK(INDEX(big_daily_table,MATCH(DATE(W$5,$J201,$I201),daily_dates,0),MATCH($B$3,daily_items,0))),NA(),INDEX(big_daily_table,MATCH(DATE(W$5,$J201,$I201),daily_dates,0),MATCH($B$3,daily_items,0)))</f>
        <v>#N/A</v>
      </c>
      <c r="X201" s="1" t="str">
        <f t="array" ref="X201">IF(ISBLANK(INDEX(big_daily_table,MATCH(DATE(X$5,$J201,$I201),daily_dates,0),MATCH($B$3,daily_items,0))),NA(),INDEX(big_daily_table,MATCH(DATE(X$5,$J201,$I201),daily_dates,0),MATCH($B$3,daily_items,0)))</f>
        <v>#N/A</v>
      </c>
      <c r="Y201" s="1" t="str">
        <f t="array" ref="Y201">IF(ISBLANK(INDEX(big_daily_table,MATCH(DATE(Y$5,$J201,$I201),daily_dates,0),MATCH($B$3,daily_items,0))),NA(),INDEX(big_daily_table,MATCH(DATE(Y$5,$J201,$I201),daily_dates,0),MATCH($B$3,daily_items,0)))</f>
        <v>#N/A</v>
      </c>
      <c r="Z201" s="1" t="str">
        <f t="shared" si="5"/>
        <v>#NAME?</v>
      </c>
      <c r="AA201" s="1" t="str">
        <f t="shared" si="6"/>
        <v>#NAME?</v>
      </c>
      <c r="AB201" s="1" t="str">
        <f t="shared" si="7"/>
        <v>#NAME?</v>
      </c>
      <c r="AC201" s="1" t="str">
        <f t="shared" si="8"/>
        <v>#NAME?</v>
      </c>
    </row>
    <row r="202" ht="14.25" customHeight="1">
      <c r="H202" s="1">
        <f t="shared" si="9"/>
        <v>197</v>
      </c>
      <c r="I202" s="1">
        <f t="shared" si="2"/>
        <v>15</v>
      </c>
      <c r="J202" s="1">
        <f t="shared" si="3"/>
        <v>7</v>
      </c>
      <c r="K202" s="23">
        <f t="shared" si="10"/>
        <v>36722</v>
      </c>
      <c r="L202" s="24">
        <f t="shared" si="4"/>
        <v>-1000000</v>
      </c>
      <c r="M202" s="1" t="str">
        <f t="array" ref="M202">IF(K202&gt;0,INDEX(big_daily_table,MATCH(DATE(N$5,$J202,$I202),daily_dates,0),MATCH($B$3,daily_items,0)),NA())</f>
        <v>#N/A</v>
      </c>
      <c r="N202" s="1" t="str">
        <f t="array" ref="N202">IF(L202&lt;0,INDEX(big_daily_table,MATCH(DATE(N$5,$J202,$I202),daily_dates,0),MATCH($B$3,daily_items,0)),NA())</f>
        <v>#N/A</v>
      </c>
      <c r="O202" s="1" t="str">
        <f t="array" ref="O202">IF(ISBLANK(INDEX(big_daily_table,MATCH(DATE(O$5,$J202,$I202),daily_dates,0),MATCH($B$3,daily_items,0))),NA(),INDEX(big_daily_table,MATCH(DATE(O$5,$J202,$I202),daily_dates,0),MATCH($B$3,daily_items,0)))</f>
        <v>#N/A</v>
      </c>
      <c r="P202" s="1" t="str">
        <f t="array" ref="P202">IF(ISBLANK(INDEX(big_daily_table,MATCH(DATE(P$5,$J202,$I202),daily_dates,0),MATCH($B$3,daily_items,0))),NA(),INDEX(big_daily_table,MATCH(DATE(P$5,$J202,$I202),daily_dates,0),MATCH($B$3,daily_items,0)))</f>
        <v>#N/A</v>
      </c>
      <c r="Q202" s="1" t="str">
        <f t="array" ref="Q202">IF(ISBLANK(INDEX(big_daily_table,MATCH(DATE(Q$5,$J202,$I202),daily_dates,0),MATCH($B$3,daily_items,0))),NA(),INDEX(big_daily_table,MATCH(DATE(Q$5,$J202,$I202),daily_dates,0),MATCH($B$3,daily_items,0)))</f>
        <v>#N/A</v>
      </c>
      <c r="R202" s="1" t="str">
        <f t="array" ref="R202">IF(ISBLANK(INDEX(big_daily_table,MATCH(DATE(R$5,$J202,$I202),daily_dates,0),MATCH($B$3,daily_items,0))),NA(),INDEX(big_daily_table,MATCH(DATE(R$5,$J202,$I202),daily_dates,0),MATCH($B$3,daily_items,0)))</f>
        <v>#N/A</v>
      </c>
      <c r="S202" s="1" t="str">
        <f t="array" ref="S202">IF(ISBLANK(INDEX(big_daily_table,MATCH(DATE(S$5,$J202,$I202),daily_dates,0),MATCH($B$3,daily_items,0))),NA(),INDEX(big_daily_table,MATCH(DATE(S$5,$J202,$I202),daily_dates,0),MATCH($B$3,daily_items,0)))</f>
        <v>#N/A</v>
      </c>
      <c r="T202" s="1" t="str">
        <f t="array" ref="T202">IF(ISBLANK(INDEX(big_daily_table,MATCH(DATE(T$5,$J202,$I202),daily_dates,0),MATCH($B$3,daily_items,0))),NA(),INDEX(big_daily_table,MATCH(DATE(T$5,$J202,$I202),daily_dates,0),MATCH($B$3,daily_items,0)))</f>
        <v>#N/A</v>
      </c>
      <c r="U202" s="1" t="str">
        <f t="array" ref="U202">IF(ISBLANK(INDEX(big_daily_table,MATCH(DATE(U$5,$J202,$I202),daily_dates,0),MATCH($B$3,daily_items,0))),NA(),INDEX(big_daily_table,MATCH(DATE(U$5,$J202,$I202),daily_dates,0),MATCH($B$3,daily_items,0)))</f>
        <v>#N/A</v>
      </c>
      <c r="V202" s="1" t="str">
        <f t="array" ref="V202">IF(ISBLANK(INDEX(big_daily_table,MATCH(DATE(V$5,$J202,$I202),daily_dates,0),MATCH($B$3,daily_items,0))),NA(),INDEX(big_daily_table,MATCH(DATE(V$5,$J202,$I202),daily_dates,0),MATCH($B$3,daily_items,0)))</f>
        <v>#N/A</v>
      </c>
      <c r="W202" s="1" t="str">
        <f t="array" ref="W202">IF(ISBLANK(INDEX(big_daily_table,MATCH(DATE(W$5,$J202,$I202),daily_dates,0),MATCH($B$3,daily_items,0))),NA(),INDEX(big_daily_table,MATCH(DATE(W$5,$J202,$I202),daily_dates,0),MATCH($B$3,daily_items,0)))</f>
        <v>#N/A</v>
      </c>
      <c r="X202" s="1" t="str">
        <f t="array" ref="X202">IF(ISBLANK(INDEX(big_daily_table,MATCH(DATE(X$5,$J202,$I202),daily_dates,0),MATCH($B$3,daily_items,0))),NA(),INDEX(big_daily_table,MATCH(DATE(X$5,$J202,$I202),daily_dates,0),MATCH($B$3,daily_items,0)))</f>
        <v>#N/A</v>
      </c>
      <c r="Y202" s="1" t="str">
        <f t="array" ref="Y202">IF(ISBLANK(INDEX(big_daily_table,MATCH(DATE(Y$5,$J202,$I202),daily_dates,0),MATCH($B$3,daily_items,0))),NA(),INDEX(big_daily_table,MATCH(DATE(Y$5,$J202,$I202),daily_dates,0),MATCH($B$3,daily_items,0)))</f>
        <v>#N/A</v>
      </c>
      <c r="Z202" s="1" t="str">
        <f t="shared" si="5"/>
        <v>#NAME?</v>
      </c>
      <c r="AA202" s="1" t="str">
        <f t="shared" si="6"/>
        <v>#NAME?</v>
      </c>
      <c r="AB202" s="1" t="str">
        <f t="shared" si="7"/>
        <v>#NAME?</v>
      </c>
      <c r="AC202" s="1" t="str">
        <f t="shared" si="8"/>
        <v>#NAME?</v>
      </c>
    </row>
    <row r="203" ht="14.25" customHeight="1">
      <c r="H203" s="1">
        <f t="shared" si="9"/>
        <v>198</v>
      </c>
      <c r="I203" s="1">
        <f t="shared" si="2"/>
        <v>16</v>
      </c>
      <c r="J203" s="1">
        <f t="shared" si="3"/>
        <v>7</v>
      </c>
      <c r="K203" s="23">
        <f t="shared" si="10"/>
        <v>36723</v>
      </c>
      <c r="L203" s="24">
        <f t="shared" si="4"/>
        <v>-1000000</v>
      </c>
      <c r="M203" s="1" t="str">
        <f t="array" ref="M203">IF(K203&gt;0,INDEX(big_daily_table,MATCH(DATE(N$5,$J203,$I203),daily_dates,0),MATCH($B$3,daily_items,0)),NA())</f>
        <v>#N/A</v>
      </c>
      <c r="N203" s="1" t="str">
        <f t="array" ref="N203">IF(L203&lt;0,INDEX(big_daily_table,MATCH(DATE(N$5,$J203,$I203),daily_dates,0),MATCH($B$3,daily_items,0)),NA())</f>
        <v>#N/A</v>
      </c>
      <c r="O203" s="1" t="str">
        <f t="array" ref="O203">IF(ISBLANK(INDEX(big_daily_table,MATCH(DATE(O$5,$J203,$I203),daily_dates,0),MATCH($B$3,daily_items,0))),NA(),INDEX(big_daily_table,MATCH(DATE(O$5,$J203,$I203),daily_dates,0),MATCH($B$3,daily_items,0)))</f>
        <v>#N/A</v>
      </c>
      <c r="P203" s="1" t="str">
        <f t="array" ref="P203">IF(ISBLANK(INDEX(big_daily_table,MATCH(DATE(P$5,$J203,$I203),daily_dates,0),MATCH($B$3,daily_items,0))),NA(),INDEX(big_daily_table,MATCH(DATE(P$5,$J203,$I203),daily_dates,0),MATCH($B$3,daily_items,0)))</f>
        <v>#N/A</v>
      </c>
      <c r="Q203" s="1" t="str">
        <f t="array" ref="Q203">IF(ISBLANK(INDEX(big_daily_table,MATCH(DATE(Q$5,$J203,$I203),daily_dates,0),MATCH($B$3,daily_items,0))),NA(),INDEX(big_daily_table,MATCH(DATE(Q$5,$J203,$I203),daily_dates,0),MATCH($B$3,daily_items,0)))</f>
        <v>#N/A</v>
      </c>
      <c r="R203" s="1" t="str">
        <f t="array" ref="R203">IF(ISBLANK(INDEX(big_daily_table,MATCH(DATE(R$5,$J203,$I203),daily_dates,0),MATCH($B$3,daily_items,0))),NA(),INDEX(big_daily_table,MATCH(DATE(R$5,$J203,$I203),daily_dates,0),MATCH($B$3,daily_items,0)))</f>
        <v>#N/A</v>
      </c>
      <c r="S203" s="1" t="str">
        <f t="array" ref="S203">IF(ISBLANK(INDEX(big_daily_table,MATCH(DATE(S$5,$J203,$I203),daily_dates,0),MATCH($B$3,daily_items,0))),NA(),INDEX(big_daily_table,MATCH(DATE(S$5,$J203,$I203),daily_dates,0),MATCH($B$3,daily_items,0)))</f>
        <v>#N/A</v>
      </c>
      <c r="T203" s="1" t="str">
        <f t="array" ref="T203">IF(ISBLANK(INDEX(big_daily_table,MATCH(DATE(T$5,$J203,$I203),daily_dates,0),MATCH($B$3,daily_items,0))),NA(),INDEX(big_daily_table,MATCH(DATE(T$5,$J203,$I203),daily_dates,0),MATCH($B$3,daily_items,0)))</f>
        <v>#N/A</v>
      </c>
      <c r="U203" s="1" t="str">
        <f t="array" ref="U203">IF(ISBLANK(INDEX(big_daily_table,MATCH(DATE(U$5,$J203,$I203),daily_dates,0),MATCH($B$3,daily_items,0))),NA(),INDEX(big_daily_table,MATCH(DATE(U$5,$J203,$I203),daily_dates,0),MATCH($B$3,daily_items,0)))</f>
        <v>#N/A</v>
      </c>
      <c r="V203" s="1" t="str">
        <f t="array" ref="V203">IF(ISBLANK(INDEX(big_daily_table,MATCH(DATE(V$5,$J203,$I203),daily_dates,0),MATCH($B$3,daily_items,0))),NA(),INDEX(big_daily_table,MATCH(DATE(V$5,$J203,$I203),daily_dates,0),MATCH($B$3,daily_items,0)))</f>
        <v>#N/A</v>
      </c>
      <c r="W203" s="1" t="str">
        <f t="array" ref="W203">IF(ISBLANK(INDEX(big_daily_table,MATCH(DATE(W$5,$J203,$I203),daily_dates,0),MATCH($B$3,daily_items,0))),NA(),INDEX(big_daily_table,MATCH(DATE(W$5,$J203,$I203),daily_dates,0),MATCH($B$3,daily_items,0)))</f>
        <v>#N/A</v>
      </c>
      <c r="X203" s="1" t="str">
        <f t="array" ref="X203">IF(ISBLANK(INDEX(big_daily_table,MATCH(DATE(X$5,$J203,$I203),daily_dates,0),MATCH($B$3,daily_items,0))),NA(),INDEX(big_daily_table,MATCH(DATE(X$5,$J203,$I203),daily_dates,0),MATCH($B$3,daily_items,0)))</f>
        <v>#N/A</v>
      </c>
      <c r="Y203" s="1" t="str">
        <f t="array" ref="Y203">IF(ISBLANK(INDEX(big_daily_table,MATCH(DATE(Y$5,$J203,$I203),daily_dates,0),MATCH($B$3,daily_items,0))),NA(),INDEX(big_daily_table,MATCH(DATE(Y$5,$J203,$I203),daily_dates,0),MATCH($B$3,daily_items,0)))</f>
        <v>#N/A</v>
      </c>
      <c r="Z203" s="1" t="str">
        <f t="shared" si="5"/>
        <v>#NAME?</v>
      </c>
      <c r="AA203" s="1" t="str">
        <f t="shared" si="6"/>
        <v>#NAME?</v>
      </c>
      <c r="AB203" s="1" t="str">
        <f t="shared" si="7"/>
        <v>#NAME?</v>
      </c>
      <c r="AC203" s="1" t="str">
        <f t="shared" si="8"/>
        <v>#NAME?</v>
      </c>
    </row>
    <row r="204" ht="14.25" customHeight="1">
      <c r="H204" s="1">
        <f t="shared" si="9"/>
        <v>199</v>
      </c>
      <c r="I204" s="1">
        <f t="shared" si="2"/>
        <v>17</v>
      </c>
      <c r="J204" s="1">
        <f t="shared" si="3"/>
        <v>7</v>
      </c>
      <c r="K204" s="23">
        <f t="shared" si="10"/>
        <v>36724</v>
      </c>
      <c r="L204" s="24">
        <f t="shared" si="4"/>
        <v>-1000000</v>
      </c>
      <c r="M204" s="1" t="str">
        <f t="array" ref="M204">IF(K204&gt;0,INDEX(big_daily_table,MATCH(DATE(N$5,$J204,$I204),daily_dates,0),MATCH($B$3,daily_items,0)),NA())</f>
        <v>#N/A</v>
      </c>
      <c r="N204" s="1" t="str">
        <f t="array" ref="N204">IF(L204&lt;0,INDEX(big_daily_table,MATCH(DATE(N$5,$J204,$I204),daily_dates,0),MATCH($B$3,daily_items,0)),NA())</f>
        <v>#N/A</v>
      </c>
      <c r="O204" s="1" t="str">
        <f t="array" ref="O204">IF(ISBLANK(INDEX(big_daily_table,MATCH(DATE(O$5,$J204,$I204),daily_dates,0),MATCH($B$3,daily_items,0))),NA(),INDEX(big_daily_table,MATCH(DATE(O$5,$J204,$I204),daily_dates,0),MATCH($B$3,daily_items,0)))</f>
        <v>#N/A</v>
      </c>
      <c r="P204" s="1" t="str">
        <f t="array" ref="P204">IF(ISBLANK(INDEX(big_daily_table,MATCH(DATE(P$5,$J204,$I204),daily_dates,0),MATCH($B$3,daily_items,0))),NA(),INDEX(big_daily_table,MATCH(DATE(P$5,$J204,$I204),daily_dates,0),MATCH($B$3,daily_items,0)))</f>
        <v>#N/A</v>
      </c>
      <c r="Q204" s="1" t="str">
        <f t="array" ref="Q204">IF(ISBLANK(INDEX(big_daily_table,MATCH(DATE(Q$5,$J204,$I204),daily_dates,0),MATCH($B$3,daily_items,0))),NA(),INDEX(big_daily_table,MATCH(DATE(Q$5,$J204,$I204),daily_dates,0),MATCH($B$3,daily_items,0)))</f>
        <v>#N/A</v>
      </c>
      <c r="R204" s="1" t="str">
        <f t="array" ref="R204">IF(ISBLANK(INDEX(big_daily_table,MATCH(DATE(R$5,$J204,$I204),daily_dates,0),MATCH($B$3,daily_items,0))),NA(),INDEX(big_daily_table,MATCH(DATE(R$5,$J204,$I204),daily_dates,0),MATCH($B$3,daily_items,0)))</f>
        <v>#N/A</v>
      </c>
      <c r="S204" s="1" t="str">
        <f t="array" ref="S204">IF(ISBLANK(INDEX(big_daily_table,MATCH(DATE(S$5,$J204,$I204),daily_dates,0),MATCH($B$3,daily_items,0))),NA(),INDEX(big_daily_table,MATCH(DATE(S$5,$J204,$I204),daily_dates,0),MATCH($B$3,daily_items,0)))</f>
        <v>#N/A</v>
      </c>
      <c r="T204" s="1" t="str">
        <f t="array" ref="T204">IF(ISBLANK(INDEX(big_daily_table,MATCH(DATE(T$5,$J204,$I204),daily_dates,0),MATCH($B$3,daily_items,0))),NA(),INDEX(big_daily_table,MATCH(DATE(T$5,$J204,$I204),daily_dates,0),MATCH($B$3,daily_items,0)))</f>
        <v>#N/A</v>
      </c>
      <c r="U204" s="1" t="str">
        <f t="array" ref="U204">IF(ISBLANK(INDEX(big_daily_table,MATCH(DATE(U$5,$J204,$I204),daily_dates,0),MATCH($B$3,daily_items,0))),NA(),INDEX(big_daily_table,MATCH(DATE(U$5,$J204,$I204),daily_dates,0),MATCH($B$3,daily_items,0)))</f>
        <v>#N/A</v>
      </c>
      <c r="V204" s="1" t="str">
        <f t="array" ref="V204">IF(ISBLANK(INDEX(big_daily_table,MATCH(DATE(V$5,$J204,$I204),daily_dates,0),MATCH($B$3,daily_items,0))),NA(),INDEX(big_daily_table,MATCH(DATE(V$5,$J204,$I204),daily_dates,0),MATCH($B$3,daily_items,0)))</f>
        <v>#N/A</v>
      </c>
      <c r="W204" s="1" t="str">
        <f t="array" ref="W204">IF(ISBLANK(INDEX(big_daily_table,MATCH(DATE(W$5,$J204,$I204),daily_dates,0),MATCH($B$3,daily_items,0))),NA(),INDEX(big_daily_table,MATCH(DATE(W$5,$J204,$I204),daily_dates,0),MATCH($B$3,daily_items,0)))</f>
        <v>#N/A</v>
      </c>
      <c r="X204" s="1" t="str">
        <f t="array" ref="X204">IF(ISBLANK(INDEX(big_daily_table,MATCH(DATE(X$5,$J204,$I204),daily_dates,0),MATCH($B$3,daily_items,0))),NA(),INDEX(big_daily_table,MATCH(DATE(X$5,$J204,$I204),daily_dates,0),MATCH($B$3,daily_items,0)))</f>
        <v>#N/A</v>
      </c>
      <c r="Y204" s="1" t="str">
        <f t="array" ref="Y204">IF(ISBLANK(INDEX(big_daily_table,MATCH(DATE(Y$5,$J204,$I204),daily_dates,0),MATCH($B$3,daily_items,0))),NA(),INDEX(big_daily_table,MATCH(DATE(Y$5,$J204,$I204),daily_dates,0),MATCH($B$3,daily_items,0)))</f>
        <v>#N/A</v>
      </c>
      <c r="Z204" s="1" t="str">
        <f t="shared" si="5"/>
        <v>#NAME?</v>
      </c>
      <c r="AA204" s="1" t="str">
        <f t="shared" si="6"/>
        <v>#NAME?</v>
      </c>
      <c r="AB204" s="1" t="str">
        <f t="shared" si="7"/>
        <v>#NAME?</v>
      </c>
      <c r="AC204" s="1" t="str">
        <f t="shared" si="8"/>
        <v>#NAME?</v>
      </c>
    </row>
    <row r="205" ht="14.25" customHeight="1">
      <c r="H205" s="1">
        <f t="shared" si="9"/>
        <v>200</v>
      </c>
      <c r="I205" s="1">
        <f t="shared" si="2"/>
        <v>18</v>
      </c>
      <c r="J205" s="1">
        <f t="shared" si="3"/>
        <v>7</v>
      </c>
      <c r="K205" s="23">
        <f t="shared" si="10"/>
        <v>36725</v>
      </c>
      <c r="L205" s="24">
        <f t="shared" si="4"/>
        <v>-1000000</v>
      </c>
      <c r="M205" s="1" t="str">
        <f t="array" ref="M205">IF(K205&gt;0,INDEX(big_daily_table,MATCH(DATE(N$5,$J205,$I205),daily_dates,0),MATCH($B$3,daily_items,0)),NA())</f>
        <v>#N/A</v>
      </c>
      <c r="N205" s="1" t="str">
        <f t="array" ref="N205">IF(L205&lt;0,INDEX(big_daily_table,MATCH(DATE(N$5,$J205,$I205),daily_dates,0),MATCH($B$3,daily_items,0)),NA())</f>
        <v>#N/A</v>
      </c>
      <c r="O205" s="1" t="str">
        <f t="array" ref="O205">IF(ISBLANK(INDEX(big_daily_table,MATCH(DATE(O$5,$J205,$I205),daily_dates,0),MATCH($B$3,daily_items,0))),NA(),INDEX(big_daily_table,MATCH(DATE(O$5,$J205,$I205),daily_dates,0),MATCH($B$3,daily_items,0)))</f>
        <v>#N/A</v>
      </c>
      <c r="P205" s="1" t="str">
        <f t="array" ref="P205">IF(ISBLANK(INDEX(big_daily_table,MATCH(DATE(P$5,$J205,$I205),daily_dates,0),MATCH($B$3,daily_items,0))),NA(),INDEX(big_daily_table,MATCH(DATE(P$5,$J205,$I205),daily_dates,0),MATCH($B$3,daily_items,0)))</f>
        <v>#N/A</v>
      </c>
      <c r="Q205" s="1" t="str">
        <f t="array" ref="Q205">IF(ISBLANK(INDEX(big_daily_table,MATCH(DATE(Q$5,$J205,$I205),daily_dates,0),MATCH($B$3,daily_items,0))),NA(),INDEX(big_daily_table,MATCH(DATE(Q$5,$J205,$I205),daily_dates,0),MATCH($B$3,daily_items,0)))</f>
        <v>#N/A</v>
      </c>
      <c r="R205" s="1" t="str">
        <f t="array" ref="R205">IF(ISBLANK(INDEX(big_daily_table,MATCH(DATE(R$5,$J205,$I205),daily_dates,0),MATCH($B$3,daily_items,0))),NA(),INDEX(big_daily_table,MATCH(DATE(R$5,$J205,$I205),daily_dates,0),MATCH($B$3,daily_items,0)))</f>
        <v>#N/A</v>
      </c>
      <c r="S205" s="1" t="str">
        <f t="array" ref="S205">IF(ISBLANK(INDEX(big_daily_table,MATCH(DATE(S$5,$J205,$I205),daily_dates,0),MATCH($B$3,daily_items,0))),NA(),INDEX(big_daily_table,MATCH(DATE(S$5,$J205,$I205),daily_dates,0),MATCH($B$3,daily_items,0)))</f>
        <v>#N/A</v>
      </c>
      <c r="T205" s="1" t="str">
        <f t="array" ref="T205">IF(ISBLANK(INDEX(big_daily_table,MATCH(DATE(T$5,$J205,$I205),daily_dates,0),MATCH($B$3,daily_items,0))),NA(),INDEX(big_daily_table,MATCH(DATE(T$5,$J205,$I205),daily_dates,0),MATCH($B$3,daily_items,0)))</f>
        <v>#N/A</v>
      </c>
      <c r="U205" s="1" t="str">
        <f t="array" ref="U205">IF(ISBLANK(INDEX(big_daily_table,MATCH(DATE(U$5,$J205,$I205),daily_dates,0),MATCH($B$3,daily_items,0))),NA(),INDEX(big_daily_table,MATCH(DATE(U$5,$J205,$I205),daily_dates,0),MATCH($B$3,daily_items,0)))</f>
        <v>#N/A</v>
      </c>
      <c r="V205" s="1" t="str">
        <f t="array" ref="V205">IF(ISBLANK(INDEX(big_daily_table,MATCH(DATE(V$5,$J205,$I205),daily_dates,0),MATCH($B$3,daily_items,0))),NA(),INDEX(big_daily_table,MATCH(DATE(V$5,$J205,$I205),daily_dates,0),MATCH($B$3,daily_items,0)))</f>
        <v>#N/A</v>
      </c>
      <c r="W205" s="1" t="str">
        <f t="array" ref="W205">IF(ISBLANK(INDEX(big_daily_table,MATCH(DATE(W$5,$J205,$I205),daily_dates,0),MATCH($B$3,daily_items,0))),NA(),INDEX(big_daily_table,MATCH(DATE(W$5,$J205,$I205),daily_dates,0),MATCH($B$3,daily_items,0)))</f>
        <v>#N/A</v>
      </c>
      <c r="X205" s="1" t="str">
        <f t="array" ref="X205">IF(ISBLANK(INDEX(big_daily_table,MATCH(DATE(X$5,$J205,$I205),daily_dates,0),MATCH($B$3,daily_items,0))),NA(),INDEX(big_daily_table,MATCH(DATE(X$5,$J205,$I205),daily_dates,0),MATCH($B$3,daily_items,0)))</f>
        <v>#N/A</v>
      </c>
      <c r="Y205" s="1" t="str">
        <f t="array" ref="Y205">IF(ISBLANK(INDEX(big_daily_table,MATCH(DATE(Y$5,$J205,$I205),daily_dates,0),MATCH($B$3,daily_items,0))),NA(),INDEX(big_daily_table,MATCH(DATE(Y$5,$J205,$I205),daily_dates,0),MATCH($B$3,daily_items,0)))</f>
        <v>#N/A</v>
      </c>
      <c r="Z205" s="1" t="str">
        <f t="shared" si="5"/>
        <v>#NAME?</v>
      </c>
      <c r="AA205" s="1" t="str">
        <f t="shared" si="6"/>
        <v>#NAME?</v>
      </c>
      <c r="AB205" s="1" t="str">
        <f t="shared" si="7"/>
        <v>#NAME?</v>
      </c>
      <c r="AC205" s="1" t="str">
        <f t="shared" si="8"/>
        <v>#NAME?</v>
      </c>
    </row>
    <row r="206" ht="14.25" customHeight="1">
      <c r="H206" s="1">
        <f t="shared" si="9"/>
        <v>201</v>
      </c>
      <c r="I206" s="1">
        <f t="shared" si="2"/>
        <v>19</v>
      </c>
      <c r="J206" s="1">
        <f t="shared" si="3"/>
        <v>7</v>
      </c>
      <c r="K206" s="23">
        <f t="shared" si="10"/>
        <v>36726</v>
      </c>
      <c r="L206" s="24">
        <f t="shared" si="4"/>
        <v>-1000000</v>
      </c>
      <c r="M206" s="1" t="str">
        <f t="array" ref="M206">IF(K206&gt;0,INDEX(big_daily_table,MATCH(DATE(N$5,$J206,$I206),daily_dates,0),MATCH($B$3,daily_items,0)),NA())</f>
        <v>#N/A</v>
      </c>
      <c r="N206" s="1" t="str">
        <f t="array" ref="N206">IF(L206&lt;0,INDEX(big_daily_table,MATCH(DATE(N$5,$J206,$I206),daily_dates,0),MATCH($B$3,daily_items,0)),NA())</f>
        <v>#N/A</v>
      </c>
      <c r="O206" s="1" t="str">
        <f t="array" ref="O206">IF(ISBLANK(INDEX(big_daily_table,MATCH(DATE(O$5,$J206,$I206),daily_dates,0),MATCH($B$3,daily_items,0))),NA(),INDEX(big_daily_table,MATCH(DATE(O$5,$J206,$I206),daily_dates,0),MATCH($B$3,daily_items,0)))</f>
        <v>#N/A</v>
      </c>
      <c r="P206" s="1" t="str">
        <f t="array" ref="P206">IF(ISBLANK(INDEX(big_daily_table,MATCH(DATE(P$5,$J206,$I206),daily_dates,0),MATCH($B$3,daily_items,0))),NA(),INDEX(big_daily_table,MATCH(DATE(P$5,$J206,$I206),daily_dates,0),MATCH($B$3,daily_items,0)))</f>
        <v>#N/A</v>
      </c>
      <c r="Q206" s="1" t="str">
        <f t="array" ref="Q206">IF(ISBLANK(INDEX(big_daily_table,MATCH(DATE(Q$5,$J206,$I206),daily_dates,0),MATCH($B$3,daily_items,0))),NA(),INDEX(big_daily_table,MATCH(DATE(Q$5,$J206,$I206),daily_dates,0),MATCH($B$3,daily_items,0)))</f>
        <v>#N/A</v>
      </c>
      <c r="R206" s="1" t="str">
        <f t="array" ref="R206">IF(ISBLANK(INDEX(big_daily_table,MATCH(DATE(R$5,$J206,$I206),daily_dates,0),MATCH($B$3,daily_items,0))),NA(),INDEX(big_daily_table,MATCH(DATE(R$5,$J206,$I206),daily_dates,0),MATCH($B$3,daily_items,0)))</f>
        <v>#N/A</v>
      </c>
      <c r="S206" s="1" t="str">
        <f t="array" ref="S206">IF(ISBLANK(INDEX(big_daily_table,MATCH(DATE(S$5,$J206,$I206),daily_dates,0),MATCH($B$3,daily_items,0))),NA(),INDEX(big_daily_table,MATCH(DATE(S$5,$J206,$I206),daily_dates,0),MATCH($B$3,daily_items,0)))</f>
        <v>#N/A</v>
      </c>
      <c r="T206" s="1" t="str">
        <f t="array" ref="T206">IF(ISBLANK(INDEX(big_daily_table,MATCH(DATE(T$5,$J206,$I206),daily_dates,0),MATCH($B$3,daily_items,0))),NA(),INDEX(big_daily_table,MATCH(DATE(T$5,$J206,$I206),daily_dates,0),MATCH($B$3,daily_items,0)))</f>
        <v>#N/A</v>
      </c>
      <c r="U206" s="1" t="str">
        <f t="array" ref="U206">IF(ISBLANK(INDEX(big_daily_table,MATCH(DATE(U$5,$J206,$I206),daily_dates,0),MATCH($B$3,daily_items,0))),NA(),INDEX(big_daily_table,MATCH(DATE(U$5,$J206,$I206),daily_dates,0),MATCH($B$3,daily_items,0)))</f>
        <v>#N/A</v>
      </c>
      <c r="V206" s="1" t="str">
        <f t="array" ref="V206">IF(ISBLANK(INDEX(big_daily_table,MATCH(DATE(V$5,$J206,$I206),daily_dates,0),MATCH($B$3,daily_items,0))),NA(),INDEX(big_daily_table,MATCH(DATE(V$5,$J206,$I206),daily_dates,0),MATCH($B$3,daily_items,0)))</f>
        <v>#N/A</v>
      </c>
      <c r="W206" s="1" t="str">
        <f t="array" ref="W206">IF(ISBLANK(INDEX(big_daily_table,MATCH(DATE(W$5,$J206,$I206),daily_dates,0),MATCH($B$3,daily_items,0))),NA(),INDEX(big_daily_table,MATCH(DATE(W$5,$J206,$I206),daily_dates,0),MATCH($B$3,daily_items,0)))</f>
        <v>#N/A</v>
      </c>
      <c r="X206" s="1" t="str">
        <f t="array" ref="X206">IF(ISBLANK(INDEX(big_daily_table,MATCH(DATE(X$5,$J206,$I206),daily_dates,0),MATCH($B$3,daily_items,0))),NA(),INDEX(big_daily_table,MATCH(DATE(X$5,$J206,$I206),daily_dates,0),MATCH($B$3,daily_items,0)))</f>
        <v>#N/A</v>
      </c>
      <c r="Y206" s="1" t="str">
        <f t="array" ref="Y206">IF(ISBLANK(INDEX(big_daily_table,MATCH(DATE(Y$5,$J206,$I206),daily_dates,0),MATCH($B$3,daily_items,0))),NA(),INDEX(big_daily_table,MATCH(DATE(Y$5,$J206,$I206),daily_dates,0),MATCH($B$3,daily_items,0)))</f>
        <v>#N/A</v>
      </c>
      <c r="Z206" s="1" t="str">
        <f t="shared" si="5"/>
        <v>#NAME?</v>
      </c>
      <c r="AA206" s="1" t="str">
        <f t="shared" si="6"/>
        <v>#NAME?</v>
      </c>
      <c r="AB206" s="1" t="str">
        <f t="shared" si="7"/>
        <v>#NAME?</v>
      </c>
      <c r="AC206" s="1" t="str">
        <f t="shared" si="8"/>
        <v>#NAME?</v>
      </c>
    </row>
    <row r="207" ht="14.25" customHeight="1">
      <c r="H207" s="1">
        <f t="shared" si="9"/>
        <v>202</v>
      </c>
      <c r="I207" s="1">
        <f t="shared" si="2"/>
        <v>20</v>
      </c>
      <c r="J207" s="1">
        <f t="shared" si="3"/>
        <v>7</v>
      </c>
      <c r="K207" s="23">
        <f t="shared" si="10"/>
        <v>36727</v>
      </c>
      <c r="L207" s="24">
        <f t="shared" si="4"/>
        <v>-1000000</v>
      </c>
      <c r="M207" s="1" t="str">
        <f t="array" ref="M207">IF(K207&gt;0,INDEX(big_daily_table,MATCH(DATE(N$5,$J207,$I207),daily_dates,0),MATCH($B$3,daily_items,0)),NA())</f>
        <v>#N/A</v>
      </c>
      <c r="N207" s="1" t="str">
        <f t="array" ref="N207">IF(L207&lt;0,INDEX(big_daily_table,MATCH(DATE(N$5,$J207,$I207),daily_dates,0),MATCH($B$3,daily_items,0)),NA())</f>
        <v>#N/A</v>
      </c>
      <c r="O207" s="1" t="str">
        <f t="array" ref="O207">IF(ISBLANK(INDEX(big_daily_table,MATCH(DATE(O$5,$J207,$I207),daily_dates,0),MATCH($B$3,daily_items,0))),NA(),INDEX(big_daily_table,MATCH(DATE(O$5,$J207,$I207),daily_dates,0),MATCH($B$3,daily_items,0)))</f>
        <v>#N/A</v>
      </c>
      <c r="P207" s="1" t="str">
        <f t="array" ref="P207">IF(ISBLANK(INDEX(big_daily_table,MATCH(DATE(P$5,$J207,$I207),daily_dates,0),MATCH($B$3,daily_items,0))),NA(),INDEX(big_daily_table,MATCH(DATE(P$5,$J207,$I207),daily_dates,0),MATCH($B$3,daily_items,0)))</f>
        <v>#N/A</v>
      </c>
      <c r="Q207" s="1" t="str">
        <f t="array" ref="Q207">IF(ISBLANK(INDEX(big_daily_table,MATCH(DATE(Q$5,$J207,$I207),daily_dates,0),MATCH($B$3,daily_items,0))),NA(),INDEX(big_daily_table,MATCH(DATE(Q$5,$J207,$I207),daily_dates,0),MATCH($B$3,daily_items,0)))</f>
        <v>#N/A</v>
      </c>
      <c r="R207" s="1" t="str">
        <f t="array" ref="R207">IF(ISBLANK(INDEX(big_daily_table,MATCH(DATE(R$5,$J207,$I207),daily_dates,0),MATCH($B$3,daily_items,0))),NA(),INDEX(big_daily_table,MATCH(DATE(R$5,$J207,$I207),daily_dates,0),MATCH($B$3,daily_items,0)))</f>
        <v>#N/A</v>
      </c>
      <c r="S207" s="1" t="str">
        <f t="array" ref="S207">IF(ISBLANK(INDEX(big_daily_table,MATCH(DATE(S$5,$J207,$I207),daily_dates,0),MATCH($B$3,daily_items,0))),NA(),INDEX(big_daily_table,MATCH(DATE(S$5,$J207,$I207),daily_dates,0),MATCH($B$3,daily_items,0)))</f>
        <v>#N/A</v>
      </c>
      <c r="T207" s="1" t="str">
        <f t="array" ref="T207">IF(ISBLANK(INDEX(big_daily_table,MATCH(DATE(T$5,$J207,$I207),daily_dates,0),MATCH($B$3,daily_items,0))),NA(),INDEX(big_daily_table,MATCH(DATE(T$5,$J207,$I207),daily_dates,0),MATCH($B$3,daily_items,0)))</f>
        <v>#N/A</v>
      </c>
      <c r="U207" s="1" t="str">
        <f t="array" ref="U207">IF(ISBLANK(INDEX(big_daily_table,MATCH(DATE(U$5,$J207,$I207),daily_dates,0),MATCH($B$3,daily_items,0))),NA(),INDEX(big_daily_table,MATCH(DATE(U$5,$J207,$I207),daily_dates,0),MATCH($B$3,daily_items,0)))</f>
        <v>#N/A</v>
      </c>
      <c r="V207" s="1" t="str">
        <f t="array" ref="V207">IF(ISBLANK(INDEX(big_daily_table,MATCH(DATE(V$5,$J207,$I207),daily_dates,0),MATCH($B$3,daily_items,0))),NA(),INDEX(big_daily_table,MATCH(DATE(V$5,$J207,$I207),daily_dates,0),MATCH($B$3,daily_items,0)))</f>
        <v>#N/A</v>
      </c>
      <c r="W207" s="1" t="str">
        <f t="array" ref="W207">IF(ISBLANK(INDEX(big_daily_table,MATCH(DATE(W$5,$J207,$I207),daily_dates,0),MATCH($B$3,daily_items,0))),NA(),INDEX(big_daily_table,MATCH(DATE(W$5,$J207,$I207),daily_dates,0),MATCH($B$3,daily_items,0)))</f>
        <v>#N/A</v>
      </c>
      <c r="X207" s="1" t="str">
        <f t="array" ref="X207">IF(ISBLANK(INDEX(big_daily_table,MATCH(DATE(X$5,$J207,$I207),daily_dates,0),MATCH($B$3,daily_items,0))),NA(),INDEX(big_daily_table,MATCH(DATE(X$5,$J207,$I207),daily_dates,0),MATCH($B$3,daily_items,0)))</f>
        <v>#N/A</v>
      </c>
      <c r="Y207" s="1" t="str">
        <f t="array" ref="Y207">IF(ISBLANK(INDEX(big_daily_table,MATCH(DATE(Y$5,$J207,$I207),daily_dates,0),MATCH($B$3,daily_items,0))),NA(),INDEX(big_daily_table,MATCH(DATE(Y$5,$J207,$I207),daily_dates,0),MATCH($B$3,daily_items,0)))</f>
        <v>#N/A</v>
      </c>
      <c r="Z207" s="1" t="str">
        <f t="shared" si="5"/>
        <v>#NAME?</v>
      </c>
      <c r="AA207" s="1" t="str">
        <f t="shared" si="6"/>
        <v>#NAME?</v>
      </c>
      <c r="AB207" s="1" t="str">
        <f t="shared" si="7"/>
        <v>#NAME?</v>
      </c>
      <c r="AC207" s="1" t="str">
        <f t="shared" si="8"/>
        <v>#NAME?</v>
      </c>
    </row>
    <row r="208" ht="14.25" customHeight="1">
      <c r="H208" s="1">
        <f t="shared" si="9"/>
        <v>203</v>
      </c>
      <c r="I208" s="1">
        <f t="shared" si="2"/>
        <v>21</v>
      </c>
      <c r="J208" s="1">
        <f t="shared" si="3"/>
        <v>7</v>
      </c>
      <c r="K208" s="23">
        <f t="shared" si="10"/>
        <v>36728</v>
      </c>
      <c r="L208" s="24">
        <f t="shared" si="4"/>
        <v>-1000000</v>
      </c>
      <c r="M208" s="1" t="str">
        <f t="array" ref="M208">IF(K208&gt;0,INDEX(big_daily_table,MATCH(DATE(N$5,$J208,$I208),daily_dates,0),MATCH($B$3,daily_items,0)),NA())</f>
        <v>#N/A</v>
      </c>
      <c r="N208" s="1" t="str">
        <f t="array" ref="N208">IF(L208&lt;0,INDEX(big_daily_table,MATCH(DATE(N$5,$J208,$I208),daily_dates,0),MATCH($B$3,daily_items,0)),NA())</f>
        <v>#N/A</v>
      </c>
      <c r="O208" s="1" t="str">
        <f t="array" ref="O208">IF(ISBLANK(INDEX(big_daily_table,MATCH(DATE(O$5,$J208,$I208),daily_dates,0),MATCH($B$3,daily_items,0))),NA(),INDEX(big_daily_table,MATCH(DATE(O$5,$J208,$I208),daily_dates,0),MATCH($B$3,daily_items,0)))</f>
        <v>#N/A</v>
      </c>
      <c r="P208" s="1" t="str">
        <f t="array" ref="P208">IF(ISBLANK(INDEX(big_daily_table,MATCH(DATE(P$5,$J208,$I208),daily_dates,0),MATCH($B$3,daily_items,0))),NA(),INDEX(big_daily_table,MATCH(DATE(P$5,$J208,$I208),daily_dates,0),MATCH($B$3,daily_items,0)))</f>
        <v>#N/A</v>
      </c>
      <c r="Q208" s="1" t="str">
        <f t="array" ref="Q208">IF(ISBLANK(INDEX(big_daily_table,MATCH(DATE(Q$5,$J208,$I208),daily_dates,0),MATCH($B$3,daily_items,0))),NA(),INDEX(big_daily_table,MATCH(DATE(Q$5,$J208,$I208),daily_dates,0),MATCH($B$3,daily_items,0)))</f>
        <v>#N/A</v>
      </c>
      <c r="R208" s="1" t="str">
        <f t="array" ref="R208">IF(ISBLANK(INDEX(big_daily_table,MATCH(DATE(R$5,$J208,$I208),daily_dates,0),MATCH($B$3,daily_items,0))),NA(),INDEX(big_daily_table,MATCH(DATE(R$5,$J208,$I208),daily_dates,0),MATCH($B$3,daily_items,0)))</f>
        <v>#N/A</v>
      </c>
      <c r="S208" s="1" t="str">
        <f t="array" ref="S208">IF(ISBLANK(INDEX(big_daily_table,MATCH(DATE(S$5,$J208,$I208),daily_dates,0),MATCH($B$3,daily_items,0))),NA(),INDEX(big_daily_table,MATCH(DATE(S$5,$J208,$I208),daily_dates,0),MATCH($B$3,daily_items,0)))</f>
        <v>#N/A</v>
      </c>
      <c r="T208" s="1" t="str">
        <f t="array" ref="T208">IF(ISBLANK(INDEX(big_daily_table,MATCH(DATE(T$5,$J208,$I208),daily_dates,0),MATCH($B$3,daily_items,0))),NA(),INDEX(big_daily_table,MATCH(DATE(T$5,$J208,$I208),daily_dates,0),MATCH($B$3,daily_items,0)))</f>
        <v>#N/A</v>
      </c>
      <c r="U208" s="1" t="str">
        <f t="array" ref="U208">IF(ISBLANK(INDEX(big_daily_table,MATCH(DATE(U$5,$J208,$I208),daily_dates,0),MATCH($B$3,daily_items,0))),NA(),INDEX(big_daily_table,MATCH(DATE(U$5,$J208,$I208),daily_dates,0),MATCH($B$3,daily_items,0)))</f>
        <v>#N/A</v>
      </c>
      <c r="V208" s="1" t="str">
        <f t="array" ref="V208">IF(ISBLANK(INDEX(big_daily_table,MATCH(DATE(V$5,$J208,$I208),daily_dates,0),MATCH($B$3,daily_items,0))),NA(),INDEX(big_daily_table,MATCH(DATE(V$5,$J208,$I208),daily_dates,0),MATCH($B$3,daily_items,0)))</f>
        <v>#N/A</v>
      </c>
      <c r="W208" s="1" t="str">
        <f t="array" ref="W208">IF(ISBLANK(INDEX(big_daily_table,MATCH(DATE(W$5,$J208,$I208),daily_dates,0),MATCH($B$3,daily_items,0))),NA(),INDEX(big_daily_table,MATCH(DATE(W$5,$J208,$I208),daily_dates,0),MATCH($B$3,daily_items,0)))</f>
        <v>#N/A</v>
      </c>
      <c r="X208" s="1" t="str">
        <f t="array" ref="X208">IF(ISBLANK(INDEX(big_daily_table,MATCH(DATE(X$5,$J208,$I208),daily_dates,0),MATCH($B$3,daily_items,0))),NA(),INDEX(big_daily_table,MATCH(DATE(X$5,$J208,$I208),daily_dates,0),MATCH($B$3,daily_items,0)))</f>
        <v>#N/A</v>
      </c>
      <c r="Y208" s="1" t="str">
        <f t="array" ref="Y208">IF(ISBLANK(INDEX(big_daily_table,MATCH(DATE(Y$5,$J208,$I208),daily_dates,0),MATCH($B$3,daily_items,0))),NA(),INDEX(big_daily_table,MATCH(DATE(Y$5,$J208,$I208),daily_dates,0),MATCH($B$3,daily_items,0)))</f>
        <v>#N/A</v>
      </c>
      <c r="Z208" s="1" t="str">
        <f t="shared" si="5"/>
        <v>#NAME?</v>
      </c>
      <c r="AA208" s="1" t="str">
        <f t="shared" si="6"/>
        <v>#NAME?</v>
      </c>
      <c r="AB208" s="1" t="str">
        <f t="shared" si="7"/>
        <v>#NAME?</v>
      </c>
      <c r="AC208" s="1" t="str">
        <f t="shared" si="8"/>
        <v>#NAME?</v>
      </c>
    </row>
    <row r="209" ht="14.25" customHeight="1">
      <c r="H209" s="1">
        <f t="shared" si="9"/>
        <v>204</v>
      </c>
      <c r="I209" s="1">
        <f t="shared" si="2"/>
        <v>22</v>
      </c>
      <c r="J209" s="1">
        <f t="shared" si="3"/>
        <v>7</v>
      </c>
      <c r="K209" s="23">
        <f t="shared" si="10"/>
        <v>36729</v>
      </c>
      <c r="L209" s="24">
        <f t="shared" si="4"/>
        <v>-1000000</v>
      </c>
      <c r="M209" s="1" t="str">
        <f t="array" ref="M209">IF(K209&gt;0,INDEX(big_daily_table,MATCH(DATE(N$5,$J209,$I209),daily_dates,0),MATCH($B$3,daily_items,0)),NA())</f>
        <v>#N/A</v>
      </c>
      <c r="N209" s="1" t="str">
        <f t="array" ref="N209">IF(L209&lt;0,INDEX(big_daily_table,MATCH(DATE(N$5,$J209,$I209),daily_dates,0),MATCH($B$3,daily_items,0)),NA())</f>
        <v>#N/A</v>
      </c>
      <c r="O209" s="1" t="str">
        <f t="array" ref="O209">IF(ISBLANK(INDEX(big_daily_table,MATCH(DATE(O$5,$J209,$I209),daily_dates,0),MATCH($B$3,daily_items,0))),NA(),INDEX(big_daily_table,MATCH(DATE(O$5,$J209,$I209),daily_dates,0),MATCH($B$3,daily_items,0)))</f>
        <v>#N/A</v>
      </c>
      <c r="P209" s="1" t="str">
        <f t="array" ref="P209">IF(ISBLANK(INDEX(big_daily_table,MATCH(DATE(P$5,$J209,$I209),daily_dates,0),MATCH($B$3,daily_items,0))),NA(),INDEX(big_daily_table,MATCH(DATE(P$5,$J209,$I209),daily_dates,0),MATCH($B$3,daily_items,0)))</f>
        <v>#N/A</v>
      </c>
      <c r="Q209" s="1" t="str">
        <f t="array" ref="Q209">IF(ISBLANK(INDEX(big_daily_table,MATCH(DATE(Q$5,$J209,$I209),daily_dates,0),MATCH($B$3,daily_items,0))),NA(),INDEX(big_daily_table,MATCH(DATE(Q$5,$J209,$I209),daily_dates,0),MATCH($B$3,daily_items,0)))</f>
        <v>#N/A</v>
      </c>
      <c r="R209" s="1" t="str">
        <f t="array" ref="R209">IF(ISBLANK(INDEX(big_daily_table,MATCH(DATE(R$5,$J209,$I209),daily_dates,0),MATCH($B$3,daily_items,0))),NA(),INDEX(big_daily_table,MATCH(DATE(R$5,$J209,$I209),daily_dates,0),MATCH($B$3,daily_items,0)))</f>
        <v>#N/A</v>
      </c>
      <c r="S209" s="1" t="str">
        <f t="array" ref="S209">IF(ISBLANK(INDEX(big_daily_table,MATCH(DATE(S$5,$J209,$I209),daily_dates,0),MATCH($B$3,daily_items,0))),NA(),INDEX(big_daily_table,MATCH(DATE(S$5,$J209,$I209),daily_dates,0),MATCH($B$3,daily_items,0)))</f>
        <v>#N/A</v>
      </c>
      <c r="T209" s="1" t="str">
        <f t="array" ref="T209">IF(ISBLANK(INDEX(big_daily_table,MATCH(DATE(T$5,$J209,$I209),daily_dates,0),MATCH($B$3,daily_items,0))),NA(),INDEX(big_daily_table,MATCH(DATE(T$5,$J209,$I209),daily_dates,0),MATCH($B$3,daily_items,0)))</f>
        <v>#N/A</v>
      </c>
      <c r="U209" s="1" t="str">
        <f t="array" ref="U209">IF(ISBLANK(INDEX(big_daily_table,MATCH(DATE(U$5,$J209,$I209),daily_dates,0),MATCH($B$3,daily_items,0))),NA(),INDEX(big_daily_table,MATCH(DATE(U$5,$J209,$I209),daily_dates,0),MATCH($B$3,daily_items,0)))</f>
        <v>#N/A</v>
      </c>
      <c r="V209" s="1" t="str">
        <f t="array" ref="V209">IF(ISBLANK(INDEX(big_daily_table,MATCH(DATE(V$5,$J209,$I209),daily_dates,0),MATCH($B$3,daily_items,0))),NA(),INDEX(big_daily_table,MATCH(DATE(V$5,$J209,$I209),daily_dates,0),MATCH($B$3,daily_items,0)))</f>
        <v>#N/A</v>
      </c>
      <c r="W209" s="1" t="str">
        <f t="array" ref="W209">IF(ISBLANK(INDEX(big_daily_table,MATCH(DATE(W$5,$J209,$I209),daily_dates,0),MATCH($B$3,daily_items,0))),NA(),INDEX(big_daily_table,MATCH(DATE(W$5,$J209,$I209),daily_dates,0),MATCH($B$3,daily_items,0)))</f>
        <v>#N/A</v>
      </c>
      <c r="X209" s="1" t="str">
        <f t="array" ref="X209">IF(ISBLANK(INDEX(big_daily_table,MATCH(DATE(X$5,$J209,$I209),daily_dates,0),MATCH($B$3,daily_items,0))),NA(),INDEX(big_daily_table,MATCH(DATE(X$5,$J209,$I209),daily_dates,0),MATCH($B$3,daily_items,0)))</f>
        <v>#N/A</v>
      </c>
      <c r="Y209" s="1" t="str">
        <f t="array" ref="Y209">IF(ISBLANK(INDEX(big_daily_table,MATCH(DATE(Y$5,$J209,$I209),daily_dates,0),MATCH($B$3,daily_items,0))),NA(),INDEX(big_daily_table,MATCH(DATE(Y$5,$J209,$I209),daily_dates,0),MATCH($B$3,daily_items,0)))</f>
        <v>#N/A</v>
      </c>
      <c r="Z209" s="1" t="str">
        <f t="shared" si="5"/>
        <v>#NAME?</v>
      </c>
      <c r="AA209" s="1" t="str">
        <f t="shared" si="6"/>
        <v>#NAME?</v>
      </c>
      <c r="AB209" s="1" t="str">
        <f t="shared" si="7"/>
        <v>#NAME?</v>
      </c>
      <c r="AC209" s="1" t="str">
        <f t="shared" si="8"/>
        <v>#NAME?</v>
      </c>
    </row>
    <row r="210" ht="14.25" customHeight="1">
      <c r="H210" s="1">
        <f t="shared" si="9"/>
        <v>205</v>
      </c>
      <c r="I210" s="1">
        <f t="shared" si="2"/>
        <v>23</v>
      </c>
      <c r="J210" s="1">
        <f t="shared" si="3"/>
        <v>7</v>
      </c>
      <c r="K210" s="23">
        <f t="shared" si="10"/>
        <v>36730</v>
      </c>
      <c r="L210" s="24">
        <f t="shared" si="4"/>
        <v>-1000000</v>
      </c>
      <c r="M210" s="1" t="str">
        <f t="array" ref="M210">IF(K210&gt;0,INDEX(big_daily_table,MATCH(DATE(N$5,$J210,$I210),daily_dates,0),MATCH($B$3,daily_items,0)),NA())</f>
        <v>#N/A</v>
      </c>
      <c r="N210" s="1" t="str">
        <f t="array" ref="N210">IF(L210&lt;0,INDEX(big_daily_table,MATCH(DATE(N$5,$J210,$I210),daily_dates,0),MATCH($B$3,daily_items,0)),NA())</f>
        <v>#N/A</v>
      </c>
      <c r="O210" s="1" t="str">
        <f t="array" ref="O210">IF(ISBLANK(INDEX(big_daily_table,MATCH(DATE(O$5,$J210,$I210),daily_dates,0),MATCH($B$3,daily_items,0))),NA(),INDEX(big_daily_table,MATCH(DATE(O$5,$J210,$I210),daily_dates,0),MATCH($B$3,daily_items,0)))</f>
        <v>#N/A</v>
      </c>
      <c r="P210" s="1" t="str">
        <f t="array" ref="P210">IF(ISBLANK(INDEX(big_daily_table,MATCH(DATE(P$5,$J210,$I210),daily_dates,0),MATCH($B$3,daily_items,0))),NA(),INDEX(big_daily_table,MATCH(DATE(P$5,$J210,$I210),daily_dates,0),MATCH($B$3,daily_items,0)))</f>
        <v>#N/A</v>
      </c>
      <c r="Q210" s="1" t="str">
        <f t="array" ref="Q210">IF(ISBLANK(INDEX(big_daily_table,MATCH(DATE(Q$5,$J210,$I210),daily_dates,0),MATCH($B$3,daily_items,0))),NA(),INDEX(big_daily_table,MATCH(DATE(Q$5,$J210,$I210),daily_dates,0),MATCH($B$3,daily_items,0)))</f>
        <v>#N/A</v>
      </c>
      <c r="R210" s="1" t="str">
        <f t="array" ref="R210">IF(ISBLANK(INDEX(big_daily_table,MATCH(DATE(R$5,$J210,$I210),daily_dates,0),MATCH($B$3,daily_items,0))),NA(),INDEX(big_daily_table,MATCH(DATE(R$5,$J210,$I210),daily_dates,0),MATCH($B$3,daily_items,0)))</f>
        <v>#N/A</v>
      </c>
      <c r="S210" s="1" t="str">
        <f t="array" ref="S210">IF(ISBLANK(INDEX(big_daily_table,MATCH(DATE(S$5,$J210,$I210),daily_dates,0),MATCH($B$3,daily_items,0))),NA(),INDEX(big_daily_table,MATCH(DATE(S$5,$J210,$I210),daily_dates,0),MATCH($B$3,daily_items,0)))</f>
        <v>#N/A</v>
      </c>
      <c r="T210" s="1" t="str">
        <f t="array" ref="T210">IF(ISBLANK(INDEX(big_daily_table,MATCH(DATE(T$5,$J210,$I210),daily_dates,0),MATCH($B$3,daily_items,0))),NA(),INDEX(big_daily_table,MATCH(DATE(T$5,$J210,$I210),daily_dates,0),MATCH($B$3,daily_items,0)))</f>
        <v>#N/A</v>
      </c>
      <c r="U210" s="1" t="str">
        <f t="array" ref="U210">IF(ISBLANK(INDEX(big_daily_table,MATCH(DATE(U$5,$J210,$I210),daily_dates,0),MATCH($B$3,daily_items,0))),NA(),INDEX(big_daily_table,MATCH(DATE(U$5,$J210,$I210),daily_dates,0),MATCH($B$3,daily_items,0)))</f>
        <v>#N/A</v>
      </c>
      <c r="V210" s="1" t="str">
        <f t="array" ref="V210">IF(ISBLANK(INDEX(big_daily_table,MATCH(DATE(V$5,$J210,$I210),daily_dates,0),MATCH($B$3,daily_items,0))),NA(),INDEX(big_daily_table,MATCH(DATE(V$5,$J210,$I210),daily_dates,0),MATCH($B$3,daily_items,0)))</f>
        <v>#N/A</v>
      </c>
      <c r="W210" s="1" t="str">
        <f t="array" ref="W210">IF(ISBLANK(INDEX(big_daily_table,MATCH(DATE(W$5,$J210,$I210),daily_dates,0),MATCH($B$3,daily_items,0))),NA(),INDEX(big_daily_table,MATCH(DATE(W$5,$J210,$I210),daily_dates,0),MATCH($B$3,daily_items,0)))</f>
        <v>#N/A</v>
      </c>
      <c r="X210" s="1" t="str">
        <f t="array" ref="X210">IF(ISBLANK(INDEX(big_daily_table,MATCH(DATE(X$5,$J210,$I210),daily_dates,0),MATCH($B$3,daily_items,0))),NA(),INDEX(big_daily_table,MATCH(DATE(X$5,$J210,$I210),daily_dates,0),MATCH($B$3,daily_items,0)))</f>
        <v>#N/A</v>
      </c>
      <c r="Y210" s="1" t="str">
        <f t="array" ref="Y210">IF(ISBLANK(INDEX(big_daily_table,MATCH(DATE(Y$5,$J210,$I210),daily_dates,0),MATCH($B$3,daily_items,0))),NA(),INDEX(big_daily_table,MATCH(DATE(Y$5,$J210,$I210),daily_dates,0),MATCH($B$3,daily_items,0)))</f>
        <v>#N/A</v>
      </c>
      <c r="Z210" s="1" t="str">
        <f t="shared" si="5"/>
        <v>#NAME?</v>
      </c>
      <c r="AA210" s="1" t="str">
        <f t="shared" si="6"/>
        <v>#NAME?</v>
      </c>
      <c r="AB210" s="1" t="str">
        <f t="shared" si="7"/>
        <v>#NAME?</v>
      </c>
      <c r="AC210" s="1" t="str">
        <f t="shared" si="8"/>
        <v>#NAME?</v>
      </c>
    </row>
    <row r="211" ht="14.25" customHeight="1">
      <c r="H211" s="1">
        <f t="shared" si="9"/>
        <v>206</v>
      </c>
      <c r="I211" s="1">
        <f t="shared" si="2"/>
        <v>24</v>
      </c>
      <c r="J211" s="1">
        <f t="shared" si="3"/>
        <v>7</v>
      </c>
      <c r="K211" s="23">
        <f t="shared" si="10"/>
        <v>36731</v>
      </c>
      <c r="L211" s="24">
        <f t="shared" si="4"/>
        <v>-1000000</v>
      </c>
      <c r="M211" s="1" t="str">
        <f t="array" ref="M211">IF(K211&gt;0,INDEX(big_daily_table,MATCH(DATE(N$5,$J211,$I211),daily_dates,0),MATCH($B$3,daily_items,0)),NA())</f>
        <v>#N/A</v>
      </c>
      <c r="N211" s="1" t="str">
        <f t="array" ref="N211">IF(L211&lt;0,INDEX(big_daily_table,MATCH(DATE(N$5,$J211,$I211),daily_dates,0),MATCH($B$3,daily_items,0)),NA())</f>
        <v>#N/A</v>
      </c>
      <c r="O211" s="1" t="str">
        <f t="array" ref="O211">IF(ISBLANK(INDEX(big_daily_table,MATCH(DATE(O$5,$J211,$I211),daily_dates,0),MATCH($B$3,daily_items,0))),NA(),INDEX(big_daily_table,MATCH(DATE(O$5,$J211,$I211),daily_dates,0),MATCH($B$3,daily_items,0)))</f>
        <v>#N/A</v>
      </c>
      <c r="P211" s="1" t="str">
        <f t="array" ref="P211">IF(ISBLANK(INDEX(big_daily_table,MATCH(DATE(P$5,$J211,$I211),daily_dates,0),MATCH($B$3,daily_items,0))),NA(),INDEX(big_daily_table,MATCH(DATE(P$5,$J211,$I211),daily_dates,0),MATCH($B$3,daily_items,0)))</f>
        <v>#N/A</v>
      </c>
      <c r="Q211" s="1" t="str">
        <f t="array" ref="Q211">IF(ISBLANK(INDEX(big_daily_table,MATCH(DATE(Q$5,$J211,$I211),daily_dates,0),MATCH($B$3,daily_items,0))),NA(),INDEX(big_daily_table,MATCH(DATE(Q$5,$J211,$I211),daily_dates,0),MATCH($B$3,daily_items,0)))</f>
        <v>#N/A</v>
      </c>
      <c r="R211" s="1" t="str">
        <f t="array" ref="R211">IF(ISBLANK(INDEX(big_daily_table,MATCH(DATE(R$5,$J211,$I211),daily_dates,0),MATCH($B$3,daily_items,0))),NA(),INDEX(big_daily_table,MATCH(DATE(R$5,$J211,$I211),daily_dates,0),MATCH($B$3,daily_items,0)))</f>
        <v>#N/A</v>
      </c>
      <c r="S211" s="1" t="str">
        <f t="array" ref="S211">IF(ISBLANK(INDEX(big_daily_table,MATCH(DATE(S$5,$J211,$I211),daily_dates,0),MATCH($B$3,daily_items,0))),NA(),INDEX(big_daily_table,MATCH(DATE(S$5,$J211,$I211),daily_dates,0),MATCH($B$3,daily_items,0)))</f>
        <v>#N/A</v>
      </c>
      <c r="T211" s="1" t="str">
        <f t="array" ref="T211">IF(ISBLANK(INDEX(big_daily_table,MATCH(DATE(T$5,$J211,$I211),daily_dates,0),MATCH($B$3,daily_items,0))),NA(),INDEX(big_daily_table,MATCH(DATE(T$5,$J211,$I211),daily_dates,0),MATCH($B$3,daily_items,0)))</f>
        <v>#N/A</v>
      </c>
      <c r="U211" s="1" t="str">
        <f t="array" ref="U211">IF(ISBLANK(INDEX(big_daily_table,MATCH(DATE(U$5,$J211,$I211),daily_dates,0),MATCH($B$3,daily_items,0))),NA(),INDEX(big_daily_table,MATCH(DATE(U$5,$J211,$I211),daily_dates,0),MATCH($B$3,daily_items,0)))</f>
        <v>#N/A</v>
      </c>
      <c r="V211" s="1" t="str">
        <f t="array" ref="V211">IF(ISBLANK(INDEX(big_daily_table,MATCH(DATE(V$5,$J211,$I211),daily_dates,0),MATCH($B$3,daily_items,0))),NA(),INDEX(big_daily_table,MATCH(DATE(V$5,$J211,$I211),daily_dates,0),MATCH($B$3,daily_items,0)))</f>
        <v>#N/A</v>
      </c>
      <c r="W211" s="1" t="str">
        <f t="array" ref="W211">IF(ISBLANK(INDEX(big_daily_table,MATCH(DATE(W$5,$J211,$I211),daily_dates,0),MATCH($B$3,daily_items,0))),NA(),INDEX(big_daily_table,MATCH(DATE(W$5,$J211,$I211),daily_dates,0),MATCH($B$3,daily_items,0)))</f>
        <v>#N/A</v>
      </c>
      <c r="X211" s="1" t="str">
        <f t="array" ref="X211">IF(ISBLANK(INDEX(big_daily_table,MATCH(DATE(X$5,$J211,$I211),daily_dates,0),MATCH($B$3,daily_items,0))),NA(),INDEX(big_daily_table,MATCH(DATE(X$5,$J211,$I211),daily_dates,0),MATCH($B$3,daily_items,0)))</f>
        <v>#N/A</v>
      </c>
      <c r="Y211" s="1" t="str">
        <f t="array" ref="Y211">IF(ISBLANK(INDEX(big_daily_table,MATCH(DATE(Y$5,$J211,$I211),daily_dates,0),MATCH($B$3,daily_items,0))),NA(),INDEX(big_daily_table,MATCH(DATE(Y$5,$J211,$I211),daily_dates,0),MATCH($B$3,daily_items,0)))</f>
        <v>#N/A</v>
      </c>
      <c r="Z211" s="1" t="str">
        <f t="shared" si="5"/>
        <v>#NAME?</v>
      </c>
      <c r="AA211" s="1" t="str">
        <f t="shared" si="6"/>
        <v>#NAME?</v>
      </c>
      <c r="AB211" s="1" t="str">
        <f t="shared" si="7"/>
        <v>#NAME?</v>
      </c>
      <c r="AC211" s="1" t="str">
        <f t="shared" si="8"/>
        <v>#NAME?</v>
      </c>
    </row>
    <row r="212" ht="14.25" customHeight="1">
      <c r="H212" s="1">
        <f t="shared" si="9"/>
        <v>207</v>
      </c>
      <c r="I212" s="1">
        <f t="shared" si="2"/>
        <v>25</v>
      </c>
      <c r="J212" s="1">
        <f t="shared" si="3"/>
        <v>7</v>
      </c>
      <c r="K212" s="23">
        <f t="shared" si="10"/>
        <v>36732</v>
      </c>
      <c r="L212" s="24">
        <f t="shared" si="4"/>
        <v>-1000000</v>
      </c>
      <c r="M212" s="1" t="str">
        <f t="array" ref="M212">IF(K212&gt;0,INDEX(big_daily_table,MATCH(DATE(N$5,$J212,$I212),daily_dates,0),MATCH($B$3,daily_items,0)),NA())</f>
        <v>#N/A</v>
      </c>
      <c r="N212" s="1" t="str">
        <f t="array" ref="N212">IF(L212&lt;0,INDEX(big_daily_table,MATCH(DATE(N$5,$J212,$I212),daily_dates,0),MATCH($B$3,daily_items,0)),NA())</f>
        <v>#N/A</v>
      </c>
      <c r="O212" s="1" t="str">
        <f t="array" ref="O212">IF(ISBLANK(INDEX(big_daily_table,MATCH(DATE(O$5,$J212,$I212),daily_dates,0),MATCH($B$3,daily_items,0))),NA(),INDEX(big_daily_table,MATCH(DATE(O$5,$J212,$I212),daily_dates,0),MATCH($B$3,daily_items,0)))</f>
        <v>#N/A</v>
      </c>
      <c r="P212" s="1" t="str">
        <f t="array" ref="P212">IF(ISBLANK(INDEX(big_daily_table,MATCH(DATE(P$5,$J212,$I212),daily_dates,0),MATCH($B$3,daily_items,0))),NA(),INDEX(big_daily_table,MATCH(DATE(P$5,$J212,$I212),daily_dates,0),MATCH($B$3,daily_items,0)))</f>
        <v>#N/A</v>
      </c>
      <c r="Q212" s="1" t="str">
        <f t="array" ref="Q212">IF(ISBLANK(INDEX(big_daily_table,MATCH(DATE(Q$5,$J212,$I212),daily_dates,0),MATCH($B$3,daily_items,0))),NA(),INDEX(big_daily_table,MATCH(DATE(Q$5,$J212,$I212),daily_dates,0),MATCH($B$3,daily_items,0)))</f>
        <v>#N/A</v>
      </c>
      <c r="R212" s="1" t="str">
        <f t="array" ref="R212">IF(ISBLANK(INDEX(big_daily_table,MATCH(DATE(R$5,$J212,$I212),daily_dates,0),MATCH($B$3,daily_items,0))),NA(),INDEX(big_daily_table,MATCH(DATE(R$5,$J212,$I212),daily_dates,0),MATCH($B$3,daily_items,0)))</f>
        <v>#N/A</v>
      </c>
      <c r="S212" s="1" t="str">
        <f t="array" ref="S212">IF(ISBLANK(INDEX(big_daily_table,MATCH(DATE(S$5,$J212,$I212),daily_dates,0),MATCH($B$3,daily_items,0))),NA(),INDEX(big_daily_table,MATCH(DATE(S$5,$J212,$I212),daily_dates,0),MATCH($B$3,daily_items,0)))</f>
        <v>#N/A</v>
      </c>
      <c r="T212" s="1" t="str">
        <f t="array" ref="T212">IF(ISBLANK(INDEX(big_daily_table,MATCH(DATE(T$5,$J212,$I212),daily_dates,0),MATCH($B$3,daily_items,0))),NA(),INDEX(big_daily_table,MATCH(DATE(T$5,$J212,$I212),daily_dates,0),MATCH($B$3,daily_items,0)))</f>
        <v>#N/A</v>
      </c>
      <c r="U212" s="1" t="str">
        <f t="array" ref="U212">IF(ISBLANK(INDEX(big_daily_table,MATCH(DATE(U$5,$J212,$I212),daily_dates,0),MATCH($B$3,daily_items,0))),NA(),INDEX(big_daily_table,MATCH(DATE(U$5,$J212,$I212),daily_dates,0),MATCH($B$3,daily_items,0)))</f>
        <v>#N/A</v>
      </c>
      <c r="V212" s="1" t="str">
        <f t="array" ref="V212">IF(ISBLANK(INDEX(big_daily_table,MATCH(DATE(V$5,$J212,$I212),daily_dates,0),MATCH($B$3,daily_items,0))),NA(),INDEX(big_daily_table,MATCH(DATE(V$5,$J212,$I212),daily_dates,0),MATCH($B$3,daily_items,0)))</f>
        <v>#N/A</v>
      </c>
      <c r="W212" s="1" t="str">
        <f t="array" ref="W212">IF(ISBLANK(INDEX(big_daily_table,MATCH(DATE(W$5,$J212,$I212),daily_dates,0),MATCH($B$3,daily_items,0))),NA(),INDEX(big_daily_table,MATCH(DATE(W$5,$J212,$I212),daily_dates,0),MATCH($B$3,daily_items,0)))</f>
        <v>#N/A</v>
      </c>
      <c r="X212" s="1" t="str">
        <f t="array" ref="X212">IF(ISBLANK(INDEX(big_daily_table,MATCH(DATE(X$5,$J212,$I212),daily_dates,0),MATCH($B$3,daily_items,0))),NA(),INDEX(big_daily_table,MATCH(DATE(X$5,$J212,$I212),daily_dates,0),MATCH($B$3,daily_items,0)))</f>
        <v>#N/A</v>
      </c>
      <c r="Y212" s="1" t="str">
        <f t="array" ref="Y212">IF(ISBLANK(INDEX(big_daily_table,MATCH(DATE(Y$5,$J212,$I212),daily_dates,0),MATCH($B$3,daily_items,0))),NA(),INDEX(big_daily_table,MATCH(DATE(Y$5,$J212,$I212),daily_dates,0),MATCH($B$3,daily_items,0)))</f>
        <v>#N/A</v>
      </c>
      <c r="Z212" s="1" t="str">
        <f t="shared" si="5"/>
        <v>#NAME?</v>
      </c>
      <c r="AA212" s="1" t="str">
        <f t="shared" si="6"/>
        <v>#NAME?</v>
      </c>
      <c r="AB212" s="1" t="str">
        <f t="shared" si="7"/>
        <v>#NAME?</v>
      </c>
      <c r="AC212" s="1" t="str">
        <f t="shared" si="8"/>
        <v>#NAME?</v>
      </c>
    </row>
    <row r="213" ht="14.25" customHeight="1">
      <c r="H213" s="1">
        <f t="shared" si="9"/>
        <v>208</v>
      </c>
      <c r="I213" s="1">
        <f t="shared" si="2"/>
        <v>26</v>
      </c>
      <c r="J213" s="1">
        <f t="shared" si="3"/>
        <v>7</v>
      </c>
      <c r="K213" s="23">
        <f t="shared" si="10"/>
        <v>36733</v>
      </c>
      <c r="L213" s="24">
        <f t="shared" si="4"/>
        <v>-1000000</v>
      </c>
      <c r="M213" s="1" t="str">
        <f t="array" ref="M213">IF(K213&gt;0,INDEX(big_daily_table,MATCH(DATE(N$5,$J213,$I213),daily_dates,0),MATCH($B$3,daily_items,0)),NA())</f>
        <v>#N/A</v>
      </c>
      <c r="N213" s="1" t="str">
        <f t="array" ref="N213">IF(L213&lt;0,INDEX(big_daily_table,MATCH(DATE(N$5,$J213,$I213),daily_dates,0),MATCH($B$3,daily_items,0)),NA())</f>
        <v>#N/A</v>
      </c>
      <c r="O213" s="1" t="str">
        <f t="array" ref="O213">IF(ISBLANK(INDEX(big_daily_table,MATCH(DATE(O$5,$J213,$I213),daily_dates,0),MATCH($B$3,daily_items,0))),NA(),INDEX(big_daily_table,MATCH(DATE(O$5,$J213,$I213),daily_dates,0),MATCH($B$3,daily_items,0)))</f>
        <v>#N/A</v>
      </c>
      <c r="P213" s="1" t="str">
        <f t="array" ref="P213">IF(ISBLANK(INDEX(big_daily_table,MATCH(DATE(P$5,$J213,$I213),daily_dates,0),MATCH($B$3,daily_items,0))),NA(),INDEX(big_daily_table,MATCH(DATE(P$5,$J213,$I213),daily_dates,0),MATCH($B$3,daily_items,0)))</f>
        <v>#N/A</v>
      </c>
      <c r="Q213" s="1" t="str">
        <f t="array" ref="Q213">IF(ISBLANK(INDEX(big_daily_table,MATCH(DATE(Q$5,$J213,$I213),daily_dates,0),MATCH($B$3,daily_items,0))),NA(),INDEX(big_daily_table,MATCH(DATE(Q$5,$J213,$I213),daily_dates,0),MATCH($B$3,daily_items,0)))</f>
        <v>#N/A</v>
      </c>
      <c r="R213" s="1" t="str">
        <f t="array" ref="R213">IF(ISBLANK(INDEX(big_daily_table,MATCH(DATE(R$5,$J213,$I213),daily_dates,0),MATCH($B$3,daily_items,0))),NA(),INDEX(big_daily_table,MATCH(DATE(R$5,$J213,$I213),daily_dates,0),MATCH($B$3,daily_items,0)))</f>
        <v>#N/A</v>
      </c>
      <c r="S213" s="1" t="str">
        <f t="array" ref="S213">IF(ISBLANK(INDEX(big_daily_table,MATCH(DATE(S$5,$J213,$I213),daily_dates,0),MATCH($B$3,daily_items,0))),NA(),INDEX(big_daily_table,MATCH(DATE(S$5,$J213,$I213),daily_dates,0),MATCH($B$3,daily_items,0)))</f>
        <v>#N/A</v>
      </c>
      <c r="T213" s="1" t="str">
        <f t="array" ref="T213">IF(ISBLANK(INDEX(big_daily_table,MATCH(DATE(T$5,$J213,$I213),daily_dates,0),MATCH($B$3,daily_items,0))),NA(),INDEX(big_daily_table,MATCH(DATE(T$5,$J213,$I213),daily_dates,0),MATCH($B$3,daily_items,0)))</f>
        <v>#N/A</v>
      </c>
      <c r="U213" s="1" t="str">
        <f t="array" ref="U213">IF(ISBLANK(INDEX(big_daily_table,MATCH(DATE(U$5,$J213,$I213),daily_dates,0),MATCH($B$3,daily_items,0))),NA(),INDEX(big_daily_table,MATCH(DATE(U$5,$J213,$I213),daily_dates,0),MATCH($B$3,daily_items,0)))</f>
        <v>#N/A</v>
      </c>
      <c r="V213" s="1" t="str">
        <f t="array" ref="V213">IF(ISBLANK(INDEX(big_daily_table,MATCH(DATE(V$5,$J213,$I213),daily_dates,0),MATCH($B$3,daily_items,0))),NA(),INDEX(big_daily_table,MATCH(DATE(V$5,$J213,$I213),daily_dates,0),MATCH($B$3,daily_items,0)))</f>
        <v>#N/A</v>
      </c>
      <c r="W213" s="1" t="str">
        <f t="array" ref="W213">IF(ISBLANK(INDEX(big_daily_table,MATCH(DATE(W$5,$J213,$I213),daily_dates,0),MATCH($B$3,daily_items,0))),NA(),INDEX(big_daily_table,MATCH(DATE(W$5,$J213,$I213),daily_dates,0),MATCH($B$3,daily_items,0)))</f>
        <v>#N/A</v>
      </c>
      <c r="X213" s="1" t="str">
        <f t="array" ref="X213">IF(ISBLANK(INDEX(big_daily_table,MATCH(DATE(X$5,$J213,$I213),daily_dates,0),MATCH($B$3,daily_items,0))),NA(),INDEX(big_daily_table,MATCH(DATE(X$5,$J213,$I213),daily_dates,0),MATCH($B$3,daily_items,0)))</f>
        <v>#N/A</v>
      </c>
      <c r="Y213" s="1" t="str">
        <f t="array" ref="Y213">IF(ISBLANK(INDEX(big_daily_table,MATCH(DATE(Y$5,$J213,$I213),daily_dates,0),MATCH($B$3,daily_items,0))),NA(),INDEX(big_daily_table,MATCH(DATE(Y$5,$J213,$I213),daily_dates,0),MATCH($B$3,daily_items,0)))</f>
        <v>#N/A</v>
      </c>
      <c r="Z213" s="1" t="str">
        <f t="shared" si="5"/>
        <v>#NAME?</v>
      </c>
      <c r="AA213" s="1" t="str">
        <f t="shared" si="6"/>
        <v>#NAME?</v>
      </c>
      <c r="AB213" s="1" t="str">
        <f t="shared" si="7"/>
        <v>#NAME?</v>
      </c>
      <c r="AC213" s="1" t="str">
        <f t="shared" si="8"/>
        <v>#NAME?</v>
      </c>
    </row>
    <row r="214" ht="14.25" customHeight="1">
      <c r="H214" s="1">
        <f t="shared" si="9"/>
        <v>209</v>
      </c>
      <c r="I214" s="1">
        <f t="shared" si="2"/>
        <v>27</v>
      </c>
      <c r="J214" s="1">
        <f t="shared" si="3"/>
        <v>7</v>
      </c>
      <c r="K214" s="23">
        <f t="shared" si="10"/>
        <v>36734</v>
      </c>
      <c r="L214" s="24">
        <f t="shared" si="4"/>
        <v>-1000000</v>
      </c>
      <c r="M214" s="1" t="str">
        <f t="array" ref="M214">IF(K214&gt;0,INDEX(big_daily_table,MATCH(DATE(N$5,$J214,$I214),daily_dates,0),MATCH($B$3,daily_items,0)),NA())</f>
        <v>#N/A</v>
      </c>
      <c r="N214" s="1" t="str">
        <f t="array" ref="N214">IF(L214&lt;0,INDEX(big_daily_table,MATCH(DATE(N$5,$J214,$I214),daily_dates,0),MATCH($B$3,daily_items,0)),NA())</f>
        <v>#N/A</v>
      </c>
      <c r="O214" s="1" t="str">
        <f t="array" ref="O214">IF(ISBLANK(INDEX(big_daily_table,MATCH(DATE(O$5,$J214,$I214),daily_dates,0),MATCH($B$3,daily_items,0))),NA(),INDEX(big_daily_table,MATCH(DATE(O$5,$J214,$I214),daily_dates,0),MATCH($B$3,daily_items,0)))</f>
        <v>#N/A</v>
      </c>
      <c r="P214" s="1" t="str">
        <f t="array" ref="P214">IF(ISBLANK(INDEX(big_daily_table,MATCH(DATE(P$5,$J214,$I214),daily_dates,0),MATCH($B$3,daily_items,0))),NA(),INDEX(big_daily_table,MATCH(DATE(P$5,$J214,$I214),daily_dates,0),MATCH($B$3,daily_items,0)))</f>
        <v>#N/A</v>
      </c>
      <c r="Q214" s="1" t="str">
        <f t="array" ref="Q214">IF(ISBLANK(INDEX(big_daily_table,MATCH(DATE(Q$5,$J214,$I214),daily_dates,0),MATCH($B$3,daily_items,0))),NA(),INDEX(big_daily_table,MATCH(DATE(Q$5,$J214,$I214),daily_dates,0),MATCH($B$3,daily_items,0)))</f>
        <v>#N/A</v>
      </c>
      <c r="R214" s="1" t="str">
        <f t="array" ref="R214">IF(ISBLANK(INDEX(big_daily_table,MATCH(DATE(R$5,$J214,$I214),daily_dates,0),MATCH($B$3,daily_items,0))),NA(),INDEX(big_daily_table,MATCH(DATE(R$5,$J214,$I214),daily_dates,0),MATCH($B$3,daily_items,0)))</f>
        <v>#N/A</v>
      </c>
      <c r="S214" s="1" t="str">
        <f t="array" ref="S214">IF(ISBLANK(INDEX(big_daily_table,MATCH(DATE(S$5,$J214,$I214),daily_dates,0),MATCH($B$3,daily_items,0))),NA(),INDEX(big_daily_table,MATCH(DATE(S$5,$J214,$I214),daily_dates,0),MATCH($B$3,daily_items,0)))</f>
        <v>#N/A</v>
      </c>
      <c r="T214" s="1" t="str">
        <f t="array" ref="T214">IF(ISBLANK(INDEX(big_daily_table,MATCH(DATE(T$5,$J214,$I214),daily_dates,0),MATCH($B$3,daily_items,0))),NA(),INDEX(big_daily_table,MATCH(DATE(T$5,$J214,$I214),daily_dates,0),MATCH($B$3,daily_items,0)))</f>
        <v>#N/A</v>
      </c>
      <c r="U214" s="1" t="str">
        <f t="array" ref="U214">IF(ISBLANK(INDEX(big_daily_table,MATCH(DATE(U$5,$J214,$I214),daily_dates,0),MATCH($B$3,daily_items,0))),NA(),INDEX(big_daily_table,MATCH(DATE(U$5,$J214,$I214),daily_dates,0),MATCH($B$3,daily_items,0)))</f>
        <v>#N/A</v>
      </c>
      <c r="V214" s="1" t="str">
        <f t="array" ref="V214">IF(ISBLANK(INDEX(big_daily_table,MATCH(DATE(V$5,$J214,$I214),daily_dates,0),MATCH($B$3,daily_items,0))),NA(),INDEX(big_daily_table,MATCH(DATE(V$5,$J214,$I214),daily_dates,0),MATCH($B$3,daily_items,0)))</f>
        <v>#N/A</v>
      </c>
      <c r="W214" s="1" t="str">
        <f t="array" ref="W214">IF(ISBLANK(INDEX(big_daily_table,MATCH(DATE(W$5,$J214,$I214),daily_dates,0),MATCH($B$3,daily_items,0))),NA(),INDEX(big_daily_table,MATCH(DATE(W$5,$J214,$I214),daily_dates,0),MATCH($B$3,daily_items,0)))</f>
        <v>#N/A</v>
      </c>
      <c r="X214" s="1" t="str">
        <f t="array" ref="X214">IF(ISBLANK(INDEX(big_daily_table,MATCH(DATE(X$5,$J214,$I214),daily_dates,0),MATCH($B$3,daily_items,0))),NA(),INDEX(big_daily_table,MATCH(DATE(X$5,$J214,$I214),daily_dates,0),MATCH($B$3,daily_items,0)))</f>
        <v>#N/A</v>
      </c>
      <c r="Y214" s="1" t="str">
        <f t="array" ref="Y214">IF(ISBLANK(INDEX(big_daily_table,MATCH(DATE(Y$5,$J214,$I214),daily_dates,0),MATCH($B$3,daily_items,0))),NA(),INDEX(big_daily_table,MATCH(DATE(Y$5,$J214,$I214),daily_dates,0),MATCH($B$3,daily_items,0)))</f>
        <v>#N/A</v>
      </c>
      <c r="Z214" s="1" t="str">
        <f t="shared" si="5"/>
        <v>#NAME?</v>
      </c>
      <c r="AA214" s="1" t="str">
        <f t="shared" si="6"/>
        <v>#NAME?</v>
      </c>
      <c r="AB214" s="1" t="str">
        <f t="shared" si="7"/>
        <v>#NAME?</v>
      </c>
      <c r="AC214" s="1" t="str">
        <f t="shared" si="8"/>
        <v>#NAME?</v>
      </c>
    </row>
    <row r="215" ht="14.25" customHeight="1">
      <c r="H215" s="1">
        <f t="shared" si="9"/>
        <v>210</v>
      </c>
      <c r="I215" s="1">
        <f t="shared" si="2"/>
        <v>28</v>
      </c>
      <c r="J215" s="1">
        <f t="shared" si="3"/>
        <v>7</v>
      </c>
      <c r="K215" s="23">
        <f t="shared" si="10"/>
        <v>36735</v>
      </c>
      <c r="L215" s="24">
        <f t="shared" si="4"/>
        <v>-1000000</v>
      </c>
      <c r="M215" s="1" t="str">
        <f t="array" ref="M215">IF(K215&gt;0,INDEX(big_daily_table,MATCH(DATE(N$5,$J215,$I215),daily_dates,0),MATCH($B$3,daily_items,0)),NA())</f>
        <v>#N/A</v>
      </c>
      <c r="N215" s="1" t="str">
        <f t="array" ref="N215">IF(L215&lt;0,INDEX(big_daily_table,MATCH(DATE(N$5,$J215,$I215),daily_dates,0),MATCH($B$3,daily_items,0)),NA())</f>
        <v>#N/A</v>
      </c>
      <c r="O215" s="1" t="str">
        <f t="array" ref="O215">IF(ISBLANK(INDEX(big_daily_table,MATCH(DATE(O$5,$J215,$I215),daily_dates,0),MATCH($B$3,daily_items,0))),NA(),INDEX(big_daily_table,MATCH(DATE(O$5,$J215,$I215),daily_dates,0),MATCH($B$3,daily_items,0)))</f>
        <v>#N/A</v>
      </c>
      <c r="P215" s="1" t="str">
        <f t="array" ref="P215">IF(ISBLANK(INDEX(big_daily_table,MATCH(DATE(P$5,$J215,$I215),daily_dates,0),MATCH($B$3,daily_items,0))),NA(),INDEX(big_daily_table,MATCH(DATE(P$5,$J215,$I215),daily_dates,0),MATCH($B$3,daily_items,0)))</f>
        <v>#N/A</v>
      </c>
      <c r="Q215" s="1" t="str">
        <f t="array" ref="Q215">IF(ISBLANK(INDEX(big_daily_table,MATCH(DATE(Q$5,$J215,$I215),daily_dates,0),MATCH($B$3,daily_items,0))),NA(),INDEX(big_daily_table,MATCH(DATE(Q$5,$J215,$I215),daily_dates,0),MATCH($B$3,daily_items,0)))</f>
        <v>#N/A</v>
      </c>
      <c r="R215" s="1" t="str">
        <f t="array" ref="R215">IF(ISBLANK(INDEX(big_daily_table,MATCH(DATE(R$5,$J215,$I215),daily_dates,0),MATCH($B$3,daily_items,0))),NA(),INDEX(big_daily_table,MATCH(DATE(R$5,$J215,$I215),daily_dates,0),MATCH($B$3,daily_items,0)))</f>
        <v>#N/A</v>
      </c>
      <c r="S215" s="1" t="str">
        <f t="array" ref="S215">IF(ISBLANK(INDEX(big_daily_table,MATCH(DATE(S$5,$J215,$I215),daily_dates,0),MATCH($B$3,daily_items,0))),NA(),INDEX(big_daily_table,MATCH(DATE(S$5,$J215,$I215),daily_dates,0),MATCH($B$3,daily_items,0)))</f>
        <v>#N/A</v>
      </c>
      <c r="T215" s="1" t="str">
        <f t="array" ref="T215">IF(ISBLANK(INDEX(big_daily_table,MATCH(DATE(T$5,$J215,$I215),daily_dates,0),MATCH($B$3,daily_items,0))),NA(),INDEX(big_daily_table,MATCH(DATE(T$5,$J215,$I215),daily_dates,0),MATCH($B$3,daily_items,0)))</f>
        <v>#N/A</v>
      </c>
      <c r="U215" s="1" t="str">
        <f t="array" ref="U215">IF(ISBLANK(INDEX(big_daily_table,MATCH(DATE(U$5,$J215,$I215),daily_dates,0),MATCH($B$3,daily_items,0))),NA(),INDEX(big_daily_table,MATCH(DATE(U$5,$J215,$I215),daily_dates,0),MATCH($B$3,daily_items,0)))</f>
        <v>#N/A</v>
      </c>
      <c r="V215" s="1" t="str">
        <f t="array" ref="V215">IF(ISBLANK(INDEX(big_daily_table,MATCH(DATE(V$5,$J215,$I215),daily_dates,0),MATCH($B$3,daily_items,0))),NA(),INDEX(big_daily_table,MATCH(DATE(V$5,$J215,$I215),daily_dates,0),MATCH($B$3,daily_items,0)))</f>
        <v>#N/A</v>
      </c>
      <c r="W215" s="1" t="str">
        <f t="array" ref="W215">IF(ISBLANK(INDEX(big_daily_table,MATCH(DATE(W$5,$J215,$I215),daily_dates,0),MATCH($B$3,daily_items,0))),NA(),INDEX(big_daily_table,MATCH(DATE(W$5,$J215,$I215),daily_dates,0),MATCH($B$3,daily_items,0)))</f>
        <v>#N/A</v>
      </c>
      <c r="X215" s="1" t="str">
        <f t="array" ref="X215">IF(ISBLANK(INDEX(big_daily_table,MATCH(DATE(X$5,$J215,$I215),daily_dates,0),MATCH($B$3,daily_items,0))),NA(),INDEX(big_daily_table,MATCH(DATE(X$5,$J215,$I215),daily_dates,0),MATCH($B$3,daily_items,0)))</f>
        <v>#N/A</v>
      </c>
      <c r="Y215" s="1" t="str">
        <f t="array" ref="Y215">IF(ISBLANK(INDEX(big_daily_table,MATCH(DATE(Y$5,$J215,$I215),daily_dates,0),MATCH($B$3,daily_items,0))),NA(),INDEX(big_daily_table,MATCH(DATE(Y$5,$J215,$I215),daily_dates,0),MATCH($B$3,daily_items,0)))</f>
        <v>#N/A</v>
      </c>
      <c r="Z215" s="1" t="str">
        <f t="shared" si="5"/>
        <v>#NAME?</v>
      </c>
      <c r="AA215" s="1" t="str">
        <f t="shared" si="6"/>
        <v>#NAME?</v>
      </c>
      <c r="AB215" s="1" t="str">
        <f t="shared" si="7"/>
        <v>#NAME?</v>
      </c>
      <c r="AC215" s="1" t="str">
        <f t="shared" si="8"/>
        <v>#NAME?</v>
      </c>
    </row>
    <row r="216" ht="14.25" customHeight="1">
      <c r="H216" s="1">
        <f t="shared" si="9"/>
        <v>211</v>
      </c>
      <c r="I216" s="1">
        <f t="shared" si="2"/>
        <v>29</v>
      </c>
      <c r="J216" s="1">
        <f t="shared" si="3"/>
        <v>7</v>
      </c>
      <c r="K216" s="23">
        <f t="shared" si="10"/>
        <v>36736</v>
      </c>
      <c r="L216" s="24">
        <f t="shared" si="4"/>
        <v>-1000000</v>
      </c>
      <c r="M216" s="1" t="str">
        <f t="array" ref="M216">IF(K216&gt;0,INDEX(big_daily_table,MATCH(DATE(N$5,$J216,$I216),daily_dates,0),MATCH($B$3,daily_items,0)),NA())</f>
        <v>#N/A</v>
      </c>
      <c r="N216" s="1" t="str">
        <f t="array" ref="N216">IF(L216&lt;0,INDEX(big_daily_table,MATCH(DATE(N$5,$J216,$I216),daily_dates,0),MATCH($B$3,daily_items,0)),NA())</f>
        <v>#N/A</v>
      </c>
      <c r="O216" s="1" t="str">
        <f t="array" ref="O216">IF(ISBLANK(INDEX(big_daily_table,MATCH(DATE(O$5,$J216,$I216),daily_dates,0),MATCH($B$3,daily_items,0))),NA(),INDEX(big_daily_table,MATCH(DATE(O$5,$J216,$I216),daily_dates,0),MATCH($B$3,daily_items,0)))</f>
        <v>#N/A</v>
      </c>
      <c r="P216" s="1" t="str">
        <f t="array" ref="P216">IF(ISBLANK(INDEX(big_daily_table,MATCH(DATE(P$5,$J216,$I216),daily_dates,0),MATCH($B$3,daily_items,0))),NA(),INDEX(big_daily_table,MATCH(DATE(P$5,$J216,$I216),daily_dates,0),MATCH($B$3,daily_items,0)))</f>
        <v>#N/A</v>
      </c>
      <c r="Q216" s="1" t="str">
        <f t="array" ref="Q216">IF(ISBLANK(INDEX(big_daily_table,MATCH(DATE(Q$5,$J216,$I216),daily_dates,0),MATCH($B$3,daily_items,0))),NA(),INDEX(big_daily_table,MATCH(DATE(Q$5,$J216,$I216),daily_dates,0),MATCH($B$3,daily_items,0)))</f>
        <v>#N/A</v>
      </c>
      <c r="R216" s="1" t="str">
        <f t="array" ref="R216">IF(ISBLANK(INDEX(big_daily_table,MATCH(DATE(R$5,$J216,$I216),daily_dates,0),MATCH($B$3,daily_items,0))),NA(),INDEX(big_daily_table,MATCH(DATE(R$5,$J216,$I216),daily_dates,0),MATCH($B$3,daily_items,0)))</f>
        <v>#N/A</v>
      </c>
      <c r="S216" s="1" t="str">
        <f t="array" ref="S216">IF(ISBLANK(INDEX(big_daily_table,MATCH(DATE(S$5,$J216,$I216),daily_dates,0),MATCH($B$3,daily_items,0))),NA(),INDEX(big_daily_table,MATCH(DATE(S$5,$J216,$I216),daily_dates,0),MATCH($B$3,daily_items,0)))</f>
        <v>#N/A</v>
      </c>
      <c r="T216" s="1" t="str">
        <f t="array" ref="T216">IF(ISBLANK(INDEX(big_daily_table,MATCH(DATE(T$5,$J216,$I216),daily_dates,0),MATCH($B$3,daily_items,0))),NA(),INDEX(big_daily_table,MATCH(DATE(T$5,$J216,$I216),daily_dates,0),MATCH($B$3,daily_items,0)))</f>
        <v>#N/A</v>
      </c>
      <c r="U216" s="1" t="str">
        <f t="array" ref="U216">IF(ISBLANK(INDEX(big_daily_table,MATCH(DATE(U$5,$J216,$I216),daily_dates,0),MATCH($B$3,daily_items,0))),NA(),INDEX(big_daily_table,MATCH(DATE(U$5,$J216,$I216),daily_dates,0),MATCH($B$3,daily_items,0)))</f>
        <v>#N/A</v>
      </c>
      <c r="V216" s="1" t="str">
        <f t="array" ref="V216">IF(ISBLANK(INDEX(big_daily_table,MATCH(DATE(V$5,$J216,$I216),daily_dates,0),MATCH($B$3,daily_items,0))),NA(),INDEX(big_daily_table,MATCH(DATE(V$5,$J216,$I216),daily_dates,0),MATCH($B$3,daily_items,0)))</f>
        <v>#N/A</v>
      </c>
      <c r="W216" s="1" t="str">
        <f t="array" ref="W216">IF(ISBLANK(INDEX(big_daily_table,MATCH(DATE(W$5,$J216,$I216),daily_dates,0),MATCH($B$3,daily_items,0))),NA(),INDEX(big_daily_table,MATCH(DATE(W$5,$J216,$I216),daily_dates,0),MATCH($B$3,daily_items,0)))</f>
        <v>#N/A</v>
      </c>
      <c r="X216" s="1" t="str">
        <f t="array" ref="X216">IF(ISBLANK(INDEX(big_daily_table,MATCH(DATE(X$5,$J216,$I216),daily_dates,0),MATCH($B$3,daily_items,0))),NA(),INDEX(big_daily_table,MATCH(DATE(X$5,$J216,$I216),daily_dates,0),MATCH($B$3,daily_items,0)))</f>
        <v>#N/A</v>
      </c>
      <c r="Y216" s="1" t="str">
        <f t="array" ref="Y216">IF(ISBLANK(INDEX(big_daily_table,MATCH(DATE(Y$5,$J216,$I216),daily_dates,0),MATCH($B$3,daily_items,0))),NA(),INDEX(big_daily_table,MATCH(DATE(Y$5,$J216,$I216),daily_dates,0),MATCH($B$3,daily_items,0)))</f>
        <v>#N/A</v>
      </c>
      <c r="Z216" s="1" t="str">
        <f t="shared" si="5"/>
        <v>#NAME?</v>
      </c>
      <c r="AA216" s="1" t="str">
        <f t="shared" si="6"/>
        <v>#NAME?</v>
      </c>
      <c r="AB216" s="1" t="str">
        <f t="shared" si="7"/>
        <v>#NAME?</v>
      </c>
      <c r="AC216" s="1" t="str">
        <f t="shared" si="8"/>
        <v>#NAME?</v>
      </c>
    </row>
    <row r="217" ht="14.25" customHeight="1">
      <c r="H217" s="1">
        <f t="shared" si="9"/>
        <v>212</v>
      </c>
      <c r="I217" s="1">
        <f t="shared" si="2"/>
        <v>30</v>
      </c>
      <c r="J217" s="1">
        <f t="shared" si="3"/>
        <v>7</v>
      </c>
      <c r="K217" s="23">
        <f t="shared" si="10"/>
        <v>36737</v>
      </c>
      <c r="L217" s="24">
        <f t="shared" si="4"/>
        <v>-1000000</v>
      </c>
      <c r="M217" s="1" t="str">
        <f t="array" ref="M217">IF(K217&gt;0,INDEX(big_daily_table,MATCH(DATE(N$5,$J217,$I217),daily_dates,0),MATCH($B$3,daily_items,0)),NA())</f>
        <v>#N/A</v>
      </c>
      <c r="N217" s="1" t="str">
        <f t="array" ref="N217">IF(L217&lt;0,INDEX(big_daily_table,MATCH(DATE(N$5,$J217,$I217),daily_dates,0),MATCH($B$3,daily_items,0)),NA())</f>
        <v>#N/A</v>
      </c>
      <c r="O217" s="1" t="str">
        <f t="array" ref="O217">IF(ISBLANK(INDEX(big_daily_table,MATCH(DATE(O$5,$J217,$I217),daily_dates,0),MATCH($B$3,daily_items,0))),NA(),INDEX(big_daily_table,MATCH(DATE(O$5,$J217,$I217),daily_dates,0),MATCH($B$3,daily_items,0)))</f>
        <v>#N/A</v>
      </c>
      <c r="P217" s="1" t="str">
        <f t="array" ref="P217">IF(ISBLANK(INDEX(big_daily_table,MATCH(DATE(P$5,$J217,$I217),daily_dates,0),MATCH($B$3,daily_items,0))),NA(),INDEX(big_daily_table,MATCH(DATE(P$5,$J217,$I217),daily_dates,0),MATCH($B$3,daily_items,0)))</f>
        <v>#N/A</v>
      </c>
      <c r="Q217" s="1" t="str">
        <f t="array" ref="Q217">IF(ISBLANK(INDEX(big_daily_table,MATCH(DATE(Q$5,$J217,$I217),daily_dates,0),MATCH($B$3,daily_items,0))),NA(),INDEX(big_daily_table,MATCH(DATE(Q$5,$J217,$I217),daily_dates,0),MATCH($B$3,daily_items,0)))</f>
        <v>#N/A</v>
      </c>
      <c r="R217" s="1" t="str">
        <f t="array" ref="R217">IF(ISBLANK(INDEX(big_daily_table,MATCH(DATE(R$5,$J217,$I217),daily_dates,0),MATCH($B$3,daily_items,0))),NA(),INDEX(big_daily_table,MATCH(DATE(R$5,$J217,$I217),daily_dates,0),MATCH($B$3,daily_items,0)))</f>
        <v>#N/A</v>
      </c>
      <c r="S217" s="1" t="str">
        <f t="array" ref="S217">IF(ISBLANK(INDEX(big_daily_table,MATCH(DATE(S$5,$J217,$I217),daily_dates,0),MATCH($B$3,daily_items,0))),NA(),INDEX(big_daily_table,MATCH(DATE(S$5,$J217,$I217),daily_dates,0),MATCH($B$3,daily_items,0)))</f>
        <v>#N/A</v>
      </c>
      <c r="T217" s="1" t="str">
        <f t="array" ref="T217">IF(ISBLANK(INDEX(big_daily_table,MATCH(DATE(T$5,$J217,$I217),daily_dates,0),MATCH($B$3,daily_items,0))),NA(),INDEX(big_daily_table,MATCH(DATE(T$5,$J217,$I217),daily_dates,0),MATCH($B$3,daily_items,0)))</f>
        <v>#N/A</v>
      </c>
      <c r="U217" s="1" t="str">
        <f t="array" ref="U217">IF(ISBLANK(INDEX(big_daily_table,MATCH(DATE(U$5,$J217,$I217),daily_dates,0),MATCH($B$3,daily_items,0))),NA(),INDEX(big_daily_table,MATCH(DATE(U$5,$J217,$I217),daily_dates,0),MATCH($B$3,daily_items,0)))</f>
        <v>#N/A</v>
      </c>
      <c r="V217" s="1" t="str">
        <f t="array" ref="V217">IF(ISBLANK(INDEX(big_daily_table,MATCH(DATE(V$5,$J217,$I217),daily_dates,0),MATCH($B$3,daily_items,0))),NA(),INDEX(big_daily_table,MATCH(DATE(V$5,$J217,$I217),daily_dates,0),MATCH($B$3,daily_items,0)))</f>
        <v>#N/A</v>
      </c>
      <c r="W217" s="1" t="str">
        <f t="array" ref="W217">IF(ISBLANK(INDEX(big_daily_table,MATCH(DATE(W$5,$J217,$I217),daily_dates,0),MATCH($B$3,daily_items,0))),NA(),INDEX(big_daily_table,MATCH(DATE(W$5,$J217,$I217),daily_dates,0),MATCH($B$3,daily_items,0)))</f>
        <v>#N/A</v>
      </c>
      <c r="X217" s="1" t="str">
        <f t="array" ref="X217">IF(ISBLANK(INDEX(big_daily_table,MATCH(DATE(X$5,$J217,$I217),daily_dates,0),MATCH($B$3,daily_items,0))),NA(),INDEX(big_daily_table,MATCH(DATE(X$5,$J217,$I217),daily_dates,0),MATCH($B$3,daily_items,0)))</f>
        <v>#N/A</v>
      </c>
      <c r="Y217" s="1" t="str">
        <f t="array" ref="Y217">IF(ISBLANK(INDEX(big_daily_table,MATCH(DATE(Y$5,$J217,$I217),daily_dates,0),MATCH($B$3,daily_items,0))),NA(),INDEX(big_daily_table,MATCH(DATE(Y$5,$J217,$I217),daily_dates,0),MATCH($B$3,daily_items,0)))</f>
        <v>#N/A</v>
      </c>
      <c r="Z217" s="1" t="str">
        <f t="shared" si="5"/>
        <v>#NAME?</v>
      </c>
      <c r="AA217" s="1" t="str">
        <f t="shared" si="6"/>
        <v>#NAME?</v>
      </c>
      <c r="AB217" s="1" t="str">
        <f t="shared" si="7"/>
        <v>#NAME?</v>
      </c>
      <c r="AC217" s="1" t="str">
        <f t="shared" si="8"/>
        <v>#NAME?</v>
      </c>
    </row>
    <row r="218" ht="14.25" customHeight="1">
      <c r="H218" s="1">
        <f t="shared" si="9"/>
        <v>213</v>
      </c>
      <c r="I218" s="1">
        <f t="shared" si="2"/>
        <v>31</v>
      </c>
      <c r="J218" s="1">
        <f t="shared" si="3"/>
        <v>7</v>
      </c>
      <c r="K218" s="23">
        <f t="shared" si="10"/>
        <v>36738</v>
      </c>
      <c r="L218" s="24">
        <f t="shared" si="4"/>
        <v>-1000000</v>
      </c>
      <c r="M218" s="1" t="str">
        <f t="array" ref="M218">IF(K218&gt;0,INDEX(big_daily_table,MATCH(DATE(N$5,$J218,$I218),daily_dates,0),MATCH($B$3,daily_items,0)),NA())</f>
        <v>#N/A</v>
      </c>
      <c r="N218" s="1" t="str">
        <f t="array" ref="N218">IF(L218&lt;0,INDEX(big_daily_table,MATCH(DATE(N$5,$J218,$I218),daily_dates,0),MATCH($B$3,daily_items,0)),NA())</f>
        <v>#N/A</v>
      </c>
      <c r="O218" s="1" t="str">
        <f t="array" ref="O218">IF(ISBLANK(INDEX(big_daily_table,MATCH(DATE(O$5,$J218,$I218),daily_dates,0),MATCH($B$3,daily_items,0))),NA(),INDEX(big_daily_table,MATCH(DATE(O$5,$J218,$I218),daily_dates,0),MATCH($B$3,daily_items,0)))</f>
        <v>#N/A</v>
      </c>
      <c r="P218" s="1" t="str">
        <f t="array" ref="P218">IF(ISBLANK(INDEX(big_daily_table,MATCH(DATE(P$5,$J218,$I218),daily_dates,0),MATCH($B$3,daily_items,0))),NA(),INDEX(big_daily_table,MATCH(DATE(P$5,$J218,$I218),daily_dates,0),MATCH($B$3,daily_items,0)))</f>
        <v>#N/A</v>
      </c>
      <c r="Q218" s="1" t="str">
        <f t="array" ref="Q218">IF(ISBLANK(INDEX(big_daily_table,MATCH(DATE(Q$5,$J218,$I218),daily_dates,0),MATCH($B$3,daily_items,0))),NA(),INDEX(big_daily_table,MATCH(DATE(Q$5,$J218,$I218),daily_dates,0),MATCH($B$3,daily_items,0)))</f>
        <v>#N/A</v>
      </c>
      <c r="R218" s="1" t="str">
        <f t="array" ref="R218">IF(ISBLANK(INDEX(big_daily_table,MATCH(DATE(R$5,$J218,$I218),daily_dates,0),MATCH($B$3,daily_items,0))),NA(),INDEX(big_daily_table,MATCH(DATE(R$5,$J218,$I218),daily_dates,0),MATCH($B$3,daily_items,0)))</f>
        <v>#N/A</v>
      </c>
      <c r="S218" s="1" t="str">
        <f t="array" ref="S218">IF(ISBLANK(INDEX(big_daily_table,MATCH(DATE(S$5,$J218,$I218),daily_dates,0),MATCH($B$3,daily_items,0))),NA(),INDEX(big_daily_table,MATCH(DATE(S$5,$J218,$I218),daily_dates,0),MATCH($B$3,daily_items,0)))</f>
        <v>#N/A</v>
      </c>
      <c r="T218" s="1" t="str">
        <f t="array" ref="T218">IF(ISBLANK(INDEX(big_daily_table,MATCH(DATE(T$5,$J218,$I218),daily_dates,0),MATCH($B$3,daily_items,0))),NA(),INDEX(big_daily_table,MATCH(DATE(T$5,$J218,$I218),daily_dates,0),MATCH($B$3,daily_items,0)))</f>
        <v>#N/A</v>
      </c>
      <c r="U218" s="1" t="str">
        <f t="array" ref="U218">IF(ISBLANK(INDEX(big_daily_table,MATCH(DATE(U$5,$J218,$I218),daily_dates,0),MATCH($B$3,daily_items,0))),NA(),INDEX(big_daily_table,MATCH(DATE(U$5,$J218,$I218),daily_dates,0),MATCH($B$3,daily_items,0)))</f>
        <v>#N/A</v>
      </c>
      <c r="V218" s="1" t="str">
        <f t="array" ref="V218">IF(ISBLANK(INDEX(big_daily_table,MATCH(DATE(V$5,$J218,$I218),daily_dates,0),MATCH($B$3,daily_items,0))),NA(),INDEX(big_daily_table,MATCH(DATE(V$5,$J218,$I218),daily_dates,0),MATCH($B$3,daily_items,0)))</f>
        <v>#N/A</v>
      </c>
      <c r="W218" s="1" t="str">
        <f t="array" ref="W218">IF(ISBLANK(INDEX(big_daily_table,MATCH(DATE(W$5,$J218,$I218),daily_dates,0),MATCH($B$3,daily_items,0))),NA(),INDEX(big_daily_table,MATCH(DATE(W$5,$J218,$I218),daily_dates,0),MATCH($B$3,daily_items,0)))</f>
        <v>#N/A</v>
      </c>
      <c r="X218" s="1" t="str">
        <f t="array" ref="X218">IF(ISBLANK(INDEX(big_daily_table,MATCH(DATE(X$5,$J218,$I218),daily_dates,0),MATCH($B$3,daily_items,0))),NA(),INDEX(big_daily_table,MATCH(DATE(X$5,$J218,$I218),daily_dates,0),MATCH($B$3,daily_items,0)))</f>
        <v>#N/A</v>
      </c>
      <c r="Y218" s="1" t="str">
        <f t="array" ref="Y218">IF(ISBLANK(INDEX(big_daily_table,MATCH(DATE(Y$5,$J218,$I218),daily_dates,0),MATCH($B$3,daily_items,0))),NA(),INDEX(big_daily_table,MATCH(DATE(Y$5,$J218,$I218),daily_dates,0),MATCH($B$3,daily_items,0)))</f>
        <v>#N/A</v>
      </c>
      <c r="Z218" s="1" t="str">
        <f t="shared" si="5"/>
        <v>#NAME?</v>
      </c>
      <c r="AA218" s="1" t="str">
        <f t="shared" si="6"/>
        <v>#NAME?</v>
      </c>
      <c r="AB218" s="1" t="str">
        <f t="shared" si="7"/>
        <v>#NAME?</v>
      </c>
      <c r="AC218" s="1" t="str">
        <f t="shared" si="8"/>
        <v>#NAME?</v>
      </c>
    </row>
    <row r="219" ht="14.25" customHeight="1">
      <c r="H219" s="1">
        <f t="shared" si="9"/>
        <v>214</v>
      </c>
      <c r="I219" s="1">
        <f t="shared" si="2"/>
        <v>1</v>
      </c>
      <c r="J219" s="1">
        <f t="shared" si="3"/>
        <v>8</v>
      </c>
      <c r="K219" s="23">
        <f t="shared" si="10"/>
        <v>36739</v>
      </c>
      <c r="L219" s="24">
        <f t="shared" si="4"/>
        <v>-1000000</v>
      </c>
      <c r="M219" s="1" t="str">
        <f t="array" ref="M219">IF(K219&gt;0,INDEX(big_daily_table,MATCH(DATE(N$5,$J219,$I219),daily_dates,0),MATCH($B$3,daily_items,0)),NA())</f>
        <v>#N/A</v>
      </c>
      <c r="N219" s="1" t="str">
        <f t="array" ref="N219">IF(L219&lt;0,INDEX(big_daily_table,MATCH(DATE(N$5,$J219,$I219),daily_dates,0),MATCH($B$3,daily_items,0)),NA())</f>
        <v>#N/A</v>
      </c>
      <c r="O219" s="1" t="str">
        <f t="array" ref="O219">IF(ISBLANK(INDEX(big_daily_table,MATCH(DATE(O$5,$J219,$I219),daily_dates,0),MATCH($B$3,daily_items,0))),NA(),INDEX(big_daily_table,MATCH(DATE(O$5,$J219,$I219),daily_dates,0),MATCH($B$3,daily_items,0)))</f>
        <v>#N/A</v>
      </c>
      <c r="P219" s="1" t="str">
        <f t="array" ref="P219">IF(ISBLANK(INDEX(big_daily_table,MATCH(DATE(P$5,$J219,$I219),daily_dates,0),MATCH($B$3,daily_items,0))),NA(),INDEX(big_daily_table,MATCH(DATE(P$5,$J219,$I219),daily_dates,0),MATCH($B$3,daily_items,0)))</f>
        <v>#N/A</v>
      </c>
      <c r="Q219" s="1" t="str">
        <f t="array" ref="Q219">IF(ISBLANK(INDEX(big_daily_table,MATCH(DATE(Q$5,$J219,$I219),daily_dates,0),MATCH($B$3,daily_items,0))),NA(),INDEX(big_daily_table,MATCH(DATE(Q$5,$J219,$I219),daily_dates,0),MATCH($B$3,daily_items,0)))</f>
        <v>#N/A</v>
      </c>
      <c r="R219" s="1" t="str">
        <f t="array" ref="R219">IF(ISBLANK(INDEX(big_daily_table,MATCH(DATE(R$5,$J219,$I219),daily_dates,0),MATCH($B$3,daily_items,0))),NA(),INDEX(big_daily_table,MATCH(DATE(R$5,$J219,$I219),daily_dates,0),MATCH($B$3,daily_items,0)))</f>
        <v>#N/A</v>
      </c>
      <c r="S219" s="1" t="str">
        <f t="array" ref="S219">IF(ISBLANK(INDEX(big_daily_table,MATCH(DATE(S$5,$J219,$I219),daily_dates,0),MATCH($B$3,daily_items,0))),NA(),INDEX(big_daily_table,MATCH(DATE(S$5,$J219,$I219),daily_dates,0),MATCH($B$3,daily_items,0)))</f>
        <v>#N/A</v>
      </c>
      <c r="T219" s="1" t="str">
        <f t="array" ref="T219">IF(ISBLANK(INDEX(big_daily_table,MATCH(DATE(T$5,$J219,$I219),daily_dates,0),MATCH($B$3,daily_items,0))),NA(),INDEX(big_daily_table,MATCH(DATE(T$5,$J219,$I219),daily_dates,0),MATCH($B$3,daily_items,0)))</f>
        <v>#N/A</v>
      </c>
      <c r="U219" s="1" t="str">
        <f t="array" ref="U219">IF(ISBLANK(INDEX(big_daily_table,MATCH(DATE(U$5,$J219,$I219),daily_dates,0),MATCH($B$3,daily_items,0))),NA(),INDEX(big_daily_table,MATCH(DATE(U$5,$J219,$I219),daily_dates,0),MATCH($B$3,daily_items,0)))</f>
        <v>#N/A</v>
      </c>
      <c r="V219" s="1" t="str">
        <f t="array" ref="V219">IF(ISBLANK(INDEX(big_daily_table,MATCH(DATE(V$5,$J219,$I219),daily_dates,0),MATCH($B$3,daily_items,0))),NA(),INDEX(big_daily_table,MATCH(DATE(V$5,$J219,$I219),daily_dates,0),MATCH($B$3,daily_items,0)))</f>
        <v>#N/A</v>
      </c>
      <c r="W219" s="1" t="str">
        <f t="array" ref="W219">IF(ISBLANK(INDEX(big_daily_table,MATCH(DATE(W$5,$J219,$I219),daily_dates,0),MATCH($B$3,daily_items,0))),NA(),INDEX(big_daily_table,MATCH(DATE(W$5,$J219,$I219),daily_dates,0),MATCH($B$3,daily_items,0)))</f>
        <v>#N/A</v>
      </c>
      <c r="X219" s="1" t="str">
        <f t="array" ref="X219">IF(ISBLANK(INDEX(big_daily_table,MATCH(DATE(X$5,$J219,$I219),daily_dates,0),MATCH($B$3,daily_items,0))),NA(),INDEX(big_daily_table,MATCH(DATE(X$5,$J219,$I219),daily_dates,0),MATCH($B$3,daily_items,0)))</f>
        <v>#N/A</v>
      </c>
      <c r="Y219" s="1" t="str">
        <f t="array" ref="Y219">IF(ISBLANK(INDEX(big_daily_table,MATCH(DATE(Y$5,$J219,$I219),daily_dates,0),MATCH($B$3,daily_items,0))),NA(),INDEX(big_daily_table,MATCH(DATE(Y$5,$J219,$I219),daily_dates,0),MATCH($B$3,daily_items,0)))</f>
        <v>#N/A</v>
      </c>
      <c r="Z219" s="1" t="str">
        <f t="shared" si="5"/>
        <v>#NAME?</v>
      </c>
      <c r="AA219" s="1" t="str">
        <f t="shared" si="6"/>
        <v>#NAME?</v>
      </c>
      <c r="AB219" s="1" t="str">
        <f t="shared" si="7"/>
        <v>#NAME?</v>
      </c>
      <c r="AC219" s="1" t="str">
        <f t="shared" si="8"/>
        <v>#NAME?</v>
      </c>
    </row>
    <row r="220" ht="14.25" customHeight="1">
      <c r="H220" s="1">
        <f t="shared" si="9"/>
        <v>215</v>
      </c>
      <c r="I220" s="1">
        <f t="shared" si="2"/>
        <v>2</v>
      </c>
      <c r="J220" s="1">
        <f t="shared" si="3"/>
        <v>8</v>
      </c>
      <c r="K220" s="23">
        <f t="shared" si="10"/>
        <v>36740</v>
      </c>
      <c r="L220" s="24">
        <f t="shared" si="4"/>
        <v>-1000000</v>
      </c>
      <c r="M220" s="1" t="str">
        <f t="array" ref="M220">IF(K220&gt;0,INDEX(big_daily_table,MATCH(DATE(N$5,$J220,$I220),daily_dates,0),MATCH($B$3,daily_items,0)),NA())</f>
        <v>#N/A</v>
      </c>
      <c r="N220" s="1" t="str">
        <f t="array" ref="N220">IF(L220&lt;0,INDEX(big_daily_table,MATCH(DATE(N$5,$J220,$I220),daily_dates,0),MATCH($B$3,daily_items,0)),NA())</f>
        <v>#N/A</v>
      </c>
      <c r="O220" s="1" t="str">
        <f t="array" ref="O220">IF(ISBLANK(INDEX(big_daily_table,MATCH(DATE(O$5,$J220,$I220),daily_dates,0),MATCH($B$3,daily_items,0))),NA(),INDEX(big_daily_table,MATCH(DATE(O$5,$J220,$I220),daily_dates,0),MATCH($B$3,daily_items,0)))</f>
        <v>#N/A</v>
      </c>
      <c r="P220" s="1" t="str">
        <f t="array" ref="P220">IF(ISBLANK(INDEX(big_daily_table,MATCH(DATE(P$5,$J220,$I220),daily_dates,0),MATCH($B$3,daily_items,0))),NA(),INDEX(big_daily_table,MATCH(DATE(P$5,$J220,$I220),daily_dates,0),MATCH($B$3,daily_items,0)))</f>
        <v>#N/A</v>
      </c>
      <c r="Q220" s="1" t="str">
        <f t="array" ref="Q220">IF(ISBLANK(INDEX(big_daily_table,MATCH(DATE(Q$5,$J220,$I220),daily_dates,0),MATCH($B$3,daily_items,0))),NA(),INDEX(big_daily_table,MATCH(DATE(Q$5,$J220,$I220),daily_dates,0),MATCH($B$3,daily_items,0)))</f>
        <v>#N/A</v>
      </c>
      <c r="R220" s="1" t="str">
        <f t="array" ref="R220">IF(ISBLANK(INDEX(big_daily_table,MATCH(DATE(R$5,$J220,$I220),daily_dates,0),MATCH($B$3,daily_items,0))),NA(),INDEX(big_daily_table,MATCH(DATE(R$5,$J220,$I220),daily_dates,0),MATCH($B$3,daily_items,0)))</f>
        <v>#N/A</v>
      </c>
      <c r="S220" s="1" t="str">
        <f t="array" ref="S220">IF(ISBLANK(INDEX(big_daily_table,MATCH(DATE(S$5,$J220,$I220),daily_dates,0),MATCH($B$3,daily_items,0))),NA(),INDEX(big_daily_table,MATCH(DATE(S$5,$J220,$I220),daily_dates,0),MATCH($B$3,daily_items,0)))</f>
        <v>#N/A</v>
      </c>
      <c r="T220" s="1" t="str">
        <f t="array" ref="T220">IF(ISBLANK(INDEX(big_daily_table,MATCH(DATE(T$5,$J220,$I220),daily_dates,0),MATCH($B$3,daily_items,0))),NA(),INDEX(big_daily_table,MATCH(DATE(T$5,$J220,$I220),daily_dates,0),MATCH($B$3,daily_items,0)))</f>
        <v>#N/A</v>
      </c>
      <c r="U220" s="1" t="str">
        <f t="array" ref="U220">IF(ISBLANK(INDEX(big_daily_table,MATCH(DATE(U$5,$J220,$I220),daily_dates,0),MATCH($B$3,daily_items,0))),NA(),INDEX(big_daily_table,MATCH(DATE(U$5,$J220,$I220),daily_dates,0),MATCH($B$3,daily_items,0)))</f>
        <v>#N/A</v>
      </c>
      <c r="V220" s="1" t="str">
        <f t="array" ref="V220">IF(ISBLANK(INDEX(big_daily_table,MATCH(DATE(V$5,$J220,$I220),daily_dates,0),MATCH($B$3,daily_items,0))),NA(),INDEX(big_daily_table,MATCH(DATE(V$5,$J220,$I220),daily_dates,0),MATCH($B$3,daily_items,0)))</f>
        <v>#N/A</v>
      </c>
      <c r="W220" s="1" t="str">
        <f t="array" ref="W220">IF(ISBLANK(INDEX(big_daily_table,MATCH(DATE(W$5,$J220,$I220),daily_dates,0),MATCH($B$3,daily_items,0))),NA(),INDEX(big_daily_table,MATCH(DATE(W$5,$J220,$I220),daily_dates,0),MATCH($B$3,daily_items,0)))</f>
        <v>#N/A</v>
      </c>
      <c r="X220" s="1" t="str">
        <f t="array" ref="X220">IF(ISBLANK(INDEX(big_daily_table,MATCH(DATE(X$5,$J220,$I220),daily_dates,0),MATCH($B$3,daily_items,0))),NA(),INDEX(big_daily_table,MATCH(DATE(X$5,$J220,$I220),daily_dates,0),MATCH($B$3,daily_items,0)))</f>
        <v>#N/A</v>
      </c>
      <c r="Y220" s="1" t="str">
        <f t="array" ref="Y220">IF(ISBLANK(INDEX(big_daily_table,MATCH(DATE(Y$5,$J220,$I220),daily_dates,0),MATCH($B$3,daily_items,0))),NA(),INDEX(big_daily_table,MATCH(DATE(Y$5,$J220,$I220),daily_dates,0),MATCH($B$3,daily_items,0)))</f>
        <v>#N/A</v>
      </c>
      <c r="Z220" s="1" t="str">
        <f t="shared" si="5"/>
        <v>#NAME?</v>
      </c>
      <c r="AA220" s="1" t="str">
        <f t="shared" si="6"/>
        <v>#NAME?</v>
      </c>
      <c r="AB220" s="1" t="str">
        <f t="shared" si="7"/>
        <v>#NAME?</v>
      </c>
      <c r="AC220" s="1" t="str">
        <f t="shared" si="8"/>
        <v>#NAME?</v>
      </c>
    </row>
    <row r="221" ht="14.25" customHeight="1">
      <c r="H221" s="1">
        <f t="shared" si="9"/>
        <v>216</v>
      </c>
      <c r="I221" s="1">
        <f t="shared" si="2"/>
        <v>3</v>
      </c>
      <c r="J221" s="1">
        <f t="shared" si="3"/>
        <v>8</v>
      </c>
      <c r="K221" s="23">
        <f t="shared" si="10"/>
        <v>36741</v>
      </c>
      <c r="L221" s="24">
        <f t="shared" si="4"/>
        <v>-1000000</v>
      </c>
      <c r="M221" s="1" t="str">
        <f t="array" ref="M221">IF(K221&gt;0,INDEX(big_daily_table,MATCH(DATE(N$5,$J221,$I221),daily_dates,0),MATCH($B$3,daily_items,0)),NA())</f>
        <v>#N/A</v>
      </c>
      <c r="N221" s="1" t="str">
        <f t="array" ref="N221">IF(L221&lt;0,INDEX(big_daily_table,MATCH(DATE(N$5,$J221,$I221),daily_dates,0),MATCH($B$3,daily_items,0)),NA())</f>
        <v>#N/A</v>
      </c>
      <c r="O221" s="1" t="str">
        <f t="array" ref="O221">IF(ISBLANK(INDEX(big_daily_table,MATCH(DATE(O$5,$J221,$I221),daily_dates,0),MATCH($B$3,daily_items,0))),NA(),INDEX(big_daily_table,MATCH(DATE(O$5,$J221,$I221),daily_dates,0),MATCH($B$3,daily_items,0)))</f>
        <v>#N/A</v>
      </c>
      <c r="P221" s="1" t="str">
        <f t="array" ref="P221">IF(ISBLANK(INDEX(big_daily_table,MATCH(DATE(P$5,$J221,$I221),daily_dates,0),MATCH($B$3,daily_items,0))),NA(),INDEX(big_daily_table,MATCH(DATE(P$5,$J221,$I221),daily_dates,0),MATCH($B$3,daily_items,0)))</f>
        <v>#N/A</v>
      </c>
      <c r="Q221" s="1" t="str">
        <f t="array" ref="Q221">IF(ISBLANK(INDEX(big_daily_table,MATCH(DATE(Q$5,$J221,$I221),daily_dates,0),MATCH($B$3,daily_items,0))),NA(),INDEX(big_daily_table,MATCH(DATE(Q$5,$J221,$I221),daily_dates,0),MATCH($B$3,daily_items,0)))</f>
        <v>#N/A</v>
      </c>
      <c r="R221" s="1" t="str">
        <f t="array" ref="R221">IF(ISBLANK(INDEX(big_daily_table,MATCH(DATE(R$5,$J221,$I221),daily_dates,0),MATCH($B$3,daily_items,0))),NA(),INDEX(big_daily_table,MATCH(DATE(R$5,$J221,$I221),daily_dates,0),MATCH($B$3,daily_items,0)))</f>
        <v>#N/A</v>
      </c>
      <c r="S221" s="1" t="str">
        <f t="array" ref="S221">IF(ISBLANK(INDEX(big_daily_table,MATCH(DATE(S$5,$J221,$I221),daily_dates,0),MATCH($B$3,daily_items,0))),NA(),INDEX(big_daily_table,MATCH(DATE(S$5,$J221,$I221),daily_dates,0),MATCH($B$3,daily_items,0)))</f>
        <v>#N/A</v>
      </c>
      <c r="T221" s="1" t="str">
        <f t="array" ref="T221">IF(ISBLANK(INDEX(big_daily_table,MATCH(DATE(T$5,$J221,$I221),daily_dates,0),MATCH($B$3,daily_items,0))),NA(),INDEX(big_daily_table,MATCH(DATE(T$5,$J221,$I221),daily_dates,0),MATCH($B$3,daily_items,0)))</f>
        <v>#N/A</v>
      </c>
      <c r="U221" s="1" t="str">
        <f t="array" ref="U221">IF(ISBLANK(INDEX(big_daily_table,MATCH(DATE(U$5,$J221,$I221),daily_dates,0),MATCH($B$3,daily_items,0))),NA(),INDEX(big_daily_table,MATCH(DATE(U$5,$J221,$I221),daily_dates,0),MATCH($B$3,daily_items,0)))</f>
        <v>#N/A</v>
      </c>
      <c r="V221" s="1" t="str">
        <f t="array" ref="V221">IF(ISBLANK(INDEX(big_daily_table,MATCH(DATE(V$5,$J221,$I221),daily_dates,0),MATCH($B$3,daily_items,0))),NA(),INDEX(big_daily_table,MATCH(DATE(V$5,$J221,$I221),daily_dates,0),MATCH($B$3,daily_items,0)))</f>
        <v>#N/A</v>
      </c>
      <c r="W221" s="1" t="str">
        <f t="array" ref="W221">IF(ISBLANK(INDEX(big_daily_table,MATCH(DATE(W$5,$J221,$I221),daily_dates,0),MATCH($B$3,daily_items,0))),NA(),INDEX(big_daily_table,MATCH(DATE(W$5,$J221,$I221),daily_dates,0),MATCH($B$3,daily_items,0)))</f>
        <v>#N/A</v>
      </c>
      <c r="X221" s="1" t="str">
        <f t="array" ref="X221">IF(ISBLANK(INDEX(big_daily_table,MATCH(DATE(X$5,$J221,$I221),daily_dates,0),MATCH($B$3,daily_items,0))),NA(),INDEX(big_daily_table,MATCH(DATE(X$5,$J221,$I221),daily_dates,0),MATCH($B$3,daily_items,0)))</f>
        <v>#N/A</v>
      </c>
      <c r="Y221" s="1" t="str">
        <f t="array" ref="Y221">IF(ISBLANK(INDEX(big_daily_table,MATCH(DATE(Y$5,$J221,$I221),daily_dates,0),MATCH($B$3,daily_items,0))),NA(),INDEX(big_daily_table,MATCH(DATE(Y$5,$J221,$I221),daily_dates,0),MATCH($B$3,daily_items,0)))</f>
        <v>#N/A</v>
      </c>
      <c r="Z221" s="1" t="str">
        <f t="shared" si="5"/>
        <v>#NAME?</v>
      </c>
      <c r="AA221" s="1" t="str">
        <f t="shared" si="6"/>
        <v>#NAME?</v>
      </c>
      <c r="AB221" s="1" t="str">
        <f t="shared" si="7"/>
        <v>#NAME?</v>
      </c>
      <c r="AC221" s="1" t="str">
        <f t="shared" si="8"/>
        <v>#NAME?</v>
      </c>
    </row>
    <row r="222" ht="14.25" customHeight="1">
      <c r="H222" s="1">
        <f t="shared" si="9"/>
        <v>217</v>
      </c>
      <c r="I222" s="1">
        <f t="shared" si="2"/>
        <v>4</v>
      </c>
      <c r="J222" s="1">
        <f t="shared" si="3"/>
        <v>8</v>
      </c>
      <c r="K222" s="23">
        <f t="shared" si="10"/>
        <v>36742</v>
      </c>
      <c r="L222" s="24">
        <f t="shared" si="4"/>
        <v>-1000000</v>
      </c>
      <c r="M222" s="1" t="str">
        <f t="array" ref="M222">IF(K222&gt;0,INDEX(big_daily_table,MATCH(DATE(N$5,$J222,$I222),daily_dates,0),MATCH($B$3,daily_items,0)),NA())</f>
        <v>#N/A</v>
      </c>
      <c r="N222" s="1" t="str">
        <f t="array" ref="N222">IF(L222&lt;0,INDEX(big_daily_table,MATCH(DATE(N$5,$J222,$I222),daily_dates,0),MATCH($B$3,daily_items,0)),NA())</f>
        <v>#N/A</v>
      </c>
      <c r="O222" s="1" t="str">
        <f t="array" ref="O222">IF(ISBLANK(INDEX(big_daily_table,MATCH(DATE(O$5,$J222,$I222),daily_dates,0),MATCH($B$3,daily_items,0))),NA(),INDEX(big_daily_table,MATCH(DATE(O$5,$J222,$I222),daily_dates,0),MATCH($B$3,daily_items,0)))</f>
        <v>#N/A</v>
      </c>
      <c r="P222" s="1" t="str">
        <f t="array" ref="P222">IF(ISBLANK(INDEX(big_daily_table,MATCH(DATE(P$5,$J222,$I222),daily_dates,0),MATCH($B$3,daily_items,0))),NA(),INDEX(big_daily_table,MATCH(DATE(P$5,$J222,$I222),daily_dates,0),MATCH($B$3,daily_items,0)))</f>
        <v>#N/A</v>
      </c>
      <c r="Q222" s="1" t="str">
        <f t="array" ref="Q222">IF(ISBLANK(INDEX(big_daily_table,MATCH(DATE(Q$5,$J222,$I222),daily_dates,0),MATCH($B$3,daily_items,0))),NA(),INDEX(big_daily_table,MATCH(DATE(Q$5,$J222,$I222),daily_dates,0),MATCH($B$3,daily_items,0)))</f>
        <v>#N/A</v>
      </c>
      <c r="R222" s="1" t="str">
        <f t="array" ref="R222">IF(ISBLANK(INDEX(big_daily_table,MATCH(DATE(R$5,$J222,$I222),daily_dates,0),MATCH($B$3,daily_items,0))),NA(),INDEX(big_daily_table,MATCH(DATE(R$5,$J222,$I222),daily_dates,0),MATCH($B$3,daily_items,0)))</f>
        <v>#N/A</v>
      </c>
      <c r="S222" s="1" t="str">
        <f t="array" ref="S222">IF(ISBLANK(INDEX(big_daily_table,MATCH(DATE(S$5,$J222,$I222),daily_dates,0),MATCH($B$3,daily_items,0))),NA(),INDEX(big_daily_table,MATCH(DATE(S$5,$J222,$I222),daily_dates,0),MATCH($B$3,daily_items,0)))</f>
        <v>#N/A</v>
      </c>
      <c r="T222" s="1" t="str">
        <f t="array" ref="T222">IF(ISBLANK(INDEX(big_daily_table,MATCH(DATE(T$5,$J222,$I222),daily_dates,0),MATCH($B$3,daily_items,0))),NA(),INDEX(big_daily_table,MATCH(DATE(T$5,$J222,$I222),daily_dates,0),MATCH($B$3,daily_items,0)))</f>
        <v>#N/A</v>
      </c>
      <c r="U222" s="1" t="str">
        <f t="array" ref="U222">IF(ISBLANK(INDEX(big_daily_table,MATCH(DATE(U$5,$J222,$I222),daily_dates,0),MATCH($B$3,daily_items,0))),NA(),INDEX(big_daily_table,MATCH(DATE(U$5,$J222,$I222),daily_dates,0),MATCH($B$3,daily_items,0)))</f>
        <v>#N/A</v>
      </c>
      <c r="V222" s="1" t="str">
        <f t="array" ref="V222">IF(ISBLANK(INDEX(big_daily_table,MATCH(DATE(V$5,$J222,$I222),daily_dates,0),MATCH($B$3,daily_items,0))),NA(),INDEX(big_daily_table,MATCH(DATE(V$5,$J222,$I222),daily_dates,0),MATCH($B$3,daily_items,0)))</f>
        <v>#N/A</v>
      </c>
      <c r="W222" s="1" t="str">
        <f t="array" ref="W222">IF(ISBLANK(INDEX(big_daily_table,MATCH(DATE(W$5,$J222,$I222),daily_dates,0),MATCH($B$3,daily_items,0))),NA(),INDEX(big_daily_table,MATCH(DATE(W$5,$J222,$I222),daily_dates,0),MATCH($B$3,daily_items,0)))</f>
        <v>#N/A</v>
      </c>
      <c r="X222" s="1" t="str">
        <f t="array" ref="X222">IF(ISBLANK(INDEX(big_daily_table,MATCH(DATE(X$5,$J222,$I222),daily_dates,0),MATCH($B$3,daily_items,0))),NA(),INDEX(big_daily_table,MATCH(DATE(X$5,$J222,$I222),daily_dates,0),MATCH($B$3,daily_items,0)))</f>
        <v>#N/A</v>
      </c>
      <c r="Y222" s="1" t="str">
        <f t="array" ref="Y222">IF(ISBLANK(INDEX(big_daily_table,MATCH(DATE(Y$5,$J222,$I222),daily_dates,0),MATCH($B$3,daily_items,0))),NA(),INDEX(big_daily_table,MATCH(DATE(Y$5,$J222,$I222),daily_dates,0),MATCH($B$3,daily_items,0)))</f>
        <v>#N/A</v>
      </c>
      <c r="Z222" s="1" t="str">
        <f t="shared" si="5"/>
        <v>#NAME?</v>
      </c>
      <c r="AA222" s="1" t="str">
        <f t="shared" si="6"/>
        <v>#NAME?</v>
      </c>
      <c r="AB222" s="1" t="str">
        <f t="shared" si="7"/>
        <v>#NAME?</v>
      </c>
      <c r="AC222" s="1" t="str">
        <f t="shared" si="8"/>
        <v>#NAME?</v>
      </c>
    </row>
    <row r="223" ht="14.25" customHeight="1">
      <c r="H223" s="1">
        <f t="shared" si="9"/>
        <v>218</v>
      </c>
      <c r="I223" s="1">
        <f t="shared" si="2"/>
        <v>5</v>
      </c>
      <c r="J223" s="1">
        <f t="shared" si="3"/>
        <v>8</v>
      </c>
      <c r="K223" s="23">
        <f t="shared" si="10"/>
        <v>36743</v>
      </c>
      <c r="L223" s="24">
        <f t="shared" si="4"/>
        <v>-1000000</v>
      </c>
      <c r="M223" s="1" t="str">
        <f t="array" ref="M223">IF(K223&gt;0,INDEX(big_daily_table,MATCH(DATE(N$5,$J223,$I223),daily_dates,0),MATCH($B$3,daily_items,0)),NA())</f>
        <v>#N/A</v>
      </c>
      <c r="N223" s="1" t="str">
        <f t="array" ref="N223">IF(L223&lt;0,INDEX(big_daily_table,MATCH(DATE(N$5,$J223,$I223),daily_dates,0),MATCH($B$3,daily_items,0)),NA())</f>
        <v>#N/A</v>
      </c>
      <c r="O223" s="1" t="str">
        <f t="array" ref="O223">IF(ISBLANK(INDEX(big_daily_table,MATCH(DATE(O$5,$J223,$I223),daily_dates,0),MATCH($B$3,daily_items,0))),NA(),INDEX(big_daily_table,MATCH(DATE(O$5,$J223,$I223),daily_dates,0),MATCH($B$3,daily_items,0)))</f>
        <v>#N/A</v>
      </c>
      <c r="P223" s="1" t="str">
        <f t="array" ref="P223">IF(ISBLANK(INDEX(big_daily_table,MATCH(DATE(P$5,$J223,$I223),daily_dates,0),MATCH($B$3,daily_items,0))),NA(),INDEX(big_daily_table,MATCH(DATE(P$5,$J223,$I223),daily_dates,0),MATCH($B$3,daily_items,0)))</f>
        <v>#N/A</v>
      </c>
      <c r="Q223" s="1" t="str">
        <f t="array" ref="Q223">IF(ISBLANK(INDEX(big_daily_table,MATCH(DATE(Q$5,$J223,$I223),daily_dates,0),MATCH($B$3,daily_items,0))),NA(),INDEX(big_daily_table,MATCH(DATE(Q$5,$J223,$I223),daily_dates,0),MATCH($B$3,daily_items,0)))</f>
        <v>#N/A</v>
      </c>
      <c r="R223" s="1" t="str">
        <f t="array" ref="R223">IF(ISBLANK(INDEX(big_daily_table,MATCH(DATE(R$5,$J223,$I223),daily_dates,0),MATCH($B$3,daily_items,0))),NA(),INDEX(big_daily_table,MATCH(DATE(R$5,$J223,$I223),daily_dates,0),MATCH($B$3,daily_items,0)))</f>
        <v>#N/A</v>
      </c>
      <c r="S223" s="1" t="str">
        <f t="array" ref="S223">IF(ISBLANK(INDEX(big_daily_table,MATCH(DATE(S$5,$J223,$I223),daily_dates,0),MATCH($B$3,daily_items,0))),NA(),INDEX(big_daily_table,MATCH(DATE(S$5,$J223,$I223),daily_dates,0),MATCH($B$3,daily_items,0)))</f>
        <v>#N/A</v>
      </c>
      <c r="T223" s="1" t="str">
        <f t="array" ref="T223">IF(ISBLANK(INDEX(big_daily_table,MATCH(DATE(T$5,$J223,$I223),daily_dates,0),MATCH($B$3,daily_items,0))),NA(),INDEX(big_daily_table,MATCH(DATE(T$5,$J223,$I223),daily_dates,0),MATCH($B$3,daily_items,0)))</f>
        <v>#N/A</v>
      </c>
      <c r="U223" s="1" t="str">
        <f t="array" ref="U223">IF(ISBLANK(INDEX(big_daily_table,MATCH(DATE(U$5,$J223,$I223),daily_dates,0),MATCH($B$3,daily_items,0))),NA(),INDEX(big_daily_table,MATCH(DATE(U$5,$J223,$I223),daily_dates,0),MATCH($B$3,daily_items,0)))</f>
        <v>#N/A</v>
      </c>
      <c r="V223" s="1" t="str">
        <f t="array" ref="V223">IF(ISBLANK(INDEX(big_daily_table,MATCH(DATE(V$5,$J223,$I223),daily_dates,0),MATCH($B$3,daily_items,0))),NA(),INDEX(big_daily_table,MATCH(DATE(V$5,$J223,$I223),daily_dates,0),MATCH($B$3,daily_items,0)))</f>
        <v>#N/A</v>
      </c>
      <c r="W223" s="1" t="str">
        <f t="array" ref="W223">IF(ISBLANK(INDEX(big_daily_table,MATCH(DATE(W$5,$J223,$I223),daily_dates,0),MATCH($B$3,daily_items,0))),NA(),INDEX(big_daily_table,MATCH(DATE(W$5,$J223,$I223),daily_dates,0),MATCH($B$3,daily_items,0)))</f>
        <v>#N/A</v>
      </c>
      <c r="X223" s="1" t="str">
        <f t="array" ref="X223">IF(ISBLANK(INDEX(big_daily_table,MATCH(DATE(X$5,$J223,$I223),daily_dates,0),MATCH($B$3,daily_items,0))),NA(),INDEX(big_daily_table,MATCH(DATE(X$5,$J223,$I223),daily_dates,0),MATCH($B$3,daily_items,0)))</f>
        <v>#N/A</v>
      </c>
      <c r="Y223" s="1" t="str">
        <f t="array" ref="Y223">IF(ISBLANK(INDEX(big_daily_table,MATCH(DATE(Y$5,$J223,$I223),daily_dates,0),MATCH($B$3,daily_items,0))),NA(),INDEX(big_daily_table,MATCH(DATE(Y$5,$J223,$I223),daily_dates,0),MATCH($B$3,daily_items,0)))</f>
        <v>#N/A</v>
      </c>
      <c r="Z223" s="1" t="str">
        <f t="shared" si="5"/>
        <v>#NAME?</v>
      </c>
      <c r="AA223" s="1" t="str">
        <f t="shared" si="6"/>
        <v>#NAME?</v>
      </c>
      <c r="AB223" s="1" t="str">
        <f t="shared" si="7"/>
        <v>#NAME?</v>
      </c>
      <c r="AC223" s="1" t="str">
        <f t="shared" si="8"/>
        <v>#NAME?</v>
      </c>
    </row>
    <row r="224" ht="14.25" customHeight="1">
      <c r="H224" s="1">
        <f t="shared" si="9"/>
        <v>219</v>
      </c>
      <c r="I224" s="1">
        <f t="shared" si="2"/>
        <v>6</v>
      </c>
      <c r="J224" s="1">
        <f t="shared" si="3"/>
        <v>8</v>
      </c>
      <c r="K224" s="23">
        <f t="shared" si="10"/>
        <v>36744</v>
      </c>
      <c r="L224" s="24">
        <f t="shared" si="4"/>
        <v>-1000000</v>
      </c>
      <c r="M224" s="1" t="str">
        <f t="array" ref="M224">IF(K224&gt;0,INDEX(big_daily_table,MATCH(DATE(N$5,$J224,$I224),daily_dates,0),MATCH($B$3,daily_items,0)),NA())</f>
        <v>#N/A</v>
      </c>
      <c r="N224" s="1" t="str">
        <f t="array" ref="N224">IF(L224&lt;0,INDEX(big_daily_table,MATCH(DATE(N$5,$J224,$I224),daily_dates,0),MATCH($B$3,daily_items,0)),NA())</f>
        <v>#N/A</v>
      </c>
      <c r="O224" s="1" t="str">
        <f t="array" ref="O224">IF(ISBLANK(INDEX(big_daily_table,MATCH(DATE(O$5,$J224,$I224),daily_dates,0),MATCH($B$3,daily_items,0))),NA(),INDEX(big_daily_table,MATCH(DATE(O$5,$J224,$I224),daily_dates,0),MATCH($B$3,daily_items,0)))</f>
        <v>#N/A</v>
      </c>
      <c r="P224" s="1" t="str">
        <f t="array" ref="P224">IF(ISBLANK(INDEX(big_daily_table,MATCH(DATE(P$5,$J224,$I224),daily_dates,0),MATCH($B$3,daily_items,0))),NA(),INDEX(big_daily_table,MATCH(DATE(P$5,$J224,$I224),daily_dates,0),MATCH($B$3,daily_items,0)))</f>
        <v>#N/A</v>
      </c>
      <c r="Q224" s="1" t="str">
        <f t="array" ref="Q224">IF(ISBLANK(INDEX(big_daily_table,MATCH(DATE(Q$5,$J224,$I224),daily_dates,0),MATCH($B$3,daily_items,0))),NA(),INDEX(big_daily_table,MATCH(DATE(Q$5,$J224,$I224),daily_dates,0),MATCH($B$3,daily_items,0)))</f>
        <v>#N/A</v>
      </c>
      <c r="R224" s="1" t="str">
        <f t="array" ref="R224">IF(ISBLANK(INDEX(big_daily_table,MATCH(DATE(R$5,$J224,$I224),daily_dates,0),MATCH($B$3,daily_items,0))),NA(),INDEX(big_daily_table,MATCH(DATE(R$5,$J224,$I224),daily_dates,0),MATCH($B$3,daily_items,0)))</f>
        <v>#N/A</v>
      </c>
      <c r="S224" s="1" t="str">
        <f t="array" ref="S224">IF(ISBLANK(INDEX(big_daily_table,MATCH(DATE(S$5,$J224,$I224),daily_dates,0),MATCH($B$3,daily_items,0))),NA(),INDEX(big_daily_table,MATCH(DATE(S$5,$J224,$I224),daily_dates,0),MATCH($B$3,daily_items,0)))</f>
        <v>#N/A</v>
      </c>
      <c r="T224" s="1" t="str">
        <f t="array" ref="T224">IF(ISBLANK(INDEX(big_daily_table,MATCH(DATE(T$5,$J224,$I224),daily_dates,0),MATCH($B$3,daily_items,0))),NA(),INDEX(big_daily_table,MATCH(DATE(T$5,$J224,$I224),daily_dates,0),MATCH($B$3,daily_items,0)))</f>
        <v>#N/A</v>
      </c>
      <c r="U224" s="1" t="str">
        <f t="array" ref="U224">IF(ISBLANK(INDEX(big_daily_table,MATCH(DATE(U$5,$J224,$I224),daily_dates,0),MATCH($B$3,daily_items,0))),NA(),INDEX(big_daily_table,MATCH(DATE(U$5,$J224,$I224),daily_dates,0),MATCH($B$3,daily_items,0)))</f>
        <v>#N/A</v>
      </c>
      <c r="V224" s="1" t="str">
        <f t="array" ref="V224">IF(ISBLANK(INDEX(big_daily_table,MATCH(DATE(V$5,$J224,$I224),daily_dates,0),MATCH($B$3,daily_items,0))),NA(),INDEX(big_daily_table,MATCH(DATE(V$5,$J224,$I224),daily_dates,0),MATCH($B$3,daily_items,0)))</f>
        <v>#N/A</v>
      </c>
      <c r="W224" s="1" t="str">
        <f t="array" ref="W224">IF(ISBLANK(INDEX(big_daily_table,MATCH(DATE(W$5,$J224,$I224),daily_dates,0),MATCH($B$3,daily_items,0))),NA(),INDEX(big_daily_table,MATCH(DATE(W$5,$J224,$I224),daily_dates,0),MATCH($B$3,daily_items,0)))</f>
        <v>#N/A</v>
      </c>
      <c r="X224" s="1" t="str">
        <f t="array" ref="X224">IF(ISBLANK(INDEX(big_daily_table,MATCH(DATE(X$5,$J224,$I224),daily_dates,0),MATCH($B$3,daily_items,0))),NA(),INDEX(big_daily_table,MATCH(DATE(X$5,$J224,$I224),daily_dates,0),MATCH($B$3,daily_items,0)))</f>
        <v>#N/A</v>
      </c>
      <c r="Y224" s="1" t="str">
        <f t="array" ref="Y224">IF(ISBLANK(INDEX(big_daily_table,MATCH(DATE(Y$5,$J224,$I224),daily_dates,0),MATCH($B$3,daily_items,0))),NA(),INDEX(big_daily_table,MATCH(DATE(Y$5,$J224,$I224),daily_dates,0),MATCH($B$3,daily_items,0)))</f>
        <v>#N/A</v>
      </c>
      <c r="Z224" s="1" t="str">
        <f t="shared" si="5"/>
        <v>#NAME?</v>
      </c>
      <c r="AA224" s="1" t="str">
        <f t="shared" si="6"/>
        <v>#NAME?</v>
      </c>
      <c r="AB224" s="1" t="str">
        <f t="shared" si="7"/>
        <v>#NAME?</v>
      </c>
      <c r="AC224" s="1" t="str">
        <f t="shared" si="8"/>
        <v>#NAME?</v>
      </c>
    </row>
    <row r="225" ht="14.25" customHeight="1">
      <c r="H225" s="1">
        <f t="shared" si="9"/>
        <v>220</v>
      </c>
      <c r="I225" s="1">
        <f t="shared" si="2"/>
        <v>7</v>
      </c>
      <c r="J225" s="1">
        <f t="shared" si="3"/>
        <v>8</v>
      </c>
      <c r="K225" s="23">
        <f t="shared" si="10"/>
        <v>36745</v>
      </c>
      <c r="L225" s="24">
        <f t="shared" si="4"/>
        <v>-1000000</v>
      </c>
      <c r="M225" s="1" t="str">
        <f t="array" ref="M225">IF(K225&gt;0,INDEX(big_daily_table,MATCH(DATE(N$5,$J225,$I225),daily_dates,0),MATCH($B$3,daily_items,0)),NA())</f>
        <v>#N/A</v>
      </c>
      <c r="N225" s="1" t="str">
        <f t="array" ref="N225">IF(L225&lt;0,INDEX(big_daily_table,MATCH(DATE(N$5,$J225,$I225),daily_dates,0),MATCH($B$3,daily_items,0)),NA())</f>
        <v>#N/A</v>
      </c>
      <c r="O225" s="1" t="str">
        <f t="array" ref="O225">IF(ISBLANK(INDEX(big_daily_table,MATCH(DATE(O$5,$J225,$I225),daily_dates,0),MATCH($B$3,daily_items,0))),NA(),INDEX(big_daily_table,MATCH(DATE(O$5,$J225,$I225),daily_dates,0),MATCH($B$3,daily_items,0)))</f>
        <v>#N/A</v>
      </c>
      <c r="P225" s="1" t="str">
        <f t="array" ref="P225">IF(ISBLANK(INDEX(big_daily_table,MATCH(DATE(P$5,$J225,$I225),daily_dates,0),MATCH($B$3,daily_items,0))),NA(),INDEX(big_daily_table,MATCH(DATE(P$5,$J225,$I225),daily_dates,0),MATCH($B$3,daily_items,0)))</f>
        <v>#N/A</v>
      </c>
      <c r="Q225" s="1" t="str">
        <f t="array" ref="Q225">IF(ISBLANK(INDEX(big_daily_table,MATCH(DATE(Q$5,$J225,$I225),daily_dates,0),MATCH($B$3,daily_items,0))),NA(),INDEX(big_daily_table,MATCH(DATE(Q$5,$J225,$I225),daily_dates,0),MATCH($B$3,daily_items,0)))</f>
        <v>#N/A</v>
      </c>
      <c r="R225" s="1" t="str">
        <f t="array" ref="R225">IF(ISBLANK(INDEX(big_daily_table,MATCH(DATE(R$5,$J225,$I225),daily_dates,0),MATCH($B$3,daily_items,0))),NA(),INDEX(big_daily_table,MATCH(DATE(R$5,$J225,$I225),daily_dates,0),MATCH($B$3,daily_items,0)))</f>
        <v>#N/A</v>
      </c>
      <c r="S225" s="1" t="str">
        <f t="array" ref="S225">IF(ISBLANK(INDEX(big_daily_table,MATCH(DATE(S$5,$J225,$I225),daily_dates,0),MATCH($B$3,daily_items,0))),NA(),INDEX(big_daily_table,MATCH(DATE(S$5,$J225,$I225),daily_dates,0),MATCH($B$3,daily_items,0)))</f>
        <v>#N/A</v>
      </c>
      <c r="T225" s="1" t="str">
        <f t="array" ref="T225">IF(ISBLANK(INDEX(big_daily_table,MATCH(DATE(T$5,$J225,$I225),daily_dates,0),MATCH($B$3,daily_items,0))),NA(),INDEX(big_daily_table,MATCH(DATE(T$5,$J225,$I225),daily_dates,0),MATCH($B$3,daily_items,0)))</f>
        <v>#N/A</v>
      </c>
      <c r="U225" s="1" t="str">
        <f t="array" ref="U225">IF(ISBLANK(INDEX(big_daily_table,MATCH(DATE(U$5,$J225,$I225),daily_dates,0),MATCH($B$3,daily_items,0))),NA(),INDEX(big_daily_table,MATCH(DATE(U$5,$J225,$I225),daily_dates,0),MATCH($B$3,daily_items,0)))</f>
        <v>#N/A</v>
      </c>
      <c r="V225" s="1" t="str">
        <f t="array" ref="V225">IF(ISBLANK(INDEX(big_daily_table,MATCH(DATE(V$5,$J225,$I225),daily_dates,0),MATCH($B$3,daily_items,0))),NA(),INDEX(big_daily_table,MATCH(DATE(V$5,$J225,$I225),daily_dates,0),MATCH($B$3,daily_items,0)))</f>
        <v>#N/A</v>
      </c>
      <c r="W225" s="1" t="str">
        <f t="array" ref="W225">IF(ISBLANK(INDEX(big_daily_table,MATCH(DATE(W$5,$J225,$I225),daily_dates,0),MATCH($B$3,daily_items,0))),NA(),INDEX(big_daily_table,MATCH(DATE(W$5,$J225,$I225),daily_dates,0),MATCH($B$3,daily_items,0)))</f>
        <v>#N/A</v>
      </c>
      <c r="X225" s="1" t="str">
        <f t="array" ref="X225">IF(ISBLANK(INDEX(big_daily_table,MATCH(DATE(X$5,$J225,$I225),daily_dates,0),MATCH($B$3,daily_items,0))),NA(),INDEX(big_daily_table,MATCH(DATE(X$5,$J225,$I225),daily_dates,0),MATCH($B$3,daily_items,0)))</f>
        <v>#N/A</v>
      </c>
      <c r="Y225" s="1" t="str">
        <f t="array" ref="Y225">IF(ISBLANK(INDEX(big_daily_table,MATCH(DATE(Y$5,$J225,$I225),daily_dates,0),MATCH($B$3,daily_items,0))),NA(),INDEX(big_daily_table,MATCH(DATE(Y$5,$J225,$I225),daily_dates,0),MATCH($B$3,daily_items,0)))</f>
        <v>#N/A</v>
      </c>
      <c r="Z225" s="1" t="str">
        <f t="shared" si="5"/>
        <v>#NAME?</v>
      </c>
      <c r="AA225" s="1" t="str">
        <f t="shared" si="6"/>
        <v>#NAME?</v>
      </c>
      <c r="AB225" s="1" t="str">
        <f t="shared" si="7"/>
        <v>#NAME?</v>
      </c>
      <c r="AC225" s="1" t="str">
        <f t="shared" si="8"/>
        <v>#NAME?</v>
      </c>
    </row>
    <row r="226" ht="14.25" customHeight="1">
      <c r="H226" s="1">
        <f t="shared" si="9"/>
        <v>221</v>
      </c>
      <c r="I226" s="1">
        <f t="shared" si="2"/>
        <v>8</v>
      </c>
      <c r="J226" s="1">
        <f t="shared" si="3"/>
        <v>8</v>
      </c>
      <c r="K226" s="23">
        <f t="shared" si="10"/>
        <v>36746</v>
      </c>
      <c r="L226" s="24">
        <f t="shared" si="4"/>
        <v>-1000000</v>
      </c>
      <c r="M226" s="1" t="str">
        <f t="array" ref="M226">IF(K226&gt;0,INDEX(big_daily_table,MATCH(DATE(N$5,$J226,$I226),daily_dates,0),MATCH($B$3,daily_items,0)),NA())</f>
        <v>#N/A</v>
      </c>
      <c r="N226" s="1" t="str">
        <f t="array" ref="N226">IF(L226&lt;0,INDEX(big_daily_table,MATCH(DATE(N$5,$J226,$I226),daily_dates,0),MATCH($B$3,daily_items,0)),NA())</f>
        <v>#N/A</v>
      </c>
      <c r="O226" s="1" t="str">
        <f t="array" ref="O226">IF(ISBLANK(INDEX(big_daily_table,MATCH(DATE(O$5,$J226,$I226),daily_dates,0),MATCH($B$3,daily_items,0))),NA(),INDEX(big_daily_table,MATCH(DATE(O$5,$J226,$I226),daily_dates,0),MATCH($B$3,daily_items,0)))</f>
        <v>#N/A</v>
      </c>
      <c r="P226" s="1" t="str">
        <f t="array" ref="P226">IF(ISBLANK(INDEX(big_daily_table,MATCH(DATE(P$5,$J226,$I226),daily_dates,0),MATCH($B$3,daily_items,0))),NA(),INDEX(big_daily_table,MATCH(DATE(P$5,$J226,$I226),daily_dates,0),MATCH($B$3,daily_items,0)))</f>
        <v>#N/A</v>
      </c>
      <c r="Q226" s="1" t="str">
        <f t="array" ref="Q226">IF(ISBLANK(INDEX(big_daily_table,MATCH(DATE(Q$5,$J226,$I226),daily_dates,0),MATCH($B$3,daily_items,0))),NA(),INDEX(big_daily_table,MATCH(DATE(Q$5,$J226,$I226),daily_dates,0),MATCH($B$3,daily_items,0)))</f>
        <v>#N/A</v>
      </c>
      <c r="R226" s="1" t="str">
        <f t="array" ref="R226">IF(ISBLANK(INDEX(big_daily_table,MATCH(DATE(R$5,$J226,$I226),daily_dates,0),MATCH($B$3,daily_items,0))),NA(),INDEX(big_daily_table,MATCH(DATE(R$5,$J226,$I226),daily_dates,0),MATCH($B$3,daily_items,0)))</f>
        <v>#N/A</v>
      </c>
      <c r="S226" s="1" t="str">
        <f t="array" ref="S226">IF(ISBLANK(INDEX(big_daily_table,MATCH(DATE(S$5,$J226,$I226),daily_dates,0),MATCH($B$3,daily_items,0))),NA(),INDEX(big_daily_table,MATCH(DATE(S$5,$J226,$I226),daily_dates,0),MATCH($B$3,daily_items,0)))</f>
        <v>#N/A</v>
      </c>
      <c r="T226" s="1" t="str">
        <f t="array" ref="T226">IF(ISBLANK(INDEX(big_daily_table,MATCH(DATE(T$5,$J226,$I226),daily_dates,0),MATCH($B$3,daily_items,0))),NA(),INDEX(big_daily_table,MATCH(DATE(T$5,$J226,$I226),daily_dates,0),MATCH($B$3,daily_items,0)))</f>
        <v>#N/A</v>
      </c>
      <c r="U226" s="1" t="str">
        <f t="array" ref="U226">IF(ISBLANK(INDEX(big_daily_table,MATCH(DATE(U$5,$J226,$I226),daily_dates,0),MATCH($B$3,daily_items,0))),NA(),INDEX(big_daily_table,MATCH(DATE(U$5,$J226,$I226),daily_dates,0),MATCH($B$3,daily_items,0)))</f>
        <v>#N/A</v>
      </c>
      <c r="V226" s="1" t="str">
        <f t="array" ref="V226">IF(ISBLANK(INDEX(big_daily_table,MATCH(DATE(V$5,$J226,$I226),daily_dates,0),MATCH($B$3,daily_items,0))),NA(),INDEX(big_daily_table,MATCH(DATE(V$5,$J226,$I226),daily_dates,0),MATCH($B$3,daily_items,0)))</f>
        <v>#N/A</v>
      </c>
      <c r="W226" s="1" t="str">
        <f t="array" ref="W226">IF(ISBLANK(INDEX(big_daily_table,MATCH(DATE(W$5,$J226,$I226),daily_dates,0),MATCH($B$3,daily_items,0))),NA(),INDEX(big_daily_table,MATCH(DATE(W$5,$J226,$I226),daily_dates,0),MATCH($B$3,daily_items,0)))</f>
        <v>#N/A</v>
      </c>
      <c r="X226" s="1" t="str">
        <f t="array" ref="X226">IF(ISBLANK(INDEX(big_daily_table,MATCH(DATE(X$5,$J226,$I226),daily_dates,0),MATCH($B$3,daily_items,0))),NA(),INDEX(big_daily_table,MATCH(DATE(X$5,$J226,$I226),daily_dates,0),MATCH($B$3,daily_items,0)))</f>
        <v>#N/A</v>
      </c>
      <c r="Y226" s="1" t="str">
        <f t="array" ref="Y226">IF(ISBLANK(INDEX(big_daily_table,MATCH(DATE(Y$5,$J226,$I226),daily_dates,0),MATCH($B$3,daily_items,0))),NA(),INDEX(big_daily_table,MATCH(DATE(Y$5,$J226,$I226),daily_dates,0),MATCH($B$3,daily_items,0)))</f>
        <v>#N/A</v>
      </c>
      <c r="Z226" s="1" t="str">
        <f t="shared" si="5"/>
        <v>#NAME?</v>
      </c>
      <c r="AA226" s="1" t="str">
        <f t="shared" si="6"/>
        <v>#NAME?</v>
      </c>
      <c r="AB226" s="1" t="str">
        <f t="shared" si="7"/>
        <v>#NAME?</v>
      </c>
      <c r="AC226" s="1" t="str">
        <f t="shared" si="8"/>
        <v>#NAME?</v>
      </c>
    </row>
    <row r="227" ht="14.25" customHeight="1">
      <c r="H227" s="1">
        <f t="shared" si="9"/>
        <v>222</v>
      </c>
      <c r="I227" s="1">
        <f t="shared" si="2"/>
        <v>9</v>
      </c>
      <c r="J227" s="1">
        <f t="shared" si="3"/>
        <v>8</v>
      </c>
      <c r="K227" s="23">
        <f t="shared" si="10"/>
        <v>36747</v>
      </c>
      <c r="L227" s="24">
        <f t="shared" si="4"/>
        <v>-1000000</v>
      </c>
      <c r="M227" s="1" t="str">
        <f t="array" ref="M227">IF(K227&gt;0,INDEX(big_daily_table,MATCH(DATE(N$5,$J227,$I227),daily_dates,0),MATCH($B$3,daily_items,0)),NA())</f>
        <v>#N/A</v>
      </c>
      <c r="N227" s="1" t="str">
        <f t="array" ref="N227">IF(L227&lt;0,INDEX(big_daily_table,MATCH(DATE(N$5,$J227,$I227),daily_dates,0),MATCH($B$3,daily_items,0)),NA())</f>
        <v>#N/A</v>
      </c>
      <c r="O227" s="1" t="str">
        <f t="array" ref="O227">IF(ISBLANK(INDEX(big_daily_table,MATCH(DATE(O$5,$J227,$I227),daily_dates,0),MATCH($B$3,daily_items,0))),NA(),INDEX(big_daily_table,MATCH(DATE(O$5,$J227,$I227),daily_dates,0),MATCH($B$3,daily_items,0)))</f>
        <v>#N/A</v>
      </c>
      <c r="P227" s="1" t="str">
        <f t="array" ref="P227">IF(ISBLANK(INDEX(big_daily_table,MATCH(DATE(P$5,$J227,$I227),daily_dates,0),MATCH($B$3,daily_items,0))),NA(),INDEX(big_daily_table,MATCH(DATE(P$5,$J227,$I227),daily_dates,0),MATCH($B$3,daily_items,0)))</f>
        <v>#N/A</v>
      </c>
      <c r="Q227" s="1" t="str">
        <f t="array" ref="Q227">IF(ISBLANK(INDEX(big_daily_table,MATCH(DATE(Q$5,$J227,$I227),daily_dates,0),MATCH($B$3,daily_items,0))),NA(),INDEX(big_daily_table,MATCH(DATE(Q$5,$J227,$I227),daily_dates,0),MATCH($B$3,daily_items,0)))</f>
        <v>#N/A</v>
      </c>
      <c r="R227" s="1" t="str">
        <f t="array" ref="R227">IF(ISBLANK(INDEX(big_daily_table,MATCH(DATE(R$5,$J227,$I227),daily_dates,0),MATCH($B$3,daily_items,0))),NA(),INDEX(big_daily_table,MATCH(DATE(R$5,$J227,$I227),daily_dates,0),MATCH($B$3,daily_items,0)))</f>
        <v>#N/A</v>
      </c>
      <c r="S227" s="1" t="str">
        <f t="array" ref="S227">IF(ISBLANK(INDEX(big_daily_table,MATCH(DATE(S$5,$J227,$I227),daily_dates,0),MATCH($B$3,daily_items,0))),NA(),INDEX(big_daily_table,MATCH(DATE(S$5,$J227,$I227),daily_dates,0),MATCH($B$3,daily_items,0)))</f>
        <v>#N/A</v>
      </c>
      <c r="T227" s="1" t="str">
        <f t="array" ref="T227">IF(ISBLANK(INDEX(big_daily_table,MATCH(DATE(T$5,$J227,$I227),daily_dates,0),MATCH($B$3,daily_items,0))),NA(),INDEX(big_daily_table,MATCH(DATE(T$5,$J227,$I227),daily_dates,0),MATCH($B$3,daily_items,0)))</f>
        <v>#N/A</v>
      </c>
      <c r="U227" s="1" t="str">
        <f t="array" ref="U227">IF(ISBLANK(INDEX(big_daily_table,MATCH(DATE(U$5,$J227,$I227),daily_dates,0),MATCH($B$3,daily_items,0))),NA(),INDEX(big_daily_table,MATCH(DATE(U$5,$J227,$I227),daily_dates,0),MATCH($B$3,daily_items,0)))</f>
        <v>#N/A</v>
      </c>
      <c r="V227" s="1" t="str">
        <f t="array" ref="V227">IF(ISBLANK(INDEX(big_daily_table,MATCH(DATE(V$5,$J227,$I227),daily_dates,0),MATCH($B$3,daily_items,0))),NA(),INDEX(big_daily_table,MATCH(DATE(V$5,$J227,$I227),daily_dates,0),MATCH($B$3,daily_items,0)))</f>
        <v>#N/A</v>
      </c>
      <c r="W227" s="1" t="str">
        <f t="array" ref="W227">IF(ISBLANK(INDEX(big_daily_table,MATCH(DATE(W$5,$J227,$I227),daily_dates,0),MATCH($B$3,daily_items,0))),NA(),INDEX(big_daily_table,MATCH(DATE(W$5,$J227,$I227),daily_dates,0),MATCH($B$3,daily_items,0)))</f>
        <v>#N/A</v>
      </c>
      <c r="X227" s="1" t="str">
        <f t="array" ref="X227">IF(ISBLANK(INDEX(big_daily_table,MATCH(DATE(X$5,$J227,$I227),daily_dates,0),MATCH($B$3,daily_items,0))),NA(),INDEX(big_daily_table,MATCH(DATE(X$5,$J227,$I227),daily_dates,0),MATCH($B$3,daily_items,0)))</f>
        <v>#N/A</v>
      </c>
      <c r="Y227" s="1" t="str">
        <f t="array" ref="Y227">IF(ISBLANK(INDEX(big_daily_table,MATCH(DATE(Y$5,$J227,$I227),daily_dates,0),MATCH($B$3,daily_items,0))),NA(),INDEX(big_daily_table,MATCH(DATE(Y$5,$J227,$I227),daily_dates,0),MATCH($B$3,daily_items,0)))</f>
        <v>#N/A</v>
      </c>
      <c r="Z227" s="1" t="str">
        <f t="shared" si="5"/>
        <v>#NAME?</v>
      </c>
      <c r="AA227" s="1" t="str">
        <f t="shared" si="6"/>
        <v>#NAME?</v>
      </c>
      <c r="AB227" s="1" t="str">
        <f t="shared" si="7"/>
        <v>#NAME?</v>
      </c>
      <c r="AC227" s="1" t="str">
        <f t="shared" si="8"/>
        <v>#NAME?</v>
      </c>
    </row>
    <row r="228" ht="14.25" customHeight="1">
      <c r="H228" s="1">
        <f t="shared" si="9"/>
        <v>223</v>
      </c>
      <c r="I228" s="1">
        <f t="shared" si="2"/>
        <v>10</v>
      </c>
      <c r="J228" s="1">
        <f t="shared" si="3"/>
        <v>8</v>
      </c>
      <c r="K228" s="23">
        <f t="shared" si="10"/>
        <v>36748</v>
      </c>
      <c r="L228" s="24">
        <f t="shared" si="4"/>
        <v>-1000000</v>
      </c>
      <c r="M228" s="1" t="str">
        <f t="array" ref="M228">IF(K228&gt;0,INDEX(big_daily_table,MATCH(DATE(N$5,$J228,$I228),daily_dates,0),MATCH($B$3,daily_items,0)),NA())</f>
        <v>#N/A</v>
      </c>
      <c r="N228" s="1" t="str">
        <f t="array" ref="N228">IF(L228&lt;0,INDEX(big_daily_table,MATCH(DATE(N$5,$J228,$I228),daily_dates,0),MATCH($B$3,daily_items,0)),NA())</f>
        <v>#N/A</v>
      </c>
      <c r="O228" s="1" t="str">
        <f t="array" ref="O228">IF(ISBLANK(INDEX(big_daily_table,MATCH(DATE(O$5,$J228,$I228),daily_dates,0),MATCH($B$3,daily_items,0))),NA(),INDEX(big_daily_table,MATCH(DATE(O$5,$J228,$I228),daily_dates,0),MATCH($B$3,daily_items,0)))</f>
        <v>#N/A</v>
      </c>
      <c r="P228" s="1" t="str">
        <f t="array" ref="P228">IF(ISBLANK(INDEX(big_daily_table,MATCH(DATE(P$5,$J228,$I228),daily_dates,0),MATCH($B$3,daily_items,0))),NA(),INDEX(big_daily_table,MATCH(DATE(P$5,$J228,$I228),daily_dates,0),MATCH($B$3,daily_items,0)))</f>
        <v>#N/A</v>
      </c>
      <c r="Q228" s="1" t="str">
        <f t="array" ref="Q228">IF(ISBLANK(INDEX(big_daily_table,MATCH(DATE(Q$5,$J228,$I228),daily_dates,0),MATCH($B$3,daily_items,0))),NA(),INDEX(big_daily_table,MATCH(DATE(Q$5,$J228,$I228),daily_dates,0),MATCH($B$3,daily_items,0)))</f>
        <v>#N/A</v>
      </c>
      <c r="R228" s="1" t="str">
        <f t="array" ref="R228">IF(ISBLANK(INDEX(big_daily_table,MATCH(DATE(R$5,$J228,$I228),daily_dates,0),MATCH($B$3,daily_items,0))),NA(),INDEX(big_daily_table,MATCH(DATE(R$5,$J228,$I228),daily_dates,0),MATCH($B$3,daily_items,0)))</f>
        <v>#N/A</v>
      </c>
      <c r="S228" s="1" t="str">
        <f t="array" ref="S228">IF(ISBLANK(INDEX(big_daily_table,MATCH(DATE(S$5,$J228,$I228),daily_dates,0),MATCH($B$3,daily_items,0))),NA(),INDEX(big_daily_table,MATCH(DATE(S$5,$J228,$I228),daily_dates,0),MATCH($B$3,daily_items,0)))</f>
        <v>#N/A</v>
      </c>
      <c r="T228" s="1" t="str">
        <f t="array" ref="T228">IF(ISBLANK(INDEX(big_daily_table,MATCH(DATE(T$5,$J228,$I228),daily_dates,0),MATCH($B$3,daily_items,0))),NA(),INDEX(big_daily_table,MATCH(DATE(T$5,$J228,$I228),daily_dates,0),MATCH($B$3,daily_items,0)))</f>
        <v>#N/A</v>
      </c>
      <c r="U228" s="1" t="str">
        <f t="array" ref="U228">IF(ISBLANK(INDEX(big_daily_table,MATCH(DATE(U$5,$J228,$I228),daily_dates,0),MATCH($B$3,daily_items,0))),NA(),INDEX(big_daily_table,MATCH(DATE(U$5,$J228,$I228),daily_dates,0),MATCH($B$3,daily_items,0)))</f>
        <v>#N/A</v>
      </c>
      <c r="V228" s="1" t="str">
        <f t="array" ref="V228">IF(ISBLANK(INDEX(big_daily_table,MATCH(DATE(V$5,$J228,$I228),daily_dates,0),MATCH($B$3,daily_items,0))),NA(),INDEX(big_daily_table,MATCH(DATE(V$5,$J228,$I228),daily_dates,0),MATCH($B$3,daily_items,0)))</f>
        <v>#N/A</v>
      </c>
      <c r="W228" s="1" t="str">
        <f t="array" ref="W228">IF(ISBLANK(INDEX(big_daily_table,MATCH(DATE(W$5,$J228,$I228),daily_dates,0),MATCH($B$3,daily_items,0))),NA(),INDEX(big_daily_table,MATCH(DATE(W$5,$J228,$I228),daily_dates,0),MATCH($B$3,daily_items,0)))</f>
        <v>#N/A</v>
      </c>
      <c r="X228" s="1" t="str">
        <f t="array" ref="X228">IF(ISBLANK(INDEX(big_daily_table,MATCH(DATE(X$5,$J228,$I228),daily_dates,0),MATCH($B$3,daily_items,0))),NA(),INDEX(big_daily_table,MATCH(DATE(X$5,$J228,$I228),daily_dates,0),MATCH($B$3,daily_items,0)))</f>
        <v>#N/A</v>
      </c>
      <c r="Y228" s="1" t="str">
        <f t="array" ref="Y228">IF(ISBLANK(INDEX(big_daily_table,MATCH(DATE(Y$5,$J228,$I228),daily_dates,0),MATCH($B$3,daily_items,0))),NA(),INDEX(big_daily_table,MATCH(DATE(Y$5,$J228,$I228),daily_dates,0),MATCH($B$3,daily_items,0)))</f>
        <v>#N/A</v>
      </c>
      <c r="Z228" s="1" t="str">
        <f t="shared" si="5"/>
        <v>#NAME?</v>
      </c>
      <c r="AA228" s="1" t="str">
        <f t="shared" si="6"/>
        <v>#NAME?</v>
      </c>
      <c r="AB228" s="1" t="str">
        <f t="shared" si="7"/>
        <v>#NAME?</v>
      </c>
      <c r="AC228" s="1" t="str">
        <f t="shared" si="8"/>
        <v>#NAME?</v>
      </c>
    </row>
    <row r="229" ht="14.25" customHeight="1">
      <c r="H229" s="1">
        <f t="shared" si="9"/>
        <v>224</v>
      </c>
      <c r="I229" s="1">
        <f t="shared" si="2"/>
        <v>11</v>
      </c>
      <c r="J229" s="1">
        <f t="shared" si="3"/>
        <v>8</v>
      </c>
      <c r="K229" s="23">
        <f t="shared" si="10"/>
        <v>36749</v>
      </c>
      <c r="L229" s="24">
        <f t="shared" si="4"/>
        <v>-1000000</v>
      </c>
      <c r="M229" s="1" t="str">
        <f t="array" ref="M229">IF(K229&gt;0,INDEX(big_daily_table,MATCH(DATE(N$5,$J229,$I229),daily_dates,0),MATCH($B$3,daily_items,0)),NA())</f>
        <v>#N/A</v>
      </c>
      <c r="N229" s="1" t="str">
        <f t="array" ref="N229">IF(L229&lt;0,INDEX(big_daily_table,MATCH(DATE(N$5,$J229,$I229),daily_dates,0),MATCH($B$3,daily_items,0)),NA())</f>
        <v>#N/A</v>
      </c>
      <c r="O229" s="1" t="str">
        <f t="array" ref="O229">IF(ISBLANK(INDEX(big_daily_table,MATCH(DATE(O$5,$J229,$I229),daily_dates,0),MATCH($B$3,daily_items,0))),NA(),INDEX(big_daily_table,MATCH(DATE(O$5,$J229,$I229),daily_dates,0),MATCH($B$3,daily_items,0)))</f>
        <v>#N/A</v>
      </c>
      <c r="P229" s="1" t="str">
        <f t="array" ref="P229">IF(ISBLANK(INDEX(big_daily_table,MATCH(DATE(P$5,$J229,$I229),daily_dates,0),MATCH($B$3,daily_items,0))),NA(),INDEX(big_daily_table,MATCH(DATE(P$5,$J229,$I229),daily_dates,0),MATCH($B$3,daily_items,0)))</f>
        <v>#N/A</v>
      </c>
      <c r="Q229" s="1" t="str">
        <f t="array" ref="Q229">IF(ISBLANK(INDEX(big_daily_table,MATCH(DATE(Q$5,$J229,$I229),daily_dates,0),MATCH($B$3,daily_items,0))),NA(),INDEX(big_daily_table,MATCH(DATE(Q$5,$J229,$I229),daily_dates,0),MATCH($B$3,daily_items,0)))</f>
        <v>#N/A</v>
      </c>
      <c r="R229" s="1" t="str">
        <f t="array" ref="R229">IF(ISBLANK(INDEX(big_daily_table,MATCH(DATE(R$5,$J229,$I229),daily_dates,0),MATCH($B$3,daily_items,0))),NA(),INDEX(big_daily_table,MATCH(DATE(R$5,$J229,$I229),daily_dates,0),MATCH($B$3,daily_items,0)))</f>
        <v>#N/A</v>
      </c>
      <c r="S229" s="1" t="str">
        <f t="array" ref="S229">IF(ISBLANK(INDEX(big_daily_table,MATCH(DATE(S$5,$J229,$I229),daily_dates,0),MATCH($B$3,daily_items,0))),NA(),INDEX(big_daily_table,MATCH(DATE(S$5,$J229,$I229),daily_dates,0),MATCH($B$3,daily_items,0)))</f>
        <v>#N/A</v>
      </c>
      <c r="T229" s="1" t="str">
        <f t="array" ref="T229">IF(ISBLANK(INDEX(big_daily_table,MATCH(DATE(T$5,$J229,$I229),daily_dates,0),MATCH($B$3,daily_items,0))),NA(),INDEX(big_daily_table,MATCH(DATE(T$5,$J229,$I229),daily_dates,0),MATCH($B$3,daily_items,0)))</f>
        <v>#N/A</v>
      </c>
      <c r="U229" s="1" t="str">
        <f t="array" ref="U229">IF(ISBLANK(INDEX(big_daily_table,MATCH(DATE(U$5,$J229,$I229),daily_dates,0),MATCH($B$3,daily_items,0))),NA(),INDEX(big_daily_table,MATCH(DATE(U$5,$J229,$I229),daily_dates,0),MATCH($B$3,daily_items,0)))</f>
        <v>#N/A</v>
      </c>
      <c r="V229" s="1" t="str">
        <f t="array" ref="V229">IF(ISBLANK(INDEX(big_daily_table,MATCH(DATE(V$5,$J229,$I229),daily_dates,0),MATCH($B$3,daily_items,0))),NA(),INDEX(big_daily_table,MATCH(DATE(V$5,$J229,$I229),daily_dates,0),MATCH($B$3,daily_items,0)))</f>
        <v>#N/A</v>
      </c>
      <c r="W229" s="1" t="str">
        <f t="array" ref="W229">IF(ISBLANK(INDEX(big_daily_table,MATCH(DATE(W$5,$J229,$I229),daily_dates,0),MATCH($B$3,daily_items,0))),NA(),INDEX(big_daily_table,MATCH(DATE(W$5,$J229,$I229),daily_dates,0),MATCH($B$3,daily_items,0)))</f>
        <v>#N/A</v>
      </c>
      <c r="X229" s="1" t="str">
        <f t="array" ref="X229">IF(ISBLANK(INDEX(big_daily_table,MATCH(DATE(X$5,$J229,$I229),daily_dates,0),MATCH($B$3,daily_items,0))),NA(),INDEX(big_daily_table,MATCH(DATE(X$5,$J229,$I229),daily_dates,0),MATCH($B$3,daily_items,0)))</f>
        <v>#N/A</v>
      </c>
      <c r="Y229" s="1" t="str">
        <f t="array" ref="Y229">IF(ISBLANK(INDEX(big_daily_table,MATCH(DATE(Y$5,$J229,$I229),daily_dates,0),MATCH($B$3,daily_items,0))),NA(),INDEX(big_daily_table,MATCH(DATE(Y$5,$J229,$I229),daily_dates,0),MATCH($B$3,daily_items,0)))</f>
        <v>#N/A</v>
      </c>
      <c r="Z229" s="1" t="str">
        <f t="shared" si="5"/>
        <v>#NAME?</v>
      </c>
      <c r="AA229" s="1" t="str">
        <f t="shared" si="6"/>
        <v>#NAME?</v>
      </c>
      <c r="AB229" s="1" t="str">
        <f t="shared" si="7"/>
        <v>#NAME?</v>
      </c>
      <c r="AC229" s="1" t="str">
        <f t="shared" si="8"/>
        <v>#NAME?</v>
      </c>
    </row>
    <row r="230" ht="14.25" customHeight="1">
      <c r="H230" s="1">
        <f t="shared" si="9"/>
        <v>225</v>
      </c>
      <c r="I230" s="1">
        <f t="shared" si="2"/>
        <v>12</v>
      </c>
      <c r="J230" s="1">
        <f t="shared" si="3"/>
        <v>8</v>
      </c>
      <c r="K230" s="23">
        <f t="shared" si="10"/>
        <v>36750</v>
      </c>
      <c r="L230" s="24">
        <f t="shared" si="4"/>
        <v>-1000000</v>
      </c>
      <c r="M230" s="1" t="str">
        <f t="array" ref="M230">IF(K230&gt;0,INDEX(big_daily_table,MATCH(DATE(N$5,$J230,$I230),daily_dates,0),MATCH($B$3,daily_items,0)),NA())</f>
        <v>#N/A</v>
      </c>
      <c r="N230" s="1" t="str">
        <f t="array" ref="N230">IF(L230&lt;0,INDEX(big_daily_table,MATCH(DATE(N$5,$J230,$I230),daily_dates,0),MATCH($B$3,daily_items,0)),NA())</f>
        <v>#N/A</v>
      </c>
      <c r="O230" s="1" t="str">
        <f t="array" ref="O230">IF(ISBLANK(INDEX(big_daily_table,MATCH(DATE(O$5,$J230,$I230),daily_dates,0),MATCH($B$3,daily_items,0))),NA(),INDEX(big_daily_table,MATCH(DATE(O$5,$J230,$I230),daily_dates,0),MATCH($B$3,daily_items,0)))</f>
        <v>#N/A</v>
      </c>
      <c r="P230" s="1" t="str">
        <f t="array" ref="P230">IF(ISBLANK(INDEX(big_daily_table,MATCH(DATE(P$5,$J230,$I230),daily_dates,0),MATCH($B$3,daily_items,0))),NA(),INDEX(big_daily_table,MATCH(DATE(P$5,$J230,$I230),daily_dates,0),MATCH($B$3,daily_items,0)))</f>
        <v>#N/A</v>
      </c>
      <c r="Q230" s="1" t="str">
        <f t="array" ref="Q230">IF(ISBLANK(INDEX(big_daily_table,MATCH(DATE(Q$5,$J230,$I230),daily_dates,0),MATCH($B$3,daily_items,0))),NA(),INDEX(big_daily_table,MATCH(DATE(Q$5,$J230,$I230),daily_dates,0),MATCH($B$3,daily_items,0)))</f>
        <v>#N/A</v>
      </c>
      <c r="R230" s="1" t="str">
        <f t="array" ref="R230">IF(ISBLANK(INDEX(big_daily_table,MATCH(DATE(R$5,$J230,$I230),daily_dates,0),MATCH($B$3,daily_items,0))),NA(),INDEX(big_daily_table,MATCH(DATE(R$5,$J230,$I230),daily_dates,0),MATCH($B$3,daily_items,0)))</f>
        <v>#N/A</v>
      </c>
      <c r="S230" s="1" t="str">
        <f t="array" ref="S230">IF(ISBLANK(INDEX(big_daily_table,MATCH(DATE(S$5,$J230,$I230),daily_dates,0),MATCH($B$3,daily_items,0))),NA(),INDEX(big_daily_table,MATCH(DATE(S$5,$J230,$I230),daily_dates,0),MATCH($B$3,daily_items,0)))</f>
        <v>#N/A</v>
      </c>
      <c r="T230" s="1" t="str">
        <f t="array" ref="T230">IF(ISBLANK(INDEX(big_daily_table,MATCH(DATE(T$5,$J230,$I230),daily_dates,0),MATCH($B$3,daily_items,0))),NA(),INDEX(big_daily_table,MATCH(DATE(T$5,$J230,$I230),daily_dates,0),MATCH($B$3,daily_items,0)))</f>
        <v>#N/A</v>
      </c>
      <c r="U230" s="1" t="str">
        <f t="array" ref="U230">IF(ISBLANK(INDEX(big_daily_table,MATCH(DATE(U$5,$J230,$I230),daily_dates,0),MATCH($B$3,daily_items,0))),NA(),INDEX(big_daily_table,MATCH(DATE(U$5,$J230,$I230),daily_dates,0),MATCH($B$3,daily_items,0)))</f>
        <v>#N/A</v>
      </c>
      <c r="V230" s="1" t="str">
        <f t="array" ref="V230">IF(ISBLANK(INDEX(big_daily_table,MATCH(DATE(V$5,$J230,$I230),daily_dates,0),MATCH($B$3,daily_items,0))),NA(),INDEX(big_daily_table,MATCH(DATE(V$5,$J230,$I230),daily_dates,0),MATCH($B$3,daily_items,0)))</f>
        <v>#N/A</v>
      </c>
      <c r="W230" s="1" t="str">
        <f t="array" ref="W230">IF(ISBLANK(INDEX(big_daily_table,MATCH(DATE(W$5,$J230,$I230),daily_dates,0),MATCH($B$3,daily_items,0))),NA(),INDEX(big_daily_table,MATCH(DATE(W$5,$J230,$I230),daily_dates,0),MATCH($B$3,daily_items,0)))</f>
        <v>#N/A</v>
      </c>
      <c r="X230" s="1" t="str">
        <f t="array" ref="X230">IF(ISBLANK(INDEX(big_daily_table,MATCH(DATE(X$5,$J230,$I230),daily_dates,0),MATCH($B$3,daily_items,0))),NA(),INDEX(big_daily_table,MATCH(DATE(X$5,$J230,$I230),daily_dates,0),MATCH($B$3,daily_items,0)))</f>
        <v>#N/A</v>
      </c>
      <c r="Y230" s="1" t="str">
        <f t="array" ref="Y230">IF(ISBLANK(INDEX(big_daily_table,MATCH(DATE(Y$5,$J230,$I230),daily_dates,0),MATCH($B$3,daily_items,0))),NA(),INDEX(big_daily_table,MATCH(DATE(Y$5,$J230,$I230),daily_dates,0),MATCH($B$3,daily_items,0)))</f>
        <v>#N/A</v>
      </c>
      <c r="Z230" s="1" t="str">
        <f t="shared" si="5"/>
        <v>#NAME?</v>
      </c>
      <c r="AA230" s="1" t="str">
        <f t="shared" si="6"/>
        <v>#NAME?</v>
      </c>
      <c r="AB230" s="1" t="str">
        <f t="shared" si="7"/>
        <v>#NAME?</v>
      </c>
      <c r="AC230" s="1" t="str">
        <f t="shared" si="8"/>
        <v>#NAME?</v>
      </c>
    </row>
    <row r="231" ht="14.25" customHeight="1">
      <c r="H231" s="1">
        <f t="shared" si="9"/>
        <v>226</v>
      </c>
      <c r="I231" s="1">
        <f t="shared" si="2"/>
        <v>13</v>
      </c>
      <c r="J231" s="1">
        <f t="shared" si="3"/>
        <v>8</v>
      </c>
      <c r="K231" s="23">
        <f t="shared" si="10"/>
        <v>36751</v>
      </c>
      <c r="L231" s="24">
        <f t="shared" si="4"/>
        <v>-1000000</v>
      </c>
      <c r="M231" s="1" t="str">
        <f t="array" ref="M231">IF(K231&gt;0,INDEX(big_daily_table,MATCH(DATE(N$5,$J231,$I231),daily_dates,0),MATCH($B$3,daily_items,0)),NA())</f>
        <v>#N/A</v>
      </c>
      <c r="N231" s="1" t="str">
        <f t="array" ref="N231">IF(L231&lt;0,INDEX(big_daily_table,MATCH(DATE(N$5,$J231,$I231),daily_dates,0),MATCH($B$3,daily_items,0)),NA())</f>
        <v>#N/A</v>
      </c>
      <c r="O231" s="1" t="str">
        <f t="array" ref="O231">IF(ISBLANK(INDEX(big_daily_table,MATCH(DATE(O$5,$J231,$I231),daily_dates,0),MATCH($B$3,daily_items,0))),NA(),INDEX(big_daily_table,MATCH(DATE(O$5,$J231,$I231),daily_dates,0),MATCH($B$3,daily_items,0)))</f>
        <v>#N/A</v>
      </c>
      <c r="P231" s="1" t="str">
        <f t="array" ref="P231">IF(ISBLANK(INDEX(big_daily_table,MATCH(DATE(P$5,$J231,$I231),daily_dates,0),MATCH($B$3,daily_items,0))),NA(),INDEX(big_daily_table,MATCH(DATE(P$5,$J231,$I231),daily_dates,0),MATCH($B$3,daily_items,0)))</f>
        <v>#N/A</v>
      </c>
      <c r="Q231" s="1" t="str">
        <f t="array" ref="Q231">IF(ISBLANK(INDEX(big_daily_table,MATCH(DATE(Q$5,$J231,$I231),daily_dates,0),MATCH($B$3,daily_items,0))),NA(),INDEX(big_daily_table,MATCH(DATE(Q$5,$J231,$I231),daily_dates,0),MATCH($B$3,daily_items,0)))</f>
        <v>#N/A</v>
      </c>
      <c r="R231" s="1" t="str">
        <f t="array" ref="R231">IF(ISBLANK(INDEX(big_daily_table,MATCH(DATE(R$5,$J231,$I231),daily_dates,0),MATCH($B$3,daily_items,0))),NA(),INDEX(big_daily_table,MATCH(DATE(R$5,$J231,$I231),daily_dates,0),MATCH($B$3,daily_items,0)))</f>
        <v>#N/A</v>
      </c>
      <c r="S231" s="1" t="str">
        <f t="array" ref="S231">IF(ISBLANK(INDEX(big_daily_table,MATCH(DATE(S$5,$J231,$I231),daily_dates,0),MATCH($B$3,daily_items,0))),NA(),INDEX(big_daily_table,MATCH(DATE(S$5,$J231,$I231),daily_dates,0),MATCH($B$3,daily_items,0)))</f>
        <v>#N/A</v>
      </c>
      <c r="T231" s="1" t="str">
        <f t="array" ref="T231">IF(ISBLANK(INDEX(big_daily_table,MATCH(DATE(T$5,$J231,$I231),daily_dates,0),MATCH($B$3,daily_items,0))),NA(),INDEX(big_daily_table,MATCH(DATE(T$5,$J231,$I231),daily_dates,0),MATCH($B$3,daily_items,0)))</f>
        <v>#N/A</v>
      </c>
      <c r="U231" s="1" t="str">
        <f t="array" ref="U231">IF(ISBLANK(INDEX(big_daily_table,MATCH(DATE(U$5,$J231,$I231),daily_dates,0),MATCH($B$3,daily_items,0))),NA(),INDEX(big_daily_table,MATCH(DATE(U$5,$J231,$I231),daily_dates,0),MATCH($B$3,daily_items,0)))</f>
        <v>#N/A</v>
      </c>
      <c r="V231" s="1" t="str">
        <f t="array" ref="V231">IF(ISBLANK(INDEX(big_daily_table,MATCH(DATE(V$5,$J231,$I231),daily_dates,0),MATCH($B$3,daily_items,0))),NA(),INDEX(big_daily_table,MATCH(DATE(V$5,$J231,$I231),daily_dates,0),MATCH($B$3,daily_items,0)))</f>
        <v>#N/A</v>
      </c>
      <c r="W231" s="1" t="str">
        <f t="array" ref="W231">IF(ISBLANK(INDEX(big_daily_table,MATCH(DATE(W$5,$J231,$I231),daily_dates,0),MATCH($B$3,daily_items,0))),NA(),INDEX(big_daily_table,MATCH(DATE(W$5,$J231,$I231),daily_dates,0),MATCH($B$3,daily_items,0)))</f>
        <v>#N/A</v>
      </c>
      <c r="X231" s="1" t="str">
        <f t="array" ref="X231">IF(ISBLANK(INDEX(big_daily_table,MATCH(DATE(X$5,$J231,$I231),daily_dates,0),MATCH($B$3,daily_items,0))),NA(),INDEX(big_daily_table,MATCH(DATE(X$5,$J231,$I231),daily_dates,0),MATCH($B$3,daily_items,0)))</f>
        <v>#N/A</v>
      </c>
      <c r="Y231" s="1" t="str">
        <f t="array" ref="Y231">IF(ISBLANK(INDEX(big_daily_table,MATCH(DATE(Y$5,$J231,$I231),daily_dates,0),MATCH($B$3,daily_items,0))),NA(),INDEX(big_daily_table,MATCH(DATE(Y$5,$J231,$I231),daily_dates,0),MATCH($B$3,daily_items,0)))</f>
        <v>#N/A</v>
      </c>
      <c r="Z231" s="1" t="str">
        <f t="shared" si="5"/>
        <v>#NAME?</v>
      </c>
      <c r="AA231" s="1" t="str">
        <f t="shared" si="6"/>
        <v>#NAME?</v>
      </c>
      <c r="AB231" s="1" t="str">
        <f t="shared" si="7"/>
        <v>#NAME?</v>
      </c>
      <c r="AC231" s="1" t="str">
        <f t="shared" si="8"/>
        <v>#NAME?</v>
      </c>
    </row>
    <row r="232" ht="14.25" customHeight="1">
      <c r="H232" s="1">
        <f t="shared" si="9"/>
        <v>227</v>
      </c>
      <c r="I232" s="1">
        <f t="shared" si="2"/>
        <v>14</v>
      </c>
      <c r="J232" s="1">
        <f t="shared" si="3"/>
        <v>8</v>
      </c>
      <c r="K232" s="23">
        <f t="shared" si="10"/>
        <v>36752</v>
      </c>
      <c r="L232" s="24">
        <f t="shared" si="4"/>
        <v>-1000000</v>
      </c>
      <c r="M232" s="1" t="str">
        <f t="array" ref="M232">IF(K232&gt;0,INDEX(big_daily_table,MATCH(DATE(N$5,$J232,$I232),daily_dates,0),MATCH($B$3,daily_items,0)),NA())</f>
        <v>#N/A</v>
      </c>
      <c r="N232" s="1" t="str">
        <f t="array" ref="N232">IF(L232&lt;0,INDEX(big_daily_table,MATCH(DATE(N$5,$J232,$I232),daily_dates,0),MATCH($B$3,daily_items,0)),NA())</f>
        <v>#N/A</v>
      </c>
      <c r="O232" s="1" t="str">
        <f t="array" ref="O232">IF(ISBLANK(INDEX(big_daily_table,MATCH(DATE(O$5,$J232,$I232),daily_dates,0),MATCH($B$3,daily_items,0))),NA(),INDEX(big_daily_table,MATCH(DATE(O$5,$J232,$I232),daily_dates,0),MATCH($B$3,daily_items,0)))</f>
        <v>#N/A</v>
      </c>
      <c r="P232" s="1" t="str">
        <f t="array" ref="P232">IF(ISBLANK(INDEX(big_daily_table,MATCH(DATE(P$5,$J232,$I232),daily_dates,0),MATCH($B$3,daily_items,0))),NA(),INDEX(big_daily_table,MATCH(DATE(P$5,$J232,$I232),daily_dates,0),MATCH($B$3,daily_items,0)))</f>
        <v>#N/A</v>
      </c>
      <c r="Q232" s="1" t="str">
        <f t="array" ref="Q232">IF(ISBLANK(INDEX(big_daily_table,MATCH(DATE(Q$5,$J232,$I232),daily_dates,0),MATCH($B$3,daily_items,0))),NA(),INDEX(big_daily_table,MATCH(DATE(Q$5,$J232,$I232),daily_dates,0),MATCH($B$3,daily_items,0)))</f>
        <v>#N/A</v>
      </c>
      <c r="R232" s="1" t="str">
        <f t="array" ref="R232">IF(ISBLANK(INDEX(big_daily_table,MATCH(DATE(R$5,$J232,$I232),daily_dates,0),MATCH($B$3,daily_items,0))),NA(),INDEX(big_daily_table,MATCH(DATE(R$5,$J232,$I232),daily_dates,0),MATCH($B$3,daily_items,0)))</f>
        <v>#N/A</v>
      </c>
      <c r="S232" s="1" t="str">
        <f t="array" ref="S232">IF(ISBLANK(INDEX(big_daily_table,MATCH(DATE(S$5,$J232,$I232),daily_dates,0),MATCH($B$3,daily_items,0))),NA(),INDEX(big_daily_table,MATCH(DATE(S$5,$J232,$I232),daily_dates,0),MATCH($B$3,daily_items,0)))</f>
        <v>#N/A</v>
      </c>
      <c r="T232" s="1" t="str">
        <f t="array" ref="T232">IF(ISBLANK(INDEX(big_daily_table,MATCH(DATE(T$5,$J232,$I232),daily_dates,0),MATCH($B$3,daily_items,0))),NA(),INDEX(big_daily_table,MATCH(DATE(T$5,$J232,$I232),daily_dates,0),MATCH($B$3,daily_items,0)))</f>
        <v>#N/A</v>
      </c>
      <c r="U232" s="1" t="str">
        <f t="array" ref="U232">IF(ISBLANK(INDEX(big_daily_table,MATCH(DATE(U$5,$J232,$I232),daily_dates,0),MATCH($B$3,daily_items,0))),NA(),INDEX(big_daily_table,MATCH(DATE(U$5,$J232,$I232),daily_dates,0),MATCH($B$3,daily_items,0)))</f>
        <v>#N/A</v>
      </c>
      <c r="V232" s="1" t="str">
        <f t="array" ref="V232">IF(ISBLANK(INDEX(big_daily_table,MATCH(DATE(V$5,$J232,$I232),daily_dates,0),MATCH($B$3,daily_items,0))),NA(),INDEX(big_daily_table,MATCH(DATE(V$5,$J232,$I232),daily_dates,0),MATCH($B$3,daily_items,0)))</f>
        <v>#N/A</v>
      </c>
      <c r="W232" s="1" t="str">
        <f t="array" ref="W232">IF(ISBLANK(INDEX(big_daily_table,MATCH(DATE(W$5,$J232,$I232),daily_dates,0),MATCH($B$3,daily_items,0))),NA(),INDEX(big_daily_table,MATCH(DATE(W$5,$J232,$I232),daily_dates,0),MATCH($B$3,daily_items,0)))</f>
        <v>#N/A</v>
      </c>
      <c r="X232" s="1" t="str">
        <f t="array" ref="X232">IF(ISBLANK(INDEX(big_daily_table,MATCH(DATE(X$5,$J232,$I232),daily_dates,0),MATCH($B$3,daily_items,0))),NA(),INDEX(big_daily_table,MATCH(DATE(X$5,$J232,$I232),daily_dates,0),MATCH($B$3,daily_items,0)))</f>
        <v>#N/A</v>
      </c>
      <c r="Y232" s="1" t="str">
        <f t="array" ref="Y232">IF(ISBLANK(INDEX(big_daily_table,MATCH(DATE(Y$5,$J232,$I232),daily_dates,0),MATCH($B$3,daily_items,0))),NA(),INDEX(big_daily_table,MATCH(DATE(Y$5,$J232,$I232),daily_dates,0),MATCH($B$3,daily_items,0)))</f>
        <v>#N/A</v>
      </c>
      <c r="Z232" s="1" t="str">
        <f t="shared" si="5"/>
        <v>#NAME?</v>
      </c>
      <c r="AA232" s="1" t="str">
        <f t="shared" si="6"/>
        <v>#NAME?</v>
      </c>
      <c r="AB232" s="1" t="str">
        <f t="shared" si="7"/>
        <v>#NAME?</v>
      </c>
      <c r="AC232" s="1" t="str">
        <f t="shared" si="8"/>
        <v>#NAME?</v>
      </c>
    </row>
    <row r="233" ht="14.25" customHeight="1">
      <c r="H233" s="1">
        <f t="shared" si="9"/>
        <v>228</v>
      </c>
      <c r="I233" s="1">
        <f t="shared" si="2"/>
        <v>15</v>
      </c>
      <c r="J233" s="1">
        <f t="shared" si="3"/>
        <v>8</v>
      </c>
      <c r="K233" s="23">
        <f t="shared" si="10"/>
        <v>36753</v>
      </c>
      <c r="L233" s="24">
        <f t="shared" si="4"/>
        <v>-1000000</v>
      </c>
      <c r="M233" s="1" t="str">
        <f t="array" ref="M233">IF(K233&gt;0,INDEX(big_daily_table,MATCH(DATE(N$5,$J233,$I233),daily_dates,0),MATCH($B$3,daily_items,0)),NA())</f>
        <v>#N/A</v>
      </c>
      <c r="N233" s="1" t="str">
        <f t="array" ref="N233">IF(L233&lt;0,INDEX(big_daily_table,MATCH(DATE(N$5,$J233,$I233),daily_dates,0),MATCH($B$3,daily_items,0)),NA())</f>
        <v>#N/A</v>
      </c>
      <c r="O233" s="1" t="str">
        <f t="array" ref="O233">IF(ISBLANK(INDEX(big_daily_table,MATCH(DATE(O$5,$J233,$I233),daily_dates,0),MATCH($B$3,daily_items,0))),NA(),INDEX(big_daily_table,MATCH(DATE(O$5,$J233,$I233),daily_dates,0),MATCH($B$3,daily_items,0)))</f>
        <v>#N/A</v>
      </c>
      <c r="P233" s="1" t="str">
        <f t="array" ref="P233">IF(ISBLANK(INDEX(big_daily_table,MATCH(DATE(P$5,$J233,$I233),daily_dates,0),MATCH($B$3,daily_items,0))),NA(),INDEX(big_daily_table,MATCH(DATE(P$5,$J233,$I233),daily_dates,0),MATCH($B$3,daily_items,0)))</f>
        <v>#N/A</v>
      </c>
      <c r="Q233" s="1" t="str">
        <f t="array" ref="Q233">IF(ISBLANK(INDEX(big_daily_table,MATCH(DATE(Q$5,$J233,$I233),daily_dates,0),MATCH($B$3,daily_items,0))),NA(),INDEX(big_daily_table,MATCH(DATE(Q$5,$J233,$I233),daily_dates,0),MATCH($B$3,daily_items,0)))</f>
        <v>#N/A</v>
      </c>
      <c r="R233" s="1" t="str">
        <f t="array" ref="R233">IF(ISBLANK(INDEX(big_daily_table,MATCH(DATE(R$5,$J233,$I233),daily_dates,0),MATCH($B$3,daily_items,0))),NA(),INDEX(big_daily_table,MATCH(DATE(R$5,$J233,$I233),daily_dates,0),MATCH($B$3,daily_items,0)))</f>
        <v>#N/A</v>
      </c>
      <c r="S233" s="1" t="str">
        <f t="array" ref="S233">IF(ISBLANK(INDEX(big_daily_table,MATCH(DATE(S$5,$J233,$I233),daily_dates,0),MATCH($B$3,daily_items,0))),NA(),INDEX(big_daily_table,MATCH(DATE(S$5,$J233,$I233),daily_dates,0),MATCH($B$3,daily_items,0)))</f>
        <v>#N/A</v>
      </c>
      <c r="T233" s="1" t="str">
        <f t="array" ref="T233">IF(ISBLANK(INDEX(big_daily_table,MATCH(DATE(T$5,$J233,$I233),daily_dates,0),MATCH($B$3,daily_items,0))),NA(),INDEX(big_daily_table,MATCH(DATE(T$5,$J233,$I233),daily_dates,0),MATCH($B$3,daily_items,0)))</f>
        <v>#N/A</v>
      </c>
      <c r="U233" s="1" t="str">
        <f t="array" ref="U233">IF(ISBLANK(INDEX(big_daily_table,MATCH(DATE(U$5,$J233,$I233),daily_dates,0),MATCH($B$3,daily_items,0))),NA(),INDEX(big_daily_table,MATCH(DATE(U$5,$J233,$I233),daily_dates,0),MATCH($B$3,daily_items,0)))</f>
        <v>#N/A</v>
      </c>
      <c r="V233" s="1" t="str">
        <f t="array" ref="V233">IF(ISBLANK(INDEX(big_daily_table,MATCH(DATE(V$5,$J233,$I233),daily_dates,0),MATCH($B$3,daily_items,0))),NA(),INDEX(big_daily_table,MATCH(DATE(V$5,$J233,$I233),daily_dates,0),MATCH($B$3,daily_items,0)))</f>
        <v>#N/A</v>
      </c>
      <c r="W233" s="1" t="str">
        <f t="array" ref="W233">IF(ISBLANK(INDEX(big_daily_table,MATCH(DATE(W$5,$J233,$I233),daily_dates,0),MATCH($B$3,daily_items,0))),NA(),INDEX(big_daily_table,MATCH(DATE(W$5,$J233,$I233),daily_dates,0),MATCH($B$3,daily_items,0)))</f>
        <v>#N/A</v>
      </c>
      <c r="X233" s="1" t="str">
        <f t="array" ref="X233">IF(ISBLANK(INDEX(big_daily_table,MATCH(DATE(X$5,$J233,$I233),daily_dates,0),MATCH($B$3,daily_items,0))),NA(),INDEX(big_daily_table,MATCH(DATE(X$5,$J233,$I233),daily_dates,0),MATCH($B$3,daily_items,0)))</f>
        <v>#N/A</v>
      </c>
      <c r="Y233" s="1" t="str">
        <f t="array" ref="Y233">IF(ISBLANK(INDEX(big_daily_table,MATCH(DATE(Y$5,$J233,$I233),daily_dates,0),MATCH($B$3,daily_items,0))),NA(),INDEX(big_daily_table,MATCH(DATE(Y$5,$J233,$I233),daily_dates,0),MATCH($B$3,daily_items,0)))</f>
        <v>#N/A</v>
      </c>
      <c r="Z233" s="1" t="str">
        <f t="shared" si="5"/>
        <v>#NAME?</v>
      </c>
      <c r="AA233" s="1" t="str">
        <f t="shared" si="6"/>
        <v>#NAME?</v>
      </c>
      <c r="AB233" s="1" t="str">
        <f t="shared" si="7"/>
        <v>#NAME?</v>
      </c>
      <c r="AC233" s="1" t="str">
        <f t="shared" si="8"/>
        <v>#NAME?</v>
      </c>
    </row>
    <row r="234" ht="14.25" customHeight="1">
      <c r="H234" s="1">
        <f t="shared" si="9"/>
        <v>229</v>
      </c>
      <c r="I234" s="1">
        <f t="shared" si="2"/>
        <v>16</v>
      </c>
      <c r="J234" s="1">
        <f t="shared" si="3"/>
        <v>8</v>
      </c>
      <c r="K234" s="23">
        <f t="shared" si="10"/>
        <v>36754</v>
      </c>
      <c r="L234" s="24">
        <f t="shared" si="4"/>
        <v>-1000000</v>
      </c>
      <c r="M234" s="1" t="str">
        <f t="array" ref="M234">IF(K234&gt;0,INDEX(big_daily_table,MATCH(DATE(N$5,$J234,$I234),daily_dates,0),MATCH($B$3,daily_items,0)),NA())</f>
        <v>#N/A</v>
      </c>
      <c r="N234" s="1" t="str">
        <f t="array" ref="N234">IF(L234&lt;0,INDEX(big_daily_table,MATCH(DATE(N$5,$J234,$I234),daily_dates,0),MATCH($B$3,daily_items,0)),NA())</f>
        <v>#N/A</v>
      </c>
      <c r="O234" s="1" t="str">
        <f t="array" ref="O234">IF(ISBLANK(INDEX(big_daily_table,MATCH(DATE(O$5,$J234,$I234),daily_dates,0),MATCH($B$3,daily_items,0))),NA(),INDEX(big_daily_table,MATCH(DATE(O$5,$J234,$I234),daily_dates,0),MATCH($B$3,daily_items,0)))</f>
        <v>#N/A</v>
      </c>
      <c r="P234" s="1" t="str">
        <f t="array" ref="P234">IF(ISBLANK(INDEX(big_daily_table,MATCH(DATE(P$5,$J234,$I234),daily_dates,0),MATCH($B$3,daily_items,0))),NA(),INDEX(big_daily_table,MATCH(DATE(P$5,$J234,$I234),daily_dates,0),MATCH($B$3,daily_items,0)))</f>
        <v>#N/A</v>
      </c>
      <c r="Q234" s="1" t="str">
        <f t="array" ref="Q234">IF(ISBLANK(INDEX(big_daily_table,MATCH(DATE(Q$5,$J234,$I234),daily_dates,0),MATCH($B$3,daily_items,0))),NA(),INDEX(big_daily_table,MATCH(DATE(Q$5,$J234,$I234),daily_dates,0),MATCH($B$3,daily_items,0)))</f>
        <v>#N/A</v>
      </c>
      <c r="R234" s="1" t="str">
        <f t="array" ref="R234">IF(ISBLANK(INDEX(big_daily_table,MATCH(DATE(R$5,$J234,$I234),daily_dates,0),MATCH($B$3,daily_items,0))),NA(),INDEX(big_daily_table,MATCH(DATE(R$5,$J234,$I234),daily_dates,0),MATCH($B$3,daily_items,0)))</f>
        <v>#N/A</v>
      </c>
      <c r="S234" s="1" t="str">
        <f t="array" ref="S234">IF(ISBLANK(INDEX(big_daily_table,MATCH(DATE(S$5,$J234,$I234),daily_dates,0),MATCH($B$3,daily_items,0))),NA(),INDEX(big_daily_table,MATCH(DATE(S$5,$J234,$I234),daily_dates,0),MATCH($B$3,daily_items,0)))</f>
        <v>#N/A</v>
      </c>
      <c r="T234" s="1" t="str">
        <f t="array" ref="T234">IF(ISBLANK(INDEX(big_daily_table,MATCH(DATE(T$5,$J234,$I234),daily_dates,0),MATCH($B$3,daily_items,0))),NA(),INDEX(big_daily_table,MATCH(DATE(T$5,$J234,$I234),daily_dates,0),MATCH($B$3,daily_items,0)))</f>
        <v>#N/A</v>
      </c>
      <c r="U234" s="1" t="str">
        <f t="array" ref="U234">IF(ISBLANK(INDEX(big_daily_table,MATCH(DATE(U$5,$J234,$I234),daily_dates,0),MATCH($B$3,daily_items,0))),NA(),INDEX(big_daily_table,MATCH(DATE(U$5,$J234,$I234),daily_dates,0),MATCH($B$3,daily_items,0)))</f>
        <v>#N/A</v>
      </c>
      <c r="V234" s="1" t="str">
        <f t="array" ref="V234">IF(ISBLANK(INDEX(big_daily_table,MATCH(DATE(V$5,$J234,$I234),daily_dates,0),MATCH($B$3,daily_items,0))),NA(),INDEX(big_daily_table,MATCH(DATE(V$5,$J234,$I234),daily_dates,0),MATCH($B$3,daily_items,0)))</f>
        <v>#N/A</v>
      </c>
      <c r="W234" s="1" t="str">
        <f t="array" ref="W234">IF(ISBLANK(INDEX(big_daily_table,MATCH(DATE(W$5,$J234,$I234),daily_dates,0),MATCH($B$3,daily_items,0))),NA(),INDEX(big_daily_table,MATCH(DATE(W$5,$J234,$I234),daily_dates,0),MATCH($B$3,daily_items,0)))</f>
        <v>#N/A</v>
      </c>
      <c r="X234" s="1" t="str">
        <f t="array" ref="X234">IF(ISBLANK(INDEX(big_daily_table,MATCH(DATE(X$5,$J234,$I234),daily_dates,0),MATCH($B$3,daily_items,0))),NA(),INDEX(big_daily_table,MATCH(DATE(X$5,$J234,$I234),daily_dates,0),MATCH($B$3,daily_items,0)))</f>
        <v>#N/A</v>
      </c>
      <c r="Y234" s="1" t="str">
        <f t="array" ref="Y234">IF(ISBLANK(INDEX(big_daily_table,MATCH(DATE(Y$5,$J234,$I234),daily_dates,0),MATCH($B$3,daily_items,0))),NA(),INDEX(big_daily_table,MATCH(DATE(Y$5,$J234,$I234),daily_dates,0),MATCH($B$3,daily_items,0)))</f>
        <v>#N/A</v>
      </c>
      <c r="Z234" s="1" t="str">
        <f t="shared" si="5"/>
        <v>#NAME?</v>
      </c>
      <c r="AA234" s="1" t="str">
        <f t="shared" si="6"/>
        <v>#NAME?</v>
      </c>
      <c r="AB234" s="1" t="str">
        <f t="shared" si="7"/>
        <v>#NAME?</v>
      </c>
      <c r="AC234" s="1" t="str">
        <f t="shared" si="8"/>
        <v>#NAME?</v>
      </c>
    </row>
    <row r="235" ht="14.25" customHeight="1">
      <c r="H235" s="1">
        <f t="shared" si="9"/>
        <v>230</v>
      </c>
      <c r="I235" s="1">
        <f t="shared" si="2"/>
        <v>17</v>
      </c>
      <c r="J235" s="1">
        <f t="shared" si="3"/>
        <v>8</v>
      </c>
      <c r="K235" s="23">
        <f t="shared" si="10"/>
        <v>36755</v>
      </c>
      <c r="L235" s="24">
        <f t="shared" si="4"/>
        <v>-1000000</v>
      </c>
      <c r="M235" s="1" t="str">
        <f t="array" ref="M235">IF(K235&gt;0,INDEX(big_daily_table,MATCH(DATE(N$5,$J235,$I235),daily_dates,0),MATCH($B$3,daily_items,0)),NA())</f>
        <v>#N/A</v>
      </c>
      <c r="N235" s="1" t="str">
        <f t="array" ref="N235">IF(L235&lt;0,INDEX(big_daily_table,MATCH(DATE(N$5,$J235,$I235),daily_dates,0),MATCH($B$3,daily_items,0)),NA())</f>
        <v>#N/A</v>
      </c>
      <c r="O235" s="1" t="str">
        <f t="array" ref="O235">IF(ISBLANK(INDEX(big_daily_table,MATCH(DATE(O$5,$J235,$I235),daily_dates,0),MATCH($B$3,daily_items,0))),NA(),INDEX(big_daily_table,MATCH(DATE(O$5,$J235,$I235),daily_dates,0),MATCH($B$3,daily_items,0)))</f>
        <v>#N/A</v>
      </c>
      <c r="P235" s="1" t="str">
        <f t="array" ref="P235">IF(ISBLANK(INDEX(big_daily_table,MATCH(DATE(P$5,$J235,$I235),daily_dates,0),MATCH($B$3,daily_items,0))),NA(),INDEX(big_daily_table,MATCH(DATE(P$5,$J235,$I235),daily_dates,0),MATCH($B$3,daily_items,0)))</f>
        <v>#N/A</v>
      </c>
      <c r="Q235" s="1" t="str">
        <f t="array" ref="Q235">IF(ISBLANK(INDEX(big_daily_table,MATCH(DATE(Q$5,$J235,$I235),daily_dates,0),MATCH($B$3,daily_items,0))),NA(),INDEX(big_daily_table,MATCH(DATE(Q$5,$J235,$I235),daily_dates,0),MATCH($B$3,daily_items,0)))</f>
        <v>#N/A</v>
      </c>
      <c r="R235" s="1" t="str">
        <f t="array" ref="R235">IF(ISBLANK(INDEX(big_daily_table,MATCH(DATE(R$5,$J235,$I235),daily_dates,0),MATCH($B$3,daily_items,0))),NA(),INDEX(big_daily_table,MATCH(DATE(R$5,$J235,$I235),daily_dates,0),MATCH($B$3,daily_items,0)))</f>
        <v>#N/A</v>
      </c>
      <c r="S235" s="1" t="str">
        <f t="array" ref="S235">IF(ISBLANK(INDEX(big_daily_table,MATCH(DATE(S$5,$J235,$I235),daily_dates,0),MATCH($B$3,daily_items,0))),NA(),INDEX(big_daily_table,MATCH(DATE(S$5,$J235,$I235),daily_dates,0),MATCH($B$3,daily_items,0)))</f>
        <v>#N/A</v>
      </c>
      <c r="T235" s="1" t="str">
        <f t="array" ref="T235">IF(ISBLANK(INDEX(big_daily_table,MATCH(DATE(T$5,$J235,$I235),daily_dates,0),MATCH($B$3,daily_items,0))),NA(),INDEX(big_daily_table,MATCH(DATE(T$5,$J235,$I235),daily_dates,0),MATCH($B$3,daily_items,0)))</f>
        <v>#N/A</v>
      </c>
      <c r="U235" s="1" t="str">
        <f t="array" ref="U235">IF(ISBLANK(INDEX(big_daily_table,MATCH(DATE(U$5,$J235,$I235),daily_dates,0),MATCH($B$3,daily_items,0))),NA(),INDEX(big_daily_table,MATCH(DATE(U$5,$J235,$I235),daily_dates,0),MATCH($B$3,daily_items,0)))</f>
        <v>#N/A</v>
      </c>
      <c r="V235" s="1" t="str">
        <f t="array" ref="V235">IF(ISBLANK(INDEX(big_daily_table,MATCH(DATE(V$5,$J235,$I235),daily_dates,0),MATCH($B$3,daily_items,0))),NA(),INDEX(big_daily_table,MATCH(DATE(V$5,$J235,$I235),daily_dates,0),MATCH($B$3,daily_items,0)))</f>
        <v>#N/A</v>
      </c>
      <c r="W235" s="1" t="str">
        <f t="array" ref="W235">IF(ISBLANK(INDEX(big_daily_table,MATCH(DATE(W$5,$J235,$I235),daily_dates,0),MATCH($B$3,daily_items,0))),NA(),INDEX(big_daily_table,MATCH(DATE(W$5,$J235,$I235),daily_dates,0),MATCH($B$3,daily_items,0)))</f>
        <v>#N/A</v>
      </c>
      <c r="X235" s="1" t="str">
        <f t="array" ref="X235">IF(ISBLANK(INDEX(big_daily_table,MATCH(DATE(X$5,$J235,$I235),daily_dates,0),MATCH($B$3,daily_items,0))),NA(),INDEX(big_daily_table,MATCH(DATE(X$5,$J235,$I235),daily_dates,0),MATCH($B$3,daily_items,0)))</f>
        <v>#N/A</v>
      </c>
      <c r="Y235" s="1" t="str">
        <f t="array" ref="Y235">IF(ISBLANK(INDEX(big_daily_table,MATCH(DATE(Y$5,$J235,$I235),daily_dates,0),MATCH($B$3,daily_items,0))),NA(),INDEX(big_daily_table,MATCH(DATE(Y$5,$J235,$I235),daily_dates,0),MATCH($B$3,daily_items,0)))</f>
        <v>#N/A</v>
      </c>
      <c r="Z235" s="1" t="str">
        <f t="shared" si="5"/>
        <v>#NAME?</v>
      </c>
      <c r="AA235" s="1" t="str">
        <f t="shared" si="6"/>
        <v>#NAME?</v>
      </c>
      <c r="AB235" s="1" t="str">
        <f t="shared" si="7"/>
        <v>#NAME?</v>
      </c>
      <c r="AC235" s="1" t="str">
        <f t="shared" si="8"/>
        <v>#NAME?</v>
      </c>
    </row>
    <row r="236" ht="14.25" customHeight="1">
      <c r="H236" s="1">
        <f t="shared" si="9"/>
        <v>231</v>
      </c>
      <c r="I236" s="1">
        <f t="shared" si="2"/>
        <v>18</v>
      </c>
      <c r="J236" s="1">
        <f t="shared" si="3"/>
        <v>8</v>
      </c>
      <c r="K236" s="23">
        <f t="shared" si="10"/>
        <v>36756</v>
      </c>
      <c r="L236" s="24">
        <f t="shared" si="4"/>
        <v>-1000000</v>
      </c>
      <c r="M236" s="1" t="str">
        <f t="array" ref="M236">IF(K236&gt;0,INDEX(big_daily_table,MATCH(DATE(N$5,$J236,$I236),daily_dates,0),MATCH($B$3,daily_items,0)),NA())</f>
        <v>#N/A</v>
      </c>
      <c r="N236" s="1" t="str">
        <f t="array" ref="N236">IF(L236&lt;0,INDEX(big_daily_table,MATCH(DATE(N$5,$J236,$I236),daily_dates,0),MATCH($B$3,daily_items,0)),NA())</f>
        <v>#N/A</v>
      </c>
      <c r="O236" s="1" t="str">
        <f t="array" ref="O236">IF(ISBLANK(INDEX(big_daily_table,MATCH(DATE(O$5,$J236,$I236),daily_dates,0),MATCH($B$3,daily_items,0))),NA(),INDEX(big_daily_table,MATCH(DATE(O$5,$J236,$I236),daily_dates,0),MATCH($B$3,daily_items,0)))</f>
        <v>#N/A</v>
      </c>
      <c r="P236" s="1" t="str">
        <f t="array" ref="P236">IF(ISBLANK(INDEX(big_daily_table,MATCH(DATE(P$5,$J236,$I236),daily_dates,0),MATCH($B$3,daily_items,0))),NA(),INDEX(big_daily_table,MATCH(DATE(P$5,$J236,$I236),daily_dates,0),MATCH($B$3,daily_items,0)))</f>
        <v>#N/A</v>
      </c>
      <c r="Q236" s="1" t="str">
        <f t="array" ref="Q236">IF(ISBLANK(INDEX(big_daily_table,MATCH(DATE(Q$5,$J236,$I236),daily_dates,0),MATCH($B$3,daily_items,0))),NA(),INDEX(big_daily_table,MATCH(DATE(Q$5,$J236,$I236),daily_dates,0),MATCH($B$3,daily_items,0)))</f>
        <v>#N/A</v>
      </c>
      <c r="R236" s="1" t="str">
        <f t="array" ref="R236">IF(ISBLANK(INDEX(big_daily_table,MATCH(DATE(R$5,$J236,$I236),daily_dates,0),MATCH($B$3,daily_items,0))),NA(),INDEX(big_daily_table,MATCH(DATE(R$5,$J236,$I236),daily_dates,0),MATCH($B$3,daily_items,0)))</f>
        <v>#N/A</v>
      </c>
      <c r="S236" s="1" t="str">
        <f t="array" ref="S236">IF(ISBLANK(INDEX(big_daily_table,MATCH(DATE(S$5,$J236,$I236),daily_dates,0),MATCH($B$3,daily_items,0))),NA(),INDEX(big_daily_table,MATCH(DATE(S$5,$J236,$I236),daily_dates,0),MATCH($B$3,daily_items,0)))</f>
        <v>#N/A</v>
      </c>
      <c r="T236" s="1" t="str">
        <f t="array" ref="T236">IF(ISBLANK(INDEX(big_daily_table,MATCH(DATE(T$5,$J236,$I236),daily_dates,0),MATCH($B$3,daily_items,0))),NA(),INDEX(big_daily_table,MATCH(DATE(T$5,$J236,$I236),daily_dates,0),MATCH($B$3,daily_items,0)))</f>
        <v>#N/A</v>
      </c>
      <c r="U236" s="1" t="str">
        <f t="array" ref="U236">IF(ISBLANK(INDEX(big_daily_table,MATCH(DATE(U$5,$J236,$I236),daily_dates,0),MATCH($B$3,daily_items,0))),NA(),INDEX(big_daily_table,MATCH(DATE(U$5,$J236,$I236),daily_dates,0),MATCH($B$3,daily_items,0)))</f>
        <v>#N/A</v>
      </c>
      <c r="V236" s="1" t="str">
        <f t="array" ref="V236">IF(ISBLANK(INDEX(big_daily_table,MATCH(DATE(V$5,$J236,$I236),daily_dates,0),MATCH($B$3,daily_items,0))),NA(),INDEX(big_daily_table,MATCH(DATE(V$5,$J236,$I236),daily_dates,0),MATCH($B$3,daily_items,0)))</f>
        <v>#N/A</v>
      </c>
      <c r="W236" s="1" t="str">
        <f t="array" ref="W236">IF(ISBLANK(INDEX(big_daily_table,MATCH(DATE(W$5,$J236,$I236),daily_dates,0),MATCH($B$3,daily_items,0))),NA(),INDEX(big_daily_table,MATCH(DATE(W$5,$J236,$I236),daily_dates,0),MATCH($B$3,daily_items,0)))</f>
        <v>#N/A</v>
      </c>
      <c r="X236" s="1" t="str">
        <f t="array" ref="X236">IF(ISBLANK(INDEX(big_daily_table,MATCH(DATE(X$5,$J236,$I236),daily_dates,0),MATCH($B$3,daily_items,0))),NA(),INDEX(big_daily_table,MATCH(DATE(X$5,$J236,$I236),daily_dates,0),MATCH($B$3,daily_items,0)))</f>
        <v>#N/A</v>
      </c>
      <c r="Y236" s="1" t="str">
        <f t="array" ref="Y236">IF(ISBLANK(INDEX(big_daily_table,MATCH(DATE(Y$5,$J236,$I236),daily_dates,0),MATCH($B$3,daily_items,0))),NA(),INDEX(big_daily_table,MATCH(DATE(Y$5,$J236,$I236),daily_dates,0),MATCH($B$3,daily_items,0)))</f>
        <v>#N/A</v>
      </c>
      <c r="Z236" s="1" t="str">
        <f t="shared" si="5"/>
        <v>#NAME?</v>
      </c>
      <c r="AA236" s="1" t="str">
        <f t="shared" si="6"/>
        <v>#NAME?</v>
      </c>
      <c r="AB236" s="1" t="str">
        <f t="shared" si="7"/>
        <v>#NAME?</v>
      </c>
      <c r="AC236" s="1" t="str">
        <f t="shared" si="8"/>
        <v>#NAME?</v>
      </c>
    </row>
    <row r="237" ht="14.25" customHeight="1">
      <c r="H237" s="1">
        <f t="shared" si="9"/>
        <v>232</v>
      </c>
      <c r="I237" s="1">
        <f t="shared" si="2"/>
        <v>19</v>
      </c>
      <c r="J237" s="1">
        <f t="shared" si="3"/>
        <v>8</v>
      </c>
      <c r="K237" s="23">
        <f t="shared" si="10"/>
        <v>36757</v>
      </c>
      <c r="L237" s="24">
        <f t="shared" si="4"/>
        <v>-1000000</v>
      </c>
      <c r="M237" s="1" t="str">
        <f t="array" ref="M237">IF(K237&gt;0,INDEX(big_daily_table,MATCH(DATE(N$5,$J237,$I237),daily_dates,0),MATCH($B$3,daily_items,0)),NA())</f>
        <v>#N/A</v>
      </c>
      <c r="N237" s="1" t="str">
        <f t="array" ref="N237">IF(L237&lt;0,INDEX(big_daily_table,MATCH(DATE(N$5,$J237,$I237),daily_dates,0),MATCH($B$3,daily_items,0)),NA())</f>
        <v>#N/A</v>
      </c>
      <c r="O237" s="1" t="str">
        <f t="array" ref="O237">IF(ISBLANK(INDEX(big_daily_table,MATCH(DATE(O$5,$J237,$I237),daily_dates,0),MATCH($B$3,daily_items,0))),NA(),INDEX(big_daily_table,MATCH(DATE(O$5,$J237,$I237),daily_dates,0),MATCH($B$3,daily_items,0)))</f>
        <v>#N/A</v>
      </c>
      <c r="P237" s="1" t="str">
        <f t="array" ref="P237">IF(ISBLANK(INDEX(big_daily_table,MATCH(DATE(P$5,$J237,$I237),daily_dates,0),MATCH($B$3,daily_items,0))),NA(),INDEX(big_daily_table,MATCH(DATE(P$5,$J237,$I237),daily_dates,0),MATCH($B$3,daily_items,0)))</f>
        <v>#N/A</v>
      </c>
      <c r="Q237" s="1" t="str">
        <f t="array" ref="Q237">IF(ISBLANK(INDEX(big_daily_table,MATCH(DATE(Q$5,$J237,$I237),daily_dates,0),MATCH($B$3,daily_items,0))),NA(),INDEX(big_daily_table,MATCH(DATE(Q$5,$J237,$I237),daily_dates,0),MATCH($B$3,daily_items,0)))</f>
        <v>#N/A</v>
      </c>
      <c r="R237" s="1" t="str">
        <f t="array" ref="R237">IF(ISBLANK(INDEX(big_daily_table,MATCH(DATE(R$5,$J237,$I237),daily_dates,0),MATCH($B$3,daily_items,0))),NA(),INDEX(big_daily_table,MATCH(DATE(R$5,$J237,$I237),daily_dates,0),MATCH($B$3,daily_items,0)))</f>
        <v>#N/A</v>
      </c>
      <c r="S237" s="1" t="str">
        <f t="array" ref="S237">IF(ISBLANK(INDEX(big_daily_table,MATCH(DATE(S$5,$J237,$I237),daily_dates,0),MATCH($B$3,daily_items,0))),NA(),INDEX(big_daily_table,MATCH(DATE(S$5,$J237,$I237),daily_dates,0),MATCH($B$3,daily_items,0)))</f>
        <v>#N/A</v>
      </c>
      <c r="T237" s="1" t="str">
        <f t="array" ref="T237">IF(ISBLANK(INDEX(big_daily_table,MATCH(DATE(T$5,$J237,$I237),daily_dates,0),MATCH($B$3,daily_items,0))),NA(),INDEX(big_daily_table,MATCH(DATE(T$5,$J237,$I237),daily_dates,0),MATCH($B$3,daily_items,0)))</f>
        <v>#N/A</v>
      </c>
      <c r="U237" s="1" t="str">
        <f t="array" ref="U237">IF(ISBLANK(INDEX(big_daily_table,MATCH(DATE(U$5,$J237,$I237),daily_dates,0),MATCH($B$3,daily_items,0))),NA(),INDEX(big_daily_table,MATCH(DATE(U$5,$J237,$I237),daily_dates,0),MATCH($B$3,daily_items,0)))</f>
        <v>#N/A</v>
      </c>
      <c r="V237" s="1" t="str">
        <f t="array" ref="V237">IF(ISBLANK(INDEX(big_daily_table,MATCH(DATE(V$5,$J237,$I237),daily_dates,0),MATCH($B$3,daily_items,0))),NA(),INDEX(big_daily_table,MATCH(DATE(V$5,$J237,$I237),daily_dates,0),MATCH($B$3,daily_items,0)))</f>
        <v>#N/A</v>
      </c>
      <c r="W237" s="1" t="str">
        <f t="array" ref="W237">IF(ISBLANK(INDEX(big_daily_table,MATCH(DATE(W$5,$J237,$I237),daily_dates,0),MATCH($B$3,daily_items,0))),NA(),INDEX(big_daily_table,MATCH(DATE(W$5,$J237,$I237),daily_dates,0),MATCH($B$3,daily_items,0)))</f>
        <v>#N/A</v>
      </c>
      <c r="X237" s="1" t="str">
        <f t="array" ref="X237">IF(ISBLANK(INDEX(big_daily_table,MATCH(DATE(X$5,$J237,$I237),daily_dates,0),MATCH($B$3,daily_items,0))),NA(),INDEX(big_daily_table,MATCH(DATE(X$5,$J237,$I237),daily_dates,0),MATCH($B$3,daily_items,0)))</f>
        <v>#N/A</v>
      </c>
      <c r="Y237" s="1" t="str">
        <f t="array" ref="Y237">IF(ISBLANK(INDEX(big_daily_table,MATCH(DATE(Y$5,$J237,$I237),daily_dates,0),MATCH($B$3,daily_items,0))),NA(),INDEX(big_daily_table,MATCH(DATE(Y$5,$J237,$I237),daily_dates,0),MATCH($B$3,daily_items,0)))</f>
        <v>#N/A</v>
      </c>
      <c r="Z237" s="1" t="str">
        <f t="shared" si="5"/>
        <v>#NAME?</v>
      </c>
      <c r="AA237" s="1" t="str">
        <f t="shared" si="6"/>
        <v>#NAME?</v>
      </c>
      <c r="AB237" s="1" t="str">
        <f t="shared" si="7"/>
        <v>#NAME?</v>
      </c>
      <c r="AC237" s="1" t="str">
        <f t="shared" si="8"/>
        <v>#NAME?</v>
      </c>
    </row>
    <row r="238" ht="14.25" customHeight="1">
      <c r="H238" s="1">
        <f t="shared" si="9"/>
        <v>233</v>
      </c>
      <c r="I238" s="1">
        <f t="shared" si="2"/>
        <v>20</v>
      </c>
      <c r="J238" s="1">
        <f t="shared" si="3"/>
        <v>8</v>
      </c>
      <c r="K238" s="23">
        <f t="shared" si="10"/>
        <v>36758</v>
      </c>
      <c r="L238" s="24">
        <f t="shared" si="4"/>
        <v>-1000000</v>
      </c>
      <c r="M238" s="1" t="str">
        <f t="array" ref="M238">IF(K238&gt;0,INDEX(big_daily_table,MATCH(DATE(N$5,$J238,$I238),daily_dates,0),MATCH($B$3,daily_items,0)),NA())</f>
        <v>#N/A</v>
      </c>
      <c r="N238" s="1" t="str">
        <f t="array" ref="N238">IF(L238&lt;0,INDEX(big_daily_table,MATCH(DATE(N$5,$J238,$I238),daily_dates,0),MATCH($B$3,daily_items,0)),NA())</f>
        <v>#N/A</v>
      </c>
      <c r="O238" s="1" t="str">
        <f t="array" ref="O238">IF(ISBLANK(INDEX(big_daily_table,MATCH(DATE(O$5,$J238,$I238),daily_dates,0),MATCH($B$3,daily_items,0))),NA(),INDEX(big_daily_table,MATCH(DATE(O$5,$J238,$I238),daily_dates,0),MATCH($B$3,daily_items,0)))</f>
        <v>#N/A</v>
      </c>
      <c r="P238" s="1" t="str">
        <f t="array" ref="P238">IF(ISBLANK(INDEX(big_daily_table,MATCH(DATE(P$5,$J238,$I238),daily_dates,0),MATCH($B$3,daily_items,0))),NA(),INDEX(big_daily_table,MATCH(DATE(P$5,$J238,$I238),daily_dates,0),MATCH($B$3,daily_items,0)))</f>
        <v>#N/A</v>
      </c>
      <c r="Q238" s="1" t="str">
        <f t="array" ref="Q238">IF(ISBLANK(INDEX(big_daily_table,MATCH(DATE(Q$5,$J238,$I238),daily_dates,0),MATCH($B$3,daily_items,0))),NA(),INDEX(big_daily_table,MATCH(DATE(Q$5,$J238,$I238),daily_dates,0),MATCH($B$3,daily_items,0)))</f>
        <v>#N/A</v>
      </c>
      <c r="R238" s="1" t="str">
        <f t="array" ref="R238">IF(ISBLANK(INDEX(big_daily_table,MATCH(DATE(R$5,$J238,$I238),daily_dates,0),MATCH($B$3,daily_items,0))),NA(),INDEX(big_daily_table,MATCH(DATE(R$5,$J238,$I238),daily_dates,0),MATCH($B$3,daily_items,0)))</f>
        <v>#N/A</v>
      </c>
      <c r="S238" s="1" t="str">
        <f t="array" ref="S238">IF(ISBLANK(INDEX(big_daily_table,MATCH(DATE(S$5,$J238,$I238),daily_dates,0),MATCH($B$3,daily_items,0))),NA(),INDEX(big_daily_table,MATCH(DATE(S$5,$J238,$I238),daily_dates,0),MATCH($B$3,daily_items,0)))</f>
        <v>#N/A</v>
      </c>
      <c r="T238" s="1" t="str">
        <f t="array" ref="T238">IF(ISBLANK(INDEX(big_daily_table,MATCH(DATE(T$5,$J238,$I238),daily_dates,0),MATCH($B$3,daily_items,0))),NA(),INDEX(big_daily_table,MATCH(DATE(T$5,$J238,$I238),daily_dates,0),MATCH($B$3,daily_items,0)))</f>
        <v>#N/A</v>
      </c>
      <c r="U238" s="1" t="str">
        <f t="array" ref="U238">IF(ISBLANK(INDEX(big_daily_table,MATCH(DATE(U$5,$J238,$I238),daily_dates,0),MATCH($B$3,daily_items,0))),NA(),INDEX(big_daily_table,MATCH(DATE(U$5,$J238,$I238),daily_dates,0),MATCH($B$3,daily_items,0)))</f>
        <v>#N/A</v>
      </c>
      <c r="V238" s="1" t="str">
        <f t="array" ref="V238">IF(ISBLANK(INDEX(big_daily_table,MATCH(DATE(V$5,$J238,$I238),daily_dates,0),MATCH($B$3,daily_items,0))),NA(),INDEX(big_daily_table,MATCH(DATE(V$5,$J238,$I238),daily_dates,0),MATCH($B$3,daily_items,0)))</f>
        <v>#N/A</v>
      </c>
      <c r="W238" s="1" t="str">
        <f t="array" ref="W238">IF(ISBLANK(INDEX(big_daily_table,MATCH(DATE(W$5,$J238,$I238),daily_dates,0),MATCH($B$3,daily_items,0))),NA(),INDEX(big_daily_table,MATCH(DATE(W$5,$J238,$I238),daily_dates,0),MATCH($B$3,daily_items,0)))</f>
        <v>#N/A</v>
      </c>
      <c r="X238" s="1" t="str">
        <f t="array" ref="X238">IF(ISBLANK(INDEX(big_daily_table,MATCH(DATE(X$5,$J238,$I238),daily_dates,0),MATCH($B$3,daily_items,0))),NA(),INDEX(big_daily_table,MATCH(DATE(X$5,$J238,$I238),daily_dates,0),MATCH($B$3,daily_items,0)))</f>
        <v>#N/A</v>
      </c>
      <c r="Y238" s="1" t="str">
        <f t="array" ref="Y238">IF(ISBLANK(INDEX(big_daily_table,MATCH(DATE(Y$5,$J238,$I238),daily_dates,0),MATCH($B$3,daily_items,0))),NA(),INDEX(big_daily_table,MATCH(DATE(Y$5,$J238,$I238),daily_dates,0),MATCH($B$3,daily_items,0)))</f>
        <v>#N/A</v>
      </c>
      <c r="Z238" s="1" t="str">
        <f t="shared" si="5"/>
        <v>#NAME?</v>
      </c>
      <c r="AA238" s="1" t="str">
        <f t="shared" si="6"/>
        <v>#NAME?</v>
      </c>
      <c r="AB238" s="1" t="str">
        <f t="shared" si="7"/>
        <v>#NAME?</v>
      </c>
      <c r="AC238" s="1" t="str">
        <f t="shared" si="8"/>
        <v>#NAME?</v>
      </c>
    </row>
    <row r="239" ht="14.25" customHeight="1">
      <c r="H239" s="1">
        <f t="shared" si="9"/>
        <v>234</v>
      </c>
      <c r="I239" s="1">
        <f t="shared" si="2"/>
        <v>21</v>
      </c>
      <c r="J239" s="1">
        <f t="shared" si="3"/>
        <v>8</v>
      </c>
      <c r="K239" s="23">
        <f t="shared" si="10"/>
        <v>36759</v>
      </c>
      <c r="L239" s="24">
        <f t="shared" si="4"/>
        <v>-1000000</v>
      </c>
      <c r="M239" s="1" t="str">
        <f t="array" ref="M239">IF(K239&gt;0,INDEX(big_daily_table,MATCH(DATE(N$5,$J239,$I239),daily_dates,0),MATCH($B$3,daily_items,0)),NA())</f>
        <v>#N/A</v>
      </c>
      <c r="N239" s="1" t="str">
        <f t="array" ref="N239">IF(L239&lt;0,INDEX(big_daily_table,MATCH(DATE(N$5,$J239,$I239),daily_dates,0),MATCH($B$3,daily_items,0)),NA())</f>
        <v>#N/A</v>
      </c>
      <c r="O239" s="1" t="str">
        <f t="array" ref="O239">IF(ISBLANK(INDEX(big_daily_table,MATCH(DATE(O$5,$J239,$I239),daily_dates,0),MATCH($B$3,daily_items,0))),NA(),INDEX(big_daily_table,MATCH(DATE(O$5,$J239,$I239),daily_dates,0),MATCH($B$3,daily_items,0)))</f>
        <v>#N/A</v>
      </c>
      <c r="P239" s="1" t="str">
        <f t="array" ref="P239">IF(ISBLANK(INDEX(big_daily_table,MATCH(DATE(P$5,$J239,$I239),daily_dates,0),MATCH($B$3,daily_items,0))),NA(),INDEX(big_daily_table,MATCH(DATE(P$5,$J239,$I239),daily_dates,0),MATCH($B$3,daily_items,0)))</f>
        <v>#N/A</v>
      </c>
      <c r="Q239" s="1" t="str">
        <f t="array" ref="Q239">IF(ISBLANK(INDEX(big_daily_table,MATCH(DATE(Q$5,$J239,$I239),daily_dates,0),MATCH($B$3,daily_items,0))),NA(),INDEX(big_daily_table,MATCH(DATE(Q$5,$J239,$I239),daily_dates,0),MATCH($B$3,daily_items,0)))</f>
        <v>#N/A</v>
      </c>
      <c r="R239" s="1" t="str">
        <f t="array" ref="R239">IF(ISBLANK(INDEX(big_daily_table,MATCH(DATE(R$5,$J239,$I239),daily_dates,0),MATCH($B$3,daily_items,0))),NA(),INDEX(big_daily_table,MATCH(DATE(R$5,$J239,$I239),daily_dates,0),MATCH($B$3,daily_items,0)))</f>
        <v>#N/A</v>
      </c>
      <c r="S239" s="1" t="str">
        <f t="array" ref="S239">IF(ISBLANK(INDEX(big_daily_table,MATCH(DATE(S$5,$J239,$I239),daily_dates,0),MATCH($B$3,daily_items,0))),NA(),INDEX(big_daily_table,MATCH(DATE(S$5,$J239,$I239),daily_dates,0),MATCH($B$3,daily_items,0)))</f>
        <v>#N/A</v>
      </c>
      <c r="T239" s="1" t="str">
        <f t="array" ref="T239">IF(ISBLANK(INDEX(big_daily_table,MATCH(DATE(T$5,$J239,$I239),daily_dates,0),MATCH($B$3,daily_items,0))),NA(),INDEX(big_daily_table,MATCH(DATE(T$5,$J239,$I239),daily_dates,0),MATCH($B$3,daily_items,0)))</f>
        <v>#N/A</v>
      </c>
      <c r="U239" s="1" t="str">
        <f t="array" ref="U239">IF(ISBLANK(INDEX(big_daily_table,MATCH(DATE(U$5,$J239,$I239),daily_dates,0),MATCH($B$3,daily_items,0))),NA(),INDEX(big_daily_table,MATCH(DATE(U$5,$J239,$I239),daily_dates,0),MATCH($B$3,daily_items,0)))</f>
        <v>#N/A</v>
      </c>
      <c r="V239" s="1" t="str">
        <f t="array" ref="V239">IF(ISBLANK(INDEX(big_daily_table,MATCH(DATE(V$5,$J239,$I239),daily_dates,0),MATCH($B$3,daily_items,0))),NA(),INDEX(big_daily_table,MATCH(DATE(V$5,$J239,$I239),daily_dates,0),MATCH($B$3,daily_items,0)))</f>
        <v>#N/A</v>
      </c>
      <c r="W239" s="1" t="str">
        <f t="array" ref="W239">IF(ISBLANK(INDEX(big_daily_table,MATCH(DATE(W$5,$J239,$I239),daily_dates,0),MATCH($B$3,daily_items,0))),NA(),INDEX(big_daily_table,MATCH(DATE(W$5,$J239,$I239),daily_dates,0),MATCH($B$3,daily_items,0)))</f>
        <v>#N/A</v>
      </c>
      <c r="X239" s="1" t="str">
        <f t="array" ref="X239">IF(ISBLANK(INDEX(big_daily_table,MATCH(DATE(X$5,$J239,$I239),daily_dates,0),MATCH($B$3,daily_items,0))),NA(),INDEX(big_daily_table,MATCH(DATE(X$5,$J239,$I239),daily_dates,0),MATCH($B$3,daily_items,0)))</f>
        <v>#N/A</v>
      </c>
      <c r="Y239" s="1" t="str">
        <f t="array" ref="Y239">IF(ISBLANK(INDEX(big_daily_table,MATCH(DATE(Y$5,$J239,$I239),daily_dates,0),MATCH($B$3,daily_items,0))),NA(),INDEX(big_daily_table,MATCH(DATE(Y$5,$J239,$I239),daily_dates,0),MATCH($B$3,daily_items,0)))</f>
        <v>#N/A</v>
      </c>
      <c r="Z239" s="1" t="str">
        <f t="shared" si="5"/>
        <v>#NAME?</v>
      </c>
      <c r="AA239" s="1" t="str">
        <f t="shared" si="6"/>
        <v>#NAME?</v>
      </c>
      <c r="AB239" s="1" t="str">
        <f t="shared" si="7"/>
        <v>#NAME?</v>
      </c>
      <c r="AC239" s="1" t="str">
        <f t="shared" si="8"/>
        <v>#NAME?</v>
      </c>
    </row>
    <row r="240" ht="14.25" customHeight="1">
      <c r="H240" s="1">
        <f t="shared" si="9"/>
        <v>235</v>
      </c>
      <c r="I240" s="1">
        <f t="shared" si="2"/>
        <v>22</v>
      </c>
      <c r="J240" s="1">
        <f t="shared" si="3"/>
        <v>8</v>
      </c>
      <c r="K240" s="23">
        <f t="shared" si="10"/>
        <v>36760</v>
      </c>
      <c r="L240" s="24">
        <f t="shared" si="4"/>
        <v>-1000000</v>
      </c>
      <c r="M240" s="1" t="str">
        <f t="array" ref="M240">IF(K240&gt;0,INDEX(big_daily_table,MATCH(DATE(N$5,$J240,$I240),daily_dates,0),MATCH($B$3,daily_items,0)),NA())</f>
        <v>#N/A</v>
      </c>
      <c r="N240" s="1" t="str">
        <f t="array" ref="N240">IF(L240&lt;0,INDEX(big_daily_table,MATCH(DATE(N$5,$J240,$I240),daily_dates,0),MATCH($B$3,daily_items,0)),NA())</f>
        <v>#N/A</v>
      </c>
      <c r="O240" s="1" t="str">
        <f t="array" ref="O240">IF(ISBLANK(INDEX(big_daily_table,MATCH(DATE(O$5,$J240,$I240),daily_dates,0),MATCH($B$3,daily_items,0))),NA(),INDEX(big_daily_table,MATCH(DATE(O$5,$J240,$I240),daily_dates,0),MATCH($B$3,daily_items,0)))</f>
        <v>#N/A</v>
      </c>
      <c r="P240" s="1" t="str">
        <f t="array" ref="P240">IF(ISBLANK(INDEX(big_daily_table,MATCH(DATE(P$5,$J240,$I240),daily_dates,0),MATCH($B$3,daily_items,0))),NA(),INDEX(big_daily_table,MATCH(DATE(P$5,$J240,$I240),daily_dates,0),MATCH($B$3,daily_items,0)))</f>
        <v>#N/A</v>
      </c>
      <c r="Q240" s="1" t="str">
        <f t="array" ref="Q240">IF(ISBLANK(INDEX(big_daily_table,MATCH(DATE(Q$5,$J240,$I240),daily_dates,0),MATCH($B$3,daily_items,0))),NA(),INDEX(big_daily_table,MATCH(DATE(Q$5,$J240,$I240),daily_dates,0),MATCH($B$3,daily_items,0)))</f>
        <v>#N/A</v>
      </c>
      <c r="R240" s="1" t="str">
        <f t="array" ref="R240">IF(ISBLANK(INDEX(big_daily_table,MATCH(DATE(R$5,$J240,$I240),daily_dates,0),MATCH($B$3,daily_items,0))),NA(),INDEX(big_daily_table,MATCH(DATE(R$5,$J240,$I240),daily_dates,0),MATCH($B$3,daily_items,0)))</f>
        <v>#N/A</v>
      </c>
      <c r="S240" s="1" t="str">
        <f t="array" ref="S240">IF(ISBLANK(INDEX(big_daily_table,MATCH(DATE(S$5,$J240,$I240),daily_dates,0),MATCH($B$3,daily_items,0))),NA(),INDEX(big_daily_table,MATCH(DATE(S$5,$J240,$I240),daily_dates,0),MATCH($B$3,daily_items,0)))</f>
        <v>#N/A</v>
      </c>
      <c r="T240" s="1" t="str">
        <f t="array" ref="T240">IF(ISBLANK(INDEX(big_daily_table,MATCH(DATE(T$5,$J240,$I240),daily_dates,0),MATCH($B$3,daily_items,0))),NA(),INDEX(big_daily_table,MATCH(DATE(T$5,$J240,$I240),daily_dates,0),MATCH($B$3,daily_items,0)))</f>
        <v>#N/A</v>
      </c>
      <c r="U240" s="1" t="str">
        <f t="array" ref="U240">IF(ISBLANK(INDEX(big_daily_table,MATCH(DATE(U$5,$J240,$I240),daily_dates,0),MATCH($B$3,daily_items,0))),NA(),INDEX(big_daily_table,MATCH(DATE(U$5,$J240,$I240),daily_dates,0),MATCH($B$3,daily_items,0)))</f>
        <v>#N/A</v>
      </c>
      <c r="V240" s="1" t="str">
        <f t="array" ref="V240">IF(ISBLANK(INDEX(big_daily_table,MATCH(DATE(V$5,$J240,$I240),daily_dates,0),MATCH($B$3,daily_items,0))),NA(),INDEX(big_daily_table,MATCH(DATE(V$5,$J240,$I240),daily_dates,0),MATCH($B$3,daily_items,0)))</f>
        <v>#N/A</v>
      </c>
      <c r="W240" s="1" t="str">
        <f t="array" ref="W240">IF(ISBLANK(INDEX(big_daily_table,MATCH(DATE(W$5,$J240,$I240),daily_dates,0),MATCH($B$3,daily_items,0))),NA(),INDEX(big_daily_table,MATCH(DATE(W$5,$J240,$I240),daily_dates,0),MATCH($B$3,daily_items,0)))</f>
        <v>#N/A</v>
      </c>
      <c r="X240" s="1" t="str">
        <f t="array" ref="X240">IF(ISBLANK(INDEX(big_daily_table,MATCH(DATE(X$5,$J240,$I240),daily_dates,0),MATCH($B$3,daily_items,0))),NA(),INDEX(big_daily_table,MATCH(DATE(X$5,$J240,$I240),daily_dates,0),MATCH($B$3,daily_items,0)))</f>
        <v>#N/A</v>
      </c>
      <c r="Y240" s="1" t="str">
        <f t="array" ref="Y240">IF(ISBLANK(INDEX(big_daily_table,MATCH(DATE(Y$5,$J240,$I240),daily_dates,0),MATCH($B$3,daily_items,0))),NA(),INDEX(big_daily_table,MATCH(DATE(Y$5,$J240,$I240),daily_dates,0),MATCH($B$3,daily_items,0)))</f>
        <v>#N/A</v>
      </c>
      <c r="Z240" s="1" t="str">
        <f t="shared" si="5"/>
        <v>#NAME?</v>
      </c>
      <c r="AA240" s="1" t="str">
        <f t="shared" si="6"/>
        <v>#NAME?</v>
      </c>
      <c r="AB240" s="1" t="str">
        <f t="shared" si="7"/>
        <v>#NAME?</v>
      </c>
      <c r="AC240" s="1" t="str">
        <f t="shared" si="8"/>
        <v>#NAME?</v>
      </c>
    </row>
    <row r="241" ht="14.25" customHeight="1">
      <c r="H241" s="1">
        <f t="shared" si="9"/>
        <v>236</v>
      </c>
      <c r="I241" s="1">
        <f t="shared" si="2"/>
        <v>23</v>
      </c>
      <c r="J241" s="1">
        <f t="shared" si="3"/>
        <v>8</v>
      </c>
      <c r="K241" s="23">
        <f t="shared" si="10"/>
        <v>36761</v>
      </c>
      <c r="L241" s="24">
        <f t="shared" si="4"/>
        <v>-1000000</v>
      </c>
      <c r="M241" s="1" t="str">
        <f t="array" ref="M241">IF(K241&gt;0,INDEX(big_daily_table,MATCH(DATE(N$5,$J241,$I241),daily_dates,0),MATCH($B$3,daily_items,0)),NA())</f>
        <v>#N/A</v>
      </c>
      <c r="N241" s="1" t="str">
        <f t="array" ref="N241">IF(L241&lt;0,INDEX(big_daily_table,MATCH(DATE(N$5,$J241,$I241),daily_dates,0),MATCH($B$3,daily_items,0)),NA())</f>
        <v>#N/A</v>
      </c>
      <c r="O241" s="1" t="str">
        <f t="array" ref="O241">IF(ISBLANK(INDEX(big_daily_table,MATCH(DATE(O$5,$J241,$I241),daily_dates,0),MATCH($B$3,daily_items,0))),NA(),INDEX(big_daily_table,MATCH(DATE(O$5,$J241,$I241),daily_dates,0),MATCH($B$3,daily_items,0)))</f>
        <v>#N/A</v>
      </c>
      <c r="P241" s="1" t="str">
        <f t="array" ref="P241">IF(ISBLANK(INDEX(big_daily_table,MATCH(DATE(P$5,$J241,$I241),daily_dates,0),MATCH($B$3,daily_items,0))),NA(),INDEX(big_daily_table,MATCH(DATE(P$5,$J241,$I241),daily_dates,0),MATCH($B$3,daily_items,0)))</f>
        <v>#N/A</v>
      </c>
      <c r="Q241" s="1" t="str">
        <f t="array" ref="Q241">IF(ISBLANK(INDEX(big_daily_table,MATCH(DATE(Q$5,$J241,$I241),daily_dates,0),MATCH($B$3,daily_items,0))),NA(),INDEX(big_daily_table,MATCH(DATE(Q$5,$J241,$I241),daily_dates,0),MATCH($B$3,daily_items,0)))</f>
        <v>#N/A</v>
      </c>
      <c r="R241" s="1" t="str">
        <f t="array" ref="R241">IF(ISBLANK(INDEX(big_daily_table,MATCH(DATE(R$5,$J241,$I241),daily_dates,0),MATCH($B$3,daily_items,0))),NA(),INDEX(big_daily_table,MATCH(DATE(R$5,$J241,$I241),daily_dates,0),MATCH($B$3,daily_items,0)))</f>
        <v>#N/A</v>
      </c>
      <c r="S241" s="1" t="str">
        <f t="array" ref="S241">IF(ISBLANK(INDEX(big_daily_table,MATCH(DATE(S$5,$J241,$I241),daily_dates,0),MATCH($B$3,daily_items,0))),NA(),INDEX(big_daily_table,MATCH(DATE(S$5,$J241,$I241),daily_dates,0),MATCH($B$3,daily_items,0)))</f>
        <v>#N/A</v>
      </c>
      <c r="T241" s="1" t="str">
        <f t="array" ref="T241">IF(ISBLANK(INDEX(big_daily_table,MATCH(DATE(T$5,$J241,$I241),daily_dates,0),MATCH($B$3,daily_items,0))),NA(),INDEX(big_daily_table,MATCH(DATE(T$5,$J241,$I241),daily_dates,0),MATCH($B$3,daily_items,0)))</f>
        <v>#N/A</v>
      </c>
      <c r="U241" s="1" t="str">
        <f t="array" ref="U241">IF(ISBLANK(INDEX(big_daily_table,MATCH(DATE(U$5,$J241,$I241),daily_dates,0),MATCH($B$3,daily_items,0))),NA(),INDEX(big_daily_table,MATCH(DATE(U$5,$J241,$I241),daily_dates,0),MATCH($B$3,daily_items,0)))</f>
        <v>#N/A</v>
      </c>
      <c r="V241" s="1" t="str">
        <f t="array" ref="V241">IF(ISBLANK(INDEX(big_daily_table,MATCH(DATE(V$5,$J241,$I241),daily_dates,0),MATCH($B$3,daily_items,0))),NA(),INDEX(big_daily_table,MATCH(DATE(V$5,$J241,$I241),daily_dates,0),MATCH($B$3,daily_items,0)))</f>
        <v>#N/A</v>
      </c>
      <c r="W241" s="1" t="str">
        <f t="array" ref="W241">IF(ISBLANK(INDEX(big_daily_table,MATCH(DATE(W$5,$J241,$I241),daily_dates,0),MATCH($B$3,daily_items,0))),NA(),INDEX(big_daily_table,MATCH(DATE(W$5,$J241,$I241),daily_dates,0),MATCH($B$3,daily_items,0)))</f>
        <v>#N/A</v>
      </c>
      <c r="X241" s="1" t="str">
        <f t="array" ref="X241">IF(ISBLANK(INDEX(big_daily_table,MATCH(DATE(X$5,$J241,$I241),daily_dates,0),MATCH($B$3,daily_items,0))),NA(),INDEX(big_daily_table,MATCH(DATE(X$5,$J241,$I241),daily_dates,0),MATCH($B$3,daily_items,0)))</f>
        <v>#N/A</v>
      </c>
      <c r="Y241" s="1" t="str">
        <f t="array" ref="Y241">IF(ISBLANK(INDEX(big_daily_table,MATCH(DATE(Y$5,$J241,$I241),daily_dates,0),MATCH($B$3,daily_items,0))),NA(),INDEX(big_daily_table,MATCH(DATE(Y$5,$J241,$I241),daily_dates,0),MATCH($B$3,daily_items,0)))</f>
        <v>#N/A</v>
      </c>
      <c r="Z241" s="1" t="str">
        <f t="shared" si="5"/>
        <v>#NAME?</v>
      </c>
      <c r="AA241" s="1" t="str">
        <f t="shared" si="6"/>
        <v>#NAME?</v>
      </c>
      <c r="AB241" s="1" t="str">
        <f t="shared" si="7"/>
        <v>#NAME?</v>
      </c>
      <c r="AC241" s="1" t="str">
        <f t="shared" si="8"/>
        <v>#NAME?</v>
      </c>
    </row>
    <row r="242" ht="14.25" customHeight="1">
      <c r="H242" s="1">
        <f t="shared" si="9"/>
        <v>237</v>
      </c>
      <c r="I242" s="1">
        <f t="shared" si="2"/>
        <v>24</v>
      </c>
      <c r="J242" s="1">
        <f t="shared" si="3"/>
        <v>8</v>
      </c>
      <c r="K242" s="23">
        <f t="shared" si="10"/>
        <v>36762</v>
      </c>
      <c r="L242" s="24">
        <f t="shared" si="4"/>
        <v>-1000000</v>
      </c>
      <c r="M242" s="1" t="str">
        <f t="array" ref="M242">IF(K242&gt;0,INDEX(big_daily_table,MATCH(DATE(N$5,$J242,$I242),daily_dates,0),MATCH($B$3,daily_items,0)),NA())</f>
        <v>#N/A</v>
      </c>
      <c r="N242" s="1" t="str">
        <f t="array" ref="N242">IF(L242&lt;0,INDEX(big_daily_table,MATCH(DATE(N$5,$J242,$I242),daily_dates,0),MATCH($B$3,daily_items,0)),NA())</f>
        <v>#N/A</v>
      </c>
      <c r="O242" s="1" t="str">
        <f t="array" ref="O242">IF(ISBLANK(INDEX(big_daily_table,MATCH(DATE(O$5,$J242,$I242),daily_dates,0),MATCH($B$3,daily_items,0))),NA(),INDEX(big_daily_table,MATCH(DATE(O$5,$J242,$I242),daily_dates,0),MATCH($B$3,daily_items,0)))</f>
        <v>#N/A</v>
      </c>
      <c r="P242" s="1" t="str">
        <f t="array" ref="P242">IF(ISBLANK(INDEX(big_daily_table,MATCH(DATE(P$5,$J242,$I242),daily_dates,0),MATCH($B$3,daily_items,0))),NA(),INDEX(big_daily_table,MATCH(DATE(P$5,$J242,$I242),daily_dates,0),MATCH($B$3,daily_items,0)))</f>
        <v>#N/A</v>
      </c>
      <c r="Q242" s="1" t="str">
        <f t="array" ref="Q242">IF(ISBLANK(INDEX(big_daily_table,MATCH(DATE(Q$5,$J242,$I242),daily_dates,0),MATCH($B$3,daily_items,0))),NA(),INDEX(big_daily_table,MATCH(DATE(Q$5,$J242,$I242),daily_dates,0),MATCH($B$3,daily_items,0)))</f>
        <v>#N/A</v>
      </c>
      <c r="R242" s="1" t="str">
        <f t="array" ref="R242">IF(ISBLANK(INDEX(big_daily_table,MATCH(DATE(R$5,$J242,$I242),daily_dates,0),MATCH($B$3,daily_items,0))),NA(),INDEX(big_daily_table,MATCH(DATE(R$5,$J242,$I242),daily_dates,0),MATCH($B$3,daily_items,0)))</f>
        <v>#N/A</v>
      </c>
      <c r="S242" s="1" t="str">
        <f t="array" ref="S242">IF(ISBLANK(INDEX(big_daily_table,MATCH(DATE(S$5,$J242,$I242),daily_dates,0),MATCH($B$3,daily_items,0))),NA(),INDEX(big_daily_table,MATCH(DATE(S$5,$J242,$I242),daily_dates,0),MATCH($B$3,daily_items,0)))</f>
        <v>#N/A</v>
      </c>
      <c r="T242" s="1" t="str">
        <f t="array" ref="T242">IF(ISBLANK(INDEX(big_daily_table,MATCH(DATE(T$5,$J242,$I242),daily_dates,0),MATCH($B$3,daily_items,0))),NA(),INDEX(big_daily_table,MATCH(DATE(T$5,$J242,$I242),daily_dates,0),MATCH($B$3,daily_items,0)))</f>
        <v>#N/A</v>
      </c>
      <c r="U242" s="1" t="str">
        <f t="array" ref="U242">IF(ISBLANK(INDEX(big_daily_table,MATCH(DATE(U$5,$J242,$I242),daily_dates,0),MATCH($B$3,daily_items,0))),NA(),INDEX(big_daily_table,MATCH(DATE(U$5,$J242,$I242),daily_dates,0),MATCH($B$3,daily_items,0)))</f>
        <v>#N/A</v>
      </c>
      <c r="V242" s="1" t="str">
        <f t="array" ref="V242">IF(ISBLANK(INDEX(big_daily_table,MATCH(DATE(V$5,$J242,$I242),daily_dates,0),MATCH($B$3,daily_items,0))),NA(),INDEX(big_daily_table,MATCH(DATE(V$5,$J242,$I242),daily_dates,0),MATCH($B$3,daily_items,0)))</f>
        <v>#N/A</v>
      </c>
      <c r="W242" s="1" t="str">
        <f t="array" ref="W242">IF(ISBLANK(INDEX(big_daily_table,MATCH(DATE(W$5,$J242,$I242),daily_dates,0),MATCH($B$3,daily_items,0))),NA(),INDEX(big_daily_table,MATCH(DATE(W$5,$J242,$I242),daily_dates,0),MATCH($B$3,daily_items,0)))</f>
        <v>#N/A</v>
      </c>
      <c r="X242" s="1" t="str">
        <f t="array" ref="X242">IF(ISBLANK(INDEX(big_daily_table,MATCH(DATE(X$5,$J242,$I242),daily_dates,0),MATCH($B$3,daily_items,0))),NA(),INDEX(big_daily_table,MATCH(DATE(X$5,$J242,$I242),daily_dates,0),MATCH($B$3,daily_items,0)))</f>
        <v>#N/A</v>
      </c>
      <c r="Y242" s="1" t="str">
        <f t="array" ref="Y242">IF(ISBLANK(INDEX(big_daily_table,MATCH(DATE(Y$5,$J242,$I242),daily_dates,0),MATCH($B$3,daily_items,0))),NA(),INDEX(big_daily_table,MATCH(DATE(Y$5,$J242,$I242),daily_dates,0),MATCH($B$3,daily_items,0)))</f>
        <v>#N/A</v>
      </c>
      <c r="Z242" s="1" t="str">
        <f t="shared" si="5"/>
        <v>#NAME?</v>
      </c>
      <c r="AA242" s="1" t="str">
        <f t="shared" si="6"/>
        <v>#NAME?</v>
      </c>
      <c r="AB242" s="1" t="str">
        <f t="shared" si="7"/>
        <v>#NAME?</v>
      </c>
      <c r="AC242" s="1" t="str">
        <f t="shared" si="8"/>
        <v>#NAME?</v>
      </c>
    </row>
    <row r="243" ht="14.25" customHeight="1">
      <c r="H243" s="1">
        <f t="shared" si="9"/>
        <v>238</v>
      </c>
      <c r="I243" s="1">
        <f t="shared" si="2"/>
        <v>25</v>
      </c>
      <c r="J243" s="1">
        <f t="shared" si="3"/>
        <v>8</v>
      </c>
      <c r="K243" s="23">
        <f t="shared" si="10"/>
        <v>36763</v>
      </c>
      <c r="L243" s="24">
        <f t="shared" si="4"/>
        <v>-1000000</v>
      </c>
      <c r="M243" s="1" t="str">
        <f t="array" ref="M243">IF(K243&gt;0,INDEX(big_daily_table,MATCH(DATE(N$5,$J243,$I243),daily_dates,0),MATCH($B$3,daily_items,0)),NA())</f>
        <v>#N/A</v>
      </c>
      <c r="N243" s="1" t="str">
        <f t="array" ref="N243">IF(L243&lt;0,INDEX(big_daily_table,MATCH(DATE(N$5,$J243,$I243),daily_dates,0),MATCH($B$3,daily_items,0)),NA())</f>
        <v>#N/A</v>
      </c>
      <c r="O243" s="1" t="str">
        <f t="array" ref="O243">IF(ISBLANK(INDEX(big_daily_table,MATCH(DATE(O$5,$J243,$I243),daily_dates,0),MATCH($B$3,daily_items,0))),NA(),INDEX(big_daily_table,MATCH(DATE(O$5,$J243,$I243),daily_dates,0),MATCH($B$3,daily_items,0)))</f>
        <v>#N/A</v>
      </c>
      <c r="P243" s="1" t="str">
        <f t="array" ref="P243">IF(ISBLANK(INDEX(big_daily_table,MATCH(DATE(P$5,$J243,$I243),daily_dates,0),MATCH($B$3,daily_items,0))),NA(),INDEX(big_daily_table,MATCH(DATE(P$5,$J243,$I243),daily_dates,0),MATCH($B$3,daily_items,0)))</f>
        <v>#N/A</v>
      </c>
      <c r="Q243" s="1" t="str">
        <f t="array" ref="Q243">IF(ISBLANK(INDEX(big_daily_table,MATCH(DATE(Q$5,$J243,$I243),daily_dates,0),MATCH($B$3,daily_items,0))),NA(),INDEX(big_daily_table,MATCH(DATE(Q$5,$J243,$I243),daily_dates,0),MATCH($B$3,daily_items,0)))</f>
        <v>#N/A</v>
      </c>
      <c r="R243" s="1" t="str">
        <f t="array" ref="R243">IF(ISBLANK(INDEX(big_daily_table,MATCH(DATE(R$5,$J243,$I243),daily_dates,0),MATCH($B$3,daily_items,0))),NA(),INDEX(big_daily_table,MATCH(DATE(R$5,$J243,$I243),daily_dates,0),MATCH($B$3,daily_items,0)))</f>
        <v>#N/A</v>
      </c>
      <c r="S243" s="1" t="str">
        <f t="array" ref="S243">IF(ISBLANK(INDEX(big_daily_table,MATCH(DATE(S$5,$J243,$I243),daily_dates,0),MATCH($B$3,daily_items,0))),NA(),INDEX(big_daily_table,MATCH(DATE(S$5,$J243,$I243),daily_dates,0),MATCH($B$3,daily_items,0)))</f>
        <v>#N/A</v>
      </c>
      <c r="T243" s="1" t="str">
        <f t="array" ref="T243">IF(ISBLANK(INDEX(big_daily_table,MATCH(DATE(T$5,$J243,$I243),daily_dates,0),MATCH($B$3,daily_items,0))),NA(),INDEX(big_daily_table,MATCH(DATE(T$5,$J243,$I243),daily_dates,0),MATCH($B$3,daily_items,0)))</f>
        <v>#N/A</v>
      </c>
      <c r="U243" s="1" t="str">
        <f t="array" ref="U243">IF(ISBLANK(INDEX(big_daily_table,MATCH(DATE(U$5,$J243,$I243),daily_dates,0),MATCH($B$3,daily_items,0))),NA(),INDEX(big_daily_table,MATCH(DATE(U$5,$J243,$I243),daily_dates,0),MATCH($B$3,daily_items,0)))</f>
        <v>#N/A</v>
      </c>
      <c r="V243" s="1" t="str">
        <f t="array" ref="V243">IF(ISBLANK(INDEX(big_daily_table,MATCH(DATE(V$5,$J243,$I243),daily_dates,0),MATCH($B$3,daily_items,0))),NA(),INDEX(big_daily_table,MATCH(DATE(V$5,$J243,$I243),daily_dates,0),MATCH($B$3,daily_items,0)))</f>
        <v>#N/A</v>
      </c>
      <c r="W243" s="1" t="str">
        <f t="array" ref="W243">IF(ISBLANK(INDEX(big_daily_table,MATCH(DATE(W$5,$J243,$I243),daily_dates,0),MATCH($B$3,daily_items,0))),NA(),INDEX(big_daily_table,MATCH(DATE(W$5,$J243,$I243),daily_dates,0),MATCH($B$3,daily_items,0)))</f>
        <v>#N/A</v>
      </c>
      <c r="X243" s="1" t="str">
        <f t="array" ref="X243">IF(ISBLANK(INDEX(big_daily_table,MATCH(DATE(X$5,$J243,$I243),daily_dates,0),MATCH($B$3,daily_items,0))),NA(),INDEX(big_daily_table,MATCH(DATE(X$5,$J243,$I243),daily_dates,0),MATCH($B$3,daily_items,0)))</f>
        <v>#N/A</v>
      </c>
      <c r="Y243" s="1" t="str">
        <f t="array" ref="Y243">IF(ISBLANK(INDEX(big_daily_table,MATCH(DATE(Y$5,$J243,$I243),daily_dates,0),MATCH($B$3,daily_items,0))),NA(),INDEX(big_daily_table,MATCH(DATE(Y$5,$J243,$I243),daily_dates,0),MATCH($B$3,daily_items,0)))</f>
        <v>#N/A</v>
      </c>
      <c r="Z243" s="1" t="str">
        <f t="shared" si="5"/>
        <v>#NAME?</v>
      </c>
      <c r="AA243" s="1" t="str">
        <f t="shared" si="6"/>
        <v>#NAME?</v>
      </c>
      <c r="AB243" s="1" t="str">
        <f t="shared" si="7"/>
        <v>#NAME?</v>
      </c>
      <c r="AC243" s="1" t="str">
        <f t="shared" si="8"/>
        <v>#NAME?</v>
      </c>
    </row>
    <row r="244" ht="14.25" customHeight="1">
      <c r="H244" s="1">
        <f t="shared" si="9"/>
        <v>239</v>
      </c>
      <c r="I244" s="1">
        <f t="shared" si="2"/>
        <v>26</v>
      </c>
      <c r="J244" s="1">
        <f t="shared" si="3"/>
        <v>8</v>
      </c>
      <c r="K244" s="23">
        <f t="shared" si="10"/>
        <v>36764</v>
      </c>
      <c r="L244" s="24">
        <f t="shared" si="4"/>
        <v>-1000000</v>
      </c>
      <c r="M244" s="1" t="str">
        <f t="array" ref="M244">IF(K244&gt;0,INDEX(big_daily_table,MATCH(DATE(N$5,$J244,$I244),daily_dates,0),MATCH($B$3,daily_items,0)),NA())</f>
        <v>#N/A</v>
      </c>
      <c r="N244" s="1" t="str">
        <f t="array" ref="N244">IF(L244&lt;0,INDEX(big_daily_table,MATCH(DATE(N$5,$J244,$I244),daily_dates,0),MATCH($B$3,daily_items,0)),NA())</f>
        <v>#N/A</v>
      </c>
      <c r="O244" s="1" t="str">
        <f t="array" ref="O244">IF(ISBLANK(INDEX(big_daily_table,MATCH(DATE(O$5,$J244,$I244),daily_dates,0),MATCH($B$3,daily_items,0))),NA(),INDEX(big_daily_table,MATCH(DATE(O$5,$J244,$I244),daily_dates,0),MATCH($B$3,daily_items,0)))</f>
        <v>#N/A</v>
      </c>
      <c r="P244" s="1" t="str">
        <f t="array" ref="P244">IF(ISBLANK(INDEX(big_daily_table,MATCH(DATE(P$5,$J244,$I244),daily_dates,0),MATCH($B$3,daily_items,0))),NA(),INDEX(big_daily_table,MATCH(DATE(P$5,$J244,$I244),daily_dates,0),MATCH($B$3,daily_items,0)))</f>
        <v>#N/A</v>
      </c>
      <c r="Q244" s="1" t="str">
        <f t="array" ref="Q244">IF(ISBLANK(INDEX(big_daily_table,MATCH(DATE(Q$5,$J244,$I244),daily_dates,0),MATCH($B$3,daily_items,0))),NA(),INDEX(big_daily_table,MATCH(DATE(Q$5,$J244,$I244),daily_dates,0),MATCH($B$3,daily_items,0)))</f>
        <v>#N/A</v>
      </c>
      <c r="R244" s="1" t="str">
        <f t="array" ref="R244">IF(ISBLANK(INDEX(big_daily_table,MATCH(DATE(R$5,$J244,$I244),daily_dates,0),MATCH($B$3,daily_items,0))),NA(),INDEX(big_daily_table,MATCH(DATE(R$5,$J244,$I244),daily_dates,0),MATCH($B$3,daily_items,0)))</f>
        <v>#N/A</v>
      </c>
      <c r="S244" s="1" t="str">
        <f t="array" ref="S244">IF(ISBLANK(INDEX(big_daily_table,MATCH(DATE(S$5,$J244,$I244),daily_dates,0),MATCH($B$3,daily_items,0))),NA(),INDEX(big_daily_table,MATCH(DATE(S$5,$J244,$I244),daily_dates,0),MATCH($B$3,daily_items,0)))</f>
        <v>#N/A</v>
      </c>
      <c r="T244" s="1" t="str">
        <f t="array" ref="T244">IF(ISBLANK(INDEX(big_daily_table,MATCH(DATE(T$5,$J244,$I244),daily_dates,0),MATCH($B$3,daily_items,0))),NA(),INDEX(big_daily_table,MATCH(DATE(T$5,$J244,$I244),daily_dates,0),MATCH($B$3,daily_items,0)))</f>
        <v>#N/A</v>
      </c>
      <c r="U244" s="1" t="str">
        <f t="array" ref="U244">IF(ISBLANK(INDEX(big_daily_table,MATCH(DATE(U$5,$J244,$I244),daily_dates,0),MATCH($B$3,daily_items,0))),NA(),INDEX(big_daily_table,MATCH(DATE(U$5,$J244,$I244),daily_dates,0),MATCH($B$3,daily_items,0)))</f>
        <v>#N/A</v>
      </c>
      <c r="V244" s="1" t="str">
        <f t="array" ref="V244">IF(ISBLANK(INDEX(big_daily_table,MATCH(DATE(V$5,$J244,$I244),daily_dates,0),MATCH($B$3,daily_items,0))),NA(),INDEX(big_daily_table,MATCH(DATE(V$5,$J244,$I244),daily_dates,0),MATCH($B$3,daily_items,0)))</f>
        <v>#N/A</v>
      </c>
      <c r="W244" s="1" t="str">
        <f t="array" ref="W244">IF(ISBLANK(INDEX(big_daily_table,MATCH(DATE(W$5,$J244,$I244),daily_dates,0),MATCH($B$3,daily_items,0))),NA(),INDEX(big_daily_table,MATCH(DATE(W$5,$J244,$I244),daily_dates,0),MATCH($B$3,daily_items,0)))</f>
        <v>#N/A</v>
      </c>
      <c r="X244" s="1" t="str">
        <f t="array" ref="X244">IF(ISBLANK(INDEX(big_daily_table,MATCH(DATE(X$5,$J244,$I244),daily_dates,0),MATCH($B$3,daily_items,0))),NA(),INDEX(big_daily_table,MATCH(DATE(X$5,$J244,$I244),daily_dates,0),MATCH($B$3,daily_items,0)))</f>
        <v>#N/A</v>
      </c>
      <c r="Y244" s="1" t="str">
        <f t="array" ref="Y244">IF(ISBLANK(INDEX(big_daily_table,MATCH(DATE(Y$5,$J244,$I244),daily_dates,0),MATCH($B$3,daily_items,0))),NA(),INDEX(big_daily_table,MATCH(DATE(Y$5,$J244,$I244),daily_dates,0),MATCH($B$3,daily_items,0)))</f>
        <v>#N/A</v>
      </c>
      <c r="Z244" s="1" t="str">
        <f t="shared" si="5"/>
        <v>#NAME?</v>
      </c>
      <c r="AA244" s="1" t="str">
        <f t="shared" si="6"/>
        <v>#NAME?</v>
      </c>
      <c r="AB244" s="1" t="str">
        <f t="shared" si="7"/>
        <v>#NAME?</v>
      </c>
      <c r="AC244" s="1" t="str">
        <f t="shared" si="8"/>
        <v>#NAME?</v>
      </c>
    </row>
    <row r="245" ht="14.25" customHeight="1">
      <c r="H245" s="1">
        <f t="shared" si="9"/>
        <v>240</v>
      </c>
      <c r="I245" s="1">
        <f t="shared" si="2"/>
        <v>27</v>
      </c>
      <c r="J245" s="1">
        <f t="shared" si="3"/>
        <v>8</v>
      </c>
      <c r="K245" s="23">
        <f t="shared" si="10"/>
        <v>36765</v>
      </c>
      <c r="L245" s="24">
        <f t="shared" si="4"/>
        <v>-1000000</v>
      </c>
      <c r="M245" s="1" t="str">
        <f t="array" ref="M245">IF(K245&gt;0,INDEX(big_daily_table,MATCH(DATE(N$5,$J245,$I245),daily_dates,0),MATCH($B$3,daily_items,0)),NA())</f>
        <v>#N/A</v>
      </c>
      <c r="N245" s="1" t="str">
        <f t="array" ref="N245">IF(L245&lt;0,INDEX(big_daily_table,MATCH(DATE(N$5,$J245,$I245),daily_dates,0),MATCH($B$3,daily_items,0)),NA())</f>
        <v>#N/A</v>
      </c>
      <c r="O245" s="1" t="str">
        <f t="array" ref="O245">IF(ISBLANK(INDEX(big_daily_table,MATCH(DATE(O$5,$J245,$I245),daily_dates,0),MATCH($B$3,daily_items,0))),NA(),INDEX(big_daily_table,MATCH(DATE(O$5,$J245,$I245),daily_dates,0),MATCH($B$3,daily_items,0)))</f>
        <v>#N/A</v>
      </c>
      <c r="P245" s="1" t="str">
        <f t="array" ref="P245">IF(ISBLANK(INDEX(big_daily_table,MATCH(DATE(P$5,$J245,$I245),daily_dates,0),MATCH($B$3,daily_items,0))),NA(),INDEX(big_daily_table,MATCH(DATE(P$5,$J245,$I245),daily_dates,0),MATCH($B$3,daily_items,0)))</f>
        <v>#N/A</v>
      </c>
      <c r="Q245" s="1" t="str">
        <f t="array" ref="Q245">IF(ISBLANK(INDEX(big_daily_table,MATCH(DATE(Q$5,$J245,$I245),daily_dates,0),MATCH($B$3,daily_items,0))),NA(),INDEX(big_daily_table,MATCH(DATE(Q$5,$J245,$I245),daily_dates,0),MATCH($B$3,daily_items,0)))</f>
        <v>#N/A</v>
      </c>
      <c r="R245" s="1" t="str">
        <f t="array" ref="R245">IF(ISBLANK(INDEX(big_daily_table,MATCH(DATE(R$5,$J245,$I245),daily_dates,0),MATCH($B$3,daily_items,0))),NA(),INDEX(big_daily_table,MATCH(DATE(R$5,$J245,$I245),daily_dates,0),MATCH($B$3,daily_items,0)))</f>
        <v>#N/A</v>
      </c>
      <c r="S245" s="1" t="str">
        <f t="array" ref="S245">IF(ISBLANK(INDEX(big_daily_table,MATCH(DATE(S$5,$J245,$I245),daily_dates,0),MATCH($B$3,daily_items,0))),NA(),INDEX(big_daily_table,MATCH(DATE(S$5,$J245,$I245),daily_dates,0),MATCH($B$3,daily_items,0)))</f>
        <v>#N/A</v>
      </c>
      <c r="T245" s="1" t="str">
        <f t="array" ref="T245">IF(ISBLANK(INDEX(big_daily_table,MATCH(DATE(T$5,$J245,$I245),daily_dates,0),MATCH($B$3,daily_items,0))),NA(),INDEX(big_daily_table,MATCH(DATE(T$5,$J245,$I245),daily_dates,0),MATCH($B$3,daily_items,0)))</f>
        <v>#N/A</v>
      </c>
      <c r="U245" s="1" t="str">
        <f t="array" ref="U245">IF(ISBLANK(INDEX(big_daily_table,MATCH(DATE(U$5,$J245,$I245),daily_dates,0),MATCH($B$3,daily_items,0))),NA(),INDEX(big_daily_table,MATCH(DATE(U$5,$J245,$I245),daily_dates,0),MATCH($B$3,daily_items,0)))</f>
        <v>#N/A</v>
      </c>
      <c r="V245" s="1" t="str">
        <f t="array" ref="V245">IF(ISBLANK(INDEX(big_daily_table,MATCH(DATE(V$5,$J245,$I245),daily_dates,0),MATCH($B$3,daily_items,0))),NA(),INDEX(big_daily_table,MATCH(DATE(V$5,$J245,$I245),daily_dates,0),MATCH($B$3,daily_items,0)))</f>
        <v>#N/A</v>
      </c>
      <c r="W245" s="1" t="str">
        <f t="array" ref="W245">IF(ISBLANK(INDEX(big_daily_table,MATCH(DATE(W$5,$J245,$I245),daily_dates,0),MATCH($B$3,daily_items,0))),NA(),INDEX(big_daily_table,MATCH(DATE(W$5,$J245,$I245),daily_dates,0),MATCH($B$3,daily_items,0)))</f>
        <v>#N/A</v>
      </c>
      <c r="X245" s="1" t="str">
        <f t="array" ref="X245">IF(ISBLANK(INDEX(big_daily_table,MATCH(DATE(X$5,$J245,$I245),daily_dates,0),MATCH($B$3,daily_items,0))),NA(),INDEX(big_daily_table,MATCH(DATE(X$5,$J245,$I245),daily_dates,0),MATCH($B$3,daily_items,0)))</f>
        <v>#N/A</v>
      </c>
      <c r="Y245" s="1" t="str">
        <f t="array" ref="Y245">IF(ISBLANK(INDEX(big_daily_table,MATCH(DATE(Y$5,$J245,$I245),daily_dates,0),MATCH($B$3,daily_items,0))),NA(),INDEX(big_daily_table,MATCH(DATE(Y$5,$J245,$I245),daily_dates,0),MATCH($B$3,daily_items,0)))</f>
        <v>#N/A</v>
      </c>
      <c r="Z245" s="1" t="str">
        <f t="shared" si="5"/>
        <v>#NAME?</v>
      </c>
      <c r="AA245" s="1" t="str">
        <f t="shared" si="6"/>
        <v>#NAME?</v>
      </c>
      <c r="AB245" s="1" t="str">
        <f t="shared" si="7"/>
        <v>#NAME?</v>
      </c>
      <c r="AC245" s="1" t="str">
        <f t="shared" si="8"/>
        <v>#NAME?</v>
      </c>
    </row>
    <row r="246" ht="14.25" customHeight="1">
      <c r="H246" s="1">
        <f t="shared" si="9"/>
        <v>241</v>
      </c>
      <c r="I246" s="1">
        <f t="shared" si="2"/>
        <v>28</v>
      </c>
      <c r="J246" s="1">
        <f t="shared" si="3"/>
        <v>8</v>
      </c>
      <c r="K246" s="23">
        <f t="shared" si="10"/>
        <v>36766</v>
      </c>
      <c r="L246" s="24">
        <f t="shared" si="4"/>
        <v>-1000000</v>
      </c>
      <c r="M246" s="1" t="str">
        <f t="array" ref="M246">IF(K246&gt;0,INDEX(big_daily_table,MATCH(DATE(N$5,$J246,$I246),daily_dates,0),MATCH($B$3,daily_items,0)),NA())</f>
        <v>#N/A</v>
      </c>
      <c r="N246" s="1" t="str">
        <f t="array" ref="N246">IF(L246&lt;0,INDEX(big_daily_table,MATCH(DATE(N$5,$J246,$I246),daily_dates,0),MATCH($B$3,daily_items,0)),NA())</f>
        <v>#N/A</v>
      </c>
      <c r="O246" s="1" t="str">
        <f t="array" ref="O246">IF(ISBLANK(INDEX(big_daily_table,MATCH(DATE(O$5,$J246,$I246),daily_dates,0),MATCH($B$3,daily_items,0))),NA(),INDEX(big_daily_table,MATCH(DATE(O$5,$J246,$I246),daily_dates,0),MATCH($B$3,daily_items,0)))</f>
        <v>#N/A</v>
      </c>
      <c r="P246" s="1" t="str">
        <f t="array" ref="P246">IF(ISBLANK(INDEX(big_daily_table,MATCH(DATE(P$5,$J246,$I246),daily_dates,0),MATCH($B$3,daily_items,0))),NA(),INDEX(big_daily_table,MATCH(DATE(P$5,$J246,$I246),daily_dates,0),MATCH($B$3,daily_items,0)))</f>
        <v>#N/A</v>
      </c>
      <c r="Q246" s="1" t="str">
        <f t="array" ref="Q246">IF(ISBLANK(INDEX(big_daily_table,MATCH(DATE(Q$5,$J246,$I246),daily_dates,0),MATCH($B$3,daily_items,0))),NA(),INDEX(big_daily_table,MATCH(DATE(Q$5,$J246,$I246),daily_dates,0),MATCH($B$3,daily_items,0)))</f>
        <v>#N/A</v>
      </c>
      <c r="R246" s="1" t="str">
        <f t="array" ref="R246">IF(ISBLANK(INDEX(big_daily_table,MATCH(DATE(R$5,$J246,$I246),daily_dates,0),MATCH($B$3,daily_items,0))),NA(),INDEX(big_daily_table,MATCH(DATE(R$5,$J246,$I246),daily_dates,0),MATCH($B$3,daily_items,0)))</f>
        <v>#N/A</v>
      </c>
      <c r="S246" s="1" t="str">
        <f t="array" ref="S246">IF(ISBLANK(INDEX(big_daily_table,MATCH(DATE(S$5,$J246,$I246),daily_dates,0),MATCH($B$3,daily_items,0))),NA(),INDEX(big_daily_table,MATCH(DATE(S$5,$J246,$I246),daily_dates,0),MATCH($B$3,daily_items,0)))</f>
        <v>#N/A</v>
      </c>
      <c r="T246" s="1" t="str">
        <f t="array" ref="T246">IF(ISBLANK(INDEX(big_daily_table,MATCH(DATE(T$5,$J246,$I246),daily_dates,0),MATCH($B$3,daily_items,0))),NA(),INDEX(big_daily_table,MATCH(DATE(T$5,$J246,$I246),daily_dates,0),MATCH($B$3,daily_items,0)))</f>
        <v>#N/A</v>
      </c>
      <c r="U246" s="1" t="str">
        <f t="array" ref="U246">IF(ISBLANK(INDEX(big_daily_table,MATCH(DATE(U$5,$J246,$I246),daily_dates,0),MATCH($B$3,daily_items,0))),NA(),INDEX(big_daily_table,MATCH(DATE(U$5,$J246,$I246),daily_dates,0),MATCH($B$3,daily_items,0)))</f>
        <v>#N/A</v>
      </c>
      <c r="V246" s="1" t="str">
        <f t="array" ref="V246">IF(ISBLANK(INDEX(big_daily_table,MATCH(DATE(V$5,$J246,$I246),daily_dates,0),MATCH($B$3,daily_items,0))),NA(),INDEX(big_daily_table,MATCH(DATE(V$5,$J246,$I246),daily_dates,0),MATCH($B$3,daily_items,0)))</f>
        <v>#N/A</v>
      </c>
      <c r="W246" s="1" t="str">
        <f t="array" ref="W246">IF(ISBLANK(INDEX(big_daily_table,MATCH(DATE(W$5,$J246,$I246),daily_dates,0),MATCH($B$3,daily_items,0))),NA(),INDEX(big_daily_table,MATCH(DATE(W$5,$J246,$I246),daily_dates,0),MATCH($B$3,daily_items,0)))</f>
        <v>#N/A</v>
      </c>
      <c r="X246" s="1" t="str">
        <f t="array" ref="X246">IF(ISBLANK(INDEX(big_daily_table,MATCH(DATE(X$5,$J246,$I246),daily_dates,0),MATCH($B$3,daily_items,0))),NA(),INDEX(big_daily_table,MATCH(DATE(X$5,$J246,$I246),daily_dates,0),MATCH($B$3,daily_items,0)))</f>
        <v>#N/A</v>
      </c>
      <c r="Y246" s="1" t="str">
        <f t="array" ref="Y246">IF(ISBLANK(INDEX(big_daily_table,MATCH(DATE(Y$5,$J246,$I246),daily_dates,0),MATCH($B$3,daily_items,0))),NA(),INDEX(big_daily_table,MATCH(DATE(Y$5,$J246,$I246),daily_dates,0),MATCH($B$3,daily_items,0)))</f>
        <v>#N/A</v>
      </c>
      <c r="Z246" s="1" t="str">
        <f t="shared" si="5"/>
        <v>#NAME?</v>
      </c>
      <c r="AA246" s="1" t="str">
        <f t="shared" si="6"/>
        <v>#NAME?</v>
      </c>
      <c r="AB246" s="1" t="str">
        <f t="shared" si="7"/>
        <v>#NAME?</v>
      </c>
      <c r="AC246" s="1" t="str">
        <f t="shared" si="8"/>
        <v>#NAME?</v>
      </c>
    </row>
    <row r="247" ht="14.25" customHeight="1">
      <c r="H247" s="1">
        <f t="shared" si="9"/>
        <v>242</v>
      </c>
      <c r="I247" s="1">
        <f t="shared" si="2"/>
        <v>29</v>
      </c>
      <c r="J247" s="1">
        <f t="shared" si="3"/>
        <v>8</v>
      </c>
      <c r="K247" s="23">
        <f t="shared" si="10"/>
        <v>36767</v>
      </c>
      <c r="L247" s="24">
        <f t="shared" si="4"/>
        <v>-1000000</v>
      </c>
      <c r="M247" s="1" t="str">
        <f t="array" ref="M247">IF(K247&gt;0,INDEX(big_daily_table,MATCH(DATE(N$5,$J247,$I247),daily_dates,0),MATCH($B$3,daily_items,0)),NA())</f>
        <v>#N/A</v>
      </c>
      <c r="N247" s="1" t="str">
        <f t="array" ref="N247">IF(L247&lt;0,INDEX(big_daily_table,MATCH(DATE(N$5,$J247,$I247),daily_dates,0),MATCH($B$3,daily_items,0)),NA())</f>
        <v>#N/A</v>
      </c>
      <c r="O247" s="1" t="str">
        <f t="array" ref="O247">IF(ISBLANK(INDEX(big_daily_table,MATCH(DATE(O$5,$J247,$I247),daily_dates,0),MATCH($B$3,daily_items,0))),NA(),INDEX(big_daily_table,MATCH(DATE(O$5,$J247,$I247),daily_dates,0),MATCH($B$3,daily_items,0)))</f>
        <v>#N/A</v>
      </c>
      <c r="P247" s="1" t="str">
        <f t="array" ref="P247">IF(ISBLANK(INDEX(big_daily_table,MATCH(DATE(P$5,$J247,$I247),daily_dates,0),MATCH($B$3,daily_items,0))),NA(),INDEX(big_daily_table,MATCH(DATE(P$5,$J247,$I247),daily_dates,0),MATCH($B$3,daily_items,0)))</f>
        <v>#N/A</v>
      </c>
      <c r="Q247" s="1" t="str">
        <f t="array" ref="Q247">IF(ISBLANK(INDEX(big_daily_table,MATCH(DATE(Q$5,$J247,$I247),daily_dates,0),MATCH($B$3,daily_items,0))),NA(),INDEX(big_daily_table,MATCH(DATE(Q$5,$J247,$I247),daily_dates,0),MATCH($B$3,daily_items,0)))</f>
        <v>#N/A</v>
      </c>
      <c r="R247" s="1" t="str">
        <f t="array" ref="R247">IF(ISBLANK(INDEX(big_daily_table,MATCH(DATE(R$5,$J247,$I247),daily_dates,0),MATCH($B$3,daily_items,0))),NA(),INDEX(big_daily_table,MATCH(DATE(R$5,$J247,$I247),daily_dates,0),MATCH($B$3,daily_items,0)))</f>
        <v>#N/A</v>
      </c>
      <c r="S247" s="1" t="str">
        <f t="array" ref="S247">IF(ISBLANK(INDEX(big_daily_table,MATCH(DATE(S$5,$J247,$I247),daily_dates,0),MATCH($B$3,daily_items,0))),NA(),INDEX(big_daily_table,MATCH(DATE(S$5,$J247,$I247),daily_dates,0),MATCH($B$3,daily_items,0)))</f>
        <v>#N/A</v>
      </c>
      <c r="T247" s="1" t="str">
        <f t="array" ref="T247">IF(ISBLANK(INDEX(big_daily_table,MATCH(DATE(T$5,$J247,$I247),daily_dates,0),MATCH($B$3,daily_items,0))),NA(),INDEX(big_daily_table,MATCH(DATE(T$5,$J247,$I247),daily_dates,0),MATCH($B$3,daily_items,0)))</f>
        <v>#N/A</v>
      </c>
      <c r="U247" s="1" t="str">
        <f t="array" ref="U247">IF(ISBLANK(INDEX(big_daily_table,MATCH(DATE(U$5,$J247,$I247),daily_dates,0),MATCH($B$3,daily_items,0))),NA(),INDEX(big_daily_table,MATCH(DATE(U$5,$J247,$I247),daily_dates,0),MATCH($B$3,daily_items,0)))</f>
        <v>#N/A</v>
      </c>
      <c r="V247" s="1" t="str">
        <f t="array" ref="V247">IF(ISBLANK(INDEX(big_daily_table,MATCH(DATE(V$5,$J247,$I247),daily_dates,0),MATCH($B$3,daily_items,0))),NA(),INDEX(big_daily_table,MATCH(DATE(V$5,$J247,$I247),daily_dates,0),MATCH($B$3,daily_items,0)))</f>
        <v>#N/A</v>
      </c>
      <c r="W247" s="1" t="str">
        <f t="array" ref="W247">IF(ISBLANK(INDEX(big_daily_table,MATCH(DATE(W$5,$J247,$I247),daily_dates,0),MATCH($B$3,daily_items,0))),NA(),INDEX(big_daily_table,MATCH(DATE(W$5,$J247,$I247),daily_dates,0),MATCH($B$3,daily_items,0)))</f>
        <v>#N/A</v>
      </c>
      <c r="X247" s="1" t="str">
        <f t="array" ref="X247">IF(ISBLANK(INDEX(big_daily_table,MATCH(DATE(X$5,$J247,$I247),daily_dates,0),MATCH($B$3,daily_items,0))),NA(),INDEX(big_daily_table,MATCH(DATE(X$5,$J247,$I247),daily_dates,0),MATCH($B$3,daily_items,0)))</f>
        <v>#N/A</v>
      </c>
      <c r="Y247" s="1" t="str">
        <f t="array" ref="Y247">IF(ISBLANK(INDEX(big_daily_table,MATCH(DATE(Y$5,$J247,$I247),daily_dates,0),MATCH($B$3,daily_items,0))),NA(),INDEX(big_daily_table,MATCH(DATE(Y$5,$J247,$I247),daily_dates,0),MATCH($B$3,daily_items,0)))</f>
        <v>#N/A</v>
      </c>
      <c r="Z247" s="1" t="str">
        <f t="shared" si="5"/>
        <v>#NAME?</v>
      </c>
      <c r="AA247" s="1" t="str">
        <f t="shared" si="6"/>
        <v>#NAME?</v>
      </c>
      <c r="AB247" s="1" t="str">
        <f t="shared" si="7"/>
        <v>#NAME?</v>
      </c>
      <c r="AC247" s="1" t="str">
        <f t="shared" si="8"/>
        <v>#NAME?</v>
      </c>
    </row>
    <row r="248" ht="14.25" customHeight="1">
      <c r="H248" s="1">
        <f t="shared" si="9"/>
        <v>243</v>
      </c>
      <c r="I248" s="1">
        <f t="shared" si="2"/>
        <v>30</v>
      </c>
      <c r="J248" s="1">
        <f t="shared" si="3"/>
        <v>8</v>
      </c>
      <c r="K248" s="23">
        <f t="shared" si="10"/>
        <v>36768</v>
      </c>
      <c r="L248" s="24">
        <f t="shared" si="4"/>
        <v>-1000000</v>
      </c>
      <c r="M248" s="1" t="str">
        <f t="array" ref="M248">IF(K248&gt;0,INDEX(big_daily_table,MATCH(DATE(N$5,$J248,$I248),daily_dates,0),MATCH($B$3,daily_items,0)),NA())</f>
        <v>#N/A</v>
      </c>
      <c r="N248" s="1" t="str">
        <f t="array" ref="N248">IF(L248&lt;0,INDEX(big_daily_table,MATCH(DATE(N$5,$J248,$I248),daily_dates,0),MATCH($B$3,daily_items,0)),NA())</f>
        <v>#N/A</v>
      </c>
      <c r="O248" s="1" t="str">
        <f t="array" ref="O248">IF(ISBLANK(INDEX(big_daily_table,MATCH(DATE(O$5,$J248,$I248),daily_dates,0),MATCH($B$3,daily_items,0))),NA(),INDEX(big_daily_table,MATCH(DATE(O$5,$J248,$I248),daily_dates,0),MATCH($B$3,daily_items,0)))</f>
        <v>#N/A</v>
      </c>
      <c r="P248" s="1" t="str">
        <f t="array" ref="P248">IF(ISBLANK(INDEX(big_daily_table,MATCH(DATE(P$5,$J248,$I248),daily_dates,0),MATCH($B$3,daily_items,0))),NA(),INDEX(big_daily_table,MATCH(DATE(P$5,$J248,$I248),daily_dates,0),MATCH($B$3,daily_items,0)))</f>
        <v>#N/A</v>
      </c>
      <c r="Q248" s="1" t="str">
        <f t="array" ref="Q248">IF(ISBLANK(INDEX(big_daily_table,MATCH(DATE(Q$5,$J248,$I248),daily_dates,0),MATCH($B$3,daily_items,0))),NA(),INDEX(big_daily_table,MATCH(DATE(Q$5,$J248,$I248),daily_dates,0),MATCH($B$3,daily_items,0)))</f>
        <v>#N/A</v>
      </c>
      <c r="R248" s="1" t="str">
        <f t="array" ref="R248">IF(ISBLANK(INDEX(big_daily_table,MATCH(DATE(R$5,$J248,$I248),daily_dates,0),MATCH($B$3,daily_items,0))),NA(),INDEX(big_daily_table,MATCH(DATE(R$5,$J248,$I248),daily_dates,0),MATCH($B$3,daily_items,0)))</f>
        <v>#N/A</v>
      </c>
      <c r="S248" s="1" t="str">
        <f t="array" ref="S248">IF(ISBLANK(INDEX(big_daily_table,MATCH(DATE(S$5,$J248,$I248),daily_dates,0),MATCH($B$3,daily_items,0))),NA(),INDEX(big_daily_table,MATCH(DATE(S$5,$J248,$I248),daily_dates,0),MATCH($B$3,daily_items,0)))</f>
        <v>#N/A</v>
      </c>
      <c r="T248" s="1" t="str">
        <f t="array" ref="T248">IF(ISBLANK(INDEX(big_daily_table,MATCH(DATE(T$5,$J248,$I248),daily_dates,0),MATCH($B$3,daily_items,0))),NA(),INDEX(big_daily_table,MATCH(DATE(T$5,$J248,$I248),daily_dates,0),MATCH($B$3,daily_items,0)))</f>
        <v>#N/A</v>
      </c>
      <c r="U248" s="1" t="str">
        <f t="array" ref="U248">IF(ISBLANK(INDEX(big_daily_table,MATCH(DATE(U$5,$J248,$I248),daily_dates,0),MATCH($B$3,daily_items,0))),NA(),INDEX(big_daily_table,MATCH(DATE(U$5,$J248,$I248),daily_dates,0),MATCH($B$3,daily_items,0)))</f>
        <v>#N/A</v>
      </c>
      <c r="V248" s="1" t="str">
        <f t="array" ref="V248">IF(ISBLANK(INDEX(big_daily_table,MATCH(DATE(V$5,$J248,$I248),daily_dates,0),MATCH($B$3,daily_items,0))),NA(),INDEX(big_daily_table,MATCH(DATE(V$5,$J248,$I248),daily_dates,0),MATCH($B$3,daily_items,0)))</f>
        <v>#N/A</v>
      </c>
      <c r="W248" s="1" t="str">
        <f t="array" ref="W248">IF(ISBLANK(INDEX(big_daily_table,MATCH(DATE(W$5,$J248,$I248),daily_dates,0),MATCH($B$3,daily_items,0))),NA(),INDEX(big_daily_table,MATCH(DATE(W$5,$J248,$I248),daily_dates,0),MATCH($B$3,daily_items,0)))</f>
        <v>#N/A</v>
      </c>
      <c r="X248" s="1" t="str">
        <f t="array" ref="X248">IF(ISBLANK(INDEX(big_daily_table,MATCH(DATE(X$5,$J248,$I248),daily_dates,0),MATCH($B$3,daily_items,0))),NA(),INDEX(big_daily_table,MATCH(DATE(X$5,$J248,$I248),daily_dates,0),MATCH($B$3,daily_items,0)))</f>
        <v>#N/A</v>
      </c>
      <c r="Y248" s="1" t="str">
        <f t="array" ref="Y248">IF(ISBLANK(INDEX(big_daily_table,MATCH(DATE(Y$5,$J248,$I248),daily_dates,0),MATCH($B$3,daily_items,0))),NA(),INDEX(big_daily_table,MATCH(DATE(Y$5,$J248,$I248),daily_dates,0),MATCH($B$3,daily_items,0)))</f>
        <v>#N/A</v>
      </c>
      <c r="Z248" s="1" t="str">
        <f t="shared" si="5"/>
        <v>#NAME?</v>
      </c>
      <c r="AA248" s="1" t="str">
        <f t="shared" si="6"/>
        <v>#NAME?</v>
      </c>
      <c r="AB248" s="1" t="str">
        <f t="shared" si="7"/>
        <v>#NAME?</v>
      </c>
      <c r="AC248" s="1" t="str">
        <f t="shared" si="8"/>
        <v>#NAME?</v>
      </c>
    </row>
    <row r="249" ht="14.25" customHeight="1">
      <c r="H249" s="1">
        <f t="shared" si="9"/>
        <v>244</v>
      </c>
      <c r="I249" s="1">
        <f t="shared" si="2"/>
        <v>31</v>
      </c>
      <c r="J249" s="1">
        <f t="shared" si="3"/>
        <v>8</v>
      </c>
      <c r="K249" s="23">
        <f t="shared" si="10"/>
        <v>36769</v>
      </c>
      <c r="L249" s="24">
        <f t="shared" si="4"/>
        <v>-1000000</v>
      </c>
      <c r="M249" s="1" t="str">
        <f t="array" ref="M249">IF(K249&gt;0,INDEX(big_daily_table,MATCH(DATE(N$5,$J249,$I249),daily_dates,0),MATCH($B$3,daily_items,0)),NA())</f>
        <v>#N/A</v>
      </c>
      <c r="N249" s="1" t="str">
        <f t="array" ref="N249">IF(L249&lt;0,INDEX(big_daily_table,MATCH(DATE(N$5,$J249,$I249),daily_dates,0),MATCH($B$3,daily_items,0)),NA())</f>
        <v>#N/A</v>
      </c>
      <c r="O249" s="1" t="str">
        <f t="array" ref="O249">IF(ISBLANK(INDEX(big_daily_table,MATCH(DATE(O$5,$J249,$I249),daily_dates,0),MATCH($B$3,daily_items,0))),NA(),INDEX(big_daily_table,MATCH(DATE(O$5,$J249,$I249),daily_dates,0),MATCH($B$3,daily_items,0)))</f>
        <v>#N/A</v>
      </c>
      <c r="P249" s="1" t="str">
        <f t="array" ref="P249">IF(ISBLANK(INDEX(big_daily_table,MATCH(DATE(P$5,$J249,$I249),daily_dates,0),MATCH($B$3,daily_items,0))),NA(),INDEX(big_daily_table,MATCH(DATE(P$5,$J249,$I249),daily_dates,0),MATCH($B$3,daily_items,0)))</f>
        <v>#N/A</v>
      </c>
      <c r="Q249" s="1" t="str">
        <f t="array" ref="Q249">IF(ISBLANK(INDEX(big_daily_table,MATCH(DATE(Q$5,$J249,$I249),daily_dates,0),MATCH($B$3,daily_items,0))),NA(),INDEX(big_daily_table,MATCH(DATE(Q$5,$J249,$I249),daily_dates,0),MATCH($B$3,daily_items,0)))</f>
        <v>#N/A</v>
      </c>
      <c r="R249" s="1" t="str">
        <f t="array" ref="R249">IF(ISBLANK(INDEX(big_daily_table,MATCH(DATE(R$5,$J249,$I249),daily_dates,0),MATCH($B$3,daily_items,0))),NA(),INDEX(big_daily_table,MATCH(DATE(R$5,$J249,$I249),daily_dates,0),MATCH($B$3,daily_items,0)))</f>
        <v>#N/A</v>
      </c>
      <c r="S249" s="1" t="str">
        <f t="array" ref="S249">IF(ISBLANK(INDEX(big_daily_table,MATCH(DATE(S$5,$J249,$I249),daily_dates,0),MATCH($B$3,daily_items,0))),NA(),INDEX(big_daily_table,MATCH(DATE(S$5,$J249,$I249),daily_dates,0),MATCH($B$3,daily_items,0)))</f>
        <v>#N/A</v>
      </c>
      <c r="T249" s="1" t="str">
        <f t="array" ref="T249">IF(ISBLANK(INDEX(big_daily_table,MATCH(DATE(T$5,$J249,$I249),daily_dates,0),MATCH($B$3,daily_items,0))),NA(),INDEX(big_daily_table,MATCH(DATE(T$5,$J249,$I249),daily_dates,0),MATCH($B$3,daily_items,0)))</f>
        <v>#N/A</v>
      </c>
      <c r="U249" s="1" t="str">
        <f t="array" ref="U249">IF(ISBLANK(INDEX(big_daily_table,MATCH(DATE(U$5,$J249,$I249),daily_dates,0),MATCH($B$3,daily_items,0))),NA(),INDEX(big_daily_table,MATCH(DATE(U$5,$J249,$I249),daily_dates,0),MATCH($B$3,daily_items,0)))</f>
        <v>#N/A</v>
      </c>
      <c r="V249" s="1" t="str">
        <f t="array" ref="V249">IF(ISBLANK(INDEX(big_daily_table,MATCH(DATE(V$5,$J249,$I249),daily_dates,0),MATCH($B$3,daily_items,0))),NA(),INDEX(big_daily_table,MATCH(DATE(V$5,$J249,$I249),daily_dates,0),MATCH($B$3,daily_items,0)))</f>
        <v>#N/A</v>
      </c>
      <c r="W249" s="1" t="str">
        <f t="array" ref="W249">IF(ISBLANK(INDEX(big_daily_table,MATCH(DATE(W$5,$J249,$I249),daily_dates,0),MATCH($B$3,daily_items,0))),NA(),INDEX(big_daily_table,MATCH(DATE(W$5,$J249,$I249),daily_dates,0),MATCH($B$3,daily_items,0)))</f>
        <v>#N/A</v>
      </c>
      <c r="X249" s="1" t="str">
        <f t="array" ref="X249">IF(ISBLANK(INDEX(big_daily_table,MATCH(DATE(X$5,$J249,$I249),daily_dates,0),MATCH($B$3,daily_items,0))),NA(),INDEX(big_daily_table,MATCH(DATE(X$5,$J249,$I249),daily_dates,0),MATCH($B$3,daily_items,0)))</f>
        <v>#N/A</v>
      </c>
      <c r="Y249" s="1" t="str">
        <f t="array" ref="Y249">IF(ISBLANK(INDEX(big_daily_table,MATCH(DATE(Y$5,$J249,$I249),daily_dates,0),MATCH($B$3,daily_items,0))),NA(),INDEX(big_daily_table,MATCH(DATE(Y$5,$J249,$I249),daily_dates,0),MATCH($B$3,daily_items,0)))</f>
        <v>#N/A</v>
      </c>
      <c r="Z249" s="1" t="str">
        <f t="shared" si="5"/>
        <v>#NAME?</v>
      </c>
      <c r="AA249" s="1" t="str">
        <f t="shared" si="6"/>
        <v>#NAME?</v>
      </c>
      <c r="AB249" s="1" t="str">
        <f t="shared" si="7"/>
        <v>#NAME?</v>
      </c>
      <c r="AC249" s="1" t="str">
        <f t="shared" si="8"/>
        <v>#NAME?</v>
      </c>
    </row>
    <row r="250" ht="14.25" customHeight="1">
      <c r="H250" s="1">
        <f t="shared" si="9"/>
        <v>245</v>
      </c>
      <c r="I250" s="1">
        <f t="shared" si="2"/>
        <v>1</v>
      </c>
      <c r="J250" s="1">
        <f t="shared" si="3"/>
        <v>9</v>
      </c>
      <c r="K250" s="23">
        <f t="shared" si="10"/>
        <v>36770</v>
      </c>
      <c r="L250" s="24">
        <f t="shared" si="4"/>
        <v>-1000000</v>
      </c>
      <c r="M250" s="1" t="str">
        <f t="array" ref="M250">IF(K250&gt;0,INDEX(big_daily_table,MATCH(DATE(N$5,$J250,$I250),daily_dates,0),MATCH($B$3,daily_items,0)),NA())</f>
        <v>#N/A</v>
      </c>
      <c r="N250" s="1" t="str">
        <f t="array" ref="N250">IF(L250&lt;0,INDEX(big_daily_table,MATCH(DATE(N$5,$J250,$I250),daily_dates,0),MATCH($B$3,daily_items,0)),NA())</f>
        <v>#N/A</v>
      </c>
      <c r="O250" s="1" t="str">
        <f t="array" ref="O250">IF(ISBLANK(INDEX(big_daily_table,MATCH(DATE(O$5,$J250,$I250),daily_dates,0),MATCH($B$3,daily_items,0))),NA(),INDEX(big_daily_table,MATCH(DATE(O$5,$J250,$I250),daily_dates,0),MATCH($B$3,daily_items,0)))</f>
        <v>#N/A</v>
      </c>
      <c r="P250" s="1" t="str">
        <f t="array" ref="P250">IF(ISBLANK(INDEX(big_daily_table,MATCH(DATE(P$5,$J250,$I250),daily_dates,0),MATCH($B$3,daily_items,0))),NA(),INDEX(big_daily_table,MATCH(DATE(P$5,$J250,$I250),daily_dates,0),MATCH($B$3,daily_items,0)))</f>
        <v>#N/A</v>
      </c>
      <c r="Q250" s="1" t="str">
        <f t="array" ref="Q250">IF(ISBLANK(INDEX(big_daily_table,MATCH(DATE(Q$5,$J250,$I250),daily_dates,0),MATCH($B$3,daily_items,0))),NA(),INDEX(big_daily_table,MATCH(DATE(Q$5,$J250,$I250),daily_dates,0),MATCH($B$3,daily_items,0)))</f>
        <v>#N/A</v>
      </c>
      <c r="R250" s="1" t="str">
        <f t="array" ref="R250">IF(ISBLANK(INDEX(big_daily_table,MATCH(DATE(R$5,$J250,$I250),daily_dates,0),MATCH($B$3,daily_items,0))),NA(),INDEX(big_daily_table,MATCH(DATE(R$5,$J250,$I250),daily_dates,0),MATCH($B$3,daily_items,0)))</f>
        <v>#N/A</v>
      </c>
      <c r="S250" s="1" t="str">
        <f t="array" ref="S250">IF(ISBLANK(INDEX(big_daily_table,MATCH(DATE(S$5,$J250,$I250),daily_dates,0),MATCH($B$3,daily_items,0))),NA(),INDEX(big_daily_table,MATCH(DATE(S$5,$J250,$I250),daily_dates,0),MATCH($B$3,daily_items,0)))</f>
        <v>#N/A</v>
      </c>
      <c r="T250" s="1" t="str">
        <f t="array" ref="T250">IF(ISBLANK(INDEX(big_daily_table,MATCH(DATE(T$5,$J250,$I250),daily_dates,0),MATCH($B$3,daily_items,0))),NA(),INDEX(big_daily_table,MATCH(DATE(T$5,$J250,$I250),daily_dates,0),MATCH($B$3,daily_items,0)))</f>
        <v>#N/A</v>
      </c>
      <c r="U250" s="1" t="str">
        <f t="array" ref="U250">IF(ISBLANK(INDEX(big_daily_table,MATCH(DATE(U$5,$J250,$I250),daily_dates,0),MATCH($B$3,daily_items,0))),NA(),INDEX(big_daily_table,MATCH(DATE(U$5,$J250,$I250),daily_dates,0),MATCH($B$3,daily_items,0)))</f>
        <v>#N/A</v>
      </c>
      <c r="V250" s="1" t="str">
        <f t="array" ref="V250">IF(ISBLANK(INDEX(big_daily_table,MATCH(DATE(V$5,$J250,$I250),daily_dates,0),MATCH($B$3,daily_items,0))),NA(),INDEX(big_daily_table,MATCH(DATE(V$5,$J250,$I250),daily_dates,0),MATCH($B$3,daily_items,0)))</f>
        <v>#N/A</v>
      </c>
      <c r="W250" s="1" t="str">
        <f t="array" ref="W250">IF(ISBLANK(INDEX(big_daily_table,MATCH(DATE(W$5,$J250,$I250),daily_dates,0),MATCH($B$3,daily_items,0))),NA(),INDEX(big_daily_table,MATCH(DATE(W$5,$J250,$I250),daily_dates,0),MATCH($B$3,daily_items,0)))</f>
        <v>#N/A</v>
      </c>
      <c r="X250" s="1" t="str">
        <f t="array" ref="X250">IF(ISBLANK(INDEX(big_daily_table,MATCH(DATE(X$5,$J250,$I250),daily_dates,0),MATCH($B$3,daily_items,0))),NA(),INDEX(big_daily_table,MATCH(DATE(X$5,$J250,$I250),daily_dates,0),MATCH($B$3,daily_items,0)))</f>
        <v>#N/A</v>
      </c>
      <c r="Y250" s="1" t="str">
        <f t="array" ref="Y250">IF(ISBLANK(INDEX(big_daily_table,MATCH(DATE(Y$5,$J250,$I250),daily_dates,0),MATCH($B$3,daily_items,0))),NA(),INDEX(big_daily_table,MATCH(DATE(Y$5,$J250,$I250),daily_dates,0),MATCH($B$3,daily_items,0)))</f>
        <v>#N/A</v>
      </c>
      <c r="Z250" s="1" t="str">
        <f t="shared" si="5"/>
        <v>#NAME?</v>
      </c>
      <c r="AA250" s="1" t="str">
        <f t="shared" si="6"/>
        <v>#NAME?</v>
      </c>
      <c r="AB250" s="1" t="str">
        <f t="shared" si="7"/>
        <v>#NAME?</v>
      </c>
      <c r="AC250" s="1" t="str">
        <f t="shared" si="8"/>
        <v>#NAME?</v>
      </c>
    </row>
    <row r="251" ht="14.25" customHeight="1">
      <c r="H251" s="1">
        <f t="shared" si="9"/>
        <v>246</v>
      </c>
      <c r="I251" s="1">
        <f t="shared" si="2"/>
        <v>2</v>
      </c>
      <c r="J251" s="1">
        <f t="shared" si="3"/>
        <v>9</v>
      </c>
      <c r="K251" s="23">
        <f t="shared" si="10"/>
        <v>36771</v>
      </c>
      <c r="L251" s="24">
        <f t="shared" si="4"/>
        <v>-1000000</v>
      </c>
      <c r="M251" s="1" t="str">
        <f t="array" ref="M251">IF(K251&gt;0,INDEX(big_daily_table,MATCH(DATE(N$5,$J251,$I251),daily_dates,0),MATCH($B$3,daily_items,0)),NA())</f>
        <v>#N/A</v>
      </c>
      <c r="N251" s="1" t="str">
        <f t="array" ref="N251">IF(L251&lt;0,INDEX(big_daily_table,MATCH(DATE(N$5,$J251,$I251),daily_dates,0),MATCH($B$3,daily_items,0)),NA())</f>
        <v>#N/A</v>
      </c>
      <c r="O251" s="1" t="str">
        <f t="array" ref="O251">IF(ISBLANK(INDEX(big_daily_table,MATCH(DATE(O$5,$J251,$I251),daily_dates,0),MATCH($B$3,daily_items,0))),NA(),INDEX(big_daily_table,MATCH(DATE(O$5,$J251,$I251),daily_dates,0),MATCH($B$3,daily_items,0)))</f>
        <v>#N/A</v>
      </c>
      <c r="P251" s="1" t="str">
        <f t="array" ref="P251">IF(ISBLANK(INDEX(big_daily_table,MATCH(DATE(P$5,$J251,$I251),daily_dates,0),MATCH($B$3,daily_items,0))),NA(),INDEX(big_daily_table,MATCH(DATE(P$5,$J251,$I251),daily_dates,0),MATCH($B$3,daily_items,0)))</f>
        <v>#N/A</v>
      </c>
      <c r="Q251" s="1" t="str">
        <f t="array" ref="Q251">IF(ISBLANK(INDEX(big_daily_table,MATCH(DATE(Q$5,$J251,$I251),daily_dates,0),MATCH($B$3,daily_items,0))),NA(),INDEX(big_daily_table,MATCH(DATE(Q$5,$J251,$I251),daily_dates,0),MATCH($B$3,daily_items,0)))</f>
        <v>#N/A</v>
      </c>
      <c r="R251" s="1" t="str">
        <f t="array" ref="R251">IF(ISBLANK(INDEX(big_daily_table,MATCH(DATE(R$5,$J251,$I251),daily_dates,0),MATCH($B$3,daily_items,0))),NA(),INDEX(big_daily_table,MATCH(DATE(R$5,$J251,$I251),daily_dates,0),MATCH($B$3,daily_items,0)))</f>
        <v>#N/A</v>
      </c>
      <c r="S251" s="1" t="str">
        <f t="array" ref="S251">IF(ISBLANK(INDEX(big_daily_table,MATCH(DATE(S$5,$J251,$I251),daily_dates,0),MATCH($B$3,daily_items,0))),NA(),INDEX(big_daily_table,MATCH(DATE(S$5,$J251,$I251),daily_dates,0),MATCH($B$3,daily_items,0)))</f>
        <v>#N/A</v>
      </c>
      <c r="T251" s="1" t="str">
        <f t="array" ref="T251">IF(ISBLANK(INDEX(big_daily_table,MATCH(DATE(T$5,$J251,$I251),daily_dates,0),MATCH($B$3,daily_items,0))),NA(),INDEX(big_daily_table,MATCH(DATE(T$5,$J251,$I251),daily_dates,0),MATCH($B$3,daily_items,0)))</f>
        <v>#N/A</v>
      </c>
      <c r="U251" s="1" t="str">
        <f t="array" ref="U251">IF(ISBLANK(INDEX(big_daily_table,MATCH(DATE(U$5,$J251,$I251),daily_dates,0),MATCH($B$3,daily_items,0))),NA(),INDEX(big_daily_table,MATCH(DATE(U$5,$J251,$I251),daily_dates,0),MATCH($B$3,daily_items,0)))</f>
        <v>#N/A</v>
      </c>
      <c r="V251" s="1" t="str">
        <f t="array" ref="V251">IF(ISBLANK(INDEX(big_daily_table,MATCH(DATE(V$5,$J251,$I251),daily_dates,0),MATCH($B$3,daily_items,0))),NA(),INDEX(big_daily_table,MATCH(DATE(V$5,$J251,$I251),daily_dates,0),MATCH($B$3,daily_items,0)))</f>
        <v>#N/A</v>
      </c>
      <c r="W251" s="1" t="str">
        <f t="array" ref="W251">IF(ISBLANK(INDEX(big_daily_table,MATCH(DATE(W$5,$J251,$I251),daily_dates,0),MATCH($B$3,daily_items,0))),NA(),INDEX(big_daily_table,MATCH(DATE(W$5,$J251,$I251),daily_dates,0),MATCH($B$3,daily_items,0)))</f>
        <v>#N/A</v>
      </c>
      <c r="X251" s="1" t="str">
        <f t="array" ref="X251">IF(ISBLANK(INDEX(big_daily_table,MATCH(DATE(X$5,$J251,$I251),daily_dates,0),MATCH($B$3,daily_items,0))),NA(),INDEX(big_daily_table,MATCH(DATE(X$5,$J251,$I251),daily_dates,0),MATCH($B$3,daily_items,0)))</f>
        <v>#N/A</v>
      </c>
      <c r="Y251" s="1" t="str">
        <f t="array" ref="Y251">IF(ISBLANK(INDEX(big_daily_table,MATCH(DATE(Y$5,$J251,$I251),daily_dates,0),MATCH($B$3,daily_items,0))),NA(),INDEX(big_daily_table,MATCH(DATE(Y$5,$J251,$I251),daily_dates,0),MATCH($B$3,daily_items,0)))</f>
        <v>#N/A</v>
      </c>
      <c r="Z251" s="1" t="str">
        <f t="shared" si="5"/>
        <v>#NAME?</v>
      </c>
      <c r="AA251" s="1" t="str">
        <f t="shared" si="6"/>
        <v>#NAME?</v>
      </c>
      <c r="AB251" s="1" t="str">
        <f t="shared" si="7"/>
        <v>#NAME?</v>
      </c>
      <c r="AC251" s="1" t="str">
        <f t="shared" si="8"/>
        <v>#NAME?</v>
      </c>
    </row>
    <row r="252" ht="14.25" customHeight="1">
      <c r="H252" s="1">
        <f t="shared" si="9"/>
        <v>247</v>
      </c>
      <c r="I252" s="1">
        <f t="shared" si="2"/>
        <v>3</v>
      </c>
      <c r="J252" s="1">
        <f t="shared" si="3"/>
        <v>9</v>
      </c>
      <c r="K252" s="23">
        <f t="shared" si="10"/>
        <v>36772</v>
      </c>
      <c r="L252" s="24">
        <f t="shared" si="4"/>
        <v>-1000000</v>
      </c>
      <c r="M252" s="1" t="str">
        <f t="array" ref="M252">IF(K252&gt;0,INDEX(big_daily_table,MATCH(DATE(N$5,$J252,$I252),daily_dates,0),MATCH($B$3,daily_items,0)),NA())</f>
        <v>#N/A</v>
      </c>
      <c r="N252" s="1" t="str">
        <f t="array" ref="N252">IF(L252&lt;0,INDEX(big_daily_table,MATCH(DATE(N$5,$J252,$I252),daily_dates,0),MATCH($B$3,daily_items,0)),NA())</f>
        <v>#N/A</v>
      </c>
      <c r="O252" s="1" t="str">
        <f t="array" ref="O252">IF(ISBLANK(INDEX(big_daily_table,MATCH(DATE(O$5,$J252,$I252),daily_dates,0),MATCH($B$3,daily_items,0))),NA(),INDEX(big_daily_table,MATCH(DATE(O$5,$J252,$I252),daily_dates,0),MATCH($B$3,daily_items,0)))</f>
        <v>#N/A</v>
      </c>
      <c r="P252" s="1" t="str">
        <f t="array" ref="P252">IF(ISBLANK(INDEX(big_daily_table,MATCH(DATE(P$5,$J252,$I252),daily_dates,0),MATCH($B$3,daily_items,0))),NA(),INDEX(big_daily_table,MATCH(DATE(P$5,$J252,$I252),daily_dates,0),MATCH($B$3,daily_items,0)))</f>
        <v>#N/A</v>
      </c>
      <c r="Q252" s="1" t="str">
        <f t="array" ref="Q252">IF(ISBLANK(INDEX(big_daily_table,MATCH(DATE(Q$5,$J252,$I252),daily_dates,0),MATCH($B$3,daily_items,0))),NA(),INDEX(big_daily_table,MATCH(DATE(Q$5,$J252,$I252),daily_dates,0),MATCH($B$3,daily_items,0)))</f>
        <v>#N/A</v>
      </c>
      <c r="R252" s="1" t="str">
        <f t="array" ref="R252">IF(ISBLANK(INDEX(big_daily_table,MATCH(DATE(R$5,$J252,$I252),daily_dates,0),MATCH($B$3,daily_items,0))),NA(),INDEX(big_daily_table,MATCH(DATE(R$5,$J252,$I252),daily_dates,0),MATCH($B$3,daily_items,0)))</f>
        <v>#N/A</v>
      </c>
      <c r="S252" s="1" t="str">
        <f t="array" ref="S252">IF(ISBLANK(INDEX(big_daily_table,MATCH(DATE(S$5,$J252,$I252),daily_dates,0),MATCH($B$3,daily_items,0))),NA(),INDEX(big_daily_table,MATCH(DATE(S$5,$J252,$I252),daily_dates,0),MATCH($B$3,daily_items,0)))</f>
        <v>#N/A</v>
      </c>
      <c r="T252" s="1" t="str">
        <f t="array" ref="T252">IF(ISBLANK(INDEX(big_daily_table,MATCH(DATE(T$5,$J252,$I252),daily_dates,0),MATCH($B$3,daily_items,0))),NA(),INDEX(big_daily_table,MATCH(DATE(T$5,$J252,$I252),daily_dates,0),MATCH($B$3,daily_items,0)))</f>
        <v>#N/A</v>
      </c>
      <c r="U252" s="1" t="str">
        <f t="array" ref="U252">IF(ISBLANK(INDEX(big_daily_table,MATCH(DATE(U$5,$J252,$I252),daily_dates,0),MATCH($B$3,daily_items,0))),NA(),INDEX(big_daily_table,MATCH(DATE(U$5,$J252,$I252),daily_dates,0),MATCH($B$3,daily_items,0)))</f>
        <v>#N/A</v>
      </c>
      <c r="V252" s="1" t="str">
        <f t="array" ref="V252">IF(ISBLANK(INDEX(big_daily_table,MATCH(DATE(V$5,$J252,$I252),daily_dates,0),MATCH($B$3,daily_items,0))),NA(),INDEX(big_daily_table,MATCH(DATE(V$5,$J252,$I252),daily_dates,0),MATCH($B$3,daily_items,0)))</f>
        <v>#N/A</v>
      </c>
      <c r="W252" s="1" t="str">
        <f t="array" ref="W252">IF(ISBLANK(INDEX(big_daily_table,MATCH(DATE(W$5,$J252,$I252),daily_dates,0),MATCH($B$3,daily_items,0))),NA(),INDEX(big_daily_table,MATCH(DATE(W$5,$J252,$I252),daily_dates,0),MATCH($B$3,daily_items,0)))</f>
        <v>#N/A</v>
      </c>
      <c r="X252" s="1" t="str">
        <f t="array" ref="X252">IF(ISBLANK(INDEX(big_daily_table,MATCH(DATE(X$5,$J252,$I252),daily_dates,0),MATCH($B$3,daily_items,0))),NA(),INDEX(big_daily_table,MATCH(DATE(X$5,$J252,$I252),daily_dates,0),MATCH($B$3,daily_items,0)))</f>
        <v>#N/A</v>
      </c>
      <c r="Y252" s="1" t="str">
        <f t="array" ref="Y252">IF(ISBLANK(INDEX(big_daily_table,MATCH(DATE(Y$5,$J252,$I252),daily_dates,0),MATCH($B$3,daily_items,0))),NA(),INDEX(big_daily_table,MATCH(DATE(Y$5,$J252,$I252),daily_dates,0),MATCH($B$3,daily_items,0)))</f>
        <v>#N/A</v>
      </c>
      <c r="Z252" s="1" t="str">
        <f t="shared" si="5"/>
        <v>#NAME?</v>
      </c>
      <c r="AA252" s="1" t="str">
        <f t="shared" si="6"/>
        <v>#NAME?</v>
      </c>
      <c r="AB252" s="1" t="str">
        <f t="shared" si="7"/>
        <v>#NAME?</v>
      </c>
      <c r="AC252" s="1" t="str">
        <f t="shared" si="8"/>
        <v>#NAME?</v>
      </c>
    </row>
    <row r="253" ht="14.25" customHeight="1">
      <c r="H253" s="1">
        <f t="shared" si="9"/>
        <v>248</v>
      </c>
      <c r="I253" s="1">
        <f t="shared" si="2"/>
        <v>4</v>
      </c>
      <c r="J253" s="1">
        <f t="shared" si="3"/>
        <v>9</v>
      </c>
      <c r="K253" s="23">
        <f t="shared" si="10"/>
        <v>36773</v>
      </c>
      <c r="L253" s="24">
        <f t="shared" si="4"/>
        <v>-1000000</v>
      </c>
      <c r="M253" s="1" t="str">
        <f t="array" ref="M253">IF(K253&gt;0,INDEX(big_daily_table,MATCH(DATE(N$5,$J253,$I253),daily_dates,0),MATCH($B$3,daily_items,0)),NA())</f>
        <v>#N/A</v>
      </c>
      <c r="N253" s="1" t="str">
        <f t="array" ref="N253">IF(L253&lt;0,INDEX(big_daily_table,MATCH(DATE(N$5,$J253,$I253),daily_dates,0),MATCH($B$3,daily_items,0)),NA())</f>
        <v>#N/A</v>
      </c>
      <c r="O253" s="1" t="str">
        <f t="array" ref="O253">IF(ISBLANK(INDEX(big_daily_table,MATCH(DATE(O$5,$J253,$I253),daily_dates,0),MATCH($B$3,daily_items,0))),NA(),INDEX(big_daily_table,MATCH(DATE(O$5,$J253,$I253),daily_dates,0),MATCH($B$3,daily_items,0)))</f>
        <v>#N/A</v>
      </c>
      <c r="P253" s="1" t="str">
        <f t="array" ref="P253">IF(ISBLANK(INDEX(big_daily_table,MATCH(DATE(P$5,$J253,$I253),daily_dates,0),MATCH($B$3,daily_items,0))),NA(),INDEX(big_daily_table,MATCH(DATE(P$5,$J253,$I253),daily_dates,0),MATCH($B$3,daily_items,0)))</f>
        <v>#N/A</v>
      </c>
      <c r="Q253" s="1" t="str">
        <f t="array" ref="Q253">IF(ISBLANK(INDEX(big_daily_table,MATCH(DATE(Q$5,$J253,$I253),daily_dates,0),MATCH($B$3,daily_items,0))),NA(),INDEX(big_daily_table,MATCH(DATE(Q$5,$J253,$I253),daily_dates,0),MATCH($B$3,daily_items,0)))</f>
        <v>#N/A</v>
      </c>
      <c r="R253" s="1" t="str">
        <f t="array" ref="R253">IF(ISBLANK(INDEX(big_daily_table,MATCH(DATE(R$5,$J253,$I253),daily_dates,0),MATCH($B$3,daily_items,0))),NA(),INDEX(big_daily_table,MATCH(DATE(R$5,$J253,$I253),daily_dates,0),MATCH($B$3,daily_items,0)))</f>
        <v>#N/A</v>
      </c>
      <c r="S253" s="1" t="str">
        <f t="array" ref="S253">IF(ISBLANK(INDEX(big_daily_table,MATCH(DATE(S$5,$J253,$I253),daily_dates,0),MATCH($B$3,daily_items,0))),NA(),INDEX(big_daily_table,MATCH(DATE(S$5,$J253,$I253),daily_dates,0),MATCH($B$3,daily_items,0)))</f>
        <v>#N/A</v>
      </c>
      <c r="T253" s="1" t="str">
        <f t="array" ref="T253">IF(ISBLANK(INDEX(big_daily_table,MATCH(DATE(T$5,$J253,$I253),daily_dates,0),MATCH($B$3,daily_items,0))),NA(),INDEX(big_daily_table,MATCH(DATE(T$5,$J253,$I253),daily_dates,0),MATCH($B$3,daily_items,0)))</f>
        <v>#N/A</v>
      </c>
      <c r="U253" s="1" t="str">
        <f t="array" ref="U253">IF(ISBLANK(INDEX(big_daily_table,MATCH(DATE(U$5,$J253,$I253),daily_dates,0),MATCH($B$3,daily_items,0))),NA(),INDEX(big_daily_table,MATCH(DATE(U$5,$J253,$I253),daily_dates,0),MATCH($B$3,daily_items,0)))</f>
        <v>#N/A</v>
      </c>
      <c r="V253" s="1" t="str">
        <f t="array" ref="V253">IF(ISBLANK(INDEX(big_daily_table,MATCH(DATE(V$5,$J253,$I253),daily_dates,0),MATCH($B$3,daily_items,0))),NA(),INDEX(big_daily_table,MATCH(DATE(V$5,$J253,$I253),daily_dates,0),MATCH($B$3,daily_items,0)))</f>
        <v>#N/A</v>
      </c>
      <c r="W253" s="1" t="str">
        <f t="array" ref="W253">IF(ISBLANK(INDEX(big_daily_table,MATCH(DATE(W$5,$J253,$I253),daily_dates,0),MATCH($B$3,daily_items,0))),NA(),INDEX(big_daily_table,MATCH(DATE(W$5,$J253,$I253),daily_dates,0),MATCH($B$3,daily_items,0)))</f>
        <v>#N/A</v>
      </c>
      <c r="X253" s="1" t="str">
        <f t="array" ref="X253">IF(ISBLANK(INDEX(big_daily_table,MATCH(DATE(X$5,$J253,$I253),daily_dates,0),MATCH($B$3,daily_items,0))),NA(),INDEX(big_daily_table,MATCH(DATE(X$5,$J253,$I253),daily_dates,0),MATCH($B$3,daily_items,0)))</f>
        <v>#N/A</v>
      </c>
      <c r="Y253" s="1" t="str">
        <f t="array" ref="Y253">IF(ISBLANK(INDEX(big_daily_table,MATCH(DATE(Y$5,$J253,$I253),daily_dates,0),MATCH($B$3,daily_items,0))),NA(),INDEX(big_daily_table,MATCH(DATE(Y$5,$J253,$I253),daily_dates,0),MATCH($B$3,daily_items,0)))</f>
        <v>#N/A</v>
      </c>
      <c r="Z253" s="1" t="str">
        <f t="shared" si="5"/>
        <v>#NAME?</v>
      </c>
      <c r="AA253" s="1" t="str">
        <f t="shared" si="6"/>
        <v>#NAME?</v>
      </c>
      <c r="AB253" s="1" t="str">
        <f t="shared" si="7"/>
        <v>#NAME?</v>
      </c>
      <c r="AC253" s="1" t="str">
        <f t="shared" si="8"/>
        <v>#NAME?</v>
      </c>
    </row>
    <row r="254" ht="14.25" customHeight="1">
      <c r="H254" s="1">
        <f t="shared" si="9"/>
        <v>249</v>
      </c>
      <c r="I254" s="1">
        <f t="shared" si="2"/>
        <v>5</v>
      </c>
      <c r="J254" s="1">
        <f t="shared" si="3"/>
        <v>9</v>
      </c>
      <c r="K254" s="23">
        <f t="shared" si="10"/>
        <v>36774</v>
      </c>
      <c r="L254" s="24">
        <f t="shared" si="4"/>
        <v>-1000000</v>
      </c>
      <c r="M254" s="1" t="str">
        <f t="array" ref="M254">IF(K254&gt;0,INDEX(big_daily_table,MATCH(DATE(N$5,$J254,$I254),daily_dates,0),MATCH($B$3,daily_items,0)),NA())</f>
        <v>#N/A</v>
      </c>
      <c r="N254" s="1" t="str">
        <f t="array" ref="N254">IF(L254&lt;0,INDEX(big_daily_table,MATCH(DATE(N$5,$J254,$I254),daily_dates,0),MATCH($B$3,daily_items,0)),NA())</f>
        <v>#N/A</v>
      </c>
      <c r="O254" s="1" t="str">
        <f t="array" ref="O254">IF(ISBLANK(INDEX(big_daily_table,MATCH(DATE(O$5,$J254,$I254),daily_dates,0),MATCH($B$3,daily_items,0))),NA(),INDEX(big_daily_table,MATCH(DATE(O$5,$J254,$I254),daily_dates,0),MATCH($B$3,daily_items,0)))</f>
        <v>#N/A</v>
      </c>
      <c r="P254" s="1" t="str">
        <f t="array" ref="P254">IF(ISBLANK(INDEX(big_daily_table,MATCH(DATE(P$5,$J254,$I254),daily_dates,0),MATCH($B$3,daily_items,0))),NA(),INDEX(big_daily_table,MATCH(DATE(P$5,$J254,$I254),daily_dates,0),MATCH($B$3,daily_items,0)))</f>
        <v>#N/A</v>
      </c>
      <c r="Q254" s="1" t="str">
        <f t="array" ref="Q254">IF(ISBLANK(INDEX(big_daily_table,MATCH(DATE(Q$5,$J254,$I254),daily_dates,0),MATCH($B$3,daily_items,0))),NA(),INDEX(big_daily_table,MATCH(DATE(Q$5,$J254,$I254),daily_dates,0),MATCH($B$3,daily_items,0)))</f>
        <v>#N/A</v>
      </c>
      <c r="R254" s="1" t="str">
        <f t="array" ref="R254">IF(ISBLANK(INDEX(big_daily_table,MATCH(DATE(R$5,$J254,$I254),daily_dates,0),MATCH($B$3,daily_items,0))),NA(),INDEX(big_daily_table,MATCH(DATE(R$5,$J254,$I254),daily_dates,0),MATCH($B$3,daily_items,0)))</f>
        <v>#N/A</v>
      </c>
      <c r="S254" s="1" t="str">
        <f t="array" ref="S254">IF(ISBLANK(INDEX(big_daily_table,MATCH(DATE(S$5,$J254,$I254),daily_dates,0),MATCH($B$3,daily_items,0))),NA(),INDEX(big_daily_table,MATCH(DATE(S$5,$J254,$I254),daily_dates,0),MATCH($B$3,daily_items,0)))</f>
        <v>#N/A</v>
      </c>
      <c r="T254" s="1" t="str">
        <f t="array" ref="T254">IF(ISBLANK(INDEX(big_daily_table,MATCH(DATE(T$5,$J254,$I254),daily_dates,0),MATCH($B$3,daily_items,0))),NA(),INDEX(big_daily_table,MATCH(DATE(T$5,$J254,$I254),daily_dates,0),MATCH($B$3,daily_items,0)))</f>
        <v>#N/A</v>
      </c>
      <c r="U254" s="1" t="str">
        <f t="array" ref="U254">IF(ISBLANK(INDEX(big_daily_table,MATCH(DATE(U$5,$J254,$I254),daily_dates,0),MATCH($B$3,daily_items,0))),NA(),INDEX(big_daily_table,MATCH(DATE(U$5,$J254,$I254),daily_dates,0),MATCH($B$3,daily_items,0)))</f>
        <v>#N/A</v>
      </c>
      <c r="V254" s="1" t="str">
        <f t="array" ref="V254">IF(ISBLANK(INDEX(big_daily_table,MATCH(DATE(V$5,$J254,$I254),daily_dates,0),MATCH($B$3,daily_items,0))),NA(),INDEX(big_daily_table,MATCH(DATE(V$5,$J254,$I254),daily_dates,0),MATCH($B$3,daily_items,0)))</f>
        <v>#N/A</v>
      </c>
      <c r="W254" s="1" t="str">
        <f t="array" ref="W254">IF(ISBLANK(INDEX(big_daily_table,MATCH(DATE(W$5,$J254,$I254),daily_dates,0),MATCH($B$3,daily_items,0))),NA(),INDEX(big_daily_table,MATCH(DATE(W$5,$J254,$I254),daily_dates,0),MATCH($B$3,daily_items,0)))</f>
        <v>#N/A</v>
      </c>
      <c r="X254" s="1" t="str">
        <f t="array" ref="X254">IF(ISBLANK(INDEX(big_daily_table,MATCH(DATE(X$5,$J254,$I254),daily_dates,0),MATCH($B$3,daily_items,0))),NA(),INDEX(big_daily_table,MATCH(DATE(X$5,$J254,$I254),daily_dates,0),MATCH($B$3,daily_items,0)))</f>
        <v>#N/A</v>
      </c>
      <c r="Y254" s="1" t="str">
        <f t="array" ref="Y254">IF(ISBLANK(INDEX(big_daily_table,MATCH(DATE(Y$5,$J254,$I254),daily_dates,0),MATCH($B$3,daily_items,0))),NA(),INDEX(big_daily_table,MATCH(DATE(Y$5,$J254,$I254),daily_dates,0),MATCH($B$3,daily_items,0)))</f>
        <v>#N/A</v>
      </c>
      <c r="Z254" s="1" t="str">
        <f t="shared" si="5"/>
        <v>#NAME?</v>
      </c>
      <c r="AA254" s="1" t="str">
        <f t="shared" si="6"/>
        <v>#NAME?</v>
      </c>
      <c r="AB254" s="1" t="str">
        <f t="shared" si="7"/>
        <v>#NAME?</v>
      </c>
      <c r="AC254" s="1" t="str">
        <f t="shared" si="8"/>
        <v>#NAME?</v>
      </c>
    </row>
    <row r="255" ht="14.25" customHeight="1">
      <c r="H255" s="1">
        <f t="shared" si="9"/>
        <v>250</v>
      </c>
      <c r="I255" s="1">
        <f t="shared" si="2"/>
        <v>6</v>
      </c>
      <c r="J255" s="1">
        <f t="shared" si="3"/>
        <v>9</v>
      </c>
      <c r="K255" s="23">
        <f t="shared" si="10"/>
        <v>36775</v>
      </c>
      <c r="L255" s="24">
        <f t="shared" si="4"/>
        <v>-1000000</v>
      </c>
      <c r="M255" s="1" t="str">
        <f t="array" ref="M255">IF(K255&gt;0,INDEX(big_daily_table,MATCH(DATE(N$5,$J255,$I255),daily_dates,0),MATCH($B$3,daily_items,0)),NA())</f>
        <v>#N/A</v>
      </c>
      <c r="N255" s="1" t="str">
        <f t="array" ref="N255">IF(L255&lt;0,INDEX(big_daily_table,MATCH(DATE(N$5,$J255,$I255),daily_dates,0),MATCH($B$3,daily_items,0)),NA())</f>
        <v>#N/A</v>
      </c>
      <c r="O255" s="1" t="str">
        <f t="array" ref="O255">IF(ISBLANK(INDEX(big_daily_table,MATCH(DATE(O$5,$J255,$I255),daily_dates,0),MATCH($B$3,daily_items,0))),NA(),INDEX(big_daily_table,MATCH(DATE(O$5,$J255,$I255),daily_dates,0),MATCH($B$3,daily_items,0)))</f>
        <v>#N/A</v>
      </c>
      <c r="P255" s="1" t="str">
        <f t="array" ref="P255">IF(ISBLANK(INDEX(big_daily_table,MATCH(DATE(P$5,$J255,$I255),daily_dates,0),MATCH($B$3,daily_items,0))),NA(),INDEX(big_daily_table,MATCH(DATE(P$5,$J255,$I255),daily_dates,0),MATCH($B$3,daily_items,0)))</f>
        <v>#N/A</v>
      </c>
      <c r="Q255" s="1" t="str">
        <f t="array" ref="Q255">IF(ISBLANK(INDEX(big_daily_table,MATCH(DATE(Q$5,$J255,$I255),daily_dates,0),MATCH($B$3,daily_items,0))),NA(),INDEX(big_daily_table,MATCH(DATE(Q$5,$J255,$I255),daily_dates,0),MATCH($B$3,daily_items,0)))</f>
        <v>#N/A</v>
      </c>
      <c r="R255" s="1" t="str">
        <f t="array" ref="R255">IF(ISBLANK(INDEX(big_daily_table,MATCH(DATE(R$5,$J255,$I255),daily_dates,0),MATCH($B$3,daily_items,0))),NA(),INDEX(big_daily_table,MATCH(DATE(R$5,$J255,$I255),daily_dates,0),MATCH($B$3,daily_items,0)))</f>
        <v>#N/A</v>
      </c>
      <c r="S255" s="1" t="str">
        <f t="array" ref="S255">IF(ISBLANK(INDEX(big_daily_table,MATCH(DATE(S$5,$J255,$I255),daily_dates,0),MATCH($B$3,daily_items,0))),NA(),INDEX(big_daily_table,MATCH(DATE(S$5,$J255,$I255),daily_dates,0),MATCH($B$3,daily_items,0)))</f>
        <v>#N/A</v>
      </c>
      <c r="T255" s="1" t="str">
        <f t="array" ref="T255">IF(ISBLANK(INDEX(big_daily_table,MATCH(DATE(T$5,$J255,$I255),daily_dates,0),MATCH($B$3,daily_items,0))),NA(),INDEX(big_daily_table,MATCH(DATE(T$5,$J255,$I255),daily_dates,0),MATCH($B$3,daily_items,0)))</f>
        <v>#N/A</v>
      </c>
      <c r="U255" s="1" t="str">
        <f t="array" ref="U255">IF(ISBLANK(INDEX(big_daily_table,MATCH(DATE(U$5,$J255,$I255),daily_dates,0),MATCH($B$3,daily_items,0))),NA(),INDEX(big_daily_table,MATCH(DATE(U$5,$J255,$I255),daily_dates,0),MATCH($B$3,daily_items,0)))</f>
        <v>#N/A</v>
      </c>
      <c r="V255" s="1" t="str">
        <f t="array" ref="V255">IF(ISBLANK(INDEX(big_daily_table,MATCH(DATE(V$5,$J255,$I255),daily_dates,0),MATCH($B$3,daily_items,0))),NA(),INDEX(big_daily_table,MATCH(DATE(V$5,$J255,$I255),daily_dates,0),MATCH($B$3,daily_items,0)))</f>
        <v>#N/A</v>
      </c>
      <c r="W255" s="1" t="str">
        <f t="array" ref="W255">IF(ISBLANK(INDEX(big_daily_table,MATCH(DATE(W$5,$J255,$I255),daily_dates,0),MATCH($B$3,daily_items,0))),NA(),INDEX(big_daily_table,MATCH(DATE(W$5,$J255,$I255),daily_dates,0),MATCH($B$3,daily_items,0)))</f>
        <v>#N/A</v>
      </c>
      <c r="X255" s="1" t="str">
        <f t="array" ref="X255">IF(ISBLANK(INDEX(big_daily_table,MATCH(DATE(X$5,$J255,$I255),daily_dates,0),MATCH($B$3,daily_items,0))),NA(),INDEX(big_daily_table,MATCH(DATE(X$5,$J255,$I255),daily_dates,0),MATCH($B$3,daily_items,0)))</f>
        <v>#N/A</v>
      </c>
      <c r="Y255" s="1" t="str">
        <f t="array" ref="Y255">IF(ISBLANK(INDEX(big_daily_table,MATCH(DATE(Y$5,$J255,$I255),daily_dates,0),MATCH($B$3,daily_items,0))),NA(),INDEX(big_daily_table,MATCH(DATE(Y$5,$J255,$I255),daily_dates,0),MATCH($B$3,daily_items,0)))</f>
        <v>#N/A</v>
      </c>
      <c r="Z255" s="1" t="str">
        <f t="shared" si="5"/>
        <v>#NAME?</v>
      </c>
      <c r="AA255" s="1" t="str">
        <f t="shared" si="6"/>
        <v>#NAME?</v>
      </c>
      <c r="AB255" s="1" t="str">
        <f t="shared" si="7"/>
        <v>#NAME?</v>
      </c>
      <c r="AC255" s="1" t="str">
        <f t="shared" si="8"/>
        <v>#NAME?</v>
      </c>
    </row>
    <row r="256" ht="14.25" customHeight="1">
      <c r="H256" s="1">
        <f t="shared" si="9"/>
        <v>251</v>
      </c>
      <c r="I256" s="1">
        <f t="shared" si="2"/>
        <v>7</v>
      </c>
      <c r="J256" s="1">
        <f t="shared" si="3"/>
        <v>9</v>
      </c>
      <c r="K256" s="23">
        <f t="shared" si="10"/>
        <v>36776</v>
      </c>
      <c r="L256" s="24">
        <f t="shared" si="4"/>
        <v>-1000000</v>
      </c>
      <c r="M256" s="1" t="str">
        <f t="array" ref="M256">IF(K256&gt;0,INDEX(big_daily_table,MATCH(DATE(N$5,$J256,$I256),daily_dates,0),MATCH($B$3,daily_items,0)),NA())</f>
        <v>#N/A</v>
      </c>
      <c r="N256" s="1" t="str">
        <f t="array" ref="N256">IF(L256&lt;0,INDEX(big_daily_table,MATCH(DATE(N$5,$J256,$I256),daily_dates,0),MATCH($B$3,daily_items,0)),NA())</f>
        <v>#N/A</v>
      </c>
      <c r="O256" s="1" t="str">
        <f t="array" ref="O256">IF(ISBLANK(INDEX(big_daily_table,MATCH(DATE(O$5,$J256,$I256),daily_dates,0),MATCH($B$3,daily_items,0))),NA(),INDEX(big_daily_table,MATCH(DATE(O$5,$J256,$I256),daily_dates,0),MATCH($B$3,daily_items,0)))</f>
        <v>#N/A</v>
      </c>
      <c r="P256" s="1" t="str">
        <f t="array" ref="P256">IF(ISBLANK(INDEX(big_daily_table,MATCH(DATE(P$5,$J256,$I256),daily_dates,0),MATCH($B$3,daily_items,0))),NA(),INDEX(big_daily_table,MATCH(DATE(P$5,$J256,$I256),daily_dates,0),MATCH($B$3,daily_items,0)))</f>
        <v>#N/A</v>
      </c>
      <c r="Q256" s="1" t="str">
        <f t="array" ref="Q256">IF(ISBLANK(INDEX(big_daily_table,MATCH(DATE(Q$5,$J256,$I256),daily_dates,0),MATCH($B$3,daily_items,0))),NA(),INDEX(big_daily_table,MATCH(DATE(Q$5,$J256,$I256),daily_dates,0),MATCH($B$3,daily_items,0)))</f>
        <v>#N/A</v>
      </c>
      <c r="R256" s="1" t="str">
        <f t="array" ref="R256">IF(ISBLANK(INDEX(big_daily_table,MATCH(DATE(R$5,$J256,$I256),daily_dates,0),MATCH($B$3,daily_items,0))),NA(),INDEX(big_daily_table,MATCH(DATE(R$5,$J256,$I256),daily_dates,0),MATCH($B$3,daily_items,0)))</f>
        <v>#N/A</v>
      </c>
      <c r="S256" s="1" t="str">
        <f t="array" ref="S256">IF(ISBLANK(INDEX(big_daily_table,MATCH(DATE(S$5,$J256,$I256),daily_dates,0),MATCH($B$3,daily_items,0))),NA(),INDEX(big_daily_table,MATCH(DATE(S$5,$J256,$I256),daily_dates,0),MATCH($B$3,daily_items,0)))</f>
        <v>#N/A</v>
      </c>
      <c r="T256" s="1" t="str">
        <f t="array" ref="T256">IF(ISBLANK(INDEX(big_daily_table,MATCH(DATE(T$5,$J256,$I256),daily_dates,0),MATCH($B$3,daily_items,0))),NA(),INDEX(big_daily_table,MATCH(DATE(T$5,$J256,$I256),daily_dates,0),MATCH($B$3,daily_items,0)))</f>
        <v>#N/A</v>
      </c>
      <c r="U256" s="1" t="str">
        <f t="array" ref="U256">IF(ISBLANK(INDEX(big_daily_table,MATCH(DATE(U$5,$J256,$I256),daily_dates,0),MATCH($B$3,daily_items,0))),NA(),INDEX(big_daily_table,MATCH(DATE(U$5,$J256,$I256),daily_dates,0),MATCH($B$3,daily_items,0)))</f>
        <v>#N/A</v>
      </c>
      <c r="V256" s="1" t="str">
        <f t="array" ref="V256">IF(ISBLANK(INDEX(big_daily_table,MATCH(DATE(V$5,$J256,$I256),daily_dates,0),MATCH($B$3,daily_items,0))),NA(),INDEX(big_daily_table,MATCH(DATE(V$5,$J256,$I256),daily_dates,0),MATCH($B$3,daily_items,0)))</f>
        <v>#N/A</v>
      </c>
      <c r="W256" s="1" t="str">
        <f t="array" ref="W256">IF(ISBLANK(INDEX(big_daily_table,MATCH(DATE(W$5,$J256,$I256),daily_dates,0),MATCH($B$3,daily_items,0))),NA(),INDEX(big_daily_table,MATCH(DATE(W$5,$J256,$I256),daily_dates,0),MATCH($B$3,daily_items,0)))</f>
        <v>#N/A</v>
      </c>
      <c r="X256" s="1" t="str">
        <f t="array" ref="X256">IF(ISBLANK(INDEX(big_daily_table,MATCH(DATE(X$5,$J256,$I256),daily_dates,0),MATCH($B$3,daily_items,0))),NA(),INDEX(big_daily_table,MATCH(DATE(X$5,$J256,$I256),daily_dates,0),MATCH($B$3,daily_items,0)))</f>
        <v>#N/A</v>
      </c>
      <c r="Y256" s="1" t="str">
        <f t="array" ref="Y256">IF(ISBLANK(INDEX(big_daily_table,MATCH(DATE(Y$5,$J256,$I256),daily_dates,0),MATCH($B$3,daily_items,0))),NA(),INDEX(big_daily_table,MATCH(DATE(Y$5,$J256,$I256),daily_dates,0),MATCH($B$3,daily_items,0)))</f>
        <v>#N/A</v>
      </c>
      <c r="Z256" s="1" t="str">
        <f t="shared" si="5"/>
        <v>#NAME?</v>
      </c>
      <c r="AA256" s="1" t="str">
        <f t="shared" si="6"/>
        <v>#NAME?</v>
      </c>
      <c r="AB256" s="1" t="str">
        <f t="shared" si="7"/>
        <v>#NAME?</v>
      </c>
      <c r="AC256" s="1" t="str">
        <f t="shared" si="8"/>
        <v>#NAME?</v>
      </c>
    </row>
    <row r="257" ht="14.25" customHeight="1">
      <c r="H257" s="1">
        <f t="shared" si="9"/>
        <v>252</v>
      </c>
      <c r="I257" s="1">
        <f t="shared" si="2"/>
        <v>8</v>
      </c>
      <c r="J257" s="1">
        <f t="shared" si="3"/>
        <v>9</v>
      </c>
      <c r="K257" s="23">
        <f t="shared" si="10"/>
        <v>36777</v>
      </c>
      <c r="L257" s="24">
        <f t="shared" si="4"/>
        <v>-1000000</v>
      </c>
      <c r="M257" s="1" t="str">
        <f t="array" ref="M257">IF(K257&gt;0,INDEX(big_daily_table,MATCH(DATE(N$5,$J257,$I257),daily_dates,0),MATCH($B$3,daily_items,0)),NA())</f>
        <v>#N/A</v>
      </c>
      <c r="N257" s="1" t="str">
        <f t="array" ref="N257">IF(L257&lt;0,INDEX(big_daily_table,MATCH(DATE(N$5,$J257,$I257),daily_dates,0),MATCH($B$3,daily_items,0)),NA())</f>
        <v>#N/A</v>
      </c>
      <c r="O257" s="1" t="str">
        <f t="array" ref="O257">IF(ISBLANK(INDEX(big_daily_table,MATCH(DATE(O$5,$J257,$I257),daily_dates,0),MATCH($B$3,daily_items,0))),NA(),INDEX(big_daily_table,MATCH(DATE(O$5,$J257,$I257),daily_dates,0),MATCH($B$3,daily_items,0)))</f>
        <v>#N/A</v>
      </c>
      <c r="P257" s="1" t="str">
        <f t="array" ref="P257">IF(ISBLANK(INDEX(big_daily_table,MATCH(DATE(P$5,$J257,$I257),daily_dates,0),MATCH($B$3,daily_items,0))),NA(),INDEX(big_daily_table,MATCH(DATE(P$5,$J257,$I257),daily_dates,0),MATCH($B$3,daily_items,0)))</f>
        <v>#N/A</v>
      </c>
      <c r="Q257" s="1" t="str">
        <f t="array" ref="Q257">IF(ISBLANK(INDEX(big_daily_table,MATCH(DATE(Q$5,$J257,$I257),daily_dates,0),MATCH($B$3,daily_items,0))),NA(),INDEX(big_daily_table,MATCH(DATE(Q$5,$J257,$I257),daily_dates,0),MATCH($B$3,daily_items,0)))</f>
        <v>#N/A</v>
      </c>
      <c r="R257" s="1" t="str">
        <f t="array" ref="R257">IF(ISBLANK(INDEX(big_daily_table,MATCH(DATE(R$5,$J257,$I257),daily_dates,0),MATCH($B$3,daily_items,0))),NA(),INDEX(big_daily_table,MATCH(DATE(R$5,$J257,$I257),daily_dates,0),MATCH($B$3,daily_items,0)))</f>
        <v>#N/A</v>
      </c>
      <c r="S257" s="1" t="str">
        <f t="array" ref="S257">IF(ISBLANK(INDEX(big_daily_table,MATCH(DATE(S$5,$J257,$I257),daily_dates,0),MATCH($B$3,daily_items,0))),NA(),INDEX(big_daily_table,MATCH(DATE(S$5,$J257,$I257),daily_dates,0),MATCH($B$3,daily_items,0)))</f>
        <v>#N/A</v>
      </c>
      <c r="T257" s="1" t="str">
        <f t="array" ref="T257">IF(ISBLANK(INDEX(big_daily_table,MATCH(DATE(T$5,$J257,$I257),daily_dates,0),MATCH($B$3,daily_items,0))),NA(),INDEX(big_daily_table,MATCH(DATE(T$5,$J257,$I257),daily_dates,0),MATCH($B$3,daily_items,0)))</f>
        <v>#N/A</v>
      </c>
      <c r="U257" s="1" t="str">
        <f t="array" ref="U257">IF(ISBLANK(INDEX(big_daily_table,MATCH(DATE(U$5,$J257,$I257),daily_dates,0),MATCH($B$3,daily_items,0))),NA(),INDEX(big_daily_table,MATCH(DATE(U$5,$J257,$I257),daily_dates,0),MATCH($B$3,daily_items,0)))</f>
        <v>#N/A</v>
      </c>
      <c r="V257" s="1" t="str">
        <f t="array" ref="V257">IF(ISBLANK(INDEX(big_daily_table,MATCH(DATE(V$5,$J257,$I257),daily_dates,0),MATCH($B$3,daily_items,0))),NA(),INDEX(big_daily_table,MATCH(DATE(V$5,$J257,$I257),daily_dates,0),MATCH($B$3,daily_items,0)))</f>
        <v>#N/A</v>
      </c>
      <c r="W257" s="1" t="str">
        <f t="array" ref="W257">IF(ISBLANK(INDEX(big_daily_table,MATCH(DATE(W$5,$J257,$I257),daily_dates,0),MATCH($B$3,daily_items,0))),NA(),INDEX(big_daily_table,MATCH(DATE(W$5,$J257,$I257),daily_dates,0),MATCH($B$3,daily_items,0)))</f>
        <v>#N/A</v>
      </c>
      <c r="X257" s="1" t="str">
        <f t="array" ref="X257">IF(ISBLANK(INDEX(big_daily_table,MATCH(DATE(X$5,$J257,$I257),daily_dates,0),MATCH($B$3,daily_items,0))),NA(),INDEX(big_daily_table,MATCH(DATE(X$5,$J257,$I257),daily_dates,0),MATCH($B$3,daily_items,0)))</f>
        <v>#N/A</v>
      </c>
      <c r="Y257" s="1" t="str">
        <f t="array" ref="Y257">IF(ISBLANK(INDEX(big_daily_table,MATCH(DATE(Y$5,$J257,$I257),daily_dates,0),MATCH($B$3,daily_items,0))),NA(),INDEX(big_daily_table,MATCH(DATE(Y$5,$J257,$I257),daily_dates,0),MATCH($B$3,daily_items,0)))</f>
        <v>#N/A</v>
      </c>
      <c r="Z257" s="1" t="str">
        <f t="shared" si="5"/>
        <v>#NAME?</v>
      </c>
      <c r="AA257" s="1" t="str">
        <f t="shared" si="6"/>
        <v>#NAME?</v>
      </c>
      <c r="AB257" s="1" t="str">
        <f t="shared" si="7"/>
        <v>#NAME?</v>
      </c>
      <c r="AC257" s="1" t="str">
        <f t="shared" si="8"/>
        <v>#NAME?</v>
      </c>
    </row>
    <row r="258" ht="14.25" customHeight="1">
      <c r="H258" s="1">
        <f t="shared" si="9"/>
        <v>253</v>
      </c>
      <c r="I258" s="1">
        <f t="shared" si="2"/>
        <v>9</v>
      </c>
      <c r="J258" s="1">
        <f t="shared" si="3"/>
        <v>9</v>
      </c>
      <c r="K258" s="23">
        <f t="shared" si="10"/>
        <v>36778</v>
      </c>
      <c r="L258" s="24">
        <f t="shared" si="4"/>
        <v>-1000000</v>
      </c>
      <c r="M258" s="1" t="str">
        <f t="array" ref="M258">IF(K258&gt;0,INDEX(big_daily_table,MATCH(DATE(N$5,$J258,$I258),daily_dates,0),MATCH($B$3,daily_items,0)),NA())</f>
        <v>#N/A</v>
      </c>
      <c r="N258" s="1" t="str">
        <f t="array" ref="N258">IF(L258&lt;0,INDEX(big_daily_table,MATCH(DATE(N$5,$J258,$I258),daily_dates,0),MATCH($B$3,daily_items,0)),NA())</f>
        <v>#N/A</v>
      </c>
      <c r="O258" s="1" t="str">
        <f t="array" ref="O258">IF(ISBLANK(INDEX(big_daily_table,MATCH(DATE(O$5,$J258,$I258),daily_dates,0),MATCH($B$3,daily_items,0))),NA(),INDEX(big_daily_table,MATCH(DATE(O$5,$J258,$I258),daily_dates,0),MATCH($B$3,daily_items,0)))</f>
        <v>#N/A</v>
      </c>
      <c r="P258" s="1" t="str">
        <f t="array" ref="P258">IF(ISBLANK(INDEX(big_daily_table,MATCH(DATE(P$5,$J258,$I258),daily_dates,0),MATCH($B$3,daily_items,0))),NA(),INDEX(big_daily_table,MATCH(DATE(P$5,$J258,$I258),daily_dates,0),MATCH($B$3,daily_items,0)))</f>
        <v>#N/A</v>
      </c>
      <c r="Q258" s="1" t="str">
        <f t="array" ref="Q258">IF(ISBLANK(INDEX(big_daily_table,MATCH(DATE(Q$5,$J258,$I258),daily_dates,0),MATCH($B$3,daily_items,0))),NA(),INDEX(big_daily_table,MATCH(DATE(Q$5,$J258,$I258),daily_dates,0),MATCH($B$3,daily_items,0)))</f>
        <v>#N/A</v>
      </c>
      <c r="R258" s="1" t="str">
        <f t="array" ref="R258">IF(ISBLANK(INDEX(big_daily_table,MATCH(DATE(R$5,$J258,$I258),daily_dates,0),MATCH($B$3,daily_items,0))),NA(),INDEX(big_daily_table,MATCH(DATE(R$5,$J258,$I258),daily_dates,0),MATCH($B$3,daily_items,0)))</f>
        <v>#N/A</v>
      </c>
      <c r="S258" s="1" t="str">
        <f t="array" ref="S258">IF(ISBLANK(INDEX(big_daily_table,MATCH(DATE(S$5,$J258,$I258),daily_dates,0),MATCH($B$3,daily_items,0))),NA(),INDEX(big_daily_table,MATCH(DATE(S$5,$J258,$I258),daily_dates,0),MATCH($B$3,daily_items,0)))</f>
        <v>#N/A</v>
      </c>
      <c r="T258" s="1" t="str">
        <f t="array" ref="T258">IF(ISBLANK(INDEX(big_daily_table,MATCH(DATE(T$5,$J258,$I258),daily_dates,0),MATCH($B$3,daily_items,0))),NA(),INDEX(big_daily_table,MATCH(DATE(T$5,$J258,$I258),daily_dates,0),MATCH($B$3,daily_items,0)))</f>
        <v>#N/A</v>
      </c>
      <c r="U258" s="1" t="str">
        <f t="array" ref="U258">IF(ISBLANK(INDEX(big_daily_table,MATCH(DATE(U$5,$J258,$I258),daily_dates,0),MATCH($B$3,daily_items,0))),NA(),INDEX(big_daily_table,MATCH(DATE(U$5,$J258,$I258),daily_dates,0),MATCH($B$3,daily_items,0)))</f>
        <v>#N/A</v>
      </c>
      <c r="V258" s="1" t="str">
        <f t="array" ref="V258">IF(ISBLANK(INDEX(big_daily_table,MATCH(DATE(V$5,$J258,$I258),daily_dates,0),MATCH($B$3,daily_items,0))),NA(),INDEX(big_daily_table,MATCH(DATE(V$5,$J258,$I258),daily_dates,0),MATCH($B$3,daily_items,0)))</f>
        <v>#N/A</v>
      </c>
      <c r="W258" s="1" t="str">
        <f t="array" ref="W258">IF(ISBLANK(INDEX(big_daily_table,MATCH(DATE(W$5,$J258,$I258),daily_dates,0),MATCH($B$3,daily_items,0))),NA(),INDEX(big_daily_table,MATCH(DATE(W$5,$J258,$I258),daily_dates,0),MATCH($B$3,daily_items,0)))</f>
        <v>#N/A</v>
      </c>
      <c r="X258" s="1" t="str">
        <f t="array" ref="X258">IF(ISBLANK(INDEX(big_daily_table,MATCH(DATE(X$5,$J258,$I258),daily_dates,0),MATCH($B$3,daily_items,0))),NA(),INDEX(big_daily_table,MATCH(DATE(X$5,$J258,$I258),daily_dates,0),MATCH($B$3,daily_items,0)))</f>
        <v>#N/A</v>
      </c>
      <c r="Y258" s="1" t="str">
        <f t="array" ref="Y258">IF(ISBLANK(INDEX(big_daily_table,MATCH(DATE(Y$5,$J258,$I258),daily_dates,0),MATCH($B$3,daily_items,0))),NA(),INDEX(big_daily_table,MATCH(DATE(Y$5,$J258,$I258),daily_dates,0),MATCH($B$3,daily_items,0)))</f>
        <v>#N/A</v>
      </c>
      <c r="Z258" s="1" t="str">
        <f t="shared" si="5"/>
        <v>#NAME?</v>
      </c>
      <c r="AA258" s="1" t="str">
        <f t="shared" si="6"/>
        <v>#NAME?</v>
      </c>
      <c r="AB258" s="1" t="str">
        <f t="shared" si="7"/>
        <v>#NAME?</v>
      </c>
      <c r="AC258" s="1" t="str">
        <f t="shared" si="8"/>
        <v>#NAME?</v>
      </c>
    </row>
    <row r="259" ht="14.25" customHeight="1">
      <c r="H259" s="1">
        <f t="shared" si="9"/>
        <v>254</v>
      </c>
      <c r="I259" s="1">
        <f t="shared" si="2"/>
        <v>10</v>
      </c>
      <c r="J259" s="1">
        <f t="shared" si="3"/>
        <v>9</v>
      </c>
      <c r="K259" s="23">
        <f t="shared" si="10"/>
        <v>36779</v>
      </c>
      <c r="L259" s="24">
        <f t="shared" si="4"/>
        <v>-1000000</v>
      </c>
      <c r="M259" s="1" t="str">
        <f t="array" ref="M259">IF(K259&gt;0,INDEX(big_daily_table,MATCH(DATE(N$5,$J259,$I259),daily_dates,0),MATCH($B$3,daily_items,0)),NA())</f>
        <v>#N/A</v>
      </c>
      <c r="N259" s="1" t="str">
        <f t="array" ref="N259">IF(L259&lt;0,INDEX(big_daily_table,MATCH(DATE(N$5,$J259,$I259),daily_dates,0),MATCH($B$3,daily_items,0)),NA())</f>
        <v>#N/A</v>
      </c>
      <c r="O259" s="1" t="str">
        <f t="array" ref="O259">IF(ISBLANK(INDEX(big_daily_table,MATCH(DATE(O$5,$J259,$I259),daily_dates,0),MATCH($B$3,daily_items,0))),NA(),INDEX(big_daily_table,MATCH(DATE(O$5,$J259,$I259),daily_dates,0),MATCH($B$3,daily_items,0)))</f>
        <v>#N/A</v>
      </c>
      <c r="P259" s="1" t="str">
        <f t="array" ref="P259">IF(ISBLANK(INDEX(big_daily_table,MATCH(DATE(P$5,$J259,$I259),daily_dates,0),MATCH($B$3,daily_items,0))),NA(),INDEX(big_daily_table,MATCH(DATE(P$5,$J259,$I259),daily_dates,0),MATCH($B$3,daily_items,0)))</f>
        <v>#N/A</v>
      </c>
      <c r="Q259" s="1" t="str">
        <f t="array" ref="Q259">IF(ISBLANK(INDEX(big_daily_table,MATCH(DATE(Q$5,$J259,$I259),daily_dates,0),MATCH($B$3,daily_items,0))),NA(),INDEX(big_daily_table,MATCH(DATE(Q$5,$J259,$I259),daily_dates,0),MATCH($B$3,daily_items,0)))</f>
        <v>#N/A</v>
      </c>
      <c r="R259" s="1" t="str">
        <f t="array" ref="R259">IF(ISBLANK(INDEX(big_daily_table,MATCH(DATE(R$5,$J259,$I259),daily_dates,0),MATCH($B$3,daily_items,0))),NA(),INDEX(big_daily_table,MATCH(DATE(R$5,$J259,$I259),daily_dates,0),MATCH($B$3,daily_items,0)))</f>
        <v>#N/A</v>
      </c>
      <c r="S259" s="1" t="str">
        <f t="array" ref="S259">IF(ISBLANK(INDEX(big_daily_table,MATCH(DATE(S$5,$J259,$I259),daily_dates,0),MATCH($B$3,daily_items,0))),NA(),INDEX(big_daily_table,MATCH(DATE(S$5,$J259,$I259),daily_dates,0),MATCH($B$3,daily_items,0)))</f>
        <v>#N/A</v>
      </c>
      <c r="T259" s="1" t="str">
        <f t="array" ref="T259">IF(ISBLANK(INDEX(big_daily_table,MATCH(DATE(T$5,$J259,$I259),daily_dates,0),MATCH($B$3,daily_items,0))),NA(),INDEX(big_daily_table,MATCH(DATE(T$5,$J259,$I259),daily_dates,0),MATCH($B$3,daily_items,0)))</f>
        <v>#N/A</v>
      </c>
      <c r="U259" s="1" t="str">
        <f t="array" ref="U259">IF(ISBLANK(INDEX(big_daily_table,MATCH(DATE(U$5,$J259,$I259),daily_dates,0),MATCH($B$3,daily_items,0))),NA(),INDEX(big_daily_table,MATCH(DATE(U$5,$J259,$I259),daily_dates,0),MATCH($B$3,daily_items,0)))</f>
        <v>#N/A</v>
      </c>
      <c r="V259" s="1" t="str">
        <f t="array" ref="V259">IF(ISBLANK(INDEX(big_daily_table,MATCH(DATE(V$5,$J259,$I259),daily_dates,0),MATCH($B$3,daily_items,0))),NA(),INDEX(big_daily_table,MATCH(DATE(V$5,$J259,$I259),daily_dates,0),MATCH($B$3,daily_items,0)))</f>
        <v>#N/A</v>
      </c>
      <c r="W259" s="1" t="str">
        <f t="array" ref="W259">IF(ISBLANK(INDEX(big_daily_table,MATCH(DATE(W$5,$J259,$I259),daily_dates,0),MATCH($B$3,daily_items,0))),NA(),INDEX(big_daily_table,MATCH(DATE(W$5,$J259,$I259),daily_dates,0),MATCH($B$3,daily_items,0)))</f>
        <v>#N/A</v>
      </c>
      <c r="X259" s="1" t="str">
        <f t="array" ref="X259">IF(ISBLANK(INDEX(big_daily_table,MATCH(DATE(X$5,$J259,$I259),daily_dates,0),MATCH($B$3,daily_items,0))),NA(),INDEX(big_daily_table,MATCH(DATE(X$5,$J259,$I259),daily_dates,0),MATCH($B$3,daily_items,0)))</f>
        <v>#N/A</v>
      </c>
      <c r="Y259" s="1" t="str">
        <f t="array" ref="Y259">IF(ISBLANK(INDEX(big_daily_table,MATCH(DATE(Y$5,$J259,$I259),daily_dates,0),MATCH($B$3,daily_items,0))),NA(),INDEX(big_daily_table,MATCH(DATE(Y$5,$J259,$I259),daily_dates,0),MATCH($B$3,daily_items,0)))</f>
        <v>#N/A</v>
      </c>
      <c r="Z259" s="1" t="str">
        <f t="shared" si="5"/>
        <v>#NAME?</v>
      </c>
      <c r="AA259" s="1" t="str">
        <f t="shared" si="6"/>
        <v>#NAME?</v>
      </c>
      <c r="AB259" s="1" t="str">
        <f t="shared" si="7"/>
        <v>#NAME?</v>
      </c>
      <c r="AC259" s="1" t="str">
        <f t="shared" si="8"/>
        <v>#NAME?</v>
      </c>
    </row>
    <row r="260" ht="14.25" customHeight="1">
      <c r="H260" s="1">
        <f t="shared" si="9"/>
        <v>255</v>
      </c>
      <c r="I260" s="1">
        <f t="shared" si="2"/>
        <v>11</v>
      </c>
      <c r="J260" s="1">
        <f t="shared" si="3"/>
        <v>9</v>
      </c>
      <c r="K260" s="23">
        <f t="shared" si="10"/>
        <v>36780</v>
      </c>
      <c r="L260" s="24">
        <f t="shared" si="4"/>
        <v>-1000000</v>
      </c>
      <c r="M260" s="1" t="str">
        <f t="array" ref="M260">IF(K260&gt;0,INDEX(big_daily_table,MATCH(DATE(N$5,$J260,$I260),daily_dates,0),MATCH($B$3,daily_items,0)),NA())</f>
        <v>#N/A</v>
      </c>
      <c r="N260" s="1" t="str">
        <f t="array" ref="N260">IF(L260&lt;0,INDEX(big_daily_table,MATCH(DATE(N$5,$J260,$I260),daily_dates,0),MATCH($B$3,daily_items,0)),NA())</f>
        <v>#N/A</v>
      </c>
      <c r="O260" s="1" t="str">
        <f t="array" ref="O260">IF(ISBLANK(INDEX(big_daily_table,MATCH(DATE(O$5,$J260,$I260),daily_dates,0),MATCH($B$3,daily_items,0))),NA(),INDEX(big_daily_table,MATCH(DATE(O$5,$J260,$I260),daily_dates,0),MATCH($B$3,daily_items,0)))</f>
        <v>#N/A</v>
      </c>
      <c r="P260" s="1" t="str">
        <f t="array" ref="P260">IF(ISBLANK(INDEX(big_daily_table,MATCH(DATE(P$5,$J260,$I260),daily_dates,0),MATCH($B$3,daily_items,0))),NA(),INDEX(big_daily_table,MATCH(DATE(P$5,$J260,$I260),daily_dates,0),MATCH($B$3,daily_items,0)))</f>
        <v>#N/A</v>
      </c>
      <c r="Q260" s="1" t="str">
        <f t="array" ref="Q260">IF(ISBLANK(INDEX(big_daily_table,MATCH(DATE(Q$5,$J260,$I260),daily_dates,0),MATCH($B$3,daily_items,0))),NA(),INDEX(big_daily_table,MATCH(DATE(Q$5,$J260,$I260),daily_dates,0),MATCH($B$3,daily_items,0)))</f>
        <v>#N/A</v>
      </c>
      <c r="R260" s="1" t="str">
        <f t="array" ref="R260">IF(ISBLANK(INDEX(big_daily_table,MATCH(DATE(R$5,$J260,$I260),daily_dates,0),MATCH($B$3,daily_items,0))),NA(),INDEX(big_daily_table,MATCH(DATE(R$5,$J260,$I260),daily_dates,0),MATCH($B$3,daily_items,0)))</f>
        <v>#N/A</v>
      </c>
      <c r="S260" s="1" t="str">
        <f t="array" ref="S260">IF(ISBLANK(INDEX(big_daily_table,MATCH(DATE(S$5,$J260,$I260),daily_dates,0),MATCH($B$3,daily_items,0))),NA(),INDEX(big_daily_table,MATCH(DATE(S$5,$J260,$I260),daily_dates,0),MATCH($B$3,daily_items,0)))</f>
        <v>#N/A</v>
      </c>
      <c r="T260" s="1" t="str">
        <f t="array" ref="T260">IF(ISBLANK(INDEX(big_daily_table,MATCH(DATE(T$5,$J260,$I260),daily_dates,0),MATCH($B$3,daily_items,0))),NA(),INDEX(big_daily_table,MATCH(DATE(T$5,$J260,$I260),daily_dates,0),MATCH($B$3,daily_items,0)))</f>
        <v>#N/A</v>
      </c>
      <c r="U260" s="1" t="str">
        <f t="array" ref="U260">IF(ISBLANK(INDEX(big_daily_table,MATCH(DATE(U$5,$J260,$I260),daily_dates,0),MATCH($B$3,daily_items,0))),NA(),INDEX(big_daily_table,MATCH(DATE(U$5,$J260,$I260),daily_dates,0),MATCH($B$3,daily_items,0)))</f>
        <v>#N/A</v>
      </c>
      <c r="V260" s="1" t="str">
        <f t="array" ref="V260">IF(ISBLANK(INDEX(big_daily_table,MATCH(DATE(V$5,$J260,$I260),daily_dates,0),MATCH($B$3,daily_items,0))),NA(),INDEX(big_daily_table,MATCH(DATE(V$5,$J260,$I260),daily_dates,0),MATCH($B$3,daily_items,0)))</f>
        <v>#N/A</v>
      </c>
      <c r="W260" s="1" t="str">
        <f t="array" ref="W260">IF(ISBLANK(INDEX(big_daily_table,MATCH(DATE(W$5,$J260,$I260),daily_dates,0),MATCH($B$3,daily_items,0))),NA(),INDEX(big_daily_table,MATCH(DATE(W$5,$J260,$I260),daily_dates,0),MATCH($B$3,daily_items,0)))</f>
        <v>#N/A</v>
      </c>
      <c r="X260" s="1" t="str">
        <f t="array" ref="X260">IF(ISBLANK(INDEX(big_daily_table,MATCH(DATE(X$5,$J260,$I260),daily_dates,0),MATCH($B$3,daily_items,0))),NA(),INDEX(big_daily_table,MATCH(DATE(X$5,$J260,$I260),daily_dates,0),MATCH($B$3,daily_items,0)))</f>
        <v>#N/A</v>
      </c>
      <c r="Y260" s="1" t="str">
        <f t="array" ref="Y260">IF(ISBLANK(INDEX(big_daily_table,MATCH(DATE(Y$5,$J260,$I260),daily_dates,0),MATCH($B$3,daily_items,0))),NA(),INDEX(big_daily_table,MATCH(DATE(Y$5,$J260,$I260),daily_dates,0),MATCH($B$3,daily_items,0)))</f>
        <v>#N/A</v>
      </c>
      <c r="Z260" s="1" t="str">
        <f t="shared" si="5"/>
        <v>#NAME?</v>
      </c>
      <c r="AA260" s="1" t="str">
        <f t="shared" si="6"/>
        <v>#NAME?</v>
      </c>
      <c r="AB260" s="1" t="str">
        <f t="shared" si="7"/>
        <v>#NAME?</v>
      </c>
      <c r="AC260" s="1" t="str">
        <f t="shared" si="8"/>
        <v>#NAME?</v>
      </c>
    </row>
    <row r="261" ht="14.25" customHeight="1">
      <c r="H261" s="1">
        <f t="shared" si="9"/>
        <v>256</v>
      </c>
      <c r="I261" s="1">
        <f t="shared" si="2"/>
        <v>12</v>
      </c>
      <c r="J261" s="1">
        <f t="shared" si="3"/>
        <v>9</v>
      </c>
      <c r="K261" s="23">
        <f t="shared" si="10"/>
        <v>36781</v>
      </c>
      <c r="L261" s="24">
        <f t="shared" si="4"/>
        <v>-1000000</v>
      </c>
      <c r="M261" s="1" t="str">
        <f t="array" ref="M261">IF(K261&gt;0,INDEX(big_daily_table,MATCH(DATE(N$5,$J261,$I261),daily_dates,0),MATCH($B$3,daily_items,0)),NA())</f>
        <v>#N/A</v>
      </c>
      <c r="N261" s="1" t="str">
        <f t="array" ref="N261">IF(L261&lt;0,INDEX(big_daily_table,MATCH(DATE(N$5,$J261,$I261),daily_dates,0),MATCH($B$3,daily_items,0)),NA())</f>
        <v>#N/A</v>
      </c>
      <c r="O261" s="1" t="str">
        <f t="array" ref="O261">IF(ISBLANK(INDEX(big_daily_table,MATCH(DATE(O$5,$J261,$I261),daily_dates,0),MATCH($B$3,daily_items,0))),NA(),INDEX(big_daily_table,MATCH(DATE(O$5,$J261,$I261),daily_dates,0),MATCH($B$3,daily_items,0)))</f>
        <v>#N/A</v>
      </c>
      <c r="P261" s="1" t="str">
        <f t="array" ref="P261">IF(ISBLANK(INDEX(big_daily_table,MATCH(DATE(P$5,$J261,$I261),daily_dates,0),MATCH($B$3,daily_items,0))),NA(),INDEX(big_daily_table,MATCH(DATE(P$5,$J261,$I261),daily_dates,0),MATCH($B$3,daily_items,0)))</f>
        <v>#N/A</v>
      </c>
      <c r="Q261" s="1" t="str">
        <f t="array" ref="Q261">IF(ISBLANK(INDEX(big_daily_table,MATCH(DATE(Q$5,$J261,$I261),daily_dates,0),MATCH($B$3,daily_items,0))),NA(),INDEX(big_daily_table,MATCH(DATE(Q$5,$J261,$I261),daily_dates,0),MATCH($B$3,daily_items,0)))</f>
        <v>#N/A</v>
      </c>
      <c r="R261" s="1" t="str">
        <f t="array" ref="R261">IF(ISBLANK(INDEX(big_daily_table,MATCH(DATE(R$5,$J261,$I261),daily_dates,0),MATCH($B$3,daily_items,0))),NA(),INDEX(big_daily_table,MATCH(DATE(R$5,$J261,$I261),daily_dates,0),MATCH($B$3,daily_items,0)))</f>
        <v>#N/A</v>
      </c>
      <c r="S261" s="1" t="str">
        <f t="array" ref="S261">IF(ISBLANK(INDEX(big_daily_table,MATCH(DATE(S$5,$J261,$I261),daily_dates,0),MATCH($B$3,daily_items,0))),NA(),INDEX(big_daily_table,MATCH(DATE(S$5,$J261,$I261),daily_dates,0),MATCH($B$3,daily_items,0)))</f>
        <v>#N/A</v>
      </c>
      <c r="T261" s="1" t="str">
        <f t="array" ref="T261">IF(ISBLANK(INDEX(big_daily_table,MATCH(DATE(T$5,$J261,$I261),daily_dates,0),MATCH($B$3,daily_items,0))),NA(),INDEX(big_daily_table,MATCH(DATE(T$5,$J261,$I261),daily_dates,0),MATCH($B$3,daily_items,0)))</f>
        <v>#N/A</v>
      </c>
      <c r="U261" s="1" t="str">
        <f t="array" ref="U261">IF(ISBLANK(INDEX(big_daily_table,MATCH(DATE(U$5,$J261,$I261),daily_dates,0),MATCH($B$3,daily_items,0))),NA(),INDEX(big_daily_table,MATCH(DATE(U$5,$J261,$I261),daily_dates,0),MATCH($B$3,daily_items,0)))</f>
        <v>#N/A</v>
      </c>
      <c r="V261" s="1" t="str">
        <f t="array" ref="V261">IF(ISBLANK(INDEX(big_daily_table,MATCH(DATE(V$5,$J261,$I261),daily_dates,0),MATCH($B$3,daily_items,0))),NA(),INDEX(big_daily_table,MATCH(DATE(V$5,$J261,$I261),daily_dates,0),MATCH($B$3,daily_items,0)))</f>
        <v>#N/A</v>
      </c>
      <c r="W261" s="1" t="str">
        <f t="array" ref="W261">IF(ISBLANK(INDEX(big_daily_table,MATCH(DATE(W$5,$J261,$I261),daily_dates,0),MATCH($B$3,daily_items,0))),NA(),INDEX(big_daily_table,MATCH(DATE(W$5,$J261,$I261),daily_dates,0),MATCH($B$3,daily_items,0)))</f>
        <v>#N/A</v>
      </c>
      <c r="X261" s="1" t="str">
        <f t="array" ref="X261">IF(ISBLANK(INDEX(big_daily_table,MATCH(DATE(X$5,$J261,$I261),daily_dates,0),MATCH($B$3,daily_items,0))),NA(),INDEX(big_daily_table,MATCH(DATE(X$5,$J261,$I261),daily_dates,0),MATCH($B$3,daily_items,0)))</f>
        <v>#N/A</v>
      </c>
      <c r="Y261" s="1" t="str">
        <f t="array" ref="Y261">IF(ISBLANK(INDEX(big_daily_table,MATCH(DATE(Y$5,$J261,$I261),daily_dates,0),MATCH($B$3,daily_items,0))),NA(),INDEX(big_daily_table,MATCH(DATE(Y$5,$J261,$I261),daily_dates,0),MATCH($B$3,daily_items,0)))</f>
        <v>#N/A</v>
      </c>
      <c r="Z261" s="1" t="str">
        <f t="shared" si="5"/>
        <v>#NAME?</v>
      </c>
      <c r="AA261" s="1" t="str">
        <f t="shared" si="6"/>
        <v>#NAME?</v>
      </c>
      <c r="AB261" s="1" t="str">
        <f t="shared" si="7"/>
        <v>#NAME?</v>
      </c>
      <c r="AC261" s="1" t="str">
        <f t="shared" si="8"/>
        <v>#NAME?</v>
      </c>
    </row>
    <row r="262" ht="14.25" customHeight="1">
      <c r="H262" s="1">
        <f t="shared" si="9"/>
        <v>257</v>
      </c>
      <c r="I262" s="1">
        <f t="shared" si="2"/>
        <v>13</v>
      </c>
      <c r="J262" s="1">
        <f t="shared" si="3"/>
        <v>9</v>
      </c>
      <c r="K262" s="23">
        <f t="shared" si="10"/>
        <v>36782</v>
      </c>
      <c r="L262" s="24">
        <f t="shared" si="4"/>
        <v>-1000000</v>
      </c>
      <c r="M262" s="1" t="str">
        <f t="array" ref="M262">IF(K262&gt;0,INDEX(big_daily_table,MATCH(DATE(N$5,$J262,$I262),daily_dates,0),MATCH($B$3,daily_items,0)),NA())</f>
        <v>#N/A</v>
      </c>
      <c r="N262" s="1" t="str">
        <f t="array" ref="N262">IF(L262&lt;0,INDEX(big_daily_table,MATCH(DATE(N$5,$J262,$I262),daily_dates,0),MATCH($B$3,daily_items,0)),NA())</f>
        <v>#N/A</v>
      </c>
      <c r="O262" s="1" t="str">
        <f t="array" ref="O262">IF(ISBLANK(INDEX(big_daily_table,MATCH(DATE(O$5,$J262,$I262),daily_dates,0),MATCH($B$3,daily_items,0))),NA(),INDEX(big_daily_table,MATCH(DATE(O$5,$J262,$I262),daily_dates,0),MATCH($B$3,daily_items,0)))</f>
        <v>#N/A</v>
      </c>
      <c r="P262" s="1" t="str">
        <f t="array" ref="P262">IF(ISBLANK(INDEX(big_daily_table,MATCH(DATE(P$5,$J262,$I262),daily_dates,0),MATCH($B$3,daily_items,0))),NA(),INDEX(big_daily_table,MATCH(DATE(P$5,$J262,$I262),daily_dates,0),MATCH($B$3,daily_items,0)))</f>
        <v>#N/A</v>
      </c>
      <c r="Q262" s="1" t="str">
        <f t="array" ref="Q262">IF(ISBLANK(INDEX(big_daily_table,MATCH(DATE(Q$5,$J262,$I262),daily_dates,0),MATCH($B$3,daily_items,0))),NA(),INDEX(big_daily_table,MATCH(DATE(Q$5,$J262,$I262),daily_dates,0),MATCH($B$3,daily_items,0)))</f>
        <v>#N/A</v>
      </c>
      <c r="R262" s="1" t="str">
        <f t="array" ref="R262">IF(ISBLANK(INDEX(big_daily_table,MATCH(DATE(R$5,$J262,$I262),daily_dates,0),MATCH($B$3,daily_items,0))),NA(),INDEX(big_daily_table,MATCH(DATE(R$5,$J262,$I262),daily_dates,0),MATCH($B$3,daily_items,0)))</f>
        <v>#N/A</v>
      </c>
      <c r="S262" s="1" t="str">
        <f t="array" ref="S262">IF(ISBLANK(INDEX(big_daily_table,MATCH(DATE(S$5,$J262,$I262),daily_dates,0),MATCH($B$3,daily_items,0))),NA(),INDEX(big_daily_table,MATCH(DATE(S$5,$J262,$I262),daily_dates,0),MATCH($B$3,daily_items,0)))</f>
        <v>#N/A</v>
      </c>
      <c r="T262" s="1" t="str">
        <f t="array" ref="T262">IF(ISBLANK(INDEX(big_daily_table,MATCH(DATE(T$5,$J262,$I262),daily_dates,0),MATCH($B$3,daily_items,0))),NA(),INDEX(big_daily_table,MATCH(DATE(T$5,$J262,$I262),daily_dates,0),MATCH($B$3,daily_items,0)))</f>
        <v>#N/A</v>
      </c>
      <c r="U262" s="1" t="str">
        <f t="array" ref="U262">IF(ISBLANK(INDEX(big_daily_table,MATCH(DATE(U$5,$J262,$I262),daily_dates,0),MATCH($B$3,daily_items,0))),NA(),INDEX(big_daily_table,MATCH(DATE(U$5,$J262,$I262),daily_dates,0),MATCH($B$3,daily_items,0)))</f>
        <v>#N/A</v>
      </c>
      <c r="V262" s="1" t="str">
        <f t="array" ref="V262">IF(ISBLANK(INDEX(big_daily_table,MATCH(DATE(V$5,$J262,$I262),daily_dates,0),MATCH($B$3,daily_items,0))),NA(),INDEX(big_daily_table,MATCH(DATE(V$5,$J262,$I262),daily_dates,0),MATCH($B$3,daily_items,0)))</f>
        <v>#N/A</v>
      </c>
      <c r="W262" s="1" t="str">
        <f t="array" ref="W262">IF(ISBLANK(INDEX(big_daily_table,MATCH(DATE(W$5,$J262,$I262),daily_dates,0),MATCH($B$3,daily_items,0))),NA(),INDEX(big_daily_table,MATCH(DATE(W$5,$J262,$I262),daily_dates,0),MATCH($B$3,daily_items,0)))</f>
        <v>#N/A</v>
      </c>
      <c r="X262" s="1" t="str">
        <f t="array" ref="X262">IF(ISBLANK(INDEX(big_daily_table,MATCH(DATE(X$5,$J262,$I262),daily_dates,0),MATCH($B$3,daily_items,0))),NA(),INDEX(big_daily_table,MATCH(DATE(X$5,$J262,$I262),daily_dates,0),MATCH($B$3,daily_items,0)))</f>
        <v>#N/A</v>
      </c>
      <c r="Y262" s="1" t="str">
        <f t="array" ref="Y262">IF(ISBLANK(INDEX(big_daily_table,MATCH(DATE(Y$5,$J262,$I262),daily_dates,0),MATCH($B$3,daily_items,0))),NA(),INDEX(big_daily_table,MATCH(DATE(Y$5,$J262,$I262),daily_dates,0),MATCH($B$3,daily_items,0)))</f>
        <v>#N/A</v>
      </c>
      <c r="Z262" s="1" t="str">
        <f t="shared" si="5"/>
        <v>#NAME?</v>
      </c>
      <c r="AA262" s="1" t="str">
        <f t="shared" si="6"/>
        <v>#NAME?</v>
      </c>
      <c r="AB262" s="1" t="str">
        <f t="shared" si="7"/>
        <v>#NAME?</v>
      </c>
      <c r="AC262" s="1" t="str">
        <f t="shared" si="8"/>
        <v>#NAME?</v>
      </c>
    </row>
    <row r="263" ht="14.25" customHeight="1">
      <c r="H263" s="1">
        <f t="shared" si="9"/>
        <v>258</v>
      </c>
      <c r="I263" s="1">
        <f t="shared" si="2"/>
        <v>14</v>
      </c>
      <c r="J263" s="1">
        <f t="shared" si="3"/>
        <v>9</v>
      </c>
      <c r="K263" s="23">
        <f t="shared" si="10"/>
        <v>36783</v>
      </c>
      <c r="L263" s="24">
        <f t="shared" si="4"/>
        <v>-1000000</v>
      </c>
      <c r="M263" s="1" t="str">
        <f t="array" ref="M263">IF(K263&gt;0,INDEX(big_daily_table,MATCH(DATE(N$5,$J263,$I263),daily_dates,0),MATCH($B$3,daily_items,0)),NA())</f>
        <v>#N/A</v>
      </c>
      <c r="N263" s="1" t="str">
        <f t="array" ref="N263">IF(L263&lt;0,INDEX(big_daily_table,MATCH(DATE(N$5,$J263,$I263),daily_dates,0),MATCH($B$3,daily_items,0)),NA())</f>
        <v>#N/A</v>
      </c>
      <c r="O263" s="1" t="str">
        <f t="array" ref="O263">IF(ISBLANK(INDEX(big_daily_table,MATCH(DATE(O$5,$J263,$I263),daily_dates,0),MATCH($B$3,daily_items,0))),NA(),INDEX(big_daily_table,MATCH(DATE(O$5,$J263,$I263),daily_dates,0),MATCH($B$3,daily_items,0)))</f>
        <v>#N/A</v>
      </c>
      <c r="P263" s="1" t="str">
        <f t="array" ref="P263">IF(ISBLANK(INDEX(big_daily_table,MATCH(DATE(P$5,$J263,$I263),daily_dates,0),MATCH($B$3,daily_items,0))),NA(),INDEX(big_daily_table,MATCH(DATE(P$5,$J263,$I263),daily_dates,0),MATCH($B$3,daily_items,0)))</f>
        <v>#N/A</v>
      </c>
      <c r="Q263" s="1" t="str">
        <f t="array" ref="Q263">IF(ISBLANK(INDEX(big_daily_table,MATCH(DATE(Q$5,$J263,$I263),daily_dates,0),MATCH($B$3,daily_items,0))),NA(),INDEX(big_daily_table,MATCH(DATE(Q$5,$J263,$I263),daily_dates,0),MATCH($B$3,daily_items,0)))</f>
        <v>#N/A</v>
      </c>
      <c r="R263" s="1" t="str">
        <f t="array" ref="R263">IF(ISBLANK(INDEX(big_daily_table,MATCH(DATE(R$5,$J263,$I263),daily_dates,0),MATCH($B$3,daily_items,0))),NA(),INDEX(big_daily_table,MATCH(DATE(R$5,$J263,$I263),daily_dates,0),MATCH($B$3,daily_items,0)))</f>
        <v>#N/A</v>
      </c>
      <c r="S263" s="1" t="str">
        <f t="array" ref="S263">IF(ISBLANK(INDEX(big_daily_table,MATCH(DATE(S$5,$J263,$I263),daily_dates,0),MATCH($B$3,daily_items,0))),NA(),INDEX(big_daily_table,MATCH(DATE(S$5,$J263,$I263),daily_dates,0),MATCH($B$3,daily_items,0)))</f>
        <v>#N/A</v>
      </c>
      <c r="T263" s="1" t="str">
        <f t="array" ref="T263">IF(ISBLANK(INDEX(big_daily_table,MATCH(DATE(T$5,$J263,$I263),daily_dates,0),MATCH($B$3,daily_items,0))),NA(),INDEX(big_daily_table,MATCH(DATE(T$5,$J263,$I263),daily_dates,0),MATCH($B$3,daily_items,0)))</f>
        <v>#N/A</v>
      </c>
      <c r="U263" s="1" t="str">
        <f t="array" ref="U263">IF(ISBLANK(INDEX(big_daily_table,MATCH(DATE(U$5,$J263,$I263),daily_dates,0),MATCH($B$3,daily_items,0))),NA(),INDEX(big_daily_table,MATCH(DATE(U$5,$J263,$I263),daily_dates,0),MATCH($B$3,daily_items,0)))</f>
        <v>#N/A</v>
      </c>
      <c r="V263" s="1" t="str">
        <f t="array" ref="V263">IF(ISBLANK(INDEX(big_daily_table,MATCH(DATE(V$5,$J263,$I263),daily_dates,0),MATCH($B$3,daily_items,0))),NA(),INDEX(big_daily_table,MATCH(DATE(V$5,$J263,$I263),daily_dates,0),MATCH($B$3,daily_items,0)))</f>
        <v>#N/A</v>
      </c>
      <c r="W263" s="1" t="str">
        <f t="array" ref="W263">IF(ISBLANK(INDEX(big_daily_table,MATCH(DATE(W$5,$J263,$I263),daily_dates,0),MATCH($B$3,daily_items,0))),NA(),INDEX(big_daily_table,MATCH(DATE(W$5,$J263,$I263),daily_dates,0),MATCH($B$3,daily_items,0)))</f>
        <v>#N/A</v>
      </c>
      <c r="X263" s="1" t="str">
        <f t="array" ref="X263">IF(ISBLANK(INDEX(big_daily_table,MATCH(DATE(X$5,$J263,$I263),daily_dates,0),MATCH($B$3,daily_items,0))),NA(),INDEX(big_daily_table,MATCH(DATE(X$5,$J263,$I263),daily_dates,0),MATCH($B$3,daily_items,0)))</f>
        <v>#N/A</v>
      </c>
      <c r="Y263" s="1" t="str">
        <f t="array" ref="Y263">IF(ISBLANK(INDEX(big_daily_table,MATCH(DATE(Y$5,$J263,$I263),daily_dates,0),MATCH($B$3,daily_items,0))),NA(),INDEX(big_daily_table,MATCH(DATE(Y$5,$J263,$I263),daily_dates,0),MATCH($B$3,daily_items,0)))</f>
        <v>#N/A</v>
      </c>
      <c r="Z263" s="1" t="str">
        <f t="shared" si="5"/>
        <v>#NAME?</v>
      </c>
      <c r="AA263" s="1" t="str">
        <f t="shared" si="6"/>
        <v>#NAME?</v>
      </c>
      <c r="AB263" s="1" t="str">
        <f t="shared" si="7"/>
        <v>#NAME?</v>
      </c>
      <c r="AC263" s="1" t="str">
        <f t="shared" si="8"/>
        <v>#NAME?</v>
      </c>
    </row>
    <row r="264" ht="14.25" customHeight="1">
      <c r="H264" s="1">
        <f t="shared" si="9"/>
        <v>259</v>
      </c>
      <c r="I264" s="1">
        <f t="shared" si="2"/>
        <v>15</v>
      </c>
      <c r="J264" s="1">
        <f t="shared" si="3"/>
        <v>9</v>
      </c>
      <c r="K264" s="23">
        <f t="shared" si="10"/>
        <v>36784</v>
      </c>
      <c r="L264" s="24">
        <f t="shared" si="4"/>
        <v>-1000000</v>
      </c>
      <c r="M264" s="1" t="str">
        <f t="array" ref="M264">IF(K264&gt;0,INDEX(big_daily_table,MATCH(DATE(N$5,$J264,$I264),daily_dates,0),MATCH($B$3,daily_items,0)),NA())</f>
        <v>#N/A</v>
      </c>
      <c r="N264" s="1" t="str">
        <f t="array" ref="N264">IF(L264&lt;0,INDEX(big_daily_table,MATCH(DATE(N$5,$J264,$I264),daily_dates,0),MATCH($B$3,daily_items,0)),NA())</f>
        <v>#N/A</v>
      </c>
      <c r="O264" s="1" t="str">
        <f t="array" ref="O264">IF(ISBLANK(INDEX(big_daily_table,MATCH(DATE(O$5,$J264,$I264),daily_dates,0),MATCH($B$3,daily_items,0))),NA(),INDEX(big_daily_table,MATCH(DATE(O$5,$J264,$I264),daily_dates,0),MATCH($B$3,daily_items,0)))</f>
        <v>#N/A</v>
      </c>
      <c r="P264" s="1" t="str">
        <f t="array" ref="P264">IF(ISBLANK(INDEX(big_daily_table,MATCH(DATE(P$5,$J264,$I264),daily_dates,0),MATCH($B$3,daily_items,0))),NA(),INDEX(big_daily_table,MATCH(DATE(P$5,$J264,$I264),daily_dates,0),MATCH($B$3,daily_items,0)))</f>
        <v>#N/A</v>
      </c>
      <c r="Q264" s="1" t="str">
        <f t="array" ref="Q264">IF(ISBLANK(INDEX(big_daily_table,MATCH(DATE(Q$5,$J264,$I264),daily_dates,0),MATCH($B$3,daily_items,0))),NA(),INDEX(big_daily_table,MATCH(DATE(Q$5,$J264,$I264),daily_dates,0),MATCH($B$3,daily_items,0)))</f>
        <v>#N/A</v>
      </c>
      <c r="R264" s="1" t="str">
        <f t="array" ref="R264">IF(ISBLANK(INDEX(big_daily_table,MATCH(DATE(R$5,$J264,$I264),daily_dates,0),MATCH($B$3,daily_items,0))),NA(),INDEX(big_daily_table,MATCH(DATE(R$5,$J264,$I264),daily_dates,0),MATCH($B$3,daily_items,0)))</f>
        <v>#N/A</v>
      </c>
      <c r="S264" s="1" t="str">
        <f t="array" ref="S264">IF(ISBLANK(INDEX(big_daily_table,MATCH(DATE(S$5,$J264,$I264),daily_dates,0),MATCH($B$3,daily_items,0))),NA(),INDEX(big_daily_table,MATCH(DATE(S$5,$J264,$I264),daily_dates,0),MATCH($B$3,daily_items,0)))</f>
        <v>#N/A</v>
      </c>
      <c r="T264" s="1" t="str">
        <f t="array" ref="T264">IF(ISBLANK(INDEX(big_daily_table,MATCH(DATE(T$5,$J264,$I264),daily_dates,0),MATCH($B$3,daily_items,0))),NA(),INDEX(big_daily_table,MATCH(DATE(T$5,$J264,$I264),daily_dates,0),MATCH($B$3,daily_items,0)))</f>
        <v>#N/A</v>
      </c>
      <c r="U264" s="1" t="str">
        <f t="array" ref="U264">IF(ISBLANK(INDEX(big_daily_table,MATCH(DATE(U$5,$J264,$I264),daily_dates,0),MATCH($B$3,daily_items,0))),NA(),INDEX(big_daily_table,MATCH(DATE(U$5,$J264,$I264),daily_dates,0),MATCH($B$3,daily_items,0)))</f>
        <v>#N/A</v>
      </c>
      <c r="V264" s="1" t="str">
        <f t="array" ref="V264">IF(ISBLANK(INDEX(big_daily_table,MATCH(DATE(V$5,$J264,$I264),daily_dates,0),MATCH($B$3,daily_items,0))),NA(),INDEX(big_daily_table,MATCH(DATE(V$5,$J264,$I264),daily_dates,0),MATCH($B$3,daily_items,0)))</f>
        <v>#N/A</v>
      </c>
      <c r="W264" s="1" t="str">
        <f t="array" ref="W264">IF(ISBLANK(INDEX(big_daily_table,MATCH(DATE(W$5,$J264,$I264),daily_dates,0),MATCH($B$3,daily_items,0))),NA(),INDEX(big_daily_table,MATCH(DATE(W$5,$J264,$I264),daily_dates,0),MATCH($B$3,daily_items,0)))</f>
        <v>#N/A</v>
      </c>
      <c r="X264" s="1" t="str">
        <f t="array" ref="X264">IF(ISBLANK(INDEX(big_daily_table,MATCH(DATE(X$5,$J264,$I264),daily_dates,0),MATCH($B$3,daily_items,0))),NA(),INDEX(big_daily_table,MATCH(DATE(X$5,$J264,$I264),daily_dates,0),MATCH($B$3,daily_items,0)))</f>
        <v>#N/A</v>
      </c>
      <c r="Y264" s="1" t="str">
        <f t="array" ref="Y264">IF(ISBLANK(INDEX(big_daily_table,MATCH(DATE(Y$5,$J264,$I264),daily_dates,0),MATCH($B$3,daily_items,0))),NA(),INDEX(big_daily_table,MATCH(DATE(Y$5,$J264,$I264),daily_dates,0),MATCH($B$3,daily_items,0)))</f>
        <v>#N/A</v>
      </c>
      <c r="Z264" s="1" t="str">
        <f t="shared" si="5"/>
        <v>#NAME?</v>
      </c>
      <c r="AA264" s="1" t="str">
        <f t="shared" si="6"/>
        <v>#NAME?</v>
      </c>
      <c r="AB264" s="1" t="str">
        <f t="shared" si="7"/>
        <v>#NAME?</v>
      </c>
      <c r="AC264" s="1" t="str">
        <f t="shared" si="8"/>
        <v>#NAME?</v>
      </c>
    </row>
    <row r="265" ht="14.25" customHeight="1">
      <c r="H265" s="1">
        <f t="shared" si="9"/>
        <v>260</v>
      </c>
      <c r="I265" s="1">
        <f t="shared" si="2"/>
        <v>16</v>
      </c>
      <c r="J265" s="1">
        <f t="shared" si="3"/>
        <v>9</v>
      </c>
      <c r="K265" s="23">
        <f t="shared" si="10"/>
        <v>36785</v>
      </c>
      <c r="L265" s="24">
        <f t="shared" si="4"/>
        <v>-1000000</v>
      </c>
      <c r="M265" s="1" t="str">
        <f t="array" ref="M265">IF(K265&gt;0,INDEX(big_daily_table,MATCH(DATE(N$5,$J265,$I265),daily_dates,0),MATCH($B$3,daily_items,0)),NA())</f>
        <v>#N/A</v>
      </c>
      <c r="N265" s="1" t="str">
        <f t="array" ref="N265">IF(L265&lt;0,INDEX(big_daily_table,MATCH(DATE(N$5,$J265,$I265),daily_dates,0),MATCH($B$3,daily_items,0)),NA())</f>
        <v>#N/A</v>
      </c>
      <c r="O265" s="1" t="str">
        <f t="array" ref="O265">IF(ISBLANK(INDEX(big_daily_table,MATCH(DATE(O$5,$J265,$I265),daily_dates,0),MATCH($B$3,daily_items,0))),NA(),INDEX(big_daily_table,MATCH(DATE(O$5,$J265,$I265),daily_dates,0),MATCH($B$3,daily_items,0)))</f>
        <v>#N/A</v>
      </c>
      <c r="P265" s="1" t="str">
        <f t="array" ref="P265">IF(ISBLANK(INDEX(big_daily_table,MATCH(DATE(P$5,$J265,$I265),daily_dates,0),MATCH($B$3,daily_items,0))),NA(),INDEX(big_daily_table,MATCH(DATE(P$5,$J265,$I265),daily_dates,0),MATCH($B$3,daily_items,0)))</f>
        <v>#N/A</v>
      </c>
      <c r="Q265" s="1" t="str">
        <f t="array" ref="Q265">IF(ISBLANK(INDEX(big_daily_table,MATCH(DATE(Q$5,$J265,$I265),daily_dates,0),MATCH($B$3,daily_items,0))),NA(),INDEX(big_daily_table,MATCH(DATE(Q$5,$J265,$I265),daily_dates,0),MATCH($B$3,daily_items,0)))</f>
        <v>#N/A</v>
      </c>
      <c r="R265" s="1" t="str">
        <f t="array" ref="R265">IF(ISBLANK(INDEX(big_daily_table,MATCH(DATE(R$5,$J265,$I265),daily_dates,0),MATCH($B$3,daily_items,0))),NA(),INDEX(big_daily_table,MATCH(DATE(R$5,$J265,$I265),daily_dates,0),MATCH($B$3,daily_items,0)))</f>
        <v>#N/A</v>
      </c>
      <c r="S265" s="1" t="str">
        <f t="array" ref="S265">IF(ISBLANK(INDEX(big_daily_table,MATCH(DATE(S$5,$J265,$I265),daily_dates,0),MATCH($B$3,daily_items,0))),NA(),INDEX(big_daily_table,MATCH(DATE(S$5,$J265,$I265),daily_dates,0),MATCH($B$3,daily_items,0)))</f>
        <v>#N/A</v>
      </c>
      <c r="T265" s="1" t="str">
        <f t="array" ref="T265">IF(ISBLANK(INDEX(big_daily_table,MATCH(DATE(T$5,$J265,$I265),daily_dates,0),MATCH($B$3,daily_items,0))),NA(),INDEX(big_daily_table,MATCH(DATE(T$5,$J265,$I265),daily_dates,0),MATCH($B$3,daily_items,0)))</f>
        <v>#N/A</v>
      </c>
      <c r="U265" s="1" t="str">
        <f t="array" ref="U265">IF(ISBLANK(INDEX(big_daily_table,MATCH(DATE(U$5,$J265,$I265),daily_dates,0),MATCH($B$3,daily_items,0))),NA(),INDEX(big_daily_table,MATCH(DATE(U$5,$J265,$I265),daily_dates,0),MATCH($B$3,daily_items,0)))</f>
        <v>#N/A</v>
      </c>
      <c r="V265" s="1" t="str">
        <f t="array" ref="V265">IF(ISBLANK(INDEX(big_daily_table,MATCH(DATE(V$5,$J265,$I265),daily_dates,0),MATCH($B$3,daily_items,0))),NA(),INDEX(big_daily_table,MATCH(DATE(V$5,$J265,$I265),daily_dates,0),MATCH($B$3,daily_items,0)))</f>
        <v>#N/A</v>
      </c>
      <c r="W265" s="1" t="str">
        <f t="array" ref="W265">IF(ISBLANK(INDEX(big_daily_table,MATCH(DATE(W$5,$J265,$I265),daily_dates,0),MATCH($B$3,daily_items,0))),NA(),INDEX(big_daily_table,MATCH(DATE(W$5,$J265,$I265),daily_dates,0),MATCH($B$3,daily_items,0)))</f>
        <v>#N/A</v>
      </c>
      <c r="X265" s="1" t="str">
        <f t="array" ref="X265">IF(ISBLANK(INDEX(big_daily_table,MATCH(DATE(X$5,$J265,$I265),daily_dates,0),MATCH($B$3,daily_items,0))),NA(),INDEX(big_daily_table,MATCH(DATE(X$5,$J265,$I265),daily_dates,0),MATCH($B$3,daily_items,0)))</f>
        <v>#N/A</v>
      </c>
      <c r="Y265" s="1" t="str">
        <f t="array" ref="Y265">IF(ISBLANK(INDEX(big_daily_table,MATCH(DATE(Y$5,$J265,$I265),daily_dates,0),MATCH($B$3,daily_items,0))),NA(),INDEX(big_daily_table,MATCH(DATE(Y$5,$J265,$I265),daily_dates,0),MATCH($B$3,daily_items,0)))</f>
        <v>#N/A</v>
      </c>
      <c r="Z265" s="1" t="str">
        <f t="shared" si="5"/>
        <v>#NAME?</v>
      </c>
      <c r="AA265" s="1" t="str">
        <f t="shared" si="6"/>
        <v>#NAME?</v>
      </c>
      <c r="AB265" s="1" t="str">
        <f t="shared" si="7"/>
        <v>#NAME?</v>
      </c>
      <c r="AC265" s="1" t="str">
        <f t="shared" si="8"/>
        <v>#NAME?</v>
      </c>
    </row>
    <row r="266" ht="14.25" customHeight="1">
      <c r="H266" s="1">
        <f t="shared" si="9"/>
        <v>261</v>
      </c>
      <c r="I266" s="1">
        <f t="shared" si="2"/>
        <v>17</v>
      </c>
      <c r="J266" s="1">
        <f t="shared" si="3"/>
        <v>9</v>
      </c>
      <c r="K266" s="23">
        <f t="shared" si="10"/>
        <v>36786</v>
      </c>
      <c r="L266" s="24">
        <f t="shared" si="4"/>
        <v>-1000000</v>
      </c>
      <c r="M266" s="1" t="str">
        <f t="array" ref="M266">IF(K266&gt;0,INDEX(big_daily_table,MATCH(DATE(N$5,$J266,$I266),daily_dates,0),MATCH($B$3,daily_items,0)),NA())</f>
        <v>#N/A</v>
      </c>
      <c r="N266" s="1" t="str">
        <f t="array" ref="N266">IF(L266&lt;0,INDEX(big_daily_table,MATCH(DATE(N$5,$J266,$I266),daily_dates,0),MATCH($B$3,daily_items,0)),NA())</f>
        <v>#N/A</v>
      </c>
      <c r="O266" s="1" t="str">
        <f t="array" ref="O266">IF(ISBLANK(INDEX(big_daily_table,MATCH(DATE(O$5,$J266,$I266),daily_dates,0),MATCH($B$3,daily_items,0))),NA(),INDEX(big_daily_table,MATCH(DATE(O$5,$J266,$I266),daily_dates,0),MATCH($B$3,daily_items,0)))</f>
        <v>#N/A</v>
      </c>
      <c r="P266" s="1" t="str">
        <f t="array" ref="P266">IF(ISBLANK(INDEX(big_daily_table,MATCH(DATE(P$5,$J266,$I266),daily_dates,0),MATCH($B$3,daily_items,0))),NA(),INDEX(big_daily_table,MATCH(DATE(P$5,$J266,$I266),daily_dates,0),MATCH($B$3,daily_items,0)))</f>
        <v>#N/A</v>
      </c>
      <c r="Q266" s="1" t="str">
        <f t="array" ref="Q266">IF(ISBLANK(INDEX(big_daily_table,MATCH(DATE(Q$5,$J266,$I266),daily_dates,0),MATCH($B$3,daily_items,0))),NA(),INDEX(big_daily_table,MATCH(DATE(Q$5,$J266,$I266),daily_dates,0),MATCH($B$3,daily_items,0)))</f>
        <v>#N/A</v>
      </c>
      <c r="R266" s="1" t="str">
        <f t="array" ref="R266">IF(ISBLANK(INDEX(big_daily_table,MATCH(DATE(R$5,$J266,$I266),daily_dates,0),MATCH($B$3,daily_items,0))),NA(),INDEX(big_daily_table,MATCH(DATE(R$5,$J266,$I266),daily_dates,0),MATCH($B$3,daily_items,0)))</f>
        <v>#N/A</v>
      </c>
      <c r="S266" s="1" t="str">
        <f t="array" ref="S266">IF(ISBLANK(INDEX(big_daily_table,MATCH(DATE(S$5,$J266,$I266),daily_dates,0),MATCH($B$3,daily_items,0))),NA(),INDEX(big_daily_table,MATCH(DATE(S$5,$J266,$I266),daily_dates,0),MATCH($B$3,daily_items,0)))</f>
        <v>#N/A</v>
      </c>
      <c r="T266" s="1" t="str">
        <f t="array" ref="T266">IF(ISBLANK(INDEX(big_daily_table,MATCH(DATE(T$5,$J266,$I266),daily_dates,0),MATCH($B$3,daily_items,0))),NA(),INDEX(big_daily_table,MATCH(DATE(T$5,$J266,$I266),daily_dates,0),MATCH($B$3,daily_items,0)))</f>
        <v>#N/A</v>
      </c>
      <c r="U266" s="1" t="str">
        <f t="array" ref="U266">IF(ISBLANK(INDEX(big_daily_table,MATCH(DATE(U$5,$J266,$I266),daily_dates,0),MATCH($B$3,daily_items,0))),NA(),INDEX(big_daily_table,MATCH(DATE(U$5,$J266,$I266),daily_dates,0),MATCH($B$3,daily_items,0)))</f>
        <v>#N/A</v>
      </c>
      <c r="V266" s="1" t="str">
        <f t="array" ref="V266">IF(ISBLANK(INDEX(big_daily_table,MATCH(DATE(V$5,$J266,$I266),daily_dates,0),MATCH($B$3,daily_items,0))),NA(),INDEX(big_daily_table,MATCH(DATE(V$5,$J266,$I266),daily_dates,0),MATCH($B$3,daily_items,0)))</f>
        <v>#N/A</v>
      </c>
      <c r="W266" s="1" t="str">
        <f t="array" ref="W266">IF(ISBLANK(INDEX(big_daily_table,MATCH(DATE(W$5,$J266,$I266),daily_dates,0),MATCH($B$3,daily_items,0))),NA(),INDEX(big_daily_table,MATCH(DATE(W$5,$J266,$I266),daily_dates,0),MATCH($B$3,daily_items,0)))</f>
        <v>#N/A</v>
      </c>
      <c r="X266" s="1" t="str">
        <f t="array" ref="X266">IF(ISBLANK(INDEX(big_daily_table,MATCH(DATE(X$5,$J266,$I266),daily_dates,0),MATCH($B$3,daily_items,0))),NA(),INDEX(big_daily_table,MATCH(DATE(X$5,$J266,$I266),daily_dates,0),MATCH($B$3,daily_items,0)))</f>
        <v>#N/A</v>
      </c>
      <c r="Y266" s="1" t="str">
        <f t="array" ref="Y266">IF(ISBLANK(INDEX(big_daily_table,MATCH(DATE(Y$5,$J266,$I266),daily_dates,0),MATCH($B$3,daily_items,0))),NA(),INDEX(big_daily_table,MATCH(DATE(Y$5,$J266,$I266),daily_dates,0),MATCH($B$3,daily_items,0)))</f>
        <v>#N/A</v>
      </c>
      <c r="Z266" s="1" t="str">
        <f t="shared" si="5"/>
        <v>#NAME?</v>
      </c>
      <c r="AA266" s="1" t="str">
        <f t="shared" si="6"/>
        <v>#NAME?</v>
      </c>
      <c r="AB266" s="1" t="str">
        <f t="shared" si="7"/>
        <v>#NAME?</v>
      </c>
      <c r="AC266" s="1" t="str">
        <f t="shared" si="8"/>
        <v>#NAME?</v>
      </c>
    </row>
    <row r="267" ht="14.25" customHeight="1">
      <c r="H267" s="1">
        <f t="shared" si="9"/>
        <v>262</v>
      </c>
      <c r="I267" s="1">
        <f t="shared" si="2"/>
        <v>18</v>
      </c>
      <c r="J267" s="1">
        <f t="shared" si="3"/>
        <v>9</v>
      </c>
      <c r="K267" s="23">
        <f t="shared" si="10"/>
        <v>36787</v>
      </c>
      <c r="L267" s="24">
        <f t="shared" si="4"/>
        <v>-1000000</v>
      </c>
      <c r="M267" s="1" t="str">
        <f t="array" ref="M267">IF(K267&gt;0,INDEX(big_daily_table,MATCH(DATE(N$5,$J267,$I267),daily_dates,0),MATCH($B$3,daily_items,0)),NA())</f>
        <v>#N/A</v>
      </c>
      <c r="N267" s="1" t="str">
        <f t="array" ref="N267">IF(L267&lt;0,INDEX(big_daily_table,MATCH(DATE(N$5,$J267,$I267),daily_dates,0),MATCH($B$3,daily_items,0)),NA())</f>
        <v>#N/A</v>
      </c>
      <c r="O267" s="1" t="str">
        <f t="array" ref="O267">IF(ISBLANK(INDEX(big_daily_table,MATCH(DATE(O$5,$J267,$I267),daily_dates,0),MATCH($B$3,daily_items,0))),NA(),INDEX(big_daily_table,MATCH(DATE(O$5,$J267,$I267),daily_dates,0),MATCH($B$3,daily_items,0)))</f>
        <v>#N/A</v>
      </c>
      <c r="P267" s="1" t="str">
        <f t="array" ref="P267">IF(ISBLANK(INDEX(big_daily_table,MATCH(DATE(P$5,$J267,$I267),daily_dates,0),MATCH($B$3,daily_items,0))),NA(),INDEX(big_daily_table,MATCH(DATE(P$5,$J267,$I267),daily_dates,0),MATCH($B$3,daily_items,0)))</f>
        <v>#N/A</v>
      </c>
      <c r="Q267" s="1" t="str">
        <f t="array" ref="Q267">IF(ISBLANK(INDEX(big_daily_table,MATCH(DATE(Q$5,$J267,$I267),daily_dates,0),MATCH($B$3,daily_items,0))),NA(),INDEX(big_daily_table,MATCH(DATE(Q$5,$J267,$I267),daily_dates,0),MATCH($B$3,daily_items,0)))</f>
        <v>#N/A</v>
      </c>
      <c r="R267" s="1" t="str">
        <f t="array" ref="R267">IF(ISBLANK(INDEX(big_daily_table,MATCH(DATE(R$5,$J267,$I267),daily_dates,0),MATCH($B$3,daily_items,0))),NA(),INDEX(big_daily_table,MATCH(DATE(R$5,$J267,$I267),daily_dates,0),MATCH($B$3,daily_items,0)))</f>
        <v>#N/A</v>
      </c>
      <c r="S267" s="1" t="str">
        <f t="array" ref="S267">IF(ISBLANK(INDEX(big_daily_table,MATCH(DATE(S$5,$J267,$I267),daily_dates,0),MATCH($B$3,daily_items,0))),NA(),INDEX(big_daily_table,MATCH(DATE(S$5,$J267,$I267),daily_dates,0),MATCH($B$3,daily_items,0)))</f>
        <v>#N/A</v>
      </c>
      <c r="T267" s="1" t="str">
        <f t="array" ref="T267">IF(ISBLANK(INDEX(big_daily_table,MATCH(DATE(T$5,$J267,$I267),daily_dates,0),MATCH($B$3,daily_items,0))),NA(),INDEX(big_daily_table,MATCH(DATE(T$5,$J267,$I267),daily_dates,0),MATCH($B$3,daily_items,0)))</f>
        <v>#N/A</v>
      </c>
      <c r="U267" s="1" t="str">
        <f t="array" ref="U267">IF(ISBLANK(INDEX(big_daily_table,MATCH(DATE(U$5,$J267,$I267),daily_dates,0),MATCH($B$3,daily_items,0))),NA(),INDEX(big_daily_table,MATCH(DATE(U$5,$J267,$I267),daily_dates,0),MATCH($B$3,daily_items,0)))</f>
        <v>#N/A</v>
      </c>
      <c r="V267" s="1" t="str">
        <f t="array" ref="V267">IF(ISBLANK(INDEX(big_daily_table,MATCH(DATE(V$5,$J267,$I267),daily_dates,0),MATCH($B$3,daily_items,0))),NA(),INDEX(big_daily_table,MATCH(DATE(V$5,$J267,$I267),daily_dates,0),MATCH($B$3,daily_items,0)))</f>
        <v>#N/A</v>
      </c>
      <c r="W267" s="1" t="str">
        <f t="array" ref="W267">IF(ISBLANK(INDEX(big_daily_table,MATCH(DATE(W$5,$J267,$I267),daily_dates,0),MATCH($B$3,daily_items,0))),NA(),INDEX(big_daily_table,MATCH(DATE(W$5,$J267,$I267),daily_dates,0),MATCH($B$3,daily_items,0)))</f>
        <v>#N/A</v>
      </c>
      <c r="X267" s="1" t="str">
        <f t="array" ref="X267">IF(ISBLANK(INDEX(big_daily_table,MATCH(DATE(X$5,$J267,$I267),daily_dates,0),MATCH($B$3,daily_items,0))),NA(),INDEX(big_daily_table,MATCH(DATE(X$5,$J267,$I267),daily_dates,0),MATCH($B$3,daily_items,0)))</f>
        <v>#N/A</v>
      </c>
      <c r="Y267" s="1" t="str">
        <f t="array" ref="Y267">IF(ISBLANK(INDEX(big_daily_table,MATCH(DATE(Y$5,$J267,$I267),daily_dates,0),MATCH($B$3,daily_items,0))),NA(),INDEX(big_daily_table,MATCH(DATE(Y$5,$J267,$I267),daily_dates,0),MATCH($B$3,daily_items,0)))</f>
        <v>#N/A</v>
      </c>
      <c r="Z267" s="1" t="str">
        <f t="shared" si="5"/>
        <v>#NAME?</v>
      </c>
      <c r="AA267" s="1" t="str">
        <f t="shared" si="6"/>
        <v>#NAME?</v>
      </c>
      <c r="AB267" s="1" t="str">
        <f t="shared" si="7"/>
        <v>#NAME?</v>
      </c>
      <c r="AC267" s="1" t="str">
        <f t="shared" si="8"/>
        <v>#NAME?</v>
      </c>
    </row>
    <row r="268" ht="14.25" customHeight="1">
      <c r="H268" s="1">
        <f t="shared" si="9"/>
        <v>263</v>
      </c>
      <c r="I268" s="1">
        <f t="shared" si="2"/>
        <v>19</v>
      </c>
      <c r="J268" s="1">
        <f t="shared" si="3"/>
        <v>9</v>
      </c>
      <c r="K268" s="23">
        <f t="shared" si="10"/>
        <v>36788</v>
      </c>
      <c r="L268" s="24">
        <f t="shared" si="4"/>
        <v>-1000000</v>
      </c>
      <c r="M268" s="1" t="str">
        <f t="array" ref="M268">IF(K268&gt;0,INDEX(big_daily_table,MATCH(DATE(N$5,$J268,$I268),daily_dates,0),MATCH($B$3,daily_items,0)),NA())</f>
        <v>#N/A</v>
      </c>
      <c r="N268" s="1" t="str">
        <f t="array" ref="N268">IF(L268&lt;0,INDEX(big_daily_table,MATCH(DATE(N$5,$J268,$I268),daily_dates,0),MATCH($B$3,daily_items,0)),NA())</f>
        <v>#N/A</v>
      </c>
      <c r="O268" s="1" t="str">
        <f t="array" ref="O268">IF(ISBLANK(INDEX(big_daily_table,MATCH(DATE(O$5,$J268,$I268),daily_dates,0),MATCH($B$3,daily_items,0))),NA(),INDEX(big_daily_table,MATCH(DATE(O$5,$J268,$I268),daily_dates,0),MATCH($B$3,daily_items,0)))</f>
        <v>#N/A</v>
      </c>
      <c r="P268" s="1" t="str">
        <f t="array" ref="P268">IF(ISBLANK(INDEX(big_daily_table,MATCH(DATE(P$5,$J268,$I268),daily_dates,0),MATCH($B$3,daily_items,0))),NA(),INDEX(big_daily_table,MATCH(DATE(P$5,$J268,$I268),daily_dates,0),MATCH($B$3,daily_items,0)))</f>
        <v>#N/A</v>
      </c>
      <c r="Q268" s="1" t="str">
        <f t="array" ref="Q268">IF(ISBLANK(INDEX(big_daily_table,MATCH(DATE(Q$5,$J268,$I268),daily_dates,0),MATCH($B$3,daily_items,0))),NA(),INDEX(big_daily_table,MATCH(DATE(Q$5,$J268,$I268),daily_dates,0),MATCH($B$3,daily_items,0)))</f>
        <v>#N/A</v>
      </c>
      <c r="R268" s="1" t="str">
        <f t="array" ref="R268">IF(ISBLANK(INDEX(big_daily_table,MATCH(DATE(R$5,$J268,$I268),daily_dates,0),MATCH($B$3,daily_items,0))),NA(),INDEX(big_daily_table,MATCH(DATE(R$5,$J268,$I268),daily_dates,0),MATCH($B$3,daily_items,0)))</f>
        <v>#N/A</v>
      </c>
      <c r="S268" s="1" t="str">
        <f t="array" ref="S268">IF(ISBLANK(INDEX(big_daily_table,MATCH(DATE(S$5,$J268,$I268),daily_dates,0),MATCH($B$3,daily_items,0))),NA(),INDEX(big_daily_table,MATCH(DATE(S$5,$J268,$I268),daily_dates,0),MATCH($B$3,daily_items,0)))</f>
        <v>#N/A</v>
      </c>
      <c r="T268" s="1" t="str">
        <f t="array" ref="T268">IF(ISBLANK(INDEX(big_daily_table,MATCH(DATE(T$5,$J268,$I268),daily_dates,0),MATCH($B$3,daily_items,0))),NA(),INDEX(big_daily_table,MATCH(DATE(T$5,$J268,$I268),daily_dates,0),MATCH($B$3,daily_items,0)))</f>
        <v>#N/A</v>
      </c>
      <c r="U268" s="1" t="str">
        <f t="array" ref="U268">IF(ISBLANK(INDEX(big_daily_table,MATCH(DATE(U$5,$J268,$I268),daily_dates,0),MATCH($B$3,daily_items,0))),NA(),INDEX(big_daily_table,MATCH(DATE(U$5,$J268,$I268),daily_dates,0),MATCH($B$3,daily_items,0)))</f>
        <v>#N/A</v>
      </c>
      <c r="V268" s="1" t="str">
        <f t="array" ref="V268">IF(ISBLANK(INDEX(big_daily_table,MATCH(DATE(V$5,$J268,$I268),daily_dates,0),MATCH($B$3,daily_items,0))),NA(),INDEX(big_daily_table,MATCH(DATE(V$5,$J268,$I268),daily_dates,0),MATCH($B$3,daily_items,0)))</f>
        <v>#N/A</v>
      </c>
      <c r="W268" s="1" t="str">
        <f t="array" ref="W268">IF(ISBLANK(INDEX(big_daily_table,MATCH(DATE(W$5,$J268,$I268),daily_dates,0),MATCH($B$3,daily_items,0))),NA(),INDEX(big_daily_table,MATCH(DATE(W$5,$J268,$I268),daily_dates,0),MATCH($B$3,daily_items,0)))</f>
        <v>#N/A</v>
      </c>
      <c r="X268" s="1" t="str">
        <f t="array" ref="X268">IF(ISBLANK(INDEX(big_daily_table,MATCH(DATE(X$5,$J268,$I268),daily_dates,0),MATCH($B$3,daily_items,0))),NA(),INDEX(big_daily_table,MATCH(DATE(X$5,$J268,$I268),daily_dates,0),MATCH($B$3,daily_items,0)))</f>
        <v>#N/A</v>
      </c>
      <c r="Y268" s="1" t="str">
        <f t="array" ref="Y268">IF(ISBLANK(INDEX(big_daily_table,MATCH(DATE(Y$5,$J268,$I268),daily_dates,0),MATCH($B$3,daily_items,0))),NA(),INDEX(big_daily_table,MATCH(DATE(Y$5,$J268,$I268),daily_dates,0),MATCH($B$3,daily_items,0)))</f>
        <v>#N/A</v>
      </c>
      <c r="Z268" s="1" t="str">
        <f t="shared" si="5"/>
        <v>#NAME?</v>
      </c>
      <c r="AA268" s="1" t="str">
        <f t="shared" si="6"/>
        <v>#NAME?</v>
      </c>
      <c r="AB268" s="1" t="str">
        <f t="shared" si="7"/>
        <v>#NAME?</v>
      </c>
      <c r="AC268" s="1" t="str">
        <f t="shared" si="8"/>
        <v>#NAME?</v>
      </c>
    </row>
    <row r="269" ht="14.25" customHeight="1">
      <c r="H269" s="1">
        <f t="shared" si="9"/>
        <v>264</v>
      </c>
      <c r="I269" s="1">
        <f t="shared" si="2"/>
        <v>20</v>
      </c>
      <c r="J269" s="1">
        <f t="shared" si="3"/>
        <v>9</v>
      </c>
      <c r="K269" s="23">
        <f t="shared" si="10"/>
        <v>36789</v>
      </c>
      <c r="L269" s="24">
        <f t="shared" si="4"/>
        <v>-1000000</v>
      </c>
      <c r="M269" s="1" t="str">
        <f t="array" ref="M269">IF(K269&gt;0,INDEX(big_daily_table,MATCH(DATE(N$5,$J269,$I269),daily_dates,0),MATCH($B$3,daily_items,0)),NA())</f>
        <v>#N/A</v>
      </c>
      <c r="N269" s="1" t="str">
        <f t="array" ref="N269">IF(L269&lt;0,INDEX(big_daily_table,MATCH(DATE(N$5,$J269,$I269),daily_dates,0),MATCH($B$3,daily_items,0)),NA())</f>
        <v>#N/A</v>
      </c>
      <c r="O269" s="1" t="str">
        <f t="array" ref="O269">IF(ISBLANK(INDEX(big_daily_table,MATCH(DATE(O$5,$J269,$I269),daily_dates,0),MATCH($B$3,daily_items,0))),NA(),INDEX(big_daily_table,MATCH(DATE(O$5,$J269,$I269),daily_dates,0),MATCH($B$3,daily_items,0)))</f>
        <v>#N/A</v>
      </c>
      <c r="P269" s="1" t="str">
        <f t="array" ref="P269">IF(ISBLANK(INDEX(big_daily_table,MATCH(DATE(P$5,$J269,$I269),daily_dates,0),MATCH($B$3,daily_items,0))),NA(),INDEX(big_daily_table,MATCH(DATE(P$5,$J269,$I269),daily_dates,0),MATCH($B$3,daily_items,0)))</f>
        <v>#N/A</v>
      </c>
      <c r="Q269" s="1" t="str">
        <f t="array" ref="Q269">IF(ISBLANK(INDEX(big_daily_table,MATCH(DATE(Q$5,$J269,$I269),daily_dates,0),MATCH($B$3,daily_items,0))),NA(),INDEX(big_daily_table,MATCH(DATE(Q$5,$J269,$I269),daily_dates,0),MATCH($B$3,daily_items,0)))</f>
        <v>#N/A</v>
      </c>
      <c r="R269" s="1" t="str">
        <f t="array" ref="R269">IF(ISBLANK(INDEX(big_daily_table,MATCH(DATE(R$5,$J269,$I269),daily_dates,0),MATCH($B$3,daily_items,0))),NA(),INDEX(big_daily_table,MATCH(DATE(R$5,$J269,$I269),daily_dates,0),MATCH($B$3,daily_items,0)))</f>
        <v>#N/A</v>
      </c>
      <c r="S269" s="1" t="str">
        <f t="array" ref="S269">IF(ISBLANK(INDEX(big_daily_table,MATCH(DATE(S$5,$J269,$I269),daily_dates,0),MATCH($B$3,daily_items,0))),NA(),INDEX(big_daily_table,MATCH(DATE(S$5,$J269,$I269),daily_dates,0),MATCH($B$3,daily_items,0)))</f>
        <v>#N/A</v>
      </c>
      <c r="T269" s="1" t="str">
        <f t="array" ref="T269">IF(ISBLANK(INDEX(big_daily_table,MATCH(DATE(T$5,$J269,$I269),daily_dates,0),MATCH($B$3,daily_items,0))),NA(),INDEX(big_daily_table,MATCH(DATE(T$5,$J269,$I269),daily_dates,0),MATCH($B$3,daily_items,0)))</f>
        <v>#N/A</v>
      </c>
      <c r="U269" s="1" t="str">
        <f t="array" ref="U269">IF(ISBLANK(INDEX(big_daily_table,MATCH(DATE(U$5,$J269,$I269),daily_dates,0),MATCH($B$3,daily_items,0))),NA(),INDEX(big_daily_table,MATCH(DATE(U$5,$J269,$I269),daily_dates,0),MATCH($B$3,daily_items,0)))</f>
        <v>#N/A</v>
      </c>
      <c r="V269" s="1" t="str">
        <f t="array" ref="V269">IF(ISBLANK(INDEX(big_daily_table,MATCH(DATE(V$5,$J269,$I269),daily_dates,0),MATCH($B$3,daily_items,0))),NA(),INDEX(big_daily_table,MATCH(DATE(V$5,$J269,$I269),daily_dates,0),MATCH($B$3,daily_items,0)))</f>
        <v>#N/A</v>
      </c>
      <c r="W269" s="1" t="str">
        <f t="array" ref="W269">IF(ISBLANK(INDEX(big_daily_table,MATCH(DATE(W$5,$J269,$I269),daily_dates,0),MATCH($B$3,daily_items,0))),NA(),INDEX(big_daily_table,MATCH(DATE(W$5,$J269,$I269),daily_dates,0),MATCH($B$3,daily_items,0)))</f>
        <v>#N/A</v>
      </c>
      <c r="X269" s="1" t="str">
        <f t="array" ref="X269">IF(ISBLANK(INDEX(big_daily_table,MATCH(DATE(X$5,$J269,$I269),daily_dates,0),MATCH($B$3,daily_items,0))),NA(),INDEX(big_daily_table,MATCH(DATE(X$5,$J269,$I269),daily_dates,0),MATCH($B$3,daily_items,0)))</f>
        <v>#N/A</v>
      </c>
      <c r="Y269" s="1" t="str">
        <f t="array" ref="Y269">IF(ISBLANK(INDEX(big_daily_table,MATCH(DATE(Y$5,$J269,$I269),daily_dates,0),MATCH($B$3,daily_items,0))),NA(),INDEX(big_daily_table,MATCH(DATE(Y$5,$J269,$I269),daily_dates,0),MATCH($B$3,daily_items,0)))</f>
        <v>#N/A</v>
      </c>
      <c r="Z269" s="1" t="str">
        <f t="shared" si="5"/>
        <v>#NAME?</v>
      </c>
      <c r="AA269" s="1" t="str">
        <f t="shared" si="6"/>
        <v>#NAME?</v>
      </c>
      <c r="AB269" s="1" t="str">
        <f t="shared" si="7"/>
        <v>#NAME?</v>
      </c>
      <c r="AC269" s="1" t="str">
        <f t="shared" si="8"/>
        <v>#NAME?</v>
      </c>
    </row>
    <row r="270" ht="14.25" customHeight="1">
      <c r="H270" s="1">
        <f t="shared" si="9"/>
        <v>265</v>
      </c>
      <c r="I270" s="1">
        <f t="shared" si="2"/>
        <v>21</v>
      </c>
      <c r="J270" s="1">
        <f t="shared" si="3"/>
        <v>9</v>
      </c>
      <c r="K270" s="23">
        <f t="shared" si="10"/>
        <v>36790</v>
      </c>
      <c r="L270" s="24">
        <f t="shared" si="4"/>
        <v>-1000000</v>
      </c>
      <c r="M270" s="1" t="str">
        <f t="array" ref="M270">IF(K270&gt;0,INDEX(big_daily_table,MATCH(DATE(N$5,$J270,$I270),daily_dates,0),MATCH($B$3,daily_items,0)),NA())</f>
        <v>#N/A</v>
      </c>
      <c r="N270" s="1" t="str">
        <f t="array" ref="N270">IF(L270&lt;0,INDEX(big_daily_table,MATCH(DATE(N$5,$J270,$I270),daily_dates,0),MATCH($B$3,daily_items,0)),NA())</f>
        <v>#N/A</v>
      </c>
      <c r="O270" s="1" t="str">
        <f t="array" ref="O270">IF(ISBLANK(INDEX(big_daily_table,MATCH(DATE(O$5,$J270,$I270),daily_dates,0),MATCH($B$3,daily_items,0))),NA(),INDEX(big_daily_table,MATCH(DATE(O$5,$J270,$I270),daily_dates,0),MATCH($B$3,daily_items,0)))</f>
        <v>#N/A</v>
      </c>
      <c r="P270" s="1" t="str">
        <f t="array" ref="P270">IF(ISBLANK(INDEX(big_daily_table,MATCH(DATE(P$5,$J270,$I270),daily_dates,0),MATCH($B$3,daily_items,0))),NA(),INDEX(big_daily_table,MATCH(DATE(P$5,$J270,$I270),daily_dates,0),MATCH($B$3,daily_items,0)))</f>
        <v>#N/A</v>
      </c>
      <c r="Q270" s="1" t="str">
        <f t="array" ref="Q270">IF(ISBLANK(INDEX(big_daily_table,MATCH(DATE(Q$5,$J270,$I270),daily_dates,0),MATCH($B$3,daily_items,0))),NA(),INDEX(big_daily_table,MATCH(DATE(Q$5,$J270,$I270),daily_dates,0),MATCH($B$3,daily_items,0)))</f>
        <v>#N/A</v>
      </c>
      <c r="R270" s="1" t="str">
        <f t="array" ref="R270">IF(ISBLANK(INDEX(big_daily_table,MATCH(DATE(R$5,$J270,$I270),daily_dates,0),MATCH($B$3,daily_items,0))),NA(),INDEX(big_daily_table,MATCH(DATE(R$5,$J270,$I270),daily_dates,0),MATCH($B$3,daily_items,0)))</f>
        <v>#N/A</v>
      </c>
      <c r="S270" s="1" t="str">
        <f t="array" ref="S270">IF(ISBLANK(INDEX(big_daily_table,MATCH(DATE(S$5,$J270,$I270),daily_dates,0),MATCH($B$3,daily_items,0))),NA(),INDEX(big_daily_table,MATCH(DATE(S$5,$J270,$I270),daily_dates,0),MATCH($B$3,daily_items,0)))</f>
        <v>#N/A</v>
      </c>
      <c r="T270" s="1" t="str">
        <f t="array" ref="T270">IF(ISBLANK(INDEX(big_daily_table,MATCH(DATE(T$5,$J270,$I270),daily_dates,0),MATCH($B$3,daily_items,0))),NA(),INDEX(big_daily_table,MATCH(DATE(T$5,$J270,$I270),daily_dates,0),MATCH($B$3,daily_items,0)))</f>
        <v>#N/A</v>
      </c>
      <c r="U270" s="1" t="str">
        <f t="array" ref="U270">IF(ISBLANK(INDEX(big_daily_table,MATCH(DATE(U$5,$J270,$I270),daily_dates,0),MATCH($B$3,daily_items,0))),NA(),INDEX(big_daily_table,MATCH(DATE(U$5,$J270,$I270),daily_dates,0),MATCH($B$3,daily_items,0)))</f>
        <v>#N/A</v>
      </c>
      <c r="V270" s="1" t="str">
        <f t="array" ref="V270">IF(ISBLANK(INDEX(big_daily_table,MATCH(DATE(V$5,$J270,$I270),daily_dates,0),MATCH($B$3,daily_items,0))),NA(),INDEX(big_daily_table,MATCH(DATE(V$5,$J270,$I270),daily_dates,0),MATCH($B$3,daily_items,0)))</f>
        <v>#N/A</v>
      </c>
      <c r="W270" s="1" t="str">
        <f t="array" ref="W270">IF(ISBLANK(INDEX(big_daily_table,MATCH(DATE(W$5,$J270,$I270),daily_dates,0),MATCH($B$3,daily_items,0))),NA(),INDEX(big_daily_table,MATCH(DATE(W$5,$J270,$I270),daily_dates,0),MATCH($B$3,daily_items,0)))</f>
        <v>#N/A</v>
      </c>
      <c r="X270" s="1" t="str">
        <f t="array" ref="X270">IF(ISBLANK(INDEX(big_daily_table,MATCH(DATE(X$5,$J270,$I270),daily_dates,0),MATCH($B$3,daily_items,0))),NA(),INDEX(big_daily_table,MATCH(DATE(X$5,$J270,$I270),daily_dates,0),MATCH($B$3,daily_items,0)))</f>
        <v>#N/A</v>
      </c>
      <c r="Y270" s="1" t="str">
        <f t="array" ref="Y270">IF(ISBLANK(INDEX(big_daily_table,MATCH(DATE(Y$5,$J270,$I270),daily_dates,0),MATCH($B$3,daily_items,0))),NA(),INDEX(big_daily_table,MATCH(DATE(Y$5,$J270,$I270),daily_dates,0),MATCH($B$3,daily_items,0)))</f>
        <v>#N/A</v>
      </c>
      <c r="Z270" s="1" t="str">
        <f t="shared" si="5"/>
        <v>#NAME?</v>
      </c>
      <c r="AA270" s="1" t="str">
        <f t="shared" si="6"/>
        <v>#NAME?</v>
      </c>
      <c r="AB270" s="1" t="str">
        <f t="shared" si="7"/>
        <v>#NAME?</v>
      </c>
      <c r="AC270" s="1" t="str">
        <f t="shared" si="8"/>
        <v>#NAME?</v>
      </c>
    </row>
    <row r="271" ht="14.25" customHeight="1">
      <c r="H271" s="1">
        <f t="shared" si="9"/>
        <v>266</v>
      </c>
      <c r="I271" s="1">
        <f t="shared" si="2"/>
        <v>22</v>
      </c>
      <c r="J271" s="1">
        <f t="shared" si="3"/>
        <v>9</v>
      </c>
      <c r="K271" s="23">
        <f t="shared" si="10"/>
        <v>36791</v>
      </c>
      <c r="L271" s="24">
        <f t="shared" si="4"/>
        <v>-1000000</v>
      </c>
      <c r="M271" s="1" t="str">
        <f t="array" ref="M271">IF(K271&gt;0,INDEX(big_daily_table,MATCH(DATE(N$5,$J271,$I271),daily_dates,0),MATCH($B$3,daily_items,0)),NA())</f>
        <v>#N/A</v>
      </c>
      <c r="N271" s="1" t="str">
        <f t="array" ref="N271">IF(L271&lt;0,INDEX(big_daily_table,MATCH(DATE(N$5,$J271,$I271),daily_dates,0),MATCH($B$3,daily_items,0)),NA())</f>
        <v>#N/A</v>
      </c>
      <c r="O271" s="1" t="str">
        <f t="array" ref="O271">IF(ISBLANK(INDEX(big_daily_table,MATCH(DATE(O$5,$J271,$I271),daily_dates,0),MATCH($B$3,daily_items,0))),NA(),INDEX(big_daily_table,MATCH(DATE(O$5,$J271,$I271),daily_dates,0),MATCH($B$3,daily_items,0)))</f>
        <v>#N/A</v>
      </c>
      <c r="P271" s="1" t="str">
        <f t="array" ref="P271">IF(ISBLANK(INDEX(big_daily_table,MATCH(DATE(P$5,$J271,$I271),daily_dates,0),MATCH($B$3,daily_items,0))),NA(),INDEX(big_daily_table,MATCH(DATE(P$5,$J271,$I271),daily_dates,0),MATCH($B$3,daily_items,0)))</f>
        <v>#N/A</v>
      </c>
      <c r="Q271" s="1" t="str">
        <f t="array" ref="Q271">IF(ISBLANK(INDEX(big_daily_table,MATCH(DATE(Q$5,$J271,$I271),daily_dates,0),MATCH($B$3,daily_items,0))),NA(),INDEX(big_daily_table,MATCH(DATE(Q$5,$J271,$I271),daily_dates,0),MATCH($B$3,daily_items,0)))</f>
        <v>#N/A</v>
      </c>
      <c r="R271" s="1" t="str">
        <f t="array" ref="R271">IF(ISBLANK(INDEX(big_daily_table,MATCH(DATE(R$5,$J271,$I271),daily_dates,0),MATCH($B$3,daily_items,0))),NA(),INDEX(big_daily_table,MATCH(DATE(R$5,$J271,$I271),daily_dates,0),MATCH($B$3,daily_items,0)))</f>
        <v>#N/A</v>
      </c>
      <c r="S271" s="1" t="str">
        <f t="array" ref="S271">IF(ISBLANK(INDEX(big_daily_table,MATCH(DATE(S$5,$J271,$I271),daily_dates,0),MATCH($B$3,daily_items,0))),NA(),INDEX(big_daily_table,MATCH(DATE(S$5,$J271,$I271),daily_dates,0),MATCH($B$3,daily_items,0)))</f>
        <v>#N/A</v>
      </c>
      <c r="T271" s="1" t="str">
        <f t="array" ref="T271">IF(ISBLANK(INDEX(big_daily_table,MATCH(DATE(T$5,$J271,$I271),daily_dates,0),MATCH($B$3,daily_items,0))),NA(),INDEX(big_daily_table,MATCH(DATE(T$5,$J271,$I271),daily_dates,0),MATCH($B$3,daily_items,0)))</f>
        <v>#N/A</v>
      </c>
      <c r="U271" s="1" t="str">
        <f t="array" ref="U271">IF(ISBLANK(INDEX(big_daily_table,MATCH(DATE(U$5,$J271,$I271),daily_dates,0),MATCH($B$3,daily_items,0))),NA(),INDEX(big_daily_table,MATCH(DATE(U$5,$J271,$I271),daily_dates,0),MATCH($B$3,daily_items,0)))</f>
        <v>#N/A</v>
      </c>
      <c r="V271" s="1" t="str">
        <f t="array" ref="V271">IF(ISBLANK(INDEX(big_daily_table,MATCH(DATE(V$5,$J271,$I271),daily_dates,0),MATCH($B$3,daily_items,0))),NA(),INDEX(big_daily_table,MATCH(DATE(V$5,$J271,$I271),daily_dates,0),MATCH($B$3,daily_items,0)))</f>
        <v>#N/A</v>
      </c>
      <c r="W271" s="1" t="str">
        <f t="array" ref="W271">IF(ISBLANK(INDEX(big_daily_table,MATCH(DATE(W$5,$J271,$I271),daily_dates,0),MATCH($B$3,daily_items,0))),NA(),INDEX(big_daily_table,MATCH(DATE(W$5,$J271,$I271),daily_dates,0),MATCH($B$3,daily_items,0)))</f>
        <v>#N/A</v>
      </c>
      <c r="X271" s="1" t="str">
        <f t="array" ref="X271">IF(ISBLANK(INDEX(big_daily_table,MATCH(DATE(X$5,$J271,$I271),daily_dates,0),MATCH($B$3,daily_items,0))),NA(),INDEX(big_daily_table,MATCH(DATE(X$5,$J271,$I271),daily_dates,0),MATCH($B$3,daily_items,0)))</f>
        <v>#N/A</v>
      </c>
      <c r="Y271" s="1" t="str">
        <f t="array" ref="Y271">IF(ISBLANK(INDEX(big_daily_table,MATCH(DATE(Y$5,$J271,$I271),daily_dates,0),MATCH($B$3,daily_items,0))),NA(),INDEX(big_daily_table,MATCH(DATE(Y$5,$J271,$I271),daily_dates,0),MATCH($B$3,daily_items,0)))</f>
        <v>#N/A</v>
      </c>
      <c r="Z271" s="1" t="str">
        <f t="shared" si="5"/>
        <v>#NAME?</v>
      </c>
      <c r="AA271" s="1" t="str">
        <f t="shared" si="6"/>
        <v>#NAME?</v>
      </c>
      <c r="AB271" s="1" t="str">
        <f t="shared" si="7"/>
        <v>#NAME?</v>
      </c>
      <c r="AC271" s="1" t="str">
        <f t="shared" si="8"/>
        <v>#NAME?</v>
      </c>
    </row>
    <row r="272" ht="14.25" customHeight="1">
      <c r="H272" s="1">
        <f t="shared" si="9"/>
        <v>267</v>
      </c>
      <c r="I272" s="1">
        <f t="shared" si="2"/>
        <v>23</v>
      </c>
      <c r="J272" s="1">
        <f t="shared" si="3"/>
        <v>9</v>
      </c>
      <c r="K272" s="23">
        <f t="shared" si="10"/>
        <v>36792</v>
      </c>
      <c r="L272" s="24">
        <f t="shared" si="4"/>
        <v>-1000000</v>
      </c>
      <c r="M272" s="1" t="str">
        <f t="array" ref="M272">IF(K272&gt;0,INDEX(big_daily_table,MATCH(DATE(N$5,$J272,$I272),daily_dates,0),MATCH($B$3,daily_items,0)),NA())</f>
        <v>#N/A</v>
      </c>
      <c r="N272" s="1" t="str">
        <f t="array" ref="N272">IF(L272&lt;0,INDEX(big_daily_table,MATCH(DATE(N$5,$J272,$I272),daily_dates,0),MATCH($B$3,daily_items,0)),NA())</f>
        <v>#N/A</v>
      </c>
      <c r="O272" s="1" t="str">
        <f t="array" ref="O272">IF(ISBLANK(INDEX(big_daily_table,MATCH(DATE(O$5,$J272,$I272),daily_dates,0),MATCH($B$3,daily_items,0))),NA(),INDEX(big_daily_table,MATCH(DATE(O$5,$J272,$I272),daily_dates,0),MATCH($B$3,daily_items,0)))</f>
        <v>#N/A</v>
      </c>
      <c r="P272" s="1" t="str">
        <f t="array" ref="P272">IF(ISBLANK(INDEX(big_daily_table,MATCH(DATE(P$5,$J272,$I272),daily_dates,0),MATCH($B$3,daily_items,0))),NA(),INDEX(big_daily_table,MATCH(DATE(P$5,$J272,$I272),daily_dates,0),MATCH($B$3,daily_items,0)))</f>
        <v>#N/A</v>
      </c>
      <c r="Q272" s="1" t="str">
        <f t="array" ref="Q272">IF(ISBLANK(INDEX(big_daily_table,MATCH(DATE(Q$5,$J272,$I272),daily_dates,0),MATCH($B$3,daily_items,0))),NA(),INDEX(big_daily_table,MATCH(DATE(Q$5,$J272,$I272),daily_dates,0),MATCH($B$3,daily_items,0)))</f>
        <v>#N/A</v>
      </c>
      <c r="R272" s="1" t="str">
        <f t="array" ref="R272">IF(ISBLANK(INDEX(big_daily_table,MATCH(DATE(R$5,$J272,$I272),daily_dates,0),MATCH($B$3,daily_items,0))),NA(),INDEX(big_daily_table,MATCH(DATE(R$5,$J272,$I272),daily_dates,0),MATCH($B$3,daily_items,0)))</f>
        <v>#N/A</v>
      </c>
      <c r="S272" s="1" t="str">
        <f t="array" ref="S272">IF(ISBLANK(INDEX(big_daily_table,MATCH(DATE(S$5,$J272,$I272),daily_dates,0),MATCH($B$3,daily_items,0))),NA(),INDEX(big_daily_table,MATCH(DATE(S$5,$J272,$I272),daily_dates,0),MATCH($B$3,daily_items,0)))</f>
        <v>#N/A</v>
      </c>
      <c r="T272" s="1" t="str">
        <f t="array" ref="T272">IF(ISBLANK(INDEX(big_daily_table,MATCH(DATE(T$5,$J272,$I272),daily_dates,0),MATCH($B$3,daily_items,0))),NA(),INDEX(big_daily_table,MATCH(DATE(T$5,$J272,$I272),daily_dates,0),MATCH($B$3,daily_items,0)))</f>
        <v>#N/A</v>
      </c>
      <c r="U272" s="1" t="str">
        <f t="array" ref="U272">IF(ISBLANK(INDEX(big_daily_table,MATCH(DATE(U$5,$J272,$I272),daily_dates,0),MATCH($B$3,daily_items,0))),NA(),INDEX(big_daily_table,MATCH(DATE(U$5,$J272,$I272),daily_dates,0),MATCH($B$3,daily_items,0)))</f>
        <v>#N/A</v>
      </c>
      <c r="V272" s="1" t="str">
        <f t="array" ref="V272">IF(ISBLANK(INDEX(big_daily_table,MATCH(DATE(V$5,$J272,$I272),daily_dates,0),MATCH($B$3,daily_items,0))),NA(),INDEX(big_daily_table,MATCH(DATE(V$5,$J272,$I272),daily_dates,0),MATCH($B$3,daily_items,0)))</f>
        <v>#N/A</v>
      </c>
      <c r="W272" s="1" t="str">
        <f t="array" ref="W272">IF(ISBLANK(INDEX(big_daily_table,MATCH(DATE(W$5,$J272,$I272),daily_dates,0),MATCH($B$3,daily_items,0))),NA(),INDEX(big_daily_table,MATCH(DATE(W$5,$J272,$I272),daily_dates,0),MATCH($B$3,daily_items,0)))</f>
        <v>#N/A</v>
      </c>
      <c r="X272" s="1" t="str">
        <f t="array" ref="X272">IF(ISBLANK(INDEX(big_daily_table,MATCH(DATE(X$5,$J272,$I272),daily_dates,0),MATCH($B$3,daily_items,0))),NA(),INDEX(big_daily_table,MATCH(DATE(X$5,$J272,$I272),daily_dates,0),MATCH($B$3,daily_items,0)))</f>
        <v>#N/A</v>
      </c>
      <c r="Y272" s="1" t="str">
        <f t="array" ref="Y272">IF(ISBLANK(INDEX(big_daily_table,MATCH(DATE(Y$5,$J272,$I272),daily_dates,0),MATCH($B$3,daily_items,0))),NA(),INDEX(big_daily_table,MATCH(DATE(Y$5,$J272,$I272),daily_dates,0),MATCH($B$3,daily_items,0)))</f>
        <v>#N/A</v>
      </c>
      <c r="Z272" s="1" t="str">
        <f t="shared" si="5"/>
        <v>#NAME?</v>
      </c>
      <c r="AA272" s="1" t="str">
        <f t="shared" si="6"/>
        <v>#NAME?</v>
      </c>
      <c r="AB272" s="1" t="str">
        <f t="shared" si="7"/>
        <v>#NAME?</v>
      </c>
      <c r="AC272" s="1" t="str">
        <f t="shared" si="8"/>
        <v>#NAME?</v>
      </c>
    </row>
    <row r="273" ht="14.25" customHeight="1">
      <c r="H273" s="1">
        <f t="shared" si="9"/>
        <v>268</v>
      </c>
      <c r="I273" s="1">
        <f t="shared" si="2"/>
        <v>24</v>
      </c>
      <c r="J273" s="1">
        <f t="shared" si="3"/>
        <v>9</v>
      </c>
      <c r="K273" s="23">
        <f t="shared" si="10"/>
        <v>36793</v>
      </c>
      <c r="L273" s="24">
        <f t="shared" si="4"/>
        <v>-1000000</v>
      </c>
      <c r="M273" s="1" t="str">
        <f t="array" ref="M273">IF(K273&gt;0,INDEX(big_daily_table,MATCH(DATE(N$5,$J273,$I273),daily_dates,0),MATCH($B$3,daily_items,0)),NA())</f>
        <v>#N/A</v>
      </c>
      <c r="N273" s="1" t="str">
        <f t="array" ref="N273">IF(L273&lt;0,INDEX(big_daily_table,MATCH(DATE(N$5,$J273,$I273),daily_dates,0),MATCH($B$3,daily_items,0)),NA())</f>
        <v>#N/A</v>
      </c>
      <c r="O273" s="1" t="str">
        <f t="array" ref="O273">IF(ISBLANK(INDEX(big_daily_table,MATCH(DATE(O$5,$J273,$I273),daily_dates,0),MATCH($B$3,daily_items,0))),NA(),INDEX(big_daily_table,MATCH(DATE(O$5,$J273,$I273),daily_dates,0),MATCH($B$3,daily_items,0)))</f>
        <v>#N/A</v>
      </c>
      <c r="P273" s="1" t="str">
        <f t="array" ref="P273">IF(ISBLANK(INDEX(big_daily_table,MATCH(DATE(P$5,$J273,$I273),daily_dates,0),MATCH($B$3,daily_items,0))),NA(),INDEX(big_daily_table,MATCH(DATE(P$5,$J273,$I273),daily_dates,0),MATCH($B$3,daily_items,0)))</f>
        <v>#N/A</v>
      </c>
      <c r="Q273" s="1" t="str">
        <f t="array" ref="Q273">IF(ISBLANK(INDEX(big_daily_table,MATCH(DATE(Q$5,$J273,$I273),daily_dates,0),MATCH($B$3,daily_items,0))),NA(),INDEX(big_daily_table,MATCH(DATE(Q$5,$J273,$I273),daily_dates,0),MATCH($B$3,daily_items,0)))</f>
        <v>#N/A</v>
      </c>
      <c r="R273" s="1" t="str">
        <f t="array" ref="R273">IF(ISBLANK(INDEX(big_daily_table,MATCH(DATE(R$5,$J273,$I273),daily_dates,0),MATCH($B$3,daily_items,0))),NA(),INDEX(big_daily_table,MATCH(DATE(R$5,$J273,$I273),daily_dates,0),MATCH($B$3,daily_items,0)))</f>
        <v>#N/A</v>
      </c>
      <c r="S273" s="1" t="str">
        <f t="array" ref="S273">IF(ISBLANK(INDEX(big_daily_table,MATCH(DATE(S$5,$J273,$I273),daily_dates,0),MATCH($B$3,daily_items,0))),NA(),INDEX(big_daily_table,MATCH(DATE(S$5,$J273,$I273),daily_dates,0),MATCH($B$3,daily_items,0)))</f>
        <v>#N/A</v>
      </c>
      <c r="T273" s="1" t="str">
        <f t="array" ref="T273">IF(ISBLANK(INDEX(big_daily_table,MATCH(DATE(T$5,$J273,$I273),daily_dates,0),MATCH($B$3,daily_items,0))),NA(),INDEX(big_daily_table,MATCH(DATE(T$5,$J273,$I273),daily_dates,0),MATCH($B$3,daily_items,0)))</f>
        <v>#N/A</v>
      </c>
      <c r="U273" s="1" t="str">
        <f t="array" ref="U273">IF(ISBLANK(INDEX(big_daily_table,MATCH(DATE(U$5,$J273,$I273),daily_dates,0),MATCH($B$3,daily_items,0))),NA(),INDEX(big_daily_table,MATCH(DATE(U$5,$J273,$I273),daily_dates,0),MATCH($B$3,daily_items,0)))</f>
        <v>#N/A</v>
      </c>
      <c r="V273" s="1" t="str">
        <f t="array" ref="V273">IF(ISBLANK(INDEX(big_daily_table,MATCH(DATE(V$5,$J273,$I273),daily_dates,0),MATCH($B$3,daily_items,0))),NA(),INDEX(big_daily_table,MATCH(DATE(V$5,$J273,$I273),daily_dates,0),MATCH($B$3,daily_items,0)))</f>
        <v>#N/A</v>
      </c>
      <c r="W273" s="1" t="str">
        <f t="array" ref="W273">IF(ISBLANK(INDEX(big_daily_table,MATCH(DATE(W$5,$J273,$I273),daily_dates,0),MATCH($B$3,daily_items,0))),NA(),INDEX(big_daily_table,MATCH(DATE(W$5,$J273,$I273),daily_dates,0),MATCH($B$3,daily_items,0)))</f>
        <v>#N/A</v>
      </c>
      <c r="X273" s="1" t="str">
        <f t="array" ref="X273">IF(ISBLANK(INDEX(big_daily_table,MATCH(DATE(X$5,$J273,$I273),daily_dates,0),MATCH($B$3,daily_items,0))),NA(),INDEX(big_daily_table,MATCH(DATE(X$5,$J273,$I273),daily_dates,0),MATCH($B$3,daily_items,0)))</f>
        <v>#N/A</v>
      </c>
      <c r="Y273" s="1" t="str">
        <f t="array" ref="Y273">IF(ISBLANK(INDEX(big_daily_table,MATCH(DATE(Y$5,$J273,$I273),daily_dates,0),MATCH($B$3,daily_items,0))),NA(),INDEX(big_daily_table,MATCH(DATE(Y$5,$J273,$I273),daily_dates,0),MATCH($B$3,daily_items,0)))</f>
        <v>#N/A</v>
      </c>
      <c r="Z273" s="1" t="str">
        <f t="shared" si="5"/>
        <v>#NAME?</v>
      </c>
      <c r="AA273" s="1" t="str">
        <f t="shared" si="6"/>
        <v>#NAME?</v>
      </c>
      <c r="AB273" s="1" t="str">
        <f t="shared" si="7"/>
        <v>#NAME?</v>
      </c>
      <c r="AC273" s="1" t="str">
        <f t="shared" si="8"/>
        <v>#NAME?</v>
      </c>
    </row>
    <row r="274" ht="14.25" customHeight="1">
      <c r="H274" s="1">
        <f t="shared" si="9"/>
        <v>269</v>
      </c>
      <c r="I274" s="1">
        <f t="shared" si="2"/>
        <v>25</v>
      </c>
      <c r="J274" s="1">
        <f t="shared" si="3"/>
        <v>9</v>
      </c>
      <c r="K274" s="23">
        <f t="shared" si="10"/>
        <v>36794</v>
      </c>
      <c r="L274" s="24">
        <f t="shared" si="4"/>
        <v>-1000000</v>
      </c>
      <c r="M274" s="1" t="str">
        <f t="array" ref="M274">IF(K274&gt;0,INDEX(big_daily_table,MATCH(DATE(N$5,$J274,$I274),daily_dates,0),MATCH($B$3,daily_items,0)),NA())</f>
        <v>#N/A</v>
      </c>
      <c r="N274" s="1" t="str">
        <f t="array" ref="N274">IF(L274&lt;0,INDEX(big_daily_table,MATCH(DATE(N$5,$J274,$I274),daily_dates,0),MATCH($B$3,daily_items,0)),NA())</f>
        <v>#N/A</v>
      </c>
      <c r="O274" s="1" t="str">
        <f t="array" ref="O274">IF(ISBLANK(INDEX(big_daily_table,MATCH(DATE(O$5,$J274,$I274),daily_dates,0),MATCH($B$3,daily_items,0))),NA(),INDEX(big_daily_table,MATCH(DATE(O$5,$J274,$I274),daily_dates,0),MATCH($B$3,daily_items,0)))</f>
        <v>#N/A</v>
      </c>
      <c r="P274" s="1" t="str">
        <f t="array" ref="P274">IF(ISBLANK(INDEX(big_daily_table,MATCH(DATE(P$5,$J274,$I274),daily_dates,0),MATCH($B$3,daily_items,0))),NA(),INDEX(big_daily_table,MATCH(DATE(P$5,$J274,$I274),daily_dates,0),MATCH($B$3,daily_items,0)))</f>
        <v>#N/A</v>
      </c>
      <c r="Q274" s="1" t="str">
        <f t="array" ref="Q274">IF(ISBLANK(INDEX(big_daily_table,MATCH(DATE(Q$5,$J274,$I274),daily_dates,0),MATCH($B$3,daily_items,0))),NA(),INDEX(big_daily_table,MATCH(DATE(Q$5,$J274,$I274),daily_dates,0),MATCH($B$3,daily_items,0)))</f>
        <v>#N/A</v>
      </c>
      <c r="R274" s="1" t="str">
        <f t="array" ref="R274">IF(ISBLANK(INDEX(big_daily_table,MATCH(DATE(R$5,$J274,$I274),daily_dates,0),MATCH($B$3,daily_items,0))),NA(),INDEX(big_daily_table,MATCH(DATE(R$5,$J274,$I274),daily_dates,0),MATCH($B$3,daily_items,0)))</f>
        <v>#N/A</v>
      </c>
      <c r="S274" s="1" t="str">
        <f t="array" ref="S274">IF(ISBLANK(INDEX(big_daily_table,MATCH(DATE(S$5,$J274,$I274),daily_dates,0),MATCH($B$3,daily_items,0))),NA(),INDEX(big_daily_table,MATCH(DATE(S$5,$J274,$I274),daily_dates,0),MATCH($B$3,daily_items,0)))</f>
        <v>#N/A</v>
      </c>
      <c r="T274" s="1" t="str">
        <f t="array" ref="T274">IF(ISBLANK(INDEX(big_daily_table,MATCH(DATE(T$5,$J274,$I274),daily_dates,0),MATCH($B$3,daily_items,0))),NA(),INDEX(big_daily_table,MATCH(DATE(T$5,$J274,$I274),daily_dates,0),MATCH($B$3,daily_items,0)))</f>
        <v>#N/A</v>
      </c>
      <c r="U274" s="1" t="str">
        <f t="array" ref="U274">IF(ISBLANK(INDEX(big_daily_table,MATCH(DATE(U$5,$J274,$I274),daily_dates,0),MATCH($B$3,daily_items,0))),NA(),INDEX(big_daily_table,MATCH(DATE(U$5,$J274,$I274),daily_dates,0),MATCH($B$3,daily_items,0)))</f>
        <v>#N/A</v>
      </c>
      <c r="V274" s="1" t="str">
        <f t="array" ref="V274">IF(ISBLANK(INDEX(big_daily_table,MATCH(DATE(V$5,$J274,$I274),daily_dates,0),MATCH($B$3,daily_items,0))),NA(),INDEX(big_daily_table,MATCH(DATE(V$5,$J274,$I274),daily_dates,0),MATCH($B$3,daily_items,0)))</f>
        <v>#N/A</v>
      </c>
      <c r="W274" s="1" t="str">
        <f t="array" ref="W274">IF(ISBLANK(INDEX(big_daily_table,MATCH(DATE(W$5,$J274,$I274),daily_dates,0),MATCH($B$3,daily_items,0))),NA(),INDEX(big_daily_table,MATCH(DATE(W$5,$J274,$I274),daily_dates,0),MATCH($B$3,daily_items,0)))</f>
        <v>#N/A</v>
      </c>
      <c r="X274" s="1" t="str">
        <f t="array" ref="X274">IF(ISBLANK(INDEX(big_daily_table,MATCH(DATE(X$5,$J274,$I274),daily_dates,0),MATCH($B$3,daily_items,0))),NA(),INDEX(big_daily_table,MATCH(DATE(X$5,$J274,$I274),daily_dates,0),MATCH($B$3,daily_items,0)))</f>
        <v>#N/A</v>
      </c>
      <c r="Y274" s="1" t="str">
        <f t="array" ref="Y274">IF(ISBLANK(INDEX(big_daily_table,MATCH(DATE(Y$5,$J274,$I274),daily_dates,0),MATCH($B$3,daily_items,0))),NA(),INDEX(big_daily_table,MATCH(DATE(Y$5,$J274,$I274),daily_dates,0),MATCH($B$3,daily_items,0)))</f>
        <v>#N/A</v>
      </c>
      <c r="Z274" s="1" t="str">
        <f t="shared" si="5"/>
        <v>#NAME?</v>
      </c>
      <c r="AA274" s="1" t="str">
        <f t="shared" si="6"/>
        <v>#NAME?</v>
      </c>
      <c r="AB274" s="1" t="str">
        <f t="shared" si="7"/>
        <v>#NAME?</v>
      </c>
      <c r="AC274" s="1" t="str">
        <f t="shared" si="8"/>
        <v>#NAME?</v>
      </c>
    </row>
    <row r="275" ht="14.25" customHeight="1">
      <c r="H275" s="1">
        <f t="shared" si="9"/>
        <v>270</v>
      </c>
      <c r="I275" s="1">
        <f t="shared" si="2"/>
        <v>26</v>
      </c>
      <c r="J275" s="1">
        <f t="shared" si="3"/>
        <v>9</v>
      </c>
      <c r="K275" s="23">
        <f t="shared" si="10"/>
        <v>36795</v>
      </c>
      <c r="L275" s="24">
        <f t="shared" si="4"/>
        <v>-1000000</v>
      </c>
      <c r="M275" s="1" t="str">
        <f t="array" ref="M275">IF(K275&gt;0,INDEX(big_daily_table,MATCH(DATE(N$5,$J275,$I275),daily_dates,0),MATCH($B$3,daily_items,0)),NA())</f>
        <v>#N/A</v>
      </c>
      <c r="N275" s="1" t="str">
        <f t="array" ref="N275">IF(L275&lt;0,INDEX(big_daily_table,MATCH(DATE(N$5,$J275,$I275),daily_dates,0),MATCH($B$3,daily_items,0)),NA())</f>
        <v>#N/A</v>
      </c>
      <c r="O275" s="1" t="str">
        <f t="array" ref="O275">IF(ISBLANK(INDEX(big_daily_table,MATCH(DATE(O$5,$J275,$I275),daily_dates,0),MATCH($B$3,daily_items,0))),NA(),INDEX(big_daily_table,MATCH(DATE(O$5,$J275,$I275),daily_dates,0),MATCH($B$3,daily_items,0)))</f>
        <v>#N/A</v>
      </c>
      <c r="P275" s="1" t="str">
        <f t="array" ref="P275">IF(ISBLANK(INDEX(big_daily_table,MATCH(DATE(P$5,$J275,$I275),daily_dates,0),MATCH($B$3,daily_items,0))),NA(),INDEX(big_daily_table,MATCH(DATE(P$5,$J275,$I275),daily_dates,0),MATCH($B$3,daily_items,0)))</f>
        <v>#N/A</v>
      </c>
      <c r="Q275" s="1" t="str">
        <f t="array" ref="Q275">IF(ISBLANK(INDEX(big_daily_table,MATCH(DATE(Q$5,$J275,$I275),daily_dates,0),MATCH($B$3,daily_items,0))),NA(),INDEX(big_daily_table,MATCH(DATE(Q$5,$J275,$I275),daily_dates,0),MATCH($B$3,daily_items,0)))</f>
        <v>#N/A</v>
      </c>
      <c r="R275" s="1" t="str">
        <f t="array" ref="R275">IF(ISBLANK(INDEX(big_daily_table,MATCH(DATE(R$5,$J275,$I275),daily_dates,0),MATCH($B$3,daily_items,0))),NA(),INDEX(big_daily_table,MATCH(DATE(R$5,$J275,$I275),daily_dates,0),MATCH($B$3,daily_items,0)))</f>
        <v>#N/A</v>
      </c>
      <c r="S275" s="1" t="str">
        <f t="array" ref="S275">IF(ISBLANK(INDEX(big_daily_table,MATCH(DATE(S$5,$J275,$I275),daily_dates,0),MATCH($B$3,daily_items,0))),NA(),INDEX(big_daily_table,MATCH(DATE(S$5,$J275,$I275),daily_dates,0),MATCH($B$3,daily_items,0)))</f>
        <v>#N/A</v>
      </c>
      <c r="T275" s="1" t="str">
        <f t="array" ref="T275">IF(ISBLANK(INDEX(big_daily_table,MATCH(DATE(T$5,$J275,$I275),daily_dates,0),MATCH($B$3,daily_items,0))),NA(),INDEX(big_daily_table,MATCH(DATE(T$5,$J275,$I275),daily_dates,0),MATCH($B$3,daily_items,0)))</f>
        <v>#N/A</v>
      </c>
      <c r="U275" s="1" t="str">
        <f t="array" ref="U275">IF(ISBLANK(INDEX(big_daily_table,MATCH(DATE(U$5,$J275,$I275),daily_dates,0),MATCH($B$3,daily_items,0))),NA(),INDEX(big_daily_table,MATCH(DATE(U$5,$J275,$I275),daily_dates,0),MATCH($B$3,daily_items,0)))</f>
        <v>#N/A</v>
      </c>
      <c r="V275" s="1" t="str">
        <f t="array" ref="V275">IF(ISBLANK(INDEX(big_daily_table,MATCH(DATE(V$5,$J275,$I275),daily_dates,0),MATCH($B$3,daily_items,0))),NA(),INDEX(big_daily_table,MATCH(DATE(V$5,$J275,$I275),daily_dates,0),MATCH($B$3,daily_items,0)))</f>
        <v>#N/A</v>
      </c>
      <c r="W275" s="1" t="str">
        <f t="array" ref="W275">IF(ISBLANK(INDEX(big_daily_table,MATCH(DATE(W$5,$J275,$I275),daily_dates,0),MATCH($B$3,daily_items,0))),NA(),INDEX(big_daily_table,MATCH(DATE(W$5,$J275,$I275),daily_dates,0),MATCH($B$3,daily_items,0)))</f>
        <v>#N/A</v>
      </c>
      <c r="X275" s="1" t="str">
        <f t="array" ref="X275">IF(ISBLANK(INDEX(big_daily_table,MATCH(DATE(X$5,$J275,$I275),daily_dates,0),MATCH($B$3,daily_items,0))),NA(),INDEX(big_daily_table,MATCH(DATE(X$5,$J275,$I275),daily_dates,0),MATCH($B$3,daily_items,0)))</f>
        <v>#N/A</v>
      </c>
      <c r="Y275" s="1" t="str">
        <f t="array" ref="Y275">IF(ISBLANK(INDEX(big_daily_table,MATCH(DATE(Y$5,$J275,$I275),daily_dates,0),MATCH($B$3,daily_items,0))),NA(),INDEX(big_daily_table,MATCH(DATE(Y$5,$J275,$I275),daily_dates,0),MATCH($B$3,daily_items,0)))</f>
        <v>#N/A</v>
      </c>
      <c r="Z275" s="1" t="str">
        <f t="shared" si="5"/>
        <v>#NAME?</v>
      </c>
      <c r="AA275" s="1" t="str">
        <f t="shared" si="6"/>
        <v>#NAME?</v>
      </c>
      <c r="AB275" s="1" t="str">
        <f t="shared" si="7"/>
        <v>#NAME?</v>
      </c>
      <c r="AC275" s="1" t="str">
        <f t="shared" si="8"/>
        <v>#NAME?</v>
      </c>
    </row>
    <row r="276" ht="14.25" customHeight="1">
      <c r="H276" s="1">
        <f t="shared" si="9"/>
        <v>271</v>
      </c>
      <c r="I276" s="1">
        <f t="shared" si="2"/>
        <v>27</v>
      </c>
      <c r="J276" s="1">
        <f t="shared" si="3"/>
        <v>9</v>
      </c>
      <c r="K276" s="23">
        <f t="shared" si="10"/>
        <v>36796</v>
      </c>
      <c r="L276" s="24">
        <f t="shared" si="4"/>
        <v>-1000000</v>
      </c>
      <c r="M276" s="1" t="str">
        <f t="array" ref="M276">IF(K276&gt;0,INDEX(big_daily_table,MATCH(DATE(N$5,$J276,$I276),daily_dates,0),MATCH($B$3,daily_items,0)),NA())</f>
        <v>#N/A</v>
      </c>
      <c r="N276" s="1" t="str">
        <f t="array" ref="N276">IF(L276&lt;0,INDEX(big_daily_table,MATCH(DATE(N$5,$J276,$I276),daily_dates,0),MATCH($B$3,daily_items,0)),NA())</f>
        <v>#N/A</v>
      </c>
      <c r="O276" s="1" t="str">
        <f t="array" ref="O276">IF(ISBLANK(INDEX(big_daily_table,MATCH(DATE(O$5,$J276,$I276),daily_dates,0),MATCH($B$3,daily_items,0))),NA(),INDEX(big_daily_table,MATCH(DATE(O$5,$J276,$I276),daily_dates,0),MATCH($B$3,daily_items,0)))</f>
        <v>#N/A</v>
      </c>
      <c r="P276" s="1" t="str">
        <f t="array" ref="P276">IF(ISBLANK(INDEX(big_daily_table,MATCH(DATE(P$5,$J276,$I276),daily_dates,0),MATCH($B$3,daily_items,0))),NA(),INDEX(big_daily_table,MATCH(DATE(P$5,$J276,$I276),daily_dates,0),MATCH($B$3,daily_items,0)))</f>
        <v>#N/A</v>
      </c>
      <c r="Q276" s="1" t="str">
        <f t="array" ref="Q276">IF(ISBLANK(INDEX(big_daily_table,MATCH(DATE(Q$5,$J276,$I276),daily_dates,0),MATCH($B$3,daily_items,0))),NA(),INDEX(big_daily_table,MATCH(DATE(Q$5,$J276,$I276),daily_dates,0),MATCH($B$3,daily_items,0)))</f>
        <v>#N/A</v>
      </c>
      <c r="R276" s="1" t="str">
        <f t="array" ref="R276">IF(ISBLANK(INDEX(big_daily_table,MATCH(DATE(R$5,$J276,$I276),daily_dates,0),MATCH($B$3,daily_items,0))),NA(),INDEX(big_daily_table,MATCH(DATE(R$5,$J276,$I276),daily_dates,0),MATCH($B$3,daily_items,0)))</f>
        <v>#N/A</v>
      </c>
      <c r="S276" s="1" t="str">
        <f t="array" ref="S276">IF(ISBLANK(INDEX(big_daily_table,MATCH(DATE(S$5,$J276,$I276),daily_dates,0),MATCH($B$3,daily_items,0))),NA(),INDEX(big_daily_table,MATCH(DATE(S$5,$J276,$I276),daily_dates,0),MATCH($B$3,daily_items,0)))</f>
        <v>#N/A</v>
      </c>
      <c r="T276" s="1" t="str">
        <f t="array" ref="T276">IF(ISBLANK(INDEX(big_daily_table,MATCH(DATE(T$5,$J276,$I276),daily_dates,0),MATCH($B$3,daily_items,0))),NA(),INDEX(big_daily_table,MATCH(DATE(T$5,$J276,$I276),daily_dates,0),MATCH($B$3,daily_items,0)))</f>
        <v>#N/A</v>
      </c>
      <c r="U276" s="1" t="str">
        <f t="array" ref="U276">IF(ISBLANK(INDEX(big_daily_table,MATCH(DATE(U$5,$J276,$I276),daily_dates,0),MATCH($B$3,daily_items,0))),NA(),INDEX(big_daily_table,MATCH(DATE(U$5,$J276,$I276),daily_dates,0),MATCH($B$3,daily_items,0)))</f>
        <v>#N/A</v>
      </c>
      <c r="V276" s="1" t="str">
        <f t="array" ref="V276">IF(ISBLANK(INDEX(big_daily_table,MATCH(DATE(V$5,$J276,$I276),daily_dates,0),MATCH($B$3,daily_items,0))),NA(),INDEX(big_daily_table,MATCH(DATE(V$5,$J276,$I276),daily_dates,0),MATCH($B$3,daily_items,0)))</f>
        <v>#N/A</v>
      </c>
      <c r="W276" s="1" t="str">
        <f t="array" ref="W276">IF(ISBLANK(INDEX(big_daily_table,MATCH(DATE(W$5,$J276,$I276),daily_dates,0),MATCH($B$3,daily_items,0))),NA(),INDEX(big_daily_table,MATCH(DATE(W$5,$J276,$I276),daily_dates,0),MATCH($B$3,daily_items,0)))</f>
        <v>#N/A</v>
      </c>
      <c r="X276" s="1" t="str">
        <f t="array" ref="X276">IF(ISBLANK(INDEX(big_daily_table,MATCH(DATE(X$5,$J276,$I276),daily_dates,0),MATCH($B$3,daily_items,0))),NA(),INDEX(big_daily_table,MATCH(DATE(X$5,$J276,$I276),daily_dates,0),MATCH($B$3,daily_items,0)))</f>
        <v>#N/A</v>
      </c>
      <c r="Y276" s="1" t="str">
        <f t="array" ref="Y276">IF(ISBLANK(INDEX(big_daily_table,MATCH(DATE(Y$5,$J276,$I276),daily_dates,0),MATCH($B$3,daily_items,0))),NA(),INDEX(big_daily_table,MATCH(DATE(Y$5,$J276,$I276),daily_dates,0),MATCH($B$3,daily_items,0)))</f>
        <v>#N/A</v>
      </c>
      <c r="Z276" s="1" t="str">
        <f t="shared" si="5"/>
        <v>#NAME?</v>
      </c>
      <c r="AA276" s="1" t="str">
        <f t="shared" si="6"/>
        <v>#NAME?</v>
      </c>
      <c r="AB276" s="1" t="str">
        <f t="shared" si="7"/>
        <v>#NAME?</v>
      </c>
      <c r="AC276" s="1" t="str">
        <f t="shared" si="8"/>
        <v>#NAME?</v>
      </c>
    </row>
    <row r="277" ht="14.25" customHeight="1">
      <c r="H277" s="1">
        <f t="shared" si="9"/>
        <v>272</v>
      </c>
      <c r="I277" s="1">
        <f t="shared" si="2"/>
        <v>28</v>
      </c>
      <c r="J277" s="1">
        <f t="shared" si="3"/>
        <v>9</v>
      </c>
      <c r="K277" s="23">
        <f t="shared" si="10"/>
        <v>36797</v>
      </c>
      <c r="L277" s="24">
        <f t="shared" si="4"/>
        <v>1000000</v>
      </c>
      <c r="M277" s="1" t="str">
        <f t="array" ref="M277">IF(K277&gt;0,INDEX(big_daily_table,MATCH(DATE(N$5,$J277,$I277),daily_dates,0),MATCH($B$3,daily_items,0)),NA())</f>
        <v>#N/A</v>
      </c>
      <c r="N277" s="1" t="str">
        <f t="array" ref="N277">IF(L277&lt;0,INDEX(big_daily_table,MATCH(DATE(N$5,$J277,$I277),daily_dates,0),MATCH($B$3,daily_items,0)),NA())</f>
        <v>#N/A</v>
      </c>
      <c r="O277" s="1" t="str">
        <f t="array" ref="O277">IF(ISBLANK(INDEX(big_daily_table,MATCH(DATE(O$5,$J277,$I277),daily_dates,0),MATCH($B$3,daily_items,0))),NA(),INDEX(big_daily_table,MATCH(DATE(O$5,$J277,$I277),daily_dates,0),MATCH($B$3,daily_items,0)))</f>
        <v>#N/A</v>
      </c>
      <c r="P277" s="1" t="str">
        <f t="array" ref="P277">IF(ISBLANK(INDEX(big_daily_table,MATCH(DATE(P$5,$J277,$I277),daily_dates,0),MATCH($B$3,daily_items,0))),NA(),INDEX(big_daily_table,MATCH(DATE(P$5,$J277,$I277),daily_dates,0),MATCH($B$3,daily_items,0)))</f>
        <v>#N/A</v>
      </c>
      <c r="Q277" s="1" t="str">
        <f t="array" ref="Q277">IF(ISBLANK(INDEX(big_daily_table,MATCH(DATE(Q$5,$J277,$I277),daily_dates,0),MATCH($B$3,daily_items,0))),NA(),INDEX(big_daily_table,MATCH(DATE(Q$5,$J277,$I277),daily_dates,0),MATCH($B$3,daily_items,0)))</f>
        <v>#N/A</v>
      </c>
      <c r="R277" s="1" t="str">
        <f t="array" ref="R277">IF(ISBLANK(INDEX(big_daily_table,MATCH(DATE(R$5,$J277,$I277),daily_dates,0),MATCH($B$3,daily_items,0))),NA(),INDEX(big_daily_table,MATCH(DATE(R$5,$J277,$I277),daily_dates,0),MATCH($B$3,daily_items,0)))</f>
        <v>#N/A</v>
      </c>
      <c r="S277" s="1" t="str">
        <f t="array" ref="S277">IF(ISBLANK(INDEX(big_daily_table,MATCH(DATE(S$5,$J277,$I277),daily_dates,0),MATCH($B$3,daily_items,0))),NA(),INDEX(big_daily_table,MATCH(DATE(S$5,$J277,$I277),daily_dates,0),MATCH($B$3,daily_items,0)))</f>
        <v>#N/A</v>
      </c>
      <c r="T277" s="1" t="str">
        <f t="array" ref="T277">IF(ISBLANK(INDEX(big_daily_table,MATCH(DATE(T$5,$J277,$I277),daily_dates,0),MATCH($B$3,daily_items,0))),NA(),INDEX(big_daily_table,MATCH(DATE(T$5,$J277,$I277),daily_dates,0),MATCH($B$3,daily_items,0)))</f>
        <v>#N/A</v>
      </c>
      <c r="U277" s="1" t="str">
        <f t="array" ref="U277">IF(ISBLANK(INDEX(big_daily_table,MATCH(DATE(U$5,$J277,$I277),daily_dates,0),MATCH($B$3,daily_items,0))),NA(),INDEX(big_daily_table,MATCH(DATE(U$5,$J277,$I277),daily_dates,0),MATCH($B$3,daily_items,0)))</f>
        <v>#N/A</v>
      </c>
      <c r="V277" s="1" t="str">
        <f t="array" ref="V277">IF(ISBLANK(INDEX(big_daily_table,MATCH(DATE(V$5,$J277,$I277),daily_dates,0),MATCH($B$3,daily_items,0))),NA(),INDEX(big_daily_table,MATCH(DATE(V$5,$J277,$I277),daily_dates,0),MATCH($B$3,daily_items,0)))</f>
        <v>#N/A</v>
      </c>
      <c r="W277" s="1" t="str">
        <f t="array" ref="W277">IF(ISBLANK(INDEX(big_daily_table,MATCH(DATE(W$5,$J277,$I277),daily_dates,0),MATCH($B$3,daily_items,0))),NA(),INDEX(big_daily_table,MATCH(DATE(W$5,$J277,$I277),daily_dates,0),MATCH($B$3,daily_items,0)))</f>
        <v>#N/A</v>
      </c>
      <c r="X277" s="1" t="str">
        <f t="array" ref="X277">IF(ISBLANK(INDEX(big_daily_table,MATCH(DATE(X$5,$J277,$I277),daily_dates,0),MATCH($B$3,daily_items,0))),NA(),INDEX(big_daily_table,MATCH(DATE(X$5,$J277,$I277),daily_dates,0),MATCH($B$3,daily_items,0)))</f>
        <v>#N/A</v>
      </c>
      <c r="Y277" s="1" t="str">
        <f t="array" ref="Y277">IF(ISBLANK(INDEX(big_daily_table,MATCH(DATE(Y$5,$J277,$I277),daily_dates,0),MATCH($B$3,daily_items,0))),NA(),INDEX(big_daily_table,MATCH(DATE(Y$5,$J277,$I277),daily_dates,0),MATCH($B$3,daily_items,0)))</f>
        <v>#N/A</v>
      </c>
      <c r="Z277" s="1" t="str">
        <f t="shared" si="5"/>
        <v>#NAME?</v>
      </c>
      <c r="AA277" s="1" t="str">
        <f t="shared" si="6"/>
        <v>#NAME?</v>
      </c>
      <c r="AB277" s="1" t="str">
        <f t="shared" si="7"/>
        <v>#NAME?</v>
      </c>
      <c r="AC277" s="1" t="str">
        <f t="shared" si="8"/>
        <v>#NAME?</v>
      </c>
    </row>
    <row r="278" ht="14.25" customHeight="1">
      <c r="H278" s="1">
        <f t="shared" si="9"/>
        <v>273</v>
      </c>
      <c r="I278" s="1">
        <f t="shared" si="2"/>
        <v>29</v>
      </c>
      <c r="J278" s="1">
        <f t="shared" si="3"/>
        <v>9</v>
      </c>
      <c r="K278" s="23">
        <f t="shared" si="10"/>
        <v>36798</v>
      </c>
      <c r="L278" s="24">
        <f t="shared" si="4"/>
        <v>1000000</v>
      </c>
      <c r="M278" s="1" t="str">
        <f t="array" ref="M278">IF(K278&gt;0,INDEX(big_daily_table,MATCH(DATE(N$5,$J278,$I278),daily_dates,0),MATCH($B$3,daily_items,0)),NA())</f>
        <v>#N/A</v>
      </c>
      <c r="N278" s="1" t="str">
        <f t="array" ref="N278">IF(L278&lt;0,INDEX(big_daily_table,MATCH(DATE(N$5,$J278,$I278),daily_dates,0),MATCH($B$3,daily_items,0)),NA())</f>
        <v>#N/A</v>
      </c>
      <c r="O278" s="1" t="str">
        <f t="array" ref="O278">IF(ISBLANK(INDEX(big_daily_table,MATCH(DATE(O$5,$J278,$I278),daily_dates,0),MATCH($B$3,daily_items,0))),NA(),INDEX(big_daily_table,MATCH(DATE(O$5,$J278,$I278),daily_dates,0),MATCH($B$3,daily_items,0)))</f>
        <v>#N/A</v>
      </c>
      <c r="P278" s="1" t="str">
        <f t="array" ref="P278">IF(ISBLANK(INDEX(big_daily_table,MATCH(DATE(P$5,$J278,$I278),daily_dates,0),MATCH($B$3,daily_items,0))),NA(),INDEX(big_daily_table,MATCH(DATE(P$5,$J278,$I278),daily_dates,0),MATCH($B$3,daily_items,0)))</f>
        <v>#N/A</v>
      </c>
      <c r="Q278" s="1" t="str">
        <f t="array" ref="Q278">IF(ISBLANK(INDEX(big_daily_table,MATCH(DATE(Q$5,$J278,$I278),daily_dates,0),MATCH($B$3,daily_items,0))),NA(),INDEX(big_daily_table,MATCH(DATE(Q$5,$J278,$I278),daily_dates,0),MATCH($B$3,daily_items,0)))</f>
        <v>#N/A</v>
      </c>
      <c r="R278" s="1" t="str">
        <f t="array" ref="R278">IF(ISBLANK(INDEX(big_daily_table,MATCH(DATE(R$5,$J278,$I278),daily_dates,0),MATCH($B$3,daily_items,0))),NA(),INDEX(big_daily_table,MATCH(DATE(R$5,$J278,$I278),daily_dates,0),MATCH($B$3,daily_items,0)))</f>
        <v>#N/A</v>
      </c>
      <c r="S278" s="1" t="str">
        <f t="array" ref="S278">IF(ISBLANK(INDEX(big_daily_table,MATCH(DATE(S$5,$J278,$I278),daily_dates,0),MATCH($B$3,daily_items,0))),NA(),INDEX(big_daily_table,MATCH(DATE(S$5,$J278,$I278),daily_dates,0),MATCH($B$3,daily_items,0)))</f>
        <v>#N/A</v>
      </c>
      <c r="T278" s="1" t="str">
        <f t="array" ref="T278">IF(ISBLANK(INDEX(big_daily_table,MATCH(DATE(T$5,$J278,$I278),daily_dates,0),MATCH($B$3,daily_items,0))),NA(),INDEX(big_daily_table,MATCH(DATE(T$5,$J278,$I278),daily_dates,0),MATCH($B$3,daily_items,0)))</f>
        <v>#N/A</v>
      </c>
      <c r="U278" s="1" t="str">
        <f t="array" ref="U278">IF(ISBLANK(INDEX(big_daily_table,MATCH(DATE(U$5,$J278,$I278),daily_dates,0),MATCH($B$3,daily_items,0))),NA(),INDEX(big_daily_table,MATCH(DATE(U$5,$J278,$I278),daily_dates,0),MATCH($B$3,daily_items,0)))</f>
        <v>#N/A</v>
      </c>
      <c r="V278" s="1" t="str">
        <f t="array" ref="V278">IF(ISBLANK(INDEX(big_daily_table,MATCH(DATE(V$5,$J278,$I278),daily_dates,0),MATCH($B$3,daily_items,0))),NA(),INDEX(big_daily_table,MATCH(DATE(V$5,$J278,$I278),daily_dates,0),MATCH($B$3,daily_items,0)))</f>
        <v>#N/A</v>
      </c>
      <c r="W278" s="1" t="str">
        <f t="array" ref="W278">IF(ISBLANK(INDEX(big_daily_table,MATCH(DATE(W$5,$J278,$I278),daily_dates,0),MATCH($B$3,daily_items,0))),NA(),INDEX(big_daily_table,MATCH(DATE(W$5,$J278,$I278),daily_dates,0),MATCH($B$3,daily_items,0)))</f>
        <v>#N/A</v>
      </c>
      <c r="X278" s="1" t="str">
        <f t="array" ref="X278">IF(ISBLANK(INDEX(big_daily_table,MATCH(DATE(X$5,$J278,$I278),daily_dates,0),MATCH($B$3,daily_items,0))),NA(),INDEX(big_daily_table,MATCH(DATE(X$5,$J278,$I278),daily_dates,0),MATCH($B$3,daily_items,0)))</f>
        <v>#N/A</v>
      </c>
      <c r="Y278" s="1" t="str">
        <f t="array" ref="Y278">IF(ISBLANK(INDEX(big_daily_table,MATCH(DATE(Y$5,$J278,$I278),daily_dates,0),MATCH($B$3,daily_items,0))),NA(),INDEX(big_daily_table,MATCH(DATE(Y$5,$J278,$I278),daily_dates,0),MATCH($B$3,daily_items,0)))</f>
        <v>#N/A</v>
      </c>
      <c r="Z278" s="1" t="str">
        <f t="shared" si="5"/>
        <v>#NAME?</v>
      </c>
      <c r="AA278" s="1" t="str">
        <f t="shared" si="6"/>
        <v>#NAME?</v>
      </c>
      <c r="AB278" s="1" t="str">
        <f t="shared" si="7"/>
        <v>#NAME?</v>
      </c>
      <c r="AC278" s="1" t="str">
        <f t="shared" si="8"/>
        <v>#NAME?</v>
      </c>
    </row>
    <row r="279" ht="14.25" customHeight="1">
      <c r="H279" s="1">
        <f t="shared" si="9"/>
        <v>274</v>
      </c>
      <c r="I279" s="1">
        <f t="shared" si="2"/>
        <v>30</v>
      </c>
      <c r="J279" s="1">
        <f t="shared" si="3"/>
        <v>9</v>
      </c>
      <c r="K279" s="23">
        <f t="shared" si="10"/>
        <v>36799</v>
      </c>
      <c r="L279" s="24">
        <f t="shared" si="4"/>
        <v>1000000</v>
      </c>
      <c r="M279" s="1" t="str">
        <f t="array" ref="M279">IF(K279&gt;0,INDEX(big_daily_table,MATCH(DATE(N$5,$J279,$I279),daily_dates,0),MATCH($B$3,daily_items,0)),NA())</f>
        <v>#N/A</v>
      </c>
      <c r="N279" s="1" t="str">
        <f t="array" ref="N279">IF(L279&lt;0,INDEX(big_daily_table,MATCH(DATE(N$5,$J279,$I279),daily_dates,0),MATCH($B$3,daily_items,0)),NA())</f>
        <v>#N/A</v>
      </c>
      <c r="O279" s="1" t="str">
        <f t="array" ref="O279">IF(ISBLANK(INDEX(big_daily_table,MATCH(DATE(O$5,$J279,$I279),daily_dates,0),MATCH($B$3,daily_items,0))),NA(),INDEX(big_daily_table,MATCH(DATE(O$5,$J279,$I279),daily_dates,0),MATCH($B$3,daily_items,0)))</f>
        <v>#N/A</v>
      </c>
      <c r="P279" s="1" t="str">
        <f t="array" ref="P279">IF(ISBLANK(INDEX(big_daily_table,MATCH(DATE(P$5,$J279,$I279),daily_dates,0),MATCH($B$3,daily_items,0))),NA(),INDEX(big_daily_table,MATCH(DATE(P$5,$J279,$I279),daily_dates,0),MATCH($B$3,daily_items,0)))</f>
        <v>#N/A</v>
      </c>
      <c r="Q279" s="1" t="str">
        <f t="array" ref="Q279">IF(ISBLANK(INDEX(big_daily_table,MATCH(DATE(Q$5,$J279,$I279),daily_dates,0),MATCH($B$3,daily_items,0))),NA(),INDEX(big_daily_table,MATCH(DATE(Q$5,$J279,$I279),daily_dates,0),MATCH($B$3,daily_items,0)))</f>
        <v>#N/A</v>
      </c>
      <c r="R279" s="1" t="str">
        <f t="array" ref="R279">IF(ISBLANK(INDEX(big_daily_table,MATCH(DATE(R$5,$J279,$I279),daily_dates,0),MATCH($B$3,daily_items,0))),NA(),INDEX(big_daily_table,MATCH(DATE(R$5,$J279,$I279),daily_dates,0),MATCH($B$3,daily_items,0)))</f>
        <v>#N/A</v>
      </c>
      <c r="S279" s="1" t="str">
        <f t="array" ref="S279">IF(ISBLANK(INDEX(big_daily_table,MATCH(DATE(S$5,$J279,$I279),daily_dates,0),MATCH($B$3,daily_items,0))),NA(),INDEX(big_daily_table,MATCH(DATE(S$5,$J279,$I279),daily_dates,0),MATCH($B$3,daily_items,0)))</f>
        <v>#N/A</v>
      </c>
      <c r="T279" s="1" t="str">
        <f t="array" ref="T279">IF(ISBLANK(INDEX(big_daily_table,MATCH(DATE(T$5,$J279,$I279),daily_dates,0),MATCH($B$3,daily_items,0))),NA(),INDEX(big_daily_table,MATCH(DATE(T$5,$J279,$I279),daily_dates,0),MATCH($B$3,daily_items,0)))</f>
        <v>#N/A</v>
      </c>
      <c r="U279" s="1" t="str">
        <f t="array" ref="U279">IF(ISBLANK(INDEX(big_daily_table,MATCH(DATE(U$5,$J279,$I279),daily_dates,0),MATCH($B$3,daily_items,0))),NA(),INDEX(big_daily_table,MATCH(DATE(U$5,$J279,$I279),daily_dates,0),MATCH($B$3,daily_items,0)))</f>
        <v>#N/A</v>
      </c>
      <c r="V279" s="1" t="str">
        <f t="array" ref="V279">IF(ISBLANK(INDEX(big_daily_table,MATCH(DATE(V$5,$J279,$I279),daily_dates,0),MATCH($B$3,daily_items,0))),NA(),INDEX(big_daily_table,MATCH(DATE(V$5,$J279,$I279),daily_dates,0),MATCH($B$3,daily_items,0)))</f>
        <v>#N/A</v>
      </c>
      <c r="W279" s="1" t="str">
        <f t="array" ref="W279">IF(ISBLANK(INDEX(big_daily_table,MATCH(DATE(W$5,$J279,$I279),daily_dates,0),MATCH($B$3,daily_items,0))),NA(),INDEX(big_daily_table,MATCH(DATE(W$5,$J279,$I279),daily_dates,0),MATCH($B$3,daily_items,0)))</f>
        <v>#N/A</v>
      </c>
      <c r="X279" s="1" t="str">
        <f t="array" ref="X279">IF(ISBLANK(INDEX(big_daily_table,MATCH(DATE(X$5,$J279,$I279),daily_dates,0),MATCH($B$3,daily_items,0))),NA(),INDEX(big_daily_table,MATCH(DATE(X$5,$J279,$I279),daily_dates,0),MATCH($B$3,daily_items,0)))</f>
        <v>#N/A</v>
      </c>
      <c r="Y279" s="1" t="str">
        <f t="array" ref="Y279">IF(ISBLANK(INDEX(big_daily_table,MATCH(DATE(Y$5,$J279,$I279),daily_dates,0),MATCH($B$3,daily_items,0))),NA(),INDEX(big_daily_table,MATCH(DATE(Y$5,$J279,$I279),daily_dates,0),MATCH($B$3,daily_items,0)))</f>
        <v>#N/A</v>
      </c>
      <c r="Z279" s="1" t="str">
        <f t="shared" si="5"/>
        <v>#NAME?</v>
      </c>
      <c r="AA279" s="1" t="str">
        <f t="shared" si="6"/>
        <v>#NAME?</v>
      </c>
      <c r="AB279" s="1" t="str">
        <f t="shared" si="7"/>
        <v>#NAME?</v>
      </c>
      <c r="AC279" s="1" t="str">
        <f t="shared" si="8"/>
        <v>#NAME?</v>
      </c>
    </row>
    <row r="280" ht="14.25" customHeight="1">
      <c r="H280" s="1">
        <f t="shared" si="9"/>
        <v>275</v>
      </c>
      <c r="I280" s="1">
        <f t="shared" si="2"/>
        <v>1</v>
      </c>
      <c r="J280" s="1">
        <f t="shared" si="3"/>
        <v>10</v>
      </c>
      <c r="K280" s="23">
        <f t="shared" si="10"/>
        <v>36800</v>
      </c>
      <c r="L280" s="24">
        <f t="shared" si="4"/>
        <v>1000000</v>
      </c>
      <c r="M280" s="1" t="str">
        <f t="array" ref="M280">IF(K280&gt;0,INDEX(big_daily_table,MATCH(DATE(N$5,$J280,$I280),daily_dates,0),MATCH($B$3,daily_items,0)),NA())</f>
        <v>#N/A</v>
      </c>
      <c r="N280" s="1" t="str">
        <f t="array" ref="N280">IF(L280&lt;0,INDEX(big_daily_table,MATCH(DATE(N$5,$J280,$I280),daily_dates,0),MATCH($B$3,daily_items,0)),NA())</f>
        <v>#N/A</v>
      </c>
      <c r="O280" s="1" t="str">
        <f t="array" ref="O280">IF(ISBLANK(INDEX(big_daily_table,MATCH(DATE(O$5,$J280,$I280),daily_dates,0),MATCH($B$3,daily_items,0))),NA(),INDEX(big_daily_table,MATCH(DATE(O$5,$J280,$I280),daily_dates,0),MATCH($B$3,daily_items,0)))</f>
        <v>#N/A</v>
      </c>
      <c r="P280" s="1" t="str">
        <f t="array" ref="P280">IF(ISBLANK(INDEX(big_daily_table,MATCH(DATE(P$5,$J280,$I280),daily_dates,0),MATCH($B$3,daily_items,0))),NA(),INDEX(big_daily_table,MATCH(DATE(P$5,$J280,$I280),daily_dates,0),MATCH($B$3,daily_items,0)))</f>
        <v>#N/A</v>
      </c>
      <c r="Q280" s="1" t="str">
        <f t="array" ref="Q280">IF(ISBLANK(INDEX(big_daily_table,MATCH(DATE(Q$5,$J280,$I280),daily_dates,0),MATCH($B$3,daily_items,0))),NA(),INDEX(big_daily_table,MATCH(DATE(Q$5,$J280,$I280),daily_dates,0),MATCH($B$3,daily_items,0)))</f>
        <v>#N/A</v>
      </c>
      <c r="R280" s="1" t="str">
        <f t="array" ref="R280">IF(ISBLANK(INDEX(big_daily_table,MATCH(DATE(R$5,$J280,$I280),daily_dates,0),MATCH($B$3,daily_items,0))),NA(),INDEX(big_daily_table,MATCH(DATE(R$5,$J280,$I280),daily_dates,0),MATCH($B$3,daily_items,0)))</f>
        <v>#N/A</v>
      </c>
      <c r="S280" s="1" t="str">
        <f t="array" ref="S280">IF(ISBLANK(INDEX(big_daily_table,MATCH(DATE(S$5,$J280,$I280),daily_dates,0),MATCH($B$3,daily_items,0))),NA(),INDEX(big_daily_table,MATCH(DATE(S$5,$J280,$I280),daily_dates,0),MATCH($B$3,daily_items,0)))</f>
        <v>#N/A</v>
      </c>
      <c r="T280" s="1" t="str">
        <f t="array" ref="T280">IF(ISBLANK(INDEX(big_daily_table,MATCH(DATE(T$5,$J280,$I280),daily_dates,0),MATCH($B$3,daily_items,0))),NA(),INDEX(big_daily_table,MATCH(DATE(T$5,$J280,$I280),daily_dates,0),MATCH($B$3,daily_items,0)))</f>
        <v>#N/A</v>
      </c>
      <c r="U280" s="1" t="str">
        <f t="array" ref="U280">IF(ISBLANK(INDEX(big_daily_table,MATCH(DATE(U$5,$J280,$I280),daily_dates,0),MATCH($B$3,daily_items,0))),NA(),INDEX(big_daily_table,MATCH(DATE(U$5,$J280,$I280),daily_dates,0),MATCH($B$3,daily_items,0)))</f>
        <v>#N/A</v>
      </c>
      <c r="V280" s="1" t="str">
        <f t="array" ref="V280">IF(ISBLANK(INDEX(big_daily_table,MATCH(DATE(V$5,$J280,$I280),daily_dates,0),MATCH($B$3,daily_items,0))),NA(),INDEX(big_daily_table,MATCH(DATE(V$5,$J280,$I280),daily_dates,0),MATCH($B$3,daily_items,0)))</f>
        <v>#N/A</v>
      </c>
      <c r="W280" s="1" t="str">
        <f t="array" ref="W280">IF(ISBLANK(INDEX(big_daily_table,MATCH(DATE(W$5,$J280,$I280),daily_dates,0),MATCH($B$3,daily_items,0))),NA(),INDEX(big_daily_table,MATCH(DATE(W$5,$J280,$I280),daily_dates,0),MATCH($B$3,daily_items,0)))</f>
        <v>#N/A</v>
      </c>
      <c r="X280" s="1" t="str">
        <f t="array" ref="X280">IF(ISBLANK(INDEX(big_daily_table,MATCH(DATE(X$5,$J280,$I280),daily_dates,0),MATCH($B$3,daily_items,0))),NA(),INDEX(big_daily_table,MATCH(DATE(X$5,$J280,$I280),daily_dates,0),MATCH($B$3,daily_items,0)))</f>
        <v>#N/A</v>
      </c>
      <c r="Y280" s="1" t="str">
        <f t="array" ref="Y280">IF(ISBLANK(INDEX(big_daily_table,MATCH(DATE(Y$5,$J280,$I280),daily_dates,0),MATCH($B$3,daily_items,0))),NA(),INDEX(big_daily_table,MATCH(DATE(Y$5,$J280,$I280),daily_dates,0),MATCH($B$3,daily_items,0)))</f>
        <v>#N/A</v>
      </c>
      <c r="Z280" s="1" t="str">
        <f t="shared" si="5"/>
        <v>#NAME?</v>
      </c>
      <c r="AA280" s="1" t="str">
        <f t="shared" si="6"/>
        <v>#NAME?</v>
      </c>
      <c r="AB280" s="1" t="str">
        <f t="shared" si="7"/>
        <v>#NAME?</v>
      </c>
      <c r="AC280" s="1" t="str">
        <f t="shared" si="8"/>
        <v>#NAME?</v>
      </c>
    </row>
    <row r="281" ht="14.25" customHeight="1">
      <c r="H281" s="1">
        <f t="shared" si="9"/>
        <v>276</v>
      </c>
      <c r="I281" s="1">
        <f t="shared" si="2"/>
        <v>2</v>
      </c>
      <c r="J281" s="1">
        <f t="shared" si="3"/>
        <v>10</v>
      </c>
      <c r="K281" s="23">
        <f t="shared" si="10"/>
        <v>36801</v>
      </c>
      <c r="L281" s="24">
        <f t="shared" si="4"/>
        <v>1000000</v>
      </c>
      <c r="M281" s="1" t="str">
        <f t="array" ref="M281">IF(K281&gt;0,INDEX(big_daily_table,MATCH(DATE(N$5,$J281,$I281),daily_dates,0),MATCH($B$3,daily_items,0)),NA())</f>
        <v>#N/A</v>
      </c>
      <c r="N281" s="1" t="str">
        <f t="array" ref="N281">IF(L281&lt;0,INDEX(big_daily_table,MATCH(DATE(N$5,$J281,$I281),daily_dates,0),MATCH($B$3,daily_items,0)),NA())</f>
        <v>#N/A</v>
      </c>
      <c r="O281" s="1" t="str">
        <f t="array" ref="O281">IF(ISBLANK(INDEX(big_daily_table,MATCH(DATE(O$5,$J281,$I281),daily_dates,0),MATCH($B$3,daily_items,0))),NA(),INDEX(big_daily_table,MATCH(DATE(O$5,$J281,$I281),daily_dates,0),MATCH($B$3,daily_items,0)))</f>
        <v>#N/A</v>
      </c>
      <c r="P281" s="1" t="str">
        <f t="array" ref="P281">IF(ISBLANK(INDEX(big_daily_table,MATCH(DATE(P$5,$J281,$I281),daily_dates,0),MATCH($B$3,daily_items,0))),NA(),INDEX(big_daily_table,MATCH(DATE(P$5,$J281,$I281),daily_dates,0),MATCH($B$3,daily_items,0)))</f>
        <v>#N/A</v>
      </c>
      <c r="Q281" s="1" t="str">
        <f t="array" ref="Q281">IF(ISBLANK(INDEX(big_daily_table,MATCH(DATE(Q$5,$J281,$I281),daily_dates,0),MATCH($B$3,daily_items,0))),NA(),INDEX(big_daily_table,MATCH(DATE(Q$5,$J281,$I281),daily_dates,0),MATCH($B$3,daily_items,0)))</f>
        <v>#N/A</v>
      </c>
      <c r="R281" s="1" t="str">
        <f t="array" ref="R281">IF(ISBLANK(INDEX(big_daily_table,MATCH(DATE(R$5,$J281,$I281),daily_dates,0),MATCH($B$3,daily_items,0))),NA(),INDEX(big_daily_table,MATCH(DATE(R$5,$J281,$I281),daily_dates,0),MATCH($B$3,daily_items,0)))</f>
        <v>#N/A</v>
      </c>
      <c r="S281" s="1" t="str">
        <f t="array" ref="S281">IF(ISBLANK(INDEX(big_daily_table,MATCH(DATE(S$5,$J281,$I281),daily_dates,0),MATCH($B$3,daily_items,0))),NA(),INDEX(big_daily_table,MATCH(DATE(S$5,$J281,$I281),daily_dates,0),MATCH($B$3,daily_items,0)))</f>
        <v>#N/A</v>
      </c>
      <c r="T281" s="1" t="str">
        <f t="array" ref="T281">IF(ISBLANK(INDEX(big_daily_table,MATCH(DATE(T$5,$J281,$I281),daily_dates,0),MATCH($B$3,daily_items,0))),NA(),INDEX(big_daily_table,MATCH(DATE(T$5,$J281,$I281),daily_dates,0),MATCH($B$3,daily_items,0)))</f>
        <v>#N/A</v>
      </c>
      <c r="U281" s="1" t="str">
        <f t="array" ref="U281">IF(ISBLANK(INDEX(big_daily_table,MATCH(DATE(U$5,$J281,$I281),daily_dates,0),MATCH($B$3,daily_items,0))),NA(),INDEX(big_daily_table,MATCH(DATE(U$5,$J281,$I281),daily_dates,0),MATCH($B$3,daily_items,0)))</f>
        <v>#N/A</v>
      </c>
      <c r="V281" s="1" t="str">
        <f t="array" ref="V281">IF(ISBLANK(INDEX(big_daily_table,MATCH(DATE(V$5,$J281,$I281),daily_dates,0),MATCH($B$3,daily_items,0))),NA(),INDEX(big_daily_table,MATCH(DATE(V$5,$J281,$I281),daily_dates,0),MATCH($B$3,daily_items,0)))</f>
        <v>#N/A</v>
      </c>
      <c r="W281" s="1" t="str">
        <f t="array" ref="W281">IF(ISBLANK(INDEX(big_daily_table,MATCH(DATE(W$5,$J281,$I281),daily_dates,0),MATCH($B$3,daily_items,0))),NA(),INDEX(big_daily_table,MATCH(DATE(W$5,$J281,$I281),daily_dates,0),MATCH($B$3,daily_items,0)))</f>
        <v>#N/A</v>
      </c>
      <c r="X281" s="1" t="str">
        <f t="array" ref="X281">IF(ISBLANK(INDEX(big_daily_table,MATCH(DATE(X$5,$J281,$I281),daily_dates,0),MATCH($B$3,daily_items,0))),NA(),INDEX(big_daily_table,MATCH(DATE(X$5,$J281,$I281),daily_dates,0),MATCH($B$3,daily_items,0)))</f>
        <v>#N/A</v>
      </c>
      <c r="Y281" s="1" t="str">
        <f t="array" ref="Y281">IF(ISBLANK(INDEX(big_daily_table,MATCH(DATE(Y$5,$J281,$I281),daily_dates,0),MATCH($B$3,daily_items,0))),NA(),INDEX(big_daily_table,MATCH(DATE(Y$5,$J281,$I281),daily_dates,0),MATCH($B$3,daily_items,0)))</f>
        <v>#N/A</v>
      </c>
      <c r="Z281" s="1" t="str">
        <f t="shared" si="5"/>
        <v>#NAME?</v>
      </c>
      <c r="AA281" s="1" t="str">
        <f t="shared" si="6"/>
        <v>#NAME?</v>
      </c>
      <c r="AB281" s="1" t="str">
        <f t="shared" si="7"/>
        <v>#NAME?</v>
      </c>
      <c r="AC281" s="1" t="str">
        <f t="shared" si="8"/>
        <v>#NAME?</v>
      </c>
    </row>
    <row r="282" ht="14.25" customHeight="1">
      <c r="H282" s="1">
        <f t="shared" si="9"/>
        <v>277</v>
      </c>
      <c r="I282" s="1">
        <f t="shared" si="2"/>
        <v>3</v>
      </c>
      <c r="J282" s="1">
        <f t="shared" si="3"/>
        <v>10</v>
      </c>
      <c r="K282" s="23">
        <f t="shared" si="10"/>
        <v>36802</v>
      </c>
      <c r="L282" s="24">
        <f t="shared" si="4"/>
        <v>1000000</v>
      </c>
      <c r="M282" s="1" t="str">
        <f t="array" ref="M282">IF(K282&gt;0,INDEX(big_daily_table,MATCH(DATE(N$5,$J282,$I282),daily_dates,0),MATCH($B$3,daily_items,0)),NA())</f>
        <v>#N/A</v>
      </c>
      <c r="N282" s="1" t="str">
        <f t="array" ref="N282">IF(L282&lt;0,INDEX(big_daily_table,MATCH(DATE(N$5,$J282,$I282),daily_dates,0),MATCH($B$3,daily_items,0)),NA())</f>
        <v>#N/A</v>
      </c>
      <c r="O282" s="1" t="str">
        <f t="array" ref="O282">IF(ISBLANK(INDEX(big_daily_table,MATCH(DATE(O$5,$J282,$I282),daily_dates,0),MATCH($B$3,daily_items,0))),NA(),INDEX(big_daily_table,MATCH(DATE(O$5,$J282,$I282),daily_dates,0),MATCH($B$3,daily_items,0)))</f>
        <v>#N/A</v>
      </c>
      <c r="P282" s="1" t="str">
        <f t="array" ref="P282">IF(ISBLANK(INDEX(big_daily_table,MATCH(DATE(P$5,$J282,$I282),daily_dates,0),MATCH($B$3,daily_items,0))),NA(),INDEX(big_daily_table,MATCH(DATE(P$5,$J282,$I282),daily_dates,0),MATCH($B$3,daily_items,0)))</f>
        <v>#N/A</v>
      </c>
      <c r="Q282" s="1" t="str">
        <f t="array" ref="Q282">IF(ISBLANK(INDEX(big_daily_table,MATCH(DATE(Q$5,$J282,$I282),daily_dates,0),MATCH($B$3,daily_items,0))),NA(),INDEX(big_daily_table,MATCH(DATE(Q$5,$J282,$I282),daily_dates,0),MATCH($B$3,daily_items,0)))</f>
        <v>#N/A</v>
      </c>
      <c r="R282" s="1" t="str">
        <f t="array" ref="R282">IF(ISBLANK(INDEX(big_daily_table,MATCH(DATE(R$5,$J282,$I282),daily_dates,0),MATCH($B$3,daily_items,0))),NA(),INDEX(big_daily_table,MATCH(DATE(R$5,$J282,$I282),daily_dates,0),MATCH($B$3,daily_items,0)))</f>
        <v>#N/A</v>
      </c>
      <c r="S282" s="1" t="str">
        <f t="array" ref="S282">IF(ISBLANK(INDEX(big_daily_table,MATCH(DATE(S$5,$J282,$I282),daily_dates,0),MATCH($B$3,daily_items,0))),NA(),INDEX(big_daily_table,MATCH(DATE(S$5,$J282,$I282),daily_dates,0),MATCH($B$3,daily_items,0)))</f>
        <v>#N/A</v>
      </c>
      <c r="T282" s="1" t="str">
        <f t="array" ref="T282">IF(ISBLANK(INDEX(big_daily_table,MATCH(DATE(T$5,$J282,$I282),daily_dates,0),MATCH($B$3,daily_items,0))),NA(),INDEX(big_daily_table,MATCH(DATE(T$5,$J282,$I282),daily_dates,0),MATCH($B$3,daily_items,0)))</f>
        <v>#N/A</v>
      </c>
      <c r="U282" s="1" t="str">
        <f t="array" ref="U282">IF(ISBLANK(INDEX(big_daily_table,MATCH(DATE(U$5,$J282,$I282),daily_dates,0),MATCH($B$3,daily_items,0))),NA(),INDEX(big_daily_table,MATCH(DATE(U$5,$J282,$I282),daily_dates,0),MATCH($B$3,daily_items,0)))</f>
        <v>#N/A</v>
      </c>
      <c r="V282" s="1" t="str">
        <f t="array" ref="V282">IF(ISBLANK(INDEX(big_daily_table,MATCH(DATE(V$5,$J282,$I282),daily_dates,0),MATCH($B$3,daily_items,0))),NA(),INDEX(big_daily_table,MATCH(DATE(V$5,$J282,$I282),daily_dates,0),MATCH($B$3,daily_items,0)))</f>
        <v>#N/A</v>
      </c>
      <c r="W282" s="1" t="str">
        <f t="array" ref="W282">IF(ISBLANK(INDEX(big_daily_table,MATCH(DATE(W$5,$J282,$I282),daily_dates,0),MATCH($B$3,daily_items,0))),NA(),INDEX(big_daily_table,MATCH(DATE(W$5,$J282,$I282),daily_dates,0),MATCH($B$3,daily_items,0)))</f>
        <v>#N/A</v>
      </c>
      <c r="X282" s="1" t="str">
        <f t="array" ref="X282">IF(ISBLANK(INDEX(big_daily_table,MATCH(DATE(X$5,$J282,$I282),daily_dates,0),MATCH($B$3,daily_items,0))),NA(),INDEX(big_daily_table,MATCH(DATE(X$5,$J282,$I282),daily_dates,0),MATCH($B$3,daily_items,0)))</f>
        <v>#N/A</v>
      </c>
      <c r="Y282" s="1" t="str">
        <f t="array" ref="Y282">IF(ISBLANK(INDEX(big_daily_table,MATCH(DATE(Y$5,$J282,$I282),daily_dates,0),MATCH($B$3,daily_items,0))),NA(),INDEX(big_daily_table,MATCH(DATE(Y$5,$J282,$I282),daily_dates,0),MATCH($B$3,daily_items,0)))</f>
        <v>#N/A</v>
      </c>
      <c r="Z282" s="1" t="str">
        <f t="shared" si="5"/>
        <v>#NAME?</v>
      </c>
      <c r="AA282" s="1" t="str">
        <f t="shared" si="6"/>
        <v>#NAME?</v>
      </c>
      <c r="AB282" s="1" t="str">
        <f t="shared" si="7"/>
        <v>#NAME?</v>
      </c>
      <c r="AC282" s="1" t="str">
        <f t="shared" si="8"/>
        <v>#NAME?</v>
      </c>
    </row>
    <row r="283" ht="14.25" customHeight="1">
      <c r="H283" s="1">
        <f t="shared" si="9"/>
        <v>278</v>
      </c>
      <c r="I283" s="1">
        <f t="shared" si="2"/>
        <v>4</v>
      </c>
      <c r="J283" s="1">
        <f t="shared" si="3"/>
        <v>10</v>
      </c>
      <c r="K283" s="23">
        <f t="shared" si="10"/>
        <v>36803</v>
      </c>
      <c r="L283" s="24">
        <f t="shared" si="4"/>
        <v>1000000</v>
      </c>
      <c r="M283" s="1" t="str">
        <f t="array" ref="M283">IF(K283&gt;0,INDEX(big_daily_table,MATCH(DATE(N$5,$J283,$I283),daily_dates,0),MATCH($B$3,daily_items,0)),NA())</f>
        <v>#N/A</v>
      </c>
      <c r="N283" s="1" t="str">
        <f t="array" ref="N283">IF(L283&lt;0,INDEX(big_daily_table,MATCH(DATE(N$5,$J283,$I283),daily_dates,0),MATCH($B$3,daily_items,0)),NA())</f>
        <v>#N/A</v>
      </c>
      <c r="O283" s="1" t="str">
        <f t="array" ref="O283">IF(ISBLANK(INDEX(big_daily_table,MATCH(DATE(O$5,$J283,$I283),daily_dates,0),MATCH($B$3,daily_items,0))),NA(),INDEX(big_daily_table,MATCH(DATE(O$5,$J283,$I283),daily_dates,0),MATCH($B$3,daily_items,0)))</f>
        <v>#N/A</v>
      </c>
      <c r="P283" s="1" t="str">
        <f t="array" ref="P283">IF(ISBLANK(INDEX(big_daily_table,MATCH(DATE(P$5,$J283,$I283),daily_dates,0),MATCH($B$3,daily_items,0))),NA(),INDEX(big_daily_table,MATCH(DATE(P$5,$J283,$I283),daily_dates,0),MATCH($B$3,daily_items,0)))</f>
        <v>#N/A</v>
      </c>
      <c r="Q283" s="1" t="str">
        <f t="array" ref="Q283">IF(ISBLANK(INDEX(big_daily_table,MATCH(DATE(Q$5,$J283,$I283),daily_dates,0),MATCH($B$3,daily_items,0))),NA(),INDEX(big_daily_table,MATCH(DATE(Q$5,$J283,$I283),daily_dates,0),MATCH($B$3,daily_items,0)))</f>
        <v>#N/A</v>
      </c>
      <c r="R283" s="1" t="str">
        <f t="array" ref="R283">IF(ISBLANK(INDEX(big_daily_table,MATCH(DATE(R$5,$J283,$I283),daily_dates,0),MATCH($B$3,daily_items,0))),NA(),INDEX(big_daily_table,MATCH(DATE(R$5,$J283,$I283),daily_dates,0),MATCH($B$3,daily_items,0)))</f>
        <v>#N/A</v>
      </c>
      <c r="S283" s="1" t="str">
        <f t="array" ref="S283">IF(ISBLANK(INDEX(big_daily_table,MATCH(DATE(S$5,$J283,$I283),daily_dates,0),MATCH($B$3,daily_items,0))),NA(),INDEX(big_daily_table,MATCH(DATE(S$5,$J283,$I283),daily_dates,0),MATCH($B$3,daily_items,0)))</f>
        <v>#N/A</v>
      </c>
      <c r="T283" s="1" t="str">
        <f t="array" ref="T283">IF(ISBLANK(INDEX(big_daily_table,MATCH(DATE(T$5,$J283,$I283),daily_dates,0),MATCH($B$3,daily_items,0))),NA(),INDEX(big_daily_table,MATCH(DATE(T$5,$J283,$I283),daily_dates,0),MATCH($B$3,daily_items,0)))</f>
        <v>#N/A</v>
      </c>
      <c r="U283" s="1" t="str">
        <f t="array" ref="U283">IF(ISBLANK(INDEX(big_daily_table,MATCH(DATE(U$5,$J283,$I283),daily_dates,0),MATCH($B$3,daily_items,0))),NA(),INDEX(big_daily_table,MATCH(DATE(U$5,$J283,$I283),daily_dates,0),MATCH($B$3,daily_items,0)))</f>
        <v>#N/A</v>
      </c>
      <c r="V283" s="1" t="str">
        <f t="array" ref="V283">IF(ISBLANK(INDEX(big_daily_table,MATCH(DATE(V$5,$J283,$I283),daily_dates,0),MATCH($B$3,daily_items,0))),NA(),INDEX(big_daily_table,MATCH(DATE(V$5,$J283,$I283),daily_dates,0),MATCH($B$3,daily_items,0)))</f>
        <v>#N/A</v>
      </c>
      <c r="W283" s="1" t="str">
        <f t="array" ref="W283">IF(ISBLANK(INDEX(big_daily_table,MATCH(DATE(W$5,$J283,$I283),daily_dates,0),MATCH($B$3,daily_items,0))),NA(),INDEX(big_daily_table,MATCH(DATE(W$5,$J283,$I283),daily_dates,0),MATCH($B$3,daily_items,0)))</f>
        <v>#N/A</v>
      </c>
      <c r="X283" s="1" t="str">
        <f t="array" ref="X283">IF(ISBLANK(INDEX(big_daily_table,MATCH(DATE(X$5,$J283,$I283),daily_dates,0),MATCH($B$3,daily_items,0))),NA(),INDEX(big_daily_table,MATCH(DATE(X$5,$J283,$I283),daily_dates,0),MATCH($B$3,daily_items,0)))</f>
        <v>#N/A</v>
      </c>
      <c r="Y283" s="1" t="str">
        <f t="array" ref="Y283">IF(ISBLANK(INDEX(big_daily_table,MATCH(DATE(Y$5,$J283,$I283),daily_dates,0),MATCH($B$3,daily_items,0))),NA(),INDEX(big_daily_table,MATCH(DATE(Y$5,$J283,$I283),daily_dates,0),MATCH($B$3,daily_items,0)))</f>
        <v>#N/A</v>
      </c>
      <c r="Z283" s="1" t="str">
        <f t="shared" si="5"/>
        <v>#NAME?</v>
      </c>
      <c r="AA283" s="1" t="str">
        <f t="shared" si="6"/>
        <v>#NAME?</v>
      </c>
      <c r="AB283" s="1" t="str">
        <f t="shared" si="7"/>
        <v>#NAME?</v>
      </c>
      <c r="AC283" s="1" t="str">
        <f t="shared" si="8"/>
        <v>#NAME?</v>
      </c>
    </row>
    <row r="284" ht="14.25" customHeight="1">
      <c r="H284" s="1">
        <f t="shared" si="9"/>
        <v>279</v>
      </c>
      <c r="I284" s="1">
        <f t="shared" si="2"/>
        <v>5</v>
      </c>
      <c r="J284" s="1">
        <f t="shared" si="3"/>
        <v>10</v>
      </c>
      <c r="K284" s="23">
        <f t="shared" si="10"/>
        <v>36804</v>
      </c>
      <c r="L284" s="24">
        <f t="shared" si="4"/>
        <v>1000000</v>
      </c>
      <c r="M284" s="1" t="str">
        <f t="array" ref="M284">IF(K284&gt;0,INDEX(big_daily_table,MATCH(DATE(N$5,$J284,$I284),daily_dates,0),MATCH($B$3,daily_items,0)),NA())</f>
        <v>#N/A</v>
      </c>
      <c r="N284" s="1" t="str">
        <f t="array" ref="N284">IF(L284&lt;0,INDEX(big_daily_table,MATCH(DATE(N$5,$J284,$I284),daily_dates,0),MATCH($B$3,daily_items,0)),NA())</f>
        <v>#N/A</v>
      </c>
      <c r="O284" s="1" t="str">
        <f t="array" ref="O284">IF(ISBLANK(INDEX(big_daily_table,MATCH(DATE(O$5,$J284,$I284),daily_dates,0),MATCH($B$3,daily_items,0))),NA(),INDEX(big_daily_table,MATCH(DATE(O$5,$J284,$I284),daily_dates,0),MATCH($B$3,daily_items,0)))</f>
        <v>#N/A</v>
      </c>
      <c r="P284" s="1" t="str">
        <f t="array" ref="P284">IF(ISBLANK(INDEX(big_daily_table,MATCH(DATE(P$5,$J284,$I284),daily_dates,0),MATCH($B$3,daily_items,0))),NA(),INDEX(big_daily_table,MATCH(DATE(P$5,$J284,$I284),daily_dates,0),MATCH($B$3,daily_items,0)))</f>
        <v>#N/A</v>
      </c>
      <c r="Q284" s="1" t="str">
        <f t="array" ref="Q284">IF(ISBLANK(INDEX(big_daily_table,MATCH(DATE(Q$5,$J284,$I284),daily_dates,0),MATCH($B$3,daily_items,0))),NA(),INDEX(big_daily_table,MATCH(DATE(Q$5,$J284,$I284),daily_dates,0),MATCH($B$3,daily_items,0)))</f>
        <v>#N/A</v>
      </c>
      <c r="R284" s="1" t="str">
        <f t="array" ref="R284">IF(ISBLANK(INDEX(big_daily_table,MATCH(DATE(R$5,$J284,$I284),daily_dates,0),MATCH($B$3,daily_items,0))),NA(),INDEX(big_daily_table,MATCH(DATE(R$5,$J284,$I284),daily_dates,0),MATCH($B$3,daily_items,0)))</f>
        <v>#N/A</v>
      </c>
      <c r="S284" s="1" t="str">
        <f t="array" ref="S284">IF(ISBLANK(INDEX(big_daily_table,MATCH(DATE(S$5,$J284,$I284),daily_dates,0),MATCH($B$3,daily_items,0))),NA(),INDEX(big_daily_table,MATCH(DATE(S$5,$J284,$I284),daily_dates,0),MATCH($B$3,daily_items,0)))</f>
        <v>#N/A</v>
      </c>
      <c r="T284" s="1" t="str">
        <f t="array" ref="T284">IF(ISBLANK(INDEX(big_daily_table,MATCH(DATE(T$5,$J284,$I284),daily_dates,0),MATCH($B$3,daily_items,0))),NA(),INDEX(big_daily_table,MATCH(DATE(T$5,$J284,$I284),daily_dates,0),MATCH($B$3,daily_items,0)))</f>
        <v>#N/A</v>
      </c>
      <c r="U284" s="1" t="str">
        <f t="array" ref="U284">IF(ISBLANK(INDEX(big_daily_table,MATCH(DATE(U$5,$J284,$I284),daily_dates,0),MATCH($B$3,daily_items,0))),NA(),INDEX(big_daily_table,MATCH(DATE(U$5,$J284,$I284),daily_dates,0),MATCH($B$3,daily_items,0)))</f>
        <v>#N/A</v>
      </c>
      <c r="V284" s="1" t="str">
        <f t="array" ref="V284">IF(ISBLANK(INDEX(big_daily_table,MATCH(DATE(V$5,$J284,$I284),daily_dates,0),MATCH($B$3,daily_items,0))),NA(),INDEX(big_daily_table,MATCH(DATE(V$5,$J284,$I284),daily_dates,0),MATCH($B$3,daily_items,0)))</f>
        <v>#N/A</v>
      </c>
      <c r="W284" s="1" t="str">
        <f t="array" ref="W284">IF(ISBLANK(INDEX(big_daily_table,MATCH(DATE(W$5,$J284,$I284),daily_dates,0),MATCH($B$3,daily_items,0))),NA(),INDEX(big_daily_table,MATCH(DATE(W$5,$J284,$I284),daily_dates,0),MATCH($B$3,daily_items,0)))</f>
        <v>#N/A</v>
      </c>
      <c r="X284" s="1" t="str">
        <f t="array" ref="X284">IF(ISBLANK(INDEX(big_daily_table,MATCH(DATE(X$5,$J284,$I284),daily_dates,0),MATCH($B$3,daily_items,0))),NA(),INDEX(big_daily_table,MATCH(DATE(X$5,$J284,$I284),daily_dates,0),MATCH($B$3,daily_items,0)))</f>
        <v>#N/A</v>
      </c>
      <c r="Y284" s="1" t="str">
        <f t="array" ref="Y284">IF(ISBLANK(INDEX(big_daily_table,MATCH(DATE(Y$5,$J284,$I284),daily_dates,0),MATCH($B$3,daily_items,0))),NA(),INDEX(big_daily_table,MATCH(DATE(Y$5,$J284,$I284),daily_dates,0),MATCH($B$3,daily_items,0)))</f>
        <v>#N/A</v>
      </c>
      <c r="Z284" s="1" t="str">
        <f t="shared" si="5"/>
        <v>#NAME?</v>
      </c>
      <c r="AA284" s="1" t="str">
        <f t="shared" si="6"/>
        <v>#NAME?</v>
      </c>
      <c r="AB284" s="1" t="str">
        <f t="shared" si="7"/>
        <v>#NAME?</v>
      </c>
      <c r="AC284" s="1" t="str">
        <f t="shared" si="8"/>
        <v>#NAME?</v>
      </c>
    </row>
    <row r="285" ht="14.25" customHeight="1">
      <c r="H285" s="1">
        <f t="shared" si="9"/>
        <v>280</v>
      </c>
      <c r="I285" s="1">
        <f t="shared" si="2"/>
        <v>6</v>
      </c>
      <c r="J285" s="1">
        <f t="shared" si="3"/>
        <v>10</v>
      </c>
      <c r="K285" s="23">
        <f t="shared" si="10"/>
        <v>36805</v>
      </c>
      <c r="L285" s="24">
        <f t="shared" si="4"/>
        <v>1000000</v>
      </c>
      <c r="M285" s="1" t="str">
        <f t="array" ref="M285">IF(K285&gt;0,INDEX(big_daily_table,MATCH(DATE(N$5,$J285,$I285),daily_dates,0),MATCH($B$3,daily_items,0)),NA())</f>
        <v>#N/A</v>
      </c>
      <c r="N285" s="1" t="str">
        <f t="array" ref="N285">IF(L285&lt;0,INDEX(big_daily_table,MATCH(DATE(N$5,$J285,$I285),daily_dates,0),MATCH($B$3,daily_items,0)),NA())</f>
        <v>#N/A</v>
      </c>
      <c r="O285" s="1" t="str">
        <f t="array" ref="O285">IF(ISBLANK(INDEX(big_daily_table,MATCH(DATE(O$5,$J285,$I285),daily_dates,0),MATCH($B$3,daily_items,0))),NA(),INDEX(big_daily_table,MATCH(DATE(O$5,$J285,$I285),daily_dates,0),MATCH($B$3,daily_items,0)))</f>
        <v>#N/A</v>
      </c>
      <c r="P285" s="1" t="str">
        <f t="array" ref="P285">IF(ISBLANK(INDEX(big_daily_table,MATCH(DATE(P$5,$J285,$I285),daily_dates,0),MATCH($B$3,daily_items,0))),NA(),INDEX(big_daily_table,MATCH(DATE(P$5,$J285,$I285),daily_dates,0),MATCH($B$3,daily_items,0)))</f>
        <v>#N/A</v>
      </c>
      <c r="Q285" s="1" t="str">
        <f t="array" ref="Q285">IF(ISBLANK(INDEX(big_daily_table,MATCH(DATE(Q$5,$J285,$I285),daily_dates,0),MATCH($B$3,daily_items,0))),NA(),INDEX(big_daily_table,MATCH(DATE(Q$5,$J285,$I285),daily_dates,0),MATCH($B$3,daily_items,0)))</f>
        <v>#N/A</v>
      </c>
      <c r="R285" s="1" t="str">
        <f t="array" ref="R285">IF(ISBLANK(INDEX(big_daily_table,MATCH(DATE(R$5,$J285,$I285),daily_dates,0),MATCH($B$3,daily_items,0))),NA(),INDEX(big_daily_table,MATCH(DATE(R$5,$J285,$I285),daily_dates,0),MATCH($B$3,daily_items,0)))</f>
        <v>#N/A</v>
      </c>
      <c r="S285" s="1" t="str">
        <f t="array" ref="S285">IF(ISBLANK(INDEX(big_daily_table,MATCH(DATE(S$5,$J285,$I285),daily_dates,0),MATCH($B$3,daily_items,0))),NA(),INDEX(big_daily_table,MATCH(DATE(S$5,$J285,$I285),daily_dates,0),MATCH($B$3,daily_items,0)))</f>
        <v>#N/A</v>
      </c>
      <c r="T285" s="1" t="str">
        <f t="array" ref="T285">IF(ISBLANK(INDEX(big_daily_table,MATCH(DATE(T$5,$J285,$I285),daily_dates,0),MATCH($B$3,daily_items,0))),NA(),INDEX(big_daily_table,MATCH(DATE(T$5,$J285,$I285),daily_dates,0),MATCH($B$3,daily_items,0)))</f>
        <v>#N/A</v>
      </c>
      <c r="U285" s="1" t="str">
        <f t="array" ref="U285">IF(ISBLANK(INDEX(big_daily_table,MATCH(DATE(U$5,$J285,$I285),daily_dates,0),MATCH($B$3,daily_items,0))),NA(),INDEX(big_daily_table,MATCH(DATE(U$5,$J285,$I285),daily_dates,0),MATCH($B$3,daily_items,0)))</f>
        <v>#N/A</v>
      </c>
      <c r="V285" s="1" t="str">
        <f t="array" ref="V285">IF(ISBLANK(INDEX(big_daily_table,MATCH(DATE(V$5,$J285,$I285),daily_dates,0),MATCH($B$3,daily_items,0))),NA(),INDEX(big_daily_table,MATCH(DATE(V$5,$J285,$I285),daily_dates,0),MATCH($B$3,daily_items,0)))</f>
        <v>#N/A</v>
      </c>
      <c r="W285" s="1" t="str">
        <f t="array" ref="W285">IF(ISBLANK(INDEX(big_daily_table,MATCH(DATE(W$5,$J285,$I285),daily_dates,0),MATCH($B$3,daily_items,0))),NA(),INDEX(big_daily_table,MATCH(DATE(W$5,$J285,$I285),daily_dates,0),MATCH($B$3,daily_items,0)))</f>
        <v>#N/A</v>
      </c>
      <c r="X285" s="1" t="str">
        <f t="array" ref="X285">IF(ISBLANK(INDEX(big_daily_table,MATCH(DATE(X$5,$J285,$I285),daily_dates,0),MATCH($B$3,daily_items,0))),NA(),INDEX(big_daily_table,MATCH(DATE(X$5,$J285,$I285),daily_dates,0),MATCH($B$3,daily_items,0)))</f>
        <v>#N/A</v>
      </c>
      <c r="Y285" s="1" t="str">
        <f t="array" ref="Y285">IF(ISBLANK(INDEX(big_daily_table,MATCH(DATE(Y$5,$J285,$I285),daily_dates,0),MATCH($B$3,daily_items,0))),NA(),INDEX(big_daily_table,MATCH(DATE(Y$5,$J285,$I285),daily_dates,0),MATCH($B$3,daily_items,0)))</f>
        <v>#N/A</v>
      </c>
      <c r="Z285" s="1" t="str">
        <f t="shared" si="5"/>
        <v>#NAME?</v>
      </c>
      <c r="AA285" s="1" t="str">
        <f t="shared" si="6"/>
        <v>#NAME?</v>
      </c>
      <c r="AB285" s="1" t="str">
        <f t="shared" si="7"/>
        <v>#NAME?</v>
      </c>
      <c r="AC285" s="1" t="str">
        <f t="shared" si="8"/>
        <v>#NAME?</v>
      </c>
    </row>
    <row r="286" ht="14.25" customHeight="1">
      <c r="H286" s="1">
        <f t="shared" si="9"/>
        <v>281</v>
      </c>
      <c r="I286" s="1">
        <f t="shared" si="2"/>
        <v>7</v>
      </c>
      <c r="J286" s="1">
        <f t="shared" si="3"/>
        <v>10</v>
      </c>
      <c r="K286" s="23">
        <f t="shared" si="10"/>
        <v>36806</v>
      </c>
      <c r="L286" s="24">
        <f t="shared" si="4"/>
        <v>1000000</v>
      </c>
      <c r="M286" s="1" t="str">
        <f t="array" ref="M286">IF(K286&gt;0,INDEX(big_daily_table,MATCH(DATE(N$5,$J286,$I286),daily_dates,0),MATCH($B$3,daily_items,0)),NA())</f>
        <v>#N/A</v>
      </c>
      <c r="N286" s="1" t="str">
        <f t="array" ref="N286">IF(L286&lt;0,INDEX(big_daily_table,MATCH(DATE(N$5,$J286,$I286),daily_dates,0),MATCH($B$3,daily_items,0)),NA())</f>
        <v>#N/A</v>
      </c>
      <c r="O286" s="1" t="str">
        <f t="array" ref="O286">IF(ISBLANK(INDEX(big_daily_table,MATCH(DATE(O$5,$J286,$I286),daily_dates,0),MATCH($B$3,daily_items,0))),NA(),INDEX(big_daily_table,MATCH(DATE(O$5,$J286,$I286),daily_dates,0),MATCH($B$3,daily_items,0)))</f>
        <v>#N/A</v>
      </c>
      <c r="P286" s="1" t="str">
        <f t="array" ref="P286">IF(ISBLANK(INDEX(big_daily_table,MATCH(DATE(P$5,$J286,$I286),daily_dates,0),MATCH($B$3,daily_items,0))),NA(),INDEX(big_daily_table,MATCH(DATE(P$5,$J286,$I286),daily_dates,0),MATCH($B$3,daily_items,0)))</f>
        <v>#N/A</v>
      </c>
      <c r="Q286" s="1" t="str">
        <f t="array" ref="Q286">IF(ISBLANK(INDEX(big_daily_table,MATCH(DATE(Q$5,$J286,$I286),daily_dates,0),MATCH($B$3,daily_items,0))),NA(),INDEX(big_daily_table,MATCH(DATE(Q$5,$J286,$I286),daily_dates,0),MATCH($B$3,daily_items,0)))</f>
        <v>#N/A</v>
      </c>
      <c r="R286" s="1" t="str">
        <f t="array" ref="R286">IF(ISBLANK(INDEX(big_daily_table,MATCH(DATE(R$5,$J286,$I286),daily_dates,0),MATCH($B$3,daily_items,0))),NA(),INDEX(big_daily_table,MATCH(DATE(R$5,$J286,$I286),daily_dates,0),MATCH($B$3,daily_items,0)))</f>
        <v>#N/A</v>
      </c>
      <c r="S286" s="1" t="str">
        <f t="array" ref="S286">IF(ISBLANK(INDEX(big_daily_table,MATCH(DATE(S$5,$J286,$I286),daily_dates,0),MATCH($B$3,daily_items,0))),NA(),INDEX(big_daily_table,MATCH(DATE(S$5,$J286,$I286),daily_dates,0),MATCH($B$3,daily_items,0)))</f>
        <v>#N/A</v>
      </c>
      <c r="T286" s="1" t="str">
        <f t="array" ref="T286">IF(ISBLANK(INDEX(big_daily_table,MATCH(DATE(T$5,$J286,$I286),daily_dates,0),MATCH($B$3,daily_items,0))),NA(),INDEX(big_daily_table,MATCH(DATE(T$5,$J286,$I286),daily_dates,0),MATCH($B$3,daily_items,0)))</f>
        <v>#N/A</v>
      </c>
      <c r="U286" s="1" t="str">
        <f t="array" ref="U286">IF(ISBLANK(INDEX(big_daily_table,MATCH(DATE(U$5,$J286,$I286),daily_dates,0),MATCH($B$3,daily_items,0))),NA(),INDEX(big_daily_table,MATCH(DATE(U$5,$J286,$I286),daily_dates,0),MATCH($B$3,daily_items,0)))</f>
        <v>#N/A</v>
      </c>
      <c r="V286" s="1" t="str">
        <f t="array" ref="V286">IF(ISBLANK(INDEX(big_daily_table,MATCH(DATE(V$5,$J286,$I286),daily_dates,0),MATCH($B$3,daily_items,0))),NA(),INDEX(big_daily_table,MATCH(DATE(V$5,$J286,$I286),daily_dates,0),MATCH($B$3,daily_items,0)))</f>
        <v>#N/A</v>
      </c>
      <c r="W286" s="1" t="str">
        <f t="array" ref="W286">IF(ISBLANK(INDEX(big_daily_table,MATCH(DATE(W$5,$J286,$I286),daily_dates,0),MATCH($B$3,daily_items,0))),NA(),INDEX(big_daily_table,MATCH(DATE(W$5,$J286,$I286),daily_dates,0),MATCH($B$3,daily_items,0)))</f>
        <v>#N/A</v>
      </c>
      <c r="X286" s="1" t="str">
        <f t="array" ref="X286">IF(ISBLANK(INDEX(big_daily_table,MATCH(DATE(X$5,$J286,$I286),daily_dates,0),MATCH($B$3,daily_items,0))),NA(),INDEX(big_daily_table,MATCH(DATE(X$5,$J286,$I286),daily_dates,0),MATCH($B$3,daily_items,0)))</f>
        <v>#N/A</v>
      </c>
      <c r="Y286" s="1" t="str">
        <f t="array" ref="Y286">IF(ISBLANK(INDEX(big_daily_table,MATCH(DATE(Y$5,$J286,$I286),daily_dates,0),MATCH($B$3,daily_items,0))),NA(),INDEX(big_daily_table,MATCH(DATE(Y$5,$J286,$I286),daily_dates,0),MATCH($B$3,daily_items,0)))</f>
        <v>#N/A</v>
      </c>
      <c r="Z286" s="1" t="str">
        <f t="shared" si="5"/>
        <v>#NAME?</v>
      </c>
      <c r="AA286" s="1" t="str">
        <f t="shared" si="6"/>
        <v>#NAME?</v>
      </c>
      <c r="AB286" s="1" t="str">
        <f t="shared" si="7"/>
        <v>#NAME?</v>
      </c>
      <c r="AC286" s="1" t="str">
        <f t="shared" si="8"/>
        <v>#NAME?</v>
      </c>
    </row>
    <row r="287" ht="14.25" customHeight="1">
      <c r="H287" s="1">
        <f t="shared" si="9"/>
        <v>282</v>
      </c>
      <c r="I287" s="1">
        <f t="shared" si="2"/>
        <v>8</v>
      </c>
      <c r="J287" s="1">
        <f t="shared" si="3"/>
        <v>10</v>
      </c>
      <c r="K287" s="23">
        <f t="shared" si="10"/>
        <v>36807</v>
      </c>
      <c r="L287" s="24">
        <f t="shared" si="4"/>
        <v>1000000</v>
      </c>
      <c r="M287" s="1" t="str">
        <f t="array" ref="M287">IF(K287&gt;0,INDEX(big_daily_table,MATCH(DATE(N$5,$J287,$I287),daily_dates,0),MATCH($B$3,daily_items,0)),NA())</f>
        <v>#N/A</v>
      </c>
      <c r="N287" s="1" t="str">
        <f t="array" ref="N287">IF(L287&lt;0,INDEX(big_daily_table,MATCH(DATE(N$5,$J287,$I287),daily_dates,0),MATCH($B$3,daily_items,0)),NA())</f>
        <v>#N/A</v>
      </c>
      <c r="O287" s="1" t="str">
        <f t="array" ref="O287">IF(ISBLANK(INDEX(big_daily_table,MATCH(DATE(O$5,$J287,$I287),daily_dates,0),MATCH($B$3,daily_items,0))),NA(),INDEX(big_daily_table,MATCH(DATE(O$5,$J287,$I287),daily_dates,0),MATCH($B$3,daily_items,0)))</f>
        <v>#N/A</v>
      </c>
      <c r="P287" s="1" t="str">
        <f t="array" ref="P287">IF(ISBLANK(INDEX(big_daily_table,MATCH(DATE(P$5,$J287,$I287),daily_dates,0),MATCH($B$3,daily_items,0))),NA(),INDEX(big_daily_table,MATCH(DATE(P$5,$J287,$I287),daily_dates,0),MATCH($B$3,daily_items,0)))</f>
        <v>#N/A</v>
      </c>
      <c r="Q287" s="1" t="str">
        <f t="array" ref="Q287">IF(ISBLANK(INDEX(big_daily_table,MATCH(DATE(Q$5,$J287,$I287),daily_dates,0),MATCH($B$3,daily_items,0))),NA(),INDEX(big_daily_table,MATCH(DATE(Q$5,$J287,$I287),daily_dates,0),MATCH($B$3,daily_items,0)))</f>
        <v>#N/A</v>
      </c>
      <c r="R287" s="1" t="str">
        <f t="array" ref="R287">IF(ISBLANK(INDEX(big_daily_table,MATCH(DATE(R$5,$J287,$I287),daily_dates,0),MATCH($B$3,daily_items,0))),NA(),INDEX(big_daily_table,MATCH(DATE(R$5,$J287,$I287),daily_dates,0),MATCH($B$3,daily_items,0)))</f>
        <v>#N/A</v>
      </c>
      <c r="S287" s="1" t="str">
        <f t="array" ref="S287">IF(ISBLANK(INDEX(big_daily_table,MATCH(DATE(S$5,$J287,$I287),daily_dates,0),MATCH($B$3,daily_items,0))),NA(),INDEX(big_daily_table,MATCH(DATE(S$5,$J287,$I287),daily_dates,0),MATCH($B$3,daily_items,0)))</f>
        <v>#N/A</v>
      </c>
      <c r="T287" s="1" t="str">
        <f t="array" ref="T287">IF(ISBLANK(INDEX(big_daily_table,MATCH(DATE(T$5,$J287,$I287),daily_dates,0),MATCH($B$3,daily_items,0))),NA(),INDEX(big_daily_table,MATCH(DATE(T$5,$J287,$I287),daily_dates,0),MATCH($B$3,daily_items,0)))</f>
        <v>#N/A</v>
      </c>
      <c r="U287" s="1" t="str">
        <f t="array" ref="U287">IF(ISBLANK(INDEX(big_daily_table,MATCH(DATE(U$5,$J287,$I287),daily_dates,0),MATCH($B$3,daily_items,0))),NA(),INDEX(big_daily_table,MATCH(DATE(U$5,$J287,$I287),daily_dates,0),MATCH($B$3,daily_items,0)))</f>
        <v>#N/A</v>
      </c>
      <c r="V287" s="1" t="str">
        <f t="array" ref="V287">IF(ISBLANK(INDEX(big_daily_table,MATCH(DATE(V$5,$J287,$I287),daily_dates,0),MATCH($B$3,daily_items,0))),NA(),INDEX(big_daily_table,MATCH(DATE(V$5,$J287,$I287),daily_dates,0),MATCH($B$3,daily_items,0)))</f>
        <v>#N/A</v>
      </c>
      <c r="W287" s="1" t="str">
        <f t="array" ref="W287">IF(ISBLANK(INDEX(big_daily_table,MATCH(DATE(W$5,$J287,$I287),daily_dates,0),MATCH($B$3,daily_items,0))),NA(),INDEX(big_daily_table,MATCH(DATE(W$5,$J287,$I287),daily_dates,0),MATCH($B$3,daily_items,0)))</f>
        <v>#N/A</v>
      </c>
      <c r="X287" s="1" t="str">
        <f t="array" ref="X287">IF(ISBLANK(INDEX(big_daily_table,MATCH(DATE(X$5,$J287,$I287),daily_dates,0),MATCH($B$3,daily_items,0))),NA(),INDEX(big_daily_table,MATCH(DATE(X$5,$J287,$I287),daily_dates,0),MATCH($B$3,daily_items,0)))</f>
        <v>#N/A</v>
      </c>
      <c r="Y287" s="1" t="str">
        <f t="array" ref="Y287">IF(ISBLANK(INDEX(big_daily_table,MATCH(DATE(Y$5,$J287,$I287),daily_dates,0),MATCH($B$3,daily_items,0))),NA(),INDEX(big_daily_table,MATCH(DATE(Y$5,$J287,$I287),daily_dates,0),MATCH($B$3,daily_items,0)))</f>
        <v>#N/A</v>
      </c>
      <c r="Z287" s="1" t="str">
        <f t="shared" si="5"/>
        <v>#NAME?</v>
      </c>
      <c r="AA287" s="1" t="str">
        <f t="shared" si="6"/>
        <v>#NAME?</v>
      </c>
      <c r="AB287" s="1" t="str">
        <f t="shared" si="7"/>
        <v>#NAME?</v>
      </c>
      <c r="AC287" s="1" t="str">
        <f t="shared" si="8"/>
        <v>#NAME?</v>
      </c>
    </row>
    <row r="288" ht="14.25" customHeight="1">
      <c r="H288" s="1">
        <f t="shared" si="9"/>
        <v>283</v>
      </c>
      <c r="I288" s="1">
        <f t="shared" si="2"/>
        <v>9</v>
      </c>
      <c r="J288" s="1">
        <f t="shared" si="3"/>
        <v>10</v>
      </c>
      <c r="K288" s="23">
        <f t="shared" si="10"/>
        <v>36808</v>
      </c>
      <c r="L288" s="24">
        <f t="shared" si="4"/>
        <v>1000000</v>
      </c>
      <c r="M288" s="1" t="str">
        <f t="array" ref="M288">IF(K288&gt;0,INDEX(big_daily_table,MATCH(DATE(N$5,$J288,$I288),daily_dates,0),MATCH($B$3,daily_items,0)),NA())</f>
        <v>#N/A</v>
      </c>
      <c r="N288" s="1" t="str">
        <f t="array" ref="N288">IF(L288&lt;0,INDEX(big_daily_table,MATCH(DATE(N$5,$J288,$I288),daily_dates,0),MATCH($B$3,daily_items,0)),NA())</f>
        <v>#N/A</v>
      </c>
      <c r="O288" s="1" t="str">
        <f t="array" ref="O288">IF(ISBLANK(INDEX(big_daily_table,MATCH(DATE(O$5,$J288,$I288),daily_dates,0),MATCH($B$3,daily_items,0))),NA(),INDEX(big_daily_table,MATCH(DATE(O$5,$J288,$I288),daily_dates,0),MATCH($B$3,daily_items,0)))</f>
        <v>#N/A</v>
      </c>
      <c r="P288" s="1" t="str">
        <f t="array" ref="P288">IF(ISBLANK(INDEX(big_daily_table,MATCH(DATE(P$5,$J288,$I288),daily_dates,0),MATCH($B$3,daily_items,0))),NA(),INDEX(big_daily_table,MATCH(DATE(P$5,$J288,$I288),daily_dates,0),MATCH($B$3,daily_items,0)))</f>
        <v>#N/A</v>
      </c>
      <c r="Q288" s="1" t="str">
        <f t="array" ref="Q288">IF(ISBLANK(INDEX(big_daily_table,MATCH(DATE(Q$5,$J288,$I288),daily_dates,0),MATCH($B$3,daily_items,0))),NA(),INDEX(big_daily_table,MATCH(DATE(Q$5,$J288,$I288),daily_dates,0),MATCH($B$3,daily_items,0)))</f>
        <v>#N/A</v>
      </c>
      <c r="R288" s="1" t="str">
        <f t="array" ref="R288">IF(ISBLANK(INDEX(big_daily_table,MATCH(DATE(R$5,$J288,$I288),daily_dates,0),MATCH($B$3,daily_items,0))),NA(),INDEX(big_daily_table,MATCH(DATE(R$5,$J288,$I288),daily_dates,0),MATCH($B$3,daily_items,0)))</f>
        <v>#N/A</v>
      </c>
      <c r="S288" s="1" t="str">
        <f t="array" ref="S288">IF(ISBLANK(INDEX(big_daily_table,MATCH(DATE(S$5,$J288,$I288),daily_dates,0),MATCH($B$3,daily_items,0))),NA(),INDEX(big_daily_table,MATCH(DATE(S$5,$J288,$I288),daily_dates,0),MATCH($B$3,daily_items,0)))</f>
        <v>#N/A</v>
      </c>
      <c r="T288" s="1" t="str">
        <f t="array" ref="T288">IF(ISBLANK(INDEX(big_daily_table,MATCH(DATE(T$5,$J288,$I288),daily_dates,0),MATCH($B$3,daily_items,0))),NA(),INDEX(big_daily_table,MATCH(DATE(T$5,$J288,$I288),daily_dates,0),MATCH($B$3,daily_items,0)))</f>
        <v>#N/A</v>
      </c>
      <c r="U288" s="1" t="str">
        <f t="array" ref="U288">IF(ISBLANK(INDEX(big_daily_table,MATCH(DATE(U$5,$J288,$I288),daily_dates,0),MATCH($B$3,daily_items,0))),NA(),INDEX(big_daily_table,MATCH(DATE(U$5,$J288,$I288),daily_dates,0),MATCH($B$3,daily_items,0)))</f>
        <v>#N/A</v>
      </c>
      <c r="V288" s="1" t="str">
        <f t="array" ref="V288">IF(ISBLANK(INDEX(big_daily_table,MATCH(DATE(V$5,$J288,$I288),daily_dates,0),MATCH($B$3,daily_items,0))),NA(),INDEX(big_daily_table,MATCH(DATE(V$5,$J288,$I288),daily_dates,0),MATCH($B$3,daily_items,0)))</f>
        <v>#N/A</v>
      </c>
      <c r="W288" s="1" t="str">
        <f t="array" ref="W288">IF(ISBLANK(INDEX(big_daily_table,MATCH(DATE(W$5,$J288,$I288),daily_dates,0),MATCH($B$3,daily_items,0))),NA(),INDEX(big_daily_table,MATCH(DATE(W$5,$J288,$I288),daily_dates,0),MATCH($B$3,daily_items,0)))</f>
        <v>#N/A</v>
      </c>
      <c r="X288" s="1" t="str">
        <f t="array" ref="X288">IF(ISBLANK(INDEX(big_daily_table,MATCH(DATE(X$5,$J288,$I288),daily_dates,0),MATCH($B$3,daily_items,0))),NA(),INDEX(big_daily_table,MATCH(DATE(X$5,$J288,$I288),daily_dates,0),MATCH($B$3,daily_items,0)))</f>
        <v>#N/A</v>
      </c>
      <c r="Y288" s="1" t="str">
        <f t="array" ref="Y288">IF(ISBLANK(INDEX(big_daily_table,MATCH(DATE(Y$5,$J288,$I288),daily_dates,0),MATCH($B$3,daily_items,0))),NA(),INDEX(big_daily_table,MATCH(DATE(Y$5,$J288,$I288),daily_dates,0),MATCH($B$3,daily_items,0)))</f>
        <v>#N/A</v>
      </c>
      <c r="Z288" s="1" t="str">
        <f t="shared" si="5"/>
        <v>#NAME?</v>
      </c>
      <c r="AA288" s="1" t="str">
        <f t="shared" si="6"/>
        <v>#NAME?</v>
      </c>
      <c r="AB288" s="1" t="str">
        <f t="shared" si="7"/>
        <v>#NAME?</v>
      </c>
      <c r="AC288" s="1" t="str">
        <f t="shared" si="8"/>
        <v>#NAME?</v>
      </c>
    </row>
    <row r="289" ht="14.25" customHeight="1">
      <c r="H289" s="1">
        <f t="shared" si="9"/>
        <v>284</v>
      </c>
      <c r="I289" s="1">
        <f t="shared" si="2"/>
        <v>10</v>
      </c>
      <c r="J289" s="1">
        <f t="shared" si="3"/>
        <v>10</v>
      </c>
      <c r="K289" s="23">
        <f t="shared" si="10"/>
        <v>36809</v>
      </c>
      <c r="L289" s="24">
        <f t="shared" si="4"/>
        <v>1000000</v>
      </c>
      <c r="M289" s="1" t="str">
        <f t="array" ref="M289">IF(K289&gt;0,INDEX(big_daily_table,MATCH(DATE(N$5,$J289,$I289),daily_dates,0),MATCH($B$3,daily_items,0)),NA())</f>
        <v>#N/A</v>
      </c>
      <c r="N289" s="1" t="str">
        <f t="array" ref="N289">IF(L289&lt;0,INDEX(big_daily_table,MATCH(DATE(N$5,$J289,$I289),daily_dates,0),MATCH($B$3,daily_items,0)),NA())</f>
        <v>#N/A</v>
      </c>
      <c r="O289" s="1" t="str">
        <f t="array" ref="O289">IF(ISBLANK(INDEX(big_daily_table,MATCH(DATE(O$5,$J289,$I289),daily_dates,0),MATCH($B$3,daily_items,0))),NA(),INDEX(big_daily_table,MATCH(DATE(O$5,$J289,$I289),daily_dates,0),MATCH($B$3,daily_items,0)))</f>
        <v>#N/A</v>
      </c>
      <c r="P289" s="1" t="str">
        <f t="array" ref="P289">IF(ISBLANK(INDEX(big_daily_table,MATCH(DATE(P$5,$J289,$I289),daily_dates,0),MATCH($B$3,daily_items,0))),NA(),INDEX(big_daily_table,MATCH(DATE(P$5,$J289,$I289),daily_dates,0),MATCH($B$3,daily_items,0)))</f>
        <v>#N/A</v>
      </c>
      <c r="Q289" s="1" t="str">
        <f t="array" ref="Q289">IF(ISBLANK(INDEX(big_daily_table,MATCH(DATE(Q$5,$J289,$I289),daily_dates,0),MATCH($B$3,daily_items,0))),NA(),INDEX(big_daily_table,MATCH(DATE(Q$5,$J289,$I289),daily_dates,0),MATCH($B$3,daily_items,0)))</f>
        <v>#N/A</v>
      </c>
      <c r="R289" s="1" t="str">
        <f t="array" ref="R289">IF(ISBLANK(INDEX(big_daily_table,MATCH(DATE(R$5,$J289,$I289),daily_dates,0),MATCH($B$3,daily_items,0))),NA(),INDEX(big_daily_table,MATCH(DATE(R$5,$J289,$I289),daily_dates,0),MATCH($B$3,daily_items,0)))</f>
        <v>#N/A</v>
      </c>
      <c r="S289" s="1" t="str">
        <f t="array" ref="S289">IF(ISBLANK(INDEX(big_daily_table,MATCH(DATE(S$5,$J289,$I289),daily_dates,0),MATCH($B$3,daily_items,0))),NA(),INDEX(big_daily_table,MATCH(DATE(S$5,$J289,$I289),daily_dates,0),MATCH($B$3,daily_items,0)))</f>
        <v>#N/A</v>
      </c>
      <c r="T289" s="1" t="str">
        <f t="array" ref="T289">IF(ISBLANK(INDEX(big_daily_table,MATCH(DATE(T$5,$J289,$I289),daily_dates,0),MATCH($B$3,daily_items,0))),NA(),INDEX(big_daily_table,MATCH(DATE(T$5,$J289,$I289),daily_dates,0),MATCH($B$3,daily_items,0)))</f>
        <v>#N/A</v>
      </c>
      <c r="U289" s="1" t="str">
        <f t="array" ref="U289">IF(ISBLANK(INDEX(big_daily_table,MATCH(DATE(U$5,$J289,$I289),daily_dates,0),MATCH($B$3,daily_items,0))),NA(),INDEX(big_daily_table,MATCH(DATE(U$5,$J289,$I289),daily_dates,0),MATCH($B$3,daily_items,0)))</f>
        <v>#N/A</v>
      </c>
      <c r="V289" s="1" t="str">
        <f t="array" ref="V289">IF(ISBLANK(INDEX(big_daily_table,MATCH(DATE(V$5,$J289,$I289),daily_dates,0),MATCH($B$3,daily_items,0))),NA(),INDEX(big_daily_table,MATCH(DATE(V$5,$J289,$I289),daily_dates,0),MATCH($B$3,daily_items,0)))</f>
        <v>#N/A</v>
      </c>
      <c r="W289" s="1" t="str">
        <f t="array" ref="W289">IF(ISBLANK(INDEX(big_daily_table,MATCH(DATE(W$5,$J289,$I289),daily_dates,0),MATCH($B$3,daily_items,0))),NA(),INDEX(big_daily_table,MATCH(DATE(W$5,$J289,$I289),daily_dates,0),MATCH($B$3,daily_items,0)))</f>
        <v>#N/A</v>
      </c>
      <c r="X289" s="1" t="str">
        <f t="array" ref="X289">IF(ISBLANK(INDEX(big_daily_table,MATCH(DATE(X$5,$J289,$I289),daily_dates,0),MATCH($B$3,daily_items,0))),NA(),INDEX(big_daily_table,MATCH(DATE(X$5,$J289,$I289),daily_dates,0),MATCH($B$3,daily_items,0)))</f>
        <v>#N/A</v>
      </c>
      <c r="Y289" s="1" t="str">
        <f t="array" ref="Y289">IF(ISBLANK(INDEX(big_daily_table,MATCH(DATE(Y$5,$J289,$I289),daily_dates,0),MATCH($B$3,daily_items,0))),NA(),INDEX(big_daily_table,MATCH(DATE(Y$5,$J289,$I289),daily_dates,0),MATCH($B$3,daily_items,0)))</f>
        <v>#N/A</v>
      </c>
      <c r="Z289" s="1" t="str">
        <f t="shared" si="5"/>
        <v>#NAME?</v>
      </c>
      <c r="AA289" s="1" t="str">
        <f t="shared" si="6"/>
        <v>#NAME?</v>
      </c>
      <c r="AB289" s="1" t="str">
        <f t="shared" si="7"/>
        <v>#NAME?</v>
      </c>
      <c r="AC289" s="1" t="str">
        <f t="shared" si="8"/>
        <v>#NAME?</v>
      </c>
    </row>
    <row r="290" ht="14.25" customHeight="1">
      <c r="H290" s="1">
        <f t="shared" si="9"/>
        <v>285</v>
      </c>
      <c r="I290" s="1">
        <f t="shared" si="2"/>
        <v>11</v>
      </c>
      <c r="J290" s="1">
        <f t="shared" si="3"/>
        <v>10</v>
      </c>
      <c r="K290" s="23">
        <f t="shared" si="10"/>
        <v>36810</v>
      </c>
      <c r="L290" s="24">
        <f t="shared" si="4"/>
        <v>1000000</v>
      </c>
      <c r="M290" s="1" t="str">
        <f t="array" ref="M290">IF(K290&gt;0,INDEX(big_daily_table,MATCH(DATE(N$5,$J290,$I290),daily_dates,0),MATCH($B$3,daily_items,0)),NA())</f>
        <v>#N/A</v>
      </c>
      <c r="N290" s="1" t="str">
        <f t="array" ref="N290">IF(L290&lt;0,INDEX(big_daily_table,MATCH(DATE(N$5,$J290,$I290),daily_dates,0),MATCH($B$3,daily_items,0)),NA())</f>
        <v>#N/A</v>
      </c>
      <c r="O290" s="1" t="str">
        <f t="array" ref="O290">IF(ISBLANK(INDEX(big_daily_table,MATCH(DATE(O$5,$J290,$I290),daily_dates,0),MATCH($B$3,daily_items,0))),NA(),INDEX(big_daily_table,MATCH(DATE(O$5,$J290,$I290),daily_dates,0),MATCH($B$3,daily_items,0)))</f>
        <v>#N/A</v>
      </c>
      <c r="P290" s="1" t="str">
        <f t="array" ref="P290">IF(ISBLANK(INDEX(big_daily_table,MATCH(DATE(P$5,$J290,$I290),daily_dates,0),MATCH($B$3,daily_items,0))),NA(),INDEX(big_daily_table,MATCH(DATE(P$5,$J290,$I290),daily_dates,0),MATCH($B$3,daily_items,0)))</f>
        <v>#N/A</v>
      </c>
      <c r="Q290" s="1" t="str">
        <f t="array" ref="Q290">IF(ISBLANK(INDEX(big_daily_table,MATCH(DATE(Q$5,$J290,$I290),daily_dates,0),MATCH($B$3,daily_items,0))),NA(),INDEX(big_daily_table,MATCH(DATE(Q$5,$J290,$I290),daily_dates,0),MATCH($B$3,daily_items,0)))</f>
        <v>#N/A</v>
      </c>
      <c r="R290" s="1" t="str">
        <f t="array" ref="R290">IF(ISBLANK(INDEX(big_daily_table,MATCH(DATE(R$5,$J290,$I290),daily_dates,0),MATCH($B$3,daily_items,0))),NA(),INDEX(big_daily_table,MATCH(DATE(R$5,$J290,$I290),daily_dates,0),MATCH($B$3,daily_items,0)))</f>
        <v>#N/A</v>
      </c>
      <c r="S290" s="1" t="str">
        <f t="array" ref="S290">IF(ISBLANK(INDEX(big_daily_table,MATCH(DATE(S$5,$J290,$I290),daily_dates,0),MATCH($B$3,daily_items,0))),NA(),INDEX(big_daily_table,MATCH(DATE(S$5,$J290,$I290),daily_dates,0),MATCH($B$3,daily_items,0)))</f>
        <v>#N/A</v>
      </c>
      <c r="T290" s="1" t="str">
        <f t="array" ref="T290">IF(ISBLANK(INDEX(big_daily_table,MATCH(DATE(T$5,$J290,$I290),daily_dates,0),MATCH($B$3,daily_items,0))),NA(),INDEX(big_daily_table,MATCH(DATE(T$5,$J290,$I290),daily_dates,0),MATCH($B$3,daily_items,0)))</f>
        <v>#N/A</v>
      </c>
      <c r="U290" s="1" t="str">
        <f t="array" ref="U290">IF(ISBLANK(INDEX(big_daily_table,MATCH(DATE(U$5,$J290,$I290),daily_dates,0),MATCH($B$3,daily_items,0))),NA(),INDEX(big_daily_table,MATCH(DATE(U$5,$J290,$I290),daily_dates,0),MATCH($B$3,daily_items,0)))</f>
        <v>#N/A</v>
      </c>
      <c r="V290" s="1" t="str">
        <f t="array" ref="V290">IF(ISBLANK(INDEX(big_daily_table,MATCH(DATE(V$5,$J290,$I290),daily_dates,0),MATCH($B$3,daily_items,0))),NA(),INDEX(big_daily_table,MATCH(DATE(V$5,$J290,$I290),daily_dates,0),MATCH($B$3,daily_items,0)))</f>
        <v>#N/A</v>
      </c>
      <c r="W290" s="1" t="str">
        <f t="array" ref="W290">IF(ISBLANK(INDEX(big_daily_table,MATCH(DATE(W$5,$J290,$I290),daily_dates,0),MATCH($B$3,daily_items,0))),NA(),INDEX(big_daily_table,MATCH(DATE(W$5,$J290,$I290),daily_dates,0),MATCH($B$3,daily_items,0)))</f>
        <v>#N/A</v>
      </c>
      <c r="X290" s="1" t="str">
        <f t="array" ref="X290">IF(ISBLANK(INDEX(big_daily_table,MATCH(DATE(X$5,$J290,$I290),daily_dates,0),MATCH($B$3,daily_items,0))),NA(),INDEX(big_daily_table,MATCH(DATE(X$5,$J290,$I290),daily_dates,0),MATCH($B$3,daily_items,0)))</f>
        <v>#N/A</v>
      </c>
      <c r="Y290" s="1" t="str">
        <f t="array" ref="Y290">IF(ISBLANK(INDEX(big_daily_table,MATCH(DATE(Y$5,$J290,$I290),daily_dates,0),MATCH($B$3,daily_items,0))),NA(),INDEX(big_daily_table,MATCH(DATE(Y$5,$J290,$I290),daily_dates,0),MATCH($B$3,daily_items,0)))</f>
        <v>#N/A</v>
      </c>
      <c r="Z290" s="1" t="str">
        <f t="shared" si="5"/>
        <v>#NAME?</v>
      </c>
      <c r="AA290" s="1" t="str">
        <f t="shared" si="6"/>
        <v>#NAME?</v>
      </c>
      <c r="AB290" s="1" t="str">
        <f t="shared" si="7"/>
        <v>#NAME?</v>
      </c>
      <c r="AC290" s="1" t="str">
        <f t="shared" si="8"/>
        <v>#NAME?</v>
      </c>
    </row>
    <row r="291" ht="14.25" customHeight="1">
      <c r="H291" s="1">
        <f t="shared" si="9"/>
        <v>286</v>
      </c>
      <c r="I291" s="1">
        <f t="shared" si="2"/>
        <v>12</v>
      </c>
      <c r="J291" s="1">
        <f t="shared" si="3"/>
        <v>10</v>
      </c>
      <c r="K291" s="23">
        <f t="shared" si="10"/>
        <v>36811</v>
      </c>
      <c r="L291" s="24">
        <f t="shared" si="4"/>
        <v>1000000</v>
      </c>
      <c r="M291" s="1" t="str">
        <f t="array" ref="M291">IF(K291&gt;0,INDEX(big_daily_table,MATCH(DATE(N$5,$J291,$I291),daily_dates,0),MATCH($B$3,daily_items,0)),NA())</f>
        <v>#N/A</v>
      </c>
      <c r="N291" s="1" t="str">
        <f t="array" ref="N291">IF(L291&lt;0,INDEX(big_daily_table,MATCH(DATE(N$5,$J291,$I291),daily_dates,0),MATCH($B$3,daily_items,0)),NA())</f>
        <v>#N/A</v>
      </c>
      <c r="O291" s="1" t="str">
        <f t="array" ref="O291">IF(ISBLANK(INDEX(big_daily_table,MATCH(DATE(O$5,$J291,$I291),daily_dates,0),MATCH($B$3,daily_items,0))),NA(),INDEX(big_daily_table,MATCH(DATE(O$5,$J291,$I291),daily_dates,0),MATCH($B$3,daily_items,0)))</f>
        <v>#N/A</v>
      </c>
      <c r="P291" s="1" t="str">
        <f t="array" ref="P291">IF(ISBLANK(INDEX(big_daily_table,MATCH(DATE(P$5,$J291,$I291),daily_dates,0),MATCH($B$3,daily_items,0))),NA(),INDEX(big_daily_table,MATCH(DATE(P$5,$J291,$I291),daily_dates,0),MATCH($B$3,daily_items,0)))</f>
        <v>#N/A</v>
      </c>
      <c r="Q291" s="1" t="str">
        <f t="array" ref="Q291">IF(ISBLANK(INDEX(big_daily_table,MATCH(DATE(Q$5,$J291,$I291),daily_dates,0),MATCH($B$3,daily_items,0))),NA(),INDEX(big_daily_table,MATCH(DATE(Q$5,$J291,$I291),daily_dates,0),MATCH($B$3,daily_items,0)))</f>
        <v>#N/A</v>
      </c>
      <c r="R291" s="1" t="str">
        <f t="array" ref="R291">IF(ISBLANK(INDEX(big_daily_table,MATCH(DATE(R$5,$J291,$I291),daily_dates,0),MATCH($B$3,daily_items,0))),NA(),INDEX(big_daily_table,MATCH(DATE(R$5,$J291,$I291),daily_dates,0),MATCH($B$3,daily_items,0)))</f>
        <v>#N/A</v>
      </c>
      <c r="S291" s="1" t="str">
        <f t="array" ref="S291">IF(ISBLANK(INDEX(big_daily_table,MATCH(DATE(S$5,$J291,$I291),daily_dates,0),MATCH($B$3,daily_items,0))),NA(),INDEX(big_daily_table,MATCH(DATE(S$5,$J291,$I291),daily_dates,0),MATCH($B$3,daily_items,0)))</f>
        <v>#N/A</v>
      </c>
      <c r="T291" s="1" t="str">
        <f t="array" ref="T291">IF(ISBLANK(INDEX(big_daily_table,MATCH(DATE(T$5,$J291,$I291),daily_dates,0),MATCH($B$3,daily_items,0))),NA(),INDEX(big_daily_table,MATCH(DATE(T$5,$J291,$I291),daily_dates,0),MATCH($B$3,daily_items,0)))</f>
        <v>#N/A</v>
      </c>
      <c r="U291" s="1" t="str">
        <f t="array" ref="U291">IF(ISBLANK(INDEX(big_daily_table,MATCH(DATE(U$5,$J291,$I291),daily_dates,0),MATCH($B$3,daily_items,0))),NA(),INDEX(big_daily_table,MATCH(DATE(U$5,$J291,$I291),daily_dates,0),MATCH($B$3,daily_items,0)))</f>
        <v>#N/A</v>
      </c>
      <c r="V291" s="1" t="str">
        <f t="array" ref="V291">IF(ISBLANK(INDEX(big_daily_table,MATCH(DATE(V$5,$J291,$I291),daily_dates,0),MATCH($B$3,daily_items,0))),NA(),INDEX(big_daily_table,MATCH(DATE(V$5,$J291,$I291),daily_dates,0),MATCH($B$3,daily_items,0)))</f>
        <v>#N/A</v>
      </c>
      <c r="W291" s="1" t="str">
        <f t="array" ref="W291">IF(ISBLANK(INDEX(big_daily_table,MATCH(DATE(W$5,$J291,$I291),daily_dates,0),MATCH($B$3,daily_items,0))),NA(),INDEX(big_daily_table,MATCH(DATE(W$5,$J291,$I291),daily_dates,0),MATCH($B$3,daily_items,0)))</f>
        <v>#N/A</v>
      </c>
      <c r="X291" s="1" t="str">
        <f t="array" ref="X291">IF(ISBLANK(INDEX(big_daily_table,MATCH(DATE(X$5,$J291,$I291),daily_dates,0),MATCH($B$3,daily_items,0))),NA(),INDEX(big_daily_table,MATCH(DATE(X$5,$J291,$I291),daily_dates,0),MATCH($B$3,daily_items,0)))</f>
        <v>#N/A</v>
      </c>
      <c r="Y291" s="1" t="str">
        <f t="array" ref="Y291">IF(ISBLANK(INDEX(big_daily_table,MATCH(DATE(Y$5,$J291,$I291),daily_dates,0),MATCH($B$3,daily_items,0))),NA(),INDEX(big_daily_table,MATCH(DATE(Y$5,$J291,$I291),daily_dates,0),MATCH($B$3,daily_items,0)))</f>
        <v>#N/A</v>
      </c>
      <c r="Z291" s="1" t="str">
        <f t="shared" si="5"/>
        <v>#NAME?</v>
      </c>
      <c r="AA291" s="1" t="str">
        <f t="shared" si="6"/>
        <v>#NAME?</v>
      </c>
      <c r="AB291" s="1" t="str">
        <f t="shared" si="7"/>
        <v>#NAME?</v>
      </c>
      <c r="AC291" s="1" t="str">
        <f t="shared" si="8"/>
        <v>#NAME?</v>
      </c>
    </row>
    <row r="292" ht="14.25" customHeight="1">
      <c r="H292" s="1">
        <f t="shared" si="9"/>
        <v>287</v>
      </c>
      <c r="I292" s="1">
        <f t="shared" si="2"/>
        <v>13</v>
      </c>
      <c r="J292" s="1">
        <f t="shared" si="3"/>
        <v>10</v>
      </c>
      <c r="K292" s="23">
        <f t="shared" si="10"/>
        <v>36812</v>
      </c>
      <c r="L292" s="24">
        <f t="shared" si="4"/>
        <v>1000000</v>
      </c>
      <c r="M292" s="1" t="str">
        <f t="array" ref="M292">IF(K292&gt;0,INDEX(big_daily_table,MATCH(DATE(N$5,$J292,$I292),daily_dates,0),MATCH($B$3,daily_items,0)),NA())</f>
        <v>#N/A</v>
      </c>
      <c r="N292" s="1" t="str">
        <f t="array" ref="N292">IF(L292&lt;0,INDEX(big_daily_table,MATCH(DATE(N$5,$J292,$I292),daily_dates,0),MATCH($B$3,daily_items,0)),NA())</f>
        <v>#N/A</v>
      </c>
      <c r="O292" s="1" t="str">
        <f t="array" ref="O292">IF(ISBLANK(INDEX(big_daily_table,MATCH(DATE(O$5,$J292,$I292),daily_dates,0),MATCH($B$3,daily_items,0))),NA(),INDEX(big_daily_table,MATCH(DATE(O$5,$J292,$I292),daily_dates,0),MATCH($B$3,daily_items,0)))</f>
        <v>#N/A</v>
      </c>
      <c r="P292" s="1" t="str">
        <f t="array" ref="P292">IF(ISBLANK(INDEX(big_daily_table,MATCH(DATE(P$5,$J292,$I292),daily_dates,0),MATCH($B$3,daily_items,0))),NA(),INDEX(big_daily_table,MATCH(DATE(P$5,$J292,$I292),daily_dates,0),MATCH($B$3,daily_items,0)))</f>
        <v>#N/A</v>
      </c>
      <c r="Q292" s="1" t="str">
        <f t="array" ref="Q292">IF(ISBLANK(INDEX(big_daily_table,MATCH(DATE(Q$5,$J292,$I292),daily_dates,0),MATCH($B$3,daily_items,0))),NA(),INDEX(big_daily_table,MATCH(DATE(Q$5,$J292,$I292),daily_dates,0),MATCH($B$3,daily_items,0)))</f>
        <v>#N/A</v>
      </c>
      <c r="R292" s="1" t="str">
        <f t="array" ref="R292">IF(ISBLANK(INDEX(big_daily_table,MATCH(DATE(R$5,$J292,$I292),daily_dates,0),MATCH($B$3,daily_items,0))),NA(),INDEX(big_daily_table,MATCH(DATE(R$5,$J292,$I292),daily_dates,0),MATCH($B$3,daily_items,0)))</f>
        <v>#N/A</v>
      </c>
      <c r="S292" s="1" t="str">
        <f t="array" ref="S292">IF(ISBLANK(INDEX(big_daily_table,MATCH(DATE(S$5,$J292,$I292),daily_dates,0),MATCH($B$3,daily_items,0))),NA(),INDEX(big_daily_table,MATCH(DATE(S$5,$J292,$I292),daily_dates,0),MATCH($B$3,daily_items,0)))</f>
        <v>#N/A</v>
      </c>
      <c r="T292" s="1" t="str">
        <f t="array" ref="T292">IF(ISBLANK(INDEX(big_daily_table,MATCH(DATE(T$5,$J292,$I292),daily_dates,0),MATCH($B$3,daily_items,0))),NA(),INDEX(big_daily_table,MATCH(DATE(T$5,$J292,$I292),daily_dates,0),MATCH($B$3,daily_items,0)))</f>
        <v>#N/A</v>
      </c>
      <c r="U292" s="1" t="str">
        <f t="array" ref="U292">IF(ISBLANK(INDEX(big_daily_table,MATCH(DATE(U$5,$J292,$I292),daily_dates,0),MATCH($B$3,daily_items,0))),NA(),INDEX(big_daily_table,MATCH(DATE(U$5,$J292,$I292),daily_dates,0),MATCH($B$3,daily_items,0)))</f>
        <v>#N/A</v>
      </c>
      <c r="V292" s="1" t="str">
        <f t="array" ref="V292">IF(ISBLANK(INDEX(big_daily_table,MATCH(DATE(V$5,$J292,$I292),daily_dates,0),MATCH($B$3,daily_items,0))),NA(),INDEX(big_daily_table,MATCH(DATE(V$5,$J292,$I292),daily_dates,0),MATCH($B$3,daily_items,0)))</f>
        <v>#N/A</v>
      </c>
      <c r="W292" s="1" t="str">
        <f t="array" ref="W292">IF(ISBLANK(INDEX(big_daily_table,MATCH(DATE(W$5,$J292,$I292),daily_dates,0),MATCH($B$3,daily_items,0))),NA(),INDEX(big_daily_table,MATCH(DATE(W$5,$J292,$I292),daily_dates,0),MATCH($B$3,daily_items,0)))</f>
        <v>#N/A</v>
      </c>
      <c r="X292" s="1" t="str">
        <f t="array" ref="X292">IF(ISBLANK(INDEX(big_daily_table,MATCH(DATE(X$5,$J292,$I292),daily_dates,0),MATCH($B$3,daily_items,0))),NA(),INDEX(big_daily_table,MATCH(DATE(X$5,$J292,$I292),daily_dates,0),MATCH($B$3,daily_items,0)))</f>
        <v>#N/A</v>
      </c>
      <c r="Y292" s="1" t="str">
        <f t="array" ref="Y292">IF(ISBLANK(INDEX(big_daily_table,MATCH(DATE(Y$5,$J292,$I292),daily_dates,0),MATCH($B$3,daily_items,0))),NA(),INDEX(big_daily_table,MATCH(DATE(Y$5,$J292,$I292),daily_dates,0),MATCH($B$3,daily_items,0)))</f>
        <v>#N/A</v>
      </c>
      <c r="Z292" s="1" t="str">
        <f t="shared" si="5"/>
        <v>#NAME?</v>
      </c>
      <c r="AA292" s="1" t="str">
        <f t="shared" si="6"/>
        <v>#NAME?</v>
      </c>
      <c r="AB292" s="1" t="str">
        <f t="shared" si="7"/>
        <v>#NAME?</v>
      </c>
      <c r="AC292" s="1" t="str">
        <f t="shared" si="8"/>
        <v>#NAME?</v>
      </c>
    </row>
    <row r="293" ht="14.25" customHeight="1">
      <c r="H293" s="1">
        <f t="shared" si="9"/>
        <v>288</v>
      </c>
      <c r="I293" s="1">
        <f t="shared" si="2"/>
        <v>14</v>
      </c>
      <c r="J293" s="1">
        <f t="shared" si="3"/>
        <v>10</v>
      </c>
      <c r="K293" s="23">
        <f t="shared" si="10"/>
        <v>36813</v>
      </c>
      <c r="L293" s="24">
        <f t="shared" si="4"/>
        <v>1000000</v>
      </c>
      <c r="M293" s="1" t="str">
        <f t="array" ref="M293">IF(K293&gt;0,INDEX(big_daily_table,MATCH(DATE(N$5,$J293,$I293),daily_dates,0),MATCH($B$3,daily_items,0)),NA())</f>
        <v>#N/A</v>
      </c>
      <c r="N293" s="1" t="str">
        <f t="array" ref="N293">IF(L293&lt;0,INDEX(big_daily_table,MATCH(DATE(N$5,$J293,$I293),daily_dates,0),MATCH($B$3,daily_items,0)),NA())</f>
        <v>#N/A</v>
      </c>
      <c r="O293" s="1" t="str">
        <f t="array" ref="O293">IF(ISBLANK(INDEX(big_daily_table,MATCH(DATE(O$5,$J293,$I293),daily_dates,0),MATCH($B$3,daily_items,0))),NA(),INDEX(big_daily_table,MATCH(DATE(O$5,$J293,$I293),daily_dates,0),MATCH($B$3,daily_items,0)))</f>
        <v>#N/A</v>
      </c>
      <c r="P293" s="1" t="str">
        <f t="array" ref="P293">IF(ISBLANK(INDEX(big_daily_table,MATCH(DATE(P$5,$J293,$I293),daily_dates,0),MATCH($B$3,daily_items,0))),NA(),INDEX(big_daily_table,MATCH(DATE(P$5,$J293,$I293),daily_dates,0),MATCH($B$3,daily_items,0)))</f>
        <v>#N/A</v>
      </c>
      <c r="Q293" s="1" t="str">
        <f t="array" ref="Q293">IF(ISBLANK(INDEX(big_daily_table,MATCH(DATE(Q$5,$J293,$I293),daily_dates,0),MATCH($B$3,daily_items,0))),NA(),INDEX(big_daily_table,MATCH(DATE(Q$5,$J293,$I293),daily_dates,0),MATCH($B$3,daily_items,0)))</f>
        <v>#N/A</v>
      </c>
      <c r="R293" s="1" t="str">
        <f t="array" ref="R293">IF(ISBLANK(INDEX(big_daily_table,MATCH(DATE(R$5,$J293,$I293),daily_dates,0),MATCH($B$3,daily_items,0))),NA(),INDEX(big_daily_table,MATCH(DATE(R$5,$J293,$I293),daily_dates,0),MATCH($B$3,daily_items,0)))</f>
        <v>#N/A</v>
      </c>
      <c r="S293" s="1" t="str">
        <f t="array" ref="S293">IF(ISBLANK(INDEX(big_daily_table,MATCH(DATE(S$5,$J293,$I293),daily_dates,0),MATCH($B$3,daily_items,0))),NA(),INDEX(big_daily_table,MATCH(DATE(S$5,$J293,$I293),daily_dates,0),MATCH($B$3,daily_items,0)))</f>
        <v>#N/A</v>
      </c>
      <c r="T293" s="1" t="str">
        <f t="array" ref="T293">IF(ISBLANK(INDEX(big_daily_table,MATCH(DATE(T$5,$J293,$I293),daily_dates,0),MATCH($B$3,daily_items,0))),NA(),INDEX(big_daily_table,MATCH(DATE(T$5,$J293,$I293),daily_dates,0),MATCH($B$3,daily_items,0)))</f>
        <v>#N/A</v>
      </c>
      <c r="U293" s="1" t="str">
        <f t="array" ref="U293">IF(ISBLANK(INDEX(big_daily_table,MATCH(DATE(U$5,$J293,$I293),daily_dates,0),MATCH($B$3,daily_items,0))),NA(),INDEX(big_daily_table,MATCH(DATE(U$5,$J293,$I293),daily_dates,0),MATCH($B$3,daily_items,0)))</f>
        <v>#N/A</v>
      </c>
      <c r="V293" s="1" t="str">
        <f t="array" ref="V293">IF(ISBLANK(INDEX(big_daily_table,MATCH(DATE(V$5,$J293,$I293),daily_dates,0),MATCH($B$3,daily_items,0))),NA(),INDEX(big_daily_table,MATCH(DATE(V$5,$J293,$I293),daily_dates,0),MATCH($B$3,daily_items,0)))</f>
        <v>#N/A</v>
      </c>
      <c r="W293" s="1" t="str">
        <f t="array" ref="W293">IF(ISBLANK(INDEX(big_daily_table,MATCH(DATE(W$5,$J293,$I293),daily_dates,0),MATCH($B$3,daily_items,0))),NA(),INDEX(big_daily_table,MATCH(DATE(W$5,$J293,$I293),daily_dates,0),MATCH($B$3,daily_items,0)))</f>
        <v>#N/A</v>
      </c>
      <c r="X293" s="1" t="str">
        <f t="array" ref="X293">IF(ISBLANK(INDEX(big_daily_table,MATCH(DATE(X$5,$J293,$I293),daily_dates,0),MATCH($B$3,daily_items,0))),NA(),INDEX(big_daily_table,MATCH(DATE(X$5,$J293,$I293),daily_dates,0),MATCH($B$3,daily_items,0)))</f>
        <v>#N/A</v>
      </c>
      <c r="Y293" s="1" t="str">
        <f t="array" ref="Y293">IF(ISBLANK(INDEX(big_daily_table,MATCH(DATE(Y$5,$J293,$I293),daily_dates,0),MATCH($B$3,daily_items,0))),NA(),INDEX(big_daily_table,MATCH(DATE(Y$5,$J293,$I293),daily_dates,0),MATCH($B$3,daily_items,0)))</f>
        <v>#N/A</v>
      </c>
      <c r="Z293" s="1" t="str">
        <f t="shared" si="5"/>
        <v>#NAME?</v>
      </c>
      <c r="AA293" s="1" t="str">
        <f t="shared" si="6"/>
        <v>#NAME?</v>
      </c>
      <c r="AB293" s="1" t="str">
        <f t="shared" si="7"/>
        <v>#NAME?</v>
      </c>
      <c r="AC293" s="1" t="str">
        <f t="shared" si="8"/>
        <v>#NAME?</v>
      </c>
    </row>
    <row r="294" ht="14.25" customHeight="1">
      <c r="H294" s="1">
        <f t="shared" si="9"/>
        <v>289</v>
      </c>
      <c r="I294" s="1">
        <f t="shared" si="2"/>
        <v>15</v>
      </c>
      <c r="J294" s="1">
        <f t="shared" si="3"/>
        <v>10</v>
      </c>
      <c r="K294" s="23">
        <f t="shared" si="10"/>
        <v>36814</v>
      </c>
      <c r="L294" s="24">
        <f t="shared" si="4"/>
        <v>1000000</v>
      </c>
      <c r="M294" s="1" t="str">
        <f t="array" ref="M294">IF(K294&gt;0,INDEX(big_daily_table,MATCH(DATE(N$5,$J294,$I294),daily_dates,0),MATCH($B$3,daily_items,0)),NA())</f>
        <v>#N/A</v>
      </c>
      <c r="N294" s="1" t="str">
        <f t="array" ref="N294">IF(L294&lt;0,INDEX(big_daily_table,MATCH(DATE(N$5,$J294,$I294),daily_dates,0),MATCH($B$3,daily_items,0)),NA())</f>
        <v>#N/A</v>
      </c>
      <c r="O294" s="1" t="str">
        <f t="array" ref="O294">IF(ISBLANK(INDEX(big_daily_table,MATCH(DATE(O$5,$J294,$I294),daily_dates,0),MATCH($B$3,daily_items,0))),NA(),INDEX(big_daily_table,MATCH(DATE(O$5,$J294,$I294),daily_dates,0),MATCH($B$3,daily_items,0)))</f>
        <v>#N/A</v>
      </c>
      <c r="P294" s="1" t="str">
        <f t="array" ref="P294">IF(ISBLANK(INDEX(big_daily_table,MATCH(DATE(P$5,$J294,$I294),daily_dates,0),MATCH($B$3,daily_items,0))),NA(),INDEX(big_daily_table,MATCH(DATE(P$5,$J294,$I294),daily_dates,0),MATCH($B$3,daily_items,0)))</f>
        <v>#N/A</v>
      </c>
      <c r="Q294" s="1" t="str">
        <f t="array" ref="Q294">IF(ISBLANK(INDEX(big_daily_table,MATCH(DATE(Q$5,$J294,$I294),daily_dates,0),MATCH($B$3,daily_items,0))),NA(),INDEX(big_daily_table,MATCH(DATE(Q$5,$J294,$I294),daily_dates,0),MATCH($B$3,daily_items,0)))</f>
        <v>#N/A</v>
      </c>
      <c r="R294" s="1" t="str">
        <f t="array" ref="R294">IF(ISBLANK(INDEX(big_daily_table,MATCH(DATE(R$5,$J294,$I294),daily_dates,0),MATCH($B$3,daily_items,0))),NA(),INDEX(big_daily_table,MATCH(DATE(R$5,$J294,$I294),daily_dates,0),MATCH($B$3,daily_items,0)))</f>
        <v>#N/A</v>
      </c>
      <c r="S294" s="1" t="str">
        <f t="array" ref="S294">IF(ISBLANK(INDEX(big_daily_table,MATCH(DATE(S$5,$J294,$I294),daily_dates,0),MATCH($B$3,daily_items,0))),NA(),INDEX(big_daily_table,MATCH(DATE(S$5,$J294,$I294),daily_dates,0),MATCH($B$3,daily_items,0)))</f>
        <v>#N/A</v>
      </c>
      <c r="T294" s="1" t="str">
        <f t="array" ref="T294">IF(ISBLANK(INDEX(big_daily_table,MATCH(DATE(T$5,$J294,$I294),daily_dates,0),MATCH($B$3,daily_items,0))),NA(),INDEX(big_daily_table,MATCH(DATE(T$5,$J294,$I294),daily_dates,0),MATCH($B$3,daily_items,0)))</f>
        <v>#N/A</v>
      </c>
      <c r="U294" s="1" t="str">
        <f t="array" ref="U294">IF(ISBLANK(INDEX(big_daily_table,MATCH(DATE(U$5,$J294,$I294),daily_dates,0),MATCH($B$3,daily_items,0))),NA(),INDEX(big_daily_table,MATCH(DATE(U$5,$J294,$I294),daily_dates,0),MATCH($B$3,daily_items,0)))</f>
        <v>#N/A</v>
      </c>
      <c r="V294" s="1" t="str">
        <f t="array" ref="V294">IF(ISBLANK(INDEX(big_daily_table,MATCH(DATE(V$5,$J294,$I294),daily_dates,0),MATCH($B$3,daily_items,0))),NA(),INDEX(big_daily_table,MATCH(DATE(V$5,$J294,$I294),daily_dates,0),MATCH($B$3,daily_items,0)))</f>
        <v>#N/A</v>
      </c>
      <c r="W294" s="1" t="str">
        <f t="array" ref="W294">IF(ISBLANK(INDEX(big_daily_table,MATCH(DATE(W$5,$J294,$I294),daily_dates,0),MATCH($B$3,daily_items,0))),NA(),INDEX(big_daily_table,MATCH(DATE(W$5,$J294,$I294),daily_dates,0),MATCH($B$3,daily_items,0)))</f>
        <v>#N/A</v>
      </c>
      <c r="X294" s="1" t="str">
        <f t="array" ref="X294">IF(ISBLANK(INDEX(big_daily_table,MATCH(DATE(X$5,$J294,$I294),daily_dates,0),MATCH($B$3,daily_items,0))),NA(),INDEX(big_daily_table,MATCH(DATE(X$5,$J294,$I294),daily_dates,0),MATCH($B$3,daily_items,0)))</f>
        <v>#N/A</v>
      </c>
      <c r="Y294" s="1" t="str">
        <f t="array" ref="Y294">IF(ISBLANK(INDEX(big_daily_table,MATCH(DATE(Y$5,$J294,$I294),daily_dates,0),MATCH($B$3,daily_items,0))),NA(),INDEX(big_daily_table,MATCH(DATE(Y$5,$J294,$I294),daily_dates,0),MATCH($B$3,daily_items,0)))</f>
        <v>#N/A</v>
      </c>
      <c r="Z294" s="1" t="str">
        <f t="shared" si="5"/>
        <v>#NAME?</v>
      </c>
      <c r="AA294" s="1" t="str">
        <f t="shared" si="6"/>
        <v>#NAME?</v>
      </c>
      <c r="AB294" s="1" t="str">
        <f t="shared" si="7"/>
        <v>#NAME?</v>
      </c>
      <c r="AC294" s="1" t="str">
        <f t="shared" si="8"/>
        <v>#NAME?</v>
      </c>
    </row>
    <row r="295" ht="14.25" customHeight="1">
      <c r="H295" s="1">
        <f t="shared" si="9"/>
        <v>290</v>
      </c>
      <c r="I295" s="1">
        <f t="shared" si="2"/>
        <v>16</v>
      </c>
      <c r="J295" s="1">
        <f t="shared" si="3"/>
        <v>10</v>
      </c>
      <c r="K295" s="23">
        <f t="shared" si="10"/>
        <v>36815</v>
      </c>
      <c r="L295" s="24">
        <f t="shared" si="4"/>
        <v>1000000</v>
      </c>
      <c r="M295" s="1" t="str">
        <f t="array" ref="M295">IF(K295&gt;0,INDEX(big_daily_table,MATCH(DATE(N$5,$J295,$I295),daily_dates,0),MATCH($B$3,daily_items,0)),NA())</f>
        <v>#N/A</v>
      </c>
      <c r="N295" s="1" t="str">
        <f t="array" ref="N295">IF(L295&lt;0,INDEX(big_daily_table,MATCH(DATE(N$5,$J295,$I295),daily_dates,0),MATCH($B$3,daily_items,0)),NA())</f>
        <v>#N/A</v>
      </c>
      <c r="O295" s="1" t="str">
        <f t="array" ref="O295">IF(ISBLANK(INDEX(big_daily_table,MATCH(DATE(O$5,$J295,$I295),daily_dates,0),MATCH($B$3,daily_items,0))),NA(),INDEX(big_daily_table,MATCH(DATE(O$5,$J295,$I295),daily_dates,0),MATCH($B$3,daily_items,0)))</f>
        <v>#N/A</v>
      </c>
      <c r="P295" s="1" t="str">
        <f t="array" ref="P295">IF(ISBLANK(INDEX(big_daily_table,MATCH(DATE(P$5,$J295,$I295),daily_dates,0),MATCH($B$3,daily_items,0))),NA(),INDEX(big_daily_table,MATCH(DATE(P$5,$J295,$I295),daily_dates,0),MATCH($B$3,daily_items,0)))</f>
        <v>#N/A</v>
      </c>
      <c r="Q295" s="1" t="str">
        <f t="array" ref="Q295">IF(ISBLANK(INDEX(big_daily_table,MATCH(DATE(Q$5,$J295,$I295),daily_dates,0),MATCH($B$3,daily_items,0))),NA(),INDEX(big_daily_table,MATCH(DATE(Q$5,$J295,$I295),daily_dates,0),MATCH($B$3,daily_items,0)))</f>
        <v>#N/A</v>
      </c>
      <c r="R295" s="1" t="str">
        <f t="array" ref="R295">IF(ISBLANK(INDEX(big_daily_table,MATCH(DATE(R$5,$J295,$I295),daily_dates,0),MATCH($B$3,daily_items,0))),NA(),INDEX(big_daily_table,MATCH(DATE(R$5,$J295,$I295),daily_dates,0),MATCH($B$3,daily_items,0)))</f>
        <v>#N/A</v>
      </c>
      <c r="S295" s="1" t="str">
        <f t="array" ref="S295">IF(ISBLANK(INDEX(big_daily_table,MATCH(DATE(S$5,$J295,$I295),daily_dates,0),MATCH($B$3,daily_items,0))),NA(),INDEX(big_daily_table,MATCH(DATE(S$5,$J295,$I295),daily_dates,0),MATCH($B$3,daily_items,0)))</f>
        <v>#N/A</v>
      </c>
      <c r="T295" s="1" t="str">
        <f t="array" ref="T295">IF(ISBLANK(INDEX(big_daily_table,MATCH(DATE(T$5,$J295,$I295),daily_dates,0),MATCH($B$3,daily_items,0))),NA(),INDEX(big_daily_table,MATCH(DATE(T$5,$J295,$I295),daily_dates,0),MATCH($B$3,daily_items,0)))</f>
        <v>#N/A</v>
      </c>
      <c r="U295" s="1" t="str">
        <f t="array" ref="U295">IF(ISBLANK(INDEX(big_daily_table,MATCH(DATE(U$5,$J295,$I295),daily_dates,0),MATCH($B$3,daily_items,0))),NA(),INDEX(big_daily_table,MATCH(DATE(U$5,$J295,$I295),daily_dates,0),MATCH($B$3,daily_items,0)))</f>
        <v>#N/A</v>
      </c>
      <c r="V295" s="1" t="str">
        <f t="array" ref="V295">IF(ISBLANK(INDEX(big_daily_table,MATCH(DATE(V$5,$J295,$I295),daily_dates,0),MATCH($B$3,daily_items,0))),NA(),INDEX(big_daily_table,MATCH(DATE(V$5,$J295,$I295),daily_dates,0),MATCH($B$3,daily_items,0)))</f>
        <v>#N/A</v>
      </c>
      <c r="W295" s="1" t="str">
        <f t="array" ref="W295">IF(ISBLANK(INDEX(big_daily_table,MATCH(DATE(W$5,$J295,$I295),daily_dates,0),MATCH($B$3,daily_items,0))),NA(),INDEX(big_daily_table,MATCH(DATE(W$5,$J295,$I295),daily_dates,0),MATCH($B$3,daily_items,0)))</f>
        <v>#N/A</v>
      </c>
      <c r="X295" s="1" t="str">
        <f t="array" ref="X295">IF(ISBLANK(INDEX(big_daily_table,MATCH(DATE(X$5,$J295,$I295),daily_dates,0),MATCH($B$3,daily_items,0))),NA(),INDEX(big_daily_table,MATCH(DATE(X$5,$J295,$I295),daily_dates,0),MATCH($B$3,daily_items,0)))</f>
        <v>#N/A</v>
      </c>
      <c r="Y295" s="1" t="str">
        <f t="array" ref="Y295">IF(ISBLANK(INDEX(big_daily_table,MATCH(DATE(Y$5,$J295,$I295),daily_dates,0),MATCH($B$3,daily_items,0))),NA(),INDEX(big_daily_table,MATCH(DATE(Y$5,$J295,$I295),daily_dates,0),MATCH($B$3,daily_items,0)))</f>
        <v>#N/A</v>
      </c>
      <c r="Z295" s="1" t="str">
        <f t="shared" si="5"/>
        <v>#NAME?</v>
      </c>
      <c r="AA295" s="1" t="str">
        <f t="shared" si="6"/>
        <v>#NAME?</v>
      </c>
      <c r="AB295" s="1" t="str">
        <f t="shared" si="7"/>
        <v>#NAME?</v>
      </c>
      <c r="AC295" s="1" t="str">
        <f t="shared" si="8"/>
        <v>#NAME?</v>
      </c>
    </row>
    <row r="296" ht="14.25" customHeight="1">
      <c r="H296" s="1">
        <f t="shared" si="9"/>
        <v>291</v>
      </c>
      <c r="I296" s="1">
        <f t="shared" si="2"/>
        <v>17</v>
      </c>
      <c r="J296" s="1">
        <f t="shared" si="3"/>
        <v>10</v>
      </c>
      <c r="K296" s="23">
        <f t="shared" si="10"/>
        <v>36816</v>
      </c>
      <c r="L296" s="24">
        <f t="shared" si="4"/>
        <v>1000000</v>
      </c>
      <c r="M296" s="1" t="str">
        <f t="array" ref="M296">IF(K296&gt;0,INDEX(big_daily_table,MATCH(DATE(N$5,$J296,$I296),daily_dates,0),MATCH($B$3,daily_items,0)),NA())</f>
        <v>#N/A</v>
      </c>
      <c r="N296" s="1" t="str">
        <f t="array" ref="N296">IF(L296&lt;0,INDEX(big_daily_table,MATCH(DATE(N$5,$J296,$I296),daily_dates,0),MATCH($B$3,daily_items,0)),NA())</f>
        <v>#N/A</v>
      </c>
      <c r="O296" s="1" t="str">
        <f t="array" ref="O296">IF(ISBLANK(INDEX(big_daily_table,MATCH(DATE(O$5,$J296,$I296),daily_dates,0),MATCH($B$3,daily_items,0))),NA(),INDEX(big_daily_table,MATCH(DATE(O$5,$J296,$I296),daily_dates,0),MATCH($B$3,daily_items,0)))</f>
        <v>#N/A</v>
      </c>
      <c r="P296" s="1" t="str">
        <f t="array" ref="P296">IF(ISBLANK(INDEX(big_daily_table,MATCH(DATE(P$5,$J296,$I296),daily_dates,0),MATCH($B$3,daily_items,0))),NA(),INDEX(big_daily_table,MATCH(DATE(P$5,$J296,$I296),daily_dates,0),MATCH($B$3,daily_items,0)))</f>
        <v>#N/A</v>
      </c>
      <c r="Q296" s="1" t="str">
        <f t="array" ref="Q296">IF(ISBLANK(INDEX(big_daily_table,MATCH(DATE(Q$5,$J296,$I296),daily_dates,0),MATCH($B$3,daily_items,0))),NA(),INDEX(big_daily_table,MATCH(DATE(Q$5,$J296,$I296),daily_dates,0),MATCH($B$3,daily_items,0)))</f>
        <v>#N/A</v>
      </c>
      <c r="R296" s="1" t="str">
        <f t="array" ref="R296">IF(ISBLANK(INDEX(big_daily_table,MATCH(DATE(R$5,$J296,$I296),daily_dates,0),MATCH($B$3,daily_items,0))),NA(),INDEX(big_daily_table,MATCH(DATE(R$5,$J296,$I296),daily_dates,0),MATCH($B$3,daily_items,0)))</f>
        <v>#N/A</v>
      </c>
      <c r="S296" s="1" t="str">
        <f t="array" ref="S296">IF(ISBLANK(INDEX(big_daily_table,MATCH(DATE(S$5,$J296,$I296),daily_dates,0),MATCH($B$3,daily_items,0))),NA(),INDEX(big_daily_table,MATCH(DATE(S$5,$J296,$I296),daily_dates,0),MATCH($B$3,daily_items,0)))</f>
        <v>#N/A</v>
      </c>
      <c r="T296" s="1" t="str">
        <f t="array" ref="T296">IF(ISBLANK(INDEX(big_daily_table,MATCH(DATE(T$5,$J296,$I296),daily_dates,0),MATCH($B$3,daily_items,0))),NA(),INDEX(big_daily_table,MATCH(DATE(T$5,$J296,$I296),daily_dates,0),MATCH($B$3,daily_items,0)))</f>
        <v>#N/A</v>
      </c>
      <c r="U296" s="1" t="str">
        <f t="array" ref="U296">IF(ISBLANK(INDEX(big_daily_table,MATCH(DATE(U$5,$J296,$I296),daily_dates,0),MATCH($B$3,daily_items,0))),NA(),INDEX(big_daily_table,MATCH(DATE(U$5,$J296,$I296),daily_dates,0),MATCH($B$3,daily_items,0)))</f>
        <v>#N/A</v>
      </c>
      <c r="V296" s="1" t="str">
        <f t="array" ref="V296">IF(ISBLANK(INDEX(big_daily_table,MATCH(DATE(V$5,$J296,$I296),daily_dates,0),MATCH($B$3,daily_items,0))),NA(),INDEX(big_daily_table,MATCH(DATE(V$5,$J296,$I296),daily_dates,0),MATCH($B$3,daily_items,0)))</f>
        <v>#N/A</v>
      </c>
      <c r="W296" s="1" t="str">
        <f t="array" ref="W296">IF(ISBLANK(INDEX(big_daily_table,MATCH(DATE(W$5,$J296,$I296),daily_dates,0),MATCH($B$3,daily_items,0))),NA(),INDEX(big_daily_table,MATCH(DATE(W$5,$J296,$I296),daily_dates,0),MATCH($B$3,daily_items,0)))</f>
        <v>#N/A</v>
      </c>
      <c r="X296" s="1" t="str">
        <f t="array" ref="X296">IF(ISBLANK(INDEX(big_daily_table,MATCH(DATE(X$5,$J296,$I296),daily_dates,0),MATCH($B$3,daily_items,0))),NA(),INDEX(big_daily_table,MATCH(DATE(X$5,$J296,$I296),daily_dates,0),MATCH($B$3,daily_items,0)))</f>
        <v>#N/A</v>
      </c>
      <c r="Y296" s="1" t="str">
        <f t="array" ref="Y296">IF(ISBLANK(INDEX(big_daily_table,MATCH(DATE(Y$5,$J296,$I296),daily_dates,0),MATCH($B$3,daily_items,0))),NA(),INDEX(big_daily_table,MATCH(DATE(Y$5,$J296,$I296),daily_dates,0),MATCH($B$3,daily_items,0)))</f>
        <v>#N/A</v>
      </c>
      <c r="Z296" s="1" t="str">
        <f t="shared" si="5"/>
        <v>#NAME?</v>
      </c>
      <c r="AA296" s="1" t="str">
        <f t="shared" si="6"/>
        <v>#NAME?</v>
      </c>
      <c r="AB296" s="1" t="str">
        <f t="shared" si="7"/>
        <v>#NAME?</v>
      </c>
      <c r="AC296" s="1" t="str">
        <f t="shared" si="8"/>
        <v>#NAME?</v>
      </c>
    </row>
    <row r="297" ht="14.25" customHeight="1">
      <c r="H297" s="1">
        <f t="shared" si="9"/>
        <v>292</v>
      </c>
      <c r="I297" s="1">
        <f t="shared" si="2"/>
        <v>18</v>
      </c>
      <c r="J297" s="1">
        <f t="shared" si="3"/>
        <v>10</v>
      </c>
      <c r="K297" s="23">
        <f t="shared" si="10"/>
        <v>36817</v>
      </c>
      <c r="L297" s="24">
        <f t="shared" si="4"/>
        <v>1000000</v>
      </c>
      <c r="M297" s="1" t="str">
        <f t="array" ref="M297">IF(K297&gt;0,INDEX(big_daily_table,MATCH(DATE(N$5,$J297,$I297),daily_dates,0),MATCH($B$3,daily_items,0)),NA())</f>
        <v>#N/A</v>
      </c>
      <c r="N297" s="1" t="str">
        <f t="array" ref="N297">IF(L297&lt;0,INDEX(big_daily_table,MATCH(DATE(N$5,$J297,$I297),daily_dates,0),MATCH($B$3,daily_items,0)),NA())</f>
        <v>#N/A</v>
      </c>
      <c r="O297" s="1" t="str">
        <f t="array" ref="O297">IF(ISBLANK(INDEX(big_daily_table,MATCH(DATE(O$5,$J297,$I297),daily_dates,0),MATCH($B$3,daily_items,0))),NA(),INDEX(big_daily_table,MATCH(DATE(O$5,$J297,$I297),daily_dates,0),MATCH($B$3,daily_items,0)))</f>
        <v>#N/A</v>
      </c>
      <c r="P297" s="1" t="str">
        <f t="array" ref="P297">IF(ISBLANK(INDEX(big_daily_table,MATCH(DATE(P$5,$J297,$I297),daily_dates,0),MATCH($B$3,daily_items,0))),NA(),INDEX(big_daily_table,MATCH(DATE(P$5,$J297,$I297),daily_dates,0),MATCH($B$3,daily_items,0)))</f>
        <v>#N/A</v>
      </c>
      <c r="Q297" s="1" t="str">
        <f t="array" ref="Q297">IF(ISBLANK(INDEX(big_daily_table,MATCH(DATE(Q$5,$J297,$I297),daily_dates,0),MATCH($B$3,daily_items,0))),NA(),INDEX(big_daily_table,MATCH(DATE(Q$5,$J297,$I297),daily_dates,0),MATCH($B$3,daily_items,0)))</f>
        <v>#N/A</v>
      </c>
      <c r="R297" s="1" t="str">
        <f t="array" ref="R297">IF(ISBLANK(INDEX(big_daily_table,MATCH(DATE(R$5,$J297,$I297),daily_dates,0),MATCH($B$3,daily_items,0))),NA(),INDEX(big_daily_table,MATCH(DATE(R$5,$J297,$I297),daily_dates,0),MATCH($B$3,daily_items,0)))</f>
        <v>#N/A</v>
      </c>
      <c r="S297" s="1" t="str">
        <f t="array" ref="S297">IF(ISBLANK(INDEX(big_daily_table,MATCH(DATE(S$5,$J297,$I297),daily_dates,0),MATCH($B$3,daily_items,0))),NA(),INDEX(big_daily_table,MATCH(DATE(S$5,$J297,$I297),daily_dates,0),MATCH($B$3,daily_items,0)))</f>
        <v>#N/A</v>
      </c>
      <c r="T297" s="1" t="str">
        <f t="array" ref="T297">IF(ISBLANK(INDEX(big_daily_table,MATCH(DATE(T$5,$J297,$I297),daily_dates,0),MATCH($B$3,daily_items,0))),NA(),INDEX(big_daily_table,MATCH(DATE(T$5,$J297,$I297),daily_dates,0),MATCH($B$3,daily_items,0)))</f>
        <v>#N/A</v>
      </c>
      <c r="U297" s="1" t="str">
        <f t="array" ref="U297">IF(ISBLANK(INDEX(big_daily_table,MATCH(DATE(U$5,$J297,$I297),daily_dates,0),MATCH($B$3,daily_items,0))),NA(),INDEX(big_daily_table,MATCH(DATE(U$5,$J297,$I297),daily_dates,0),MATCH($B$3,daily_items,0)))</f>
        <v>#N/A</v>
      </c>
      <c r="V297" s="1" t="str">
        <f t="array" ref="V297">IF(ISBLANK(INDEX(big_daily_table,MATCH(DATE(V$5,$J297,$I297),daily_dates,0),MATCH($B$3,daily_items,0))),NA(),INDEX(big_daily_table,MATCH(DATE(V$5,$J297,$I297),daily_dates,0),MATCH($B$3,daily_items,0)))</f>
        <v>#N/A</v>
      </c>
      <c r="W297" s="1" t="str">
        <f t="array" ref="W297">IF(ISBLANK(INDEX(big_daily_table,MATCH(DATE(W$5,$J297,$I297),daily_dates,0),MATCH($B$3,daily_items,0))),NA(),INDEX(big_daily_table,MATCH(DATE(W$5,$J297,$I297),daily_dates,0),MATCH($B$3,daily_items,0)))</f>
        <v>#N/A</v>
      </c>
      <c r="X297" s="1" t="str">
        <f t="array" ref="X297">IF(ISBLANK(INDEX(big_daily_table,MATCH(DATE(X$5,$J297,$I297),daily_dates,0),MATCH($B$3,daily_items,0))),NA(),INDEX(big_daily_table,MATCH(DATE(X$5,$J297,$I297),daily_dates,0),MATCH($B$3,daily_items,0)))</f>
        <v>#N/A</v>
      </c>
      <c r="Y297" s="1" t="str">
        <f t="array" ref="Y297">IF(ISBLANK(INDEX(big_daily_table,MATCH(DATE(Y$5,$J297,$I297),daily_dates,0),MATCH($B$3,daily_items,0))),NA(),INDEX(big_daily_table,MATCH(DATE(Y$5,$J297,$I297),daily_dates,0),MATCH($B$3,daily_items,0)))</f>
        <v>#N/A</v>
      </c>
      <c r="Z297" s="1" t="str">
        <f t="shared" si="5"/>
        <v>#NAME?</v>
      </c>
      <c r="AA297" s="1" t="str">
        <f t="shared" si="6"/>
        <v>#NAME?</v>
      </c>
      <c r="AB297" s="1" t="str">
        <f t="shared" si="7"/>
        <v>#NAME?</v>
      </c>
      <c r="AC297" s="1" t="str">
        <f t="shared" si="8"/>
        <v>#NAME?</v>
      </c>
    </row>
    <row r="298" ht="14.25" customHeight="1">
      <c r="H298" s="1">
        <f t="shared" si="9"/>
        <v>293</v>
      </c>
      <c r="I298" s="1">
        <f t="shared" si="2"/>
        <v>19</v>
      </c>
      <c r="J298" s="1">
        <f t="shared" si="3"/>
        <v>10</v>
      </c>
      <c r="K298" s="23">
        <f t="shared" si="10"/>
        <v>36818</v>
      </c>
      <c r="L298" s="24">
        <f t="shared" si="4"/>
        <v>1000000</v>
      </c>
      <c r="M298" s="1" t="str">
        <f t="array" ref="M298">IF(K298&gt;0,INDEX(big_daily_table,MATCH(DATE(N$5,$J298,$I298),daily_dates,0),MATCH($B$3,daily_items,0)),NA())</f>
        <v>#N/A</v>
      </c>
      <c r="N298" s="1" t="str">
        <f t="array" ref="N298">IF(L298&lt;0,INDEX(big_daily_table,MATCH(DATE(N$5,$J298,$I298),daily_dates,0),MATCH($B$3,daily_items,0)),NA())</f>
        <v>#N/A</v>
      </c>
      <c r="O298" s="1" t="str">
        <f t="array" ref="O298">IF(ISBLANK(INDEX(big_daily_table,MATCH(DATE(O$5,$J298,$I298),daily_dates,0),MATCH($B$3,daily_items,0))),NA(),INDEX(big_daily_table,MATCH(DATE(O$5,$J298,$I298),daily_dates,0),MATCH($B$3,daily_items,0)))</f>
        <v>#N/A</v>
      </c>
      <c r="P298" s="1" t="str">
        <f t="array" ref="P298">IF(ISBLANK(INDEX(big_daily_table,MATCH(DATE(P$5,$J298,$I298),daily_dates,0),MATCH($B$3,daily_items,0))),NA(),INDEX(big_daily_table,MATCH(DATE(P$5,$J298,$I298),daily_dates,0),MATCH($B$3,daily_items,0)))</f>
        <v>#N/A</v>
      </c>
      <c r="Q298" s="1" t="str">
        <f t="array" ref="Q298">IF(ISBLANK(INDEX(big_daily_table,MATCH(DATE(Q$5,$J298,$I298),daily_dates,0),MATCH($B$3,daily_items,0))),NA(),INDEX(big_daily_table,MATCH(DATE(Q$5,$J298,$I298),daily_dates,0),MATCH($B$3,daily_items,0)))</f>
        <v>#N/A</v>
      </c>
      <c r="R298" s="1" t="str">
        <f t="array" ref="R298">IF(ISBLANK(INDEX(big_daily_table,MATCH(DATE(R$5,$J298,$I298),daily_dates,0),MATCH($B$3,daily_items,0))),NA(),INDEX(big_daily_table,MATCH(DATE(R$5,$J298,$I298),daily_dates,0),MATCH($B$3,daily_items,0)))</f>
        <v>#N/A</v>
      </c>
      <c r="S298" s="1" t="str">
        <f t="array" ref="S298">IF(ISBLANK(INDEX(big_daily_table,MATCH(DATE(S$5,$J298,$I298),daily_dates,0),MATCH($B$3,daily_items,0))),NA(),INDEX(big_daily_table,MATCH(DATE(S$5,$J298,$I298),daily_dates,0),MATCH($B$3,daily_items,0)))</f>
        <v>#N/A</v>
      </c>
      <c r="T298" s="1" t="str">
        <f t="array" ref="T298">IF(ISBLANK(INDEX(big_daily_table,MATCH(DATE(T$5,$J298,$I298),daily_dates,0),MATCH($B$3,daily_items,0))),NA(),INDEX(big_daily_table,MATCH(DATE(T$5,$J298,$I298),daily_dates,0),MATCH($B$3,daily_items,0)))</f>
        <v>#N/A</v>
      </c>
      <c r="U298" s="1" t="str">
        <f t="array" ref="U298">IF(ISBLANK(INDEX(big_daily_table,MATCH(DATE(U$5,$J298,$I298),daily_dates,0),MATCH($B$3,daily_items,0))),NA(),INDEX(big_daily_table,MATCH(DATE(U$5,$J298,$I298),daily_dates,0),MATCH($B$3,daily_items,0)))</f>
        <v>#N/A</v>
      </c>
      <c r="V298" s="1" t="str">
        <f t="array" ref="V298">IF(ISBLANK(INDEX(big_daily_table,MATCH(DATE(V$5,$J298,$I298),daily_dates,0),MATCH($B$3,daily_items,0))),NA(),INDEX(big_daily_table,MATCH(DATE(V$5,$J298,$I298),daily_dates,0),MATCH($B$3,daily_items,0)))</f>
        <v>#N/A</v>
      </c>
      <c r="W298" s="1" t="str">
        <f t="array" ref="W298">IF(ISBLANK(INDEX(big_daily_table,MATCH(DATE(W$5,$J298,$I298),daily_dates,0),MATCH($B$3,daily_items,0))),NA(),INDEX(big_daily_table,MATCH(DATE(W$5,$J298,$I298),daily_dates,0),MATCH($B$3,daily_items,0)))</f>
        <v>#N/A</v>
      </c>
      <c r="X298" s="1" t="str">
        <f t="array" ref="X298">IF(ISBLANK(INDEX(big_daily_table,MATCH(DATE(X$5,$J298,$I298),daily_dates,0),MATCH($B$3,daily_items,0))),NA(),INDEX(big_daily_table,MATCH(DATE(X$5,$J298,$I298),daily_dates,0),MATCH($B$3,daily_items,0)))</f>
        <v>#N/A</v>
      </c>
      <c r="Y298" s="1" t="str">
        <f t="array" ref="Y298">IF(ISBLANK(INDEX(big_daily_table,MATCH(DATE(Y$5,$J298,$I298),daily_dates,0),MATCH($B$3,daily_items,0))),NA(),INDEX(big_daily_table,MATCH(DATE(Y$5,$J298,$I298),daily_dates,0),MATCH($B$3,daily_items,0)))</f>
        <v>#N/A</v>
      </c>
      <c r="Z298" s="1" t="str">
        <f t="shared" si="5"/>
        <v>#NAME?</v>
      </c>
      <c r="AA298" s="1" t="str">
        <f t="shared" si="6"/>
        <v>#NAME?</v>
      </c>
      <c r="AB298" s="1" t="str">
        <f t="shared" si="7"/>
        <v>#NAME?</v>
      </c>
      <c r="AC298" s="1" t="str">
        <f t="shared" si="8"/>
        <v>#NAME?</v>
      </c>
    </row>
    <row r="299" ht="14.25" customHeight="1">
      <c r="H299" s="1">
        <f t="shared" si="9"/>
        <v>294</v>
      </c>
      <c r="I299" s="1">
        <f t="shared" si="2"/>
        <v>20</v>
      </c>
      <c r="J299" s="1">
        <f t="shared" si="3"/>
        <v>10</v>
      </c>
      <c r="K299" s="23">
        <f t="shared" si="10"/>
        <v>36819</v>
      </c>
      <c r="L299" s="24">
        <f t="shared" si="4"/>
        <v>1000000</v>
      </c>
      <c r="M299" s="1" t="str">
        <f t="array" ref="M299">IF(K299&gt;0,INDEX(big_daily_table,MATCH(DATE(N$5,$J299,$I299),daily_dates,0),MATCH($B$3,daily_items,0)),NA())</f>
        <v>#N/A</v>
      </c>
      <c r="N299" s="1" t="str">
        <f t="array" ref="N299">IF(L299&lt;0,INDEX(big_daily_table,MATCH(DATE(N$5,$J299,$I299),daily_dates,0),MATCH($B$3,daily_items,0)),NA())</f>
        <v>#N/A</v>
      </c>
      <c r="O299" s="1" t="str">
        <f t="array" ref="O299">IF(ISBLANK(INDEX(big_daily_table,MATCH(DATE(O$5,$J299,$I299),daily_dates,0),MATCH($B$3,daily_items,0))),NA(),INDEX(big_daily_table,MATCH(DATE(O$5,$J299,$I299),daily_dates,0),MATCH($B$3,daily_items,0)))</f>
        <v>#N/A</v>
      </c>
      <c r="P299" s="1" t="str">
        <f t="array" ref="P299">IF(ISBLANK(INDEX(big_daily_table,MATCH(DATE(P$5,$J299,$I299),daily_dates,0),MATCH($B$3,daily_items,0))),NA(),INDEX(big_daily_table,MATCH(DATE(P$5,$J299,$I299),daily_dates,0),MATCH($B$3,daily_items,0)))</f>
        <v>#N/A</v>
      </c>
      <c r="Q299" s="1" t="str">
        <f t="array" ref="Q299">IF(ISBLANK(INDEX(big_daily_table,MATCH(DATE(Q$5,$J299,$I299),daily_dates,0),MATCH($B$3,daily_items,0))),NA(),INDEX(big_daily_table,MATCH(DATE(Q$5,$J299,$I299),daily_dates,0),MATCH($B$3,daily_items,0)))</f>
        <v>#N/A</v>
      </c>
      <c r="R299" s="1" t="str">
        <f t="array" ref="R299">IF(ISBLANK(INDEX(big_daily_table,MATCH(DATE(R$5,$J299,$I299),daily_dates,0),MATCH($B$3,daily_items,0))),NA(),INDEX(big_daily_table,MATCH(DATE(R$5,$J299,$I299),daily_dates,0),MATCH($B$3,daily_items,0)))</f>
        <v>#N/A</v>
      </c>
      <c r="S299" s="1" t="str">
        <f t="array" ref="S299">IF(ISBLANK(INDEX(big_daily_table,MATCH(DATE(S$5,$J299,$I299),daily_dates,0),MATCH($B$3,daily_items,0))),NA(),INDEX(big_daily_table,MATCH(DATE(S$5,$J299,$I299),daily_dates,0),MATCH($B$3,daily_items,0)))</f>
        <v>#N/A</v>
      </c>
      <c r="T299" s="1" t="str">
        <f t="array" ref="T299">IF(ISBLANK(INDEX(big_daily_table,MATCH(DATE(T$5,$J299,$I299),daily_dates,0),MATCH($B$3,daily_items,0))),NA(),INDEX(big_daily_table,MATCH(DATE(T$5,$J299,$I299),daily_dates,0),MATCH($B$3,daily_items,0)))</f>
        <v>#N/A</v>
      </c>
      <c r="U299" s="1" t="str">
        <f t="array" ref="U299">IF(ISBLANK(INDEX(big_daily_table,MATCH(DATE(U$5,$J299,$I299),daily_dates,0),MATCH($B$3,daily_items,0))),NA(),INDEX(big_daily_table,MATCH(DATE(U$5,$J299,$I299),daily_dates,0),MATCH($B$3,daily_items,0)))</f>
        <v>#N/A</v>
      </c>
      <c r="V299" s="1" t="str">
        <f t="array" ref="V299">IF(ISBLANK(INDEX(big_daily_table,MATCH(DATE(V$5,$J299,$I299),daily_dates,0),MATCH($B$3,daily_items,0))),NA(),INDEX(big_daily_table,MATCH(DATE(V$5,$J299,$I299),daily_dates,0),MATCH($B$3,daily_items,0)))</f>
        <v>#N/A</v>
      </c>
      <c r="W299" s="1" t="str">
        <f t="array" ref="W299">IF(ISBLANK(INDEX(big_daily_table,MATCH(DATE(W$5,$J299,$I299),daily_dates,0),MATCH($B$3,daily_items,0))),NA(),INDEX(big_daily_table,MATCH(DATE(W$5,$J299,$I299),daily_dates,0),MATCH($B$3,daily_items,0)))</f>
        <v>#N/A</v>
      </c>
      <c r="X299" s="1" t="str">
        <f t="array" ref="X299">IF(ISBLANK(INDEX(big_daily_table,MATCH(DATE(X$5,$J299,$I299),daily_dates,0),MATCH($B$3,daily_items,0))),NA(),INDEX(big_daily_table,MATCH(DATE(X$5,$J299,$I299),daily_dates,0),MATCH($B$3,daily_items,0)))</f>
        <v>#N/A</v>
      </c>
      <c r="Y299" s="1" t="str">
        <f t="array" ref="Y299">IF(ISBLANK(INDEX(big_daily_table,MATCH(DATE(Y$5,$J299,$I299),daily_dates,0),MATCH($B$3,daily_items,0))),NA(),INDEX(big_daily_table,MATCH(DATE(Y$5,$J299,$I299),daily_dates,0),MATCH($B$3,daily_items,0)))</f>
        <v>#N/A</v>
      </c>
      <c r="Z299" s="1" t="str">
        <f t="shared" si="5"/>
        <v>#NAME?</v>
      </c>
      <c r="AA299" s="1" t="str">
        <f t="shared" si="6"/>
        <v>#NAME?</v>
      </c>
      <c r="AB299" s="1" t="str">
        <f t="shared" si="7"/>
        <v>#NAME?</v>
      </c>
      <c r="AC299" s="1" t="str">
        <f t="shared" si="8"/>
        <v>#NAME?</v>
      </c>
    </row>
    <row r="300" ht="14.25" customHeight="1">
      <c r="H300" s="1">
        <f t="shared" si="9"/>
        <v>295</v>
      </c>
      <c r="I300" s="1">
        <f t="shared" si="2"/>
        <v>21</v>
      </c>
      <c r="J300" s="1">
        <f t="shared" si="3"/>
        <v>10</v>
      </c>
      <c r="K300" s="23">
        <f t="shared" si="10"/>
        <v>36820</v>
      </c>
      <c r="L300" s="24">
        <f t="shared" si="4"/>
        <v>1000000</v>
      </c>
      <c r="M300" s="1" t="str">
        <f t="array" ref="M300">IF(K300&gt;0,INDEX(big_daily_table,MATCH(DATE(N$5,$J300,$I300),daily_dates,0),MATCH($B$3,daily_items,0)),NA())</f>
        <v>#N/A</v>
      </c>
      <c r="N300" s="1" t="str">
        <f t="array" ref="N300">IF(L300&lt;0,INDEX(big_daily_table,MATCH(DATE(N$5,$J300,$I300),daily_dates,0),MATCH($B$3,daily_items,0)),NA())</f>
        <v>#N/A</v>
      </c>
      <c r="O300" s="1" t="str">
        <f t="array" ref="O300">IF(ISBLANK(INDEX(big_daily_table,MATCH(DATE(O$5,$J300,$I300),daily_dates,0),MATCH($B$3,daily_items,0))),NA(),INDEX(big_daily_table,MATCH(DATE(O$5,$J300,$I300),daily_dates,0),MATCH($B$3,daily_items,0)))</f>
        <v>#N/A</v>
      </c>
      <c r="P300" s="1" t="str">
        <f t="array" ref="P300">IF(ISBLANK(INDEX(big_daily_table,MATCH(DATE(P$5,$J300,$I300),daily_dates,0),MATCH($B$3,daily_items,0))),NA(),INDEX(big_daily_table,MATCH(DATE(P$5,$J300,$I300),daily_dates,0),MATCH($B$3,daily_items,0)))</f>
        <v>#N/A</v>
      </c>
      <c r="Q300" s="1" t="str">
        <f t="array" ref="Q300">IF(ISBLANK(INDEX(big_daily_table,MATCH(DATE(Q$5,$J300,$I300),daily_dates,0),MATCH($B$3,daily_items,0))),NA(),INDEX(big_daily_table,MATCH(DATE(Q$5,$J300,$I300),daily_dates,0),MATCH($B$3,daily_items,0)))</f>
        <v>#N/A</v>
      </c>
      <c r="R300" s="1" t="str">
        <f t="array" ref="R300">IF(ISBLANK(INDEX(big_daily_table,MATCH(DATE(R$5,$J300,$I300),daily_dates,0),MATCH($B$3,daily_items,0))),NA(),INDEX(big_daily_table,MATCH(DATE(R$5,$J300,$I300),daily_dates,0),MATCH($B$3,daily_items,0)))</f>
        <v>#N/A</v>
      </c>
      <c r="S300" s="1" t="str">
        <f t="array" ref="S300">IF(ISBLANK(INDEX(big_daily_table,MATCH(DATE(S$5,$J300,$I300),daily_dates,0),MATCH($B$3,daily_items,0))),NA(),INDEX(big_daily_table,MATCH(DATE(S$5,$J300,$I300),daily_dates,0),MATCH($B$3,daily_items,0)))</f>
        <v>#N/A</v>
      </c>
      <c r="T300" s="1" t="str">
        <f t="array" ref="T300">IF(ISBLANK(INDEX(big_daily_table,MATCH(DATE(T$5,$J300,$I300),daily_dates,0),MATCH($B$3,daily_items,0))),NA(),INDEX(big_daily_table,MATCH(DATE(T$5,$J300,$I300),daily_dates,0),MATCH($B$3,daily_items,0)))</f>
        <v>#N/A</v>
      </c>
      <c r="U300" s="1" t="str">
        <f t="array" ref="U300">IF(ISBLANK(INDEX(big_daily_table,MATCH(DATE(U$5,$J300,$I300),daily_dates,0),MATCH($B$3,daily_items,0))),NA(),INDEX(big_daily_table,MATCH(DATE(U$5,$J300,$I300),daily_dates,0),MATCH($B$3,daily_items,0)))</f>
        <v>#N/A</v>
      </c>
      <c r="V300" s="1" t="str">
        <f t="array" ref="V300">IF(ISBLANK(INDEX(big_daily_table,MATCH(DATE(V$5,$J300,$I300),daily_dates,0),MATCH($B$3,daily_items,0))),NA(),INDEX(big_daily_table,MATCH(DATE(V$5,$J300,$I300),daily_dates,0),MATCH($B$3,daily_items,0)))</f>
        <v>#N/A</v>
      </c>
      <c r="W300" s="1" t="str">
        <f t="array" ref="W300">IF(ISBLANK(INDEX(big_daily_table,MATCH(DATE(W$5,$J300,$I300),daily_dates,0),MATCH($B$3,daily_items,0))),NA(),INDEX(big_daily_table,MATCH(DATE(W$5,$J300,$I300),daily_dates,0),MATCH($B$3,daily_items,0)))</f>
        <v>#N/A</v>
      </c>
      <c r="X300" s="1" t="str">
        <f t="array" ref="X300">IF(ISBLANK(INDEX(big_daily_table,MATCH(DATE(X$5,$J300,$I300),daily_dates,0),MATCH($B$3,daily_items,0))),NA(),INDEX(big_daily_table,MATCH(DATE(X$5,$J300,$I300),daily_dates,0),MATCH($B$3,daily_items,0)))</f>
        <v>#N/A</v>
      </c>
      <c r="Y300" s="1" t="str">
        <f t="array" ref="Y300">IF(ISBLANK(INDEX(big_daily_table,MATCH(DATE(Y$5,$J300,$I300),daily_dates,0),MATCH($B$3,daily_items,0))),NA(),INDEX(big_daily_table,MATCH(DATE(Y$5,$J300,$I300),daily_dates,0),MATCH($B$3,daily_items,0)))</f>
        <v>#N/A</v>
      </c>
      <c r="Z300" s="1" t="str">
        <f t="shared" si="5"/>
        <v>#NAME?</v>
      </c>
      <c r="AA300" s="1" t="str">
        <f t="shared" si="6"/>
        <v>#NAME?</v>
      </c>
      <c r="AB300" s="1" t="str">
        <f t="shared" si="7"/>
        <v>#NAME?</v>
      </c>
      <c r="AC300" s="1" t="str">
        <f t="shared" si="8"/>
        <v>#NAME?</v>
      </c>
    </row>
    <row r="301" ht="14.25" customHeight="1">
      <c r="H301" s="1">
        <f t="shared" si="9"/>
        <v>296</v>
      </c>
      <c r="I301" s="1">
        <f t="shared" si="2"/>
        <v>22</v>
      </c>
      <c r="J301" s="1">
        <f t="shared" si="3"/>
        <v>10</v>
      </c>
      <c r="K301" s="23">
        <f t="shared" si="10"/>
        <v>36821</v>
      </c>
      <c r="L301" s="24">
        <f t="shared" si="4"/>
        <v>1000000</v>
      </c>
      <c r="M301" s="1" t="str">
        <f t="array" ref="M301">IF(K301&gt;0,INDEX(big_daily_table,MATCH(DATE(N$5,$J301,$I301),daily_dates,0),MATCH($B$3,daily_items,0)),NA())</f>
        <v>#N/A</v>
      </c>
      <c r="N301" s="1" t="str">
        <f t="array" ref="N301">IF(L301&lt;0,INDEX(big_daily_table,MATCH(DATE(N$5,$J301,$I301),daily_dates,0),MATCH($B$3,daily_items,0)),NA())</f>
        <v>#N/A</v>
      </c>
      <c r="O301" s="1" t="str">
        <f t="array" ref="O301">IF(ISBLANK(INDEX(big_daily_table,MATCH(DATE(O$5,$J301,$I301),daily_dates,0),MATCH($B$3,daily_items,0))),NA(),INDEX(big_daily_table,MATCH(DATE(O$5,$J301,$I301),daily_dates,0),MATCH($B$3,daily_items,0)))</f>
        <v>#N/A</v>
      </c>
      <c r="P301" s="1" t="str">
        <f t="array" ref="P301">IF(ISBLANK(INDEX(big_daily_table,MATCH(DATE(P$5,$J301,$I301),daily_dates,0),MATCH($B$3,daily_items,0))),NA(),INDEX(big_daily_table,MATCH(DATE(P$5,$J301,$I301),daily_dates,0),MATCH($B$3,daily_items,0)))</f>
        <v>#N/A</v>
      </c>
      <c r="Q301" s="1" t="str">
        <f t="array" ref="Q301">IF(ISBLANK(INDEX(big_daily_table,MATCH(DATE(Q$5,$J301,$I301),daily_dates,0),MATCH($B$3,daily_items,0))),NA(),INDEX(big_daily_table,MATCH(DATE(Q$5,$J301,$I301),daily_dates,0),MATCH($B$3,daily_items,0)))</f>
        <v>#N/A</v>
      </c>
      <c r="R301" s="1" t="str">
        <f t="array" ref="R301">IF(ISBLANK(INDEX(big_daily_table,MATCH(DATE(R$5,$J301,$I301),daily_dates,0),MATCH($B$3,daily_items,0))),NA(),INDEX(big_daily_table,MATCH(DATE(R$5,$J301,$I301),daily_dates,0),MATCH($B$3,daily_items,0)))</f>
        <v>#N/A</v>
      </c>
      <c r="S301" s="1" t="str">
        <f t="array" ref="S301">IF(ISBLANK(INDEX(big_daily_table,MATCH(DATE(S$5,$J301,$I301),daily_dates,0),MATCH($B$3,daily_items,0))),NA(),INDEX(big_daily_table,MATCH(DATE(S$5,$J301,$I301),daily_dates,0),MATCH($B$3,daily_items,0)))</f>
        <v>#N/A</v>
      </c>
      <c r="T301" s="1" t="str">
        <f t="array" ref="T301">IF(ISBLANK(INDEX(big_daily_table,MATCH(DATE(T$5,$J301,$I301),daily_dates,0),MATCH($B$3,daily_items,0))),NA(),INDEX(big_daily_table,MATCH(DATE(T$5,$J301,$I301),daily_dates,0),MATCH($B$3,daily_items,0)))</f>
        <v>#N/A</v>
      </c>
      <c r="U301" s="1" t="str">
        <f t="array" ref="U301">IF(ISBLANK(INDEX(big_daily_table,MATCH(DATE(U$5,$J301,$I301),daily_dates,0),MATCH($B$3,daily_items,0))),NA(),INDEX(big_daily_table,MATCH(DATE(U$5,$J301,$I301),daily_dates,0),MATCH($B$3,daily_items,0)))</f>
        <v>#N/A</v>
      </c>
      <c r="V301" s="1" t="str">
        <f t="array" ref="V301">IF(ISBLANK(INDEX(big_daily_table,MATCH(DATE(V$5,$J301,$I301),daily_dates,0),MATCH($B$3,daily_items,0))),NA(),INDEX(big_daily_table,MATCH(DATE(V$5,$J301,$I301),daily_dates,0),MATCH($B$3,daily_items,0)))</f>
        <v>#N/A</v>
      </c>
      <c r="W301" s="1" t="str">
        <f t="array" ref="W301">IF(ISBLANK(INDEX(big_daily_table,MATCH(DATE(W$5,$J301,$I301),daily_dates,0),MATCH($B$3,daily_items,0))),NA(),INDEX(big_daily_table,MATCH(DATE(W$5,$J301,$I301),daily_dates,0),MATCH($B$3,daily_items,0)))</f>
        <v>#N/A</v>
      </c>
      <c r="X301" s="1" t="str">
        <f t="array" ref="X301">IF(ISBLANK(INDEX(big_daily_table,MATCH(DATE(X$5,$J301,$I301),daily_dates,0),MATCH($B$3,daily_items,0))),NA(),INDEX(big_daily_table,MATCH(DATE(X$5,$J301,$I301),daily_dates,0),MATCH($B$3,daily_items,0)))</f>
        <v>#N/A</v>
      </c>
      <c r="Y301" s="1" t="str">
        <f t="array" ref="Y301">IF(ISBLANK(INDEX(big_daily_table,MATCH(DATE(Y$5,$J301,$I301),daily_dates,0),MATCH($B$3,daily_items,0))),NA(),INDEX(big_daily_table,MATCH(DATE(Y$5,$J301,$I301),daily_dates,0),MATCH($B$3,daily_items,0)))</f>
        <v>#N/A</v>
      </c>
      <c r="Z301" s="1" t="str">
        <f t="shared" si="5"/>
        <v>#NAME?</v>
      </c>
      <c r="AA301" s="1" t="str">
        <f t="shared" si="6"/>
        <v>#NAME?</v>
      </c>
      <c r="AB301" s="1" t="str">
        <f t="shared" si="7"/>
        <v>#NAME?</v>
      </c>
      <c r="AC301" s="1" t="str">
        <f t="shared" si="8"/>
        <v>#NAME?</v>
      </c>
    </row>
    <row r="302" ht="14.25" customHeight="1">
      <c r="H302" s="1">
        <f t="shared" si="9"/>
        <v>297</v>
      </c>
      <c r="I302" s="1">
        <f t="shared" si="2"/>
        <v>23</v>
      </c>
      <c r="J302" s="1">
        <f t="shared" si="3"/>
        <v>10</v>
      </c>
      <c r="K302" s="23">
        <f t="shared" si="10"/>
        <v>36822</v>
      </c>
      <c r="L302" s="24">
        <f t="shared" si="4"/>
        <v>1000000</v>
      </c>
      <c r="M302" s="1" t="str">
        <f t="array" ref="M302">IF(K302&gt;0,INDEX(big_daily_table,MATCH(DATE(N$5,$J302,$I302),daily_dates,0),MATCH($B$3,daily_items,0)),NA())</f>
        <v>#N/A</v>
      </c>
      <c r="N302" s="1" t="str">
        <f t="array" ref="N302">IF(L302&lt;0,INDEX(big_daily_table,MATCH(DATE(N$5,$J302,$I302),daily_dates,0),MATCH($B$3,daily_items,0)),NA())</f>
        <v>#N/A</v>
      </c>
      <c r="O302" s="1" t="str">
        <f t="array" ref="O302">IF(ISBLANK(INDEX(big_daily_table,MATCH(DATE(O$5,$J302,$I302),daily_dates,0),MATCH($B$3,daily_items,0))),NA(),INDEX(big_daily_table,MATCH(DATE(O$5,$J302,$I302),daily_dates,0),MATCH($B$3,daily_items,0)))</f>
        <v>#N/A</v>
      </c>
      <c r="P302" s="1" t="str">
        <f t="array" ref="P302">IF(ISBLANK(INDEX(big_daily_table,MATCH(DATE(P$5,$J302,$I302),daily_dates,0),MATCH($B$3,daily_items,0))),NA(),INDEX(big_daily_table,MATCH(DATE(P$5,$J302,$I302),daily_dates,0),MATCH($B$3,daily_items,0)))</f>
        <v>#N/A</v>
      </c>
      <c r="Q302" s="1" t="str">
        <f t="array" ref="Q302">IF(ISBLANK(INDEX(big_daily_table,MATCH(DATE(Q$5,$J302,$I302),daily_dates,0),MATCH($B$3,daily_items,0))),NA(),INDEX(big_daily_table,MATCH(DATE(Q$5,$J302,$I302),daily_dates,0),MATCH($B$3,daily_items,0)))</f>
        <v>#N/A</v>
      </c>
      <c r="R302" s="1" t="str">
        <f t="array" ref="R302">IF(ISBLANK(INDEX(big_daily_table,MATCH(DATE(R$5,$J302,$I302),daily_dates,0),MATCH($B$3,daily_items,0))),NA(),INDEX(big_daily_table,MATCH(DATE(R$5,$J302,$I302),daily_dates,0),MATCH($B$3,daily_items,0)))</f>
        <v>#N/A</v>
      </c>
      <c r="S302" s="1" t="str">
        <f t="array" ref="S302">IF(ISBLANK(INDEX(big_daily_table,MATCH(DATE(S$5,$J302,$I302),daily_dates,0),MATCH($B$3,daily_items,0))),NA(),INDEX(big_daily_table,MATCH(DATE(S$5,$J302,$I302),daily_dates,0),MATCH($B$3,daily_items,0)))</f>
        <v>#N/A</v>
      </c>
      <c r="T302" s="1" t="str">
        <f t="array" ref="T302">IF(ISBLANK(INDEX(big_daily_table,MATCH(DATE(T$5,$J302,$I302),daily_dates,0),MATCH($B$3,daily_items,0))),NA(),INDEX(big_daily_table,MATCH(DATE(T$5,$J302,$I302),daily_dates,0),MATCH($B$3,daily_items,0)))</f>
        <v>#N/A</v>
      </c>
      <c r="U302" s="1" t="str">
        <f t="array" ref="U302">IF(ISBLANK(INDEX(big_daily_table,MATCH(DATE(U$5,$J302,$I302),daily_dates,0),MATCH($B$3,daily_items,0))),NA(),INDEX(big_daily_table,MATCH(DATE(U$5,$J302,$I302),daily_dates,0),MATCH($B$3,daily_items,0)))</f>
        <v>#N/A</v>
      </c>
      <c r="V302" s="1" t="str">
        <f t="array" ref="V302">IF(ISBLANK(INDEX(big_daily_table,MATCH(DATE(V$5,$J302,$I302),daily_dates,0),MATCH($B$3,daily_items,0))),NA(),INDEX(big_daily_table,MATCH(DATE(V$5,$J302,$I302),daily_dates,0),MATCH($B$3,daily_items,0)))</f>
        <v>#N/A</v>
      </c>
      <c r="W302" s="1" t="str">
        <f t="array" ref="W302">IF(ISBLANK(INDEX(big_daily_table,MATCH(DATE(W$5,$J302,$I302),daily_dates,0),MATCH($B$3,daily_items,0))),NA(),INDEX(big_daily_table,MATCH(DATE(W$5,$J302,$I302),daily_dates,0),MATCH($B$3,daily_items,0)))</f>
        <v>#N/A</v>
      </c>
      <c r="X302" s="1" t="str">
        <f t="array" ref="X302">IF(ISBLANK(INDEX(big_daily_table,MATCH(DATE(X$5,$J302,$I302),daily_dates,0),MATCH($B$3,daily_items,0))),NA(),INDEX(big_daily_table,MATCH(DATE(X$5,$J302,$I302),daily_dates,0),MATCH($B$3,daily_items,0)))</f>
        <v>#N/A</v>
      </c>
      <c r="Y302" s="1" t="str">
        <f t="array" ref="Y302">IF(ISBLANK(INDEX(big_daily_table,MATCH(DATE(Y$5,$J302,$I302),daily_dates,0),MATCH($B$3,daily_items,0))),NA(),INDEX(big_daily_table,MATCH(DATE(Y$5,$J302,$I302),daily_dates,0),MATCH($B$3,daily_items,0)))</f>
        <v>#N/A</v>
      </c>
      <c r="Z302" s="1" t="str">
        <f t="shared" si="5"/>
        <v>#NAME?</v>
      </c>
      <c r="AA302" s="1" t="str">
        <f t="shared" si="6"/>
        <v>#NAME?</v>
      </c>
      <c r="AB302" s="1" t="str">
        <f t="shared" si="7"/>
        <v>#NAME?</v>
      </c>
      <c r="AC302" s="1" t="str">
        <f t="shared" si="8"/>
        <v>#NAME?</v>
      </c>
    </row>
    <row r="303" ht="14.25" customHeight="1">
      <c r="H303" s="1">
        <f t="shared" si="9"/>
        <v>298</v>
      </c>
      <c r="I303" s="1">
        <f t="shared" si="2"/>
        <v>24</v>
      </c>
      <c r="J303" s="1">
        <f t="shared" si="3"/>
        <v>10</v>
      </c>
      <c r="K303" s="23">
        <f t="shared" si="10"/>
        <v>36823</v>
      </c>
      <c r="L303" s="24">
        <f t="shared" si="4"/>
        <v>1000000</v>
      </c>
      <c r="M303" s="1" t="str">
        <f t="array" ref="M303">IF(K303&gt;0,INDEX(big_daily_table,MATCH(DATE(N$5,$J303,$I303),daily_dates,0),MATCH($B$3,daily_items,0)),NA())</f>
        <v>#N/A</v>
      </c>
      <c r="N303" s="1" t="str">
        <f t="array" ref="N303">IF(L303&lt;0,INDEX(big_daily_table,MATCH(DATE(N$5,$J303,$I303),daily_dates,0),MATCH($B$3,daily_items,0)),NA())</f>
        <v>#N/A</v>
      </c>
      <c r="O303" s="1" t="str">
        <f t="array" ref="O303">IF(ISBLANK(INDEX(big_daily_table,MATCH(DATE(O$5,$J303,$I303),daily_dates,0),MATCH($B$3,daily_items,0))),NA(),INDEX(big_daily_table,MATCH(DATE(O$5,$J303,$I303),daily_dates,0),MATCH($B$3,daily_items,0)))</f>
        <v>#N/A</v>
      </c>
      <c r="P303" s="1" t="str">
        <f t="array" ref="P303">IF(ISBLANK(INDEX(big_daily_table,MATCH(DATE(P$5,$J303,$I303),daily_dates,0),MATCH($B$3,daily_items,0))),NA(),INDEX(big_daily_table,MATCH(DATE(P$5,$J303,$I303),daily_dates,0),MATCH($B$3,daily_items,0)))</f>
        <v>#N/A</v>
      </c>
      <c r="Q303" s="1" t="str">
        <f t="array" ref="Q303">IF(ISBLANK(INDEX(big_daily_table,MATCH(DATE(Q$5,$J303,$I303),daily_dates,0),MATCH($B$3,daily_items,0))),NA(),INDEX(big_daily_table,MATCH(DATE(Q$5,$J303,$I303),daily_dates,0),MATCH($B$3,daily_items,0)))</f>
        <v>#N/A</v>
      </c>
      <c r="R303" s="1" t="str">
        <f t="array" ref="R303">IF(ISBLANK(INDEX(big_daily_table,MATCH(DATE(R$5,$J303,$I303),daily_dates,0),MATCH($B$3,daily_items,0))),NA(),INDEX(big_daily_table,MATCH(DATE(R$5,$J303,$I303),daily_dates,0),MATCH($B$3,daily_items,0)))</f>
        <v>#N/A</v>
      </c>
      <c r="S303" s="1" t="str">
        <f t="array" ref="S303">IF(ISBLANK(INDEX(big_daily_table,MATCH(DATE(S$5,$J303,$I303),daily_dates,0),MATCH($B$3,daily_items,0))),NA(),INDEX(big_daily_table,MATCH(DATE(S$5,$J303,$I303),daily_dates,0),MATCH($B$3,daily_items,0)))</f>
        <v>#N/A</v>
      </c>
      <c r="T303" s="1" t="str">
        <f t="array" ref="T303">IF(ISBLANK(INDEX(big_daily_table,MATCH(DATE(T$5,$J303,$I303),daily_dates,0),MATCH($B$3,daily_items,0))),NA(),INDEX(big_daily_table,MATCH(DATE(T$5,$J303,$I303),daily_dates,0),MATCH($B$3,daily_items,0)))</f>
        <v>#N/A</v>
      </c>
      <c r="U303" s="1" t="str">
        <f t="array" ref="U303">IF(ISBLANK(INDEX(big_daily_table,MATCH(DATE(U$5,$J303,$I303),daily_dates,0),MATCH($B$3,daily_items,0))),NA(),INDEX(big_daily_table,MATCH(DATE(U$5,$J303,$I303),daily_dates,0),MATCH($B$3,daily_items,0)))</f>
        <v>#N/A</v>
      </c>
      <c r="V303" s="1" t="str">
        <f t="array" ref="V303">IF(ISBLANK(INDEX(big_daily_table,MATCH(DATE(V$5,$J303,$I303),daily_dates,0),MATCH($B$3,daily_items,0))),NA(),INDEX(big_daily_table,MATCH(DATE(V$5,$J303,$I303),daily_dates,0),MATCH($B$3,daily_items,0)))</f>
        <v>#N/A</v>
      </c>
      <c r="W303" s="1" t="str">
        <f t="array" ref="W303">IF(ISBLANK(INDEX(big_daily_table,MATCH(DATE(W$5,$J303,$I303),daily_dates,0),MATCH($B$3,daily_items,0))),NA(),INDEX(big_daily_table,MATCH(DATE(W$5,$J303,$I303),daily_dates,0),MATCH($B$3,daily_items,0)))</f>
        <v>#N/A</v>
      </c>
      <c r="X303" s="1" t="str">
        <f t="array" ref="X303">IF(ISBLANK(INDEX(big_daily_table,MATCH(DATE(X$5,$J303,$I303),daily_dates,0),MATCH($B$3,daily_items,0))),NA(),INDEX(big_daily_table,MATCH(DATE(X$5,$J303,$I303),daily_dates,0),MATCH($B$3,daily_items,0)))</f>
        <v>#N/A</v>
      </c>
      <c r="Y303" s="1" t="str">
        <f t="array" ref="Y303">IF(ISBLANK(INDEX(big_daily_table,MATCH(DATE(Y$5,$J303,$I303),daily_dates,0),MATCH($B$3,daily_items,0))),NA(),INDEX(big_daily_table,MATCH(DATE(Y$5,$J303,$I303),daily_dates,0),MATCH($B$3,daily_items,0)))</f>
        <v>#N/A</v>
      </c>
      <c r="Z303" s="1" t="str">
        <f t="shared" si="5"/>
        <v>#NAME?</v>
      </c>
      <c r="AA303" s="1" t="str">
        <f t="shared" si="6"/>
        <v>#NAME?</v>
      </c>
      <c r="AB303" s="1" t="str">
        <f t="shared" si="7"/>
        <v>#NAME?</v>
      </c>
      <c r="AC303" s="1" t="str">
        <f t="shared" si="8"/>
        <v>#NAME?</v>
      </c>
    </row>
    <row r="304" ht="14.25" customHeight="1">
      <c r="H304" s="1">
        <f t="shared" si="9"/>
        <v>299</v>
      </c>
      <c r="I304" s="1">
        <f t="shared" si="2"/>
        <v>25</v>
      </c>
      <c r="J304" s="1">
        <f t="shared" si="3"/>
        <v>10</v>
      </c>
      <c r="K304" s="23">
        <f t="shared" si="10"/>
        <v>36824</v>
      </c>
      <c r="L304" s="24">
        <f t="shared" si="4"/>
        <v>1000000</v>
      </c>
      <c r="M304" s="1" t="str">
        <f t="array" ref="M304">IF(K304&gt;0,INDEX(big_daily_table,MATCH(DATE(N$5,$J304,$I304),daily_dates,0),MATCH($B$3,daily_items,0)),NA())</f>
        <v>#N/A</v>
      </c>
      <c r="N304" s="1" t="str">
        <f t="array" ref="N304">IF(L304&lt;0,INDEX(big_daily_table,MATCH(DATE(N$5,$J304,$I304),daily_dates,0),MATCH($B$3,daily_items,0)),NA())</f>
        <v>#N/A</v>
      </c>
      <c r="O304" s="1" t="str">
        <f t="array" ref="O304">IF(ISBLANK(INDEX(big_daily_table,MATCH(DATE(O$5,$J304,$I304),daily_dates,0),MATCH($B$3,daily_items,0))),NA(),INDEX(big_daily_table,MATCH(DATE(O$5,$J304,$I304),daily_dates,0),MATCH($B$3,daily_items,0)))</f>
        <v>#N/A</v>
      </c>
      <c r="P304" s="1" t="str">
        <f t="array" ref="P304">IF(ISBLANK(INDEX(big_daily_table,MATCH(DATE(P$5,$J304,$I304),daily_dates,0),MATCH($B$3,daily_items,0))),NA(),INDEX(big_daily_table,MATCH(DATE(P$5,$J304,$I304),daily_dates,0),MATCH($B$3,daily_items,0)))</f>
        <v>#N/A</v>
      </c>
      <c r="Q304" s="1" t="str">
        <f t="array" ref="Q304">IF(ISBLANK(INDEX(big_daily_table,MATCH(DATE(Q$5,$J304,$I304),daily_dates,0),MATCH($B$3,daily_items,0))),NA(),INDEX(big_daily_table,MATCH(DATE(Q$5,$J304,$I304),daily_dates,0),MATCH($B$3,daily_items,0)))</f>
        <v>#N/A</v>
      </c>
      <c r="R304" s="1" t="str">
        <f t="array" ref="R304">IF(ISBLANK(INDEX(big_daily_table,MATCH(DATE(R$5,$J304,$I304),daily_dates,0),MATCH($B$3,daily_items,0))),NA(),INDEX(big_daily_table,MATCH(DATE(R$5,$J304,$I304),daily_dates,0),MATCH($B$3,daily_items,0)))</f>
        <v>#N/A</v>
      </c>
      <c r="S304" s="1" t="str">
        <f t="array" ref="S304">IF(ISBLANK(INDEX(big_daily_table,MATCH(DATE(S$5,$J304,$I304),daily_dates,0),MATCH($B$3,daily_items,0))),NA(),INDEX(big_daily_table,MATCH(DATE(S$5,$J304,$I304),daily_dates,0),MATCH($B$3,daily_items,0)))</f>
        <v>#N/A</v>
      </c>
      <c r="T304" s="1" t="str">
        <f t="array" ref="T304">IF(ISBLANK(INDEX(big_daily_table,MATCH(DATE(T$5,$J304,$I304),daily_dates,0),MATCH($B$3,daily_items,0))),NA(),INDEX(big_daily_table,MATCH(DATE(T$5,$J304,$I304),daily_dates,0),MATCH($B$3,daily_items,0)))</f>
        <v>#N/A</v>
      </c>
      <c r="U304" s="1" t="str">
        <f t="array" ref="U304">IF(ISBLANK(INDEX(big_daily_table,MATCH(DATE(U$5,$J304,$I304),daily_dates,0),MATCH($B$3,daily_items,0))),NA(),INDEX(big_daily_table,MATCH(DATE(U$5,$J304,$I304),daily_dates,0),MATCH($B$3,daily_items,0)))</f>
        <v>#N/A</v>
      </c>
      <c r="V304" s="1" t="str">
        <f t="array" ref="V304">IF(ISBLANK(INDEX(big_daily_table,MATCH(DATE(V$5,$J304,$I304),daily_dates,0),MATCH($B$3,daily_items,0))),NA(),INDEX(big_daily_table,MATCH(DATE(V$5,$J304,$I304),daily_dates,0),MATCH($B$3,daily_items,0)))</f>
        <v>#N/A</v>
      </c>
      <c r="W304" s="1" t="str">
        <f t="array" ref="W304">IF(ISBLANK(INDEX(big_daily_table,MATCH(DATE(W$5,$J304,$I304),daily_dates,0),MATCH($B$3,daily_items,0))),NA(),INDEX(big_daily_table,MATCH(DATE(W$5,$J304,$I304),daily_dates,0),MATCH($B$3,daily_items,0)))</f>
        <v>#N/A</v>
      </c>
      <c r="X304" s="1" t="str">
        <f t="array" ref="X304">IF(ISBLANK(INDEX(big_daily_table,MATCH(DATE(X$5,$J304,$I304),daily_dates,0),MATCH($B$3,daily_items,0))),NA(),INDEX(big_daily_table,MATCH(DATE(X$5,$J304,$I304),daily_dates,0),MATCH($B$3,daily_items,0)))</f>
        <v>#N/A</v>
      </c>
      <c r="Y304" s="1" t="str">
        <f t="array" ref="Y304">IF(ISBLANK(INDEX(big_daily_table,MATCH(DATE(Y$5,$J304,$I304),daily_dates,0),MATCH($B$3,daily_items,0))),NA(),INDEX(big_daily_table,MATCH(DATE(Y$5,$J304,$I304),daily_dates,0),MATCH($B$3,daily_items,0)))</f>
        <v>#N/A</v>
      </c>
      <c r="Z304" s="1" t="str">
        <f t="shared" si="5"/>
        <v>#NAME?</v>
      </c>
      <c r="AA304" s="1" t="str">
        <f t="shared" si="6"/>
        <v>#NAME?</v>
      </c>
      <c r="AB304" s="1" t="str">
        <f t="shared" si="7"/>
        <v>#NAME?</v>
      </c>
      <c r="AC304" s="1" t="str">
        <f t="shared" si="8"/>
        <v>#NAME?</v>
      </c>
    </row>
    <row r="305" ht="14.25" customHeight="1">
      <c r="H305" s="1">
        <f t="shared" si="9"/>
        <v>300</v>
      </c>
      <c r="I305" s="1">
        <f t="shared" si="2"/>
        <v>26</v>
      </c>
      <c r="J305" s="1">
        <f t="shared" si="3"/>
        <v>10</v>
      </c>
      <c r="K305" s="23">
        <f t="shared" si="10"/>
        <v>36825</v>
      </c>
      <c r="L305" s="24">
        <f t="shared" si="4"/>
        <v>1000000</v>
      </c>
      <c r="M305" s="1" t="str">
        <f t="array" ref="M305">IF(K305&gt;0,INDEX(big_daily_table,MATCH(DATE(N$5,$J305,$I305),daily_dates,0),MATCH($B$3,daily_items,0)),NA())</f>
        <v>#N/A</v>
      </c>
      <c r="N305" s="1" t="str">
        <f t="array" ref="N305">IF(L305&lt;0,INDEX(big_daily_table,MATCH(DATE(N$5,$J305,$I305),daily_dates,0),MATCH($B$3,daily_items,0)),NA())</f>
        <v>#N/A</v>
      </c>
      <c r="O305" s="1" t="str">
        <f t="array" ref="O305">IF(ISBLANK(INDEX(big_daily_table,MATCH(DATE(O$5,$J305,$I305),daily_dates,0),MATCH($B$3,daily_items,0))),NA(),INDEX(big_daily_table,MATCH(DATE(O$5,$J305,$I305),daily_dates,0),MATCH($B$3,daily_items,0)))</f>
        <v>#N/A</v>
      </c>
      <c r="P305" s="1" t="str">
        <f t="array" ref="P305">IF(ISBLANK(INDEX(big_daily_table,MATCH(DATE(P$5,$J305,$I305),daily_dates,0),MATCH($B$3,daily_items,0))),NA(),INDEX(big_daily_table,MATCH(DATE(P$5,$J305,$I305),daily_dates,0),MATCH($B$3,daily_items,0)))</f>
        <v>#N/A</v>
      </c>
      <c r="Q305" s="1" t="str">
        <f t="array" ref="Q305">IF(ISBLANK(INDEX(big_daily_table,MATCH(DATE(Q$5,$J305,$I305),daily_dates,0),MATCH($B$3,daily_items,0))),NA(),INDEX(big_daily_table,MATCH(DATE(Q$5,$J305,$I305),daily_dates,0),MATCH($B$3,daily_items,0)))</f>
        <v>#N/A</v>
      </c>
      <c r="R305" s="1" t="str">
        <f t="array" ref="R305">IF(ISBLANK(INDEX(big_daily_table,MATCH(DATE(R$5,$J305,$I305),daily_dates,0),MATCH($B$3,daily_items,0))),NA(),INDEX(big_daily_table,MATCH(DATE(R$5,$J305,$I305),daily_dates,0),MATCH($B$3,daily_items,0)))</f>
        <v>#N/A</v>
      </c>
      <c r="S305" s="1" t="str">
        <f t="array" ref="S305">IF(ISBLANK(INDEX(big_daily_table,MATCH(DATE(S$5,$J305,$I305),daily_dates,0),MATCH($B$3,daily_items,0))),NA(),INDEX(big_daily_table,MATCH(DATE(S$5,$J305,$I305),daily_dates,0),MATCH($B$3,daily_items,0)))</f>
        <v>#N/A</v>
      </c>
      <c r="T305" s="1" t="str">
        <f t="array" ref="T305">IF(ISBLANK(INDEX(big_daily_table,MATCH(DATE(T$5,$J305,$I305),daily_dates,0),MATCH($B$3,daily_items,0))),NA(),INDEX(big_daily_table,MATCH(DATE(T$5,$J305,$I305),daily_dates,0),MATCH($B$3,daily_items,0)))</f>
        <v>#N/A</v>
      </c>
      <c r="U305" s="1" t="str">
        <f t="array" ref="U305">IF(ISBLANK(INDEX(big_daily_table,MATCH(DATE(U$5,$J305,$I305),daily_dates,0),MATCH($B$3,daily_items,0))),NA(),INDEX(big_daily_table,MATCH(DATE(U$5,$J305,$I305),daily_dates,0),MATCH($B$3,daily_items,0)))</f>
        <v>#N/A</v>
      </c>
      <c r="V305" s="1" t="str">
        <f t="array" ref="V305">IF(ISBLANK(INDEX(big_daily_table,MATCH(DATE(V$5,$J305,$I305),daily_dates,0),MATCH($B$3,daily_items,0))),NA(),INDEX(big_daily_table,MATCH(DATE(V$5,$J305,$I305),daily_dates,0),MATCH($B$3,daily_items,0)))</f>
        <v>#N/A</v>
      </c>
      <c r="W305" s="1" t="str">
        <f t="array" ref="W305">IF(ISBLANK(INDEX(big_daily_table,MATCH(DATE(W$5,$J305,$I305),daily_dates,0),MATCH($B$3,daily_items,0))),NA(),INDEX(big_daily_table,MATCH(DATE(W$5,$J305,$I305),daily_dates,0),MATCH($B$3,daily_items,0)))</f>
        <v>#N/A</v>
      </c>
      <c r="X305" s="1" t="str">
        <f t="array" ref="X305">IF(ISBLANK(INDEX(big_daily_table,MATCH(DATE(X$5,$J305,$I305),daily_dates,0),MATCH($B$3,daily_items,0))),NA(),INDEX(big_daily_table,MATCH(DATE(X$5,$J305,$I305),daily_dates,0),MATCH($B$3,daily_items,0)))</f>
        <v>#N/A</v>
      </c>
      <c r="Y305" s="1" t="str">
        <f t="array" ref="Y305">IF(ISBLANK(INDEX(big_daily_table,MATCH(DATE(Y$5,$J305,$I305),daily_dates,0),MATCH($B$3,daily_items,0))),NA(),INDEX(big_daily_table,MATCH(DATE(Y$5,$J305,$I305),daily_dates,0),MATCH($B$3,daily_items,0)))</f>
        <v>#N/A</v>
      </c>
      <c r="Z305" s="1" t="str">
        <f t="shared" si="5"/>
        <v>#NAME?</v>
      </c>
      <c r="AA305" s="1" t="str">
        <f t="shared" si="6"/>
        <v>#NAME?</v>
      </c>
      <c r="AB305" s="1" t="str">
        <f t="shared" si="7"/>
        <v>#NAME?</v>
      </c>
      <c r="AC305" s="1" t="str">
        <f t="shared" si="8"/>
        <v>#NAME?</v>
      </c>
    </row>
    <row r="306" ht="14.25" customHeight="1">
      <c r="H306" s="1">
        <f t="shared" si="9"/>
        <v>301</v>
      </c>
      <c r="I306" s="1">
        <f t="shared" si="2"/>
        <v>27</v>
      </c>
      <c r="J306" s="1">
        <f t="shared" si="3"/>
        <v>10</v>
      </c>
      <c r="K306" s="23">
        <f t="shared" si="10"/>
        <v>36826</v>
      </c>
      <c r="L306" s="24">
        <f t="shared" si="4"/>
        <v>1000000</v>
      </c>
      <c r="M306" s="1" t="str">
        <f t="array" ref="M306">IF(K306&gt;0,INDEX(big_daily_table,MATCH(DATE(N$5,$J306,$I306),daily_dates,0),MATCH($B$3,daily_items,0)),NA())</f>
        <v>#N/A</v>
      </c>
      <c r="N306" s="1" t="str">
        <f t="array" ref="N306">IF(L306&lt;0,INDEX(big_daily_table,MATCH(DATE(N$5,$J306,$I306),daily_dates,0),MATCH($B$3,daily_items,0)),NA())</f>
        <v>#N/A</v>
      </c>
      <c r="O306" s="1" t="str">
        <f t="array" ref="O306">IF(ISBLANK(INDEX(big_daily_table,MATCH(DATE(O$5,$J306,$I306),daily_dates,0),MATCH($B$3,daily_items,0))),NA(),INDEX(big_daily_table,MATCH(DATE(O$5,$J306,$I306),daily_dates,0),MATCH($B$3,daily_items,0)))</f>
        <v>#N/A</v>
      </c>
      <c r="P306" s="1" t="str">
        <f t="array" ref="P306">IF(ISBLANK(INDEX(big_daily_table,MATCH(DATE(P$5,$J306,$I306),daily_dates,0),MATCH($B$3,daily_items,0))),NA(),INDEX(big_daily_table,MATCH(DATE(P$5,$J306,$I306),daily_dates,0),MATCH($B$3,daily_items,0)))</f>
        <v>#N/A</v>
      </c>
      <c r="Q306" s="1" t="str">
        <f t="array" ref="Q306">IF(ISBLANK(INDEX(big_daily_table,MATCH(DATE(Q$5,$J306,$I306),daily_dates,0),MATCH($B$3,daily_items,0))),NA(),INDEX(big_daily_table,MATCH(DATE(Q$5,$J306,$I306),daily_dates,0),MATCH($B$3,daily_items,0)))</f>
        <v>#N/A</v>
      </c>
      <c r="R306" s="1" t="str">
        <f t="array" ref="R306">IF(ISBLANK(INDEX(big_daily_table,MATCH(DATE(R$5,$J306,$I306),daily_dates,0),MATCH($B$3,daily_items,0))),NA(),INDEX(big_daily_table,MATCH(DATE(R$5,$J306,$I306),daily_dates,0),MATCH($B$3,daily_items,0)))</f>
        <v>#N/A</v>
      </c>
      <c r="S306" s="1" t="str">
        <f t="array" ref="S306">IF(ISBLANK(INDEX(big_daily_table,MATCH(DATE(S$5,$J306,$I306),daily_dates,0),MATCH($B$3,daily_items,0))),NA(),INDEX(big_daily_table,MATCH(DATE(S$5,$J306,$I306),daily_dates,0),MATCH($B$3,daily_items,0)))</f>
        <v>#N/A</v>
      </c>
      <c r="T306" s="1" t="str">
        <f t="array" ref="T306">IF(ISBLANK(INDEX(big_daily_table,MATCH(DATE(T$5,$J306,$I306),daily_dates,0),MATCH($B$3,daily_items,0))),NA(),INDEX(big_daily_table,MATCH(DATE(T$5,$J306,$I306),daily_dates,0),MATCH($B$3,daily_items,0)))</f>
        <v>#N/A</v>
      </c>
      <c r="U306" s="1" t="str">
        <f t="array" ref="U306">IF(ISBLANK(INDEX(big_daily_table,MATCH(DATE(U$5,$J306,$I306),daily_dates,0),MATCH($B$3,daily_items,0))),NA(),INDEX(big_daily_table,MATCH(DATE(U$5,$J306,$I306),daily_dates,0),MATCH($B$3,daily_items,0)))</f>
        <v>#N/A</v>
      </c>
      <c r="V306" s="1" t="str">
        <f t="array" ref="V306">IF(ISBLANK(INDEX(big_daily_table,MATCH(DATE(V$5,$J306,$I306),daily_dates,0),MATCH($B$3,daily_items,0))),NA(),INDEX(big_daily_table,MATCH(DATE(V$5,$J306,$I306),daily_dates,0),MATCH($B$3,daily_items,0)))</f>
        <v>#N/A</v>
      </c>
      <c r="W306" s="1" t="str">
        <f t="array" ref="W306">IF(ISBLANK(INDEX(big_daily_table,MATCH(DATE(W$5,$J306,$I306),daily_dates,0),MATCH($B$3,daily_items,0))),NA(),INDEX(big_daily_table,MATCH(DATE(W$5,$J306,$I306),daily_dates,0),MATCH($B$3,daily_items,0)))</f>
        <v>#N/A</v>
      </c>
      <c r="X306" s="1" t="str">
        <f t="array" ref="X306">IF(ISBLANK(INDEX(big_daily_table,MATCH(DATE(X$5,$J306,$I306),daily_dates,0),MATCH($B$3,daily_items,0))),NA(),INDEX(big_daily_table,MATCH(DATE(X$5,$J306,$I306),daily_dates,0),MATCH($B$3,daily_items,0)))</f>
        <v>#N/A</v>
      </c>
      <c r="Y306" s="1" t="str">
        <f t="array" ref="Y306">IF(ISBLANK(INDEX(big_daily_table,MATCH(DATE(Y$5,$J306,$I306),daily_dates,0),MATCH($B$3,daily_items,0))),NA(),INDEX(big_daily_table,MATCH(DATE(Y$5,$J306,$I306),daily_dates,0),MATCH($B$3,daily_items,0)))</f>
        <v>#N/A</v>
      </c>
      <c r="Z306" s="1" t="str">
        <f t="shared" si="5"/>
        <v>#NAME?</v>
      </c>
      <c r="AA306" s="1" t="str">
        <f t="shared" si="6"/>
        <v>#NAME?</v>
      </c>
      <c r="AB306" s="1" t="str">
        <f t="shared" si="7"/>
        <v>#NAME?</v>
      </c>
      <c r="AC306" s="1" t="str">
        <f t="shared" si="8"/>
        <v>#NAME?</v>
      </c>
    </row>
    <row r="307" ht="14.25" customHeight="1">
      <c r="H307" s="1">
        <f t="shared" si="9"/>
        <v>302</v>
      </c>
      <c r="I307" s="1">
        <f t="shared" si="2"/>
        <v>28</v>
      </c>
      <c r="J307" s="1">
        <f t="shared" si="3"/>
        <v>10</v>
      </c>
      <c r="K307" s="23">
        <f t="shared" si="10"/>
        <v>36827</v>
      </c>
      <c r="L307" s="24">
        <f t="shared" si="4"/>
        <v>1000000</v>
      </c>
      <c r="M307" s="1" t="str">
        <f t="array" ref="M307">IF(K307&gt;0,INDEX(big_daily_table,MATCH(DATE(N$5,$J307,$I307),daily_dates,0),MATCH($B$3,daily_items,0)),NA())</f>
        <v>#N/A</v>
      </c>
      <c r="N307" s="1" t="str">
        <f t="array" ref="N307">IF(L307&lt;0,INDEX(big_daily_table,MATCH(DATE(N$5,$J307,$I307),daily_dates,0),MATCH($B$3,daily_items,0)),NA())</f>
        <v>#N/A</v>
      </c>
      <c r="O307" s="1" t="str">
        <f t="array" ref="O307">IF(ISBLANK(INDEX(big_daily_table,MATCH(DATE(O$5,$J307,$I307),daily_dates,0),MATCH($B$3,daily_items,0))),NA(),INDEX(big_daily_table,MATCH(DATE(O$5,$J307,$I307),daily_dates,0),MATCH($B$3,daily_items,0)))</f>
        <v>#N/A</v>
      </c>
      <c r="P307" s="1" t="str">
        <f t="array" ref="P307">IF(ISBLANK(INDEX(big_daily_table,MATCH(DATE(P$5,$J307,$I307),daily_dates,0),MATCH($B$3,daily_items,0))),NA(),INDEX(big_daily_table,MATCH(DATE(P$5,$J307,$I307),daily_dates,0),MATCH($B$3,daily_items,0)))</f>
        <v>#N/A</v>
      </c>
      <c r="Q307" s="1" t="str">
        <f t="array" ref="Q307">IF(ISBLANK(INDEX(big_daily_table,MATCH(DATE(Q$5,$J307,$I307),daily_dates,0),MATCH($B$3,daily_items,0))),NA(),INDEX(big_daily_table,MATCH(DATE(Q$5,$J307,$I307),daily_dates,0),MATCH($B$3,daily_items,0)))</f>
        <v>#N/A</v>
      </c>
      <c r="R307" s="1" t="str">
        <f t="array" ref="R307">IF(ISBLANK(INDEX(big_daily_table,MATCH(DATE(R$5,$J307,$I307),daily_dates,0),MATCH($B$3,daily_items,0))),NA(),INDEX(big_daily_table,MATCH(DATE(R$5,$J307,$I307),daily_dates,0),MATCH($B$3,daily_items,0)))</f>
        <v>#N/A</v>
      </c>
      <c r="S307" s="1" t="str">
        <f t="array" ref="S307">IF(ISBLANK(INDEX(big_daily_table,MATCH(DATE(S$5,$J307,$I307),daily_dates,0),MATCH($B$3,daily_items,0))),NA(),INDEX(big_daily_table,MATCH(DATE(S$5,$J307,$I307),daily_dates,0),MATCH($B$3,daily_items,0)))</f>
        <v>#N/A</v>
      </c>
      <c r="T307" s="1" t="str">
        <f t="array" ref="T307">IF(ISBLANK(INDEX(big_daily_table,MATCH(DATE(T$5,$J307,$I307),daily_dates,0),MATCH($B$3,daily_items,0))),NA(),INDEX(big_daily_table,MATCH(DATE(T$5,$J307,$I307),daily_dates,0),MATCH($B$3,daily_items,0)))</f>
        <v>#N/A</v>
      </c>
      <c r="U307" s="1" t="str">
        <f t="array" ref="U307">IF(ISBLANK(INDEX(big_daily_table,MATCH(DATE(U$5,$J307,$I307),daily_dates,0),MATCH($B$3,daily_items,0))),NA(),INDEX(big_daily_table,MATCH(DATE(U$5,$J307,$I307),daily_dates,0),MATCH($B$3,daily_items,0)))</f>
        <v>#N/A</v>
      </c>
      <c r="V307" s="1" t="str">
        <f t="array" ref="V307">IF(ISBLANK(INDEX(big_daily_table,MATCH(DATE(V$5,$J307,$I307),daily_dates,0),MATCH($B$3,daily_items,0))),NA(),INDEX(big_daily_table,MATCH(DATE(V$5,$J307,$I307),daily_dates,0),MATCH($B$3,daily_items,0)))</f>
        <v>#N/A</v>
      </c>
      <c r="W307" s="1" t="str">
        <f t="array" ref="W307">IF(ISBLANK(INDEX(big_daily_table,MATCH(DATE(W$5,$J307,$I307),daily_dates,0),MATCH($B$3,daily_items,0))),NA(),INDEX(big_daily_table,MATCH(DATE(W$5,$J307,$I307),daily_dates,0),MATCH($B$3,daily_items,0)))</f>
        <v>#N/A</v>
      </c>
      <c r="X307" s="1" t="str">
        <f t="array" ref="X307">IF(ISBLANK(INDEX(big_daily_table,MATCH(DATE(X$5,$J307,$I307),daily_dates,0),MATCH($B$3,daily_items,0))),NA(),INDEX(big_daily_table,MATCH(DATE(X$5,$J307,$I307),daily_dates,0),MATCH($B$3,daily_items,0)))</f>
        <v>#N/A</v>
      </c>
      <c r="Y307" s="1" t="str">
        <f t="array" ref="Y307">IF(ISBLANK(INDEX(big_daily_table,MATCH(DATE(Y$5,$J307,$I307),daily_dates,0),MATCH($B$3,daily_items,0))),NA(),INDEX(big_daily_table,MATCH(DATE(Y$5,$J307,$I307),daily_dates,0),MATCH($B$3,daily_items,0)))</f>
        <v>#N/A</v>
      </c>
      <c r="Z307" s="1" t="str">
        <f t="shared" si="5"/>
        <v>#NAME?</v>
      </c>
      <c r="AA307" s="1" t="str">
        <f t="shared" si="6"/>
        <v>#NAME?</v>
      </c>
      <c r="AB307" s="1" t="str">
        <f t="shared" si="7"/>
        <v>#NAME?</v>
      </c>
      <c r="AC307" s="1" t="str">
        <f t="shared" si="8"/>
        <v>#NAME?</v>
      </c>
    </row>
    <row r="308" ht="14.25" customHeight="1">
      <c r="H308" s="1">
        <f t="shared" si="9"/>
        <v>303</v>
      </c>
      <c r="I308" s="1">
        <f t="shared" si="2"/>
        <v>29</v>
      </c>
      <c r="J308" s="1">
        <f t="shared" si="3"/>
        <v>10</v>
      </c>
      <c r="K308" s="23">
        <f t="shared" si="10"/>
        <v>36828</v>
      </c>
      <c r="L308" s="24">
        <f t="shared" si="4"/>
        <v>1000000</v>
      </c>
      <c r="M308" s="1" t="str">
        <f t="array" ref="M308">IF(K308&gt;0,INDEX(big_daily_table,MATCH(DATE(N$5,$J308,$I308),daily_dates,0),MATCH($B$3,daily_items,0)),NA())</f>
        <v>#N/A</v>
      </c>
      <c r="N308" s="1" t="str">
        <f t="array" ref="N308">IF(L308&lt;0,INDEX(big_daily_table,MATCH(DATE(N$5,$J308,$I308),daily_dates,0),MATCH($B$3,daily_items,0)),NA())</f>
        <v>#N/A</v>
      </c>
      <c r="O308" s="1" t="str">
        <f t="array" ref="O308">IF(ISBLANK(INDEX(big_daily_table,MATCH(DATE(O$5,$J308,$I308),daily_dates,0),MATCH($B$3,daily_items,0))),NA(),INDEX(big_daily_table,MATCH(DATE(O$5,$J308,$I308),daily_dates,0),MATCH($B$3,daily_items,0)))</f>
        <v>#N/A</v>
      </c>
      <c r="P308" s="1" t="str">
        <f t="array" ref="P308">IF(ISBLANK(INDEX(big_daily_table,MATCH(DATE(P$5,$J308,$I308),daily_dates,0),MATCH($B$3,daily_items,0))),NA(),INDEX(big_daily_table,MATCH(DATE(P$5,$J308,$I308),daily_dates,0),MATCH($B$3,daily_items,0)))</f>
        <v>#N/A</v>
      </c>
      <c r="Q308" s="1" t="str">
        <f t="array" ref="Q308">IF(ISBLANK(INDEX(big_daily_table,MATCH(DATE(Q$5,$J308,$I308),daily_dates,0),MATCH($B$3,daily_items,0))),NA(),INDEX(big_daily_table,MATCH(DATE(Q$5,$J308,$I308),daily_dates,0),MATCH($B$3,daily_items,0)))</f>
        <v>#N/A</v>
      </c>
      <c r="R308" s="1" t="str">
        <f t="array" ref="R308">IF(ISBLANK(INDEX(big_daily_table,MATCH(DATE(R$5,$J308,$I308),daily_dates,0),MATCH($B$3,daily_items,0))),NA(),INDEX(big_daily_table,MATCH(DATE(R$5,$J308,$I308),daily_dates,0),MATCH($B$3,daily_items,0)))</f>
        <v>#N/A</v>
      </c>
      <c r="S308" s="1" t="str">
        <f t="array" ref="S308">IF(ISBLANK(INDEX(big_daily_table,MATCH(DATE(S$5,$J308,$I308),daily_dates,0),MATCH($B$3,daily_items,0))),NA(),INDEX(big_daily_table,MATCH(DATE(S$5,$J308,$I308),daily_dates,0),MATCH($B$3,daily_items,0)))</f>
        <v>#N/A</v>
      </c>
      <c r="T308" s="1" t="str">
        <f t="array" ref="T308">IF(ISBLANK(INDEX(big_daily_table,MATCH(DATE(T$5,$J308,$I308),daily_dates,0),MATCH($B$3,daily_items,0))),NA(),INDEX(big_daily_table,MATCH(DATE(T$5,$J308,$I308),daily_dates,0),MATCH($B$3,daily_items,0)))</f>
        <v>#N/A</v>
      </c>
      <c r="U308" s="1" t="str">
        <f t="array" ref="U308">IF(ISBLANK(INDEX(big_daily_table,MATCH(DATE(U$5,$J308,$I308),daily_dates,0),MATCH($B$3,daily_items,0))),NA(),INDEX(big_daily_table,MATCH(DATE(U$5,$J308,$I308),daily_dates,0),MATCH($B$3,daily_items,0)))</f>
        <v>#N/A</v>
      </c>
      <c r="V308" s="1" t="str">
        <f t="array" ref="V308">IF(ISBLANK(INDEX(big_daily_table,MATCH(DATE(V$5,$J308,$I308),daily_dates,0),MATCH($B$3,daily_items,0))),NA(),INDEX(big_daily_table,MATCH(DATE(V$5,$J308,$I308),daily_dates,0),MATCH($B$3,daily_items,0)))</f>
        <v>#N/A</v>
      </c>
      <c r="W308" s="1" t="str">
        <f t="array" ref="W308">IF(ISBLANK(INDEX(big_daily_table,MATCH(DATE(W$5,$J308,$I308),daily_dates,0),MATCH($B$3,daily_items,0))),NA(),INDEX(big_daily_table,MATCH(DATE(W$5,$J308,$I308),daily_dates,0),MATCH($B$3,daily_items,0)))</f>
        <v>#N/A</v>
      </c>
      <c r="X308" s="1" t="str">
        <f t="array" ref="X308">IF(ISBLANK(INDEX(big_daily_table,MATCH(DATE(X$5,$J308,$I308),daily_dates,0),MATCH($B$3,daily_items,0))),NA(),INDEX(big_daily_table,MATCH(DATE(X$5,$J308,$I308),daily_dates,0),MATCH($B$3,daily_items,0)))</f>
        <v>#N/A</v>
      </c>
      <c r="Y308" s="1" t="str">
        <f t="array" ref="Y308">IF(ISBLANK(INDEX(big_daily_table,MATCH(DATE(Y$5,$J308,$I308),daily_dates,0),MATCH($B$3,daily_items,0))),NA(),INDEX(big_daily_table,MATCH(DATE(Y$5,$J308,$I308),daily_dates,0),MATCH($B$3,daily_items,0)))</f>
        <v>#N/A</v>
      </c>
      <c r="Z308" s="1" t="str">
        <f t="shared" si="5"/>
        <v>#NAME?</v>
      </c>
      <c r="AA308" s="1" t="str">
        <f t="shared" si="6"/>
        <v>#NAME?</v>
      </c>
      <c r="AB308" s="1" t="str">
        <f t="shared" si="7"/>
        <v>#NAME?</v>
      </c>
      <c r="AC308" s="1" t="str">
        <f t="shared" si="8"/>
        <v>#NAME?</v>
      </c>
    </row>
    <row r="309" ht="14.25" customHeight="1">
      <c r="H309" s="1">
        <f t="shared" si="9"/>
        <v>304</v>
      </c>
      <c r="I309" s="1">
        <f t="shared" si="2"/>
        <v>30</v>
      </c>
      <c r="J309" s="1">
        <f t="shared" si="3"/>
        <v>10</v>
      </c>
      <c r="K309" s="23">
        <f t="shared" si="10"/>
        <v>36829</v>
      </c>
      <c r="L309" s="24">
        <f t="shared" si="4"/>
        <v>1000000</v>
      </c>
      <c r="M309" s="1" t="str">
        <f t="array" ref="M309">IF(K309&gt;0,INDEX(big_daily_table,MATCH(DATE(N$5,$J309,$I309),daily_dates,0),MATCH($B$3,daily_items,0)),NA())</f>
        <v>#N/A</v>
      </c>
      <c r="N309" s="1" t="str">
        <f t="array" ref="N309">IF(L309&lt;0,INDEX(big_daily_table,MATCH(DATE(N$5,$J309,$I309),daily_dates,0),MATCH($B$3,daily_items,0)),NA())</f>
        <v>#N/A</v>
      </c>
      <c r="O309" s="1" t="str">
        <f t="array" ref="O309">IF(ISBLANK(INDEX(big_daily_table,MATCH(DATE(O$5,$J309,$I309),daily_dates,0),MATCH($B$3,daily_items,0))),NA(),INDEX(big_daily_table,MATCH(DATE(O$5,$J309,$I309),daily_dates,0),MATCH($B$3,daily_items,0)))</f>
        <v>#N/A</v>
      </c>
      <c r="P309" s="1" t="str">
        <f t="array" ref="P309">IF(ISBLANK(INDEX(big_daily_table,MATCH(DATE(P$5,$J309,$I309),daily_dates,0),MATCH($B$3,daily_items,0))),NA(),INDEX(big_daily_table,MATCH(DATE(P$5,$J309,$I309),daily_dates,0),MATCH($B$3,daily_items,0)))</f>
        <v>#N/A</v>
      </c>
      <c r="Q309" s="1" t="str">
        <f t="array" ref="Q309">IF(ISBLANK(INDEX(big_daily_table,MATCH(DATE(Q$5,$J309,$I309),daily_dates,0),MATCH($B$3,daily_items,0))),NA(),INDEX(big_daily_table,MATCH(DATE(Q$5,$J309,$I309),daily_dates,0),MATCH($B$3,daily_items,0)))</f>
        <v>#N/A</v>
      </c>
      <c r="R309" s="1" t="str">
        <f t="array" ref="R309">IF(ISBLANK(INDEX(big_daily_table,MATCH(DATE(R$5,$J309,$I309),daily_dates,0),MATCH($B$3,daily_items,0))),NA(),INDEX(big_daily_table,MATCH(DATE(R$5,$J309,$I309),daily_dates,0),MATCH($B$3,daily_items,0)))</f>
        <v>#N/A</v>
      </c>
      <c r="S309" s="1" t="str">
        <f t="array" ref="S309">IF(ISBLANK(INDEX(big_daily_table,MATCH(DATE(S$5,$J309,$I309),daily_dates,0),MATCH($B$3,daily_items,0))),NA(),INDEX(big_daily_table,MATCH(DATE(S$5,$J309,$I309),daily_dates,0),MATCH($B$3,daily_items,0)))</f>
        <v>#N/A</v>
      </c>
      <c r="T309" s="1" t="str">
        <f t="array" ref="T309">IF(ISBLANK(INDEX(big_daily_table,MATCH(DATE(T$5,$J309,$I309),daily_dates,0),MATCH($B$3,daily_items,0))),NA(),INDEX(big_daily_table,MATCH(DATE(T$5,$J309,$I309),daily_dates,0),MATCH($B$3,daily_items,0)))</f>
        <v>#N/A</v>
      </c>
      <c r="U309" s="1" t="str">
        <f t="array" ref="U309">IF(ISBLANK(INDEX(big_daily_table,MATCH(DATE(U$5,$J309,$I309),daily_dates,0),MATCH($B$3,daily_items,0))),NA(),INDEX(big_daily_table,MATCH(DATE(U$5,$J309,$I309),daily_dates,0),MATCH($B$3,daily_items,0)))</f>
        <v>#N/A</v>
      </c>
      <c r="V309" s="1" t="str">
        <f t="array" ref="V309">IF(ISBLANK(INDEX(big_daily_table,MATCH(DATE(V$5,$J309,$I309),daily_dates,0),MATCH($B$3,daily_items,0))),NA(),INDEX(big_daily_table,MATCH(DATE(V$5,$J309,$I309),daily_dates,0),MATCH($B$3,daily_items,0)))</f>
        <v>#N/A</v>
      </c>
      <c r="W309" s="1" t="str">
        <f t="array" ref="W309">IF(ISBLANK(INDEX(big_daily_table,MATCH(DATE(W$5,$J309,$I309),daily_dates,0),MATCH($B$3,daily_items,0))),NA(),INDEX(big_daily_table,MATCH(DATE(W$5,$J309,$I309),daily_dates,0),MATCH($B$3,daily_items,0)))</f>
        <v>#N/A</v>
      </c>
      <c r="X309" s="1" t="str">
        <f t="array" ref="X309">IF(ISBLANK(INDEX(big_daily_table,MATCH(DATE(X$5,$J309,$I309),daily_dates,0),MATCH($B$3,daily_items,0))),NA(),INDEX(big_daily_table,MATCH(DATE(X$5,$J309,$I309),daily_dates,0),MATCH($B$3,daily_items,0)))</f>
        <v>#N/A</v>
      </c>
      <c r="Y309" s="1" t="str">
        <f t="array" ref="Y309">IF(ISBLANK(INDEX(big_daily_table,MATCH(DATE(Y$5,$J309,$I309),daily_dates,0),MATCH($B$3,daily_items,0))),NA(),INDEX(big_daily_table,MATCH(DATE(Y$5,$J309,$I309),daily_dates,0),MATCH($B$3,daily_items,0)))</f>
        <v>#N/A</v>
      </c>
      <c r="Z309" s="1" t="str">
        <f t="shared" si="5"/>
        <v>#NAME?</v>
      </c>
      <c r="AA309" s="1" t="str">
        <f t="shared" si="6"/>
        <v>#NAME?</v>
      </c>
      <c r="AB309" s="1" t="str">
        <f t="shared" si="7"/>
        <v>#NAME?</v>
      </c>
      <c r="AC309" s="1" t="str">
        <f t="shared" si="8"/>
        <v>#NAME?</v>
      </c>
    </row>
    <row r="310" ht="14.25" customHeight="1">
      <c r="H310" s="1">
        <f t="shared" si="9"/>
        <v>305</v>
      </c>
      <c r="I310" s="1">
        <f t="shared" si="2"/>
        <v>31</v>
      </c>
      <c r="J310" s="1">
        <f t="shared" si="3"/>
        <v>10</v>
      </c>
      <c r="K310" s="23">
        <f t="shared" si="10"/>
        <v>36830</v>
      </c>
      <c r="L310" s="24">
        <f t="shared" si="4"/>
        <v>1000000</v>
      </c>
      <c r="M310" s="1" t="str">
        <f t="array" ref="M310">IF(K310&gt;0,INDEX(big_daily_table,MATCH(DATE(N$5,$J310,$I310),daily_dates,0),MATCH($B$3,daily_items,0)),NA())</f>
        <v>#N/A</v>
      </c>
      <c r="N310" s="1" t="str">
        <f t="array" ref="N310">IF(L310&lt;0,INDEX(big_daily_table,MATCH(DATE(N$5,$J310,$I310),daily_dates,0),MATCH($B$3,daily_items,0)),NA())</f>
        <v>#N/A</v>
      </c>
      <c r="O310" s="1" t="str">
        <f t="array" ref="O310">IF(ISBLANK(INDEX(big_daily_table,MATCH(DATE(O$5,$J310,$I310),daily_dates,0),MATCH($B$3,daily_items,0))),NA(),INDEX(big_daily_table,MATCH(DATE(O$5,$J310,$I310),daily_dates,0),MATCH($B$3,daily_items,0)))</f>
        <v>#N/A</v>
      </c>
      <c r="P310" s="1" t="str">
        <f t="array" ref="P310">IF(ISBLANK(INDEX(big_daily_table,MATCH(DATE(P$5,$J310,$I310),daily_dates,0),MATCH($B$3,daily_items,0))),NA(),INDEX(big_daily_table,MATCH(DATE(P$5,$J310,$I310),daily_dates,0),MATCH($B$3,daily_items,0)))</f>
        <v>#N/A</v>
      </c>
      <c r="Q310" s="1" t="str">
        <f t="array" ref="Q310">IF(ISBLANK(INDEX(big_daily_table,MATCH(DATE(Q$5,$J310,$I310),daily_dates,0),MATCH($B$3,daily_items,0))),NA(),INDEX(big_daily_table,MATCH(DATE(Q$5,$J310,$I310),daily_dates,0),MATCH($B$3,daily_items,0)))</f>
        <v>#N/A</v>
      </c>
      <c r="R310" s="1" t="str">
        <f t="array" ref="R310">IF(ISBLANK(INDEX(big_daily_table,MATCH(DATE(R$5,$J310,$I310),daily_dates,0),MATCH($B$3,daily_items,0))),NA(),INDEX(big_daily_table,MATCH(DATE(R$5,$J310,$I310),daily_dates,0),MATCH($B$3,daily_items,0)))</f>
        <v>#N/A</v>
      </c>
      <c r="S310" s="1" t="str">
        <f t="array" ref="S310">IF(ISBLANK(INDEX(big_daily_table,MATCH(DATE(S$5,$J310,$I310),daily_dates,0),MATCH($B$3,daily_items,0))),NA(),INDEX(big_daily_table,MATCH(DATE(S$5,$J310,$I310),daily_dates,0),MATCH($B$3,daily_items,0)))</f>
        <v>#N/A</v>
      </c>
      <c r="T310" s="1" t="str">
        <f t="array" ref="T310">IF(ISBLANK(INDEX(big_daily_table,MATCH(DATE(T$5,$J310,$I310),daily_dates,0),MATCH($B$3,daily_items,0))),NA(),INDEX(big_daily_table,MATCH(DATE(T$5,$J310,$I310),daily_dates,0),MATCH($B$3,daily_items,0)))</f>
        <v>#N/A</v>
      </c>
      <c r="U310" s="1" t="str">
        <f t="array" ref="U310">IF(ISBLANK(INDEX(big_daily_table,MATCH(DATE(U$5,$J310,$I310),daily_dates,0),MATCH($B$3,daily_items,0))),NA(),INDEX(big_daily_table,MATCH(DATE(U$5,$J310,$I310),daily_dates,0),MATCH($B$3,daily_items,0)))</f>
        <v>#N/A</v>
      </c>
      <c r="V310" s="1" t="str">
        <f t="array" ref="V310">IF(ISBLANK(INDEX(big_daily_table,MATCH(DATE(V$5,$J310,$I310),daily_dates,0),MATCH($B$3,daily_items,0))),NA(),INDEX(big_daily_table,MATCH(DATE(V$5,$J310,$I310),daily_dates,0),MATCH($B$3,daily_items,0)))</f>
        <v>#N/A</v>
      </c>
      <c r="W310" s="1" t="str">
        <f t="array" ref="W310">IF(ISBLANK(INDEX(big_daily_table,MATCH(DATE(W$5,$J310,$I310),daily_dates,0),MATCH($B$3,daily_items,0))),NA(),INDEX(big_daily_table,MATCH(DATE(W$5,$J310,$I310),daily_dates,0),MATCH($B$3,daily_items,0)))</f>
        <v>#N/A</v>
      </c>
      <c r="X310" s="1" t="str">
        <f t="array" ref="X310">IF(ISBLANK(INDEX(big_daily_table,MATCH(DATE(X$5,$J310,$I310),daily_dates,0),MATCH($B$3,daily_items,0))),NA(),INDEX(big_daily_table,MATCH(DATE(X$5,$J310,$I310),daily_dates,0),MATCH($B$3,daily_items,0)))</f>
        <v>#N/A</v>
      </c>
      <c r="Y310" s="1" t="str">
        <f t="array" ref="Y310">IF(ISBLANK(INDEX(big_daily_table,MATCH(DATE(Y$5,$J310,$I310),daily_dates,0),MATCH($B$3,daily_items,0))),NA(),INDEX(big_daily_table,MATCH(DATE(Y$5,$J310,$I310),daily_dates,0),MATCH($B$3,daily_items,0)))</f>
        <v>#N/A</v>
      </c>
      <c r="Z310" s="1" t="str">
        <f t="shared" si="5"/>
        <v>#NAME?</v>
      </c>
      <c r="AA310" s="1" t="str">
        <f t="shared" si="6"/>
        <v>#NAME?</v>
      </c>
      <c r="AB310" s="1" t="str">
        <f t="shared" si="7"/>
        <v>#NAME?</v>
      </c>
      <c r="AC310" s="1" t="str">
        <f t="shared" si="8"/>
        <v>#NAME?</v>
      </c>
    </row>
    <row r="311" ht="14.25" customHeight="1">
      <c r="H311" s="1">
        <f t="shared" si="9"/>
        <v>306</v>
      </c>
      <c r="I311" s="1">
        <f t="shared" si="2"/>
        <v>1</v>
      </c>
      <c r="J311" s="1">
        <f t="shared" si="3"/>
        <v>11</v>
      </c>
      <c r="K311" s="23">
        <f t="shared" si="10"/>
        <v>36831</v>
      </c>
      <c r="L311" s="24">
        <f t="shared" si="4"/>
        <v>1000000</v>
      </c>
      <c r="M311" s="1" t="str">
        <f t="array" ref="M311">IF(K311&gt;0,INDEX(big_daily_table,MATCH(DATE(N$5,$J311,$I311),daily_dates,0),MATCH($B$3,daily_items,0)),NA())</f>
        <v>#N/A</v>
      </c>
      <c r="N311" s="1" t="str">
        <f t="array" ref="N311">IF(L311&lt;0,INDEX(big_daily_table,MATCH(DATE(N$5,$J311,$I311),daily_dates,0),MATCH($B$3,daily_items,0)),NA())</f>
        <v>#N/A</v>
      </c>
      <c r="O311" s="1" t="str">
        <f t="array" ref="O311">IF(ISBLANK(INDEX(big_daily_table,MATCH(DATE(O$5,$J311,$I311),daily_dates,0),MATCH($B$3,daily_items,0))),NA(),INDEX(big_daily_table,MATCH(DATE(O$5,$J311,$I311),daily_dates,0),MATCH($B$3,daily_items,0)))</f>
        <v>#N/A</v>
      </c>
      <c r="P311" s="1" t="str">
        <f t="array" ref="P311">IF(ISBLANK(INDEX(big_daily_table,MATCH(DATE(P$5,$J311,$I311),daily_dates,0),MATCH($B$3,daily_items,0))),NA(),INDEX(big_daily_table,MATCH(DATE(P$5,$J311,$I311),daily_dates,0),MATCH($B$3,daily_items,0)))</f>
        <v>#N/A</v>
      </c>
      <c r="Q311" s="1" t="str">
        <f t="array" ref="Q311">IF(ISBLANK(INDEX(big_daily_table,MATCH(DATE(Q$5,$J311,$I311),daily_dates,0),MATCH($B$3,daily_items,0))),NA(),INDEX(big_daily_table,MATCH(DATE(Q$5,$J311,$I311),daily_dates,0),MATCH($B$3,daily_items,0)))</f>
        <v>#N/A</v>
      </c>
      <c r="R311" s="1" t="str">
        <f t="array" ref="R311">IF(ISBLANK(INDEX(big_daily_table,MATCH(DATE(R$5,$J311,$I311),daily_dates,0),MATCH($B$3,daily_items,0))),NA(),INDEX(big_daily_table,MATCH(DATE(R$5,$J311,$I311),daily_dates,0),MATCH($B$3,daily_items,0)))</f>
        <v>#N/A</v>
      </c>
      <c r="S311" s="1" t="str">
        <f t="array" ref="S311">IF(ISBLANK(INDEX(big_daily_table,MATCH(DATE(S$5,$J311,$I311),daily_dates,0),MATCH($B$3,daily_items,0))),NA(),INDEX(big_daily_table,MATCH(DATE(S$5,$J311,$I311),daily_dates,0),MATCH($B$3,daily_items,0)))</f>
        <v>#N/A</v>
      </c>
      <c r="T311" s="1" t="str">
        <f t="array" ref="T311">IF(ISBLANK(INDEX(big_daily_table,MATCH(DATE(T$5,$J311,$I311),daily_dates,0),MATCH($B$3,daily_items,0))),NA(),INDEX(big_daily_table,MATCH(DATE(T$5,$J311,$I311),daily_dates,0),MATCH($B$3,daily_items,0)))</f>
        <v>#N/A</v>
      </c>
      <c r="U311" s="1" t="str">
        <f t="array" ref="U311">IF(ISBLANK(INDEX(big_daily_table,MATCH(DATE(U$5,$J311,$I311),daily_dates,0),MATCH($B$3,daily_items,0))),NA(),INDEX(big_daily_table,MATCH(DATE(U$5,$J311,$I311),daily_dates,0),MATCH($B$3,daily_items,0)))</f>
        <v>#N/A</v>
      </c>
      <c r="V311" s="1" t="str">
        <f t="array" ref="V311">IF(ISBLANK(INDEX(big_daily_table,MATCH(DATE(V$5,$J311,$I311),daily_dates,0),MATCH($B$3,daily_items,0))),NA(),INDEX(big_daily_table,MATCH(DATE(V$5,$J311,$I311),daily_dates,0),MATCH($B$3,daily_items,0)))</f>
        <v>#N/A</v>
      </c>
      <c r="W311" s="1" t="str">
        <f t="array" ref="W311">IF(ISBLANK(INDEX(big_daily_table,MATCH(DATE(W$5,$J311,$I311),daily_dates,0),MATCH($B$3,daily_items,0))),NA(),INDEX(big_daily_table,MATCH(DATE(W$5,$J311,$I311),daily_dates,0),MATCH($B$3,daily_items,0)))</f>
        <v>#N/A</v>
      </c>
      <c r="X311" s="1" t="str">
        <f t="array" ref="X311">IF(ISBLANK(INDEX(big_daily_table,MATCH(DATE(X$5,$J311,$I311),daily_dates,0),MATCH($B$3,daily_items,0))),NA(),INDEX(big_daily_table,MATCH(DATE(X$5,$J311,$I311),daily_dates,0),MATCH($B$3,daily_items,0)))</f>
        <v>#N/A</v>
      </c>
      <c r="Y311" s="1" t="str">
        <f t="array" ref="Y311">IF(ISBLANK(INDEX(big_daily_table,MATCH(DATE(Y$5,$J311,$I311),daily_dates,0),MATCH($B$3,daily_items,0))),NA(),INDEX(big_daily_table,MATCH(DATE(Y$5,$J311,$I311),daily_dates,0),MATCH($B$3,daily_items,0)))</f>
        <v>#N/A</v>
      </c>
      <c r="Z311" s="1" t="str">
        <f t="shared" si="5"/>
        <v>#NAME?</v>
      </c>
      <c r="AA311" s="1" t="str">
        <f t="shared" si="6"/>
        <v>#NAME?</v>
      </c>
      <c r="AB311" s="1" t="str">
        <f t="shared" si="7"/>
        <v>#NAME?</v>
      </c>
      <c r="AC311" s="1" t="str">
        <f t="shared" si="8"/>
        <v>#NAME?</v>
      </c>
    </row>
    <row r="312" ht="14.25" customHeight="1">
      <c r="H312" s="1">
        <f t="shared" si="9"/>
        <v>307</v>
      </c>
      <c r="I312" s="1">
        <f t="shared" si="2"/>
        <v>2</v>
      </c>
      <c r="J312" s="1">
        <f t="shared" si="3"/>
        <v>11</v>
      </c>
      <c r="K312" s="23">
        <f t="shared" si="10"/>
        <v>36832</v>
      </c>
      <c r="L312" s="24">
        <f t="shared" si="4"/>
        <v>1000000</v>
      </c>
      <c r="M312" s="1" t="str">
        <f t="array" ref="M312">IF(K312&gt;0,INDEX(big_daily_table,MATCH(DATE(N$5,$J312,$I312),daily_dates,0),MATCH($B$3,daily_items,0)),NA())</f>
        <v>#N/A</v>
      </c>
      <c r="N312" s="1" t="str">
        <f t="array" ref="N312">IF(L312&lt;0,INDEX(big_daily_table,MATCH(DATE(N$5,$J312,$I312),daily_dates,0),MATCH($B$3,daily_items,0)),NA())</f>
        <v>#N/A</v>
      </c>
      <c r="O312" s="1" t="str">
        <f t="array" ref="O312">IF(ISBLANK(INDEX(big_daily_table,MATCH(DATE(O$5,$J312,$I312),daily_dates,0),MATCH($B$3,daily_items,0))),NA(),INDEX(big_daily_table,MATCH(DATE(O$5,$J312,$I312),daily_dates,0),MATCH($B$3,daily_items,0)))</f>
        <v>#N/A</v>
      </c>
      <c r="P312" s="1" t="str">
        <f t="array" ref="P312">IF(ISBLANK(INDEX(big_daily_table,MATCH(DATE(P$5,$J312,$I312),daily_dates,0),MATCH($B$3,daily_items,0))),NA(),INDEX(big_daily_table,MATCH(DATE(P$5,$J312,$I312),daily_dates,0),MATCH($B$3,daily_items,0)))</f>
        <v>#N/A</v>
      </c>
      <c r="Q312" s="1" t="str">
        <f t="array" ref="Q312">IF(ISBLANK(INDEX(big_daily_table,MATCH(DATE(Q$5,$J312,$I312),daily_dates,0),MATCH($B$3,daily_items,0))),NA(),INDEX(big_daily_table,MATCH(DATE(Q$5,$J312,$I312),daily_dates,0),MATCH($B$3,daily_items,0)))</f>
        <v>#N/A</v>
      </c>
      <c r="R312" s="1" t="str">
        <f t="array" ref="R312">IF(ISBLANK(INDEX(big_daily_table,MATCH(DATE(R$5,$J312,$I312),daily_dates,0),MATCH($B$3,daily_items,0))),NA(),INDEX(big_daily_table,MATCH(DATE(R$5,$J312,$I312),daily_dates,0),MATCH($B$3,daily_items,0)))</f>
        <v>#N/A</v>
      </c>
      <c r="S312" s="1" t="str">
        <f t="array" ref="S312">IF(ISBLANK(INDEX(big_daily_table,MATCH(DATE(S$5,$J312,$I312),daily_dates,0),MATCH($B$3,daily_items,0))),NA(),INDEX(big_daily_table,MATCH(DATE(S$5,$J312,$I312),daily_dates,0),MATCH($B$3,daily_items,0)))</f>
        <v>#N/A</v>
      </c>
      <c r="T312" s="1" t="str">
        <f t="array" ref="T312">IF(ISBLANK(INDEX(big_daily_table,MATCH(DATE(T$5,$J312,$I312),daily_dates,0),MATCH($B$3,daily_items,0))),NA(),INDEX(big_daily_table,MATCH(DATE(T$5,$J312,$I312),daily_dates,0),MATCH($B$3,daily_items,0)))</f>
        <v>#N/A</v>
      </c>
      <c r="U312" s="1" t="str">
        <f t="array" ref="U312">IF(ISBLANK(INDEX(big_daily_table,MATCH(DATE(U$5,$J312,$I312),daily_dates,0),MATCH($B$3,daily_items,0))),NA(),INDEX(big_daily_table,MATCH(DATE(U$5,$J312,$I312),daily_dates,0),MATCH($B$3,daily_items,0)))</f>
        <v>#N/A</v>
      </c>
      <c r="V312" s="1" t="str">
        <f t="array" ref="V312">IF(ISBLANK(INDEX(big_daily_table,MATCH(DATE(V$5,$J312,$I312),daily_dates,0),MATCH($B$3,daily_items,0))),NA(),INDEX(big_daily_table,MATCH(DATE(V$5,$J312,$I312),daily_dates,0),MATCH($B$3,daily_items,0)))</f>
        <v>#N/A</v>
      </c>
      <c r="W312" s="1" t="str">
        <f t="array" ref="W312">IF(ISBLANK(INDEX(big_daily_table,MATCH(DATE(W$5,$J312,$I312),daily_dates,0),MATCH($B$3,daily_items,0))),NA(),INDEX(big_daily_table,MATCH(DATE(W$5,$J312,$I312),daily_dates,0),MATCH($B$3,daily_items,0)))</f>
        <v>#N/A</v>
      </c>
      <c r="X312" s="1" t="str">
        <f t="array" ref="X312">IF(ISBLANK(INDEX(big_daily_table,MATCH(DATE(X$5,$J312,$I312),daily_dates,0),MATCH($B$3,daily_items,0))),NA(),INDEX(big_daily_table,MATCH(DATE(X$5,$J312,$I312),daily_dates,0),MATCH($B$3,daily_items,0)))</f>
        <v>#N/A</v>
      </c>
      <c r="Y312" s="1" t="str">
        <f t="array" ref="Y312">IF(ISBLANK(INDEX(big_daily_table,MATCH(DATE(Y$5,$J312,$I312),daily_dates,0),MATCH($B$3,daily_items,0))),NA(),INDEX(big_daily_table,MATCH(DATE(Y$5,$J312,$I312),daily_dates,0),MATCH($B$3,daily_items,0)))</f>
        <v>#N/A</v>
      </c>
      <c r="Z312" s="1" t="str">
        <f t="shared" si="5"/>
        <v>#NAME?</v>
      </c>
      <c r="AA312" s="1" t="str">
        <f t="shared" si="6"/>
        <v>#NAME?</v>
      </c>
      <c r="AB312" s="1" t="str">
        <f t="shared" si="7"/>
        <v>#NAME?</v>
      </c>
      <c r="AC312" s="1" t="str">
        <f t="shared" si="8"/>
        <v>#NAME?</v>
      </c>
    </row>
    <row r="313" ht="14.25" customHeight="1">
      <c r="H313" s="1">
        <f t="shared" si="9"/>
        <v>308</v>
      </c>
      <c r="I313" s="1">
        <f t="shared" si="2"/>
        <v>3</v>
      </c>
      <c r="J313" s="1">
        <f t="shared" si="3"/>
        <v>11</v>
      </c>
      <c r="K313" s="23">
        <f t="shared" si="10"/>
        <v>36833</v>
      </c>
      <c r="L313" s="24">
        <f t="shared" si="4"/>
        <v>1000000</v>
      </c>
      <c r="M313" s="1" t="str">
        <f t="array" ref="M313">IF(K313&gt;0,INDEX(big_daily_table,MATCH(DATE(N$5,$J313,$I313),daily_dates,0),MATCH($B$3,daily_items,0)),NA())</f>
        <v>#N/A</v>
      </c>
      <c r="N313" s="1" t="str">
        <f t="array" ref="N313">IF(L313&lt;0,INDEX(big_daily_table,MATCH(DATE(N$5,$J313,$I313),daily_dates,0),MATCH($B$3,daily_items,0)),NA())</f>
        <v>#N/A</v>
      </c>
      <c r="O313" s="1" t="str">
        <f t="array" ref="O313">IF(ISBLANK(INDEX(big_daily_table,MATCH(DATE(O$5,$J313,$I313),daily_dates,0),MATCH($B$3,daily_items,0))),NA(),INDEX(big_daily_table,MATCH(DATE(O$5,$J313,$I313),daily_dates,0),MATCH($B$3,daily_items,0)))</f>
        <v>#N/A</v>
      </c>
      <c r="P313" s="1" t="str">
        <f t="array" ref="P313">IF(ISBLANK(INDEX(big_daily_table,MATCH(DATE(P$5,$J313,$I313),daily_dates,0),MATCH($B$3,daily_items,0))),NA(),INDEX(big_daily_table,MATCH(DATE(P$5,$J313,$I313),daily_dates,0),MATCH($B$3,daily_items,0)))</f>
        <v>#N/A</v>
      </c>
      <c r="Q313" s="1" t="str">
        <f t="array" ref="Q313">IF(ISBLANK(INDEX(big_daily_table,MATCH(DATE(Q$5,$J313,$I313),daily_dates,0),MATCH($B$3,daily_items,0))),NA(),INDEX(big_daily_table,MATCH(DATE(Q$5,$J313,$I313),daily_dates,0),MATCH($B$3,daily_items,0)))</f>
        <v>#N/A</v>
      </c>
      <c r="R313" s="1" t="str">
        <f t="array" ref="R313">IF(ISBLANK(INDEX(big_daily_table,MATCH(DATE(R$5,$J313,$I313),daily_dates,0),MATCH($B$3,daily_items,0))),NA(),INDEX(big_daily_table,MATCH(DATE(R$5,$J313,$I313),daily_dates,0),MATCH($B$3,daily_items,0)))</f>
        <v>#N/A</v>
      </c>
      <c r="S313" s="1" t="str">
        <f t="array" ref="S313">IF(ISBLANK(INDEX(big_daily_table,MATCH(DATE(S$5,$J313,$I313),daily_dates,0),MATCH($B$3,daily_items,0))),NA(),INDEX(big_daily_table,MATCH(DATE(S$5,$J313,$I313),daily_dates,0),MATCH($B$3,daily_items,0)))</f>
        <v>#N/A</v>
      </c>
      <c r="T313" s="1" t="str">
        <f t="array" ref="T313">IF(ISBLANK(INDEX(big_daily_table,MATCH(DATE(T$5,$J313,$I313),daily_dates,0),MATCH($B$3,daily_items,0))),NA(),INDEX(big_daily_table,MATCH(DATE(T$5,$J313,$I313),daily_dates,0),MATCH($B$3,daily_items,0)))</f>
        <v>#N/A</v>
      </c>
      <c r="U313" s="1" t="str">
        <f t="array" ref="U313">IF(ISBLANK(INDEX(big_daily_table,MATCH(DATE(U$5,$J313,$I313),daily_dates,0),MATCH($B$3,daily_items,0))),NA(),INDEX(big_daily_table,MATCH(DATE(U$5,$J313,$I313),daily_dates,0),MATCH($B$3,daily_items,0)))</f>
        <v>#N/A</v>
      </c>
      <c r="V313" s="1" t="str">
        <f t="array" ref="V313">IF(ISBLANK(INDEX(big_daily_table,MATCH(DATE(V$5,$J313,$I313),daily_dates,0),MATCH($B$3,daily_items,0))),NA(),INDEX(big_daily_table,MATCH(DATE(V$5,$J313,$I313),daily_dates,0),MATCH($B$3,daily_items,0)))</f>
        <v>#N/A</v>
      </c>
      <c r="W313" s="1" t="str">
        <f t="array" ref="W313">IF(ISBLANK(INDEX(big_daily_table,MATCH(DATE(W$5,$J313,$I313),daily_dates,0),MATCH($B$3,daily_items,0))),NA(),INDEX(big_daily_table,MATCH(DATE(W$5,$J313,$I313),daily_dates,0),MATCH($B$3,daily_items,0)))</f>
        <v>#N/A</v>
      </c>
      <c r="X313" s="1" t="str">
        <f t="array" ref="X313">IF(ISBLANK(INDEX(big_daily_table,MATCH(DATE(X$5,$J313,$I313),daily_dates,0),MATCH($B$3,daily_items,0))),NA(),INDEX(big_daily_table,MATCH(DATE(X$5,$J313,$I313),daily_dates,0),MATCH($B$3,daily_items,0)))</f>
        <v>#N/A</v>
      </c>
      <c r="Y313" s="1" t="str">
        <f t="array" ref="Y313">IF(ISBLANK(INDEX(big_daily_table,MATCH(DATE(Y$5,$J313,$I313),daily_dates,0),MATCH($B$3,daily_items,0))),NA(),INDEX(big_daily_table,MATCH(DATE(Y$5,$J313,$I313),daily_dates,0),MATCH($B$3,daily_items,0)))</f>
        <v>#N/A</v>
      </c>
      <c r="Z313" s="1" t="str">
        <f t="shared" si="5"/>
        <v>#NAME?</v>
      </c>
      <c r="AA313" s="1" t="str">
        <f t="shared" si="6"/>
        <v>#NAME?</v>
      </c>
      <c r="AB313" s="1" t="str">
        <f t="shared" si="7"/>
        <v>#NAME?</v>
      </c>
      <c r="AC313" s="1" t="str">
        <f t="shared" si="8"/>
        <v>#NAME?</v>
      </c>
    </row>
    <row r="314" ht="14.25" customHeight="1">
      <c r="H314" s="1">
        <f t="shared" si="9"/>
        <v>309</v>
      </c>
      <c r="I314" s="1">
        <f t="shared" si="2"/>
        <v>4</v>
      </c>
      <c r="J314" s="1">
        <f t="shared" si="3"/>
        <v>11</v>
      </c>
      <c r="K314" s="23">
        <f t="shared" si="10"/>
        <v>36834</v>
      </c>
      <c r="L314" s="24">
        <f t="shared" si="4"/>
        <v>1000000</v>
      </c>
      <c r="M314" s="1" t="str">
        <f t="array" ref="M314">IF(K314&gt;0,INDEX(big_daily_table,MATCH(DATE(N$5,$J314,$I314),daily_dates,0),MATCH($B$3,daily_items,0)),NA())</f>
        <v>#N/A</v>
      </c>
      <c r="N314" s="1" t="str">
        <f t="array" ref="N314">IF(L314&lt;0,INDEX(big_daily_table,MATCH(DATE(N$5,$J314,$I314),daily_dates,0),MATCH($B$3,daily_items,0)),NA())</f>
        <v>#N/A</v>
      </c>
      <c r="O314" s="1" t="str">
        <f t="array" ref="O314">IF(ISBLANK(INDEX(big_daily_table,MATCH(DATE(O$5,$J314,$I314),daily_dates,0),MATCH($B$3,daily_items,0))),NA(),INDEX(big_daily_table,MATCH(DATE(O$5,$J314,$I314),daily_dates,0),MATCH($B$3,daily_items,0)))</f>
        <v>#N/A</v>
      </c>
      <c r="P314" s="1" t="str">
        <f t="array" ref="P314">IF(ISBLANK(INDEX(big_daily_table,MATCH(DATE(P$5,$J314,$I314),daily_dates,0),MATCH($B$3,daily_items,0))),NA(),INDEX(big_daily_table,MATCH(DATE(P$5,$J314,$I314),daily_dates,0),MATCH($B$3,daily_items,0)))</f>
        <v>#N/A</v>
      </c>
      <c r="Q314" s="1" t="str">
        <f t="array" ref="Q314">IF(ISBLANK(INDEX(big_daily_table,MATCH(DATE(Q$5,$J314,$I314),daily_dates,0),MATCH($B$3,daily_items,0))),NA(),INDEX(big_daily_table,MATCH(DATE(Q$5,$J314,$I314),daily_dates,0),MATCH($B$3,daily_items,0)))</f>
        <v>#N/A</v>
      </c>
      <c r="R314" s="1" t="str">
        <f t="array" ref="R314">IF(ISBLANK(INDEX(big_daily_table,MATCH(DATE(R$5,$J314,$I314),daily_dates,0),MATCH($B$3,daily_items,0))),NA(),INDEX(big_daily_table,MATCH(DATE(R$5,$J314,$I314),daily_dates,0),MATCH($B$3,daily_items,0)))</f>
        <v>#N/A</v>
      </c>
      <c r="S314" s="1" t="str">
        <f t="array" ref="S314">IF(ISBLANK(INDEX(big_daily_table,MATCH(DATE(S$5,$J314,$I314),daily_dates,0),MATCH($B$3,daily_items,0))),NA(),INDEX(big_daily_table,MATCH(DATE(S$5,$J314,$I314),daily_dates,0),MATCH($B$3,daily_items,0)))</f>
        <v>#N/A</v>
      </c>
      <c r="T314" s="1" t="str">
        <f t="array" ref="T314">IF(ISBLANK(INDEX(big_daily_table,MATCH(DATE(T$5,$J314,$I314),daily_dates,0),MATCH($B$3,daily_items,0))),NA(),INDEX(big_daily_table,MATCH(DATE(T$5,$J314,$I314),daily_dates,0),MATCH($B$3,daily_items,0)))</f>
        <v>#N/A</v>
      </c>
      <c r="U314" s="1" t="str">
        <f t="array" ref="U314">IF(ISBLANK(INDEX(big_daily_table,MATCH(DATE(U$5,$J314,$I314),daily_dates,0),MATCH($B$3,daily_items,0))),NA(),INDEX(big_daily_table,MATCH(DATE(U$5,$J314,$I314),daily_dates,0),MATCH($B$3,daily_items,0)))</f>
        <v>#N/A</v>
      </c>
      <c r="V314" s="1" t="str">
        <f t="array" ref="V314">IF(ISBLANK(INDEX(big_daily_table,MATCH(DATE(V$5,$J314,$I314),daily_dates,0),MATCH($B$3,daily_items,0))),NA(),INDEX(big_daily_table,MATCH(DATE(V$5,$J314,$I314),daily_dates,0),MATCH($B$3,daily_items,0)))</f>
        <v>#N/A</v>
      </c>
      <c r="W314" s="1" t="str">
        <f t="array" ref="W314">IF(ISBLANK(INDEX(big_daily_table,MATCH(DATE(W$5,$J314,$I314),daily_dates,0),MATCH($B$3,daily_items,0))),NA(),INDEX(big_daily_table,MATCH(DATE(W$5,$J314,$I314),daily_dates,0),MATCH($B$3,daily_items,0)))</f>
        <v>#N/A</v>
      </c>
      <c r="X314" s="1" t="str">
        <f t="array" ref="X314">IF(ISBLANK(INDEX(big_daily_table,MATCH(DATE(X$5,$J314,$I314),daily_dates,0),MATCH($B$3,daily_items,0))),NA(),INDEX(big_daily_table,MATCH(DATE(X$5,$J314,$I314),daily_dates,0),MATCH($B$3,daily_items,0)))</f>
        <v>#N/A</v>
      </c>
      <c r="Y314" s="1" t="str">
        <f t="array" ref="Y314">IF(ISBLANK(INDEX(big_daily_table,MATCH(DATE(Y$5,$J314,$I314),daily_dates,0),MATCH($B$3,daily_items,0))),NA(),INDEX(big_daily_table,MATCH(DATE(Y$5,$J314,$I314),daily_dates,0),MATCH($B$3,daily_items,0)))</f>
        <v>#N/A</v>
      </c>
      <c r="Z314" s="1" t="str">
        <f t="shared" si="5"/>
        <v>#NAME?</v>
      </c>
      <c r="AA314" s="1" t="str">
        <f t="shared" si="6"/>
        <v>#NAME?</v>
      </c>
      <c r="AB314" s="1" t="str">
        <f t="shared" si="7"/>
        <v>#NAME?</v>
      </c>
      <c r="AC314" s="1" t="str">
        <f t="shared" si="8"/>
        <v>#NAME?</v>
      </c>
    </row>
    <row r="315" ht="14.25" customHeight="1">
      <c r="H315" s="1">
        <f t="shared" si="9"/>
        <v>310</v>
      </c>
      <c r="I315" s="1">
        <f t="shared" si="2"/>
        <v>5</v>
      </c>
      <c r="J315" s="1">
        <f t="shared" si="3"/>
        <v>11</v>
      </c>
      <c r="K315" s="23">
        <f t="shared" si="10"/>
        <v>36835</v>
      </c>
      <c r="L315" s="24">
        <f t="shared" si="4"/>
        <v>1000000</v>
      </c>
      <c r="M315" s="1" t="str">
        <f t="array" ref="M315">IF(K315&gt;0,INDEX(big_daily_table,MATCH(DATE(N$5,$J315,$I315),daily_dates,0),MATCH($B$3,daily_items,0)),NA())</f>
        <v>#N/A</v>
      </c>
      <c r="N315" s="1" t="str">
        <f t="array" ref="N315">IF(L315&lt;0,INDEX(big_daily_table,MATCH(DATE(N$5,$J315,$I315),daily_dates,0),MATCH($B$3,daily_items,0)),NA())</f>
        <v>#N/A</v>
      </c>
      <c r="O315" s="1" t="str">
        <f t="array" ref="O315">IF(ISBLANK(INDEX(big_daily_table,MATCH(DATE(O$5,$J315,$I315),daily_dates,0),MATCH($B$3,daily_items,0))),NA(),INDEX(big_daily_table,MATCH(DATE(O$5,$J315,$I315),daily_dates,0),MATCH($B$3,daily_items,0)))</f>
        <v>#N/A</v>
      </c>
      <c r="P315" s="1" t="str">
        <f t="array" ref="P315">IF(ISBLANK(INDEX(big_daily_table,MATCH(DATE(P$5,$J315,$I315),daily_dates,0),MATCH($B$3,daily_items,0))),NA(),INDEX(big_daily_table,MATCH(DATE(P$5,$J315,$I315),daily_dates,0),MATCH($B$3,daily_items,0)))</f>
        <v>#N/A</v>
      </c>
      <c r="Q315" s="1" t="str">
        <f t="array" ref="Q315">IF(ISBLANK(INDEX(big_daily_table,MATCH(DATE(Q$5,$J315,$I315),daily_dates,0),MATCH($B$3,daily_items,0))),NA(),INDEX(big_daily_table,MATCH(DATE(Q$5,$J315,$I315),daily_dates,0),MATCH($B$3,daily_items,0)))</f>
        <v>#N/A</v>
      </c>
      <c r="R315" s="1" t="str">
        <f t="array" ref="R315">IF(ISBLANK(INDEX(big_daily_table,MATCH(DATE(R$5,$J315,$I315),daily_dates,0),MATCH($B$3,daily_items,0))),NA(),INDEX(big_daily_table,MATCH(DATE(R$5,$J315,$I315),daily_dates,0),MATCH($B$3,daily_items,0)))</f>
        <v>#N/A</v>
      </c>
      <c r="S315" s="1" t="str">
        <f t="array" ref="S315">IF(ISBLANK(INDEX(big_daily_table,MATCH(DATE(S$5,$J315,$I315),daily_dates,0),MATCH($B$3,daily_items,0))),NA(),INDEX(big_daily_table,MATCH(DATE(S$5,$J315,$I315),daily_dates,0),MATCH($B$3,daily_items,0)))</f>
        <v>#N/A</v>
      </c>
      <c r="T315" s="1" t="str">
        <f t="array" ref="T315">IF(ISBLANK(INDEX(big_daily_table,MATCH(DATE(T$5,$J315,$I315),daily_dates,0),MATCH($B$3,daily_items,0))),NA(),INDEX(big_daily_table,MATCH(DATE(T$5,$J315,$I315),daily_dates,0),MATCH($B$3,daily_items,0)))</f>
        <v>#N/A</v>
      </c>
      <c r="U315" s="1" t="str">
        <f t="array" ref="U315">IF(ISBLANK(INDEX(big_daily_table,MATCH(DATE(U$5,$J315,$I315),daily_dates,0),MATCH($B$3,daily_items,0))),NA(),INDEX(big_daily_table,MATCH(DATE(U$5,$J315,$I315),daily_dates,0),MATCH($B$3,daily_items,0)))</f>
        <v>#N/A</v>
      </c>
      <c r="V315" s="1" t="str">
        <f t="array" ref="V315">IF(ISBLANK(INDEX(big_daily_table,MATCH(DATE(V$5,$J315,$I315),daily_dates,0),MATCH($B$3,daily_items,0))),NA(),INDEX(big_daily_table,MATCH(DATE(V$5,$J315,$I315),daily_dates,0),MATCH($B$3,daily_items,0)))</f>
        <v>#N/A</v>
      </c>
      <c r="W315" s="1" t="str">
        <f t="array" ref="W315">IF(ISBLANK(INDEX(big_daily_table,MATCH(DATE(W$5,$J315,$I315),daily_dates,0),MATCH($B$3,daily_items,0))),NA(),INDEX(big_daily_table,MATCH(DATE(W$5,$J315,$I315),daily_dates,0),MATCH($B$3,daily_items,0)))</f>
        <v>#N/A</v>
      </c>
      <c r="X315" s="1" t="str">
        <f t="array" ref="X315">IF(ISBLANK(INDEX(big_daily_table,MATCH(DATE(X$5,$J315,$I315),daily_dates,0),MATCH($B$3,daily_items,0))),NA(),INDEX(big_daily_table,MATCH(DATE(X$5,$J315,$I315),daily_dates,0),MATCH($B$3,daily_items,0)))</f>
        <v>#N/A</v>
      </c>
      <c r="Y315" s="1" t="str">
        <f t="array" ref="Y315">IF(ISBLANK(INDEX(big_daily_table,MATCH(DATE(Y$5,$J315,$I315),daily_dates,0),MATCH($B$3,daily_items,0))),NA(),INDEX(big_daily_table,MATCH(DATE(Y$5,$J315,$I315),daily_dates,0),MATCH($B$3,daily_items,0)))</f>
        <v>#N/A</v>
      </c>
      <c r="Z315" s="1" t="str">
        <f t="shared" si="5"/>
        <v>#NAME?</v>
      </c>
      <c r="AA315" s="1" t="str">
        <f t="shared" si="6"/>
        <v>#NAME?</v>
      </c>
      <c r="AB315" s="1" t="str">
        <f t="shared" si="7"/>
        <v>#NAME?</v>
      </c>
      <c r="AC315" s="1" t="str">
        <f t="shared" si="8"/>
        <v>#NAME?</v>
      </c>
    </row>
    <row r="316" ht="14.25" customHeight="1">
      <c r="H316" s="1">
        <f t="shared" si="9"/>
        <v>311</v>
      </c>
      <c r="I316" s="1">
        <f t="shared" si="2"/>
        <v>6</v>
      </c>
      <c r="J316" s="1">
        <f t="shared" si="3"/>
        <v>11</v>
      </c>
      <c r="K316" s="23">
        <f t="shared" si="10"/>
        <v>36836</v>
      </c>
      <c r="L316" s="24">
        <f t="shared" si="4"/>
        <v>1000000</v>
      </c>
      <c r="M316" s="1" t="str">
        <f t="array" ref="M316">IF(K316&gt;0,INDEX(big_daily_table,MATCH(DATE(N$5,$J316,$I316),daily_dates,0),MATCH($B$3,daily_items,0)),NA())</f>
        <v>#N/A</v>
      </c>
      <c r="N316" s="1" t="str">
        <f t="array" ref="N316">IF(L316&lt;0,INDEX(big_daily_table,MATCH(DATE(N$5,$J316,$I316),daily_dates,0),MATCH($B$3,daily_items,0)),NA())</f>
        <v>#N/A</v>
      </c>
      <c r="O316" s="1" t="str">
        <f t="array" ref="O316">IF(ISBLANK(INDEX(big_daily_table,MATCH(DATE(O$5,$J316,$I316),daily_dates,0),MATCH($B$3,daily_items,0))),NA(),INDEX(big_daily_table,MATCH(DATE(O$5,$J316,$I316),daily_dates,0),MATCH($B$3,daily_items,0)))</f>
        <v>#N/A</v>
      </c>
      <c r="P316" s="1" t="str">
        <f t="array" ref="P316">IF(ISBLANK(INDEX(big_daily_table,MATCH(DATE(P$5,$J316,$I316),daily_dates,0),MATCH($B$3,daily_items,0))),NA(),INDEX(big_daily_table,MATCH(DATE(P$5,$J316,$I316),daily_dates,0),MATCH($B$3,daily_items,0)))</f>
        <v>#N/A</v>
      </c>
      <c r="Q316" s="1" t="str">
        <f t="array" ref="Q316">IF(ISBLANK(INDEX(big_daily_table,MATCH(DATE(Q$5,$J316,$I316),daily_dates,0),MATCH($B$3,daily_items,0))),NA(),INDEX(big_daily_table,MATCH(DATE(Q$5,$J316,$I316),daily_dates,0),MATCH($B$3,daily_items,0)))</f>
        <v>#N/A</v>
      </c>
      <c r="R316" s="1" t="str">
        <f t="array" ref="R316">IF(ISBLANK(INDEX(big_daily_table,MATCH(DATE(R$5,$J316,$I316),daily_dates,0),MATCH($B$3,daily_items,0))),NA(),INDEX(big_daily_table,MATCH(DATE(R$5,$J316,$I316),daily_dates,0),MATCH($B$3,daily_items,0)))</f>
        <v>#N/A</v>
      </c>
      <c r="S316" s="1" t="str">
        <f t="array" ref="S316">IF(ISBLANK(INDEX(big_daily_table,MATCH(DATE(S$5,$J316,$I316),daily_dates,0),MATCH($B$3,daily_items,0))),NA(),INDEX(big_daily_table,MATCH(DATE(S$5,$J316,$I316),daily_dates,0),MATCH($B$3,daily_items,0)))</f>
        <v>#N/A</v>
      </c>
      <c r="T316" s="1" t="str">
        <f t="array" ref="T316">IF(ISBLANK(INDEX(big_daily_table,MATCH(DATE(T$5,$J316,$I316),daily_dates,0),MATCH($B$3,daily_items,0))),NA(),INDEX(big_daily_table,MATCH(DATE(T$5,$J316,$I316),daily_dates,0),MATCH($B$3,daily_items,0)))</f>
        <v>#N/A</v>
      </c>
      <c r="U316" s="1" t="str">
        <f t="array" ref="U316">IF(ISBLANK(INDEX(big_daily_table,MATCH(DATE(U$5,$J316,$I316),daily_dates,0),MATCH($B$3,daily_items,0))),NA(),INDEX(big_daily_table,MATCH(DATE(U$5,$J316,$I316),daily_dates,0),MATCH($B$3,daily_items,0)))</f>
        <v>#N/A</v>
      </c>
      <c r="V316" s="1" t="str">
        <f t="array" ref="V316">IF(ISBLANK(INDEX(big_daily_table,MATCH(DATE(V$5,$J316,$I316),daily_dates,0),MATCH($B$3,daily_items,0))),NA(),INDEX(big_daily_table,MATCH(DATE(V$5,$J316,$I316),daily_dates,0),MATCH($B$3,daily_items,0)))</f>
        <v>#N/A</v>
      </c>
      <c r="W316" s="1" t="str">
        <f t="array" ref="W316">IF(ISBLANK(INDEX(big_daily_table,MATCH(DATE(W$5,$J316,$I316),daily_dates,0),MATCH($B$3,daily_items,0))),NA(),INDEX(big_daily_table,MATCH(DATE(W$5,$J316,$I316),daily_dates,0),MATCH($B$3,daily_items,0)))</f>
        <v>#N/A</v>
      </c>
      <c r="X316" s="1" t="str">
        <f t="array" ref="X316">IF(ISBLANK(INDEX(big_daily_table,MATCH(DATE(X$5,$J316,$I316),daily_dates,0),MATCH($B$3,daily_items,0))),NA(),INDEX(big_daily_table,MATCH(DATE(X$5,$J316,$I316),daily_dates,0),MATCH($B$3,daily_items,0)))</f>
        <v>#N/A</v>
      </c>
      <c r="Y316" s="1" t="str">
        <f t="array" ref="Y316">IF(ISBLANK(INDEX(big_daily_table,MATCH(DATE(Y$5,$J316,$I316),daily_dates,0),MATCH($B$3,daily_items,0))),NA(),INDEX(big_daily_table,MATCH(DATE(Y$5,$J316,$I316),daily_dates,0),MATCH($B$3,daily_items,0)))</f>
        <v>#N/A</v>
      </c>
      <c r="Z316" s="1" t="str">
        <f t="shared" si="5"/>
        <v>#NAME?</v>
      </c>
      <c r="AA316" s="1" t="str">
        <f t="shared" si="6"/>
        <v>#NAME?</v>
      </c>
      <c r="AB316" s="1" t="str">
        <f t="shared" si="7"/>
        <v>#NAME?</v>
      </c>
      <c r="AC316" s="1" t="str">
        <f t="shared" si="8"/>
        <v>#NAME?</v>
      </c>
    </row>
    <row r="317" ht="14.25" customHeight="1">
      <c r="H317" s="1">
        <f t="shared" si="9"/>
        <v>312</v>
      </c>
      <c r="I317" s="1">
        <f t="shared" si="2"/>
        <v>7</v>
      </c>
      <c r="J317" s="1">
        <f t="shared" si="3"/>
        <v>11</v>
      </c>
      <c r="K317" s="23">
        <f t="shared" si="10"/>
        <v>36837</v>
      </c>
      <c r="L317" s="24">
        <f t="shared" si="4"/>
        <v>1000000</v>
      </c>
      <c r="M317" s="1" t="str">
        <f t="array" ref="M317">IF(K317&gt;0,INDEX(big_daily_table,MATCH(DATE(N$5,$J317,$I317),daily_dates,0),MATCH($B$3,daily_items,0)),NA())</f>
        <v>#N/A</v>
      </c>
      <c r="N317" s="1" t="str">
        <f t="array" ref="N317">IF(L317&lt;0,INDEX(big_daily_table,MATCH(DATE(N$5,$J317,$I317),daily_dates,0),MATCH($B$3,daily_items,0)),NA())</f>
        <v>#N/A</v>
      </c>
      <c r="O317" s="1" t="str">
        <f t="array" ref="O317">IF(ISBLANK(INDEX(big_daily_table,MATCH(DATE(O$5,$J317,$I317),daily_dates,0),MATCH($B$3,daily_items,0))),NA(),INDEX(big_daily_table,MATCH(DATE(O$5,$J317,$I317),daily_dates,0),MATCH($B$3,daily_items,0)))</f>
        <v>#N/A</v>
      </c>
      <c r="P317" s="1" t="str">
        <f t="array" ref="P317">IF(ISBLANK(INDEX(big_daily_table,MATCH(DATE(P$5,$J317,$I317),daily_dates,0),MATCH($B$3,daily_items,0))),NA(),INDEX(big_daily_table,MATCH(DATE(P$5,$J317,$I317),daily_dates,0),MATCH($B$3,daily_items,0)))</f>
        <v>#N/A</v>
      </c>
      <c r="Q317" s="1" t="str">
        <f t="array" ref="Q317">IF(ISBLANK(INDEX(big_daily_table,MATCH(DATE(Q$5,$J317,$I317),daily_dates,0),MATCH($B$3,daily_items,0))),NA(),INDEX(big_daily_table,MATCH(DATE(Q$5,$J317,$I317),daily_dates,0),MATCH($B$3,daily_items,0)))</f>
        <v>#N/A</v>
      </c>
      <c r="R317" s="1" t="str">
        <f t="array" ref="R317">IF(ISBLANK(INDEX(big_daily_table,MATCH(DATE(R$5,$J317,$I317),daily_dates,0),MATCH($B$3,daily_items,0))),NA(),INDEX(big_daily_table,MATCH(DATE(R$5,$J317,$I317),daily_dates,0),MATCH($B$3,daily_items,0)))</f>
        <v>#N/A</v>
      </c>
      <c r="S317" s="1" t="str">
        <f t="array" ref="S317">IF(ISBLANK(INDEX(big_daily_table,MATCH(DATE(S$5,$J317,$I317),daily_dates,0),MATCH($B$3,daily_items,0))),NA(),INDEX(big_daily_table,MATCH(DATE(S$5,$J317,$I317),daily_dates,0),MATCH($B$3,daily_items,0)))</f>
        <v>#N/A</v>
      </c>
      <c r="T317" s="1" t="str">
        <f t="array" ref="T317">IF(ISBLANK(INDEX(big_daily_table,MATCH(DATE(T$5,$J317,$I317),daily_dates,0),MATCH($B$3,daily_items,0))),NA(),INDEX(big_daily_table,MATCH(DATE(T$5,$J317,$I317),daily_dates,0),MATCH($B$3,daily_items,0)))</f>
        <v>#N/A</v>
      </c>
      <c r="U317" s="1" t="str">
        <f t="array" ref="U317">IF(ISBLANK(INDEX(big_daily_table,MATCH(DATE(U$5,$J317,$I317),daily_dates,0),MATCH($B$3,daily_items,0))),NA(),INDEX(big_daily_table,MATCH(DATE(U$5,$J317,$I317),daily_dates,0),MATCH($B$3,daily_items,0)))</f>
        <v>#N/A</v>
      </c>
      <c r="V317" s="1" t="str">
        <f t="array" ref="V317">IF(ISBLANK(INDEX(big_daily_table,MATCH(DATE(V$5,$J317,$I317),daily_dates,0),MATCH($B$3,daily_items,0))),NA(),INDEX(big_daily_table,MATCH(DATE(V$5,$J317,$I317),daily_dates,0),MATCH($B$3,daily_items,0)))</f>
        <v>#N/A</v>
      </c>
      <c r="W317" s="1" t="str">
        <f t="array" ref="W317">IF(ISBLANK(INDEX(big_daily_table,MATCH(DATE(W$5,$J317,$I317),daily_dates,0),MATCH($B$3,daily_items,0))),NA(),INDEX(big_daily_table,MATCH(DATE(W$5,$J317,$I317),daily_dates,0),MATCH($B$3,daily_items,0)))</f>
        <v>#N/A</v>
      </c>
      <c r="X317" s="1" t="str">
        <f t="array" ref="X317">IF(ISBLANK(INDEX(big_daily_table,MATCH(DATE(X$5,$J317,$I317),daily_dates,0),MATCH($B$3,daily_items,0))),NA(),INDEX(big_daily_table,MATCH(DATE(X$5,$J317,$I317),daily_dates,0),MATCH($B$3,daily_items,0)))</f>
        <v>#N/A</v>
      </c>
      <c r="Y317" s="1" t="str">
        <f t="array" ref="Y317">IF(ISBLANK(INDEX(big_daily_table,MATCH(DATE(Y$5,$J317,$I317),daily_dates,0),MATCH($B$3,daily_items,0))),NA(),INDEX(big_daily_table,MATCH(DATE(Y$5,$J317,$I317),daily_dates,0),MATCH($B$3,daily_items,0)))</f>
        <v>#N/A</v>
      </c>
      <c r="Z317" s="1" t="str">
        <f t="shared" si="5"/>
        <v>#NAME?</v>
      </c>
      <c r="AA317" s="1" t="str">
        <f t="shared" si="6"/>
        <v>#NAME?</v>
      </c>
      <c r="AB317" s="1" t="str">
        <f t="shared" si="7"/>
        <v>#NAME?</v>
      </c>
      <c r="AC317" s="1" t="str">
        <f t="shared" si="8"/>
        <v>#NAME?</v>
      </c>
    </row>
    <row r="318" ht="14.25" customHeight="1">
      <c r="H318" s="1">
        <f t="shared" si="9"/>
        <v>313</v>
      </c>
      <c r="I318" s="1">
        <f t="shared" si="2"/>
        <v>8</v>
      </c>
      <c r="J318" s="1">
        <f t="shared" si="3"/>
        <v>11</v>
      </c>
      <c r="K318" s="23">
        <f t="shared" si="10"/>
        <v>36838</v>
      </c>
      <c r="L318" s="24">
        <f t="shared" si="4"/>
        <v>1000000</v>
      </c>
      <c r="M318" s="1" t="str">
        <f t="array" ref="M318">IF(K318&gt;0,INDEX(big_daily_table,MATCH(DATE(N$5,$J318,$I318),daily_dates,0),MATCH($B$3,daily_items,0)),NA())</f>
        <v>#N/A</v>
      </c>
      <c r="N318" s="1" t="str">
        <f t="array" ref="N318">IF(L318&lt;0,INDEX(big_daily_table,MATCH(DATE(N$5,$J318,$I318),daily_dates,0),MATCH($B$3,daily_items,0)),NA())</f>
        <v>#N/A</v>
      </c>
      <c r="O318" s="1" t="str">
        <f t="array" ref="O318">IF(ISBLANK(INDEX(big_daily_table,MATCH(DATE(O$5,$J318,$I318),daily_dates,0),MATCH($B$3,daily_items,0))),NA(),INDEX(big_daily_table,MATCH(DATE(O$5,$J318,$I318),daily_dates,0),MATCH($B$3,daily_items,0)))</f>
        <v>#N/A</v>
      </c>
      <c r="P318" s="1" t="str">
        <f t="array" ref="P318">IF(ISBLANK(INDEX(big_daily_table,MATCH(DATE(P$5,$J318,$I318),daily_dates,0),MATCH($B$3,daily_items,0))),NA(),INDEX(big_daily_table,MATCH(DATE(P$5,$J318,$I318),daily_dates,0),MATCH($B$3,daily_items,0)))</f>
        <v>#N/A</v>
      </c>
      <c r="Q318" s="1" t="str">
        <f t="array" ref="Q318">IF(ISBLANK(INDEX(big_daily_table,MATCH(DATE(Q$5,$J318,$I318),daily_dates,0),MATCH($B$3,daily_items,0))),NA(),INDEX(big_daily_table,MATCH(DATE(Q$5,$J318,$I318),daily_dates,0),MATCH($B$3,daily_items,0)))</f>
        <v>#N/A</v>
      </c>
      <c r="R318" s="1" t="str">
        <f t="array" ref="R318">IF(ISBLANK(INDEX(big_daily_table,MATCH(DATE(R$5,$J318,$I318),daily_dates,0),MATCH($B$3,daily_items,0))),NA(),INDEX(big_daily_table,MATCH(DATE(R$5,$J318,$I318),daily_dates,0),MATCH($B$3,daily_items,0)))</f>
        <v>#N/A</v>
      </c>
      <c r="S318" s="1" t="str">
        <f t="array" ref="S318">IF(ISBLANK(INDEX(big_daily_table,MATCH(DATE(S$5,$J318,$I318),daily_dates,0),MATCH($B$3,daily_items,0))),NA(),INDEX(big_daily_table,MATCH(DATE(S$5,$J318,$I318),daily_dates,0),MATCH($B$3,daily_items,0)))</f>
        <v>#N/A</v>
      </c>
      <c r="T318" s="1" t="str">
        <f t="array" ref="T318">IF(ISBLANK(INDEX(big_daily_table,MATCH(DATE(T$5,$J318,$I318),daily_dates,0),MATCH($B$3,daily_items,0))),NA(),INDEX(big_daily_table,MATCH(DATE(T$5,$J318,$I318),daily_dates,0),MATCH($B$3,daily_items,0)))</f>
        <v>#N/A</v>
      </c>
      <c r="U318" s="1" t="str">
        <f t="array" ref="U318">IF(ISBLANK(INDEX(big_daily_table,MATCH(DATE(U$5,$J318,$I318),daily_dates,0),MATCH($B$3,daily_items,0))),NA(),INDEX(big_daily_table,MATCH(DATE(U$5,$J318,$I318),daily_dates,0),MATCH($B$3,daily_items,0)))</f>
        <v>#N/A</v>
      </c>
      <c r="V318" s="1" t="str">
        <f t="array" ref="V318">IF(ISBLANK(INDEX(big_daily_table,MATCH(DATE(V$5,$J318,$I318),daily_dates,0),MATCH($B$3,daily_items,0))),NA(),INDEX(big_daily_table,MATCH(DATE(V$5,$J318,$I318),daily_dates,0),MATCH($B$3,daily_items,0)))</f>
        <v>#N/A</v>
      </c>
      <c r="W318" s="1" t="str">
        <f t="array" ref="W318">IF(ISBLANK(INDEX(big_daily_table,MATCH(DATE(W$5,$J318,$I318),daily_dates,0),MATCH($B$3,daily_items,0))),NA(),INDEX(big_daily_table,MATCH(DATE(W$5,$J318,$I318),daily_dates,0),MATCH($B$3,daily_items,0)))</f>
        <v>#N/A</v>
      </c>
      <c r="X318" s="1" t="str">
        <f t="array" ref="X318">IF(ISBLANK(INDEX(big_daily_table,MATCH(DATE(X$5,$J318,$I318),daily_dates,0),MATCH($B$3,daily_items,0))),NA(),INDEX(big_daily_table,MATCH(DATE(X$5,$J318,$I318),daily_dates,0),MATCH($B$3,daily_items,0)))</f>
        <v>#N/A</v>
      </c>
      <c r="Y318" s="1" t="str">
        <f t="array" ref="Y318">IF(ISBLANK(INDEX(big_daily_table,MATCH(DATE(Y$5,$J318,$I318),daily_dates,0),MATCH($B$3,daily_items,0))),NA(),INDEX(big_daily_table,MATCH(DATE(Y$5,$J318,$I318),daily_dates,0),MATCH($B$3,daily_items,0)))</f>
        <v>#N/A</v>
      </c>
      <c r="Z318" s="1" t="str">
        <f t="shared" si="5"/>
        <v>#NAME?</v>
      </c>
      <c r="AA318" s="1" t="str">
        <f t="shared" si="6"/>
        <v>#NAME?</v>
      </c>
      <c r="AB318" s="1" t="str">
        <f t="shared" si="7"/>
        <v>#NAME?</v>
      </c>
      <c r="AC318" s="1" t="str">
        <f t="shared" si="8"/>
        <v>#NAME?</v>
      </c>
    </row>
    <row r="319" ht="14.25" customHeight="1">
      <c r="H319" s="1">
        <f t="shared" si="9"/>
        <v>314</v>
      </c>
      <c r="I319" s="1">
        <f t="shared" si="2"/>
        <v>9</v>
      </c>
      <c r="J319" s="1">
        <f t="shared" si="3"/>
        <v>11</v>
      </c>
      <c r="K319" s="23">
        <f t="shared" si="10"/>
        <v>36839</v>
      </c>
      <c r="L319" s="24">
        <f t="shared" si="4"/>
        <v>1000000</v>
      </c>
      <c r="M319" s="1" t="str">
        <f t="array" ref="M319">IF(K319&gt;0,INDEX(big_daily_table,MATCH(DATE(N$5,$J319,$I319),daily_dates,0),MATCH($B$3,daily_items,0)),NA())</f>
        <v>#N/A</v>
      </c>
      <c r="N319" s="1" t="str">
        <f t="array" ref="N319">IF(L319&lt;0,INDEX(big_daily_table,MATCH(DATE(N$5,$J319,$I319),daily_dates,0),MATCH($B$3,daily_items,0)),NA())</f>
        <v>#N/A</v>
      </c>
      <c r="O319" s="1" t="str">
        <f t="array" ref="O319">IF(ISBLANK(INDEX(big_daily_table,MATCH(DATE(O$5,$J319,$I319),daily_dates,0),MATCH($B$3,daily_items,0))),NA(),INDEX(big_daily_table,MATCH(DATE(O$5,$J319,$I319),daily_dates,0),MATCH($B$3,daily_items,0)))</f>
        <v>#N/A</v>
      </c>
      <c r="P319" s="1" t="str">
        <f t="array" ref="P319">IF(ISBLANK(INDEX(big_daily_table,MATCH(DATE(P$5,$J319,$I319),daily_dates,0),MATCH($B$3,daily_items,0))),NA(),INDEX(big_daily_table,MATCH(DATE(P$5,$J319,$I319),daily_dates,0),MATCH($B$3,daily_items,0)))</f>
        <v>#N/A</v>
      </c>
      <c r="Q319" s="1" t="str">
        <f t="array" ref="Q319">IF(ISBLANK(INDEX(big_daily_table,MATCH(DATE(Q$5,$J319,$I319),daily_dates,0),MATCH($B$3,daily_items,0))),NA(),INDEX(big_daily_table,MATCH(DATE(Q$5,$J319,$I319),daily_dates,0),MATCH($B$3,daily_items,0)))</f>
        <v>#N/A</v>
      </c>
      <c r="R319" s="1" t="str">
        <f t="array" ref="R319">IF(ISBLANK(INDEX(big_daily_table,MATCH(DATE(R$5,$J319,$I319),daily_dates,0),MATCH($B$3,daily_items,0))),NA(),INDEX(big_daily_table,MATCH(DATE(R$5,$J319,$I319),daily_dates,0),MATCH($B$3,daily_items,0)))</f>
        <v>#N/A</v>
      </c>
      <c r="S319" s="1" t="str">
        <f t="array" ref="S319">IF(ISBLANK(INDEX(big_daily_table,MATCH(DATE(S$5,$J319,$I319),daily_dates,0),MATCH($B$3,daily_items,0))),NA(),INDEX(big_daily_table,MATCH(DATE(S$5,$J319,$I319),daily_dates,0),MATCH($B$3,daily_items,0)))</f>
        <v>#N/A</v>
      </c>
      <c r="T319" s="1" t="str">
        <f t="array" ref="T319">IF(ISBLANK(INDEX(big_daily_table,MATCH(DATE(T$5,$J319,$I319),daily_dates,0),MATCH($B$3,daily_items,0))),NA(),INDEX(big_daily_table,MATCH(DATE(T$5,$J319,$I319),daily_dates,0),MATCH($B$3,daily_items,0)))</f>
        <v>#N/A</v>
      </c>
      <c r="U319" s="1" t="str">
        <f t="array" ref="U319">IF(ISBLANK(INDEX(big_daily_table,MATCH(DATE(U$5,$J319,$I319),daily_dates,0),MATCH($B$3,daily_items,0))),NA(),INDEX(big_daily_table,MATCH(DATE(U$5,$J319,$I319),daily_dates,0),MATCH($B$3,daily_items,0)))</f>
        <v>#N/A</v>
      </c>
      <c r="V319" s="1" t="str">
        <f t="array" ref="V319">IF(ISBLANK(INDEX(big_daily_table,MATCH(DATE(V$5,$J319,$I319),daily_dates,0),MATCH($B$3,daily_items,0))),NA(),INDEX(big_daily_table,MATCH(DATE(V$5,$J319,$I319),daily_dates,0),MATCH($B$3,daily_items,0)))</f>
        <v>#N/A</v>
      </c>
      <c r="W319" s="1" t="str">
        <f t="array" ref="W319">IF(ISBLANK(INDEX(big_daily_table,MATCH(DATE(W$5,$J319,$I319),daily_dates,0),MATCH($B$3,daily_items,0))),NA(),INDEX(big_daily_table,MATCH(DATE(W$5,$J319,$I319),daily_dates,0),MATCH($B$3,daily_items,0)))</f>
        <v>#N/A</v>
      </c>
      <c r="X319" s="1" t="str">
        <f t="array" ref="X319">IF(ISBLANK(INDEX(big_daily_table,MATCH(DATE(X$5,$J319,$I319),daily_dates,0),MATCH($B$3,daily_items,0))),NA(),INDEX(big_daily_table,MATCH(DATE(X$5,$J319,$I319),daily_dates,0),MATCH($B$3,daily_items,0)))</f>
        <v>#N/A</v>
      </c>
      <c r="Y319" s="1" t="str">
        <f t="array" ref="Y319">IF(ISBLANK(INDEX(big_daily_table,MATCH(DATE(Y$5,$J319,$I319),daily_dates,0),MATCH($B$3,daily_items,0))),NA(),INDEX(big_daily_table,MATCH(DATE(Y$5,$J319,$I319),daily_dates,0),MATCH($B$3,daily_items,0)))</f>
        <v>#N/A</v>
      </c>
      <c r="Z319" s="1" t="str">
        <f t="shared" si="5"/>
        <v>#NAME?</v>
      </c>
      <c r="AA319" s="1" t="str">
        <f t="shared" si="6"/>
        <v>#NAME?</v>
      </c>
      <c r="AB319" s="1" t="str">
        <f t="shared" si="7"/>
        <v>#NAME?</v>
      </c>
      <c r="AC319" s="1" t="str">
        <f t="shared" si="8"/>
        <v>#NAME?</v>
      </c>
    </row>
    <row r="320" ht="14.25" customHeight="1">
      <c r="H320" s="1">
        <f t="shared" si="9"/>
        <v>315</v>
      </c>
      <c r="I320" s="1">
        <f t="shared" si="2"/>
        <v>10</v>
      </c>
      <c r="J320" s="1">
        <f t="shared" si="3"/>
        <v>11</v>
      </c>
      <c r="K320" s="23">
        <f t="shared" si="10"/>
        <v>36840</v>
      </c>
      <c r="L320" s="24">
        <f t="shared" si="4"/>
        <v>1000000</v>
      </c>
      <c r="M320" s="1" t="str">
        <f t="array" ref="M320">IF(K320&gt;0,INDEX(big_daily_table,MATCH(DATE(N$5,$J320,$I320),daily_dates,0),MATCH($B$3,daily_items,0)),NA())</f>
        <v>#N/A</v>
      </c>
      <c r="N320" s="1" t="str">
        <f t="array" ref="N320">IF(L320&lt;0,INDEX(big_daily_table,MATCH(DATE(N$5,$J320,$I320),daily_dates,0),MATCH($B$3,daily_items,0)),NA())</f>
        <v>#N/A</v>
      </c>
      <c r="O320" s="1" t="str">
        <f t="array" ref="O320">IF(ISBLANK(INDEX(big_daily_table,MATCH(DATE(O$5,$J320,$I320),daily_dates,0),MATCH($B$3,daily_items,0))),NA(),INDEX(big_daily_table,MATCH(DATE(O$5,$J320,$I320),daily_dates,0),MATCH($B$3,daily_items,0)))</f>
        <v>#N/A</v>
      </c>
      <c r="P320" s="1" t="str">
        <f t="array" ref="P320">IF(ISBLANK(INDEX(big_daily_table,MATCH(DATE(P$5,$J320,$I320),daily_dates,0),MATCH($B$3,daily_items,0))),NA(),INDEX(big_daily_table,MATCH(DATE(P$5,$J320,$I320),daily_dates,0),MATCH($B$3,daily_items,0)))</f>
        <v>#N/A</v>
      </c>
      <c r="Q320" s="1" t="str">
        <f t="array" ref="Q320">IF(ISBLANK(INDEX(big_daily_table,MATCH(DATE(Q$5,$J320,$I320),daily_dates,0),MATCH($B$3,daily_items,0))),NA(),INDEX(big_daily_table,MATCH(DATE(Q$5,$J320,$I320),daily_dates,0),MATCH($B$3,daily_items,0)))</f>
        <v>#N/A</v>
      </c>
      <c r="R320" s="1" t="str">
        <f t="array" ref="R320">IF(ISBLANK(INDEX(big_daily_table,MATCH(DATE(R$5,$J320,$I320),daily_dates,0),MATCH($B$3,daily_items,0))),NA(),INDEX(big_daily_table,MATCH(DATE(R$5,$J320,$I320),daily_dates,0),MATCH($B$3,daily_items,0)))</f>
        <v>#N/A</v>
      </c>
      <c r="S320" s="1" t="str">
        <f t="array" ref="S320">IF(ISBLANK(INDEX(big_daily_table,MATCH(DATE(S$5,$J320,$I320),daily_dates,0),MATCH($B$3,daily_items,0))),NA(),INDEX(big_daily_table,MATCH(DATE(S$5,$J320,$I320),daily_dates,0),MATCH($B$3,daily_items,0)))</f>
        <v>#N/A</v>
      </c>
      <c r="T320" s="1" t="str">
        <f t="array" ref="T320">IF(ISBLANK(INDEX(big_daily_table,MATCH(DATE(T$5,$J320,$I320),daily_dates,0),MATCH($B$3,daily_items,0))),NA(),INDEX(big_daily_table,MATCH(DATE(T$5,$J320,$I320),daily_dates,0),MATCH($B$3,daily_items,0)))</f>
        <v>#N/A</v>
      </c>
      <c r="U320" s="1" t="str">
        <f t="array" ref="U320">IF(ISBLANK(INDEX(big_daily_table,MATCH(DATE(U$5,$J320,$I320),daily_dates,0),MATCH($B$3,daily_items,0))),NA(),INDEX(big_daily_table,MATCH(DATE(U$5,$J320,$I320),daily_dates,0),MATCH($B$3,daily_items,0)))</f>
        <v>#N/A</v>
      </c>
      <c r="V320" s="1" t="str">
        <f t="array" ref="V320">IF(ISBLANK(INDEX(big_daily_table,MATCH(DATE(V$5,$J320,$I320),daily_dates,0),MATCH($B$3,daily_items,0))),NA(),INDEX(big_daily_table,MATCH(DATE(V$5,$J320,$I320),daily_dates,0),MATCH($B$3,daily_items,0)))</f>
        <v>#N/A</v>
      </c>
      <c r="W320" s="1" t="str">
        <f t="array" ref="W320">IF(ISBLANK(INDEX(big_daily_table,MATCH(DATE(W$5,$J320,$I320),daily_dates,0),MATCH($B$3,daily_items,0))),NA(),INDEX(big_daily_table,MATCH(DATE(W$5,$J320,$I320),daily_dates,0),MATCH($B$3,daily_items,0)))</f>
        <v>#N/A</v>
      </c>
      <c r="X320" s="1" t="str">
        <f t="array" ref="X320">IF(ISBLANK(INDEX(big_daily_table,MATCH(DATE(X$5,$J320,$I320),daily_dates,0),MATCH($B$3,daily_items,0))),NA(),INDEX(big_daily_table,MATCH(DATE(X$5,$J320,$I320),daily_dates,0),MATCH($B$3,daily_items,0)))</f>
        <v>#N/A</v>
      </c>
      <c r="Y320" s="1" t="str">
        <f t="array" ref="Y320">IF(ISBLANK(INDEX(big_daily_table,MATCH(DATE(Y$5,$J320,$I320),daily_dates,0),MATCH($B$3,daily_items,0))),NA(),INDEX(big_daily_table,MATCH(DATE(Y$5,$J320,$I320),daily_dates,0),MATCH($B$3,daily_items,0)))</f>
        <v>#N/A</v>
      </c>
      <c r="Z320" s="1" t="str">
        <f t="shared" si="5"/>
        <v>#NAME?</v>
      </c>
      <c r="AA320" s="1" t="str">
        <f t="shared" si="6"/>
        <v>#NAME?</v>
      </c>
      <c r="AB320" s="1" t="str">
        <f t="shared" si="7"/>
        <v>#NAME?</v>
      </c>
      <c r="AC320" s="1" t="str">
        <f t="shared" si="8"/>
        <v>#NAME?</v>
      </c>
    </row>
    <row r="321" ht="14.25" customHeight="1">
      <c r="H321" s="1">
        <f t="shared" si="9"/>
        <v>316</v>
      </c>
      <c r="I321" s="1">
        <f t="shared" si="2"/>
        <v>11</v>
      </c>
      <c r="J321" s="1">
        <f t="shared" si="3"/>
        <v>11</v>
      </c>
      <c r="K321" s="23">
        <f t="shared" si="10"/>
        <v>36841</v>
      </c>
      <c r="L321" s="24">
        <f t="shared" si="4"/>
        <v>1000000</v>
      </c>
      <c r="M321" s="1" t="str">
        <f t="array" ref="M321">IF(K321&gt;0,INDEX(big_daily_table,MATCH(DATE(N$5,$J321,$I321),daily_dates,0),MATCH($B$3,daily_items,0)),NA())</f>
        <v>#N/A</v>
      </c>
      <c r="N321" s="1" t="str">
        <f t="array" ref="N321">IF(L321&lt;0,INDEX(big_daily_table,MATCH(DATE(N$5,$J321,$I321),daily_dates,0),MATCH($B$3,daily_items,0)),NA())</f>
        <v>#N/A</v>
      </c>
      <c r="O321" s="1" t="str">
        <f t="array" ref="O321">IF(ISBLANK(INDEX(big_daily_table,MATCH(DATE(O$5,$J321,$I321),daily_dates,0),MATCH($B$3,daily_items,0))),NA(),INDEX(big_daily_table,MATCH(DATE(O$5,$J321,$I321),daily_dates,0),MATCH($B$3,daily_items,0)))</f>
        <v>#N/A</v>
      </c>
      <c r="P321" s="1" t="str">
        <f t="array" ref="P321">IF(ISBLANK(INDEX(big_daily_table,MATCH(DATE(P$5,$J321,$I321),daily_dates,0),MATCH($B$3,daily_items,0))),NA(),INDEX(big_daily_table,MATCH(DATE(P$5,$J321,$I321),daily_dates,0),MATCH($B$3,daily_items,0)))</f>
        <v>#N/A</v>
      </c>
      <c r="Q321" s="1" t="str">
        <f t="array" ref="Q321">IF(ISBLANK(INDEX(big_daily_table,MATCH(DATE(Q$5,$J321,$I321),daily_dates,0),MATCH($B$3,daily_items,0))),NA(),INDEX(big_daily_table,MATCH(DATE(Q$5,$J321,$I321),daily_dates,0),MATCH($B$3,daily_items,0)))</f>
        <v>#N/A</v>
      </c>
      <c r="R321" s="1" t="str">
        <f t="array" ref="R321">IF(ISBLANK(INDEX(big_daily_table,MATCH(DATE(R$5,$J321,$I321),daily_dates,0),MATCH($B$3,daily_items,0))),NA(),INDEX(big_daily_table,MATCH(DATE(R$5,$J321,$I321),daily_dates,0),MATCH($B$3,daily_items,0)))</f>
        <v>#N/A</v>
      </c>
      <c r="S321" s="1" t="str">
        <f t="array" ref="S321">IF(ISBLANK(INDEX(big_daily_table,MATCH(DATE(S$5,$J321,$I321),daily_dates,0),MATCH($B$3,daily_items,0))),NA(),INDEX(big_daily_table,MATCH(DATE(S$5,$J321,$I321),daily_dates,0),MATCH($B$3,daily_items,0)))</f>
        <v>#N/A</v>
      </c>
      <c r="T321" s="1" t="str">
        <f t="array" ref="T321">IF(ISBLANK(INDEX(big_daily_table,MATCH(DATE(T$5,$J321,$I321),daily_dates,0),MATCH($B$3,daily_items,0))),NA(),INDEX(big_daily_table,MATCH(DATE(T$5,$J321,$I321),daily_dates,0),MATCH($B$3,daily_items,0)))</f>
        <v>#N/A</v>
      </c>
      <c r="U321" s="1" t="str">
        <f t="array" ref="U321">IF(ISBLANK(INDEX(big_daily_table,MATCH(DATE(U$5,$J321,$I321),daily_dates,0),MATCH($B$3,daily_items,0))),NA(),INDEX(big_daily_table,MATCH(DATE(U$5,$J321,$I321),daily_dates,0),MATCH($B$3,daily_items,0)))</f>
        <v>#N/A</v>
      </c>
      <c r="V321" s="1" t="str">
        <f t="array" ref="V321">IF(ISBLANK(INDEX(big_daily_table,MATCH(DATE(V$5,$J321,$I321),daily_dates,0),MATCH($B$3,daily_items,0))),NA(),INDEX(big_daily_table,MATCH(DATE(V$5,$J321,$I321),daily_dates,0),MATCH($B$3,daily_items,0)))</f>
        <v>#N/A</v>
      </c>
      <c r="W321" s="1" t="str">
        <f t="array" ref="W321">IF(ISBLANK(INDEX(big_daily_table,MATCH(DATE(W$5,$J321,$I321),daily_dates,0),MATCH($B$3,daily_items,0))),NA(),INDEX(big_daily_table,MATCH(DATE(W$5,$J321,$I321),daily_dates,0),MATCH($B$3,daily_items,0)))</f>
        <v>#N/A</v>
      </c>
      <c r="X321" s="1" t="str">
        <f t="array" ref="X321">IF(ISBLANK(INDEX(big_daily_table,MATCH(DATE(X$5,$J321,$I321),daily_dates,0),MATCH($B$3,daily_items,0))),NA(),INDEX(big_daily_table,MATCH(DATE(X$5,$J321,$I321),daily_dates,0),MATCH($B$3,daily_items,0)))</f>
        <v>#N/A</v>
      </c>
      <c r="Y321" s="1" t="str">
        <f t="array" ref="Y321">IF(ISBLANK(INDEX(big_daily_table,MATCH(DATE(Y$5,$J321,$I321),daily_dates,0),MATCH($B$3,daily_items,0))),NA(),INDEX(big_daily_table,MATCH(DATE(Y$5,$J321,$I321),daily_dates,0),MATCH($B$3,daily_items,0)))</f>
        <v>#N/A</v>
      </c>
      <c r="Z321" s="1" t="str">
        <f t="shared" si="5"/>
        <v>#NAME?</v>
      </c>
      <c r="AA321" s="1" t="str">
        <f t="shared" si="6"/>
        <v>#NAME?</v>
      </c>
      <c r="AB321" s="1" t="str">
        <f t="shared" si="7"/>
        <v>#NAME?</v>
      </c>
      <c r="AC321" s="1" t="str">
        <f t="shared" si="8"/>
        <v>#NAME?</v>
      </c>
    </row>
    <row r="322" ht="14.25" customHeight="1">
      <c r="H322" s="1">
        <f t="shared" si="9"/>
        <v>317</v>
      </c>
      <c r="I322" s="1">
        <f t="shared" si="2"/>
        <v>12</v>
      </c>
      <c r="J322" s="1">
        <f t="shared" si="3"/>
        <v>11</v>
      </c>
      <c r="K322" s="23">
        <f t="shared" si="10"/>
        <v>36842</v>
      </c>
      <c r="L322" s="24">
        <f t="shared" si="4"/>
        <v>1000000</v>
      </c>
      <c r="M322" s="1" t="str">
        <f t="array" ref="M322">IF(K322&gt;0,INDEX(big_daily_table,MATCH(DATE(N$5,$J322,$I322),daily_dates,0),MATCH($B$3,daily_items,0)),NA())</f>
        <v>#N/A</v>
      </c>
      <c r="N322" s="1" t="str">
        <f t="array" ref="N322">IF(L322&lt;0,INDEX(big_daily_table,MATCH(DATE(N$5,$J322,$I322),daily_dates,0),MATCH($B$3,daily_items,0)),NA())</f>
        <v>#N/A</v>
      </c>
      <c r="O322" s="1" t="str">
        <f t="array" ref="O322">IF(ISBLANK(INDEX(big_daily_table,MATCH(DATE(O$5,$J322,$I322),daily_dates,0),MATCH($B$3,daily_items,0))),NA(),INDEX(big_daily_table,MATCH(DATE(O$5,$J322,$I322),daily_dates,0),MATCH($B$3,daily_items,0)))</f>
        <v>#N/A</v>
      </c>
      <c r="P322" s="1" t="str">
        <f t="array" ref="P322">IF(ISBLANK(INDEX(big_daily_table,MATCH(DATE(P$5,$J322,$I322),daily_dates,0),MATCH($B$3,daily_items,0))),NA(),INDEX(big_daily_table,MATCH(DATE(P$5,$J322,$I322),daily_dates,0),MATCH($B$3,daily_items,0)))</f>
        <v>#N/A</v>
      </c>
      <c r="Q322" s="1" t="str">
        <f t="array" ref="Q322">IF(ISBLANK(INDEX(big_daily_table,MATCH(DATE(Q$5,$J322,$I322),daily_dates,0),MATCH($B$3,daily_items,0))),NA(),INDEX(big_daily_table,MATCH(DATE(Q$5,$J322,$I322),daily_dates,0),MATCH($B$3,daily_items,0)))</f>
        <v>#N/A</v>
      </c>
      <c r="R322" s="1" t="str">
        <f t="array" ref="R322">IF(ISBLANK(INDEX(big_daily_table,MATCH(DATE(R$5,$J322,$I322),daily_dates,0),MATCH($B$3,daily_items,0))),NA(),INDEX(big_daily_table,MATCH(DATE(R$5,$J322,$I322),daily_dates,0),MATCH($B$3,daily_items,0)))</f>
        <v>#N/A</v>
      </c>
      <c r="S322" s="1" t="str">
        <f t="array" ref="S322">IF(ISBLANK(INDEX(big_daily_table,MATCH(DATE(S$5,$J322,$I322),daily_dates,0),MATCH($B$3,daily_items,0))),NA(),INDEX(big_daily_table,MATCH(DATE(S$5,$J322,$I322),daily_dates,0),MATCH($B$3,daily_items,0)))</f>
        <v>#N/A</v>
      </c>
      <c r="T322" s="1" t="str">
        <f t="array" ref="T322">IF(ISBLANK(INDEX(big_daily_table,MATCH(DATE(T$5,$J322,$I322),daily_dates,0),MATCH($B$3,daily_items,0))),NA(),INDEX(big_daily_table,MATCH(DATE(T$5,$J322,$I322),daily_dates,0),MATCH($B$3,daily_items,0)))</f>
        <v>#N/A</v>
      </c>
      <c r="U322" s="1" t="str">
        <f t="array" ref="U322">IF(ISBLANK(INDEX(big_daily_table,MATCH(DATE(U$5,$J322,$I322),daily_dates,0),MATCH($B$3,daily_items,0))),NA(),INDEX(big_daily_table,MATCH(DATE(U$5,$J322,$I322),daily_dates,0),MATCH($B$3,daily_items,0)))</f>
        <v>#N/A</v>
      </c>
      <c r="V322" s="1" t="str">
        <f t="array" ref="V322">IF(ISBLANK(INDEX(big_daily_table,MATCH(DATE(V$5,$J322,$I322),daily_dates,0),MATCH($B$3,daily_items,0))),NA(),INDEX(big_daily_table,MATCH(DATE(V$5,$J322,$I322),daily_dates,0),MATCH($B$3,daily_items,0)))</f>
        <v>#N/A</v>
      </c>
      <c r="W322" s="1" t="str">
        <f t="array" ref="W322">IF(ISBLANK(INDEX(big_daily_table,MATCH(DATE(W$5,$J322,$I322),daily_dates,0),MATCH($B$3,daily_items,0))),NA(),INDEX(big_daily_table,MATCH(DATE(W$5,$J322,$I322),daily_dates,0),MATCH($B$3,daily_items,0)))</f>
        <v>#N/A</v>
      </c>
      <c r="X322" s="1" t="str">
        <f t="array" ref="X322">IF(ISBLANK(INDEX(big_daily_table,MATCH(DATE(X$5,$J322,$I322),daily_dates,0),MATCH($B$3,daily_items,0))),NA(),INDEX(big_daily_table,MATCH(DATE(X$5,$J322,$I322),daily_dates,0),MATCH($B$3,daily_items,0)))</f>
        <v>#N/A</v>
      </c>
      <c r="Y322" s="1" t="str">
        <f t="array" ref="Y322">IF(ISBLANK(INDEX(big_daily_table,MATCH(DATE(Y$5,$J322,$I322),daily_dates,0),MATCH($B$3,daily_items,0))),NA(),INDEX(big_daily_table,MATCH(DATE(Y$5,$J322,$I322),daily_dates,0),MATCH($B$3,daily_items,0)))</f>
        <v>#N/A</v>
      </c>
      <c r="Z322" s="1" t="str">
        <f t="shared" si="5"/>
        <v>#NAME?</v>
      </c>
      <c r="AA322" s="1" t="str">
        <f t="shared" si="6"/>
        <v>#NAME?</v>
      </c>
      <c r="AB322" s="1" t="str">
        <f t="shared" si="7"/>
        <v>#NAME?</v>
      </c>
      <c r="AC322" s="1" t="str">
        <f t="shared" si="8"/>
        <v>#NAME?</v>
      </c>
    </row>
    <row r="323" ht="14.25" customHeight="1">
      <c r="H323" s="1">
        <f t="shared" si="9"/>
        <v>318</v>
      </c>
      <c r="I323" s="1">
        <f t="shared" si="2"/>
        <v>13</v>
      </c>
      <c r="J323" s="1">
        <f t="shared" si="3"/>
        <v>11</v>
      </c>
      <c r="K323" s="23">
        <f t="shared" si="10"/>
        <v>36843</v>
      </c>
      <c r="L323" s="24">
        <f t="shared" si="4"/>
        <v>1000000</v>
      </c>
      <c r="M323" s="1" t="str">
        <f t="array" ref="M323">IF(K323&gt;0,INDEX(big_daily_table,MATCH(DATE(N$5,$J323,$I323),daily_dates,0),MATCH($B$3,daily_items,0)),NA())</f>
        <v>#N/A</v>
      </c>
      <c r="N323" s="1" t="str">
        <f t="array" ref="N323">IF(L323&lt;0,INDEX(big_daily_table,MATCH(DATE(N$5,$J323,$I323),daily_dates,0),MATCH($B$3,daily_items,0)),NA())</f>
        <v>#N/A</v>
      </c>
      <c r="O323" s="1" t="str">
        <f t="array" ref="O323">IF(ISBLANK(INDEX(big_daily_table,MATCH(DATE(O$5,$J323,$I323),daily_dates,0),MATCH($B$3,daily_items,0))),NA(),INDEX(big_daily_table,MATCH(DATE(O$5,$J323,$I323),daily_dates,0),MATCH($B$3,daily_items,0)))</f>
        <v>#N/A</v>
      </c>
      <c r="P323" s="1" t="str">
        <f t="array" ref="P323">IF(ISBLANK(INDEX(big_daily_table,MATCH(DATE(P$5,$J323,$I323),daily_dates,0),MATCH($B$3,daily_items,0))),NA(),INDEX(big_daily_table,MATCH(DATE(P$5,$J323,$I323),daily_dates,0),MATCH($B$3,daily_items,0)))</f>
        <v>#N/A</v>
      </c>
      <c r="Q323" s="1" t="str">
        <f t="array" ref="Q323">IF(ISBLANK(INDEX(big_daily_table,MATCH(DATE(Q$5,$J323,$I323),daily_dates,0),MATCH($B$3,daily_items,0))),NA(),INDEX(big_daily_table,MATCH(DATE(Q$5,$J323,$I323),daily_dates,0),MATCH($B$3,daily_items,0)))</f>
        <v>#N/A</v>
      </c>
      <c r="R323" s="1" t="str">
        <f t="array" ref="R323">IF(ISBLANK(INDEX(big_daily_table,MATCH(DATE(R$5,$J323,$I323),daily_dates,0),MATCH($B$3,daily_items,0))),NA(),INDEX(big_daily_table,MATCH(DATE(R$5,$J323,$I323),daily_dates,0),MATCH($B$3,daily_items,0)))</f>
        <v>#N/A</v>
      </c>
      <c r="S323" s="1" t="str">
        <f t="array" ref="S323">IF(ISBLANK(INDEX(big_daily_table,MATCH(DATE(S$5,$J323,$I323),daily_dates,0),MATCH($B$3,daily_items,0))),NA(),INDEX(big_daily_table,MATCH(DATE(S$5,$J323,$I323),daily_dates,0),MATCH($B$3,daily_items,0)))</f>
        <v>#N/A</v>
      </c>
      <c r="T323" s="1" t="str">
        <f t="array" ref="T323">IF(ISBLANK(INDEX(big_daily_table,MATCH(DATE(T$5,$J323,$I323),daily_dates,0),MATCH($B$3,daily_items,0))),NA(),INDEX(big_daily_table,MATCH(DATE(T$5,$J323,$I323),daily_dates,0),MATCH($B$3,daily_items,0)))</f>
        <v>#N/A</v>
      </c>
      <c r="U323" s="1" t="str">
        <f t="array" ref="U323">IF(ISBLANK(INDEX(big_daily_table,MATCH(DATE(U$5,$J323,$I323),daily_dates,0),MATCH($B$3,daily_items,0))),NA(),INDEX(big_daily_table,MATCH(DATE(U$5,$J323,$I323),daily_dates,0),MATCH($B$3,daily_items,0)))</f>
        <v>#N/A</v>
      </c>
      <c r="V323" s="1" t="str">
        <f t="array" ref="V323">IF(ISBLANK(INDEX(big_daily_table,MATCH(DATE(V$5,$J323,$I323),daily_dates,0),MATCH($B$3,daily_items,0))),NA(),INDEX(big_daily_table,MATCH(DATE(V$5,$J323,$I323),daily_dates,0),MATCH($B$3,daily_items,0)))</f>
        <v>#N/A</v>
      </c>
      <c r="W323" s="1" t="str">
        <f t="array" ref="W323">IF(ISBLANK(INDEX(big_daily_table,MATCH(DATE(W$5,$J323,$I323),daily_dates,0),MATCH($B$3,daily_items,0))),NA(),INDEX(big_daily_table,MATCH(DATE(W$5,$J323,$I323),daily_dates,0),MATCH($B$3,daily_items,0)))</f>
        <v>#N/A</v>
      </c>
      <c r="X323" s="1" t="str">
        <f t="array" ref="X323">IF(ISBLANK(INDEX(big_daily_table,MATCH(DATE(X$5,$J323,$I323),daily_dates,0),MATCH($B$3,daily_items,0))),NA(),INDEX(big_daily_table,MATCH(DATE(X$5,$J323,$I323),daily_dates,0),MATCH($B$3,daily_items,0)))</f>
        <v>#N/A</v>
      </c>
      <c r="Y323" s="1" t="str">
        <f t="array" ref="Y323">IF(ISBLANK(INDEX(big_daily_table,MATCH(DATE(Y$5,$J323,$I323),daily_dates,0),MATCH($B$3,daily_items,0))),NA(),INDEX(big_daily_table,MATCH(DATE(Y$5,$J323,$I323),daily_dates,0),MATCH($B$3,daily_items,0)))</f>
        <v>#N/A</v>
      </c>
      <c r="Z323" s="1" t="str">
        <f t="shared" si="5"/>
        <v>#NAME?</v>
      </c>
      <c r="AA323" s="1" t="str">
        <f t="shared" si="6"/>
        <v>#NAME?</v>
      </c>
      <c r="AB323" s="1" t="str">
        <f t="shared" si="7"/>
        <v>#NAME?</v>
      </c>
      <c r="AC323" s="1" t="str">
        <f t="shared" si="8"/>
        <v>#NAME?</v>
      </c>
    </row>
    <row r="324" ht="14.25" customHeight="1">
      <c r="H324" s="1">
        <f t="shared" si="9"/>
        <v>319</v>
      </c>
      <c r="I324" s="1">
        <f t="shared" si="2"/>
        <v>14</v>
      </c>
      <c r="J324" s="1">
        <f t="shared" si="3"/>
        <v>11</v>
      </c>
      <c r="K324" s="23">
        <f t="shared" si="10"/>
        <v>36844</v>
      </c>
      <c r="L324" s="24">
        <f t="shared" si="4"/>
        <v>1000000</v>
      </c>
      <c r="M324" s="1" t="str">
        <f t="array" ref="M324">IF(K324&gt;0,INDEX(big_daily_table,MATCH(DATE(N$5,$J324,$I324),daily_dates,0),MATCH($B$3,daily_items,0)),NA())</f>
        <v>#N/A</v>
      </c>
      <c r="N324" s="1" t="str">
        <f t="array" ref="N324">IF(L324&lt;0,INDEX(big_daily_table,MATCH(DATE(N$5,$J324,$I324),daily_dates,0),MATCH($B$3,daily_items,0)),NA())</f>
        <v>#N/A</v>
      </c>
      <c r="O324" s="1" t="str">
        <f t="array" ref="O324">IF(ISBLANK(INDEX(big_daily_table,MATCH(DATE(O$5,$J324,$I324),daily_dates,0),MATCH($B$3,daily_items,0))),NA(),INDEX(big_daily_table,MATCH(DATE(O$5,$J324,$I324),daily_dates,0),MATCH($B$3,daily_items,0)))</f>
        <v>#N/A</v>
      </c>
      <c r="P324" s="1" t="str">
        <f t="array" ref="P324">IF(ISBLANK(INDEX(big_daily_table,MATCH(DATE(P$5,$J324,$I324),daily_dates,0),MATCH($B$3,daily_items,0))),NA(),INDEX(big_daily_table,MATCH(DATE(P$5,$J324,$I324),daily_dates,0),MATCH($B$3,daily_items,0)))</f>
        <v>#N/A</v>
      </c>
      <c r="Q324" s="1" t="str">
        <f t="array" ref="Q324">IF(ISBLANK(INDEX(big_daily_table,MATCH(DATE(Q$5,$J324,$I324),daily_dates,0),MATCH($B$3,daily_items,0))),NA(),INDEX(big_daily_table,MATCH(DATE(Q$5,$J324,$I324),daily_dates,0),MATCH($B$3,daily_items,0)))</f>
        <v>#N/A</v>
      </c>
      <c r="R324" s="1" t="str">
        <f t="array" ref="R324">IF(ISBLANK(INDEX(big_daily_table,MATCH(DATE(R$5,$J324,$I324),daily_dates,0),MATCH($B$3,daily_items,0))),NA(),INDEX(big_daily_table,MATCH(DATE(R$5,$J324,$I324),daily_dates,0),MATCH($B$3,daily_items,0)))</f>
        <v>#N/A</v>
      </c>
      <c r="S324" s="1" t="str">
        <f t="array" ref="S324">IF(ISBLANK(INDEX(big_daily_table,MATCH(DATE(S$5,$J324,$I324),daily_dates,0),MATCH($B$3,daily_items,0))),NA(),INDEX(big_daily_table,MATCH(DATE(S$5,$J324,$I324),daily_dates,0),MATCH($B$3,daily_items,0)))</f>
        <v>#N/A</v>
      </c>
      <c r="T324" s="1" t="str">
        <f t="array" ref="T324">IF(ISBLANK(INDEX(big_daily_table,MATCH(DATE(T$5,$J324,$I324),daily_dates,0),MATCH($B$3,daily_items,0))),NA(),INDEX(big_daily_table,MATCH(DATE(T$5,$J324,$I324),daily_dates,0),MATCH($B$3,daily_items,0)))</f>
        <v>#N/A</v>
      </c>
      <c r="U324" s="1" t="str">
        <f t="array" ref="U324">IF(ISBLANK(INDEX(big_daily_table,MATCH(DATE(U$5,$J324,$I324),daily_dates,0),MATCH($B$3,daily_items,0))),NA(),INDEX(big_daily_table,MATCH(DATE(U$5,$J324,$I324),daily_dates,0),MATCH($B$3,daily_items,0)))</f>
        <v>#N/A</v>
      </c>
      <c r="V324" s="1" t="str">
        <f t="array" ref="V324">IF(ISBLANK(INDEX(big_daily_table,MATCH(DATE(V$5,$J324,$I324),daily_dates,0),MATCH($B$3,daily_items,0))),NA(),INDEX(big_daily_table,MATCH(DATE(V$5,$J324,$I324),daily_dates,0),MATCH($B$3,daily_items,0)))</f>
        <v>#N/A</v>
      </c>
      <c r="W324" s="1" t="str">
        <f t="array" ref="W324">IF(ISBLANK(INDEX(big_daily_table,MATCH(DATE(W$5,$J324,$I324),daily_dates,0),MATCH($B$3,daily_items,0))),NA(),INDEX(big_daily_table,MATCH(DATE(W$5,$J324,$I324),daily_dates,0),MATCH($B$3,daily_items,0)))</f>
        <v>#N/A</v>
      </c>
      <c r="X324" s="1" t="str">
        <f t="array" ref="X324">IF(ISBLANK(INDEX(big_daily_table,MATCH(DATE(X$5,$J324,$I324),daily_dates,0),MATCH($B$3,daily_items,0))),NA(),INDEX(big_daily_table,MATCH(DATE(X$5,$J324,$I324),daily_dates,0),MATCH($B$3,daily_items,0)))</f>
        <v>#N/A</v>
      </c>
      <c r="Y324" s="1" t="str">
        <f t="array" ref="Y324">IF(ISBLANK(INDEX(big_daily_table,MATCH(DATE(Y$5,$J324,$I324),daily_dates,0),MATCH($B$3,daily_items,0))),NA(),INDEX(big_daily_table,MATCH(DATE(Y$5,$J324,$I324),daily_dates,0),MATCH($B$3,daily_items,0)))</f>
        <v>#N/A</v>
      </c>
      <c r="Z324" s="1" t="str">
        <f t="shared" si="5"/>
        <v>#NAME?</v>
      </c>
      <c r="AA324" s="1" t="str">
        <f t="shared" si="6"/>
        <v>#NAME?</v>
      </c>
      <c r="AB324" s="1" t="str">
        <f t="shared" si="7"/>
        <v>#NAME?</v>
      </c>
      <c r="AC324" s="1" t="str">
        <f t="shared" si="8"/>
        <v>#NAME?</v>
      </c>
    </row>
    <row r="325" ht="14.25" customHeight="1">
      <c r="H325" s="1">
        <f t="shared" si="9"/>
        <v>320</v>
      </c>
      <c r="I325" s="1">
        <f t="shared" si="2"/>
        <v>15</v>
      </c>
      <c r="J325" s="1">
        <f t="shared" si="3"/>
        <v>11</v>
      </c>
      <c r="K325" s="23">
        <f t="shared" si="10"/>
        <v>36845</v>
      </c>
      <c r="L325" s="24">
        <f t="shared" si="4"/>
        <v>1000000</v>
      </c>
      <c r="M325" s="1" t="str">
        <f t="array" ref="M325">IF(K325&gt;0,INDEX(big_daily_table,MATCH(DATE(N$5,$J325,$I325),daily_dates,0),MATCH($B$3,daily_items,0)),NA())</f>
        <v>#N/A</v>
      </c>
      <c r="N325" s="1" t="str">
        <f t="array" ref="N325">IF(L325&lt;0,INDEX(big_daily_table,MATCH(DATE(N$5,$J325,$I325),daily_dates,0),MATCH($B$3,daily_items,0)),NA())</f>
        <v>#N/A</v>
      </c>
      <c r="O325" s="1" t="str">
        <f t="array" ref="O325">IF(ISBLANK(INDEX(big_daily_table,MATCH(DATE(O$5,$J325,$I325),daily_dates,0),MATCH($B$3,daily_items,0))),NA(),INDEX(big_daily_table,MATCH(DATE(O$5,$J325,$I325),daily_dates,0),MATCH($B$3,daily_items,0)))</f>
        <v>#N/A</v>
      </c>
      <c r="P325" s="1" t="str">
        <f t="array" ref="P325">IF(ISBLANK(INDEX(big_daily_table,MATCH(DATE(P$5,$J325,$I325),daily_dates,0),MATCH($B$3,daily_items,0))),NA(),INDEX(big_daily_table,MATCH(DATE(P$5,$J325,$I325),daily_dates,0),MATCH($B$3,daily_items,0)))</f>
        <v>#N/A</v>
      </c>
      <c r="Q325" s="1" t="str">
        <f t="array" ref="Q325">IF(ISBLANK(INDEX(big_daily_table,MATCH(DATE(Q$5,$J325,$I325),daily_dates,0),MATCH($B$3,daily_items,0))),NA(),INDEX(big_daily_table,MATCH(DATE(Q$5,$J325,$I325),daily_dates,0),MATCH($B$3,daily_items,0)))</f>
        <v>#N/A</v>
      </c>
      <c r="R325" s="1" t="str">
        <f t="array" ref="R325">IF(ISBLANK(INDEX(big_daily_table,MATCH(DATE(R$5,$J325,$I325),daily_dates,0),MATCH($B$3,daily_items,0))),NA(),INDEX(big_daily_table,MATCH(DATE(R$5,$J325,$I325),daily_dates,0),MATCH($B$3,daily_items,0)))</f>
        <v>#N/A</v>
      </c>
      <c r="S325" s="1" t="str">
        <f t="array" ref="S325">IF(ISBLANK(INDEX(big_daily_table,MATCH(DATE(S$5,$J325,$I325),daily_dates,0),MATCH($B$3,daily_items,0))),NA(),INDEX(big_daily_table,MATCH(DATE(S$5,$J325,$I325),daily_dates,0),MATCH($B$3,daily_items,0)))</f>
        <v>#N/A</v>
      </c>
      <c r="T325" s="1" t="str">
        <f t="array" ref="T325">IF(ISBLANK(INDEX(big_daily_table,MATCH(DATE(T$5,$J325,$I325),daily_dates,0),MATCH($B$3,daily_items,0))),NA(),INDEX(big_daily_table,MATCH(DATE(T$5,$J325,$I325),daily_dates,0),MATCH($B$3,daily_items,0)))</f>
        <v>#N/A</v>
      </c>
      <c r="U325" s="1" t="str">
        <f t="array" ref="U325">IF(ISBLANK(INDEX(big_daily_table,MATCH(DATE(U$5,$J325,$I325),daily_dates,0),MATCH($B$3,daily_items,0))),NA(),INDEX(big_daily_table,MATCH(DATE(U$5,$J325,$I325),daily_dates,0),MATCH($B$3,daily_items,0)))</f>
        <v>#N/A</v>
      </c>
      <c r="V325" s="1" t="str">
        <f t="array" ref="V325">IF(ISBLANK(INDEX(big_daily_table,MATCH(DATE(V$5,$J325,$I325),daily_dates,0),MATCH($B$3,daily_items,0))),NA(),INDEX(big_daily_table,MATCH(DATE(V$5,$J325,$I325),daily_dates,0),MATCH($B$3,daily_items,0)))</f>
        <v>#N/A</v>
      </c>
      <c r="W325" s="1" t="str">
        <f t="array" ref="W325">IF(ISBLANK(INDEX(big_daily_table,MATCH(DATE(W$5,$J325,$I325),daily_dates,0),MATCH($B$3,daily_items,0))),NA(),INDEX(big_daily_table,MATCH(DATE(W$5,$J325,$I325),daily_dates,0),MATCH($B$3,daily_items,0)))</f>
        <v>#N/A</v>
      </c>
      <c r="X325" s="1" t="str">
        <f t="array" ref="X325">IF(ISBLANK(INDEX(big_daily_table,MATCH(DATE(X$5,$J325,$I325),daily_dates,0),MATCH($B$3,daily_items,0))),NA(),INDEX(big_daily_table,MATCH(DATE(X$5,$J325,$I325),daily_dates,0),MATCH($B$3,daily_items,0)))</f>
        <v>#N/A</v>
      </c>
      <c r="Y325" s="1" t="str">
        <f t="array" ref="Y325">IF(ISBLANK(INDEX(big_daily_table,MATCH(DATE(Y$5,$J325,$I325),daily_dates,0),MATCH($B$3,daily_items,0))),NA(),INDEX(big_daily_table,MATCH(DATE(Y$5,$J325,$I325),daily_dates,0),MATCH($B$3,daily_items,0)))</f>
        <v>#N/A</v>
      </c>
      <c r="Z325" s="1" t="str">
        <f t="shared" si="5"/>
        <v>#NAME?</v>
      </c>
      <c r="AA325" s="1" t="str">
        <f t="shared" si="6"/>
        <v>#NAME?</v>
      </c>
      <c r="AB325" s="1" t="str">
        <f t="shared" si="7"/>
        <v>#NAME?</v>
      </c>
      <c r="AC325" s="1" t="str">
        <f t="shared" si="8"/>
        <v>#NAME?</v>
      </c>
    </row>
    <row r="326" ht="14.25" customHeight="1">
      <c r="H326" s="1">
        <f t="shared" si="9"/>
        <v>321</v>
      </c>
      <c r="I326" s="1">
        <f t="shared" si="2"/>
        <v>16</v>
      </c>
      <c r="J326" s="1">
        <f t="shared" si="3"/>
        <v>11</v>
      </c>
      <c r="K326" s="23">
        <f t="shared" si="10"/>
        <v>36846</v>
      </c>
      <c r="L326" s="24">
        <f t="shared" si="4"/>
        <v>1000000</v>
      </c>
      <c r="M326" s="1" t="str">
        <f t="array" ref="M326">IF(K326&gt;0,INDEX(big_daily_table,MATCH(DATE(N$5,$J326,$I326),daily_dates,0),MATCH($B$3,daily_items,0)),NA())</f>
        <v>#N/A</v>
      </c>
      <c r="N326" s="1" t="str">
        <f t="array" ref="N326">IF(L326&lt;0,INDEX(big_daily_table,MATCH(DATE(N$5,$J326,$I326),daily_dates,0),MATCH($B$3,daily_items,0)),NA())</f>
        <v>#N/A</v>
      </c>
      <c r="O326" s="1" t="str">
        <f t="array" ref="O326">IF(ISBLANK(INDEX(big_daily_table,MATCH(DATE(O$5,$J326,$I326),daily_dates,0),MATCH($B$3,daily_items,0))),NA(),INDEX(big_daily_table,MATCH(DATE(O$5,$J326,$I326),daily_dates,0),MATCH($B$3,daily_items,0)))</f>
        <v>#N/A</v>
      </c>
      <c r="P326" s="1" t="str">
        <f t="array" ref="P326">IF(ISBLANK(INDEX(big_daily_table,MATCH(DATE(P$5,$J326,$I326),daily_dates,0),MATCH($B$3,daily_items,0))),NA(),INDEX(big_daily_table,MATCH(DATE(P$5,$J326,$I326),daily_dates,0),MATCH($B$3,daily_items,0)))</f>
        <v>#N/A</v>
      </c>
      <c r="Q326" s="1" t="str">
        <f t="array" ref="Q326">IF(ISBLANK(INDEX(big_daily_table,MATCH(DATE(Q$5,$J326,$I326),daily_dates,0),MATCH($B$3,daily_items,0))),NA(),INDEX(big_daily_table,MATCH(DATE(Q$5,$J326,$I326),daily_dates,0),MATCH($B$3,daily_items,0)))</f>
        <v>#N/A</v>
      </c>
      <c r="R326" s="1" t="str">
        <f t="array" ref="R326">IF(ISBLANK(INDEX(big_daily_table,MATCH(DATE(R$5,$J326,$I326),daily_dates,0),MATCH($B$3,daily_items,0))),NA(),INDEX(big_daily_table,MATCH(DATE(R$5,$J326,$I326),daily_dates,0),MATCH($B$3,daily_items,0)))</f>
        <v>#N/A</v>
      </c>
      <c r="S326" s="1" t="str">
        <f t="array" ref="S326">IF(ISBLANK(INDEX(big_daily_table,MATCH(DATE(S$5,$J326,$I326),daily_dates,0),MATCH($B$3,daily_items,0))),NA(),INDEX(big_daily_table,MATCH(DATE(S$5,$J326,$I326),daily_dates,0),MATCH($B$3,daily_items,0)))</f>
        <v>#N/A</v>
      </c>
      <c r="T326" s="1" t="str">
        <f t="array" ref="T326">IF(ISBLANK(INDEX(big_daily_table,MATCH(DATE(T$5,$J326,$I326),daily_dates,0),MATCH($B$3,daily_items,0))),NA(),INDEX(big_daily_table,MATCH(DATE(T$5,$J326,$I326),daily_dates,0),MATCH($B$3,daily_items,0)))</f>
        <v>#N/A</v>
      </c>
      <c r="U326" s="1" t="str">
        <f t="array" ref="U326">IF(ISBLANK(INDEX(big_daily_table,MATCH(DATE(U$5,$J326,$I326),daily_dates,0),MATCH($B$3,daily_items,0))),NA(),INDEX(big_daily_table,MATCH(DATE(U$5,$J326,$I326),daily_dates,0),MATCH($B$3,daily_items,0)))</f>
        <v>#N/A</v>
      </c>
      <c r="V326" s="1" t="str">
        <f t="array" ref="V326">IF(ISBLANK(INDEX(big_daily_table,MATCH(DATE(V$5,$J326,$I326),daily_dates,0),MATCH($B$3,daily_items,0))),NA(),INDEX(big_daily_table,MATCH(DATE(V$5,$J326,$I326),daily_dates,0),MATCH($B$3,daily_items,0)))</f>
        <v>#N/A</v>
      </c>
      <c r="W326" s="1" t="str">
        <f t="array" ref="W326">IF(ISBLANK(INDEX(big_daily_table,MATCH(DATE(W$5,$J326,$I326),daily_dates,0),MATCH($B$3,daily_items,0))),NA(),INDEX(big_daily_table,MATCH(DATE(W$5,$J326,$I326),daily_dates,0),MATCH($B$3,daily_items,0)))</f>
        <v>#N/A</v>
      </c>
      <c r="X326" s="1" t="str">
        <f t="array" ref="X326">IF(ISBLANK(INDEX(big_daily_table,MATCH(DATE(X$5,$J326,$I326),daily_dates,0),MATCH($B$3,daily_items,0))),NA(),INDEX(big_daily_table,MATCH(DATE(X$5,$J326,$I326),daily_dates,0),MATCH($B$3,daily_items,0)))</f>
        <v>#N/A</v>
      </c>
      <c r="Y326" s="1" t="str">
        <f t="array" ref="Y326">IF(ISBLANK(INDEX(big_daily_table,MATCH(DATE(Y$5,$J326,$I326),daily_dates,0),MATCH($B$3,daily_items,0))),NA(),INDEX(big_daily_table,MATCH(DATE(Y$5,$J326,$I326),daily_dates,0),MATCH($B$3,daily_items,0)))</f>
        <v>#N/A</v>
      </c>
      <c r="Z326" s="1" t="str">
        <f t="shared" si="5"/>
        <v>#NAME?</v>
      </c>
      <c r="AA326" s="1" t="str">
        <f t="shared" si="6"/>
        <v>#NAME?</v>
      </c>
      <c r="AB326" s="1" t="str">
        <f t="shared" si="7"/>
        <v>#NAME?</v>
      </c>
      <c r="AC326" s="1" t="str">
        <f t="shared" si="8"/>
        <v>#NAME?</v>
      </c>
    </row>
    <row r="327" ht="14.25" customHeight="1">
      <c r="H327" s="1">
        <f t="shared" si="9"/>
        <v>322</v>
      </c>
      <c r="I327" s="1">
        <f t="shared" si="2"/>
        <v>17</v>
      </c>
      <c r="J327" s="1">
        <f t="shared" si="3"/>
        <v>11</v>
      </c>
      <c r="K327" s="23">
        <f t="shared" si="10"/>
        <v>36847</v>
      </c>
      <c r="L327" s="24">
        <f t="shared" si="4"/>
        <v>1000000</v>
      </c>
      <c r="M327" s="1" t="str">
        <f t="array" ref="M327">IF(K327&gt;0,INDEX(big_daily_table,MATCH(DATE(N$5,$J327,$I327),daily_dates,0),MATCH($B$3,daily_items,0)),NA())</f>
        <v>#N/A</v>
      </c>
      <c r="N327" s="1" t="str">
        <f t="array" ref="N327">IF(L327&lt;0,INDEX(big_daily_table,MATCH(DATE(N$5,$J327,$I327),daily_dates,0),MATCH($B$3,daily_items,0)),NA())</f>
        <v>#N/A</v>
      </c>
      <c r="O327" s="1" t="str">
        <f t="array" ref="O327">IF(ISBLANK(INDEX(big_daily_table,MATCH(DATE(O$5,$J327,$I327),daily_dates,0),MATCH($B$3,daily_items,0))),NA(),INDEX(big_daily_table,MATCH(DATE(O$5,$J327,$I327),daily_dates,0),MATCH($B$3,daily_items,0)))</f>
        <v>#N/A</v>
      </c>
      <c r="P327" s="1" t="str">
        <f t="array" ref="P327">IF(ISBLANK(INDEX(big_daily_table,MATCH(DATE(P$5,$J327,$I327),daily_dates,0),MATCH($B$3,daily_items,0))),NA(),INDEX(big_daily_table,MATCH(DATE(P$5,$J327,$I327),daily_dates,0),MATCH($B$3,daily_items,0)))</f>
        <v>#N/A</v>
      </c>
      <c r="Q327" s="1" t="str">
        <f t="array" ref="Q327">IF(ISBLANK(INDEX(big_daily_table,MATCH(DATE(Q$5,$J327,$I327),daily_dates,0),MATCH($B$3,daily_items,0))),NA(),INDEX(big_daily_table,MATCH(DATE(Q$5,$J327,$I327),daily_dates,0),MATCH($B$3,daily_items,0)))</f>
        <v>#N/A</v>
      </c>
      <c r="R327" s="1" t="str">
        <f t="array" ref="R327">IF(ISBLANK(INDEX(big_daily_table,MATCH(DATE(R$5,$J327,$I327),daily_dates,0),MATCH($B$3,daily_items,0))),NA(),INDEX(big_daily_table,MATCH(DATE(R$5,$J327,$I327),daily_dates,0),MATCH($B$3,daily_items,0)))</f>
        <v>#N/A</v>
      </c>
      <c r="S327" s="1" t="str">
        <f t="array" ref="S327">IF(ISBLANK(INDEX(big_daily_table,MATCH(DATE(S$5,$J327,$I327),daily_dates,0),MATCH($B$3,daily_items,0))),NA(),INDEX(big_daily_table,MATCH(DATE(S$5,$J327,$I327),daily_dates,0),MATCH($B$3,daily_items,0)))</f>
        <v>#N/A</v>
      </c>
      <c r="T327" s="1" t="str">
        <f t="array" ref="T327">IF(ISBLANK(INDEX(big_daily_table,MATCH(DATE(T$5,$J327,$I327),daily_dates,0),MATCH($B$3,daily_items,0))),NA(),INDEX(big_daily_table,MATCH(DATE(T$5,$J327,$I327),daily_dates,0),MATCH($B$3,daily_items,0)))</f>
        <v>#N/A</v>
      </c>
      <c r="U327" s="1" t="str">
        <f t="array" ref="U327">IF(ISBLANK(INDEX(big_daily_table,MATCH(DATE(U$5,$J327,$I327),daily_dates,0),MATCH($B$3,daily_items,0))),NA(),INDEX(big_daily_table,MATCH(DATE(U$5,$J327,$I327),daily_dates,0),MATCH($B$3,daily_items,0)))</f>
        <v>#N/A</v>
      </c>
      <c r="V327" s="1" t="str">
        <f t="array" ref="V327">IF(ISBLANK(INDEX(big_daily_table,MATCH(DATE(V$5,$J327,$I327),daily_dates,0),MATCH($B$3,daily_items,0))),NA(),INDEX(big_daily_table,MATCH(DATE(V$5,$J327,$I327),daily_dates,0),MATCH($B$3,daily_items,0)))</f>
        <v>#N/A</v>
      </c>
      <c r="W327" s="1" t="str">
        <f t="array" ref="W327">IF(ISBLANK(INDEX(big_daily_table,MATCH(DATE(W$5,$J327,$I327),daily_dates,0),MATCH($B$3,daily_items,0))),NA(),INDEX(big_daily_table,MATCH(DATE(W$5,$J327,$I327),daily_dates,0),MATCH($B$3,daily_items,0)))</f>
        <v>#N/A</v>
      </c>
      <c r="X327" s="1" t="str">
        <f t="array" ref="X327">IF(ISBLANK(INDEX(big_daily_table,MATCH(DATE(X$5,$J327,$I327),daily_dates,0),MATCH($B$3,daily_items,0))),NA(),INDEX(big_daily_table,MATCH(DATE(X$5,$J327,$I327),daily_dates,0),MATCH($B$3,daily_items,0)))</f>
        <v>#N/A</v>
      </c>
      <c r="Y327" s="1" t="str">
        <f t="array" ref="Y327">IF(ISBLANK(INDEX(big_daily_table,MATCH(DATE(Y$5,$J327,$I327),daily_dates,0),MATCH($B$3,daily_items,0))),NA(),INDEX(big_daily_table,MATCH(DATE(Y$5,$J327,$I327),daily_dates,0),MATCH($B$3,daily_items,0)))</f>
        <v>#N/A</v>
      </c>
      <c r="Z327" s="1" t="str">
        <f t="shared" si="5"/>
        <v>#NAME?</v>
      </c>
      <c r="AA327" s="1" t="str">
        <f t="shared" si="6"/>
        <v>#NAME?</v>
      </c>
      <c r="AB327" s="1" t="str">
        <f t="shared" si="7"/>
        <v>#NAME?</v>
      </c>
      <c r="AC327" s="1" t="str">
        <f t="shared" si="8"/>
        <v>#NAME?</v>
      </c>
    </row>
    <row r="328" ht="14.25" customHeight="1">
      <c r="H328" s="1">
        <f t="shared" si="9"/>
        <v>323</v>
      </c>
      <c r="I328" s="1">
        <f t="shared" si="2"/>
        <v>18</v>
      </c>
      <c r="J328" s="1">
        <f t="shared" si="3"/>
        <v>11</v>
      </c>
      <c r="K328" s="23">
        <f t="shared" si="10"/>
        <v>36848</v>
      </c>
      <c r="L328" s="24">
        <f t="shared" si="4"/>
        <v>1000000</v>
      </c>
      <c r="M328" s="1" t="str">
        <f t="array" ref="M328">IF(K328&gt;0,INDEX(big_daily_table,MATCH(DATE(N$5,$J328,$I328),daily_dates,0),MATCH($B$3,daily_items,0)),NA())</f>
        <v>#N/A</v>
      </c>
      <c r="N328" s="1" t="str">
        <f t="array" ref="N328">IF(L328&lt;0,INDEX(big_daily_table,MATCH(DATE(N$5,$J328,$I328),daily_dates,0),MATCH($B$3,daily_items,0)),NA())</f>
        <v>#N/A</v>
      </c>
      <c r="O328" s="1" t="str">
        <f t="array" ref="O328">IF(ISBLANK(INDEX(big_daily_table,MATCH(DATE(O$5,$J328,$I328),daily_dates,0),MATCH($B$3,daily_items,0))),NA(),INDEX(big_daily_table,MATCH(DATE(O$5,$J328,$I328),daily_dates,0),MATCH($B$3,daily_items,0)))</f>
        <v>#N/A</v>
      </c>
      <c r="P328" s="1" t="str">
        <f t="array" ref="P328">IF(ISBLANK(INDEX(big_daily_table,MATCH(DATE(P$5,$J328,$I328),daily_dates,0),MATCH($B$3,daily_items,0))),NA(),INDEX(big_daily_table,MATCH(DATE(P$5,$J328,$I328),daily_dates,0),MATCH($B$3,daily_items,0)))</f>
        <v>#N/A</v>
      </c>
      <c r="Q328" s="1" t="str">
        <f t="array" ref="Q328">IF(ISBLANK(INDEX(big_daily_table,MATCH(DATE(Q$5,$J328,$I328),daily_dates,0),MATCH($B$3,daily_items,0))),NA(),INDEX(big_daily_table,MATCH(DATE(Q$5,$J328,$I328),daily_dates,0),MATCH($B$3,daily_items,0)))</f>
        <v>#N/A</v>
      </c>
      <c r="R328" s="1" t="str">
        <f t="array" ref="R328">IF(ISBLANK(INDEX(big_daily_table,MATCH(DATE(R$5,$J328,$I328),daily_dates,0),MATCH($B$3,daily_items,0))),NA(),INDEX(big_daily_table,MATCH(DATE(R$5,$J328,$I328),daily_dates,0),MATCH($B$3,daily_items,0)))</f>
        <v>#N/A</v>
      </c>
      <c r="S328" s="1" t="str">
        <f t="array" ref="S328">IF(ISBLANK(INDEX(big_daily_table,MATCH(DATE(S$5,$J328,$I328),daily_dates,0),MATCH($B$3,daily_items,0))),NA(),INDEX(big_daily_table,MATCH(DATE(S$5,$J328,$I328),daily_dates,0),MATCH($B$3,daily_items,0)))</f>
        <v>#N/A</v>
      </c>
      <c r="T328" s="1" t="str">
        <f t="array" ref="T328">IF(ISBLANK(INDEX(big_daily_table,MATCH(DATE(T$5,$J328,$I328),daily_dates,0),MATCH($B$3,daily_items,0))),NA(),INDEX(big_daily_table,MATCH(DATE(T$5,$J328,$I328),daily_dates,0),MATCH($B$3,daily_items,0)))</f>
        <v>#N/A</v>
      </c>
      <c r="U328" s="1" t="str">
        <f t="array" ref="U328">IF(ISBLANK(INDEX(big_daily_table,MATCH(DATE(U$5,$J328,$I328),daily_dates,0),MATCH($B$3,daily_items,0))),NA(),INDEX(big_daily_table,MATCH(DATE(U$5,$J328,$I328),daily_dates,0),MATCH($B$3,daily_items,0)))</f>
        <v>#N/A</v>
      </c>
      <c r="V328" s="1" t="str">
        <f t="array" ref="V328">IF(ISBLANK(INDEX(big_daily_table,MATCH(DATE(V$5,$J328,$I328),daily_dates,0),MATCH($B$3,daily_items,0))),NA(),INDEX(big_daily_table,MATCH(DATE(V$5,$J328,$I328),daily_dates,0),MATCH($B$3,daily_items,0)))</f>
        <v>#N/A</v>
      </c>
      <c r="W328" s="1" t="str">
        <f t="array" ref="W328">IF(ISBLANK(INDEX(big_daily_table,MATCH(DATE(W$5,$J328,$I328),daily_dates,0),MATCH($B$3,daily_items,0))),NA(),INDEX(big_daily_table,MATCH(DATE(W$5,$J328,$I328),daily_dates,0),MATCH($B$3,daily_items,0)))</f>
        <v>#N/A</v>
      </c>
      <c r="X328" s="1" t="str">
        <f t="array" ref="X328">IF(ISBLANK(INDEX(big_daily_table,MATCH(DATE(X$5,$J328,$I328),daily_dates,0),MATCH($B$3,daily_items,0))),NA(),INDEX(big_daily_table,MATCH(DATE(X$5,$J328,$I328),daily_dates,0),MATCH($B$3,daily_items,0)))</f>
        <v>#N/A</v>
      </c>
      <c r="Y328" s="1" t="str">
        <f t="array" ref="Y328">IF(ISBLANK(INDEX(big_daily_table,MATCH(DATE(Y$5,$J328,$I328),daily_dates,0),MATCH($B$3,daily_items,0))),NA(),INDEX(big_daily_table,MATCH(DATE(Y$5,$J328,$I328),daily_dates,0),MATCH($B$3,daily_items,0)))</f>
        <v>#N/A</v>
      </c>
      <c r="Z328" s="1" t="str">
        <f t="shared" si="5"/>
        <v>#NAME?</v>
      </c>
      <c r="AA328" s="1" t="str">
        <f t="shared" si="6"/>
        <v>#NAME?</v>
      </c>
      <c r="AB328" s="1" t="str">
        <f t="shared" si="7"/>
        <v>#NAME?</v>
      </c>
      <c r="AC328" s="1" t="str">
        <f t="shared" si="8"/>
        <v>#NAME?</v>
      </c>
    </row>
    <row r="329" ht="14.25" customHeight="1">
      <c r="H329" s="1">
        <f t="shared" si="9"/>
        <v>324</v>
      </c>
      <c r="I329" s="1">
        <f t="shared" si="2"/>
        <v>19</v>
      </c>
      <c r="J329" s="1">
        <f t="shared" si="3"/>
        <v>11</v>
      </c>
      <c r="K329" s="23">
        <f t="shared" si="10"/>
        <v>36849</v>
      </c>
      <c r="L329" s="24">
        <f t="shared" si="4"/>
        <v>1000000</v>
      </c>
      <c r="M329" s="1" t="str">
        <f t="array" ref="M329">IF(K329&gt;0,INDEX(big_daily_table,MATCH(DATE(N$5,$J329,$I329),daily_dates,0),MATCH($B$3,daily_items,0)),NA())</f>
        <v>#N/A</v>
      </c>
      <c r="N329" s="1" t="str">
        <f t="array" ref="N329">IF(L329&lt;0,INDEX(big_daily_table,MATCH(DATE(N$5,$J329,$I329),daily_dates,0),MATCH($B$3,daily_items,0)),NA())</f>
        <v>#N/A</v>
      </c>
      <c r="O329" s="1" t="str">
        <f t="array" ref="O329">IF(ISBLANK(INDEX(big_daily_table,MATCH(DATE(O$5,$J329,$I329),daily_dates,0),MATCH($B$3,daily_items,0))),NA(),INDEX(big_daily_table,MATCH(DATE(O$5,$J329,$I329),daily_dates,0),MATCH($B$3,daily_items,0)))</f>
        <v>#N/A</v>
      </c>
      <c r="P329" s="1" t="str">
        <f t="array" ref="P329">IF(ISBLANK(INDEX(big_daily_table,MATCH(DATE(P$5,$J329,$I329),daily_dates,0),MATCH($B$3,daily_items,0))),NA(),INDEX(big_daily_table,MATCH(DATE(P$5,$J329,$I329),daily_dates,0),MATCH($B$3,daily_items,0)))</f>
        <v>#N/A</v>
      </c>
      <c r="Q329" s="1" t="str">
        <f t="array" ref="Q329">IF(ISBLANK(INDEX(big_daily_table,MATCH(DATE(Q$5,$J329,$I329),daily_dates,0),MATCH($B$3,daily_items,0))),NA(),INDEX(big_daily_table,MATCH(DATE(Q$5,$J329,$I329),daily_dates,0),MATCH($B$3,daily_items,0)))</f>
        <v>#N/A</v>
      </c>
      <c r="R329" s="1" t="str">
        <f t="array" ref="R329">IF(ISBLANK(INDEX(big_daily_table,MATCH(DATE(R$5,$J329,$I329),daily_dates,0),MATCH($B$3,daily_items,0))),NA(),INDEX(big_daily_table,MATCH(DATE(R$5,$J329,$I329),daily_dates,0),MATCH($B$3,daily_items,0)))</f>
        <v>#N/A</v>
      </c>
      <c r="S329" s="1" t="str">
        <f t="array" ref="S329">IF(ISBLANK(INDEX(big_daily_table,MATCH(DATE(S$5,$J329,$I329),daily_dates,0),MATCH($B$3,daily_items,0))),NA(),INDEX(big_daily_table,MATCH(DATE(S$5,$J329,$I329),daily_dates,0),MATCH($B$3,daily_items,0)))</f>
        <v>#N/A</v>
      </c>
      <c r="T329" s="1" t="str">
        <f t="array" ref="T329">IF(ISBLANK(INDEX(big_daily_table,MATCH(DATE(T$5,$J329,$I329),daily_dates,0),MATCH($B$3,daily_items,0))),NA(),INDEX(big_daily_table,MATCH(DATE(T$5,$J329,$I329),daily_dates,0),MATCH($B$3,daily_items,0)))</f>
        <v>#N/A</v>
      </c>
      <c r="U329" s="1" t="str">
        <f t="array" ref="U329">IF(ISBLANK(INDEX(big_daily_table,MATCH(DATE(U$5,$J329,$I329),daily_dates,0),MATCH($B$3,daily_items,0))),NA(),INDEX(big_daily_table,MATCH(DATE(U$5,$J329,$I329),daily_dates,0),MATCH($B$3,daily_items,0)))</f>
        <v>#N/A</v>
      </c>
      <c r="V329" s="1" t="str">
        <f t="array" ref="V329">IF(ISBLANK(INDEX(big_daily_table,MATCH(DATE(V$5,$J329,$I329),daily_dates,0),MATCH($B$3,daily_items,0))),NA(),INDEX(big_daily_table,MATCH(DATE(V$5,$J329,$I329),daily_dates,0),MATCH($B$3,daily_items,0)))</f>
        <v>#N/A</v>
      </c>
      <c r="W329" s="1" t="str">
        <f t="array" ref="W329">IF(ISBLANK(INDEX(big_daily_table,MATCH(DATE(W$5,$J329,$I329),daily_dates,0),MATCH($B$3,daily_items,0))),NA(),INDEX(big_daily_table,MATCH(DATE(W$5,$J329,$I329),daily_dates,0),MATCH($B$3,daily_items,0)))</f>
        <v>#N/A</v>
      </c>
      <c r="X329" s="1" t="str">
        <f t="array" ref="X329">IF(ISBLANK(INDEX(big_daily_table,MATCH(DATE(X$5,$J329,$I329),daily_dates,0),MATCH($B$3,daily_items,0))),NA(),INDEX(big_daily_table,MATCH(DATE(X$5,$J329,$I329),daily_dates,0),MATCH($B$3,daily_items,0)))</f>
        <v>#N/A</v>
      </c>
      <c r="Y329" s="1" t="str">
        <f t="array" ref="Y329">IF(ISBLANK(INDEX(big_daily_table,MATCH(DATE(Y$5,$J329,$I329),daily_dates,0),MATCH($B$3,daily_items,0))),NA(),INDEX(big_daily_table,MATCH(DATE(Y$5,$J329,$I329),daily_dates,0),MATCH($B$3,daily_items,0)))</f>
        <v>#N/A</v>
      </c>
      <c r="Z329" s="1" t="str">
        <f t="shared" si="5"/>
        <v>#NAME?</v>
      </c>
      <c r="AA329" s="1" t="str">
        <f t="shared" si="6"/>
        <v>#NAME?</v>
      </c>
      <c r="AB329" s="1" t="str">
        <f t="shared" si="7"/>
        <v>#NAME?</v>
      </c>
      <c r="AC329" s="1" t="str">
        <f t="shared" si="8"/>
        <v>#NAME?</v>
      </c>
    </row>
    <row r="330" ht="14.25" customHeight="1">
      <c r="H330" s="1">
        <f t="shared" si="9"/>
        <v>325</v>
      </c>
      <c r="I330" s="1">
        <f t="shared" si="2"/>
        <v>20</v>
      </c>
      <c r="J330" s="1">
        <f t="shared" si="3"/>
        <v>11</v>
      </c>
      <c r="K330" s="23">
        <f t="shared" si="10"/>
        <v>36850</v>
      </c>
      <c r="L330" s="24">
        <f t="shared" si="4"/>
        <v>1000000</v>
      </c>
      <c r="M330" s="1" t="str">
        <f t="array" ref="M330">IF(K330&gt;0,INDEX(big_daily_table,MATCH(DATE(N$5,$J330,$I330),daily_dates,0),MATCH($B$3,daily_items,0)),NA())</f>
        <v>#N/A</v>
      </c>
      <c r="N330" s="1" t="str">
        <f t="array" ref="N330">IF(L330&lt;0,INDEX(big_daily_table,MATCH(DATE(N$5,$J330,$I330),daily_dates,0),MATCH($B$3,daily_items,0)),NA())</f>
        <v>#N/A</v>
      </c>
      <c r="O330" s="1" t="str">
        <f t="array" ref="O330">IF(ISBLANK(INDEX(big_daily_table,MATCH(DATE(O$5,$J330,$I330),daily_dates,0),MATCH($B$3,daily_items,0))),NA(),INDEX(big_daily_table,MATCH(DATE(O$5,$J330,$I330),daily_dates,0),MATCH($B$3,daily_items,0)))</f>
        <v>#N/A</v>
      </c>
      <c r="P330" s="1" t="str">
        <f t="array" ref="P330">IF(ISBLANK(INDEX(big_daily_table,MATCH(DATE(P$5,$J330,$I330),daily_dates,0),MATCH($B$3,daily_items,0))),NA(),INDEX(big_daily_table,MATCH(DATE(P$5,$J330,$I330),daily_dates,0),MATCH($B$3,daily_items,0)))</f>
        <v>#N/A</v>
      </c>
      <c r="Q330" s="1" t="str">
        <f t="array" ref="Q330">IF(ISBLANK(INDEX(big_daily_table,MATCH(DATE(Q$5,$J330,$I330),daily_dates,0),MATCH($B$3,daily_items,0))),NA(),INDEX(big_daily_table,MATCH(DATE(Q$5,$J330,$I330),daily_dates,0),MATCH($B$3,daily_items,0)))</f>
        <v>#N/A</v>
      </c>
      <c r="R330" s="1" t="str">
        <f t="array" ref="R330">IF(ISBLANK(INDEX(big_daily_table,MATCH(DATE(R$5,$J330,$I330),daily_dates,0),MATCH($B$3,daily_items,0))),NA(),INDEX(big_daily_table,MATCH(DATE(R$5,$J330,$I330),daily_dates,0),MATCH($B$3,daily_items,0)))</f>
        <v>#N/A</v>
      </c>
      <c r="S330" s="1" t="str">
        <f t="array" ref="S330">IF(ISBLANK(INDEX(big_daily_table,MATCH(DATE(S$5,$J330,$I330),daily_dates,0),MATCH($B$3,daily_items,0))),NA(),INDEX(big_daily_table,MATCH(DATE(S$5,$J330,$I330),daily_dates,0),MATCH($B$3,daily_items,0)))</f>
        <v>#N/A</v>
      </c>
      <c r="T330" s="1" t="str">
        <f t="array" ref="T330">IF(ISBLANK(INDEX(big_daily_table,MATCH(DATE(T$5,$J330,$I330),daily_dates,0),MATCH($B$3,daily_items,0))),NA(),INDEX(big_daily_table,MATCH(DATE(T$5,$J330,$I330),daily_dates,0),MATCH($B$3,daily_items,0)))</f>
        <v>#N/A</v>
      </c>
      <c r="U330" s="1" t="str">
        <f t="array" ref="U330">IF(ISBLANK(INDEX(big_daily_table,MATCH(DATE(U$5,$J330,$I330),daily_dates,0),MATCH($B$3,daily_items,0))),NA(),INDEX(big_daily_table,MATCH(DATE(U$5,$J330,$I330),daily_dates,0),MATCH($B$3,daily_items,0)))</f>
        <v>#N/A</v>
      </c>
      <c r="V330" s="1" t="str">
        <f t="array" ref="V330">IF(ISBLANK(INDEX(big_daily_table,MATCH(DATE(V$5,$J330,$I330),daily_dates,0),MATCH($B$3,daily_items,0))),NA(),INDEX(big_daily_table,MATCH(DATE(V$5,$J330,$I330),daily_dates,0),MATCH($B$3,daily_items,0)))</f>
        <v>#N/A</v>
      </c>
      <c r="W330" s="1" t="str">
        <f t="array" ref="W330">IF(ISBLANK(INDEX(big_daily_table,MATCH(DATE(W$5,$J330,$I330),daily_dates,0),MATCH($B$3,daily_items,0))),NA(),INDEX(big_daily_table,MATCH(DATE(W$5,$J330,$I330),daily_dates,0),MATCH($B$3,daily_items,0)))</f>
        <v>#N/A</v>
      </c>
      <c r="X330" s="1" t="str">
        <f t="array" ref="X330">IF(ISBLANK(INDEX(big_daily_table,MATCH(DATE(X$5,$J330,$I330),daily_dates,0),MATCH($B$3,daily_items,0))),NA(),INDEX(big_daily_table,MATCH(DATE(X$5,$J330,$I330),daily_dates,0),MATCH($B$3,daily_items,0)))</f>
        <v>#N/A</v>
      </c>
      <c r="Y330" s="1" t="str">
        <f t="array" ref="Y330">IF(ISBLANK(INDEX(big_daily_table,MATCH(DATE(Y$5,$J330,$I330),daily_dates,0),MATCH($B$3,daily_items,0))),NA(),INDEX(big_daily_table,MATCH(DATE(Y$5,$J330,$I330),daily_dates,0),MATCH($B$3,daily_items,0)))</f>
        <v>#N/A</v>
      </c>
      <c r="Z330" s="1" t="str">
        <f t="shared" si="5"/>
        <v>#NAME?</v>
      </c>
      <c r="AA330" s="1" t="str">
        <f t="shared" si="6"/>
        <v>#NAME?</v>
      </c>
      <c r="AB330" s="1" t="str">
        <f t="shared" si="7"/>
        <v>#NAME?</v>
      </c>
      <c r="AC330" s="1" t="str">
        <f t="shared" si="8"/>
        <v>#NAME?</v>
      </c>
    </row>
    <row r="331" ht="14.25" customHeight="1">
      <c r="H331" s="1">
        <f t="shared" si="9"/>
        <v>326</v>
      </c>
      <c r="I331" s="1">
        <f t="shared" si="2"/>
        <v>21</v>
      </c>
      <c r="J331" s="1">
        <f t="shared" si="3"/>
        <v>11</v>
      </c>
      <c r="K331" s="23">
        <f t="shared" si="10"/>
        <v>36851</v>
      </c>
      <c r="L331" s="24">
        <f t="shared" si="4"/>
        <v>1000000</v>
      </c>
      <c r="M331" s="1" t="str">
        <f t="array" ref="M331">IF(K331&gt;0,INDEX(big_daily_table,MATCH(DATE(N$5,$J331,$I331),daily_dates,0),MATCH($B$3,daily_items,0)),NA())</f>
        <v>#N/A</v>
      </c>
      <c r="N331" s="1" t="str">
        <f t="array" ref="N331">IF(L331&lt;0,INDEX(big_daily_table,MATCH(DATE(N$5,$J331,$I331),daily_dates,0),MATCH($B$3,daily_items,0)),NA())</f>
        <v>#N/A</v>
      </c>
      <c r="O331" s="1" t="str">
        <f t="array" ref="O331">IF(ISBLANK(INDEX(big_daily_table,MATCH(DATE(O$5,$J331,$I331),daily_dates,0),MATCH($B$3,daily_items,0))),NA(),INDEX(big_daily_table,MATCH(DATE(O$5,$J331,$I331),daily_dates,0),MATCH($B$3,daily_items,0)))</f>
        <v>#N/A</v>
      </c>
      <c r="P331" s="1" t="str">
        <f t="array" ref="P331">IF(ISBLANK(INDEX(big_daily_table,MATCH(DATE(P$5,$J331,$I331),daily_dates,0),MATCH($B$3,daily_items,0))),NA(),INDEX(big_daily_table,MATCH(DATE(P$5,$J331,$I331),daily_dates,0),MATCH($B$3,daily_items,0)))</f>
        <v>#N/A</v>
      </c>
      <c r="Q331" s="1" t="str">
        <f t="array" ref="Q331">IF(ISBLANK(INDEX(big_daily_table,MATCH(DATE(Q$5,$J331,$I331),daily_dates,0),MATCH($B$3,daily_items,0))),NA(),INDEX(big_daily_table,MATCH(DATE(Q$5,$J331,$I331),daily_dates,0),MATCH($B$3,daily_items,0)))</f>
        <v>#N/A</v>
      </c>
      <c r="R331" s="1" t="str">
        <f t="array" ref="R331">IF(ISBLANK(INDEX(big_daily_table,MATCH(DATE(R$5,$J331,$I331),daily_dates,0),MATCH($B$3,daily_items,0))),NA(),INDEX(big_daily_table,MATCH(DATE(R$5,$J331,$I331),daily_dates,0),MATCH($B$3,daily_items,0)))</f>
        <v>#N/A</v>
      </c>
      <c r="S331" s="1" t="str">
        <f t="array" ref="S331">IF(ISBLANK(INDEX(big_daily_table,MATCH(DATE(S$5,$J331,$I331),daily_dates,0),MATCH($B$3,daily_items,0))),NA(),INDEX(big_daily_table,MATCH(DATE(S$5,$J331,$I331),daily_dates,0),MATCH($B$3,daily_items,0)))</f>
        <v>#N/A</v>
      </c>
      <c r="T331" s="1" t="str">
        <f t="array" ref="T331">IF(ISBLANK(INDEX(big_daily_table,MATCH(DATE(T$5,$J331,$I331),daily_dates,0),MATCH($B$3,daily_items,0))),NA(),INDEX(big_daily_table,MATCH(DATE(T$5,$J331,$I331),daily_dates,0),MATCH($B$3,daily_items,0)))</f>
        <v>#N/A</v>
      </c>
      <c r="U331" s="1" t="str">
        <f t="array" ref="U331">IF(ISBLANK(INDEX(big_daily_table,MATCH(DATE(U$5,$J331,$I331),daily_dates,0),MATCH($B$3,daily_items,0))),NA(),INDEX(big_daily_table,MATCH(DATE(U$5,$J331,$I331),daily_dates,0),MATCH($B$3,daily_items,0)))</f>
        <v>#N/A</v>
      </c>
      <c r="V331" s="1" t="str">
        <f t="array" ref="V331">IF(ISBLANK(INDEX(big_daily_table,MATCH(DATE(V$5,$J331,$I331),daily_dates,0),MATCH($B$3,daily_items,0))),NA(),INDEX(big_daily_table,MATCH(DATE(V$5,$J331,$I331),daily_dates,0),MATCH($B$3,daily_items,0)))</f>
        <v>#N/A</v>
      </c>
      <c r="W331" s="1" t="str">
        <f t="array" ref="W331">IF(ISBLANK(INDEX(big_daily_table,MATCH(DATE(W$5,$J331,$I331),daily_dates,0),MATCH($B$3,daily_items,0))),NA(),INDEX(big_daily_table,MATCH(DATE(W$5,$J331,$I331),daily_dates,0),MATCH($B$3,daily_items,0)))</f>
        <v>#N/A</v>
      </c>
      <c r="X331" s="1" t="str">
        <f t="array" ref="X331">IF(ISBLANK(INDEX(big_daily_table,MATCH(DATE(X$5,$J331,$I331),daily_dates,0),MATCH($B$3,daily_items,0))),NA(),INDEX(big_daily_table,MATCH(DATE(X$5,$J331,$I331),daily_dates,0),MATCH($B$3,daily_items,0)))</f>
        <v>#N/A</v>
      </c>
      <c r="Y331" s="1" t="str">
        <f t="array" ref="Y331">IF(ISBLANK(INDEX(big_daily_table,MATCH(DATE(Y$5,$J331,$I331),daily_dates,0),MATCH($B$3,daily_items,0))),NA(),INDEX(big_daily_table,MATCH(DATE(Y$5,$J331,$I331),daily_dates,0),MATCH($B$3,daily_items,0)))</f>
        <v>#N/A</v>
      </c>
      <c r="Z331" s="1" t="str">
        <f t="shared" si="5"/>
        <v>#NAME?</v>
      </c>
      <c r="AA331" s="1" t="str">
        <f t="shared" si="6"/>
        <v>#NAME?</v>
      </c>
      <c r="AB331" s="1" t="str">
        <f t="shared" si="7"/>
        <v>#NAME?</v>
      </c>
      <c r="AC331" s="1" t="str">
        <f t="shared" si="8"/>
        <v>#NAME?</v>
      </c>
    </row>
    <row r="332" ht="14.25" customHeight="1">
      <c r="H332" s="1">
        <f t="shared" si="9"/>
        <v>327</v>
      </c>
      <c r="I332" s="1">
        <f t="shared" si="2"/>
        <v>22</v>
      </c>
      <c r="J332" s="1">
        <f t="shared" si="3"/>
        <v>11</v>
      </c>
      <c r="K332" s="23">
        <f t="shared" si="10"/>
        <v>36852</v>
      </c>
      <c r="L332" s="24">
        <f t="shared" si="4"/>
        <v>1000000</v>
      </c>
      <c r="M332" s="1" t="str">
        <f t="array" ref="M332">IF(K332&gt;0,INDEX(big_daily_table,MATCH(DATE(N$5,$J332,$I332),daily_dates,0),MATCH($B$3,daily_items,0)),NA())</f>
        <v>#N/A</v>
      </c>
      <c r="N332" s="1" t="str">
        <f t="array" ref="N332">IF(L332&lt;0,INDEX(big_daily_table,MATCH(DATE(N$5,$J332,$I332),daily_dates,0),MATCH($B$3,daily_items,0)),NA())</f>
        <v>#N/A</v>
      </c>
      <c r="O332" s="1" t="str">
        <f t="array" ref="O332">IF(ISBLANK(INDEX(big_daily_table,MATCH(DATE(O$5,$J332,$I332),daily_dates,0),MATCH($B$3,daily_items,0))),NA(),INDEX(big_daily_table,MATCH(DATE(O$5,$J332,$I332),daily_dates,0),MATCH($B$3,daily_items,0)))</f>
        <v>#N/A</v>
      </c>
      <c r="P332" s="1" t="str">
        <f t="array" ref="P332">IF(ISBLANK(INDEX(big_daily_table,MATCH(DATE(P$5,$J332,$I332),daily_dates,0),MATCH($B$3,daily_items,0))),NA(),INDEX(big_daily_table,MATCH(DATE(P$5,$J332,$I332),daily_dates,0),MATCH($B$3,daily_items,0)))</f>
        <v>#N/A</v>
      </c>
      <c r="Q332" s="1" t="str">
        <f t="array" ref="Q332">IF(ISBLANK(INDEX(big_daily_table,MATCH(DATE(Q$5,$J332,$I332),daily_dates,0),MATCH($B$3,daily_items,0))),NA(),INDEX(big_daily_table,MATCH(DATE(Q$5,$J332,$I332),daily_dates,0),MATCH($B$3,daily_items,0)))</f>
        <v>#N/A</v>
      </c>
      <c r="R332" s="1" t="str">
        <f t="array" ref="R332">IF(ISBLANK(INDEX(big_daily_table,MATCH(DATE(R$5,$J332,$I332),daily_dates,0),MATCH($B$3,daily_items,0))),NA(),INDEX(big_daily_table,MATCH(DATE(R$5,$J332,$I332),daily_dates,0),MATCH($B$3,daily_items,0)))</f>
        <v>#N/A</v>
      </c>
      <c r="S332" s="1" t="str">
        <f t="array" ref="S332">IF(ISBLANK(INDEX(big_daily_table,MATCH(DATE(S$5,$J332,$I332),daily_dates,0),MATCH($B$3,daily_items,0))),NA(),INDEX(big_daily_table,MATCH(DATE(S$5,$J332,$I332),daily_dates,0),MATCH($B$3,daily_items,0)))</f>
        <v>#N/A</v>
      </c>
      <c r="T332" s="1" t="str">
        <f t="array" ref="T332">IF(ISBLANK(INDEX(big_daily_table,MATCH(DATE(T$5,$J332,$I332),daily_dates,0),MATCH($B$3,daily_items,0))),NA(),INDEX(big_daily_table,MATCH(DATE(T$5,$J332,$I332),daily_dates,0),MATCH($B$3,daily_items,0)))</f>
        <v>#N/A</v>
      </c>
      <c r="U332" s="1" t="str">
        <f t="array" ref="U332">IF(ISBLANK(INDEX(big_daily_table,MATCH(DATE(U$5,$J332,$I332),daily_dates,0),MATCH($B$3,daily_items,0))),NA(),INDEX(big_daily_table,MATCH(DATE(U$5,$J332,$I332),daily_dates,0),MATCH($B$3,daily_items,0)))</f>
        <v>#N/A</v>
      </c>
      <c r="V332" s="1" t="str">
        <f t="array" ref="V332">IF(ISBLANK(INDEX(big_daily_table,MATCH(DATE(V$5,$J332,$I332),daily_dates,0),MATCH($B$3,daily_items,0))),NA(),INDEX(big_daily_table,MATCH(DATE(V$5,$J332,$I332),daily_dates,0),MATCH($B$3,daily_items,0)))</f>
        <v>#N/A</v>
      </c>
      <c r="W332" s="1" t="str">
        <f t="array" ref="W332">IF(ISBLANK(INDEX(big_daily_table,MATCH(DATE(W$5,$J332,$I332),daily_dates,0),MATCH($B$3,daily_items,0))),NA(),INDEX(big_daily_table,MATCH(DATE(W$5,$J332,$I332),daily_dates,0),MATCH($B$3,daily_items,0)))</f>
        <v>#N/A</v>
      </c>
      <c r="X332" s="1" t="str">
        <f t="array" ref="X332">IF(ISBLANK(INDEX(big_daily_table,MATCH(DATE(X$5,$J332,$I332),daily_dates,0),MATCH($B$3,daily_items,0))),NA(),INDEX(big_daily_table,MATCH(DATE(X$5,$J332,$I332),daily_dates,0),MATCH($B$3,daily_items,0)))</f>
        <v>#N/A</v>
      </c>
      <c r="Y332" s="1" t="str">
        <f t="array" ref="Y332">IF(ISBLANK(INDEX(big_daily_table,MATCH(DATE(Y$5,$J332,$I332),daily_dates,0),MATCH($B$3,daily_items,0))),NA(),INDEX(big_daily_table,MATCH(DATE(Y$5,$J332,$I332),daily_dates,0),MATCH($B$3,daily_items,0)))</f>
        <v>#N/A</v>
      </c>
      <c r="Z332" s="1" t="str">
        <f t="shared" si="5"/>
        <v>#NAME?</v>
      </c>
      <c r="AA332" s="1" t="str">
        <f t="shared" si="6"/>
        <v>#NAME?</v>
      </c>
      <c r="AB332" s="1" t="str">
        <f t="shared" si="7"/>
        <v>#NAME?</v>
      </c>
      <c r="AC332" s="1" t="str">
        <f t="shared" si="8"/>
        <v>#NAME?</v>
      </c>
    </row>
    <row r="333" ht="14.25" customHeight="1">
      <c r="H333" s="1">
        <f t="shared" si="9"/>
        <v>328</v>
      </c>
      <c r="I333" s="1">
        <f t="shared" si="2"/>
        <v>23</v>
      </c>
      <c r="J333" s="1">
        <f t="shared" si="3"/>
        <v>11</v>
      </c>
      <c r="K333" s="23">
        <f t="shared" si="10"/>
        <v>36853</v>
      </c>
      <c r="L333" s="24">
        <f t="shared" si="4"/>
        <v>1000000</v>
      </c>
      <c r="M333" s="1" t="str">
        <f t="array" ref="M333">IF(K333&gt;0,INDEX(big_daily_table,MATCH(DATE(N$5,$J333,$I333),daily_dates,0),MATCH($B$3,daily_items,0)),NA())</f>
        <v>#N/A</v>
      </c>
      <c r="N333" s="1" t="str">
        <f t="array" ref="N333">IF(L333&lt;0,INDEX(big_daily_table,MATCH(DATE(N$5,$J333,$I333),daily_dates,0),MATCH($B$3,daily_items,0)),NA())</f>
        <v>#N/A</v>
      </c>
      <c r="O333" s="1" t="str">
        <f t="array" ref="O333">IF(ISBLANK(INDEX(big_daily_table,MATCH(DATE(O$5,$J333,$I333),daily_dates,0),MATCH($B$3,daily_items,0))),NA(),INDEX(big_daily_table,MATCH(DATE(O$5,$J333,$I333),daily_dates,0),MATCH($B$3,daily_items,0)))</f>
        <v>#N/A</v>
      </c>
      <c r="P333" s="1" t="str">
        <f t="array" ref="P333">IF(ISBLANK(INDEX(big_daily_table,MATCH(DATE(P$5,$J333,$I333),daily_dates,0),MATCH($B$3,daily_items,0))),NA(),INDEX(big_daily_table,MATCH(DATE(P$5,$J333,$I333),daily_dates,0),MATCH($B$3,daily_items,0)))</f>
        <v>#N/A</v>
      </c>
      <c r="Q333" s="1" t="str">
        <f t="array" ref="Q333">IF(ISBLANK(INDEX(big_daily_table,MATCH(DATE(Q$5,$J333,$I333),daily_dates,0),MATCH($B$3,daily_items,0))),NA(),INDEX(big_daily_table,MATCH(DATE(Q$5,$J333,$I333),daily_dates,0),MATCH($B$3,daily_items,0)))</f>
        <v>#N/A</v>
      </c>
      <c r="R333" s="1" t="str">
        <f t="array" ref="R333">IF(ISBLANK(INDEX(big_daily_table,MATCH(DATE(R$5,$J333,$I333),daily_dates,0),MATCH($B$3,daily_items,0))),NA(),INDEX(big_daily_table,MATCH(DATE(R$5,$J333,$I333),daily_dates,0),MATCH($B$3,daily_items,0)))</f>
        <v>#N/A</v>
      </c>
      <c r="S333" s="1" t="str">
        <f t="array" ref="S333">IF(ISBLANK(INDEX(big_daily_table,MATCH(DATE(S$5,$J333,$I333),daily_dates,0),MATCH($B$3,daily_items,0))),NA(),INDEX(big_daily_table,MATCH(DATE(S$5,$J333,$I333),daily_dates,0),MATCH($B$3,daily_items,0)))</f>
        <v>#N/A</v>
      </c>
      <c r="T333" s="1" t="str">
        <f t="array" ref="T333">IF(ISBLANK(INDEX(big_daily_table,MATCH(DATE(T$5,$J333,$I333),daily_dates,0),MATCH($B$3,daily_items,0))),NA(),INDEX(big_daily_table,MATCH(DATE(T$5,$J333,$I333),daily_dates,0),MATCH($B$3,daily_items,0)))</f>
        <v>#N/A</v>
      </c>
      <c r="U333" s="1" t="str">
        <f t="array" ref="U333">IF(ISBLANK(INDEX(big_daily_table,MATCH(DATE(U$5,$J333,$I333),daily_dates,0),MATCH($B$3,daily_items,0))),NA(),INDEX(big_daily_table,MATCH(DATE(U$5,$J333,$I333),daily_dates,0),MATCH($B$3,daily_items,0)))</f>
        <v>#N/A</v>
      </c>
      <c r="V333" s="1" t="str">
        <f t="array" ref="V333">IF(ISBLANK(INDEX(big_daily_table,MATCH(DATE(V$5,$J333,$I333),daily_dates,0),MATCH($B$3,daily_items,0))),NA(),INDEX(big_daily_table,MATCH(DATE(V$5,$J333,$I333),daily_dates,0),MATCH($B$3,daily_items,0)))</f>
        <v>#N/A</v>
      </c>
      <c r="W333" s="1" t="str">
        <f t="array" ref="W333">IF(ISBLANK(INDEX(big_daily_table,MATCH(DATE(W$5,$J333,$I333),daily_dates,0),MATCH($B$3,daily_items,0))),NA(),INDEX(big_daily_table,MATCH(DATE(W$5,$J333,$I333),daily_dates,0),MATCH($B$3,daily_items,0)))</f>
        <v>#N/A</v>
      </c>
      <c r="X333" s="1" t="str">
        <f t="array" ref="X333">IF(ISBLANK(INDEX(big_daily_table,MATCH(DATE(X$5,$J333,$I333),daily_dates,0),MATCH($B$3,daily_items,0))),NA(),INDEX(big_daily_table,MATCH(DATE(X$5,$J333,$I333),daily_dates,0),MATCH($B$3,daily_items,0)))</f>
        <v>#N/A</v>
      </c>
      <c r="Y333" s="1" t="str">
        <f t="array" ref="Y333">IF(ISBLANK(INDEX(big_daily_table,MATCH(DATE(Y$5,$J333,$I333),daily_dates,0),MATCH($B$3,daily_items,0))),NA(),INDEX(big_daily_table,MATCH(DATE(Y$5,$J333,$I333),daily_dates,0),MATCH($B$3,daily_items,0)))</f>
        <v>#N/A</v>
      </c>
      <c r="Z333" s="1" t="str">
        <f t="shared" si="5"/>
        <v>#NAME?</v>
      </c>
      <c r="AA333" s="1" t="str">
        <f t="shared" si="6"/>
        <v>#NAME?</v>
      </c>
      <c r="AB333" s="1" t="str">
        <f t="shared" si="7"/>
        <v>#NAME?</v>
      </c>
      <c r="AC333" s="1" t="str">
        <f t="shared" si="8"/>
        <v>#NAME?</v>
      </c>
    </row>
    <row r="334" ht="14.25" customHeight="1">
      <c r="H334" s="1">
        <f t="shared" si="9"/>
        <v>329</v>
      </c>
      <c r="I334" s="1">
        <f t="shared" si="2"/>
        <v>24</v>
      </c>
      <c r="J334" s="1">
        <f t="shared" si="3"/>
        <v>11</v>
      </c>
      <c r="K334" s="23">
        <f t="shared" si="10"/>
        <v>36854</v>
      </c>
      <c r="L334" s="24">
        <f t="shared" si="4"/>
        <v>1000000</v>
      </c>
      <c r="M334" s="1" t="str">
        <f t="array" ref="M334">IF(K334&gt;0,INDEX(big_daily_table,MATCH(DATE(N$5,$J334,$I334),daily_dates,0),MATCH($B$3,daily_items,0)),NA())</f>
        <v>#N/A</v>
      </c>
      <c r="N334" s="1" t="str">
        <f t="array" ref="N334">IF(L334&lt;0,INDEX(big_daily_table,MATCH(DATE(N$5,$J334,$I334),daily_dates,0),MATCH($B$3,daily_items,0)),NA())</f>
        <v>#N/A</v>
      </c>
      <c r="O334" s="1" t="str">
        <f t="array" ref="O334">IF(ISBLANK(INDEX(big_daily_table,MATCH(DATE(O$5,$J334,$I334),daily_dates,0),MATCH($B$3,daily_items,0))),NA(),INDEX(big_daily_table,MATCH(DATE(O$5,$J334,$I334),daily_dates,0),MATCH($B$3,daily_items,0)))</f>
        <v>#N/A</v>
      </c>
      <c r="P334" s="1" t="str">
        <f t="array" ref="P334">IF(ISBLANK(INDEX(big_daily_table,MATCH(DATE(P$5,$J334,$I334),daily_dates,0),MATCH($B$3,daily_items,0))),NA(),INDEX(big_daily_table,MATCH(DATE(P$5,$J334,$I334),daily_dates,0),MATCH($B$3,daily_items,0)))</f>
        <v>#N/A</v>
      </c>
      <c r="Q334" s="1" t="str">
        <f t="array" ref="Q334">IF(ISBLANK(INDEX(big_daily_table,MATCH(DATE(Q$5,$J334,$I334),daily_dates,0),MATCH($B$3,daily_items,0))),NA(),INDEX(big_daily_table,MATCH(DATE(Q$5,$J334,$I334),daily_dates,0),MATCH($B$3,daily_items,0)))</f>
        <v>#N/A</v>
      </c>
      <c r="R334" s="1" t="str">
        <f t="array" ref="R334">IF(ISBLANK(INDEX(big_daily_table,MATCH(DATE(R$5,$J334,$I334),daily_dates,0),MATCH($B$3,daily_items,0))),NA(),INDEX(big_daily_table,MATCH(DATE(R$5,$J334,$I334),daily_dates,0),MATCH($B$3,daily_items,0)))</f>
        <v>#N/A</v>
      </c>
      <c r="S334" s="1" t="str">
        <f t="array" ref="S334">IF(ISBLANK(INDEX(big_daily_table,MATCH(DATE(S$5,$J334,$I334),daily_dates,0),MATCH($B$3,daily_items,0))),NA(),INDEX(big_daily_table,MATCH(DATE(S$5,$J334,$I334),daily_dates,0),MATCH($B$3,daily_items,0)))</f>
        <v>#N/A</v>
      </c>
      <c r="T334" s="1" t="str">
        <f t="array" ref="T334">IF(ISBLANK(INDEX(big_daily_table,MATCH(DATE(T$5,$J334,$I334),daily_dates,0),MATCH($B$3,daily_items,0))),NA(),INDEX(big_daily_table,MATCH(DATE(T$5,$J334,$I334),daily_dates,0),MATCH($B$3,daily_items,0)))</f>
        <v>#N/A</v>
      </c>
      <c r="U334" s="1" t="str">
        <f t="array" ref="U334">IF(ISBLANK(INDEX(big_daily_table,MATCH(DATE(U$5,$J334,$I334),daily_dates,0),MATCH($B$3,daily_items,0))),NA(),INDEX(big_daily_table,MATCH(DATE(U$5,$J334,$I334),daily_dates,0),MATCH($B$3,daily_items,0)))</f>
        <v>#N/A</v>
      </c>
      <c r="V334" s="1" t="str">
        <f t="array" ref="V334">IF(ISBLANK(INDEX(big_daily_table,MATCH(DATE(V$5,$J334,$I334),daily_dates,0),MATCH($B$3,daily_items,0))),NA(),INDEX(big_daily_table,MATCH(DATE(V$5,$J334,$I334),daily_dates,0),MATCH($B$3,daily_items,0)))</f>
        <v>#N/A</v>
      </c>
      <c r="W334" s="1" t="str">
        <f t="array" ref="W334">IF(ISBLANK(INDEX(big_daily_table,MATCH(DATE(W$5,$J334,$I334),daily_dates,0),MATCH($B$3,daily_items,0))),NA(),INDEX(big_daily_table,MATCH(DATE(W$5,$J334,$I334),daily_dates,0),MATCH($B$3,daily_items,0)))</f>
        <v>#N/A</v>
      </c>
      <c r="X334" s="1" t="str">
        <f t="array" ref="X334">IF(ISBLANK(INDEX(big_daily_table,MATCH(DATE(X$5,$J334,$I334),daily_dates,0),MATCH($B$3,daily_items,0))),NA(),INDEX(big_daily_table,MATCH(DATE(X$5,$J334,$I334),daily_dates,0),MATCH($B$3,daily_items,0)))</f>
        <v>#N/A</v>
      </c>
      <c r="Y334" s="1" t="str">
        <f t="array" ref="Y334">IF(ISBLANK(INDEX(big_daily_table,MATCH(DATE(Y$5,$J334,$I334),daily_dates,0),MATCH($B$3,daily_items,0))),NA(),INDEX(big_daily_table,MATCH(DATE(Y$5,$J334,$I334),daily_dates,0),MATCH($B$3,daily_items,0)))</f>
        <v>#N/A</v>
      </c>
      <c r="Z334" s="1" t="str">
        <f t="shared" si="5"/>
        <v>#NAME?</v>
      </c>
      <c r="AA334" s="1" t="str">
        <f t="shared" si="6"/>
        <v>#NAME?</v>
      </c>
      <c r="AB334" s="1" t="str">
        <f t="shared" si="7"/>
        <v>#NAME?</v>
      </c>
      <c r="AC334" s="1" t="str">
        <f t="shared" si="8"/>
        <v>#NAME?</v>
      </c>
    </row>
    <row r="335" ht="14.25" customHeight="1">
      <c r="H335" s="1">
        <f t="shared" si="9"/>
        <v>330</v>
      </c>
      <c r="I335" s="1">
        <f t="shared" si="2"/>
        <v>25</v>
      </c>
      <c r="J335" s="1">
        <f t="shared" si="3"/>
        <v>11</v>
      </c>
      <c r="K335" s="23">
        <f t="shared" si="10"/>
        <v>36855</v>
      </c>
      <c r="L335" s="24">
        <f t="shared" si="4"/>
        <v>1000000</v>
      </c>
      <c r="M335" s="1" t="str">
        <f t="array" ref="M335">IF(K335&gt;0,INDEX(big_daily_table,MATCH(DATE(N$5,$J335,$I335),daily_dates,0),MATCH($B$3,daily_items,0)),NA())</f>
        <v>#N/A</v>
      </c>
      <c r="N335" s="1" t="str">
        <f t="array" ref="N335">IF(L335&lt;0,INDEX(big_daily_table,MATCH(DATE(N$5,$J335,$I335),daily_dates,0),MATCH($B$3,daily_items,0)),NA())</f>
        <v>#N/A</v>
      </c>
      <c r="O335" s="1" t="str">
        <f t="array" ref="O335">IF(ISBLANK(INDEX(big_daily_table,MATCH(DATE(O$5,$J335,$I335),daily_dates,0),MATCH($B$3,daily_items,0))),NA(),INDEX(big_daily_table,MATCH(DATE(O$5,$J335,$I335),daily_dates,0),MATCH($B$3,daily_items,0)))</f>
        <v>#N/A</v>
      </c>
      <c r="P335" s="1" t="str">
        <f t="array" ref="P335">IF(ISBLANK(INDEX(big_daily_table,MATCH(DATE(P$5,$J335,$I335),daily_dates,0),MATCH($B$3,daily_items,0))),NA(),INDEX(big_daily_table,MATCH(DATE(P$5,$J335,$I335),daily_dates,0),MATCH($B$3,daily_items,0)))</f>
        <v>#N/A</v>
      </c>
      <c r="Q335" s="1" t="str">
        <f t="array" ref="Q335">IF(ISBLANK(INDEX(big_daily_table,MATCH(DATE(Q$5,$J335,$I335),daily_dates,0),MATCH($B$3,daily_items,0))),NA(),INDEX(big_daily_table,MATCH(DATE(Q$5,$J335,$I335),daily_dates,0),MATCH($B$3,daily_items,0)))</f>
        <v>#N/A</v>
      </c>
      <c r="R335" s="1" t="str">
        <f t="array" ref="R335">IF(ISBLANK(INDEX(big_daily_table,MATCH(DATE(R$5,$J335,$I335),daily_dates,0),MATCH($B$3,daily_items,0))),NA(),INDEX(big_daily_table,MATCH(DATE(R$5,$J335,$I335),daily_dates,0),MATCH($B$3,daily_items,0)))</f>
        <v>#N/A</v>
      </c>
      <c r="S335" s="1" t="str">
        <f t="array" ref="S335">IF(ISBLANK(INDEX(big_daily_table,MATCH(DATE(S$5,$J335,$I335),daily_dates,0),MATCH($B$3,daily_items,0))),NA(),INDEX(big_daily_table,MATCH(DATE(S$5,$J335,$I335),daily_dates,0),MATCH($B$3,daily_items,0)))</f>
        <v>#N/A</v>
      </c>
      <c r="T335" s="1" t="str">
        <f t="array" ref="T335">IF(ISBLANK(INDEX(big_daily_table,MATCH(DATE(T$5,$J335,$I335),daily_dates,0),MATCH($B$3,daily_items,0))),NA(),INDEX(big_daily_table,MATCH(DATE(T$5,$J335,$I335),daily_dates,0),MATCH($B$3,daily_items,0)))</f>
        <v>#N/A</v>
      </c>
      <c r="U335" s="1" t="str">
        <f t="array" ref="U335">IF(ISBLANK(INDEX(big_daily_table,MATCH(DATE(U$5,$J335,$I335),daily_dates,0),MATCH($B$3,daily_items,0))),NA(),INDEX(big_daily_table,MATCH(DATE(U$5,$J335,$I335),daily_dates,0),MATCH($B$3,daily_items,0)))</f>
        <v>#N/A</v>
      </c>
      <c r="V335" s="1" t="str">
        <f t="array" ref="V335">IF(ISBLANK(INDEX(big_daily_table,MATCH(DATE(V$5,$J335,$I335),daily_dates,0),MATCH($B$3,daily_items,0))),NA(),INDEX(big_daily_table,MATCH(DATE(V$5,$J335,$I335),daily_dates,0),MATCH($B$3,daily_items,0)))</f>
        <v>#N/A</v>
      </c>
      <c r="W335" s="1" t="str">
        <f t="array" ref="W335">IF(ISBLANK(INDEX(big_daily_table,MATCH(DATE(W$5,$J335,$I335),daily_dates,0),MATCH($B$3,daily_items,0))),NA(),INDEX(big_daily_table,MATCH(DATE(W$5,$J335,$I335),daily_dates,0),MATCH($B$3,daily_items,0)))</f>
        <v>#N/A</v>
      </c>
      <c r="X335" s="1" t="str">
        <f t="array" ref="X335">IF(ISBLANK(INDEX(big_daily_table,MATCH(DATE(X$5,$J335,$I335),daily_dates,0),MATCH($B$3,daily_items,0))),NA(),INDEX(big_daily_table,MATCH(DATE(X$5,$J335,$I335),daily_dates,0),MATCH($B$3,daily_items,0)))</f>
        <v>#N/A</v>
      </c>
      <c r="Y335" s="1" t="str">
        <f t="array" ref="Y335">IF(ISBLANK(INDEX(big_daily_table,MATCH(DATE(Y$5,$J335,$I335),daily_dates,0),MATCH($B$3,daily_items,0))),NA(),INDEX(big_daily_table,MATCH(DATE(Y$5,$J335,$I335),daily_dates,0),MATCH($B$3,daily_items,0)))</f>
        <v>#N/A</v>
      </c>
      <c r="Z335" s="1" t="str">
        <f t="shared" si="5"/>
        <v>#NAME?</v>
      </c>
      <c r="AA335" s="1" t="str">
        <f t="shared" si="6"/>
        <v>#NAME?</v>
      </c>
      <c r="AB335" s="1" t="str">
        <f t="shared" si="7"/>
        <v>#NAME?</v>
      </c>
      <c r="AC335" s="1" t="str">
        <f t="shared" si="8"/>
        <v>#NAME?</v>
      </c>
    </row>
    <row r="336" ht="14.25" customHeight="1">
      <c r="H336" s="1">
        <f t="shared" si="9"/>
        <v>331</v>
      </c>
      <c r="I336" s="1">
        <f t="shared" si="2"/>
        <v>26</v>
      </c>
      <c r="J336" s="1">
        <f t="shared" si="3"/>
        <v>11</v>
      </c>
      <c r="K336" s="23">
        <f t="shared" si="10"/>
        <v>36856</v>
      </c>
      <c r="L336" s="24">
        <f t="shared" si="4"/>
        <v>1000000</v>
      </c>
      <c r="M336" s="1" t="str">
        <f t="array" ref="M336">IF(K336&gt;0,INDEX(big_daily_table,MATCH(DATE(N$5,$J336,$I336),daily_dates,0),MATCH($B$3,daily_items,0)),NA())</f>
        <v>#N/A</v>
      </c>
      <c r="N336" s="1" t="str">
        <f t="array" ref="N336">IF(L336&lt;0,INDEX(big_daily_table,MATCH(DATE(N$5,$J336,$I336),daily_dates,0),MATCH($B$3,daily_items,0)),NA())</f>
        <v>#N/A</v>
      </c>
      <c r="O336" s="1" t="str">
        <f t="array" ref="O336">IF(ISBLANK(INDEX(big_daily_table,MATCH(DATE(O$5,$J336,$I336),daily_dates,0),MATCH($B$3,daily_items,0))),NA(),INDEX(big_daily_table,MATCH(DATE(O$5,$J336,$I336),daily_dates,0),MATCH($B$3,daily_items,0)))</f>
        <v>#N/A</v>
      </c>
      <c r="P336" s="1" t="str">
        <f t="array" ref="P336">IF(ISBLANK(INDEX(big_daily_table,MATCH(DATE(P$5,$J336,$I336),daily_dates,0),MATCH($B$3,daily_items,0))),NA(),INDEX(big_daily_table,MATCH(DATE(P$5,$J336,$I336),daily_dates,0),MATCH($B$3,daily_items,0)))</f>
        <v>#N/A</v>
      </c>
      <c r="Q336" s="1" t="str">
        <f t="array" ref="Q336">IF(ISBLANK(INDEX(big_daily_table,MATCH(DATE(Q$5,$J336,$I336),daily_dates,0),MATCH($B$3,daily_items,0))),NA(),INDEX(big_daily_table,MATCH(DATE(Q$5,$J336,$I336),daily_dates,0),MATCH($B$3,daily_items,0)))</f>
        <v>#N/A</v>
      </c>
      <c r="R336" s="1" t="str">
        <f t="array" ref="R336">IF(ISBLANK(INDEX(big_daily_table,MATCH(DATE(R$5,$J336,$I336),daily_dates,0),MATCH($B$3,daily_items,0))),NA(),INDEX(big_daily_table,MATCH(DATE(R$5,$J336,$I336),daily_dates,0),MATCH($B$3,daily_items,0)))</f>
        <v>#N/A</v>
      </c>
      <c r="S336" s="1" t="str">
        <f t="array" ref="S336">IF(ISBLANK(INDEX(big_daily_table,MATCH(DATE(S$5,$J336,$I336),daily_dates,0),MATCH($B$3,daily_items,0))),NA(),INDEX(big_daily_table,MATCH(DATE(S$5,$J336,$I336),daily_dates,0),MATCH($B$3,daily_items,0)))</f>
        <v>#N/A</v>
      </c>
      <c r="T336" s="1" t="str">
        <f t="array" ref="T336">IF(ISBLANK(INDEX(big_daily_table,MATCH(DATE(T$5,$J336,$I336),daily_dates,0),MATCH($B$3,daily_items,0))),NA(),INDEX(big_daily_table,MATCH(DATE(T$5,$J336,$I336),daily_dates,0),MATCH($B$3,daily_items,0)))</f>
        <v>#N/A</v>
      </c>
      <c r="U336" s="1" t="str">
        <f t="array" ref="U336">IF(ISBLANK(INDEX(big_daily_table,MATCH(DATE(U$5,$J336,$I336),daily_dates,0),MATCH($B$3,daily_items,0))),NA(),INDEX(big_daily_table,MATCH(DATE(U$5,$J336,$I336),daily_dates,0),MATCH($B$3,daily_items,0)))</f>
        <v>#N/A</v>
      </c>
      <c r="V336" s="1" t="str">
        <f t="array" ref="V336">IF(ISBLANK(INDEX(big_daily_table,MATCH(DATE(V$5,$J336,$I336),daily_dates,0),MATCH($B$3,daily_items,0))),NA(),INDEX(big_daily_table,MATCH(DATE(V$5,$J336,$I336),daily_dates,0),MATCH($B$3,daily_items,0)))</f>
        <v>#N/A</v>
      </c>
      <c r="W336" s="1" t="str">
        <f t="array" ref="W336">IF(ISBLANK(INDEX(big_daily_table,MATCH(DATE(W$5,$J336,$I336),daily_dates,0),MATCH($B$3,daily_items,0))),NA(),INDEX(big_daily_table,MATCH(DATE(W$5,$J336,$I336),daily_dates,0),MATCH($B$3,daily_items,0)))</f>
        <v>#N/A</v>
      </c>
      <c r="X336" s="1" t="str">
        <f t="array" ref="X336">IF(ISBLANK(INDEX(big_daily_table,MATCH(DATE(X$5,$J336,$I336),daily_dates,0),MATCH($B$3,daily_items,0))),NA(),INDEX(big_daily_table,MATCH(DATE(X$5,$J336,$I336),daily_dates,0),MATCH($B$3,daily_items,0)))</f>
        <v>#N/A</v>
      </c>
      <c r="Y336" s="1" t="str">
        <f t="array" ref="Y336">IF(ISBLANK(INDEX(big_daily_table,MATCH(DATE(Y$5,$J336,$I336),daily_dates,0),MATCH($B$3,daily_items,0))),NA(),INDEX(big_daily_table,MATCH(DATE(Y$5,$J336,$I336),daily_dates,0),MATCH($B$3,daily_items,0)))</f>
        <v>#N/A</v>
      </c>
      <c r="Z336" s="1" t="str">
        <f t="shared" si="5"/>
        <v>#NAME?</v>
      </c>
      <c r="AA336" s="1" t="str">
        <f t="shared" si="6"/>
        <v>#NAME?</v>
      </c>
      <c r="AB336" s="1" t="str">
        <f t="shared" si="7"/>
        <v>#NAME?</v>
      </c>
      <c r="AC336" s="1" t="str">
        <f t="shared" si="8"/>
        <v>#NAME?</v>
      </c>
    </row>
    <row r="337" ht="14.25" customHeight="1">
      <c r="H337" s="1">
        <f t="shared" si="9"/>
        <v>332</v>
      </c>
      <c r="I337" s="1">
        <f t="shared" si="2"/>
        <v>27</v>
      </c>
      <c r="J337" s="1">
        <f t="shared" si="3"/>
        <v>11</v>
      </c>
      <c r="K337" s="23">
        <f t="shared" si="10"/>
        <v>36857</v>
      </c>
      <c r="L337" s="24">
        <f t="shared" si="4"/>
        <v>1000000</v>
      </c>
      <c r="M337" s="1" t="str">
        <f t="array" ref="M337">IF(K337&gt;0,INDEX(big_daily_table,MATCH(DATE(N$5,$J337,$I337),daily_dates,0),MATCH($B$3,daily_items,0)),NA())</f>
        <v>#N/A</v>
      </c>
      <c r="N337" s="1" t="str">
        <f t="array" ref="N337">IF(L337&lt;0,INDEX(big_daily_table,MATCH(DATE(N$5,$J337,$I337),daily_dates,0),MATCH($B$3,daily_items,0)),NA())</f>
        <v>#N/A</v>
      </c>
      <c r="O337" s="1" t="str">
        <f t="array" ref="O337">IF(ISBLANK(INDEX(big_daily_table,MATCH(DATE(O$5,$J337,$I337),daily_dates,0),MATCH($B$3,daily_items,0))),NA(),INDEX(big_daily_table,MATCH(DATE(O$5,$J337,$I337),daily_dates,0),MATCH($B$3,daily_items,0)))</f>
        <v>#N/A</v>
      </c>
      <c r="P337" s="1" t="str">
        <f t="array" ref="P337">IF(ISBLANK(INDEX(big_daily_table,MATCH(DATE(P$5,$J337,$I337),daily_dates,0),MATCH($B$3,daily_items,0))),NA(),INDEX(big_daily_table,MATCH(DATE(P$5,$J337,$I337),daily_dates,0),MATCH($B$3,daily_items,0)))</f>
        <v>#N/A</v>
      </c>
      <c r="Q337" s="1" t="str">
        <f t="array" ref="Q337">IF(ISBLANK(INDEX(big_daily_table,MATCH(DATE(Q$5,$J337,$I337),daily_dates,0),MATCH($B$3,daily_items,0))),NA(),INDEX(big_daily_table,MATCH(DATE(Q$5,$J337,$I337),daily_dates,0),MATCH($B$3,daily_items,0)))</f>
        <v>#N/A</v>
      </c>
      <c r="R337" s="1" t="str">
        <f t="array" ref="R337">IF(ISBLANK(INDEX(big_daily_table,MATCH(DATE(R$5,$J337,$I337),daily_dates,0),MATCH($B$3,daily_items,0))),NA(),INDEX(big_daily_table,MATCH(DATE(R$5,$J337,$I337),daily_dates,0),MATCH($B$3,daily_items,0)))</f>
        <v>#N/A</v>
      </c>
      <c r="S337" s="1" t="str">
        <f t="array" ref="S337">IF(ISBLANK(INDEX(big_daily_table,MATCH(DATE(S$5,$J337,$I337),daily_dates,0),MATCH($B$3,daily_items,0))),NA(),INDEX(big_daily_table,MATCH(DATE(S$5,$J337,$I337),daily_dates,0),MATCH($B$3,daily_items,0)))</f>
        <v>#N/A</v>
      </c>
      <c r="T337" s="1" t="str">
        <f t="array" ref="T337">IF(ISBLANK(INDEX(big_daily_table,MATCH(DATE(T$5,$J337,$I337),daily_dates,0),MATCH($B$3,daily_items,0))),NA(),INDEX(big_daily_table,MATCH(DATE(T$5,$J337,$I337),daily_dates,0),MATCH($B$3,daily_items,0)))</f>
        <v>#N/A</v>
      </c>
      <c r="U337" s="1" t="str">
        <f t="array" ref="U337">IF(ISBLANK(INDEX(big_daily_table,MATCH(DATE(U$5,$J337,$I337),daily_dates,0),MATCH($B$3,daily_items,0))),NA(),INDEX(big_daily_table,MATCH(DATE(U$5,$J337,$I337),daily_dates,0),MATCH($B$3,daily_items,0)))</f>
        <v>#N/A</v>
      </c>
      <c r="V337" s="1" t="str">
        <f t="array" ref="V337">IF(ISBLANK(INDEX(big_daily_table,MATCH(DATE(V$5,$J337,$I337),daily_dates,0),MATCH($B$3,daily_items,0))),NA(),INDEX(big_daily_table,MATCH(DATE(V$5,$J337,$I337),daily_dates,0),MATCH($B$3,daily_items,0)))</f>
        <v>#N/A</v>
      </c>
      <c r="W337" s="1" t="str">
        <f t="array" ref="W337">IF(ISBLANK(INDEX(big_daily_table,MATCH(DATE(W$5,$J337,$I337),daily_dates,0),MATCH($B$3,daily_items,0))),NA(),INDEX(big_daily_table,MATCH(DATE(W$5,$J337,$I337),daily_dates,0),MATCH($B$3,daily_items,0)))</f>
        <v>#N/A</v>
      </c>
      <c r="X337" s="1" t="str">
        <f t="array" ref="X337">IF(ISBLANK(INDEX(big_daily_table,MATCH(DATE(X$5,$J337,$I337),daily_dates,0),MATCH($B$3,daily_items,0))),NA(),INDEX(big_daily_table,MATCH(DATE(X$5,$J337,$I337),daily_dates,0),MATCH($B$3,daily_items,0)))</f>
        <v>#N/A</v>
      </c>
      <c r="Y337" s="1" t="str">
        <f t="array" ref="Y337">IF(ISBLANK(INDEX(big_daily_table,MATCH(DATE(Y$5,$J337,$I337),daily_dates,0),MATCH($B$3,daily_items,0))),NA(),INDEX(big_daily_table,MATCH(DATE(Y$5,$J337,$I337),daily_dates,0),MATCH($B$3,daily_items,0)))</f>
        <v>#N/A</v>
      </c>
      <c r="Z337" s="1" t="str">
        <f t="shared" si="5"/>
        <v>#NAME?</v>
      </c>
      <c r="AA337" s="1" t="str">
        <f t="shared" si="6"/>
        <v>#NAME?</v>
      </c>
      <c r="AB337" s="1" t="str">
        <f t="shared" si="7"/>
        <v>#NAME?</v>
      </c>
      <c r="AC337" s="1" t="str">
        <f t="shared" si="8"/>
        <v>#NAME?</v>
      </c>
    </row>
    <row r="338" ht="14.25" customHeight="1">
      <c r="H338" s="1">
        <f t="shared" si="9"/>
        <v>333</v>
      </c>
      <c r="I338" s="1">
        <f t="shared" si="2"/>
        <v>28</v>
      </c>
      <c r="J338" s="1">
        <f t="shared" si="3"/>
        <v>11</v>
      </c>
      <c r="K338" s="23">
        <f t="shared" si="10"/>
        <v>36858</v>
      </c>
      <c r="L338" s="24">
        <f t="shared" si="4"/>
        <v>1000000</v>
      </c>
      <c r="M338" s="1" t="str">
        <f t="array" ref="M338">IF(K338&gt;0,INDEX(big_daily_table,MATCH(DATE(N$5,$J338,$I338),daily_dates,0),MATCH($B$3,daily_items,0)),NA())</f>
        <v>#N/A</v>
      </c>
      <c r="N338" s="1" t="str">
        <f t="array" ref="N338">IF(L338&lt;0,INDEX(big_daily_table,MATCH(DATE(N$5,$J338,$I338),daily_dates,0),MATCH($B$3,daily_items,0)),NA())</f>
        <v>#N/A</v>
      </c>
      <c r="O338" s="1" t="str">
        <f t="array" ref="O338">IF(ISBLANK(INDEX(big_daily_table,MATCH(DATE(O$5,$J338,$I338),daily_dates,0),MATCH($B$3,daily_items,0))),NA(),INDEX(big_daily_table,MATCH(DATE(O$5,$J338,$I338),daily_dates,0),MATCH($B$3,daily_items,0)))</f>
        <v>#N/A</v>
      </c>
      <c r="P338" s="1" t="str">
        <f t="array" ref="P338">IF(ISBLANK(INDEX(big_daily_table,MATCH(DATE(P$5,$J338,$I338),daily_dates,0),MATCH($B$3,daily_items,0))),NA(),INDEX(big_daily_table,MATCH(DATE(P$5,$J338,$I338),daily_dates,0),MATCH($B$3,daily_items,0)))</f>
        <v>#N/A</v>
      </c>
      <c r="Q338" s="1" t="str">
        <f t="array" ref="Q338">IF(ISBLANK(INDEX(big_daily_table,MATCH(DATE(Q$5,$J338,$I338),daily_dates,0),MATCH($B$3,daily_items,0))),NA(),INDEX(big_daily_table,MATCH(DATE(Q$5,$J338,$I338),daily_dates,0),MATCH($B$3,daily_items,0)))</f>
        <v>#N/A</v>
      </c>
      <c r="R338" s="1" t="str">
        <f t="array" ref="R338">IF(ISBLANK(INDEX(big_daily_table,MATCH(DATE(R$5,$J338,$I338),daily_dates,0),MATCH($B$3,daily_items,0))),NA(),INDEX(big_daily_table,MATCH(DATE(R$5,$J338,$I338),daily_dates,0),MATCH($B$3,daily_items,0)))</f>
        <v>#N/A</v>
      </c>
      <c r="S338" s="1" t="str">
        <f t="array" ref="S338">IF(ISBLANK(INDEX(big_daily_table,MATCH(DATE(S$5,$J338,$I338),daily_dates,0),MATCH($B$3,daily_items,0))),NA(),INDEX(big_daily_table,MATCH(DATE(S$5,$J338,$I338),daily_dates,0),MATCH($B$3,daily_items,0)))</f>
        <v>#N/A</v>
      </c>
      <c r="T338" s="1" t="str">
        <f t="array" ref="T338">IF(ISBLANK(INDEX(big_daily_table,MATCH(DATE(T$5,$J338,$I338),daily_dates,0),MATCH($B$3,daily_items,0))),NA(),INDEX(big_daily_table,MATCH(DATE(T$5,$J338,$I338),daily_dates,0),MATCH($B$3,daily_items,0)))</f>
        <v>#N/A</v>
      </c>
      <c r="U338" s="1" t="str">
        <f t="array" ref="U338">IF(ISBLANK(INDEX(big_daily_table,MATCH(DATE(U$5,$J338,$I338),daily_dates,0),MATCH($B$3,daily_items,0))),NA(),INDEX(big_daily_table,MATCH(DATE(U$5,$J338,$I338),daily_dates,0),MATCH($B$3,daily_items,0)))</f>
        <v>#N/A</v>
      </c>
      <c r="V338" s="1" t="str">
        <f t="array" ref="V338">IF(ISBLANK(INDEX(big_daily_table,MATCH(DATE(V$5,$J338,$I338),daily_dates,0),MATCH($B$3,daily_items,0))),NA(),INDEX(big_daily_table,MATCH(DATE(V$5,$J338,$I338),daily_dates,0),MATCH($B$3,daily_items,0)))</f>
        <v>#N/A</v>
      </c>
      <c r="W338" s="1" t="str">
        <f t="array" ref="W338">IF(ISBLANK(INDEX(big_daily_table,MATCH(DATE(W$5,$J338,$I338),daily_dates,0),MATCH($B$3,daily_items,0))),NA(),INDEX(big_daily_table,MATCH(DATE(W$5,$J338,$I338),daily_dates,0),MATCH($B$3,daily_items,0)))</f>
        <v>#N/A</v>
      </c>
      <c r="X338" s="1" t="str">
        <f t="array" ref="X338">IF(ISBLANK(INDEX(big_daily_table,MATCH(DATE(X$5,$J338,$I338),daily_dates,0),MATCH($B$3,daily_items,0))),NA(),INDEX(big_daily_table,MATCH(DATE(X$5,$J338,$I338),daily_dates,0),MATCH($B$3,daily_items,0)))</f>
        <v>#N/A</v>
      </c>
      <c r="Y338" s="1" t="str">
        <f t="array" ref="Y338">IF(ISBLANK(INDEX(big_daily_table,MATCH(DATE(Y$5,$J338,$I338),daily_dates,0),MATCH($B$3,daily_items,0))),NA(),INDEX(big_daily_table,MATCH(DATE(Y$5,$J338,$I338),daily_dates,0),MATCH($B$3,daily_items,0)))</f>
        <v>#N/A</v>
      </c>
      <c r="Z338" s="1" t="str">
        <f t="shared" si="5"/>
        <v>#NAME?</v>
      </c>
      <c r="AA338" s="1" t="str">
        <f t="shared" si="6"/>
        <v>#NAME?</v>
      </c>
      <c r="AB338" s="1" t="str">
        <f t="shared" si="7"/>
        <v>#NAME?</v>
      </c>
      <c r="AC338" s="1" t="str">
        <f t="shared" si="8"/>
        <v>#NAME?</v>
      </c>
    </row>
    <row r="339" ht="14.25" customHeight="1">
      <c r="H339" s="1">
        <f t="shared" si="9"/>
        <v>334</v>
      </c>
      <c r="I339" s="1">
        <f t="shared" si="2"/>
        <v>29</v>
      </c>
      <c r="J339" s="1">
        <f t="shared" si="3"/>
        <v>11</v>
      </c>
      <c r="K339" s="23">
        <f t="shared" si="10"/>
        <v>36859</v>
      </c>
      <c r="L339" s="24">
        <f t="shared" si="4"/>
        <v>1000000</v>
      </c>
      <c r="M339" s="1" t="str">
        <f t="array" ref="M339">IF(K339&gt;0,INDEX(big_daily_table,MATCH(DATE(N$5,$J339,$I339),daily_dates,0),MATCH($B$3,daily_items,0)),NA())</f>
        <v>#N/A</v>
      </c>
      <c r="N339" s="1" t="str">
        <f t="array" ref="N339">IF(L339&lt;0,INDEX(big_daily_table,MATCH(DATE(N$5,$J339,$I339),daily_dates,0),MATCH($B$3,daily_items,0)),NA())</f>
        <v>#N/A</v>
      </c>
      <c r="O339" s="1" t="str">
        <f t="array" ref="O339">IF(ISBLANK(INDEX(big_daily_table,MATCH(DATE(O$5,$J339,$I339),daily_dates,0),MATCH($B$3,daily_items,0))),NA(),INDEX(big_daily_table,MATCH(DATE(O$5,$J339,$I339),daily_dates,0),MATCH($B$3,daily_items,0)))</f>
        <v>#N/A</v>
      </c>
      <c r="P339" s="1" t="str">
        <f t="array" ref="P339">IF(ISBLANK(INDEX(big_daily_table,MATCH(DATE(P$5,$J339,$I339),daily_dates,0),MATCH($B$3,daily_items,0))),NA(),INDEX(big_daily_table,MATCH(DATE(P$5,$J339,$I339),daily_dates,0),MATCH($B$3,daily_items,0)))</f>
        <v>#N/A</v>
      </c>
      <c r="Q339" s="1" t="str">
        <f t="array" ref="Q339">IF(ISBLANK(INDEX(big_daily_table,MATCH(DATE(Q$5,$J339,$I339),daily_dates,0),MATCH($B$3,daily_items,0))),NA(),INDEX(big_daily_table,MATCH(DATE(Q$5,$J339,$I339),daily_dates,0),MATCH($B$3,daily_items,0)))</f>
        <v>#N/A</v>
      </c>
      <c r="R339" s="1" t="str">
        <f t="array" ref="R339">IF(ISBLANK(INDEX(big_daily_table,MATCH(DATE(R$5,$J339,$I339),daily_dates,0),MATCH($B$3,daily_items,0))),NA(),INDEX(big_daily_table,MATCH(DATE(R$5,$J339,$I339),daily_dates,0),MATCH($B$3,daily_items,0)))</f>
        <v>#N/A</v>
      </c>
      <c r="S339" s="1" t="str">
        <f t="array" ref="S339">IF(ISBLANK(INDEX(big_daily_table,MATCH(DATE(S$5,$J339,$I339),daily_dates,0),MATCH($B$3,daily_items,0))),NA(),INDEX(big_daily_table,MATCH(DATE(S$5,$J339,$I339),daily_dates,0),MATCH($B$3,daily_items,0)))</f>
        <v>#N/A</v>
      </c>
      <c r="T339" s="1" t="str">
        <f t="array" ref="T339">IF(ISBLANK(INDEX(big_daily_table,MATCH(DATE(T$5,$J339,$I339),daily_dates,0),MATCH($B$3,daily_items,0))),NA(),INDEX(big_daily_table,MATCH(DATE(T$5,$J339,$I339),daily_dates,0),MATCH($B$3,daily_items,0)))</f>
        <v>#N/A</v>
      </c>
      <c r="U339" s="1" t="str">
        <f t="array" ref="U339">IF(ISBLANK(INDEX(big_daily_table,MATCH(DATE(U$5,$J339,$I339),daily_dates,0),MATCH($B$3,daily_items,0))),NA(),INDEX(big_daily_table,MATCH(DATE(U$5,$J339,$I339),daily_dates,0),MATCH($B$3,daily_items,0)))</f>
        <v>#N/A</v>
      </c>
      <c r="V339" s="1" t="str">
        <f t="array" ref="V339">IF(ISBLANK(INDEX(big_daily_table,MATCH(DATE(V$5,$J339,$I339),daily_dates,0),MATCH($B$3,daily_items,0))),NA(),INDEX(big_daily_table,MATCH(DATE(V$5,$J339,$I339),daily_dates,0),MATCH($B$3,daily_items,0)))</f>
        <v>#N/A</v>
      </c>
      <c r="W339" s="1" t="str">
        <f t="array" ref="W339">IF(ISBLANK(INDEX(big_daily_table,MATCH(DATE(W$5,$J339,$I339),daily_dates,0),MATCH($B$3,daily_items,0))),NA(),INDEX(big_daily_table,MATCH(DATE(W$5,$J339,$I339),daily_dates,0),MATCH($B$3,daily_items,0)))</f>
        <v>#N/A</v>
      </c>
      <c r="X339" s="1" t="str">
        <f t="array" ref="X339">IF(ISBLANK(INDEX(big_daily_table,MATCH(DATE(X$5,$J339,$I339),daily_dates,0),MATCH($B$3,daily_items,0))),NA(),INDEX(big_daily_table,MATCH(DATE(X$5,$J339,$I339),daily_dates,0),MATCH($B$3,daily_items,0)))</f>
        <v>#N/A</v>
      </c>
      <c r="Y339" s="1" t="str">
        <f t="array" ref="Y339">IF(ISBLANK(INDEX(big_daily_table,MATCH(DATE(Y$5,$J339,$I339),daily_dates,0),MATCH($B$3,daily_items,0))),NA(),INDEX(big_daily_table,MATCH(DATE(Y$5,$J339,$I339),daily_dates,0),MATCH($B$3,daily_items,0)))</f>
        <v>#N/A</v>
      </c>
      <c r="Z339" s="1" t="str">
        <f t="shared" si="5"/>
        <v>#NAME?</v>
      </c>
      <c r="AA339" s="1" t="str">
        <f t="shared" si="6"/>
        <v>#NAME?</v>
      </c>
      <c r="AB339" s="1" t="str">
        <f t="shared" si="7"/>
        <v>#NAME?</v>
      </c>
      <c r="AC339" s="1" t="str">
        <f t="shared" si="8"/>
        <v>#NAME?</v>
      </c>
    </row>
    <row r="340" ht="14.25" customHeight="1">
      <c r="H340" s="1">
        <f t="shared" si="9"/>
        <v>335</v>
      </c>
      <c r="I340" s="1">
        <f t="shared" si="2"/>
        <v>30</v>
      </c>
      <c r="J340" s="1">
        <f t="shared" si="3"/>
        <v>11</v>
      </c>
      <c r="K340" s="23">
        <f t="shared" si="10"/>
        <v>36860</v>
      </c>
      <c r="L340" s="24">
        <f t="shared" si="4"/>
        <v>1000000</v>
      </c>
      <c r="M340" s="1" t="str">
        <f t="array" ref="M340">IF(K340&gt;0,INDEX(big_daily_table,MATCH(DATE(N$5,$J340,$I340),daily_dates,0),MATCH($B$3,daily_items,0)),NA())</f>
        <v>#N/A</v>
      </c>
      <c r="N340" s="1" t="str">
        <f t="array" ref="N340">IF(L340&lt;0,INDEX(big_daily_table,MATCH(DATE(N$5,$J340,$I340),daily_dates,0),MATCH($B$3,daily_items,0)),NA())</f>
        <v>#N/A</v>
      </c>
      <c r="O340" s="1" t="str">
        <f t="array" ref="O340">IF(ISBLANK(INDEX(big_daily_table,MATCH(DATE(O$5,$J340,$I340),daily_dates,0),MATCH($B$3,daily_items,0))),NA(),INDEX(big_daily_table,MATCH(DATE(O$5,$J340,$I340),daily_dates,0),MATCH($B$3,daily_items,0)))</f>
        <v>#N/A</v>
      </c>
      <c r="P340" s="1" t="str">
        <f t="array" ref="P340">IF(ISBLANK(INDEX(big_daily_table,MATCH(DATE(P$5,$J340,$I340),daily_dates,0),MATCH($B$3,daily_items,0))),NA(),INDEX(big_daily_table,MATCH(DATE(P$5,$J340,$I340),daily_dates,0),MATCH($B$3,daily_items,0)))</f>
        <v>#N/A</v>
      </c>
      <c r="Q340" s="1" t="str">
        <f t="array" ref="Q340">IF(ISBLANK(INDEX(big_daily_table,MATCH(DATE(Q$5,$J340,$I340),daily_dates,0),MATCH($B$3,daily_items,0))),NA(),INDEX(big_daily_table,MATCH(DATE(Q$5,$J340,$I340),daily_dates,0),MATCH($B$3,daily_items,0)))</f>
        <v>#N/A</v>
      </c>
      <c r="R340" s="1" t="str">
        <f t="array" ref="R340">IF(ISBLANK(INDEX(big_daily_table,MATCH(DATE(R$5,$J340,$I340),daily_dates,0),MATCH($B$3,daily_items,0))),NA(),INDEX(big_daily_table,MATCH(DATE(R$5,$J340,$I340),daily_dates,0),MATCH($B$3,daily_items,0)))</f>
        <v>#N/A</v>
      </c>
      <c r="S340" s="1" t="str">
        <f t="array" ref="S340">IF(ISBLANK(INDEX(big_daily_table,MATCH(DATE(S$5,$J340,$I340),daily_dates,0),MATCH($B$3,daily_items,0))),NA(),INDEX(big_daily_table,MATCH(DATE(S$5,$J340,$I340),daily_dates,0),MATCH($B$3,daily_items,0)))</f>
        <v>#N/A</v>
      </c>
      <c r="T340" s="1" t="str">
        <f t="array" ref="T340">IF(ISBLANK(INDEX(big_daily_table,MATCH(DATE(T$5,$J340,$I340),daily_dates,0),MATCH($B$3,daily_items,0))),NA(),INDEX(big_daily_table,MATCH(DATE(T$5,$J340,$I340),daily_dates,0),MATCH($B$3,daily_items,0)))</f>
        <v>#N/A</v>
      </c>
      <c r="U340" s="1" t="str">
        <f t="array" ref="U340">IF(ISBLANK(INDEX(big_daily_table,MATCH(DATE(U$5,$J340,$I340),daily_dates,0),MATCH($B$3,daily_items,0))),NA(),INDEX(big_daily_table,MATCH(DATE(U$5,$J340,$I340),daily_dates,0),MATCH($B$3,daily_items,0)))</f>
        <v>#N/A</v>
      </c>
      <c r="V340" s="1" t="str">
        <f t="array" ref="V340">IF(ISBLANK(INDEX(big_daily_table,MATCH(DATE(V$5,$J340,$I340),daily_dates,0),MATCH($B$3,daily_items,0))),NA(),INDEX(big_daily_table,MATCH(DATE(V$5,$J340,$I340),daily_dates,0),MATCH($B$3,daily_items,0)))</f>
        <v>#N/A</v>
      </c>
      <c r="W340" s="1" t="str">
        <f t="array" ref="W340">IF(ISBLANK(INDEX(big_daily_table,MATCH(DATE(W$5,$J340,$I340),daily_dates,0),MATCH($B$3,daily_items,0))),NA(),INDEX(big_daily_table,MATCH(DATE(W$5,$J340,$I340),daily_dates,0),MATCH($B$3,daily_items,0)))</f>
        <v>#N/A</v>
      </c>
      <c r="X340" s="1" t="str">
        <f t="array" ref="X340">IF(ISBLANK(INDEX(big_daily_table,MATCH(DATE(X$5,$J340,$I340),daily_dates,0),MATCH($B$3,daily_items,0))),NA(),INDEX(big_daily_table,MATCH(DATE(X$5,$J340,$I340),daily_dates,0),MATCH($B$3,daily_items,0)))</f>
        <v>#N/A</v>
      </c>
      <c r="Y340" s="1" t="str">
        <f t="array" ref="Y340">IF(ISBLANK(INDEX(big_daily_table,MATCH(DATE(Y$5,$J340,$I340),daily_dates,0),MATCH($B$3,daily_items,0))),NA(),INDEX(big_daily_table,MATCH(DATE(Y$5,$J340,$I340),daily_dates,0),MATCH($B$3,daily_items,0)))</f>
        <v>#N/A</v>
      </c>
      <c r="Z340" s="1" t="str">
        <f t="shared" si="5"/>
        <v>#NAME?</v>
      </c>
      <c r="AA340" s="1" t="str">
        <f t="shared" si="6"/>
        <v>#NAME?</v>
      </c>
      <c r="AB340" s="1" t="str">
        <f t="shared" si="7"/>
        <v>#NAME?</v>
      </c>
      <c r="AC340" s="1" t="str">
        <f t="shared" si="8"/>
        <v>#NAME?</v>
      </c>
    </row>
    <row r="341" ht="14.25" customHeight="1">
      <c r="H341" s="1">
        <f t="shared" si="9"/>
        <v>336</v>
      </c>
      <c r="I341" s="1">
        <f t="shared" si="2"/>
        <v>1</v>
      </c>
      <c r="J341" s="1">
        <f t="shared" si="3"/>
        <v>12</v>
      </c>
      <c r="K341" s="23">
        <f t="shared" si="10"/>
        <v>36861</v>
      </c>
      <c r="L341" s="24">
        <f t="shared" si="4"/>
        <v>1000000</v>
      </c>
      <c r="M341" s="1" t="str">
        <f t="array" ref="M341">IF(K341&gt;0,INDEX(big_daily_table,MATCH(DATE(N$5,$J341,$I341),daily_dates,0),MATCH($B$3,daily_items,0)),NA())</f>
        <v>#N/A</v>
      </c>
      <c r="N341" s="1" t="str">
        <f t="array" ref="N341">IF(L341&lt;0,INDEX(big_daily_table,MATCH(DATE(N$5,$J341,$I341),daily_dates,0),MATCH($B$3,daily_items,0)),NA())</f>
        <v>#N/A</v>
      </c>
      <c r="O341" s="1" t="str">
        <f t="array" ref="O341">IF(ISBLANK(INDEX(big_daily_table,MATCH(DATE(O$5,$J341,$I341),daily_dates,0),MATCH($B$3,daily_items,0))),NA(),INDEX(big_daily_table,MATCH(DATE(O$5,$J341,$I341),daily_dates,0),MATCH($B$3,daily_items,0)))</f>
        <v>#N/A</v>
      </c>
      <c r="P341" s="1" t="str">
        <f t="array" ref="P341">IF(ISBLANK(INDEX(big_daily_table,MATCH(DATE(P$5,$J341,$I341),daily_dates,0),MATCH($B$3,daily_items,0))),NA(),INDEX(big_daily_table,MATCH(DATE(P$5,$J341,$I341),daily_dates,0),MATCH($B$3,daily_items,0)))</f>
        <v>#N/A</v>
      </c>
      <c r="Q341" s="1" t="str">
        <f t="array" ref="Q341">IF(ISBLANK(INDEX(big_daily_table,MATCH(DATE(Q$5,$J341,$I341),daily_dates,0),MATCH($B$3,daily_items,0))),NA(),INDEX(big_daily_table,MATCH(DATE(Q$5,$J341,$I341),daily_dates,0),MATCH($B$3,daily_items,0)))</f>
        <v>#N/A</v>
      </c>
      <c r="R341" s="1" t="str">
        <f t="array" ref="R341">IF(ISBLANK(INDEX(big_daily_table,MATCH(DATE(R$5,$J341,$I341),daily_dates,0),MATCH($B$3,daily_items,0))),NA(),INDEX(big_daily_table,MATCH(DATE(R$5,$J341,$I341),daily_dates,0),MATCH($B$3,daily_items,0)))</f>
        <v>#N/A</v>
      </c>
      <c r="S341" s="1" t="str">
        <f t="array" ref="S341">IF(ISBLANK(INDEX(big_daily_table,MATCH(DATE(S$5,$J341,$I341),daily_dates,0),MATCH($B$3,daily_items,0))),NA(),INDEX(big_daily_table,MATCH(DATE(S$5,$J341,$I341),daily_dates,0),MATCH($B$3,daily_items,0)))</f>
        <v>#N/A</v>
      </c>
      <c r="T341" s="1" t="str">
        <f t="array" ref="T341">IF(ISBLANK(INDEX(big_daily_table,MATCH(DATE(T$5,$J341,$I341),daily_dates,0),MATCH($B$3,daily_items,0))),NA(),INDEX(big_daily_table,MATCH(DATE(T$5,$J341,$I341),daily_dates,0),MATCH($B$3,daily_items,0)))</f>
        <v>#N/A</v>
      </c>
      <c r="U341" s="1" t="str">
        <f t="array" ref="U341">IF(ISBLANK(INDEX(big_daily_table,MATCH(DATE(U$5,$J341,$I341),daily_dates,0),MATCH($B$3,daily_items,0))),NA(),INDEX(big_daily_table,MATCH(DATE(U$5,$J341,$I341),daily_dates,0),MATCH($B$3,daily_items,0)))</f>
        <v>#N/A</v>
      </c>
      <c r="V341" s="1" t="str">
        <f t="array" ref="V341">IF(ISBLANK(INDEX(big_daily_table,MATCH(DATE(V$5,$J341,$I341),daily_dates,0),MATCH($B$3,daily_items,0))),NA(),INDEX(big_daily_table,MATCH(DATE(V$5,$J341,$I341),daily_dates,0),MATCH($B$3,daily_items,0)))</f>
        <v>#N/A</v>
      </c>
      <c r="W341" s="1" t="str">
        <f t="array" ref="W341">IF(ISBLANK(INDEX(big_daily_table,MATCH(DATE(W$5,$J341,$I341),daily_dates,0),MATCH($B$3,daily_items,0))),NA(),INDEX(big_daily_table,MATCH(DATE(W$5,$J341,$I341),daily_dates,0),MATCH($B$3,daily_items,0)))</f>
        <v>#N/A</v>
      </c>
      <c r="X341" s="1" t="str">
        <f t="array" ref="X341">IF(ISBLANK(INDEX(big_daily_table,MATCH(DATE(X$5,$J341,$I341),daily_dates,0),MATCH($B$3,daily_items,0))),NA(),INDEX(big_daily_table,MATCH(DATE(X$5,$J341,$I341),daily_dates,0),MATCH($B$3,daily_items,0)))</f>
        <v>#N/A</v>
      </c>
      <c r="Y341" s="1" t="str">
        <f t="array" ref="Y341">IF(ISBLANK(INDEX(big_daily_table,MATCH(DATE(Y$5,$J341,$I341),daily_dates,0),MATCH($B$3,daily_items,0))),NA(),INDEX(big_daily_table,MATCH(DATE(Y$5,$J341,$I341),daily_dates,0),MATCH($B$3,daily_items,0)))</f>
        <v>#N/A</v>
      </c>
      <c r="Z341" s="1" t="str">
        <f t="shared" si="5"/>
        <v>#NAME?</v>
      </c>
      <c r="AA341" s="1" t="str">
        <f t="shared" si="6"/>
        <v>#NAME?</v>
      </c>
      <c r="AB341" s="1" t="str">
        <f t="shared" si="7"/>
        <v>#NAME?</v>
      </c>
      <c r="AC341" s="1" t="str">
        <f t="shared" si="8"/>
        <v>#NAME?</v>
      </c>
    </row>
    <row r="342" ht="14.25" customHeight="1">
      <c r="H342" s="1">
        <f t="shared" si="9"/>
        <v>337</v>
      </c>
      <c r="I342" s="1">
        <f t="shared" si="2"/>
        <v>2</v>
      </c>
      <c r="J342" s="1">
        <f t="shared" si="3"/>
        <v>12</v>
      </c>
      <c r="K342" s="23">
        <f t="shared" si="10"/>
        <v>36862</v>
      </c>
      <c r="L342" s="24">
        <f t="shared" si="4"/>
        <v>1000000</v>
      </c>
      <c r="M342" s="1" t="str">
        <f t="array" ref="M342">IF(K342&gt;0,INDEX(big_daily_table,MATCH(DATE(N$5,$J342,$I342),daily_dates,0),MATCH($B$3,daily_items,0)),NA())</f>
        <v>#N/A</v>
      </c>
      <c r="N342" s="1" t="str">
        <f t="array" ref="N342">IF(L342&lt;0,INDEX(big_daily_table,MATCH(DATE(N$5,$J342,$I342),daily_dates,0),MATCH($B$3,daily_items,0)),NA())</f>
        <v>#N/A</v>
      </c>
      <c r="O342" s="1" t="str">
        <f t="array" ref="O342">IF(ISBLANK(INDEX(big_daily_table,MATCH(DATE(O$5,$J342,$I342),daily_dates,0),MATCH($B$3,daily_items,0))),NA(),INDEX(big_daily_table,MATCH(DATE(O$5,$J342,$I342),daily_dates,0),MATCH($B$3,daily_items,0)))</f>
        <v>#N/A</v>
      </c>
      <c r="P342" s="1" t="str">
        <f t="array" ref="P342">IF(ISBLANK(INDEX(big_daily_table,MATCH(DATE(P$5,$J342,$I342),daily_dates,0),MATCH($B$3,daily_items,0))),NA(),INDEX(big_daily_table,MATCH(DATE(P$5,$J342,$I342),daily_dates,0),MATCH($B$3,daily_items,0)))</f>
        <v>#N/A</v>
      </c>
      <c r="Q342" s="1" t="str">
        <f t="array" ref="Q342">IF(ISBLANK(INDEX(big_daily_table,MATCH(DATE(Q$5,$J342,$I342),daily_dates,0),MATCH($B$3,daily_items,0))),NA(),INDEX(big_daily_table,MATCH(DATE(Q$5,$J342,$I342),daily_dates,0),MATCH($B$3,daily_items,0)))</f>
        <v>#N/A</v>
      </c>
      <c r="R342" s="1" t="str">
        <f t="array" ref="R342">IF(ISBLANK(INDEX(big_daily_table,MATCH(DATE(R$5,$J342,$I342),daily_dates,0),MATCH($B$3,daily_items,0))),NA(),INDEX(big_daily_table,MATCH(DATE(R$5,$J342,$I342),daily_dates,0),MATCH($B$3,daily_items,0)))</f>
        <v>#N/A</v>
      </c>
      <c r="S342" s="1" t="str">
        <f t="array" ref="S342">IF(ISBLANK(INDEX(big_daily_table,MATCH(DATE(S$5,$J342,$I342),daily_dates,0),MATCH($B$3,daily_items,0))),NA(),INDEX(big_daily_table,MATCH(DATE(S$5,$J342,$I342),daily_dates,0),MATCH($B$3,daily_items,0)))</f>
        <v>#N/A</v>
      </c>
      <c r="T342" s="1" t="str">
        <f t="array" ref="T342">IF(ISBLANK(INDEX(big_daily_table,MATCH(DATE(T$5,$J342,$I342),daily_dates,0),MATCH($B$3,daily_items,0))),NA(),INDEX(big_daily_table,MATCH(DATE(T$5,$J342,$I342),daily_dates,0),MATCH($B$3,daily_items,0)))</f>
        <v>#N/A</v>
      </c>
      <c r="U342" s="1" t="str">
        <f t="array" ref="U342">IF(ISBLANK(INDEX(big_daily_table,MATCH(DATE(U$5,$J342,$I342),daily_dates,0),MATCH($B$3,daily_items,0))),NA(),INDEX(big_daily_table,MATCH(DATE(U$5,$J342,$I342),daily_dates,0),MATCH($B$3,daily_items,0)))</f>
        <v>#N/A</v>
      </c>
      <c r="V342" s="1" t="str">
        <f t="array" ref="V342">IF(ISBLANK(INDEX(big_daily_table,MATCH(DATE(V$5,$J342,$I342),daily_dates,0),MATCH($B$3,daily_items,0))),NA(),INDEX(big_daily_table,MATCH(DATE(V$5,$J342,$I342),daily_dates,0),MATCH($B$3,daily_items,0)))</f>
        <v>#N/A</v>
      </c>
      <c r="W342" s="1" t="str">
        <f t="array" ref="W342">IF(ISBLANK(INDEX(big_daily_table,MATCH(DATE(W$5,$J342,$I342),daily_dates,0),MATCH($B$3,daily_items,0))),NA(),INDEX(big_daily_table,MATCH(DATE(W$5,$J342,$I342),daily_dates,0),MATCH($B$3,daily_items,0)))</f>
        <v>#N/A</v>
      </c>
      <c r="X342" s="1" t="str">
        <f t="array" ref="X342">IF(ISBLANK(INDEX(big_daily_table,MATCH(DATE(X$5,$J342,$I342),daily_dates,0),MATCH($B$3,daily_items,0))),NA(),INDEX(big_daily_table,MATCH(DATE(X$5,$J342,$I342),daily_dates,0),MATCH($B$3,daily_items,0)))</f>
        <v>#N/A</v>
      </c>
      <c r="Y342" s="1" t="str">
        <f t="array" ref="Y342">IF(ISBLANK(INDEX(big_daily_table,MATCH(DATE(Y$5,$J342,$I342),daily_dates,0),MATCH($B$3,daily_items,0))),NA(),INDEX(big_daily_table,MATCH(DATE(Y$5,$J342,$I342),daily_dates,0),MATCH($B$3,daily_items,0)))</f>
        <v>#N/A</v>
      </c>
      <c r="Z342" s="1" t="str">
        <f t="shared" si="5"/>
        <v>#NAME?</v>
      </c>
      <c r="AA342" s="1" t="str">
        <f t="shared" si="6"/>
        <v>#NAME?</v>
      </c>
      <c r="AB342" s="1" t="str">
        <f t="shared" si="7"/>
        <v>#NAME?</v>
      </c>
      <c r="AC342" s="1" t="str">
        <f t="shared" si="8"/>
        <v>#NAME?</v>
      </c>
    </row>
    <row r="343" ht="14.25" customHeight="1">
      <c r="H343" s="1">
        <f t="shared" si="9"/>
        <v>338</v>
      </c>
      <c r="I343" s="1">
        <f t="shared" si="2"/>
        <v>3</v>
      </c>
      <c r="J343" s="1">
        <f t="shared" si="3"/>
        <v>12</v>
      </c>
      <c r="K343" s="23">
        <f t="shared" si="10"/>
        <v>36863</v>
      </c>
      <c r="L343" s="24">
        <f t="shared" si="4"/>
        <v>1000000</v>
      </c>
      <c r="M343" s="1" t="str">
        <f t="array" ref="M343">IF(K343&gt;0,INDEX(big_daily_table,MATCH(DATE(N$5,$J343,$I343),daily_dates,0),MATCH($B$3,daily_items,0)),NA())</f>
        <v>#N/A</v>
      </c>
      <c r="N343" s="1" t="str">
        <f t="array" ref="N343">IF(L343&lt;0,INDEX(big_daily_table,MATCH(DATE(N$5,$J343,$I343),daily_dates,0),MATCH($B$3,daily_items,0)),NA())</f>
        <v>#N/A</v>
      </c>
      <c r="O343" s="1" t="str">
        <f t="array" ref="O343">IF(ISBLANK(INDEX(big_daily_table,MATCH(DATE(O$5,$J343,$I343),daily_dates,0),MATCH($B$3,daily_items,0))),NA(),INDEX(big_daily_table,MATCH(DATE(O$5,$J343,$I343),daily_dates,0),MATCH($B$3,daily_items,0)))</f>
        <v>#N/A</v>
      </c>
      <c r="P343" s="1" t="str">
        <f t="array" ref="P343">IF(ISBLANK(INDEX(big_daily_table,MATCH(DATE(P$5,$J343,$I343),daily_dates,0),MATCH($B$3,daily_items,0))),NA(),INDEX(big_daily_table,MATCH(DATE(P$5,$J343,$I343),daily_dates,0),MATCH($B$3,daily_items,0)))</f>
        <v>#N/A</v>
      </c>
      <c r="Q343" s="1" t="str">
        <f t="array" ref="Q343">IF(ISBLANK(INDEX(big_daily_table,MATCH(DATE(Q$5,$J343,$I343),daily_dates,0),MATCH($B$3,daily_items,0))),NA(),INDEX(big_daily_table,MATCH(DATE(Q$5,$J343,$I343),daily_dates,0),MATCH($B$3,daily_items,0)))</f>
        <v>#N/A</v>
      </c>
      <c r="R343" s="1" t="str">
        <f t="array" ref="R343">IF(ISBLANK(INDEX(big_daily_table,MATCH(DATE(R$5,$J343,$I343),daily_dates,0),MATCH($B$3,daily_items,0))),NA(),INDEX(big_daily_table,MATCH(DATE(R$5,$J343,$I343),daily_dates,0),MATCH($B$3,daily_items,0)))</f>
        <v>#N/A</v>
      </c>
      <c r="S343" s="1" t="str">
        <f t="array" ref="S343">IF(ISBLANK(INDEX(big_daily_table,MATCH(DATE(S$5,$J343,$I343),daily_dates,0),MATCH($B$3,daily_items,0))),NA(),INDEX(big_daily_table,MATCH(DATE(S$5,$J343,$I343),daily_dates,0),MATCH($B$3,daily_items,0)))</f>
        <v>#N/A</v>
      </c>
      <c r="T343" s="1" t="str">
        <f t="array" ref="T343">IF(ISBLANK(INDEX(big_daily_table,MATCH(DATE(T$5,$J343,$I343),daily_dates,0),MATCH($B$3,daily_items,0))),NA(),INDEX(big_daily_table,MATCH(DATE(T$5,$J343,$I343),daily_dates,0),MATCH($B$3,daily_items,0)))</f>
        <v>#N/A</v>
      </c>
      <c r="U343" s="1" t="str">
        <f t="array" ref="U343">IF(ISBLANK(INDEX(big_daily_table,MATCH(DATE(U$5,$J343,$I343),daily_dates,0),MATCH($B$3,daily_items,0))),NA(),INDEX(big_daily_table,MATCH(DATE(U$5,$J343,$I343),daily_dates,0),MATCH($B$3,daily_items,0)))</f>
        <v>#N/A</v>
      </c>
      <c r="V343" s="1" t="str">
        <f t="array" ref="V343">IF(ISBLANK(INDEX(big_daily_table,MATCH(DATE(V$5,$J343,$I343),daily_dates,0),MATCH($B$3,daily_items,0))),NA(),INDEX(big_daily_table,MATCH(DATE(V$5,$J343,$I343),daily_dates,0),MATCH($B$3,daily_items,0)))</f>
        <v>#N/A</v>
      </c>
      <c r="W343" s="1" t="str">
        <f t="array" ref="W343">IF(ISBLANK(INDEX(big_daily_table,MATCH(DATE(W$5,$J343,$I343),daily_dates,0),MATCH($B$3,daily_items,0))),NA(),INDEX(big_daily_table,MATCH(DATE(W$5,$J343,$I343),daily_dates,0),MATCH($B$3,daily_items,0)))</f>
        <v>#N/A</v>
      </c>
      <c r="X343" s="1" t="str">
        <f t="array" ref="X343">IF(ISBLANK(INDEX(big_daily_table,MATCH(DATE(X$5,$J343,$I343),daily_dates,0),MATCH($B$3,daily_items,0))),NA(),INDEX(big_daily_table,MATCH(DATE(X$5,$J343,$I343),daily_dates,0),MATCH($B$3,daily_items,0)))</f>
        <v>#N/A</v>
      </c>
      <c r="Y343" s="1" t="str">
        <f t="array" ref="Y343">IF(ISBLANK(INDEX(big_daily_table,MATCH(DATE(Y$5,$J343,$I343),daily_dates,0),MATCH($B$3,daily_items,0))),NA(),INDEX(big_daily_table,MATCH(DATE(Y$5,$J343,$I343),daily_dates,0),MATCH($B$3,daily_items,0)))</f>
        <v>#N/A</v>
      </c>
      <c r="Z343" s="1" t="str">
        <f t="shared" si="5"/>
        <v>#NAME?</v>
      </c>
      <c r="AA343" s="1" t="str">
        <f t="shared" si="6"/>
        <v>#NAME?</v>
      </c>
      <c r="AB343" s="1" t="str">
        <f t="shared" si="7"/>
        <v>#NAME?</v>
      </c>
      <c r="AC343" s="1" t="str">
        <f t="shared" si="8"/>
        <v>#NAME?</v>
      </c>
    </row>
    <row r="344" ht="14.25" customHeight="1">
      <c r="H344" s="1">
        <f t="shared" si="9"/>
        <v>339</v>
      </c>
      <c r="I344" s="1">
        <f t="shared" si="2"/>
        <v>4</v>
      </c>
      <c r="J344" s="1">
        <f t="shared" si="3"/>
        <v>12</v>
      </c>
      <c r="K344" s="23">
        <f t="shared" si="10"/>
        <v>36864</v>
      </c>
      <c r="L344" s="24">
        <f t="shared" si="4"/>
        <v>1000000</v>
      </c>
      <c r="M344" s="1" t="str">
        <f t="array" ref="M344">IF(K344&gt;0,INDEX(big_daily_table,MATCH(DATE(N$5,$J344,$I344),daily_dates,0),MATCH($B$3,daily_items,0)),NA())</f>
        <v>#N/A</v>
      </c>
      <c r="N344" s="1" t="str">
        <f t="array" ref="N344">IF(L344&lt;0,INDEX(big_daily_table,MATCH(DATE(N$5,$J344,$I344),daily_dates,0),MATCH($B$3,daily_items,0)),NA())</f>
        <v>#N/A</v>
      </c>
      <c r="O344" s="1" t="str">
        <f t="array" ref="O344">IF(ISBLANK(INDEX(big_daily_table,MATCH(DATE(O$5,$J344,$I344),daily_dates,0),MATCH($B$3,daily_items,0))),NA(),INDEX(big_daily_table,MATCH(DATE(O$5,$J344,$I344),daily_dates,0),MATCH($B$3,daily_items,0)))</f>
        <v>#N/A</v>
      </c>
      <c r="P344" s="1" t="str">
        <f t="array" ref="P344">IF(ISBLANK(INDEX(big_daily_table,MATCH(DATE(P$5,$J344,$I344),daily_dates,0),MATCH($B$3,daily_items,0))),NA(),INDEX(big_daily_table,MATCH(DATE(P$5,$J344,$I344),daily_dates,0),MATCH($B$3,daily_items,0)))</f>
        <v>#N/A</v>
      </c>
      <c r="Q344" s="1" t="str">
        <f t="array" ref="Q344">IF(ISBLANK(INDEX(big_daily_table,MATCH(DATE(Q$5,$J344,$I344),daily_dates,0),MATCH($B$3,daily_items,0))),NA(),INDEX(big_daily_table,MATCH(DATE(Q$5,$J344,$I344),daily_dates,0),MATCH($B$3,daily_items,0)))</f>
        <v>#N/A</v>
      </c>
      <c r="R344" s="1" t="str">
        <f t="array" ref="R344">IF(ISBLANK(INDEX(big_daily_table,MATCH(DATE(R$5,$J344,$I344),daily_dates,0),MATCH($B$3,daily_items,0))),NA(),INDEX(big_daily_table,MATCH(DATE(R$5,$J344,$I344),daily_dates,0),MATCH($B$3,daily_items,0)))</f>
        <v>#N/A</v>
      </c>
      <c r="S344" s="1" t="str">
        <f t="array" ref="S344">IF(ISBLANK(INDEX(big_daily_table,MATCH(DATE(S$5,$J344,$I344),daily_dates,0),MATCH($B$3,daily_items,0))),NA(),INDEX(big_daily_table,MATCH(DATE(S$5,$J344,$I344),daily_dates,0),MATCH($B$3,daily_items,0)))</f>
        <v>#N/A</v>
      </c>
      <c r="T344" s="1" t="str">
        <f t="array" ref="T344">IF(ISBLANK(INDEX(big_daily_table,MATCH(DATE(T$5,$J344,$I344),daily_dates,0),MATCH($B$3,daily_items,0))),NA(),INDEX(big_daily_table,MATCH(DATE(T$5,$J344,$I344),daily_dates,0),MATCH($B$3,daily_items,0)))</f>
        <v>#N/A</v>
      </c>
      <c r="U344" s="1" t="str">
        <f t="array" ref="U344">IF(ISBLANK(INDEX(big_daily_table,MATCH(DATE(U$5,$J344,$I344),daily_dates,0),MATCH($B$3,daily_items,0))),NA(),INDEX(big_daily_table,MATCH(DATE(U$5,$J344,$I344),daily_dates,0),MATCH($B$3,daily_items,0)))</f>
        <v>#N/A</v>
      </c>
      <c r="V344" s="1" t="str">
        <f t="array" ref="V344">IF(ISBLANK(INDEX(big_daily_table,MATCH(DATE(V$5,$J344,$I344),daily_dates,0),MATCH($B$3,daily_items,0))),NA(),INDEX(big_daily_table,MATCH(DATE(V$5,$J344,$I344),daily_dates,0),MATCH($B$3,daily_items,0)))</f>
        <v>#N/A</v>
      </c>
      <c r="W344" s="1" t="str">
        <f t="array" ref="W344">IF(ISBLANK(INDEX(big_daily_table,MATCH(DATE(W$5,$J344,$I344),daily_dates,0),MATCH($B$3,daily_items,0))),NA(),INDEX(big_daily_table,MATCH(DATE(W$5,$J344,$I344),daily_dates,0),MATCH($B$3,daily_items,0)))</f>
        <v>#N/A</v>
      </c>
      <c r="X344" s="1" t="str">
        <f t="array" ref="X344">IF(ISBLANK(INDEX(big_daily_table,MATCH(DATE(X$5,$J344,$I344),daily_dates,0),MATCH($B$3,daily_items,0))),NA(),INDEX(big_daily_table,MATCH(DATE(X$5,$J344,$I344),daily_dates,0),MATCH($B$3,daily_items,0)))</f>
        <v>#N/A</v>
      </c>
      <c r="Y344" s="1" t="str">
        <f t="array" ref="Y344">IF(ISBLANK(INDEX(big_daily_table,MATCH(DATE(Y$5,$J344,$I344),daily_dates,0),MATCH($B$3,daily_items,0))),NA(),INDEX(big_daily_table,MATCH(DATE(Y$5,$J344,$I344),daily_dates,0),MATCH($B$3,daily_items,0)))</f>
        <v>#N/A</v>
      </c>
      <c r="Z344" s="1" t="str">
        <f t="shared" si="5"/>
        <v>#NAME?</v>
      </c>
      <c r="AA344" s="1" t="str">
        <f t="shared" si="6"/>
        <v>#NAME?</v>
      </c>
      <c r="AB344" s="1" t="str">
        <f t="shared" si="7"/>
        <v>#NAME?</v>
      </c>
      <c r="AC344" s="1" t="str">
        <f t="shared" si="8"/>
        <v>#NAME?</v>
      </c>
    </row>
    <row r="345" ht="14.25" customHeight="1">
      <c r="H345" s="1">
        <f t="shared" si="9"/>
        <v>340</v>
      </c>
      <c r="I345" s="1">
        <f t="shared" si="2"/>
        <v>5</v>
      </c>
      <c r="J345" s="1">
        <f t="shared" si="3"/>
        <v>12</v>
      </c>
      <c r="K345" s="23">
        <f t="shared" si="10"/>
        <v>36865</v>
      </c>
      <c r="L345" s="24">
        <f t="shared" si="4"/>
        <v>1000000</v>
      </c>
      <c r="M345" s="1" t="str">
        <f t="array" ref="M345">IF(K345&gt;0,INDEX(big_daily_table,MATCH(DATE(N$5,$J345,$I345),daily_dates,0),MATCH($B$3,daily_items,0)),NA())</f>
        <v>#N/A</v>
      </c>
      <c r="N345" s="1" t="str">
        <f t="array" ref="N345">IF(L345&lt;0,INDEX(big_daily_table,MATCH(DATE(N$5,$J345,$I345),daily_dates,0),MATCH($B$3,daily_items,0)),NA())</f>
        <v>#N/A</v>
      </c>
      <c r="O345" s="1" t="str">
        <f t="array" ref="O345">IF(ISBLANK(INDEX(big_daily_table,MATCH(DATE(O$5,$J345,$I345),daily_dates,0),MATCH($B$3,daily_items,0))),NA(),INDEX(big_daily_table,MATCH(DATE(O$5,$J345,$I345),daily_dates,0),MATCH($B$3,daily_items,0)))</f>
        <v>#N/A</v>
      </c>
      <c r="P345" s="1" t="str">
        <f t="array" ref="P345">IF(ISBLANK(INDEX(big_daily_table,MATCH(DATE(P$5,$J345,$I345),daily_dates,0),MATCH($B$3,daily_items,0))),NA(),INDEX(big_daily_table,MATCH(DATE(P$5,$J345,$I345),daily_dates,0),MATCH($B$3,daily_items,0)))</f>
        <v>#N/A</v>
      </c>
      <c r="Q345" s="1" t="str">
        <f t="array" ref="Q345">IF(ISBLANK(INDEX(big_daily_table,MATCH(DATE(Q$5,$J345,$I345),daily_dates,0),MATCH($B$3,daily_items,0))),NA(),INDEX(big_daily_table,MATCH(DATE(Q$5,$J345,$I345),daily_dates,0),MATCH($B$3,daily_items,0)))</f>
        <v>#N/A</v>
      </c>
      <c r="R345" s="1" t="str">
        <f t="array" ref="R345">IF(ISBLANK(INDEX(big_daily_table,MATCH(DATE(R$5,$J345,$I345),daily_dates,0),MATCH($B$3,daily_items,0))),NA(),INDEX(big_daily_table,MATCH(DATE(R$5,$J345,$I345),daily_dates,0),MATCH($B$3,daily_items,0)))</f>
        <v>#N/A</v>
      </c>
      <c r="S345" s="1" t="str">
        <f t="array" ref="S345">IF(ISBLANK(INDEX(big_daily_table,MATCH(DATE(S$5,$J345,$I345),daily_dates,0),MATCH($B$3,daily_items,0))),NA(),INDEX(big_daily_table,MATCH(DATE(S$5,$J345,$I345),daily_dates,0),MATCH($B$3,daily_items,0)))</f>
        <v>#N/A</v>
      </c>
      <c r="T345" s="1" t="str">
        <f t="array" ref="T345">IF(ISBLANK(INDEX(big_daily_table,MATCH(DATE(T$5,$J345,$I345),daily_dates,0),MATCH($B$3,daily_items,0))),NA(),INDEX(big_daily_table,MATCH(DATE(T$5,$J345,$I345),daily_dates,0),MATCH($B$3,daily_items,0)))</f>
        <v>#N/A</v>
      </c>
      <c r="U345" s="1" t="str">
        <f t="array" ref="U345">IF(ISBLANK(INDEX(big_daily_table,MATCH(DATE(U$5,$J345,$I345),daily_dates,0),MATCH($B$3,daily_items,0))),NA(),INDEX(big_daily_table,MATCH(DATE(U$5,$J345,$I345),daily_dates,0),MATCH($B$3,daily_items,0)))</f>
        <v>#N/A</v>
      </c>
      <c r="V345" s="1" t="str">
        <f t="array" ref="V345">IF(ISBLANK(INDEX(big_daily_table,MATCH(DATE(V$5,$J345,$I345),daily_dates,0),MATCH($B$3,daily_items,0))),NA(),INDEX(big_daily_table,MATCH(DATE(V$5,$J345,$I345),daily_dates,0),MATCH($B$3,daily_items,0)))</f>
        <v>#N/A</v>
      </c>
      <c r="W345" s="1" t="str">
        <f t="array" ref="W345">IF(ISBLANK(INDEX(big_daily_table,MATCH(DATE(W$5,$J345,$I345),daily_dates,0),MATCH($B$3,daily_items,0))),NA(),INDEX(big_daily_table,MATCH(DATE(W$5,$J345,$I345),daily_dates,0),MATCH($B$3,daily_items,0)))</f>
        <v>#N/A</v>
      </c>
      <c r="X345" s="1" t="str">
        <f t="array" ref="X345">IF(ISBLANK(INDEX(big_daily_table,MATCH(DATE(X$5,$J345,$I345),daily_dates,0),MATCH($B$3,daily_items,0))),NA(),INDEX(big_daily_table,MATCH(DATE(X$5,$J345,$I345),daily_dates,0),MATCH($B$3,daily_items,0)))</f>
        <v>#N/A</v>
      </c>
      <c r="Y345" s="1" t="str">
        <f t="array" ref="Y345">IF(ISBLANK(INDEX(big_daily_table,MATCH(DATE(Y$5,$J345,$I345),daily_dates,0),MATCH($B$3,daily_items,0))),NA(),INDEX(big_daily_table,MATCH(DATE(Y$5,$J345,$I345),daily_dates,0),MATCH($B$3,daily_items,0)))</f>
        <v>#N/A</v>
      </c>
      <c r="Z345" s="1" t="str">
        <f t="shared" si="5"/>
        <v>#NAME?</v>
      </c>
      <c r="AA345" s="1" t="str">
        <f t="shared" si="6"/>
        <v>#NAME?</v>
      </c>
      <c r="AB345" s="1" t="str">
        <f t="shared" si="7"/>
        <v>#NAME?</v>
      </c>
      <c r="AC345" s="1" t="str">
        <f t="shared" si="8"/>
        <v>#NAME?</v>
      </c>
    </row>
    <row r="346" ht="14.25" customHeight="1">
      <c r="H346" s="1">
        <f t="shared" si="9"/>
        <v>341</v>
      </c>
      <c r="I346" s="1">
        <f t="shared" si="2"/>
        <v>6</v>
      </c>
      <c r="J346" s="1">
        <f t="shared" si="3"/>
        <v>12</v>
      </c>
      <c r="K346" s="23">
        <f t="shared" si="10"/>
        <v>36866</v>
      </c>
      <c r="L346" s="24">
        <f t="shared" si="4"/>
        <v>1000000</v>
      </c>
      <c r="M346" s="1" t="str">
        <f t="array" ref="M346">IF(K346&gt;0,INDEX(big_daily_table,MATCH(DATE(N$5,$J346,$I346),daily_dates,0),MATCH($B$3,daily_items,0)),NA())</f>
        <v>#N/A</v>
      </c>
      <c r="N346" s="1" t="str">
        <f t="array" ref="N346">IF(L346&lt;0,INDEX(big_daily_table,MATCH(DATE(N$5,$J346,$I346),daily_dates,0),MATCH($B$3,daily_items,0)),NA())</f>
        <v>#N/A</v>
      </c>
      <c r="O346" s="1" t="str">
        <f t="array" ref="O346">IF(ISBLANK(INDEX(big_daily_table,MATCH(DATE(O$5,$J346,$I346),daily_dates,0),MATCH($B$3,daily_items,0))),NA(),INDEX(big_daily_table,MATCH(DATE(O$5,$J346,$I346),daily_dates,0),MATCH($B$3,daily_items,0)))</f>
        <v>#N/A</v>
      </c>
      <c r="P346" s="1" t="str">
        <f t="array" ref="P346">IF(ISBLANK(INDEX(big_daily_table,MATCH(DATE(P$5,$J346,$I346),daily_dates,0),MATCH($B$3,daily_items,0))),NA(),INDEX(big_daily_table,MATCH(DATE(P$5,$J346,$I346),daily_dates,0),MATCH($B$3,daily_items,0)))</f>
        <v>#N/A</v>
      </c>
      <c r="Q346" s="1" t="str">
        <f t="array" ref="Q346">IF(ISBLANK(INDEX(big_daily_table,MATCH(DATE(Q$5,$J346,$I346),daily_dates,0),MATCH($B$3,daily_items,0))),NA(),INDEX(big_daily_table,MATCH(DATE(Q$5,$J346,$I346),daily_dates,0),MATCH($B$3,daily_items,0)))</f>
        <v>#N/A</v>
      </c>
      <c r="R346" s="1" t="str">
        <f t="array" ref="R346">IF(ISBLANK(INDEX(big_daily_table,MATCH(DATE(R$5,$J346,$I346),daily_dates,0),MATCH($B$3,daily_items,0))),NA(),INDEX(big_daily_table,MATCH(DATE(R$5,$J346,$I346),daily_dates,0),MATCH($B$3,daily_items,0)))</f>
        <v>#N/A</v>
      </c>
      <c r="S346" s="1" t="str">
        <f t="array" ref="S346">IF(ISBLANK(INDEX(big_daily_table,MATCH(DATE(S$5,$J346,$I346),daily_dates,0),MATCH($B$3,daily_items,0))),NA(),INDEX(big_daily_table,MATCH(DATE(S$5,$J346,$I346),daily_dates,0),MATCH($B$3,daily_items,0)))</f>
        <v>#N/A</v>
      </c>
      <c r="T346" s="1" t="str">
        <f t="array" ref="T346">IF(ISBLANK(INDEX(big_daily_table,MATCH(DATE(T$5,$J346,$I346),daily_dates,0),MATCH($B$3,daily_items,0))),NA(),INDEX(big_daily_table,MATCH(DATE(T$5,$J346,$I346),daily_dates,0),MATCH($B$3,daily_items,0)))</f>
        <v>#N/A</v>
      </c>
      <c r="U346" s="1" t="str">
        <f t="array" ref="U346">IF(ISBLANK(INDEX(big_daily_table,MATCH(DATE(U$5,$J346,$I346),daily_dates,0),MATCH($B$3,daily_items,0))),NA(),INDEX(big_daily_table,MATCH(DATE(U$5,$J346,$I346),daily_dates,0),MATCH($B$3,daily_items,0)))</f>
        <v>#N/A</v>
      </c>
      <c r="V346" s="1" t="str">
        <f t="array" ref="V346">IF(ISBLANK(INDEX(big_daily_table,MATCH(DATE(V$5,$J346,$I346),daily_dates,0),MATCH($B$3,daily_items,0))),NA(),INDEX(big_daily_table,MATCH(DATE(V$5,$J346,$I346),daily_dates,0),MATCH($B$3,daily_items,0)))</f>
        <v>#N/A</v>
      </c>
      <c r="W346" s="1" t="str">
        <f t="array" ref="W346">IF(ISBLANK(INDEX(big_daily_table,MATCH(DATE(W$5,$J346,$I346),daily_dates,0),MATCH($B$3,daily_items,0))),NA(),INDEX(big_daily_table,MATCH(DATE(W$5,$J346,$I346),daily_dates,0),MATCH($B$3,daily_items,0)))</f>
        <v>#N/A</v>
      </c>
      <c r="X346" s="1" t="str">
        <f t="array" ref="X346">IF(ISBLANK(INDEX(big_daily_table,MATCH(DATE(X$5,$J346,$I346),daily_dates,0),MATCH($B$3,daily_items,0))),NA(),INDEX(big_daily_table,MATCH(DATE(X$5,$J346,$I346),daily_dates,0),MATCH($B$3,daily_items,0)))</f>
        <v>#N/A</v>
      </c>
      <c r="Y346" s="1" t="str">
        <f t="array" ref="Y346">IF(ISBLANK(INDEX(big_daily_table,MATCH(DATE(Y$5,$J346,$I346),daily_dates,0),MATCH($B$3,daily_items,0))),NA(),INDEX(big_daily_table,MATCH(DATE(Y$5,$J346,$I346),daily_dates,0),MATCH($B$3,daily_items,0)))</f>
        <v>#N/A</v>
      </c>
      <c r="Z346" s="1" t="str">
        <f t="shared" si="5"/>
        <v>#NAME?</v>
      </c>
      <c r="AA346" s="1" t="str">
        <f t="shared" si="6"/>
        <v>#NAME?</v>
      </c>
      <c r="AB346" s="1" t="str">
        <f t="shared" si="7"/>
        <v>#NAME?</v>
      </c>
      <c r="AC346" s="1" t="str">
        <f t="shared" si="8"/>
        <v>#NAME?</v>
      </c>
    </row>
    <row r="347" ht="14.25" customHeight="1">
      <c r="H347" s="1">
        <f t="shared" si="9"/>
        <v>342</v>
      </c>
      <c r="I347" s="1">
        <f t="shared" si="2"/>
        <v>7</v>
      </c>
      <c r="J347" s="1">
        <f t="shared" si="3"/>
        <v>12</v>
      </c>
      <c r="K347" s="23">
        <f t="shared" si="10"/>
        <v>36867</v>
      </c>
      <c r="L347" s="24">
        <f t="shared" si="4"/>
        <v>1000000</v>
      </c>
      <c r="M347" s="1" t="str">
        <f t="array" ref="M347">IF(K347&gt;0,INDEX(big_daily_table,MATCH(DATE(N$5,$J347,$I347),daily_dates,0),MATCH($B$3,daily_items,0)),NA())</f>
        <v>#N/A</v>
      </c>
      <c r="N347" s="1" t="str">
        <f t="array" ref="N347">IF(L347&lt;0,INDEX(big_daily_table,MATCH(DATE(N$5,$J347,$I347),daily_dates,0),MATCH($B$3,daily_items,0)),NA())</f>
        <v>#N/A</v>
      </c>
      <c r="O347" s="1" t="str">
        <f t="array" ref="O347">IF(ISBLANK(INDEX(big_daily_table,MATCH(DATE(O$5,$J347,$I347),daily_dates,0),MATCH($B$3,daily_items,0))),NA(),INDEX(big_daily_table,MATCH(DATE(O$5,$J347,$I347),daily_dates,0),MATCH($B$3,daily_items,0)))</f>
        <v>#N/A</v>
      </c>
      <c r="P347" s="1" t="str">
        <f t="array" ref="P347">IF(ISBLANK(INDEX(big_daily_table,MATCH(DATE(P$5,$J347,$I347),daily_dates,0),MATCH($B$3,daily_items,0))),NA(),INDEX(big_daily_table,MATCH(DATE(P$5,$J347,$I347),daily_dates,0),MATCH($B$3,daily_items,0)))</f>
        <v>#N/A</v>
      </c>
      <c r="Q347" s="1" t="str">
        <f t="array" ref="Q347">IF(ISBLANK(INDEX(big_daily_table,MATCH(DATE(Q$5,$J347,$I347),daily_dates,0),MATCH($B$3,daily_items,0))),NA(),INDEX(big_daily_table,MATCH(DATE(Q$5,$J347,$I347),daily_dates,0),MATCH($B$3,daily_items,0)))</f>
        <v>#N/A</v>
      </c>
      <c r="R347" s="1" t="str">
        <f t="array" ref="R347">IF(ISBLANK(INDEX(big_daily_table,MATCH(DATE(R$5,$J347,$I347),daily_dates,0),MATCH($B$3,daily_items,0))),NA(),INDEX(big_daily_table,MATCH(DATE(R$5,$J347,$I347),daily_dates,0),MATCH($B$3,daily_items,0)))</f>
        <v>#N/A</v>
      </c>
      <c r="S347" s="1" t="str">
        <f t="array" ref="S347">IF(ISBLANK(INDEX(big_daily_table,MATCH(DATE(S$5,$J347,$I347),daily_dates,0),MATCH($B$3,daily_items,0))),NA(),INDEX(big_daily_table,MATCH(DATE(S$5,$J347,$I347),daily_dates,0),MATCH($B$3,daily_items,0)))</f>
        <v>#N/A</v>
      </c>
      <c r="T347" s="1" t="str">
        <f t="array" ref="T347">IF(ISBLANK(INDEX(big_daily_table,MATCH(DATE(T$5,$J347,$I347),daily_dates,0),MATCH($B$3,daily_items,0))),NA(),INDEX(big_daily_table,MATCH(DATE(T$5,$J347,$I347),daily_dates,0),MATCH($B$3,daily_items,0)))</f>
        <v>#N/A</v>
      </c>
      <c r="U347" s="1" t="str">
        <f t="array" ref="U347">IF(ISBLANK(INDEX(big_daily_table,MATCH(DATE(U$5,$J347,$I347),daily_dates,0),MATCH($B$3,daily_items,0))),NA(),INDEX(big_daily_table,MATCH(DATE(U$5,$J347,$I347),daily_dates,0),MATCH($B$3,daily_items,0)))</f>
        <v>#N/A</v>
      </c>
      <c r="V347" s="1" t="str">
        <f t="array" ref="V347">IF(ISBLANK(INDEX(big_daily_table,MATCH(DATE(V$5,$J347,$I347),daily_dates,0),MATCH($B$3,daily_items,0))),NA(),INDEX(big_daily_table,MATCH(DATE(V$5,$J347,$I347),daily_dates,0),MATCH($B$3,daily_items,0)))</f>
        <v>#N/A</v>
      </c>
      <c r="W347" s="1" t="str">
        <f t="array" ref="W347">IF(ISBLANK(INDEX(big_daily_table,MATCH(DATE(W$5,$J347,$I347),daily_dates,0),MATCH($B$3,daily_items,0))),NA(),INDEX(big_daily_table,MATCH(DATE(W$5,$J347,$I347),daily_dates,0),MATCH($B$3,daily_items,0)))</f>
        <v>#N/A</v>
      </c>
      <c r="X347" s="1" t="str">
        <f t="array" ref="X347">IF(ISBLANK(INDEX(big_daily_table,MATCH(DATE(X$5,$J347,$I347),daily_dates,0),MATCH($B$3,daily_items,0))),NA(),INDEX(big_daily_table,MATCH(DATE(X$5,$J347,$I347),daily_dates,0),MATCH($B$3,daily_items,0)))</f>
        <v>#N/A</v>
      </c>
      <c r="Y347" s="1" t="str">
        <f t="array" ref="Y347">IF(ISBLANK(INDEX(big_daily_table,MATCH(DATE(Y$5,$J347,$I347),daily_dates,0),MATCH($B$3,daily_items,0))),NA(),INDEX(big_daily_table,MATCH(DATE(Y$5,$J347,$I347),daily_dates,0),MATCH($B$3,daily_items,0)))</f>
        <v>#N/A</v>
      </c>
      <c r="Z347" s="1" t="str">
        <f t="shared" si="5"/>
        <v>#NAME?</v>
      </c>
      <c r="AA347" s="1" t="str">
        <f t="shared" si="6"/>
        <v>#NAME?</v>
      </c>
      <c r="AB347" s="1" t="str">
        <f t="shared" si="7"/>
        <v>#NAME?</v>
      </c>
      <c r="AC347" s="1" t="str">
        <f t="shared" si="8"/>
        <v>#NAME?</v>
      </c>
    </row>
    <row r="348" ht="14.25" customHeight="1">
      <c r="H348" s="1">
        <f t="shared" si="9"/>
        <v>343</v>
      </c>
      <c r="I348" s="1">
        <f t="shared" si="2"/>
        <v>8</v>
      </c>
      <c r="J348" s="1">
        <f t="shared" si="3"/>
        <v>12</v>
      </c>
      <c r="K348" s="23">
        <f t="shared" si="10"/>
        <v>36868</v>
      </c>
      <c r="L348" s="24">
        <f t="shared" si="4"/>
        <v>1000000</v>
      </c>
      <c r="M348" s="1" t="str">
        <f t="array" ref="M348">IF(K348&gt;0,INDEX(big_daily_table,MATCH(DATE(N$5,$J348,$I348),daily_dates,0),MATCH($B$3,daily_items,0)),NA())</f>
        <v>#N/A</v>
      </c>
      <c r="N348" s="1" t="str">
        <f t="array" ref="N348">IF(L348&lt;0,INDEX(big_daily_table,MATCH(DATE(N$5,$J348,$I348),daily_dates,0),MATCH($B$3,daily_items,0)),NA())</f>
        <v>#N/A</v>
      </c>
      <c r="O348" s="1" t="str">
        <f t="array" ref="O348">IF(ISBLANK(INDEX(big_daily_table,MATCH(DATE(O$5,$J348,$I348),daily_dates,0),MATCH($B$3,daily_items,0))),NA(),INDEX(big_daily_table,MATCH(DATE(O$5,$J348,$I348),daily_dates,0),MATCH($B$3,daily_items,0)))</f>
        <v>#N/A</v>
      </c>
      <c r="P348" s="1" t="str">
        <f t="array" ref="P348">IF(ISBLANK(INDEX(big_daily_table,MATCH(DATE(P$5,$J348,$I348),daily_dates,0),MATCH($B$3,daily_items,0))),NA(),INDEX(big_daily_table,MATCH(DATE(P$5,$J348,$I348),daily_dates,0),MATCH($B$3,daily_items,0)))</f>
        <v>#N/A</v>
      </c>
      <c r="Q348" s="1" t="str">
        <f t="array" ref="Q348">IF(ISBLANK(INDEX(big_daily_table,MATCH(DATE(Q$5,$J348,$I348),daily_dates,0),MATCH($B$3,daily_items,0))),NA(),INDEX(big_daily_table,MATCH(DATE(Q$5,$J348,$I348),daily_dates,0),MATCH($B$3,daily_items,0)))</f>
        <v>#N/A</v>
      </c>
      <c r="R348" s="1" t="str">
        <f t="array" ref="R348">IF(ISBLANK(INDEX(big_daily_table,MATCH(DATE(R$5,$J348,$I348),daily_dates,0),MATCH($B$3,daily_items,0))),NA(),INDEX(big_daily_table,MATCH(DATE(R$5,$J348,$I348),daily_dates,0),MATCH($B$3,daily_items,0)))</f>
        <v>#N/A</v>
      </c>
      <c r="S348" s="1" t="str">
        <f t="array" ref="S348">IF(ISBLANK(INDEX(big_daily_table,MATCH(DATE(S$5,$J348,$I348),daily_dates,0),MATCH($B$3,daily_items,0))),NA(),INDEX(big_daily_table,MATCH(DATE(S$5,$J348,$I348),daily_dates,0),MATCH($B$3,daily_items,0)))</f>
        <v>#N/A</v>
      </c>
      <c r="T348" s="1" t="str">
        <f t="array" ref="T348">IF(ISBLANK(INDEX(big_daily_table,MATCH(DATE(T$5,$J348,$I348),daily_dates,0),MATCH($B$3,daily_items,0))),NA(),INDEX(big_daily_table,MATCH(DATE(T$5,$J348,$I348),daily_dates,0),MATCH($B$3,daily_items,0)))</f>
        <v>#N/A</v>
      </c>
      <c r="U348" s="1" t="str">
        <f t="array" ref="U348">IF(ISBLANK(INDEX(big_daily_table,MATCH(DATE(U$5,$J348,$I348),daily_dates,0),MATCH($B$3,daily_items,0))),NA(),INDEX(big_daily_table,MATCH(DATE(U$5,$J348,$I348),daily_dates,0),MATCH($B$3,daily_items,0)))</f>
        <v>#N/A</v>
      </c>
      <c r="V348" s="1" t="str">
        <f t="array" ref="V348">IF(ISBLANK(INDEX(big_daily_table,MATCH(DATE(V$5,$J348,$I348),daily_dates,0),MATCH($B$3,daily_items,0))),NA(),INDEX(big_daily_table,MATCH(DATE(V$5,$J348,$I348),daily_dates,0),MATCH($B$3,daily_items,0)))</f>
        <v>#N/A</v>
      </c>
      <c r="W348" s="1" t="str">
        <f t="array" ref="W348">IF(ISBLANK(INDEX(big_daily_table,MATCH(DATE(W$5,$J348,$I348),daily_dates,0),MATCH($B$3,daily_items,0))),NA(),INDEX(big_daily_table,MATCH(DATE(W$5,$J348,$I348),daily_dates,0),MATCH($B$3,daily_items,0)))</f>
        <v>#N/A</v>
      </c>
      <c r="X348" s="1" t="str">
        <f t="array" ref="X348">IF(ISBLANK(INDEX(big_daily_table,MATCH(DATE(X$5,$J348,$I348),daily_dates,0),MATCH($B$3,daily_items,0))),NA(),INDEX(big_daily_table,MATCH(DATE(X$5,$J348,$I348),daily_dates,0),MATCH($B$3,daily_items,0)))</f>
        <v>#N/A</v>
      </c>
      <c r="Y348" s="1" t="str">
        <f t="array" ref="Y348">IF(ISBLANK(INDEX(big_daily_table,MATCH(DATE(Y$5,$J348,$I348),daily_dates,0),MATCH($B$3,daily_items,0))),NA(),INDEX(big_daily_table,MATCH(DATE(Y$5,$J348,$I348),daily_dates,0),MATCH($B$3,daily_items,0)))</f>
        <v>#N/A</v>
      </c>
      <c r="Z348" s="1" t="str">
        <f t="shared" si="5"/>
        <v>#NAME?</v>
      </c>
      <c r="AA348" s="1" t="str">
        <f t="shared" si="6"/>
        <v>#NAME?</v>
      </c>
      <c r="AB348" s="1" t="str">
        <f t="shared" si="7"/>
        <v>#NAME?</v>
      </c>
      <c r="AC348" s="1" t="str">
        <f t="shared" si="8"/>
        <v>#NAME?</v>
      </c>
    </row>
    <row r="349" ht="14.25" customHeight="1">
      <c r="H349" s="1">
        <f t="shared" si="9"/>
        <v>344</v>
      </c>
      <c r="I349" s="1">
        <f t="shared" si="2"/>
        <v>9</v>
      </c>
      <c r="J349" s="1">
        <f t="shared" si="3"/>
        <v>12</v>
      </c>
      <c r="K349" s="23">
        <f t="shared" si="10"/>
        <v>36869</v>
      </c>
      <c r="L349" s="24">
        <f t="shared" si="4"/>
        <v>1000000</v>
      </c>
      <c r="M349" s="1" t="str">
        <f t="array" ref="M349">IF(K349&gt;0,INDEX(big_daily_table,MATCH(DATE(N$5,$J349,$I349),daily_dates,0),MATCH($B$3,daily_items,0)),NA())</f>
        <v>#N/A</v>
      </c>
      <c r="N349" s="1" t="str">
        <f t="array" ref="N349">IF(L349&lt;0,INDEX(big_daily_table,MATCH(DATE(N$5,$J349,$I349),daily_dates,0),MATCH($B$3,daily_items,0)),NA())</f>
        <v>#N/A</v>
      </c>
      <c r="O349" s="1" t="str">
        <f t="array" ref="O349">IF(ISBLANK(INDEX(big_daily_table,MATCH(DATE(O$5,$J349,$I349),daily_dates,0),MATCH($B$3,daily_items,0))),NA(),INDEX(big_daily_table,MATCH(DATE(O$5,$J349,$I349),daily_dates,0),MATCH($B$3,daily_items,0)))</f>
        <v>#N/A</v>
      </c>
      <c r="P349" s="1" t="str">
        <f t="array" ref="P349">IF(ISBLANK(INDEX(big_daily_table,MATCH(DATE(P$5,$J349,$I349),daily_dates,0),MATCH($B$3,daily_items,0))),NA(),INDEX(big_daily_table,MATCH(DATE(P$5,$J349,$I349),daily_dates,0),MATCH($B$3,daily_items,0)))</f>
        <v>#N/A</v>
      </c>
      <c r="Q349" s="1" t="str">
        <f t="array" ref="Q349">IF(ISBLANK(INDEX(big_daily_table,MATCH(DATE(Q$5,$J349,$I349),daily_dates,0),MATCH($B$3,daily_items,0))),NA(),INDEX(big_daily_table,MATCH(DATE(Q$5,$J349,$I349),daily_dates,0),MATCH($B$3,daily_items,0)))</f>
        <v>#N/A</v>
      </c>
      <c r="R349" s="1" t="str">
        <f t="array" ref="R349">IF(ISBLANK(INDEX(big_daily_table,MATCH(DATE(R$5,$J349,$I349),daily_dates,0),MATCH($B$3,daily_items,0))),NA(),INDEX(big_daily_table,MATCH(DATE(R$5,$J349,$I349),daily_dates,0),MATCH($B$3,daily_items,0)))</f>
        <v>#N/A</v>
      </c>
      <c r="S349" s="1" t="str">
        <f t="array" ref="S349">IF(ISBLANK(INDEX(big_daily_table,MATCH(DATE(S$5,$J349,$I349),daily_dates,0),MATCH($B$3,daily_items,0))),NA(),INDEX(big_daily_table,MATCH(DATE(S$5,$J349,$I349),daily_dates,0),MATCH($B$3,daily_items,0)))</f>
        <v>#N/A</v>
      </c>
      <c r="T349" s="1" t="str">
        <f t="array" ref="T349">IF(ISBLANK(INDEX(big_daily_table,MATCH(DATE(T$5,$J349,$I349),daily_dates,0),MATCH($B$3,daily_items,0))),NA(),INDEX(big_daily_table,MATCH(DATE(T$5,$J349,$I349),daily_dates,0),MATCH($B$3,daily_items,0)))</f>
        <v>#N/A</v>
      </c>
      <c r="U349" s="1" t="str">
        <f t="array" ref="U349">IF(ISBLANK(INDEX(big_daily_table,MATCH(DATE(U$5,$J349,$I349),daily_dates,0),MATCH($B$3,daily_items,0))),NA(),INDEX(big_daily_table,MATCH(DATE(U$5,$J349,$I349),daily_dates,0),MATCH($B$3,daily_items,0)))</f>
        <v>#N/A</v>
      </c>
      <c r="V349" s="1" t="str">
        <f t="array" ref="V349">IF(ISBLANK(INDEX(big_daily_table,MATCH(DATE(V$5,$J349,$I349),daily_dates,0),MATCH($B$3,daily_items,0))),NA(),INDEX(big_daily_table,MATCH(DATE(V$5,$J349,$I349),daily_dates,0),MATCH($B$3,daily_items,0)))</f>
        <v>#N/A</v>
      </c>
      <c r="W349" s="1" t="str">
        <f t="array" ref="W349">IF(ISBLANK(INDEX(big_daily_table,MATCH(DATE(W$5,$J349,$I349),daily_dates,0),MATCH($B$3,daily_items,0))),NA(),INDEX(big_daily_table,MATCH(DATE(W$5,$J349,$I349),daily_dates,0),MATCH($B$3,daily_items,0)))</f>
        <v>#N/A</v>
      </c>
      <c r="X349" s="1" t="str">
        <f t="array" ref="X349">IF(ISBLANK(INDEX(big_daily_table,MATCH(DATE(X$5,$J349,$I349),daily_dates,0),MATCH($B$3,daily_items,0))),NA(),INDEX(big_daily_table,MATCH(DATE(X$5,$J349,$I349),daily_dates,0),MATCH($B$3,daily_items,0)))</f>
        <v>#N/A</v>
      </c>
      <c r="Y349" s="1" t="str">
        <f t="array" ref="Y349">IF(ISBLANK(INDEX(big_daily_table,MATCH(DATE(Y$5,$J349,$I349),daily_dates,0),MATCH($B$3,daily_items,0))),NA(),INDEX(big_daily_table,MATCH(DATE(Y$5,$J349,$I349),daily_dates,0),MATCH($B$3,daily_items,0)))</f>
        <v>#N/A</v>
      </c>
      <c r="Z349" s="1" t="str">
        <f t="shared" si="5"/>
        <v>#NAME?</v>
      </c>
      <c r="AA349" s="1" t="str">
        <f t="shared" si="6"/>
        <v>#NAME?</v>
      </c>
      <c r="AB349" s="1" t="str">
        <f t="shared" si="7"/>
        <v>#NAME?</v>
      </c>
      <c r="AC349" s="1" t="str">
        <f t="shared" si="8"/>
        <v>#NAME?</v>
      </c>
    </row>
    <row r="350" ht="14.25" customHeight="1">
      <c r="H350" s="1">
        <f t="shared" si="9"/>
        <v>345</v>
      </c>
      <c r="I350" s="1">
        <f t="shared" si="2"/>
        <v>10</v>
      </c>
      <c r="J350" s="1">
        <f t="shared" si="3"/>
        <v>12</v>
      </c>
      <c r="K350" s="23">
        <f t="shared" si="10"/>
        <v>36870</v>
      </c>
      <c r="L350" s="24">
        <f t="shared" si="4"/>
        <v>1000000</v>
      </c>
      <c r="M350" s="1" t="str">
        <f t="array" ref="M350">IF(K350&gt;0,INDEX(big_daily_table,MATCH(DATE(N$5,$J350,$I350),daily_dates,0),MATCH($B$3,daily_items,0)),NA())</f>
        <v>#N/A</v>
      </c>
      <c r="N350" s="1" t="str">
        <f t="array" ref="N350">IF(L350&lt;0,INDEX(big_daily_table,MATCH(DATE(N$5,$J350,$I350),daily_dates,0),MATCH($B$3,daily_items,0)),NA())</f>
        <v>#N/A</v>
      </c>
      <c r="O350" s="1" t="str">
        <f t="array" ref="O350">IF(ISBLANK(INDEX(big_daily_table,MATCH(DATE(O$5,$J350,$I350),daily_dates,0),MATCH($B$3,daily_items,0))),NA(),INDEX(big_daily_table,MATCH(DATE(O$5,$J350,$I350),daily_dates,0),MATCH($B$3,daily_items,0)))</f>
        <v>#N/A</v>
      </c>
      <c r="P350" s="1" t="str">
        <f t="array" ref="P350">IF(ISBLANK(INDEX(big_daily_table,MATCH(DATE(P$5,$J350,$I350),daily_dates,0),MATCH($B$3,daily_items,0))),NA(),INDEX(big_daily_table,MATCH(DATE(P$5,$J350,$I350),daily_dates,0),MATCH($B$3,daily_items,0)))</f>
        <v>#N/A</v>
      </c>
      <c r="Q350" s="1" t="str">
        <f t="array" ref="Q350">IF(ISBLANK(INDEX(big_daily_table,MATCH(DATE(Q$5,$J350,$I350),daily_dates,0),MATCH($B$3,daily_items,0))),NA(),INDEX(big_daily_table,MATCH(DATE(Q$5,$J350,$I350),daily_dates,0),MATCH($B$3,daily_items,0)))</f>
        <v>#N/A</v>
      </c>
      <c r="R350" s="1" t="str">
        <f t="array" ref="R350">IF(ISBLANK(INDEX(big_daily_table,MATCH(DATE(R$5,$J350,$I350),daily_dates,0),MATCH($B$3,daily_items,0))),NA(),INDEX(big_daily_table,MATCH(DATE(R$5,$J350,$I350),daily_dates,0),MATCH($B$3,daily_items,0)))</f>
        <v>#N/A</v>
      </c>
      <c r="S350" s="1" t="str">
        <f t="array" ref="S350">IF(ISBLANK(INDEX(big_daily_table,MATCH(DATE(S$5,$J350,$I350),daily_dates,0),MATCH($B$3,daily_items,0))),NA(),INDEX(big_daily_table,MATCH(DATE(S$5,$J350,$I350),daily_dates,0),MATCH($B$3,daily_items,0)))</f>
        <v>#N/A</v>
      </c>
      <c r="T350" s="1" t="str">
        <f t="array" ref="T350">IF(ISBLANK(INDEX(big_daily_table,MATCH(DATE(T$5,$J350,$I350),daily_dates,0),MATCH($B$3,daily_items,0))),NA(),INDEX(big_daily_table,MATCH(DATE(T$5,$J350,$I350),daily_dates,0),MATCH($B$3,daily_items,0)))</f>
        <v>#N/A</v>
      </c>
      <c r="U350" s="1" t="str">
        <f t="array" ref="U350">IF(ISBLANK(INDEX(big_daily_table,MATCH(DATE(U$5,$J350,$I350),daily_dates,0),MATCH($B$3,daily_items,0))),NA(),INDEX(big_daily_table,MATCH(DATE(U$5,$J350,$I350),daily_dates,0),MATCH($B$3,daily_items,0)))</f>
        <v>#N/A</v>
      </c>
      <c r="V350" s="1" t="str">
        <f t="array" ref="V350">IF(ISBLANK(INDEX(big_daily_table,MATCH(DATE(V$5,$J350,$I350),daily_dates,0),MATCH($B$3,daily_items,0))),NA(),INDEX(big_daily_table,MATCH(DATE(V$5,$J350,$I350),daily_dates,0),MATCH($B$3,daily_items,0)))</f>
        <v>#N/A</v>
      </c>
      <c r="W350" s="1" t="str">
        <f t="array" ref="W350">IF(ISBLANK(INDEX(big_daily_table,MATCH(DATE(W$5,$J350,$I350),daily_dates,0),MATCH($B$3,daily_items,0))),NA(),INDEX(big_daily_table,MATCH(DATE(W$5,$J350,$I350),daily_dates,0),MATCH($B$3,daily_items,0)))</f>
        <v>#N/A</v>
      </c>
      <c r="X350" s="1" t="str">
        <f t="array" ref="X350">IF(ISBLANK(INDEX(big_daily_table,MATCH(DATE(X$5,$J350,$I350),daily_dates,0),MATCH($B$3,daily_items,0))),NA(),INDEX(big_daily_table,MATCH(DATE(X$5,$J350,$I350),daily_dates,0),MATCH($B$3,daily_items,0)))</f>
        <v>#N/A</v>
      </c>
      <c r="Y350" s="1" t="str">
        <f t="array" ref="Y350">IF(ISBLANK(INDEX(big_daily_table,MATCH(DATE(Y$5,$J350,$I350),daily_dates,0),MATCH($B$3,daily_items,0))),NA(),INDEX(big_daily_table,MATCH(DATE(Y$5,$J350,$I350),daily_dates,0),MATCH($B$3,daily_items,0)))</f>
        <v>#N/A</v>
      </c>
      <c r="Z350" s="1" t="str">
        <f t="shared" si="5"/>
        <v>#NAME?</v>
      </c>
      <c r="AA350" s="1" t="str">
        <f t="shared" si="6"/>
        <v>#NAME?</v>
      </c>
      <c r="AB350" s="1" t="str">
        <f t="shared" si="7"/>
        <v>#NAME?</v>
      </c>
      <c r="AC350" s="1" t="str">
        <f t="shared" si="8"/>
        <v>#NAME?</v>
      </c>
    </row>
    <row r="351" ht="14.25" customHeight="1">
      <c r="H351" s="1">
        <f t="shared" si="9"/>
        <v>346</v>
      </c>
      <c r="I351" s="1">
        <f t="shared" si="2"/>
        <v>11</v>
      </c>
      <c r="J351" s="1">
        <f t="shared" si="3"/>
        <v>12</v>
      </c>
      <c r="K351" s="23">
        <f t="shared" si="10"/>
        <v>36871</v>
      </c>
      <c r="L351" s="24">
        <f t="shared" si="4"/>
        <v>1000000</v>
      </c>
      <c r="M351" s="1" t="str">
        <f t="array" ref="M351">IF(K351&gt;0,INDEX(big_daily_table,MATCH(DATE(N$5,$J351,$I351),daily_dates,0),MATCH($B$3,daily_items,0)),NA())</f>
        <v>#N/A</v>
      </c>
      <c r="N351" s="1" t="str">
        <f t="array" ref="N351">IF(L351&lt;0,INDEX(big_daily_table,MATCH(DATE(N$5,$J351,$I351),daily_dates,0),MATCH($B$3,daily_items,0)),NA())</f>
        <v>#N/A</v>
      </c>
      <c r="O351" s="1" t="str">
        <f t="array" ref="O351">IF(ISBLANK(INDEX(big_daily_table,MATCH(DATE(O$5,$J351,$I351),daily_dates,0),MATCH($B$3,daily_items,0))),NA(),INDEX(big_daily_table,MATCH(DATE(O$5,$J351,$I351),daily_dates,0),MATCH($B$3,daily_items,0)))</f>
        <v>#N/A</v>
      </c>
      <c r="P351" s="1" t="str">
        <f t="array" ref="P351">IF(ISBLANK(INDEX(big_daily_table,MATCH(DATE(P$5,$J351,$I351),daily_dates,0),MATCH($B$3,daily_items,0))),NA(),INDEX(big_daily_table,MATCH(DATE(P$5,$J351,$I351),daily_dates,0),MATCH($B$3,daily_items,0)))</f>
        <v>#N/A</v>
      </c>
      <c r="Q351" s="1" t="str">
        <f t="array" ref="Q351">IF(ISBLANK(INDEX(big_daily_table,MATCH(DATE(Q$5,$J351,$I351),daily_dates,0),MATCH($B$3,daily_items,0))),NA(),INDEX(big_daily_table,MATCH(DATE(Q$5,$J351,$I351),daily_dates,0),MATCH($B$3,daily_items,0)))</f>
        <v>#N/A</v>
      </c>
      <c r="R351" s="1" t="str">
        <f t="array" ref="R351">IF(ISBLANK(INDEX(big_daily_table,MATCH(DATE(R$5,$J351,$I351),daily_dates,0),MATCH($B$3,daily_items,0))),NA(),INDEX(big_daily_table,MATCH(DATE(R$5,$J351,$I351),daily_dates,0),MATCH($B$3,daily_items,0)))</f>
        <v>#N/A</v>
      </c>
      <c r="S351" s="1" t="str">
        <f t="array" ref="S351">IF(ISBLANK(INDEX(big_daily_table,MATCH(DATE(S$5,$J351,$I351),daily_dates,0),MATCH($B$3,daily_items,0))),NA(),INDEX(big_daily_table,MATCH(DATE(S$5,$J351,$I351),daily_dates,0),MATCH($B$3,daily_items,0)))</f>
        <v>#N/A</v>
      </c>
      <c r="T351" s="1" t="str">
        <f t="array" ref="T351">IF(ISBLANK(INDEX(big_daily_table,MATCH(DATE(T$5,$J351,$I351),daily_dates,0),MATCH($B$3,daily_items,0))),NA(),INDEX(big_daily_table,MATCH(DATE(T$5,$J351,$I351),daily_dates,0),MATCH($B$3,daily_items,0)))</f>
        <v>#N/A</v>
      </c>
      <c r="U351" s="1" t="str">
        <f t="array" ref="U351">IF(ISBLANK(INDEX(big_daily_table,MATCH(DATE(U$5,$J351,$I351),daily_dates,0),MATCH($B$3,daily_items,0))),NA(),INDEX(big_daily_table,MATCH(DATE(U$5,$J351,$I351),daily_dates,0),MATCH($B$3,daily_items,0)))</f>
        <v>#N/A</v>
      </c>
      <c r="V351" s="1" t="str">
        <f t="array" ref="V351">IF(ISBLANK(INDEX(big_daily_table,MATCH(DATE(V$5,$J351,$I351),daily_dates,0),MATCH($B$3,daily_items,0))),NA(),INDEX(big_daily_table,MATCH(DATE(V$5,$J351,$I351),daily_dates,0),MATCH($B$3,daily_items,0)))</f>
        <v>#N/A</v>
      </c>
      <c r="W351" s="1" t="str">
        <f t="array" ref="W351">IF(ISBLANK(INDEX(big_daily_table,MATCH(DATE(W$5,$J351,$I351),daily_dates,0),MATCH($B$3,daily_items,0))),NA(),INDEX(big_daily_table,MATCH(DATE(W$5,$J351,$I351),daily_dates,0),MATCH($B$3,daily_items,0)))</f>
        <v>#N/A</v>
      </c>
      <c r="X351" s="1" t="str">
        <f t="array" ref="X351">IF(ISBLANK(INDEX(big_daily_table,MATCH(DATE(X$5,$J351,$I351),daily_dates,0),MATCH($B$3,daily_items,0))),NA(),INDEX(big_daily_table,MATCH(DATE(X$5,$J351,$I351),daily_dates,0),MATCH($B$3,daily_items,0)))</f>
        <v>#N/A</v>
      </c>
      <c r="Y351" s="1" t="str">
        <f t="array" ref="Y351">IF(ISBLANK(INDEX(big_daily_table,MATCH(DATE(Y$5,$J351,$I351),daily_dates,0),MATCH($B$3,daily_items,0))),NA(),INDEX(big_daily_table,MATCH(DATE(Y$5,$J351,$I351),daily_dates,0),MATCH($B$3,daily_items,0)))</f>
        <v>#N/A</v>
      </c>
      <c r="Z351" s="1" t="str">
        <f t="shared" si="5"/>
        <v>#NAME?</v>
      </c>
      <c r="AA351" s="1" t="str">
        <f t="shared" si="6"/>
        <v>#NAME?</v>
      </c>
      <c r="AB351" s="1" t="str">
        <f t="shared" si="7"/>
        <v>#NAME?</v>
      </c>
      <c r="AC351" s="1" t="str">
        <f t="shared" si="8"/>
        <v>#NAME?</v>
      </c>
    </row>
    <row r="352" ht="14.25" customHeight="1">
      <c r="H352" s="1">
        <f t="shared" si="9"/>
        <v>347</v>
      </c>
      <c r="I352" s="1">
        <f t="shared" si="2"/>
        <v>12</v>
      </c>
      <c r="J352" s="1">
        <f t="shared" si="3"/>
        <v>12</v>
      </c>
      <c r="K352" s="23">
        <f t="shared" si="10"/>
        <v>36872</v>
      </c>
      <c r="L352" s="24">
        <f t="shared" si="4"/>
        <v>1000000</v>
      </c>
      <c r="M352" s="1" t="str">
        <f t="array" ref="M352">IF(K352&gt;0,INDEX(big_daily_table,MATCH(DATE(N$5,$J352,$I352),daily_dates,0),MATCH($B$3,daily_items,0)),NA())</f>
        <v>#N/A</v>
      </c>
      <c r="N352" s="1" t="str">
        <f t="array" ref="N352">IF(L352&lt;0,INDEX(big_daily_table,MATCH(DATE(N$5,$J352,$I352),daily_dates,0),MATCH($B$3,daily_items,0)),NA())</f>
        <v>#N/A</v>
      </c>
      <c r="O352" s="1" t="str">
        <f t="array" ref="O352">IF(ISBLANK(INDEX(big_daily_table,MATCH(DATE(O$5,$J352,$I352),daily_dates,0),MATCH($B$3,daily_items,0))),NA(),INDEX(big_daily_table,MATCH(DATE(O$5,$J352,$I352),daily_dates,0),MATCH($B$3,daily_items,0)))</f>
        <v>#N/A</v>
      </c>
      <c r="P352" s="1" t="str">
        <f t="array" ref="P352">IF(ISBLANK(INDEX(big_daily_table,MATCH(DATE(P$5,$J352,$I352),daily_dates,0),MATCH($B$3,daily_items,0))),NA(),INDEX(big_daily_table,MATCH(DATE(P$5,$J352,$I352),daily_dates,0),MATCH($B$3,daily_items,0)))</f>
        <v>#N/A</v>
      </c>
      <c r="Q352" s="1" t="str">
        <f t="array" ref="Q352">IF(ISBLANK(INDEX(big_daily_table,MATCH(DATE(Q$5,$J352,$I352),daily_dates,0),MATCH($B$3,daily_items,0))),NA(),INDEX(big_daily_table,MATCH(DATE(Q$5,$J352,$I352),daily_dates,0),MATCH($B$3,daily_items,0)))</f>
        <v>#N/A</v>
      </c>
      <c r="R352" s="1" t="str">
        <f t="array" ref="R352">IF(ISBLANK(INDEX(big_daily_table,MATCH(DATE(R$5,$J352,$I352),daily_dates,0),MATCH($B$3,daily_items,0))),NA(),INDEX(big_daily_table,MATCH(DATE(R$5,$J352,$I352),daily_dates,0),MATCH($B$3,daily_items,0)))</f>
        <v>#N/A</v>
      </c>
      <c r="S352" s="1" t="str">
        <f t="array" ref="S352">IF(ISBLANK(INDEX(big_daily_table,MATCH(DATE(S$5,$J352,$I352),daily_dates,0),MATCH($B$3,daily_items,0))),NA(),INDEX(big_daily_table,MATCH(DATE(S$5,$J352,$I352),daily_dates,0),MATCH($B$3,daily_items,0)))</f>
        <v>#N/A</v>
      </c>
      <c r="T352" s="1" t="str">
        <f t="array" ref="T352">IF(ISBLANK(INDEX(big_daily_table,MATCH(DATE(T$5,$J352,$I352),daily_dates,0),MATCH($B$3,daily_items,0))),NA(),INDEX(big_daily_table,MATCH(DATE(T$5,$J352,$I352),daily_dates,0),MATCH($B$3,daily_items,0)))</f>
        <v>#N/A</v>
      </c>
      <c r="U352" s="1" t="str">
        <f t="array" ref="U352">IF(ISBLANK(INDEX(big_daily_table,MATCH(DATE(U$5,$J352,$I352),daily_dates,0),MATCH($B$3,daily_items,0))),NA(),INDEX(big_daily_table,MATCH(DATE(U$5,$J352,$I352),daily_dates,0),MATCH($B$3,daily_items,0)))</f>
        <v>#N/A</v>
      </c>
      <c r="V352" s="1" t="str">
        <f t="array" ref="V352">IF(ISBLANK(INDEX(big_daily_table,MATCH(DATE(V$5,$J352,$I352),daily_dates,0),MATCH($B$3,daily_items,0))),NA(),INDEX(big_daily_table,MATCH(DATE(V$5,$J352,$I352),daily_dates,0),MATCH($B$3,daily_items,0)))</f>
        <v>#N/A</v>
      </c>
      <c r="W352" s="1" t="str">
        <f t="array" ref="W352">IF(ISBLANK(INDEX(big_daily_table,MATCH(DATE(W$5,$J352,$I352),daily_dates,0),MATCH($B$3,daily_items,0))),NA(),INDEX(big_daily_table,MATCH(DATE(W$5,$J352,$I352),daily_dates,0),MATCH($B$3,daily_items,0)))</f>
        <v>#N/A</v>
      </c>
      <c r="X352" s="1" t="str">
        <f t="array" ref="X352">IF(ISBLANK(INDEX(big_daily_table,MATCH(DATE(X$5,$J352,$I352),daily_dates,0),MATCH($B$3,daily_items,0))),NA(),INDEX(big_daily_table,MATCH(DATE(X$5,$J352,$I352),daily_dates,0),MATCH($B$3,daily_items,0)))</f>
        <v>#N/A</v>
      </c>
      <c r="Y352" s="1" t="str">
        <f t="array" ref="Y352">IF(ISBLANK(INDEX(big_daily_table,MATCH(DATE(Y$5,$J352,$I352),daily_dates,0),MATCH($B$3,daily_items,0))),NA(),INDEX(big_daily_table,MATCH(DATE(Y$5,$J352,$I352),daily_dates,0),MATCH($B$3,daily_items,0)))</f>
        <v>#N/A</v>
      </c>
      <c r="Z352" s="1" t="str">
        <f t="shared" si="5"/>
        <v>#NAME?</v>
      </c>
      <c r="AA352" s="1" t="str">
        <f t="shared" si="6"/>
        <v>#NAME?</v>
      </c>
      <c r="AB352" s="1" t="str">
        <f t="shared" si="7"/>
        <v>#NAME?</v>
      </c>
      <c r="AC352" s="1" t="str">
        <f t="shared" si="8"/>
        <v>#NAME?</v>
      </c>
    </row>
    <row r="353" ht="14.25" customHeight="1">
      <c r="H353" s="1">
        <f t="shared" si="9"/>
        <v>348</v>
      </c>
      <c r="I353" s="1">
        <f t="shared" si="2"/>
        <v>13</v>
      </c>
      <c r="J353" s="1">
        <f t="shared" si="3"/>
        <v>12</v>
      </c>
      <c r="K353" s="23">
        <f t="shared" si="10"/>
        <v>36873</v>
      </c>
      <c r="L353" s="24">
        <f t="shared" si="4"/>
        <v>1000000</v>
      </c>
      <c r="M353" s="1" t="str">
        <f t="array" ref="M353">IF(K353&gt;0,INDEX(big_daily_table,MATCH(DATE(N$5,$J353,$I353),daily_dates,0),MATCH($B$3,daily_items,0)),NA())</f>
        <v>#N/A</v>
      </c>
      <c r="N353" s="1" t="str">
        <f t="array" ref="N353">IF(L353&lt;0,INDEX(big_daily_table,MATCH(DATE(N$5,$J353,$I353),daily_dates,0),MATCH($B$3,daily_items,0)),NA())</f>
        <v>#N/A</v>
      </c>
      <c r="O353" s="1" t="str">
        <f t="array" ref="O353">IF(ISBLANK(INDEX(big_daily_table,MATCH(DATE(O$5,$J353,$I353),daily_dates,0),MATCH($B$3,daily_items,0))),NA(),INDEX(big_daily_table,MATCH(DATE(O$5,$J353,$I353),daily_dates,0),MATCH($B$3,daily_items,0)))</f>
        <v>#N/A</v>
      </c>
      <c r="P353" s="1" t="str">
        <f t="array" ref="P353">IF(ISBLANK(INDEX(big_daily_table,MATCH(DATE(P$5,$J353,$I353),daily_dates,0),MATCH($B$3,daily_items,0))),NA(),INDEX(big_daily_table,MATCH(DATE(P$5,$J353,$I353),daily_dates,0),MATCH($B$3,daily_items,0)))</f>
        <v>#N/A</v>
      </c>
      <c r="Q353" s="1" t="str">
        <f t="array" ref="Q353">IF(ISBLANK(INDEX(big_daily_table,MATCH(DATE(Q$5,$J353,$I353),daily_dates,0),MATCH($B$3,daily_items,0))),NA(),INDEX(big_daily_table,MATCH(DATE(Q$5,$J353,$I353),daily_dates,0),MATCH($B$3,daily_items,0)))</f>
        <v>#N/A</v>
      </c>
      <c r="R353" s="1" t="str">
        <f t="array" ref="R353">IF(ISBLANK(INDEX(big_daily_table,MATCH(DATE(R$5,$J353,$I353),daily_dates,0),MATCH($B$3,daily_items,0))),NA(),INDEX(big_daily_table,MATCH(DATE(R$5,$J353,$I353),daily_dates,0),MATCH($B$3,daily_items,0)))</f>
        <v>#N/A</v>
      </c>
      <c r="S353" s="1" t="str">
        <f t="array" ref="S353">IF(ISBLANK(INDEX(big_daily_table,MATCH(DATE(S$5,$J353,$I353),daily_dates,0),MATCH($B$3,daily_items,0))),NA(),INDEX(big_daily_table,MATCH(DATE(S$5,$J353,$I353),daily_dates,0),MATCH($B$3,daily_items,0)))</f>
        <v>#N/A</v>
      </c>
      <c r="T353" s="1" t="str">
        <f t="array" ref="T353">IF(ISBLANK(INDEX(big_daily_table,MATCH(DATE(T$5,$J353,$I353),daily_dates,0),MATCH($B$3,daily_items,0))),NA(),INDEX(big_daily_table,MATCH(DATE(T$5,$J353,$I353),daily_dates,0),MATCH($B$3,daily_items,0)))</f>
        <v>#N/A</v>
      </c>
      <c r="U353" s="1" t="str">
        <f t="array" ref="U353">IF(ISBLANK(INDEX(big_daily_table,MATCH(DATE(U$5,$J353,$I353),daily_dates,0),MATCH($B$3,daily_items,0))),NA(),INDEX(big_daily_table,MATCH(DATE(U$5,$J353,$I353),daily_dates,0),MATCH($B$3,daily_items,0)))</f>
        <v>#N/A</v>
      </c>
      <c r="V353" s="1" t="str">
        <f t="array" ref="V353">IF(ISBLANK(INDEX(big_daily_table,MATCH(DATE(V$5,$J353,$I353),daily_dates,0),MATCH($B$3,daily_items,0))),NA(),INDEX(big_daily_table,MATCH(DATE(V$5,$J353,$I353),daily_dates,0),MATCH($B$3,daily_items,0)))</f>
        <v>#N/A</v>
      </c>
      <c r="W353" s="1" t="str">
        <f t="array" ref="W353">IF(ISBLANK(INDEX(big_daily_table,MATCH(DATE(W$5,$J353,$I353),daily_dates,0),MATCH($B$3,daily_items,0))),NA(),INDEX(big_daily_table,MATCH(DATE(W$5,$J353,$I353),daily_dates,0),MATCH($B$3,daily_items,0)))</f>
        <v>#N/A</v>
      </c>
      <c r="X353" s="1" t="str">
        <f t="array" ref="X353">IF(ISBLANK(INDEX(big_daily_table,MATCH(DATE(X$5,$J353,$I353),daily_dates,0),MATCH($B$3,daily_items,0))),NA(),INDEX(big_daily_table,MATCH(DATE(X$5,$J353,$I353),daily_dates,0),MATCH($B$3,daily_items,0)))</f>
        <v>#N/A</v>
      </c>
      <c r="Y353" s="1" t="str">
        <f t="array" ref="Y353">IF(ISBLANK(INDEX(big_daily_table,MATCH(DATE(Y$5,$J353,$I353),daily_dates,0),MATCH($B$3,daily_items,0))),NA(),INDEX(big_daily_table,MATCH(DATE(Y$5,$J353,$I353),daily_dates,0),MATCH($B$3,daily_items,0)))</f>
        <v>#N/A</v>
      </c>
      <c r="Z353" s="1" t="str">
        <f t="shared" si="5"/>
        <v>#NAME?</v>
      </c>
      <c r="AA353" s="1" t="str">
        <f t="shared" si="6"/>
        <v>#NAME?</v>
      </c>
      <c r="AB353" s="1" t="str">
        <f t="shared" si="7"/>
        <v>#NAME?</v>
      </c>
      <c r="AC353" s="1" t="str">
        <f t="shared" si="8"/>
        <v>#NAME?</v>
      </c>
    </row>
    <row r="354" ht="14.25" customHeight="1">
      <c r="H354" s="1">
        <f t="shared" si="9"/>
        <v>349</v>
      </c>
      <c r="I354" s="1">
        <f t="shared" si="2"/>
        <v>14</v>
      </c>
      <c r="J354" s="1">
        <f t="shared" si="3"/>
        <v>12</v>
      </c>
      <c r="K354" s="23">
        <f t="shared" si="10"/>
        <v>36874</v>
      </c>
      <c r="L354" s="24">
        <f t="shared" si="4"/>
        <v>1000000</v>
      </c>
      <c r="M354" s="1" t="str">
        <f t="array" ref="M354">IF(K354&gt;0,INDEX(big_daily_table,MATCH(DATE(N$5,$J354,$I354),daily_dates,0),MATCH($B$3,daily_items,0)),NA())</f>
        <v>#N/A</v>
      </c>
      <c r="N354" s="1" t="str">
        <f t="array" ref="N354">IF(L354&lt;0,INDEX(big_daily_table,MATCH(DATE(N$5,$J354,$I354),daily_dates,0),MATCH($B$3,daily_items,0)),NA())</f>
        <v>#N/A</v>
      </c>
      <c r="O354" s="1" t="str">
        <f t="array" ref="O354">IF(ISBLANK(INDEX(big_daily_table,MATCH(DATE(O$5,$J354,$I354),daily_dates,0),MATCH($B$3,daily_items,0))),NA(),INDEX(big_daily_table,MATCH(DATE(O$5,$J354,$I354),daily_dates,0),MATCH($B$3,daily_items,0)))</f>
        <v>#N/A</v>
      </c>
      <c r="P354" s="1" t="str">
        <f t="array" ref="P354">IF(ISBLANK(INDEX(big_daily_table,MATCH(DATE(P$5,$J354,$I354),daily_dates,0),MATCH($B$3,daily_items,0))),NA(),INDEX(big_daily_table,MATCH(DATE(P$5,$J354,$I354),daily_dates,0),MATCH($B$3,daily_items,0)))</f>
        <v>#N/A</v>
      </c>
      <c r="Q354" s="1" t="str">
        <f t="array" ref="Q354">IF(ISBLANK(INDEX(big_daily_table,MATCH(DATE(Q$5,$J354,$I354),daily_dates,0),MATCH($B$3,daily_items,0))),NA(),INDEX(big_daily_table,MATCH(DATE(Q$5,$J354,$I354),daily_dates,0),MATCH($B$3,daily_items,0)))</f>
        <v>#N/A</v>
      </c>
      <c r="R354" s="1" t="str">
        <f t="array" ref="R354">IF(ISBLANK(INDEX(big_daily_table,MATCH(DATE(R$5,$J354,$I354),daily_dates,0),MATCH($B$3,daily_items,0))),NA(),INDEX(big_daily_table,MATCH(DATE(R$5,$J354,$I354),daily_dates,0),MATCH($B$3,daily_items,0)))</f>
        <v>#N/A</v>
      </c>
      <c r="S354" s="1" t="str">
        <f t="array" ref="S354">IF(ISBLANK(INDEX(big_daily_table,MATCH(DATE(S$5,$J354,$I354),daily_dates,0),MATCH($B$3,daily_items,0))),NA(),INDEX(big_daily_table,MATCH(DATE(S$5,$J354,$I354),daily_dates,0),MATCH($B$3,daily_items,0)))</f>
        <v>#N/A</v>
      </c>
      <c r="T354" s="1" t="str">
        <f t="array" ref="T354">IF(ISBLANK(INDEX(big_daily_table,MATCH(DATE(T$5,$J354,$I354),daily_dates,0),MATCH($B$3,daily_items,0))),NA(),INDEX(big_daily_table,MATCH(DATE(T$5,$J354,$I354),daily_dates,0),MATCH($B$3,daily_items,0)))</f>
        <v>#N/A</v>
      </c>
      <c r="U354" s="1" t="str">
        <f t="array" ref="U354">IF(ISBLANK(INDEX(big_daily_table,MATCH(DATE(U$5,$J354,$I354),daily_dates,0),MATCH($B$3,daily_items,0))),NA(),INDEX(big_daily_table,MATCH(DATE(U$5,$J354,$I354),daily_dates,0),MATCH($B$3,daily_items,0)))</f>
        <v>#N/A</v>
      </c>
      <c r="V354" s="1" t="str">
        <f t="array" ref="V354">IF(ISBLANK(INDEX(big_daily_table,MATCH(DATE(V$5,$J354,$I354),daily_dates,0),MATCH($B$3,daily_items,0))),NA(),INDEX(big_daily_table,MATCH(DATE(V$5,$J354,$I354),daily_dates,0),MATCH($B$3,daily_items,0)))</f>
        <v>#N/A</v>
      </c>
      <c r="W354" s="1" t="str">
        <f t="array" ref="W354">IF(ISBLANK(INDEX(big_daily_table,MATCH(DATE(W$5,$J354,$I354),daily_dates,0),MATCH($B$3,daily_items,0))),NA(),INDEX(big_daily_table,MATCH(DATE(W$5,$J354,$I354),daily_dates,0),MATCH($B$3,daily_items,0)))</f>
        <v>#N/A</v>
      </c>
      <c r="X354" s="1" t="str">
        <f t="array" ref="X354">IF(ISBLANK(INDEX(big_daily_table,MATCH(DATE(X$5,$J354,$I354),daily_dates,0),MATCH($B$3,daily_items,0))),NA(),INDEX(big_daily_table,MATCH(DATE(X$5,$J354,$I354),daily_dates,0),MATCH($B$3,daily_items,0)))</f>
        <v>#N/A</v>
      </c>
      <c r="Y354" s="1" t="str">
        <f t="array" ref="Y354">IF(ISBLANK(INDEX(big_daily_table,MATCH(DATE(Y$5,$J354,$I354),daily_dates,0),MATCH($B$3,daily_items,0))),NA(),INDEX(big_daily_table,MATCH(DATE(Y$5,$J354,$I354),daily_dates,0),MATCH($B$3,daily_items,0)))</f>
        <v>#N/A</v>
      </c>
      <c r="Z354" s="1" t="str">
        <f t="shared" si="5"/>
        <v>#NAME?</v>
      </c>
      <c r="AA354" s="1" t="str">
        <f t="shared" si="6"/>
        <v>#NAME?</v>
      </c>
      <c r="AB354" s="1" t="str">
        <f t="shared" si="7"/>
        <v>#NAME?</v>
      </c>
      <c r="AC354" s="1" t="str">
        <f t="shared" si="8"/>
        <v>#NAME?</v>
      </c>
    </row>
    <row r="355" ht="14.25" customHeight="1">
      <c r="H355" s="1">
        <f t="shared" si="9"/>
        <v>350</v>
      </c>
      <c r="I355" s="1">
        <f t="shared" si="2"/>
        <v>15</v>
      </c>
      <c r="J355" s="1">
        <f t="shared" si="3"/>
        <v>12</v>
      </c>
      <c r="K355" s="23">
        <f t="shared" si="10"/>
        <v>36875</v>
      </c>
      <c r="L355" s="24">
        <f t="shared" si="4"/>
        <v>1000000</v>
      </c>
      <c r="M355" s="1" t="str">
        <f t="array" ref="M355">IF(K355&gt;0,INDEX(big_daily_table,MATCH(DATE(N$5,$J355,$I355),daily_dates,0),MATCH($B$3,daily_items,0)),NA())</f>
        <v>#N/A</v>
      </c>
      <c r="N355" s="1" t="str">
        <f t="array" ref="N355">IF(L355&lt;0,INDEX(big_daily_table,MATCH(DATE(N$5,$J355,$I355),daily_dates,0),MATCH($B$3,daily_items,0)),NA())</f>
        <v>#N/A</v>
      </c>
      <c r="O355" s="1" t="str">
        <f t="array" ref="O355">IF(ISBLANK(INDEX(big_daily_table,MATCH(DATE(O$5,$J355,$I355),daily_dates,0),MATCH($B$3,daily_items,0))),NA(),INDEX(big_daily_table,MATCH(DATE(O$5,$J355,$I355),daily_dates,0),MATCH($B$3,daily_items,0)))</f>
        <v>#N/A</v>
      </c>
      <c r="P355" s="1" t="str">
        <f t="array" ref="P355">IF(ISBLANK(INDEX(big_daily_table,MATCH(DATE(P$5,$J355,$I355),daily_dates,0),MATCH($B$3,daily_items,0))),NA(),INDEX(big_daily_table,MATCH(DATE(P$5,$J355,$I355),daily_dates,0),MATCH($B$3,daily_items,0)))</f>
        <v>#N/A</v>
      </c>
      <c r="Q355" s="1" t="str">
        <f t="array" ref="Q355">IF(ISBLANK(INDEX(big_daily_table,MATCH(DATE(Q$5,$J355,$I355),daily_dates,0),MATCH($B$3,daily_items,0))),NA(),INDEX(big_daily_table,MATCH(DATE(Q$5,$J355,$I355),daily_dates,0),MATCH($B$3,daily_items,0)))</f>
        <v>#N/A</v>
      </c>
      <c r="R355" s="1" t="str">
        <f t="array" ref="R355">IF(ISBLANK(INDEX(big_daily_table,MATCH(DATE(R$5,$J355,$I355),daily_dates,0),MATCH($B$3,daily_items,0))),NA(),INDEX(big_daily_table,MATCH(DATE(R$5,$J355,$I355),daily_dates,0),MATCH($B$3,daily_items,0)))</f>
        <v>#N/A</v>
      </c>
      <c r="S355" s="1" t="str">
        <f t="array" ref="S355">IF(ISBLANK(INDEX(big_daily_table,MATCH(DATE(S$5,$J355,$I355),daily_dates,0),MATCH($B$3,daily_items,0))),NA(),INDEX(big_daily_table,MATCH(DATE(S$5,$J355,$I355),daily_dates,0),MATCH($B$3,daily_items,0)))</f>
        <v>#N/A</v>
      </c>
      <c r="T355" s="1" t="str">
        <f t="array" ref="T355">IF(ISBLANK(INDEX(big_daily_table,MATCH(DATE(T$5,$J355,$I355),daily_dates,0),MATCH($B$3,daily_items,0))),NA(),INDEX(big_daily_table,MATCH(DATE(T$5,$J355,$I355),daily_dates,0),MATCH($B$3,daily_items,0)))</f>
        <v>#N/A</v>
      </c>
      <c r="U355" s="1" t="str">
        <f t="array" ref="U355">IF(ISBLANK(INDEX(big_daily_table,MATCH(DATE(U$5,$J355,$I355),daily_dates,0),MATCH($B$3,daily_items,0))),NA(),INDEX(big_daily_table,MATCH(DATE(U$5,$J355,$I355),daily_dates,0),MATCH($B$3,daily_items,0)))</f>
        <v>#N/A</v>
      </c>
      <c r="V355" s="1" t="str">
        <f t="array" ref="V355">IF(ISBLANK(INDEX(big_daily_table,MATCH(DATE(V$5,$J355,$I355),daily_dates,0),MATCH($B$3,daily_items,0))),NA(),INDEX(big_daily_table,MATCH(DATE(V$5,$J355,$I355),daily_dates,0),MATCH($B$3,daily_items,0)))</f>
        <v>#N/A</v>
      </c>
      <c r="W355" s="1" t="str">
        <f t="array" ref="W355">IF(ISBLANK(INDEX(big_daily_table,MATCH(DATE(W$5,$J355,$I355),daily_dates,0),MATCH($B$3,daily_items,0))),NA(),INDEX(big_daily_table,MATCH(DATE(W$5,$J355,$I355),daily_dates,0),MATCH($B$3,daily_items,0)))</f>
        <v>#N/A</v>
      </c>
      <c r="X355" s="1" t="str">
        <f t="array" ref="X355">IF(ISBLANK(INDEX(big_daily_table,MATCH(DATE(X$5,$J355,$I355),daily_dates,0),MATCH($B$3,daily_items,0))),NA(),INDEX(big_daily_table,MATCH(DATE(X$5,$J355,$I355),daily_dates,0),MATCH($B$3,daily_items,0)))</f>
        <v>#N/A</v>
      </c>
      <c r="Y355" s="1" t="str">
        <f t="array" ref="Y355">IF(ISBLANK(INDEX(big_daily_table,MATCH(DATE(Y$5,$J355,$I355),daily_dates,0),MATCH($B$3,daily_items,0))),NA(),INDEX(big_daily_table,MATCH(DATE(Y$5,$J355,$I355),daily_dates,0),MATCH($B$3,daily_items,0)))</f>
        <v>#N/A</v>
      </c>
      <c r="Z355" s="1" t="str">
        <f t="shared" si="5"/>
        <v>#NAME?</v>
      </c>
      <c r="AA355" s="1" t="str">
        <f t="shared" si="6"/>
        <v>#NAME?</v>
      </c>
      <c r="AB355" s="1" t="str">
        <f t="shared" si="7"/>
        <v>#NAME?</v>
      </c>
      <c r="AC355" s="1" t="str">
        <f t="shared" si="8"/>
        <v>#NAME?</v>
      </c>
    </row>
    <row r="356" ht="14.25" customHeight="1">
      <c r="H356" s="1">
        <f t="shared" si="9"/>
        <v>351</v>
      </c>
      <c r="I356" s="1">
        <f t="shared" si="2"/>
        <v>16</v>
      </c>
      <c r="J356" s="1">
        <f t="shared" si="3"/>
        <v>12</v>
      </c>
      <c r="K356" s="23">
        <f t="shared" si="10"/>
        <v>36876</v>
      </c>
      <c r="L356" s="24">
        <f t="shared" si="4"/>
        <v>1000000</v>
      </c>
      <c r="M356" s="1" t="str">
        <f t="array" ref="M356">IF(K356&gt;0,INDEX(big_daily_table,MATCH(DATE(N$5,$J356,$I356),daily_dates,0),MATCH($B$3,daily_items,0)),NA())</f>
        <v>#N/A</v>
      </c>
      <c r="N356" s="1" t="str">
        <f t="array" ref="N356">IF(L356&lt;0,INDEX(big_daily_table,MATCH(DATE(N$5,$J356,$I356),daily_dates,0),MATCH($B$3,daily_items,0)),NA())</f>
        <v>#N/A</v>
      </c>
      <c r="O356" s="1" t="str">
        <f t="array" ref="O356">IF(ISBLANK(INDEX(big_daily_table,MATCH(DATE(O$5,$J356,$I356),daily_dates,0),MATCH($B$3,daily_items,0))),NA(),INDEX(big_daily_table,MATCH(DATE(O$5,$J356,$I356),daily_dates,0),MATCH($B$3,daily_items,0)))</f>
        <v>#N/A</v>
      </c>
      <c r="P356" s="1" t="str">
        <f t="array" ref="P356">IF(ISBLANK(INDEX(big_daily_table,MATCH(DATE(P$5,$J356,$I356),daily_dates,0),MATCH($B$3,daily_items,0))),NA(),INDEX(big_daily_table,MATCH(DATE(P$5,$J356,$I356),daily_dates,0),MATCH($B$3,daily_items,0)))</f>
        <v>#N/A</v>
      </c>
      <c r="Q356" s="1" t="str">
        <f t="array" ref="Q356">IF(ISBLANK(INDEX(big_daily_table,MATCH(DATE(Q$5,$J356,$I356),daily_dates,0),MATCH($B$3,daily_items,0))),NA(),INDEX(big_daily_table,MATCH(DATE(Q$5,$J356,$I356),daily_dates,0),MATCH($B$3,daily_items,0)))</f>
        <v>#N/A</v>
      </c>
      <c r="R356" s="1" t="str">
        <f t="array" ref="R356">IF(ISBLANK(INDEX(big_daily_table,MATCH(DATE(R$5,$J356,$I356),daily_dates,0),MATCH($B$3,daily_items,0))),NA(),INDEX(big_daily_table,MATCH(DATE(R$5,$J356,$I356),daily_dates,0),MATCH($B$3,daily_items,0)))</f>
        <v>#N/A</v>
      </c>
      <c r="S356" s="1" t="str">
        <f t="array" ref="S356">IF(ISBLANK(INDEX(big_daily_table,MATCH(DATE(S$5,$J356,$I356),daily_dates,0),MATCH($B$3,daily_items,0))),NA(),INDEX(big_daily_table,MATCH(DATE(S$5,$J356,$I356),daily_dates,0),MATCH($B$3,daily_items,0)))</f>
        <v>#N/A</v>
      </c>
      <c r="T356" s="1" t="str">
        <f t="array" ref="T356">IF(ISBLANK(INDEX(big_daily_table,MATCH(DATE(T$5,$J356,$I356),daily_dates,0),MATCH($B$3,daily_items,0))),NA(),INDEX(big_daily_table,MATCH(DATE(T$5,$J356,$I356),daily_dates,0),MATCH($B$3,daily_items,0)))</f>
        <v>#N/A</v>
      </c>
      <c r="U356" s="1" t="str">
        <f t="array" ref="U356">IF(ISBLANK(INDEX(big_daily_table,MATCH(DATE(U$5,$J356,$I356),daily_dates,0),MATCH($B$3,daily_items,0))),NA(),INDEX(big_daily_table,MATCH(DATE(U$5,$J356,$I356),daily_dates,0),MATCH($B$3,daily_items,0)))</f>
        <v>#N/A</v>
      </c>
      <c r="V356" s="1" t="str">
        <f t="array" ref="V356">IF(ISBLANK(INDEX(big_daily_table,MATCH(DATE(V$5,$J356,$I356),daily_dates,0),MATCH($B$3,daily_items,0))),NA(),INDEX(big_daily_table,MATCH(DATE(V$5,$J356,$I356),daily_dates,0),MATCH($B$3,daily_items,0)))</f>
        <v>#N/A</v>
      </c>
      <c r="W356" s="1" t="str">
        <f t="array" ref="W356">IF(ISBLANK(INDEX(big_daily_table,MATCH(DATE(W$5,$J356,$I356),daily_dates,0),MATCH($B$3,daily_items,0))),NA(),INDEX(big_daily_table,MATCH(DATE(W$5,$J356,$I356),daily_dates,0),MATCH($B$3,daily_items,0)))</f>
        <v>#N/A</v>
      </c>
      <c r="X356" s="1" t="str">
        <f t="array" ref="X356">IF(ISBLANK(INDEX(big_daily_table,MATCH(DATE(X$5,$J356,$I356),daily_dates,0),MATCH($B$3,daily_items,0))),NA(),INDEX(big_daily_table,MATCH(DATE(X$5,$J356,$I356),daily_dates,0),MATCH($B$3,daily_items,0)))</f>
        <v>#N/A</v>
      </c>
      <c r="Y356" s="1" t="str">
        <f t="array" ref="Y356">IF(ISBLANK(INDEX(big_daily_table,MATCH(DATE(Y$5,$J356,$I356),daily_dates,0),MATCH($B$3,daily_items,0))),NA(),INDEX(big_daily_table,MATCH(DATE(Y$5,$J356,$I356),daily_dates,0),MATCH($B$3,daily_items,0)))</f>
        <v>#N/A</v>
      </c>
      <c r="Z356" s="1" t="str">
        <f t="shared" si="5"/>
        <v>#NAME?</v>
      </c>
      <c r="AA356" s="1" t="str">
        <f t="shared" si="6"/>
        <v>#NAME?</v>
      </c>
      <c r="AB356" s="1" t="str">
        <f t="shared" si="7"/>
        <v>#NAME?</v>
      </c>
      <c r="AC356" s="1" t="str">
        <f t="shared" si="8"/>
        <v>#NAME?</v>
      </c>
    </row>
    <row r="357" ht="14.25" customHeight="1">
      <c r="H357" s="1">
        <f t="shared" si="9"/>
        <v>352</v>
      </c>
      <c r="I357" s="1">
        <f t="shared" si="2"/>
        <v>17</v>
      </c>
      <c r="J357" s="1">
        <f t="shared" si="3"/>
        <v>12</v>
      </c>
      <c r="K357" s="23">
        <f t="shared" si="10"/>
        <v>36877</v>
      </c>
      <c r="L357" s="24">
        <f t="shared" si="4"/>
        <v>1000000</v>
      </c>
      <c r="M357" s="1" t="str">
        <f t="array" ref="M357">IF(K357&gt;0,INDEX(big_daily_table,MATCH(DATE(N$5,$J357,$I357),daily_dates,0),MATCH($B$3,daily_items,0)),NA())</f>
        <v>#N/A</v>
      </c>
      <c r="N357" s="1" t="str">
        <f t="array" ref="N357">IF(L357&lt;0,INDEX(big_daily_table,MATCH(DATE(N$5,$J357,$I357),daily_dates,0),MATCH($B$3,daily_items,0)),NA())</f>
        <v>#N/A</v>
      </c>
      <c r="O357" s="1" t="str">
        <f t="array" ref="O357">IF(ISBLANK(INDEX(big_daily_table,MATCH(DATE(O$5,$J357,$I357),daily_dates,0),MATCH($B$3,daily_items,0))),NA(),INDEX(big_daily_table,MATCH(DATE(O$5,$J357,$I357),daily_dates,0),MATCH($B$3,daily_items,0)))</f>
        <v>#N/A</v>
      </c>
      <c r="P357" s="1" t="str">
        <f t="array" ref="P357">IF(ISBLANK(INDEX(big_daily_table,MATCH(DATE(P$5,$J357,$I357),daily_dates,0),MATCH($B$3,daily_items,0))),NA(),INDEX(big_daily_table,MATCH(DATE(P$5,$J357,$I357),daily_dates,0),MATCH($B$3,daily_items,0)))</f>
        <v>#N/A</v>
      </c>
      <c r="Q357" s="1" t="str">
        <f t="array" ref="Q357">IF(ISBLANK(INDEX(big_daily_table,MATCH(DATE(Q$5,$J357,$I357),daily_dates,0),MATCH($B$3,daily_items,0))),NA(),INDEX(big_daily_table,MATCH(DATE(Q$5,$J357,$I357),daily_dates,0),MATCH($B$3,daily_items,0)))</f>
        <v>#N/A</v>
      </c>
      <c r="R357" s="1" t="str">
        <f t="array" ref="R357">IF(ISBLANK(INDEX(big_daily_table,MATCH(DATE(R$5,$J357,$I357),daily_dates,0),MATCH($B$3,daily_items,0))),NA(),INDEX(big_daily_table,MATCH(DATE(R$5,$J357,$I357),daily_dates,0),MATCH($B$3,daily_items,0)))</f>
        <v>#N/A</v>
      </c>
      <c r="S357" s="1" t="str">
        <f t="array" ref="S357">IF(ISBLANK(INDEX(big_daily_table,MATCH(DATE(S$5,$J357,$I357),daily_dates,0),MATCH($B$3,daily_items,0))),NA(),INDEX(big_daily_table,MATCH(DATE(S$5,$J357,$I357),daily_dates,0),MATCH($B$3,daily_items,0)))</f>
        <v>#N/A</v>
      </c>
      <c r="T357" s="1" t="str">
        <f t="array" ref="T357">IF(ISBLANK(INDEX(big_daily_table,MATCH(DATE(T$5,$J357,$I357),daily_dates,0),MATCH($B$3,daily_items,0))),NA(),INDEX(big_daily_table,MATCH(DATE(T$5,$J357,$I357),daily_dates,0),MATCH($B$3,daily_items,0)))</f>
        <v>#N/A</v>
      </c>
      <c r="U357" s="1" t="str">
        <f t="array" ref="U357">IF(ISBLANK(INDEX(big_daily_table,MATCH(DATE(U$5,$J357,$I357),daily_dates,0),MATCH($B$3,daily_items,0))),NA(),INDEX(big_daily_table,MATCH(DATE(U$5,$J357,$I357),daily_dates,0),MATCH($B$3,daily_items,0)))</f>
        <v>#N/A</v>
      </c>
      <c r="V357" s="1" t="str">
        <f t="array" ref="V357">IF(ISBLANK(INDEX(big_daily_table,MATCH(DATE(V$5,$J357,$I357),daily_dates,0),MATCH($B$3,daily_items,0))),NA(),INDEX(big_daily_table,MATCH(DATE(V$5,$J357,$I357),daily_dates,0),MATCH($B$3,daily_items,0)))</f>
        <v>#N/A</v>
      </c>
      <c r="W357" s="1" t="str">
        <f t="array" ref="W357">IF(ISBLANK(INDEX(big_daily_table,MATCH(DATE(W$5,$J357,$I357),daily_dates,0),MATCH($B$3,daily_items,0))),NA(),INDEX(big_daily_table,MATCH(DATE(W$5,$J357,$I357),daily_dates,0),MATCH($B$3,daily_items,0)))</f>
        <v>#N/A</v>
      </c>
      <c r="X357" s="1" t="str">
        <f t="array" ref="X357">IF(ISBLANK(INDEX(big_daily_table,MATCH(DATE(X$5,$J357,$I357),daily_dates,0),MATCH($B$3,daily_items,0))),NA(),INDEX(big_daily_table,MATCH(DATE(X$5,$J357,$I357),daily_dates,0),MATCH($B$3,daily_items,0)))</f>
        <v>#N/A</v>
      </c>
      <c r="Y357" s="1" t="str">
        <f t="array" ref="Y357">IF(ISBLANK(INDEX(big_daily_table,MATCH(DATE(Y$5,$J357,$I357),daily_dates,0),MATCH($B$3,daily_items,0))),NA(),INDEX(big_daily_table,MATCH(DATE(Y$5,$J357,$I357),daily_dates,0),MATCH($B$3,daily_items,0)))</f>
        <v>#N/A</v>
      </c>
      <c r="Z357" s="1" t="str">
        <f t="shared" si="5"/>
        <v>#NAME?</v>
      </c>
      <c r="AA357" s="1" t="str">
        <f t="shared" si="6"/>
        <v>#NAME?</v>
      </c>
      <c r="AB357" s="1" t="str">
        <f t="shared" si="7"/>
        <v>#NAME?</v>
      </c>
      <c r="AC357" s="1" t="str">
        <f t="shared" si="8"/>
        <v>#NAME?</v>
      </c>
    </row>
    <row r="358" ht="14.25" customHeight="1">
      <c r="H358" s="1">
        <f t="shared" si="9"/>
        <v>353</v>
      </c>
      <c r="I358" s="1">
        <f t="shared" si="2"/>
        <v>18</v>
      </c>
      <c r="J358" s="1">
        <f t="shared" si="3"/>
        <v>12</v>
      </c>
      <c r="K358" s="23">
        <f t="shared" si="10"/>
        <v>36878</v>
      </c>
      <c r="L358" s="24">
        <f t="shared" si="4"/>
        <v>1000000</v>
      </c>
      <c r="M358" s="1" t="str">
        <f t="array" ref="M358">IF(K358&gt;0,INDEX(big_daily_table,MATCH(DATE(N$5,$J358,$I358),daily_dates,0),MATCH($B$3,daily_items,0)),NA())</f>
        <v>#N/A</v>
      </c>
      <c r="N358" s="1" t="str">
        <f t="array" ref="N358">IF(L358&lt;0,INDEX(big_daily_table,MATCH(DATE(N$5,$J358,$I358),daily_dates,0),MATCH($B$3,daily_items,0)),NA())</f>
        <v>#N/A</v>
      </c>
      <c r="O358" s="1" t="str">
        <f t="array" ref="O358">IF(ISBLANK(INDEX(big_daily_table,MATCH(DATE(O$5,$J358,$I358),daily_dates,0),MATCH($B$3,daily_items,0))),NA(),INDEX(big_daily_table,MATCH(DATE(O$5,$J358,$I358),daily_dates,0),MATCH($B$3,daily_items,0)))</f>
        <v>#N/A</v>
      </c>
      <c r="P358" s="1" t="str">
        <f t="array" ref="P358">IF(ISBLANK(INDEX(big_daily_table,MATCH(DATE(P$5,$J358,$I358),daily_dates,0),MATCH($B$3,daily_items,0))),NA(),INDEX(big_daily_table,MATCH(DATE(P$5,$J358,$I358),daily_dates,0),MATCH($B$3,daily_items,0)))</f>
        <v>#N/A</v>
      </c>
      <c r="Q358" s="1" t="str">
        <f t="array" ref="Q358">IF(ISBLANK(INDEX(big_daily_table,MATCH(DATE(Q$5,$J358,$I358),daily_dates,0),MATCH($B$3,daily_items,0))),NA(),INDEX(big_daily_table,MATCH(DATE(Q$5,$J358,$I358),daily_dates,0),MATCH($B$3,daily_items,0)))</f>
        <v>#N/A</v>
      </c>
      <c r="R358" s="1" t="str">
        <f t="array" ref="R358">IF(ISBLANK(INDEX(big_daily_table,MATCH(DATE(R$5,$J358,$I358),daily_dates,0),MATCH($B$3,daily_items,0))),NA(),INDEX(big_daily_table,MATCH(DATE(R$5,$J358,$I358),daily_dates,0),MATCH($B$3,daily_items,0)))</f>
        <v>#N/A</v>
      </c>
      <c r="S358" s="1" t="str">
        <f t="array" ref="S358">IF(ISBLANK(INDEX(big_daily_table,MATCH(DATE(S$5,$J358,$I358),daily_dates,0),MATCH($B$3,daily_items,0))),NA(),INDEX(big_daily_table,MATCH(DATE(S$5,$J358,$I358),daily_dates,0),MATCH($B$3,daily_items,0)))</f>
        <v>#N/A</v>
      </c>
      <c r="T358" s="1" t="str">
        <f t="array" ref="T358">IF(ISBLANK(INDEX(big_daily_table,MATCH(DATE(T$5,$J358,$I358),daily_dates,0),MATCH($B$3,daily_items,0))),NA(),INDEX(big_daily_table,MATCH(DATE(T$5,$J358,$I358),daily_dates,0),MATCH($B$3,daily_items,0)))</f>
        <v>#N/A</v>
      </c>
      <c r="U358" s="1" t="str">
        <f t="array" ref="U358">IF(ISBLANK(INDEX(big_daily_table,MATCH(DATE(U$5,$J358,$I358),daily_dates,0),MATCH($B$3,daily_items,0))),NA(),INDEX(big_daily_table,MATCH(DATE(U$5,$J358,$I358),daily_dates,0),MATCH($B$3,daily_items,0)))</f>
        <v>#N/A</v>
      </c>
      <c r="V358" s="1" t="str">
        <f t="array" ref="V358">IF(ISBLANK(INDEX(big_daily_table,MATCH(DATE(V$5,$J358,$I358),daily_dates,0),MATCH($B$3,daily_items,0))),NA(),INDEX(big_daily_table,MATCH(DATE(V$5,$J358,$I358),daily_dates,0),MATCH($B$3,daily_items,0)))</f>
        <v>#N/A</v>
      </c>
      <c r="W358" s="1" t="str">
        <f t="array" ref="W358">IF(ISBLANK(INDEX(big_daily_table,MATCH(DATE(W$5,$J358,$I358),daily_dates,0),MATCH($B$3,daily_items,0))),NA(),INDEX(big_daily_table,MATCH(DATE(W$5,$J358,$I358),daily_dates,0),MATCH($B$3,daily_items,0)))</f>
        <v>#N/A</v>
      </c>
      <c r="X358" s="1" t="str">
        <f t="array" ref="X358">IF(ISBLANK(INDEX(big_daily_table,MATCH(DATE(X$5,$J358,$I358),daily_dates,0),MATCH($B$3,daily_items,0))),NA(),INDEX(big_daily_table,MATCH(DATE(X$5,$J358,$I358),daily_dates,0),MATCH($B$3,daily_items,0)))</f>
        <v>#N/A</v>
      </c>
      <c r="Y358" s="1" t="str">
        <f t="array" ref="Y358">IF(ISBLANK(INDEX(big_daily_table,MATCH(DATE(Y$5,$J358,$I358),daily_dates,0),MATCH($B$3,daily_items,0))),NA(),INDEX(big_daily_table,MATCH(DATE(Y$5,$J358,$I358),daily_dates,0),MATCH($B$3,daily_items,0)))</f>
        <v>#N/A</v>
      </c>
      <c r="Z358" s="1" t="str">
        <f t="shared" si="5"/>
        <v>#NAME?</v>
      </c>
      <c r="AA358" s="1" t="str">
        <f t="shared" si="6"/>
        <v>#NAME?</v>
      </c>
      <c r="AB358" s="1" t="str">
        <f t="shared" si="7"/>
        <v>#NAME?</v>
      </c>
      <c r="AC358" s="1" t="str">
        <f t="shared" si="8"/>
        <v>#NAME?</v>
      </c>
    </row>
    <row r="359" ht="14.25" customHeight="1">
      <c r="H359" s="1">
        <f t="shared" si="9"/>
        <v>354</v>
      </c>
      <c r="I359" s="1">
        <f t="shared" si="2"/>
        <v>19</v>
      </c>
      <c r="J359" s="1">
        <f t="shared" si="3"/>
        <v>12</v>
      </c>
      <c r="K359" s="23">
        <f t="shared" si="10"/>
        <v>36879</v>
      </c>
      <c r="L359" s="24">
        <f t="shared" si="4"/>
        <v>1000000</v>
      </c>
      <c r="M359" s="1" t="str">
        <f t="array" ref="M359">IF(K359&gt;0,INDEX(big_daily_table,MATCH(DATE(N$5,$J359,$I359),daily_dates,0),MATCH($B$3,daily_items,0)),NA())</f>
        <v>#N/A</v>
      </c>
      <c r="N359" s="1" t="str">
        <f t="array" ref="N359">IF(L359&lt;0,INDEX(big_daily_table,MATCH(DATE(N$5,$J359,$I359),daily_dates,0),MATCH($B$3,daily_items,0)),NA())</f>
        <v>#N/A</v>
      </c>
      <c r="O359" s="1" t="str">
        <f t="array" ref="O359">IF(ISBLANK(INDEX(big_daily_table,MATCH(DATE(O$5,$J359,$I359),daily_dates,0),MATCH($B$3,daily_items,0))),NA(),INDEX(big_daily_table,MATCH(DATE(O$5,$J359,$I359),daily_dates,0),MATCH($B$3,daily_items,0)))</f>
        <v>#N/A</v>
      </c>
      <c r="P359" s="1" t="str">
        <f t="array" ref="P359">IF(ISBLANK(INDEX(big_daily_table,MATCH(DATE(P$5,$J359,$I359),daily_dates,0),MATCH($B$3,daily_items,0))),NA(),INDEX(big_daily_table,MATCH(DATE(P$5,$J359,$I359),daily_dates,0),MATCH($B$3,daily_items,0)))</f>
        <v>#N/A</v>
      </c>
      <c r="Q359" s="1" t="str">
        <f t="array" ref="Q359">IF(ISBLANK(INDEX(big_daily_table,MATCH(DATE(Q$5,$J359,$I359),daily_dates,0),MATCH($B$3,daily_items,0))),NA(),INDEX(big_daily_table,MATCH(DATE(Q$5,$J359,$I359),daily_dates,0),MATCH($B$3,daily_items,0)))</f>
        <v>#N/A</v>
      </c>
      <c r="R359" s="1" t="str">
        <f t="array" ref="R359">IF(ISBLANK(INDEX(big_daily_table,MATCH(DATE(R$5,$J359,$I359),daily_dates,0),MATCH($B$3,daily_items,0))),NA(),INDEX(big_daily_table,MATCH(DATE(R$5,$J359,$I359),daily_dates,0),MATCH($B$3,daily_items,0)))</f>
        <v>#N/A</v>
      </c>
      <c r="S359" s="1" t="str">
        <f t="array" ref="S359">IF(ISBLANK(INDEX(big_daily_table,MATCH(DATE(S$5,$J359,$I359),daily_dates,0),MATCH($B$3,daily_items,0))),NA(),INDEX(big_daily_table,MATCH(DATE(S$5,$J359,$I359),daily_dates,0),MATCH($B$3,daily_items,0)))</f>
        <v>#N/A</v>
      </c>
      <c r="T359" s="1" t="str">
        <f t="array" ref="T359">IF(ISBLANK(INDEX(big_daily_table,MATCH(DATE(T$5,$J359,$I359),daily_dates,0),MATCH($B$3,daily_items,0))),NA(),INDEX(big_daily_table,MATCH(DATE(T$5,$J359,$I359),daily_dates,0),MATCH($B$3,daily_items,0)))</f>
        <v>#N/A</v>
      </c>
      <c r="U359" s="1" t="str">
        <f t="array" ref="U359">IF(ISBLANK(INDEX(big_daily_table,MATCH(DATE(U$5,$J359,$I359),daily_dates,0),MATCH($B$3,daily_items,0))),NA(),INDEX(big_daily_table,MATCH(DATE(U$5,$J359,$I359),daily_dates,0),MATCH($B$3,daily_items,0)))</f>
        <v>#N/A</v>
      </c>
      <c r="V359" s="1" t="str">
        <f t="array" ref="V359">IF(ISBLANK(INDEX(big_daily_table,MATCH(DATE(V$5,$J359,$I359),daily_dates,0),MATCH($B$3,daily_items,0))),NA(),INDEX(big_daily_table,MATCH(DATE(V$5,$J359,$I359),daily_dates,0),MATCH($B$3,daily_items,0)))</f>
        <v>#N/A</v>
      </c>
      <c r="W359" s="1" t="str">
        <f t="array" ref="W359">IF(ISBLANK(INDEX(big_daily_table,MATCH(DATE(W$5,$J359,$I359),daily_dates,0),MATCH($B$3,daily_items,0))),NA(),INDEX(big_daily_table,MATCH(DATE(W$5,$J359,$I359),daily_dates,0),MATCH($B$3,daily_items,0)))</f>
        <v>#N/A</v>
      </c>
      <c r="X359" s="1" t="str">
        <f t="array" ref="X359">IF(ISBLANK(INDEX(big_daily_table,MATCH(DATE(X$5,$J359,$I359),daily_dates,0),MATCH($B$3,daily_items,0))),NA(),INDEX(big_daily_table,MATCH(DATE(X$5,$J359,$I359),daily_dates,0),MATCH($B$3,daily_items,0)))</f>
        <v>#N/A</v>
      </c>
      <c r="Y359" s="1" t="str">
        <f t="array" ref="Y359">IF(ISBLANK(INDEX(big_daily_table,MATCH(DATE(Y$5,$J359,$I359),daily_dates,0),MATCH($B$3,daily_items,0))),NA(),INDEX(big_daily_table,MATCH(DATE(Y$5,$J359,$I359),daily_dates,0),MATCH($B$3,daily_items,0)))</f>
        <v>#N/A</v>
      </c>
      <c r="Z359" s="1" t="str">
        <f t="shared" si="5"/>
        <v>#NAME?</v>
      </c>
      <c r="AA359" s="1" t="str">
        <f t="shared" si="6"/>
        <v>#NAME?</v>
      </c>
      <c r="AB359" s="1" t="str">
        <f t="shared" si="7"/>
        <v>#NAME?</v>
      </c>
      <c r="AC359" s="1" t="str">
        <f t="shared" si="8"/>
        <v>#NAME?</v>
      </c>
    </row>
    <row r="360" ht="14.25" customHeight="1">
      <c r="H360" s="1">
        <f t="shared" si="9"/>
        <v>355</v>
      </c>
      <c r="I360" s="1">
        <f t="shared" si="2"/>
        <v>20</v>
      </c>
      <c r="J360" s="1">
        <f t="shared" si="3"/>
        <v>12</v>
      </c>
      <c r="K360" s="23">
        <f t="shared" si="10"/>
        <v>36880</v>
      </c>
      <c r="L360" s="24">
        <f t="shared" si="4"/>
        <v>1000000</v>
      </c>
      <c r="M360" s="1" t="str">
        <f t="array" ref="M360">IF(K360&gt;0,INDEX(big_daily_table,MATCH(DATE(N$5,$J360,$I360),daily_dates,0),MATCH($B$3,daily_items,0)),NA())</f>
        <v>#N/A</v>
      </c>
      <c r="N360" s="1" t="str">
        <f t="array" ref="N360">IF(L360&lt;0,INDEX(big_daily_table,MATCH(DATE(N$5,$J360,$I360),daily_dates,0),MATCH($B$3,daily_items,0)),NA())</f>
        <v>#N/A</v>
      </c>
      <c r="O360" s="1" t="str">
        <f t="array" ref="O360">IF(ISBLANK(INDEX(big_daily_table,MATCH(DATE(O$5,$J360,$I360),daily_dates,0),MATCH($B$3,daily_items,0))),NA(),INDEX(big_daily_table,MATCH(DATE(O$5,$J360,$I360),daily_dates,0),MATCH($B$3,daily_items,0)))</f>
        <v>#N/A</v>
      </c>
      <c r="P360" s="1" t="str">
        <f t="array" ref="P360">IF(ISBLANK(INDEX(big_daily_table,MATCH(DATE(P$5,$J360,$I360),daily_dates,0),MATCH($B$3,daily_items,0))),NA(),INDEX(big_daily_table,MATCH(DATE(P$5,$J360,$I360),daily_dates,0),MATCH($B$3,daily_items,0)))</f>
        <v>#N/A</v>
      </c>
      <c r="Q360" s="1" t="str">
        <f t="array" ref="Q360">IF(ISBLANK(INDEX(big_daily_table,MATCH(DATE(Q$5,$J360,$I360),daily_dates,0),MATCH($B$3,daily_items,0))),NA(),INDEX(big_daily_table,MATCH(DATE(Q$5,$J360,$I360),daily_dates,0),MATCH($B$3,daily_items,0)))</f>
        <v>#N/A</v>
      </c>
      <c r="R360" s="1" t="str">
        <f t="array" ref="R360">IF(ISBLANK(INDEX(big_daily_table,MATCH(DATE(R$5,$J360,$I360),daily_dates,0),MATCH($B$3,daily_items,0))),NA(),INDEX(big_daily_table,MATCH(DATE(R$5,$J360,$I360),daily_dates,0),MATCH($B$3,daily_items,0)))</f>
        <v>#N/A</v>
      </c>
      <c r="S360" s="1" t="str">
        <f t="array" ref="S360">IF(ISBLANK(INDEX(big_daily_table,MATCH(DATE(S$5,$J360,$I360),daily_dates,0),MATCH($B$3,daily_items,0))),NA(),INDEX(big_daily_table,MATCH(DATE(S$5,$J360,$I360),daily_dates,0),MATCH($B$3,daily_items,0)))</f>
        <v>#N/A</v>
      </c>
      <c r="T360" s="1" t="str">
        <f t="array" ref="T360">IF(ISBLANK(INDEX(big_daily_table,MATCH(DATE(T$5,$J360,$I360),daily_dates,0),MATCH($B$3,daily_items,0))),NA(),INDEX(big_daily_table,MATCH(DATE(T$5,$J360,$I360),daily_dates,0),MATCH($B$3,daily_items,0)))</f>
        <v>#N/A</v>
      </c>
      <c r="U360" s="1" t="str">
        <f t="array" ref="U360">IF(ISBLANK(INDEX(big_daily_table,MATCH(DATE(U$5,$J360,$I360),daily_dates,0),MATCH($B$3,daily_items,0))),NA(),INDEX(big_daily_table,MATCH(DATE(U$5,$J360,$I360),daily_dates,0),MATCH($B$3,daily_items,0)))</f>
        <v>#N/A</v>
      </c>
      <c r="V360" s="1" t="str">
        <f t="array" ref="V360">IF(ISBLANK(INDEX(big_daily_table,MATCH(DATE(V$5,$J360,$I360),daily_dates,0),MATCH($B$3,daily_items,0))),NA(),INDEX(big_daily_table,MATCH(DATE(V$5,$J360,$I360),daily_dates,0),MATCH($B$3,daily_items,0)))</f>
        <v>#N/A</v>
      </c>
      <c r="W360" s="1" t="str">
        <f t="array" ref="W360">IF(ISBLANK(INDEX(big_daily_table,MATCH(DATE(W$5,$J360,$I360),daily_dates,0),MATCH($B$3,daily_items,0))),NA(),INDEX(big_daily_table,MATCH(DATE(W$5,$J360,$I360),daily_dates,0),MATCH($B$3,daily_items,0)))</f>
        <v>#N/A</v>
      </c>
      <c r="X360" s="1" t="str">
        <f t="array" ref="X360">IF(ISBLANK(INDEX(big_daily_table,MATCH(DATE(X$5,$J360,$I360),daily_dates,0),MATCH($B$3,daily_items,0))),NA(),INDEX(big_daily_table,MATCH(DATE(X$5,$J360,$I360),daily_dates,0),MATCH($B$3,daily_items,0)))</f>
        <v>#N/A</v>
      </c>
      <c r="Y360" s="1" t="str">
        <f t="array" ref="Y360">IF(ISBLANK(INDEX(big_daily_table,MATCH(DATE(Y$5,$J360,$I360),daily_dates,0),MATCH($B$3,daily_items,0))),NA(),INDEX(big_daily_table,MATCH(DATE(Y$5,$J360,$I360),daily_dates,0),MATCH($B$3,daily_items,0)))</f>
        <v>#N/A</v>
      </c>
      <c r="Z360" s="1" t="str">
        <f t="shared" si="5"/>
        <v>#NAME?</v>
      </c>
      <c r="AA360" s="1" t="str">
        <f t="shared" si="6"/>
        <v>#NAME?</v>
      </c>
      <c r="AB360" s="1" t="str">
        <f t="shared" si="7"/>
        <v>#NAME?</v>
      </c>
      <c r="AC360" s="1" t="str">
        <f t="shared" si="8"/>
        <v>#NAME?</v>
      </c>
    </row>
    <row r="361" ht="14.25" customHeight="1">
      <c r="H361" s="1">
        <f t="shared" si="9"/>
        <v>356</v>
      </c>
      <c r="I361" s="1">
        <f t="shared" si="2"/>
        <v>21</v>
      </c>
      <c r="J361" s="1">
        <f t="shared" si="3"/>
        <v>12</v>
      </c>
      <c r="K361" s="23">
        <f t="shared" si="10"/>
        <v>36881</v>
      </c>
      <c r="L361" s="24">
        <f t="shared" si="4"/>
        <v>1000000</v>
      </c>
      <c r="M361" s="1" t="str">
        <f t="array" ref="M361">IF(K361&gt;0,INDEX(big_daily_table,MATCH(DATE(N$5,$J361,$I361),daily_dates,0),MATCH($B$3,daily_items,0)),NA())</f>
        <v>#N/A</v>
      </c>
      <c r="N361" s="1" t="str">
        <f t="array" ref="N361">IF(L361&lt;0,INDEX(big_daily_table,MATCH(DATE(N$5,$J361,$I361),daily_dates,0),MATCH($B$3,daily_items,0)),NA())</f>
        <v>#N/A</v>
      </c>
      <c r="O361" s="1" t="str">
        <f t="array" ref="O361">IF(ISBLANK(INDEX(big_daily_table,MATCH(DATE(O$5,$J361,$I361),daily_dates,0),MATCH($B$3,daily_items,0))),NA(),INDEX(big_daily_table,MATCH(DATE(O$5,$J361,$I361),daily_dates,0),MATCH($B$3,daily_items,0)))</f>
        <v>#N/A</v>
      </c>
      <c r="P361" s="1" t="str">
        <f t="array" ref="P361">IF(ISBLANK(INDEX(big_daily_table,MATCH(DATE(P$5,$J361,$I361),daily_dates,0),MATCH($B$3,daily_items,0))),NA(),INDEX(big_daily_table,MATCH(DATE(P$5,$J361,$I361),daily_dates,0),MATCH($B$3,daily_items,0)))</f>
        <v>#N/A</v>
      </c>
      <c r="Q361" s="1" t="str">
        <f t="array" ref="Q361">IF(ISBLANK(INDEX(big_daily_table,MATCH(DATE(Q$5,$J361,$I361),daily_dates,0),MATCH($B$3,daily_items,0))),NA(),INDEX(big_daily_table,MATCH(DATE(Q$5,$J361,$I361),daily_dates,0),MATCH($B$3,daily_items,0)))</f>
        <v>#N/A</v>
      </c>
      <c r="R361" s="1" t="str">
        <f t="array" ref="R361">IF(ISBLANK(INDEX(big_daily_table,MATCH(DATE(R$5,$J361,$I361),daily_dates,0),MATCH($B$3,daily_items,0))),NA(),INDEX(big_daily_table,MATCH(DATE(R$5,$J361,$I361),daily_dates,0),MATCH($B$3,daily_items,0)))</f>
        <v>#N/A</v>
      </c>
      <c r="S361" s="1" t="str">
        <f t="array" ref="S361">IF(ISBLANK(INDEX(big_daily_table,MATCH(DATE(S$5,$J361,$I361),daily_dates,0),MATCH($B$3,daily_items,0))),NA(),INDEX(big_daily_table,MATCH(DATE(S$5,$J361,$I361),daily_dates,0),MATCH($B$3,daily_items,0)))</f>
        <v>#N/A</v>
      </c>
      <c r="T361" s="1" t="str">
        <f t="array" ref="T361">IF(ISBLANK(INDEX(big_daily_table,MATCH(DATE(T$5,$J361,$I361),daily_dates,0),MATCH($B$3,daily_items,0))),NA(),INDEX(big_daily_table,MATCH(DATE(T$5,$J361,$I361),daily_dates,0),MATCH($B$3,daily_items,0)))</f>
        <v>#N/A</v>
      </c>
      <c r="U361" s="1" t="str">
        <f t="array" ref="U361">IF(ISBLANK(INDEX(big_daily_table,MATCH(DATE(U$5,$J361,$I361),daily_dates,0),MATCH($B$3,daily_items,0))),NA(),INDEX(big_daily_table,MATCH(DATE(U$5,$J361,$I361),daily_dates,0),MATCH($B$3,daily_items,0)))</f>
        <v>#N/A</v>
      </c>
      <c r="V361" s="1" t="str">
        <f t="array" ref="V361">IF(ISBLANK(INDEX(big_daily_table,MATCH(DATE(V$5,$J361,$I361),daily_dates,0),MATCH($B$3,daily_items,0))),NA(),INDEX(big_daily_table,MATCH(DATE(V$5,$J361,$I361),daily_dates,0),MATCH($B$3,daily_items,0)))</f>
        <v>#N/A</v>
      </c>
      <c r="W361" s="1" t="str">
        <f t="array" ref="W361">IF(ISBLANK(INDEX(big_daily_table,MATCH(DATE(W$5,$J361,$I361),daily_dates,0),MATCH($B$3,daily_items,0))),NA(),INDEX(big_daily_table,MATCH(DATE(W$5,$J361,$I361),daily_dates,0),MATCH($B$3,daily_items,0)))</f>
        <v>#N/A</v>
      </c>
      <c r="X361" s="1" t="str">
        <f t="array" ref="X361">IF(ISBLANK(INDEX(big_daily_table,MATCH(DATE(X$5,$J361,$I361),daily_dates,0),MATCH($B$3,daily_items,0))),NA(),INDEX(big_daily_table,MATCH(DATE(X$5,$J361,$I361),daily_dates,0),MATCH($B$3,daily_items,0)))</f>
        <v>#N/A</v>
      </c>
      <c r="Y361" s="1" t="str">
        <f t="array" ref="Y361">IF(ISBLANK(INDEX(big_daily_table,MATCH(DATE(Y$5,$J361,$I361),daily_dates,0),MATCH($B$3,daily_items,0))),NA(),INDEX(big_daily_table,MATCH(DATE(Y$5,$J361,$I361),daily_dates,0),MATCH($B$3,daily_items,0)))</f>
        <v>#N/A</v>
      </c>
      <c r="Z361" s="1" t="str">
        <f t="shared" si="5"/>
        <v>#NAME?</v>
      </c>
      <c r="AA361" s="1" t="str">
        <f t="shared" si="6"/>
        <v>#NAME?</v>
      </c>
      <c r="AB361" s="1" t="str">
        <f t="shared" si="7"/>
        <v>#NAME?</v>
      </c>
      <c r="AC361" s="1" t="str">
        <f t="shared" si="8"/>
        <v>#NAME?</v>
      </c>
    </row>
    <row r="362" ht="14.25" customHeight="1">
      <c r="H362" s="1">
        <f t="shared" si="9"/>
        <v>357</v>
      </c>
      <c r="I362" s="1">
        <f t="shared" si="2"/>
        <v>22</v>
      </c>
      <c r="J362" s="1">
        <f t="shared" si="3"/>
        <v>12</v>
      </c>
      <c r="K362" s="23">
        <f t="shared" si="10"/>
        <v>36882</v>
      </c>
      <c r="L362" s="24">
        <f t="shared" si="4"/>
        <v>1000000</v>
      </c>
      <c r="M362" s="1" t="str">
        <f t="array" ref="M362">IF(K362&gt;0,INDEX(big_daily_table,MATCH(DATE(N$5,$J362,$I362),daily_dates,0),MATCH($B$3,daily_items,0)),NA())</f>
        <v>#N/A</v>
      </c>
      <c r="N362" s="1" t="str">
        <f t="array" ref="N362">IF(L362&lt;0,INDEX(big_daily_table,MATCH(DATE(N$5,$J362,$I362),daily_dates,0),MATCH($B$3,daily_items,0)),NA())</f>
        <v>#N/A</v>
      </c>
      <c r="O362" s="1" t="str">
        <f t="array" ref="O362">IF(ISBLANK(INDEX(big_daily_table,MATCH(DATE(O$5,$J362,$I362),daily_dates,0),MATCH($B$3,daily_items,0))),NA(),INDEX(big_daily_table,MATCH(DATE(O$5,$J362,$I362),daily_dates,0),MATCH($B$3,daily_items,0)))</f>
        <v>#N/A</v>
      </c>
      <c r="P362" s="1" t="str">
        <f t="array" ref="P362">IF(ISBLANK(INDEX(big_daily_table,MATCH(DATE(P$5,$J362,$I362),daily_dates,0),MATCH($B$3,daily_items,0))),NA(),INDEX(big_daily_table,MATCH(DATE(P$5,$J362,$I362),daily_dates,0),MATCH($B$3,daily_items,0)))</f>
        <v>#N/A</v>
      </c>
      <c r="Q362" s="1" t="str">
        <f t="array" ref="Q362">IF(ISBLANK(INDEX(big_daily_table,MATCH(DATE(Q$5,$J362,$I362),daily_dates,0),MATCH($B$3,daily_items,0))),NA(),INDEX(big_daily_table,MATCH(DATE(Q$5,$J362,$I362),daily_dates,0),MATCH($B$3,daily_items,0)))</f>
        <v>#N/A</v>
      </c>
      <c r="R362" s="1" t="str">
        <f t="array" ref="R362">IF(ISBLANK(INDEX(big_daily_table,MATCH(DATE(R$5,$J362,$I362),daily_dates,0),MATCH($B$3,daily_items,0))),NA(),INDEX(big_daily_table,MATCH(DATE(R$5,$J362,$I362),daily_dates,0),MATCH($B$3,daily_items,0)))</f>
        <v>#N/A</v>
      </c>
      <c r="S362" s="1" t="str">
        <f t="array" ref="S362">IF(ISBLANK(INDEX(big_daily_table,MATCH(DATE(S$5,$J362,$I362),daily_dates,0),MATCH($B$3,daily_items,0))),NA(),INDEX(big_daily_table,MATCH(DATE(S$5,$J362,$I362),daily_dates,0),MATCH($B$3,daily_items,0)))</f>
        <v>#N/A</v>
      </c>
      <c r="T362" s="1" t="str">
        <f t="array" ref="T362">IF(ISBLANK(INDEX(big_daily_table,MATCH(DATE(T$5,$J362,$I362),daily_dates,0),MATCH($B$3,daily_items,0))),NA(),INDEX(big_daily_table,MATCH(DATE(T$5,$J362,$I362),daily_dates,0),MATCH($B$3,daily_items,0)))</f>
        <v>#N/A</v>
      </c>
      <c r="U362" s="1" t="str">
        <f t="array" ref="U362">IF(ISBLANK(INDEX(big_daily_table,MATCH(DATE(U$5,$J362,$I362),daily_dates,0),MATCH($B$3,daily_items,0))),NA(),INDEX(big_daily_table,MATCH(DATE(U$5,$J362,$I362),daily_dates,0),MATCH($B$3,daily_items,0)))</f>
        <v>#N/A</v>
      </c>
      <c r="V362" s="1" t="str">
        <f t="array" ref="V362">IF(ISBLANK(INDEX(big_daily_table,MATCH(DATE(V$5,$J362,$I362),daily_dates,0),MATCH($B$3,daily_items,0))),NA(),INDEX(big_daily_table,MATCH(DATE(V$5,$J362,$I362),daily_dates,0),MATCH($B$3,daily_items,0)))</f>
        <v>#N/A</v>
      </c>
      <c r="W362" s="1" t="str">
        <f t="array" ref="W362">IF(ISBLANK(INDEX(big_daily_table,MATCH(DATE(W$5,$J362,$I362),daily_dates,0),MATCH($B$3,daily_items,0))),NA(),INDEX(big_daily_table,MATCH(DATE(W$5,$J362,$I362),daily_dates,0),MATCH($B$3,daily_items,0)))</f>
        <v>#N/A</v>
      </c>
      <c r="X362" s="1" t="str">
        <f t="array" ref="X362">IF(ISBLANK(INDEX(big_daily_table,MATCH(DATE(X$5,$J362,$I362),daily_dates,0),MATCH($B$3,daily_items,0))),NA(),INDEX(big_daily_table,MATCH(DATE(X$5,$J362,$I362),daily_dates,0),MATCH($B$3,daily_items,0)))</f>
        <v>#N/A</v>
      </c>
      <c r="Y362" s="1" t="str">
        <f t="array" ref="Y362">IF(ISBLANK(INDEX(big_daily_table,MATCH(DATE(Y$5,$J362,$I362),daily_dates,0),MATCH($B$3,daily_items,0))),NA(),INDEX(big_daily_table,MATCH(DATE(Y$5,$J362,$I362),daily_dates,0),MATCH($B$3,daily_items,0)))</f>
        <v>#N/A</v>
      </c>
      <c r="Z362" s="1" t="str">
        <f t="shared" si="5"/>
        <v>#NAME?</v>
      </c>
      <c r="AA362" s="1" t="str">
        <f t="shared" si="6"/>
        <v>#NAME?</v>
      </c>
      <c r="AB362" s="1" t="str">
        <f t="shared" si="7"/>
        <v>#NAME?</v>
      </c>
      <c r="AC362" s="1" t="str">
        <f t="shared" si="8"/>
        <v>#NAME?</v>
      </c>
    </row>
    <row r="363" ht="14.25" customHeight="1">
      <c r="H363" s="1">
        <f t="shared" si="9"/>
        <v>358</v>
      </c>
      <c r="I363" s="1">
        <f t="shared" si="2"/>
        <v>23</v>
      </c>
      <c r="J363" s="1">
        <f t="shared" si="3"/>
        <v>12</v>
      </c>
      <c r="K363" s="23">
        <f t="shared" si="10"/>
        <v>36883</v>
      </c>
      <c r="L363" s="24">
        <f t="shared" si="4"/>
        <v>1000000</v>
      </c>
      <c r="M363" s="1" t="str">
        <f t="array" ref="M363">IF(K363&gt;0,INDEX(big_daily_table,MATCH(DATE(N$5,$J363,$I363),daily_dates,0),MATCH($B$3,daily_items,0)),NA())</f>
        <v>#N/A</v>
      </c>
      <c r="N363" s="1" t="str">
        <f t="array" ref="N363">IF(L363&lt;0,INDEX(big_daily_table,MATCH(DATE(N$5,$J363,$I363),daily_dates,0),MATCH($B$3,daily_items,0)),NA())</f>
        <v>#N/A</v>
      </c>
      <c r="O363" s="1" t="str">
        <f t="array" ref="O363">IF(ISBLANK(INDEX(big_daily_table,MATCH(DATE(O$5,$J363,$I363),daily_dates,0),MATCH($B$3,daily_items,0))),NA(),INDEX(big_daily_table,MATCH(DATE(O$5,$J363,$I363),daily_dates,0),MATCH($B$3,daily_items,0)))</f>
        <v>#N/A</v>
      </c>
      <c r="P363" s="1" t="str">
        <f t="array" ref="P363">IF(ISBLANK(INDEX(big_daily_table,MATCH(DATE(P$5,$J363,$I363),daily_dates,0),MATCH($B$3,daily_items,0))),NA(),INDEX(big_daily_table,MATCH(DATE(P$5,$J363,$I363),daily_dates,0),MATCH($B$3,daily_items,0)))</f>
        <v>#N/A</v>
      </c>
      <c r="Q363" s="1" t="str">
        <f t="array" ref="Q363">IF(ISBLANK(INDEX(big_daily_table,MATCH(DATE(Q$5,$J363,$I363),daily_dates,0),MATCH($B$3,daily_items,0))),NA(),INDEX(big_daily_table,MATCH(DATE(Q$5,$J363,$I363),daily_dates,0),MATCH($B$3,daily_items,0)))</f>
        <v>#N/A</v>
      </c>
      <c r="R363" s="1" t="str">
        <f t="array" ref="R363">IF(ISBLANK(INDEX(big_daily_table,MATCH(DATE(R$5,$J363,$I363),daily_dates,0),MATCH($B$3,daily_items,0))),NA(),INDEX(big_daily_table,MATCH(DATE(R$5,$J363,$I363),daily_dates,0),MATCH($B$3,daily_items,0)))</f>
        <v>#N/A</v>
      </c>
      <c r="S363" s="1" t="str">
        <f t="array" ref="S363">IF(ISBLANK(INDEX(big_daily_table,MATCH(DATE(S$5,$J363,$I363),daily_dates,0),MATCH($B$3,daily_items,0))),NA(),INDEX(big_daily_table,MATCH(DATE(S$5,$J363,$I363),daily_dates,0),MATCH($B$3,daily_items,0)))</f>
        <v>#N/A</v>
      </c>
      <c r="T363" s="1" t="str">
        <f t="array" ref="T363">IF(ISBLANK(INDEX(big_daily_table,MATCH(DATE(T$5,$J363,$I363),daily_dates,0),MATCH($B$3,daily_items,0))),NA(),INDEX(big_daily_table,MATCH(DATE(T$5,$J363,$I363),daily_dates,0),MATCH($B$3,daily_items,0)))</f>
        <v>#N/A</v>
      </c>
      <c r="U363" s="1" t="str">
        <f t="array" ref="U363">IF(ISBLANK(INDEX(big_daily_table,MATCH(DATE(U$5,$J363,$I363),daily_dates,0),MATCH($B$3,daily_items,0))),NA(),INDEX(big_daily_table,MATCH(DATE(U$5,$J363,$I363),daily_dates,0),MATCH($B$3,daily_items,0)))</f>
        <v>#N/A</v>
      </c>
      <c r="V363" s="1" t="str">
        <f t="array" ref="V363">IF(ISBLANK(INDEX(big_daily_table,MATCH(DATE(V$5,$J363,$I363),daily_dates,0),MATCH($B$3,daily_items,0))),NA(),INDEX(big_daily_table,MATCH(DATE(V$5,$J363,$I363),daily_dates,0),MATCH($B$3,daily_items,0)))</f>
        <v>#N/A</v>
      </c>
      <c r="W363" s="1" t="str">
        <f t="array" ref="W363">IF(ISBLANK(INDEX(big_daily_table,MATCH(DATE(W$5,$J363,$I363),daily_dates,0),MATCH($B$3,daily_items,0))),NA(),INDEX(big_daily_table,MATCH(DATE(W$5,$J363,$I363),daily_dates,0),MATCH($B$3,daily_items,0)))</f>
        <v>#N/A</v>
      </c>
      <c r="X363" s="1" t="str">
        <f t="array" ref="X363">IF(ISBLANK(INDEX(big_daily_table,MATCH(DATE(X$5,$J363,$I363),daily_dates,0),MATCH($B$3,daily_items,0))),NA(),INDEX(big_daily_table,MATCH(DATE(X$5,$J363,$I363),daily_dates,0),MATCH($B$3,daily_items,0)))</f>
        <v>#N/A</v>
      </c>
      <c r="Y363" s="1" t="str">
        <f t="array" ref="Y363">IF(ISBLANK(INDEX(big_daily_table,MATCH(DATE(Y$5,$J363,$I363),daily_dates,0),MATCH($B$3,daily_items,0))),NA(),INDEX(big_daily_table,MATCH(DATE(Y$5,$J363,$I363),daily_dates,0),MATCH($B$3,daily_items,0)))</f>
        <v>#N/A</v>
      </c>
      <c r="Z363" s="1" t="str">
        <f t="shared" si="5"/>
        <v>#NAME?</v>
      </c>
      <c r="AA363" s="1" t="str">
        <f t="shared" si="6"/>
        <v>#NAME?</v>
      </c>
      <c r="AB363" s="1" t="str">
        <f t="shared" si="7"/>
        <v>#NAME?</v>
      </c>
      <c r="AC363" s="1" t="str">
        <f t="shared" si="8"/>
        <v>#NAME?</v>
      </c>
    </row>
    <row r="364" ht="14.25" customHeight="1">
      <c r="H364" s="1">
        <f t="shared" si="9"/>
        <v>359</v>
      </c>
      <c r="I364" s="1">
        <f t="shared" si="2"/>
        <v>24</v>
      </c>
      <c r="J364" s="1">
        <f t="shared" si="3"/>
        <v>12</v>
      </c>
      <c r="K364" s="23">
        <f t="shared" si="10"/>
        <v>36884</v>
      </c>
      <c r="L364" s="24">
        <f t="shared" si="4"/>
        <v>1000000</v>
      </c>
      <c r="M364" s="1" t="str">
        <f t="array" ref="M364">IF(K364&gt;0,INDEX(big_daily_table,MATCH(DATE(N$5,$J364,$I364),daily_dates,0),MATCH($B$3,daily_items,0)),NA())</f>
        <v>#N/A</v>
      </c>
      <c r="N364" s="1" t="str">
        <f t="array" ref="N364">IF(L364&lt;0,INDEX(big_daily_table,MATCH(DATE(N$5,$J364,$I364),daily_dates,0),MATCH($B$3,daily_items,0)),NA())</f>
        <v>#N/A</v>
      </c>
      <c r="O364" s="1" t="str">
        <f t="array" ref="O364">IF(ISBLANK(INDEX(big_daily_table,MATCH(DATE(O$5,$J364,$I364),daily_dates,0),MATCH($B$3,daily_items,0))),NA(),INDEX(big_daily_table,MATCH(DATE(O$5,$J364,$I364),daily_dates,0),MATCH($B$3,daily_items,0)))</f>
        <v>#N/A</v>
      </c>
      <c r="P364" s="1" t="str">
        <f t="array" ref="P364">IF(ISBLANK(INDEX(big_daily_table,MATCH(DATE(P$5,$J364,$I364),daily_dates,0),MATCH($B$3,daily_items,0))),NA(),INDEX(big_daily_table,MATCH(DATE(P$5,$J364,$I364),daily_dates,0),MATCH($B$3,daily_items,0)))</f>
        <v>#N/A</v>
      </c>
      <c r="Q364" s="1" t="str">
        <f t="array" ref="Q364">IF(ISBLANK(INDEX(big_daily_table,MATCH(DATE(Q$5,$J364,$I364),daily_dates,0),MATCH($B$3,daily_items,0))),NA(),INDEX(big_daily_table,MATCH(DATE(Q$5,$J364,$I364),daily_dates,0),MATCH($B$3,daily_items,0)))</f>
        <v>#N/A</v>
      </c>
      <c r="R364" s="1" t="str">
        <f t="array" ref="R364">IF(ISBLANK(INDEX(big_daily_table,MATCH(DATE(R$5,$J364,$I364),daily_dates,0),MATCH($B$3,daily_items,0))),NA(),INDEX(big_daily_table,MATCH(DATE(R$5,$J364,$I364),daily_dates,0),MATCH($B$3,daily_items,0)))</f>
        <v>#N/A</v>
      </c>
      <c r="S364" s="1" t="str">
        <f t="array" ref="S364">IF(ISBLANK(INDEX(big_daily_table,MATCH(DATE(S$5,$J364,$I364),daily_dates,0),MATCH($B$3,daily_items,0))),NA(),INDEX(big_daily_table,MATCH(DATE(S$5,$J364,$I364),daily_dates,0),MATCH($B$3,daily_items,0)))</f>
        <v>#N/A</v>
      </c>
      <c r="T364" s="1" t="str">
        <f t="array" ref="T364">IF(ISBLANK(INDEX(big_daily_table,MATCH(DATE(T$5,$J364,$I364),daily_dates,0),MATCH($B$3,daily_items,0))),NA(),INDEX(big_daily_table,MATCH(DATE(T$5,$J364,$I364),daily_dates,0),MATCH($B$3,daily_items,0)))</f>
        <v>#N/A</v>
      </c>
      <c r="U364" s="1" t="str">
        <f t="array" ref="U364">IF(ISBLANK(INDEX(big_daily_table,MATCH(DATE(U$5,$J364,$I364),daily_dates,0),MATCH($B$3,daily_items,0))),NA(),INDEX(big_daily_table,MATCH(DATE(U$5,$J364,$I364),daily_dates,0),MATCH($B$3,daily_items,0)))</f>
        <v>#N/A</v>
      </c>
      <c r="V364" s="1" t="str">
        <f t="array" ref="V364">IF(ISBLANK(INDEX(big_daily_table,MATCH(DATE(V$5,$J364,$I364),daily_dates,0),MATCH($B$3,daily_items,0))),NA(),INDEX(big_daily_table,MATCH(DATE(V$5,$J364,$I364),daily_dates,0),MATCH($B$3,daily_items,0)))</f>
        <v>#N/A</v>
      </c>
      <c r="W364" s="1" t="str">
        <f t="array" ref="W364">IF(ISBLANK(INDEX(big_daily_table,MATCH(DATE(W$5,$J364,$I364),daily_dates,0),MATCH($B$3,daily_items,0))),NA(),INDEX(big_daily_table,MATCH(DATE(W$5,$J364,$I364),daily_dates,0),MATCH($B$3,daily_items,0)))</f>
        <v>#N/A</v>
      </c>
      <c r="X364" s="1" t="str">
        <f t="array" ref="X364">IF(ISBLANK(INDEX(big_daily_table,MATCH(DATE(X$5,$J364,$I364),daily_dates,0),MATCH($B$3,daily_items,0))),NA(),INDEX(big_daily_table,MATCH(DATE(X$5,$J364,$I364),daily_dates,0),MATCH($B$3,daily_items,0)))</f>
        <v>#N/A</v>
      </c>
      <c r="Y364" s="1" t="str">
        <f t="array" ref="Y364">IF(ISBLANK(INDEX(big_daily_table,MATCH(DATE(Y$5,$J364,$I364),daily_dates,0),MATCH($B$3,daily_items,0))),NA(),INDEX(big_daily_table,MATCH(DATE(Y$5,$J364,$I364),daily_dates,0),MATCH($B$3,daily_items,0)))</f>
        <v>#N/A</v>
      </c>
      <c r="Z364" s="1" t="str">
        <f t="shared" si="5"/>
        <v>#NAME?</v>
      </c>
      <c r="AA364" s="1" t="str">
        <f t="shared" si="6"/>
        <v>#NAME?</v>
      </c>
      <c r="AB364" s="1" t="str">
        <f t="shared" si="7"/>
        <v>#NAME?</v>
      </c>
      <c r="AC364" s="1" t="str">
        <f t="shared" si="8"/>
        <v>#NAME?</v>
      </c>
    </row>
    <row r="365" ht="14.25" customHeight="1">
      <c r="H365" s="1">
        <f t="shared" si="9"/>
        <v>360</v>
      </c>
      <c r="I365" s="1">
        <f t="shared" si="2"/>
        <v>25</v>
      </c>
      <c r="J365" s="1">
        <f t="shared" si="3"/>
        <v>12</v>
      </c>
      <c r="K365" s="23">
        <f t="shared" si="10"/>
        <v>36885</v>
      </c>
      <c r="L365" s="24">
        <f t="shared" si="4"/>
        <v>1000000</v>
      </c>
      <c r="M365" s="1" t="str">
        <f t="array" ref="M365">IF(K365&gt;0,INDEX(big_daily_table,MATCH(DATE(N$5,$J365,$I365),daily_dates,0),MATCH($B$3,daily_items,0)),NA())</f>
        <v>#N/A</v>
      </c>
      <c r="N365" s="1" t="str">
        <f t="array" ref="N365">IF(L365&lt;0,INDEX(big_daily_table,MATCH(DATE(N$5,$J365,$I365),daily_dates,0),MATCH($B$3,daily_items,0)),NA())</f>
        <v>#N/A</v>
      </c>
      <c r="O365" s="1" t="str">
        <f t="array" ref="O365">IF(ISBLANK(INDEX(big_daily_table,MATCH(DATE(O$5,$J365,$I365),daily_dates,0),MATCH($B$3,daily_items,0))),NA(),INDEX(big_daily_table,MATCH(DATE(O$5,$J365,$I365),daily_dates,0),MATCH($B$3,daily_items,0)))</f>
        <v>#N/A</v>
      </c>
      <c r="P365" s="1" t="str">
        <f t="array" ref="P365">IF(ISBLANK(INDEX(big_daily_table,MATCH(DATE(P$5,$J365,$I365),daily_dates,0),MATCH($B$3,daily_items,0))),NA(),INDEX(big_daily_table,MATCH(DATE(P$5,$J365,$I365),daily_dates,0),MATCH($B$3,daily_items,0)))</f>
        <v>#N/A</v>
      </c>
      <c r="Q365" s="1" t="str">
        <f t="array" ref="Q365">IF(ISBLANK(INDEX(big_daily_table,MATCH(DATE(Q$5,$J365,$I365),daily_dates,0),MATCH($B$3,daily_items,0))),NA(),INDEX(big_daily_table,MATCH(DATE(Q$5,$J365,$I365),daily_dates,0),MATCH($B$3,daily_items,0)))</f>
        <v>#N/A</v>
      </c>
      <c r="R365" s="1" t="str">
        <f t="array" ref="R365">IF(ISBLANK(INDEX(big_daily_table,MATCH(DATE(R$5,$J365,$I365),daily_dates,0),MATCH($B$3,daily_items,0))),NA(),INDEX(big_daily_table,MATCH(DATE(R$5,$J365,$I365),daily_dates,0),MATCH($B$3,daily_items,0)))</f>
        <v>#N/A</v>
      </c>
      <c r="S365" s="1" t="str">
        <f t="array" ref="S365">IF(ISBLANK(INDEX(big_daily_table,MATCH(DATE(S$5,$J365,$I365),daily_dates,0),MATCH($B$3,daily_items,0))),NA(),INDEX(big_daily_table,MATCH(DATE(S$5,$J365,$I365),daily_dates,0),MATCH($B$3,daily_items,0)))</f>
        <v>#N/A</v>
      </c>
      <c r="T365" s="1" t="str">
        <f t="array" ref="T365">IF(ISBLANK(INDEX(big_daily_table,MATCH(DATE(T$5,$J365,$I365),daily_dates,0),MATCH($B$3,daily_items,0))),NA(),INDEX(big_daily_table,MATCH(DATE(T$5,$J365,$I365),daily_dates,0),MATCH($B$3,daily_items,0)))</f>
        <v>#N/A</v>
      </c>
      <c r="U365" s="1" t="str">
        <f t="array" ref="U365">IF(ISBLANK(INDEX(big_daily_table,MATCH(DATE(U$5,$J365,$I365),daily_dates,0),MATCH($B$3,daily_items,0))),NA(),INDEX(big_daily_table,MATCH(DATE(U$5,$J365,$I365),daily_dates,0),MATCH($B$3,daily_items,0)))</f>
        <v>#N/A</v>
      </c>
      <c r="V365" s="1" t="str">
        <f t="array" ref="V365">IF(ISBLANK(INDEX(big_daily_table,MATCH(DATE(V$5,$J365,$I365),daily_dates,0),MATCH($B$3,daily_items,0))),NA(),INDEX(big_daily_table,MATCH(DATE(V$5,$J365,$I365),daily_dates,0),MATCH($B$3,daily_items,0)))</f>
        <v>#N/A</v>
      </c>
      <c r="W365" s="1" t="str">
        <f t="array" ref="W365">IF(ISBLANK(INDEX(big_daily_table,MATCH(DATE(W$5,$J365,$I365),daily_dates,0),MATCH($B$3,daily_items,0))),NA(),INDEX(big_daily_table,MATCH(DATE(W$5,$J365,$I365),daily_dates,0),MATCH($B$3,daily_items,0)))</f>
        <v>#N/A</v>
      </c>
      <c r="X365" s="1" t="str">
        <f t="array" ref="X365">IF(ISBLANK(INDEX(big_daily_table,MATCH(DATE(X$5,$J365,$I365),daily_dates,0),MATCH($B$3,daily_items,0))),NA(),INDEX(big_daily_table,MATCH(DATE(X$5,$J365,$I365),daily_dates,0),MATCH($B$3,daily_items,0)))</f>
        <v>#N/A</v>
      </c>
      <c r="Y365" s="1" t="str">
        <f t="array" ref="Y365">IF(ISBLANK(INDEX(big_daily_table,MATCH(DATE(Y$5,$J365,$I365),daily_dates,0),MATCH($B$3,daily_items,0))),NA(),INDEX(big_daily_table,MATCH(DATE(Y$5,$J365,$I365),daily_dates,0),MATCH($B$3,daily_items,0)))</f>
        <v>#N/A</v>
      </c>
      <c r="Z365" s="1" t="str">
        <f t="shared" si="5"/>
        <v>#NAME?</v>
      </c>
      <c r="AA365" s="1" t="str">
        <f t="shared" si="6"/>
        <v>#NAME?</v>
      </c>
      <c r="AB365" s="1" t="str">
        <f t="shared" si="7"/>
        <v>#NAME?</v>
      </c>
      <c r="AC365" s="1" t="str">
        <f t="shared" si="8"/>
        <v>#NAME?</v>
      </c>
    </row>
    <row r="366" ht="14.25" customHeight="1">
      <c r="H366" s="1">
        <f t="shared" si="9"/>
        <v>361</v>
      </c>
      <c r="I366" s="1">
        <f t="shared" si="2"/>
        <v>26</v>
      </c>
      <c r="J366" s="1">
        <f t="shared" si="3"/>
        <v>12</v>
      </c>
      <c r="K366" s="23">
        <f t="shared" si="10"/>
        <v>36886</v>
      </c>
      <c r="L366" s="24">
        <f t="shared" si="4"/>
        <v>1000000</v>
      </c>
      <c r="M366" s="1" t="str">
        <f t="array" ref="M366">IF(K366&gt;0,INDEX(big_daily_table,MATCH(DATE(N$5,$J366,$I366),daily_dates,0),MATCH($B$3,daily_items,0)),NA())</f>
        <v>#N/A</v>
      </c>
      <c r="N366" s="1" t="str">
        <f t="array" ref="N366">IF(L366&lt;0,INDEX(big_daily_table,MATCH(DATE(N$5,$J366,$I366),daily_dates,0),MATCH($B$3,daily_items,0)),NA())</f>
        <v>#N/A</v>
      </c>
      <c r="O366" s="1" t="str">
        <f t="array" ref="O366">IF(ISBLANK(INDEX(big_daily_table,MATCH(DATE(O$5,$J366,$I366),daily_dates,0),MATCH($B$3,daily_items,0))),NA(),INDEX(big_daily_table,MATCH(DATE(O$5,$J366,$I366),daily_dates,0),MATCH($B$3,daily_items,0)))</f>
        <v>#N/A</v>
      </c>
      <c r="P366" s="1" t="str">
        <f t="array" ref="P366">IF(ISBLANK(INDEX(big_daily_table,MATCH(DATE(P$5,$J366,$I366),daily_dates,0),MATCH($B$3,daily_items,0))),NA(),INDEX(big_daily_table,MATCH(DATE(P$5,$J366,$I366),daily_dates,0),MATCH($B$3,daily_items,0)))</f>
        <v>#N/A</v>
      </c>
      <c r="Q366" s="1" t="str">
        <f t="array" ref="Q366">IF(ISBLANK(INDEX(big_daily_table,MATCH(DATE(Q$5,$J366,$I366),daily_dates,0),MATCH($B$3,daily_items,0))),NA(),INDEX(big_daily_table,MATCH(DATE(Q$5,$J366,$I366),daily_dates,0),MATCH($B$3,daily_items,0)))</f>
        <v>#N/A</v>
      </c>
      <c r="R366" s="1" t="str">
        <f t="array" ref="R366">IF(ISBLANK(INDEX(big_daily_table,MATCH(DATE(R$5,$J366,$I366),daily_dates,0),MATCH($B$3,daily_items,0))),NA(),INDEX(big_daily_table,MATCH(DATE(R$5,$J366,$I366),daily_dates,0),MATCH($B$3,daily_items,0)))</f>
        <v>#N/A</v>
      </c>
      <c r="S366" s="1" t="str">
        <f t="array" ref="S366">IF(ISBLANK(INDEX(big_daily_table,MATCH(DATE(S$5,$J366,$I366),daily_dates,0),MATCH($B$3,daily_items,0))),NA(),INDEX(big_daily_table,MATCH(DATE(S$5,$J366,$I366),daily_dates,0),MATCH($B$3,daily_items,0)))</f>
        <v>#N/A</v>
      </c>
      <c r="T366" s="1" t="str">
        <f t="array" ref="T366">IF(ISBLANK(INDEX(big_daily_table,MATCH(DATE(T$5,$J366,$I366),daily_dates,0),MATCH($B$3,daily_items,0))),NA(),INDEX(big_daily_table,MATCH(DATE(T$5,$J366,$I366),daily_dates,0),MATCH($B$3,daily_items,0)))</f>
        <v>#N/A</v>
      </c>
      <c r="U366" s="1" t="str">
        <f t="array" ref="U366">IF(ISBLANK(INDEX(big_daily_table,MATCH(DATE(U$5,$J366,$I366),daily_dates,0),MATCH($B$3,daily_items,0))),NA(),INDEX(big_daily_table,MATCH(DATE(U$5,$J366,$I366),daily_dates,0),MATCH($B$3,daily_items,0)))</f>
        <v>#N/A</v>
      </c>
      <c r="V366" s="1" t="str">
        <f t="array" ref="V366">IF(ISBLANK(INDEX(big_daily_table,MATCH(DATE(V$5,$J366,$I366),daily_dates,0),MATCH($B$3,daily_items,0))),NA(),INDEX(big_daily_table,MATCH(DATE(V$5,$J366,$I366),daily_dates,0),MATCH($B$3,daily_items,0)))</f>
        <v>#N/A</v>
      </c>
      <c r="W366" s="1" t="str">
        <f t="array" ref="W366">IF(ISBLANK(INDEX(big_daily_table,MATCH(DATE(W$5,$J366,$I366),daily_dates,0),MATCH($B$3,daily_items,0))),NA(),INDEX(big_daily_table,MATCH(DATE(W$5,$J366,$I366),daily_dates,0),MATCH($B$3,daily_items,0)))</f>
        <v>#N/A</v>
      </c>
      <c r="X366" s="1" t="str">
        <f t="array" ref="X366">IF(ISBLANK(INDEX(big_daily_table,MATCH(DATE(X$5,$J366,$I366),daily_dates,0),MATCH($B$3,daily_items,0))),NA(),INDEX(big_daily_table,MATCH(DATE(X$5,$J366,$I366),daily_dates,0),MATCH($B$3,daily_items,0)))</f>
        <v>#N/A</v>
      </c>
      <c r="Y366" s="1" t="str">
        <f t="array" ref="Y366">IF(ISBLANK(INDEX(big_daily_table,MATCH(DATE(Y$5,$J366,$I366),daily_dates,0),MATCH($B$3,daily_items,0))),NA(),INDEX(big_daily_table,MATCH(DATE(Y$5,$J366,$I366),daily_dates,0),MATCH($B$3,daily_items,0)))</f>
        <v>#N/A</v>
      </c>
      <c r="Z366" s="1" t="str">
        <f t="shared" si="5"/>
        <v>#NAME?</v>
      </c>
      <c r="AA366" s="1" t="str">
        <f t="shared" si="6"/>
        <v>#NAME?</v>
      </c>
      <c r="AB366" s="1" t="str">
        <f t="shared" si="7"/>
        <v>#NAME?</v>
      </c>
      <c r="AC366" s="1" t="str">
        <f t="shared" si="8"/>
        <v>#NAME?</v>
      </c>
    </row>
    <row r="367" ht="14.25" customHeight="1">
      <c r="H367" s="1">
        <f t="shared" si="9"/>
        <v>362</v>
      </c>
      <c r="I367" s="1">
        <f t="shared" si="2"/>
        <v>27</v>
      </c>
      <c r="J367" s="1">
        <f t="shared" si="3"/>
        <v>12</v>
      </c>
      <c r="K367" s="23">
        <f t="shared" si="10"/>
        <v>36887</v>
      </c>
      <c r="L367" s="24">
        <f t="shared" si="4"/>
        <v>1000000</v>
      </c>
      <c r="M367" s="1" t="str">
        <f t="array" ref="M367">IF(K367&gt;0,INDEX(big_daily_table,MATCH(DATE(N$5,$J367,$I367),daily_dates,0),MATCH($B$3,daily_items,0)),NA())</f>
        <v>#N/A</v>
      </c>
      <c r="N367" s="1" t="str">
        <f t="array" ref="N367">IF(L367&lt;0,INDEX(big_daily_table,MATCH(DATE(N$5,$J367,$I367),daily_dates,0),MATCH($B$3,daily_items,0)),NA())</f>
        <v>#N/A</v>
      </c>
      <c r="O367" s="1" t="str">
        <f t="array" ref="O367">IF(ISBLANK(INDEX(big_daily_table,MATCH(DATE(O$5,$J367,$I367),daily_dates,0),MATCH($B$3,daily_items,0))),NA(),INDEX(big_daily_table,MATCH(DATE(O$5,$J367,$I367),daily_dates,0),MATCH($B$3,daily_items,0)))</f>
        <v>#N/A</v>
      </c>
      <c r="P367" s="1" t="str">
        <f t="array" ref="P367">IF(ISBLANK(INDEX(big_daily_table,MATCH(DATE(P$5,$J367,$I367),daily_dates,0),MATCH($B$3,daily_items,0))),NA(),INDEX(big_daily_table,MATCH(DATE(P$5,$J367,$I367),daily_dates,0),MATCH($B$3,daily_items,0)))</f>
        <v>#N/A</v>
      </c>
      <c r="Q367" s="1" t="str">
        <f t="array" ref="Q367">IF(ISBLANK(INDEX(big_daily_table,MATCH(DATE(Q$5,$J367,$I367),daily_dates,0),MATCH($B$3,daily_items,0))),NA(),INDEX(big_daily_table,MATCH(DATE(Q$5,$J367,$I367),daily_dates,0),MATCH($B$3,daily_items,0)))</f>
        <v>#N/A</v>
      </c>
      <c r="R367" s="1" t="str">
        <f t="array" ref="R367">IF(ISBLANK(INDEX(big_daily_table,MATCH(DATE(R$5,$J367,$I367),daily_dates,0),MATCH($B$3,daily_items,0))),NA(),INDEX(big_daily_table,MATCH(DATE(R$5,$J367,$I367),daily_dates,0),MATCH($B$3,daily_items,0)))</f>
        <v>#N/A</v>
      </c>
      <c r="S367" s="1" t="str">
        <f t="array" ref="S367">IF(ISBLANK(INDEX(big_daily_table,MATCH(DATE(S$5,$J367,$I367),daily_dates,0),MATCH($B$3,daily_items,0))),NA(),INDEX(big_daily_table,MATCH(DATE(S$5,$J367,$I367),daily_dates,0),MATCH($B$3,daily_items,0)))</f>
        <v>#N/A</v>
      </c>
      <c r="T367" s="1" t="str">
        <f t="array" ref="T367">IF(ISBLANK(INDEX(big_daily_table,MATCH(DATE(T$5,$J367,$I367),daily_dates,0),MATCH($B$3,daily_items,0))),NA(),INDEX(big_daily_table,MATCH(DATE(T$5,$J367,$I367),daily_dates,0),MATCH($B$3,daily_items,0)))</f>
        <v>#N/A</v>
      </c>
      <c r="U367" s="1" t="str">
        <f t="array" ref="U367">IF(ISBLANK(INDEX(big_daily_table,MATCH(DATE(U$5,$J367,$I367),daily_dates,0),MATCH($B$3,daily_items,0))),NA(),INDEX(big_daily_table,MATCH(DATE(U$5,$J367,$I367),daily_dates,0),MATCH($B$3,daily_items,0)))</f>
        <v>#N/A</v>
      </c>
      <c r="V367" s="1" t="str">
        <f t="array" ref="V367">IF(ISBLANK(INDEX(big_daily_table,MATCH(DATE(V$5,$J367,$I367),daily_dates,0),MATCH($B$3,daily_items,0))),NA(),INDEX(big_daily_table,MATCH(DATE(V$5,$J367,$I367),daily_dates,0),MATCH($B$3,daily_items,0)))</f>
        <v>#N/A</v>
      </c>
      <c r="W367" s="1" t="str">
        <f t="array" ref="W367">IF(ISBLANK(INDEX(big_daily_table,MATCH(DATE(W$5,$J367,$I367),daily_dates,0),MATCH($B$3,daily_items,0))),NA(),INDEX(big_daily_table,MATCH(DATE(W$5,$J367,$I367),daily_dates,0),MATCH($B$3,daily_items,0)))</f>
        <v>#N/A</v>
      </c>
      <c r="X367" s="1" t="str">
        <f t="array" ref="X367">IF(ISBLANK(INDEX(big_daily_table,MATCH(DATE(X$5,$J367,$I367),daily_dates,0),MATCH($B$3,daily_items,0))),NA(),INDEX(big_daily_table,MATCH(DATE(X$5,$J367,$I367),daily_dates,0),MATCH($B$3,daily_items,0)))</f>
        <v>#N/A</v>
      </c>
      <c r="Y367" s="1" t="str">
        <f t="array" ref="Y367">IF(ISBLANK(INDEX(big_daily_table,MATCH(DATE(Y$5,$J367,$I367),daily_dates,0),MATCH($B$3,daily_items,0))),NA(),INDEX(big_daily_table,MATCH(DATE(Y$5,$J367,$I367),daily_dates,0),MATCH($B$3,daily_items,0)))</f>
        <v>#N/A</v>
      </c>
      <c r="Z367" s="1" t="str">
        <f t="shared" si="5"/>
        <v>#NAME?</v>
      </c>
      <c r="AA367" s="1" t="str">
        <f t="shared" si="6"/>
        <v>#NAME?</v>
      </c>
      <c r="AB367" s="1" t="str">
        <f t="shared" si="7"/>
        <v>#NAME?</v>
      </c>
      <c r="AC367" s="1" t="str">
        <f t="shared" si="8"/>
        <v>#NAME?</v>
      </c>
    </row>
    <row r="368" ht="14.25" customHeight="1">
      <c r="H368" s="1">
        <f t="shared" si="9"/>
        <v>363</v>
      </c>
      <c r="I368" s="1">
        <f t="shared" si="2"/>
        <v>28</v>
      </c>
      <c r="J368" s="1">
        <f t="shared" si="3"/>
        <v>12</v>
      </c>
      <c r="K368" s="23">
        <f t="shared" si="10"/>
        <v>36888</v>
      </c>
      <c r="L368" s="24">
        <f t="shared" si="4"/>
        <v>1000000</v>
      </c>
      <c r="M368" s="1" t="str">
        <f t="array" ref="M368">IF(K368&gt;0,INDEX(big_daily_table,MATCH(DATE(N$5,$J368,$I368),daily_dates,0),MATCH($B$3,daily_items,0)),NA())</f>
        <v>#N/A</v>
      </c>
      <c r="N368" s="1" t="str">
        <f t="array" ref="N368">IF(L368&lt;0,INDEX(big_daily_table,MATCH(DATE(N$5,$J368,$I368),daily_dates,0),MATCH($B$3,daily_items,0)),NA())</f>
        <v>#N/A</v>
      </c>
      <c r="O368" s="1" t="str">
        <f t="array" ref="O368">IF(ISBLANK(INDEX(big_daily_table,MATCH(DATE(O$5,$J368,$I368),daily_dates,0),MATCH($B$3,daily_items,0))),NA(),INDEX(big_daily_table,MATCH(DATE(O$5,$J368,$I368),daily_dates,0),MATCH($B$3,daily_items,0)))</f>
        <v>#N/A</v>
      </c>
      <c r="P368" s="1" t="str">
        <f t="array" ref="P368">IF(ISBLANK(INDEX(big_daily_table,MATCH(DATE(P$5,$J368,$I368),daily_dates,0),MATCH($B$3,daily_items,0))),NA(),INDEX(big_daily_table,MATCH(DATE(P$5,$J368,$I368),daily_dates,0),MATCH($B$3,daily_items,0)))</f>
        <v>#N/A</v>
      </c>
      <c r="Q368" s="1" t="str">
        <f t="array" ref="Q368">IF(ISBLANK(INDEX(big_daily_table,MATCH(DATE(Q$5,$J368,$I368),daily_dates,0),MATCH($B$3,daily_items,0))),NA(),INDEX(big_daily_table,MATCH(DATE(Q$5,$J368,$I368),daily_dates,0),MATCH($B$3,daily_items,0)))</f>
        <v>#N/A</v>
      </c>
      <c r="R368" s="1" t="str">
        <f t="array" ref="R368">IF(ISBLANK(INDEX(big_daily_table,MATCH(DATE(R$5,$J368,$I368),daily_dates,0),MATCH($B$3,daily_items,0))),NA(),INDEX(big_daily_table,MATCH(DATE(R$5,$J368,$I368),daily_dates,0),MATCH($B$3,daily_items,0)))</f>
        <v>#N/A</v>
      </c>
      <c r="S368" s="1" t="str">
        <f t="array" ref="S368">IF(ISBLANK(INDEX(big_daily_table,MATCH(DATE(S$5,$J368,$I368),daily_dates,0),MATCH($B$3,daily_items,0))),NA(),INDEX(big_daily_table,MATCH(DATE(S$5,$J368,$I368),daily_dates,0),MATCH($B$3,daily_items,0)))</f>
        <v>#N/A</v>
      </c>
      <c r="T368" s="1" t="str">
        <f t="array" ref="T368">IF(ISBLANK(INDEX(big_daily_table,MATCH(DATE(T$5,$J368,$I368),daily_dates,0),MATCH($B$3,daily_items,0))),NA(),INDEX(big_daily_table,MATCH(DATE(T$5,$J368,$I368),daily_dates,0),MATCH($B$3,daily_items,0)))</f>
        <v>#N/A</v>
      </c>
      <c r="U368" s="1" t="str">
        <f t="array" ref="U368">IF(ISBLANK(INDEX(big_daily_table,MATCH(DATE(U$5,$J368,$I368),daily_dates,0),MATCH($B$3,daily_items,0))),NA(),INDEX(big_daily_table,MATCH(DATE(U$5,$J368,$I368),daily_dates,0),MATCH($B$3,daily_items,0)))</f>
        <v>#N/A</v>
      </c>
      <c r="V368" s="1" t="str">
        <f t="array" ref="V368">IF(ISBLANK(INDEX(big_daily_table,MATCH(DATE(V$5,$J368,$I368),daily_dates,0),MATCH($B$3,daily_items,0))),NA(),INDEX(big_daily_table,MATCH(DATE(V$5,$J368,$I368),daily_dates,0),MATCH($B$3,daily_items,0)))</f>
        <v>#N/A</v>
      </c>
      <c r="W368" s="1" t="str">
        <f t="array" ref="W368">IF(ISBLANK(INDEX(big_daily_table,MATCH(DATE(W$5,$J368,$I368),daily_dates,0),MATCH($B$3,daily_items,0))),NA(),INDEX(big_daily_table,MATCH(DATE(W$5,$J368,$I368),daily_dates,0),MATCH($B$3,daily_items,0)))</f>
        <v>#N/A</v>
      </c>
      <c r="X368" s="1" t="str">
        <f t="array" ref="X368">IF(ISBLANK(INDEX(big_daily_table,MATCH(DATE(X$5,$J368,$I368),daily_dates,0),MATCH($B$3,daily_items,0))),NA(),INDEX(big_daily_table,MATCH(DATE(X$5,$J368,$I368),daily_dates,0),MATCH($B$3,daily_items,0)))</f>
        <v>#N/A</v>
      </c>
      <c r="Y368" s="1" t="str">
        <f t="array" ref="Y368">IF(ISBLANK(INDEX(big_daily_table,MATCH(DATE(Y$5,$J368,$I368),daily_dates,0),MATCH($B$3,daily_items,0))),NA(),INDEX(big_daily_table,MATCH(DATE(Y$5,$J368,$I368),daily_dates,0),MATCH($B$3,daily_items,0)))</f>
        <v>#N/A</v>
      </c>
      <c r="Z368" s="1" t="str">
        <f t="shared" si="5"/>
        <v>#NAME?</v>
      </c>
      <c r="AA368" s="1" t="str">
        <f t="shared" si="6"/>
        <v>#NAME?</v>
      </c>
      <c r="AB368" s="1" t="str">
        <f t="shared" si="7"/>
        <v>#NAME?</v>
      </c>
      <c r="AC368" s="1" t="str">
        <f t="shared" si="8"/>
        <v>#NAME?</v>
      </c>
    </row>
    <row r="369" ht="14.25" customHeight="1">
      <c r="H369" s="1">
        <f t="shared" si="9"/>
        <v>364</v>
      </c>
      <c r="I369" s="1">
        <f t="shared" si="2"/>
        <v>29</v>
      </c>
      <c r="J369" s="1">
        <f t="shared" si="3"/>
        <v>12</v>
      </c>
      <c r="K369" s="23">
        <f t="shared" si="10"/>
        <v>36889</v>
      </c>
      <c r="L369" s="24">
        <f t="shared" si="4"/>
        <v>1000000</v>
      </c>
      <c r="M369" s="1" t="str">
        <f t="array" ref="M369">IF(K369&gt;0,INDEX(big_daily_table,MATCH(DATE(N$5,$J369,$I369),daily_dates,0),MATCH($B$3,daily_items,0)),NA())</f>
        <v>#N/A</v>
      </c>
      <c r="N369" s="1" t="str">
        <f t="array" ref="N369">IF(L369&lt;0,INDEX(big_daily_table,MATCH(DATE(N$5,$J369,$I369),daily_dates,0),MATCH($B$3,daily_items,0)),NA())</f>
        <v>#N/A</v>
      </c>
      <c r="O369" s="1" t="str">
        <f t="array" ref="O369">IF(ISBLANK(INDEX(big_daily_table,MATCH(DATE(O$5,$J369,$I369),daily_dates,0),MATCH($B$3,daily_items,0))),NA(),INDEX(big_daily_table,MATCH(DATE(O$5,$J369,$I369),daily_dates,0),MATCH($B$3,daily_items,0)))</f>
        <v>#N/A</v>
      </c>
      <c r="P369" s="1" t="str">
        <f t="array" ref="P369">IF(ISBLANK(INDEX(big_daily_table,MATCH(DATE(P$5,$J369,$I369),daily_dates,0),MATCH($B$3,daily_items,0))),NA(),INDEX(big_daily_table,MATCH(DATE(P$5,$J369,$I369),daily_dates,0),MATCH($B$3,daily_items,0)))</f>
        <v>#N/A</v>
      </c>
      <c r="Q369" s="1" t="str">
        <f t="array" ref="Q369">IF(ISBLANK(INDEX(big_daily_table,MATCH(DATE(Q$5,$J369,$I369),daily_dates,0),MATCH($B$3,daily_items,0))),NA(),INDEX(big_daily_table,MATCH(DATE(Q$5,$J369,$I369),daily_dates,0),MATCH($B$3,daily_items,0)))</f>
        <v>#N/A</v>
      </c>
      <c r="R369" s="1" t="str">
        <f t="array" ref="R369">IF(ISBLANK(INDEX(big_daily_table,MATCH(DATE(R$5,$J369,$I369),daily_dates,0),MATCH($B$3,daily_items,0))),NA(),INDEX(big_daily_table,MATCH(DATE(R$5,$J369,$I369),daily_dates,0),MATCH($B$3,daily_items,0)))</f>
        <v>#N/A</v>
      </c>
      <c r="S369" s="1" t="str">
        <f t="array" ref="S369">IF(ISBLANK(INDEX(big_daily_table,MATCH(DATE(S$5,$J369,$I369),daily_dates,0),MATCH($B$3,daily_items,0))),NA(),INDEX(big_daily_table,MATCH(DATE(S$5,$J369,$I369),daily_dates,0),MATCH($B$3,daily_items,0)))</f>
        <v>#N/A</v>
      </c>
      <c r="T369" s="1" t="str">
        <f t="array" ref="T369">IF(ISBLANK(INDEX(big_daily_table,MATCH(DATE(T$5,$J369,$I369),daily_dates,0),MATCH($B$3,daily_items,0))),NA(),INDEX(big_daily_table,MATCH(DATE(T$5,$J369,$I369),daily_dates,0),MATCH($B$3,daily_items,0)))</f>
        <v>#N/A</v>
      </c>
      <c r="U369" s="1" t="str">
        <f t="array" ref="U369">IF(ISBLANK(INDEX(big_daily_table,MATCH(DATE(U$5,$J369,$I369),daily_dates,0),MATCH($B$3,daily_items,0))),NA(),INDEX(big_daily_table,MATCH(DATE(U$5,$J369,$I369),daily_dates,0),MATCH($B$3,daily_items,0)))</f>
        <v>#N/A</v>
      </c>
      <c r="V369" s="1" t="str">
        <f t="array" ref="V369">IF(ISBLANK(INDEX(big_daily_table,MATCH(DATE(V$5,$J369,$I369),daily_dates,0),MATCH($B$3,daily_items,0))),NA(),INDEX(big_daily_table,MATCH(DATE(V$5,$J369,$I369),daily_dates,0),MATCH($B$3,daily_items,0)))</f>
        <v>#N/A</v>
      </c>
      <c r="W369" s="1" t="str">
        <f t="array" ref="W369">IF(ISBLANK(INDEX(big_daily_table,MATCH(DATE(W$5,$J369,$I369),daily_dates,0),MATCH($B$3,daily_items,0))),NA(),INDEX(big_daily_table,MATCH(DATE(W$5,$J369,$I369),daily_dates,0),MATCH($B$3,daily_items,0)))</f>
        <v>#N/A</v>
      </c>
      <c r="X369" s="1" t="str">
        <f t="array" ref="X369">IF(ISBLANK(INDEX(big_daily_table,MATCH(DATE(X$5,$J369,$I369),daily_dates,0),MATCH($B$3,daily_items,0))),NA(),INDEX(big_daily_table,MATCH(DATE(X$5,$J369,$I369),daily_dates,0),MATCH($B$3,daily_items,0)))</f>
        <v>#N/A</v>
      </c>
      <c r="Y369" s="1" t="str">
        <f t="array" ref="Y369">IF(ISBLANK(INDEX(big_daily_table,MATCH(DATE(Y$5,$J369,$I369),daily_dates,0),MATCH($B$3,daily_items,0))),NA(),INDEX(big_daily_table,MATCH(DATE(Y$5,$J369,$I369),daily_dates,0),MATCH($B$3,daily_items,0)))</f>
        <v>#N/A</v>
      </c>
      <c r="Z369" s="1" t="str">
        <f t="shared" si="5"/>
        <v>#NAME?</v>
      </c>
      <c r="AA369" s="1" t="str">
        <f t="shared" si="6"/>
        <v>#NAME?</v>
      </c>
      <c r="AB369" s="1" t="str">
        <f t="shared" si="7"/>
        <v>#NAME?</v>
      </c>
      <c r="AC369" s="1" t="str">
        <f t="shared" si="8"/>
        <v>#NAME?</v>
      </c>
    </row>
    <row r="370" ht="14.25" customHeight="1">
      <c r="H370" s="1">
        <f t="shared" si="9"/>
        <v>365</v>
      </c>
      <c r="I370" s="1">
        <f t="shared" si="2"/>
        <v>30</v>
      </c>
      <c r="J370" s="1">
        <f t="shared" si="3"/>
        <v>12</v>
      </c>
      <c r="K370" s="23">
        <f t="shared" si="10"/>
        <v>36890</v>
      </c>
      <c r="L370" s="24">
        <f t="shared" si="4"/>
        <v>1000000</v>
      </c>
      <c r="M370" s="1" t="str">
        <f t="array" ref="M370">IF(K370&gt;0,INDEX(big_daily_table,MATCH(DATE(N$5,$J370,$I370),daily_dates,0),MATCH($B$3,daily_items,0)),NA())</f>
        <v>#N/A</v>
      </c>
      <c r="N370" s="1" t="str">
        <f t="array" ref="N370">IF(L370&lt;0,INDEX(big_daily_table,MATCH(DATE(N$5,$J370,$I370),daily_dates,0),MATCH($B$3,daily_items,0)),NA())</f>
        <v>#N/A</v>
      </c>
      <c r="O370" s="1" t="str">
        <f t="array" ref="O370">IF(ISBLANK(INDEX(big_daily_table,MATCH(DATE(O$5,$J370,$I370),daily_dates,0),MATCH($B$3,daily_items,0))),NA(),INDEX(big_daily_table,MATCH(DATE(O$5,$J370,$I370),daily_dates,0),MATCH($B$3,daily_items,0)))</f>
        <v>#N/A</v>
      </c>
      <c r="P370" s="1" t="str">
        <f t="array" ref="P370">IF(ISBLANK(INDEX(big_daily_table,MATCH(DATE(P$5,$J370,$I370),daily_dates,0),MATCH($B$3,daily_items,0))),NA(),INDEX(big_daily_table,MATCH(DATE(P$5,$J370,$I370),daily_dates,0),MATCH($B$3,daily_items,0)))</f>
        <v>#N/A</v>
      </c>
      <c r="Q370" s="1" t="str">
        <f t="array" ref="Q370">IF(ISBLANK(INDEX(big_daily_table,MATCH(DATE(Q$5,$J370,$I370),daily_dates,0),MATCH($B$3,daily_items,0))),NA(),INDEX(big_daily_table,MATCH(DATE(Q$5,$J370,$I370),daily_dates,0),MATCH($B$3,daily_items,0)))</f>
        <v>#N/A</v>
      </c>
      <c r="R370" s="1" t="str">
        <f t="array" ref="R370">IF(ISBLANK(INDEX(big_daily_table,MATCH(DATE(R$5,$J370,$I370),daily_dates,0),MATCH($B$3,daily_items,0))),NA(),INDEX(big_daily_table,MATCH(DATE(R$5,$J370,$I370),daily_dates,0),MATCH($B$3,daily_items,0)))</f>
        <v>#N/A</v>
      </c>
      <c r="S370" s="1" t="str">
        <f t="array" ref="S370">IF(ISBLANK(INDEX(big_daily_table,MATCH(DATE(S$5,$J370,$I370),daily_dates,0),MATCH($B$3,daily_items,0))),NA(),INDEX(big_daily_table,MATCH(DATE(S$5,$J370,$I370),daily_dates,0),MATCH($B$3,daily_items,0)))</f>
        <v>#N/A</v>
      </c>
      <c r="T370" s="1" t="str">
        <f t="array" ref="T370">IF(ISBLANK(INDEX(big_daily_table,MATCH(DATE(T$5,$J370,$I370),daily_dates,0),MATCH($B$3,daily_items,0))),NA(),INDEX(big_daily_table,MATCH(DATE(T$5,$J370,$I370),daily_dates,0),MATCH($B$3,daily_items,0)))</f>
        <v>#N/A</v>
      </c>
      <c r="U370" s="1" t="str">
        <f t="array" ref="U370">IF(ISBLANK(INDEX(big_daily_table,MATCH(DATE(U$5,$J370,$I370),daily_dates,0),MATCH($B$3,daily_items,0))),NA(),INDEX(big_daily_table,MATCH(DATE(U$5,$J370,$I370),daily_dates,0),MATCH($B$3,daily_items,0)))</f>
        <v>#N/A</v>
      </c>
      <c r="V370" s="1" t="str">
        <f t="array" ref="V370">IF(ISBLANK(INDEX(big_daily_table,MATCH(DATE(V$5,$J370,$I370),daily_dates,0),MATCH($B$3,daily_items,0))),NA(),INDEX(big_daily_table,MATCH(DATE(V$5,$J370,$I370),daily_dates,0),MATCH($B$3,daily_items,0)))</f>
        <v>#N/A</v>
      </c>
      <c r="W370" s="1" t="str">
        <f t="array" ref="W370">IF(ISBLANK(INDEX(big_daily_table,MATCH(DATE(W$5,$J370,$I370),daily_dates,0),MATCH($B$3,daily_items,0))),NA(),INDEX(big_daily_table,MATCH(DATE(W$5,$J370,$I370),daily_dates,0),MATCH($B$3,daily_items,0)))</f>
        <v>#N/A</v>
      </c>
      <c r="X370" s="1" t="str">
        <f t="array" ref="X370">IF(ISBLANK(INDEX(big_daily_table,MATCH(DATE(X$5,$J370,$I370),daily_dates,0),MATCH($B$3,daily_items,0))),NA(),INDEX(big_daily_table,MATCH(DATE(X$5,$J370,$I370),daily_dates,0),MATCH($B$3,daily_items,0)))</f>
        <v>#N/A</v>
      </c>
      <c r="Y370" s="1" t="str">
        <f t="array" ref="Y370">IF(ISBLANK(INDEX(big_daily_table,MATCH(DATE(Y$5,$J370,$I370),daily_dates,0),MATCH($B$3,daily_items,0))),NA(),INDEX(big_daily_table,MATCH(DATE(Y$5,$J370,$I370),daily_dates,0),MATCH($B$3,daily_items,0)))</f>
        <v>#N/A</v>
      </c>
      <c r="Z370" s="1" t="str">
        <f t="shared" si="5"/>
        <v>#NAME?</v>
      </c>
      <c r="AA370" s="1" t="str">
        <f t="shared" si="6"/>
        <v>#NAME?</v>
      </c>
      <c r="AB370" s="1" t="str">
        <f t="shared" si="7"/>
        <v>#NAME?</v>
      </c>
      <c r="AC370" s="1" t="str">
        <f t="shared" si="8"/>
        <v>#NAME?</v>
      </c>
    </row>
    <row r="371" ht="14.25" customHeight="1">
      <c r="H371" s="1">
        <f t="shared" si="9"/>
        <v>366</v>
      </c>
      <c r="I371" s="1">
        <f t="shared" si="2"/>
        <v>31</v>
      </c>
      <c r="J371" s="1">
        <f t="shared" si="3"/>
        <v>12</v>
      </c>
      <c r="K371" s="23">
        <f t="shared" si="10"/>
        <v>36891</v>
      </c>
      <c r="L371" s="24">
        <f t="shared" si="4"/>
        <v>1000000</v>
      </c>
      <c r="M371" s="1" t="str">
        <f t="array" ref="M371">IF(K371&gt;0,INDEX(big_daily_table,MATCH(DATE(N$5,$J371,$I371),daily_dates,0),MATCH($B$3,daily_items,0)),NA())</f>
        <v>#N/A</v>
      </c>
      <c r="N371" s="1" t="str">
        <f t="array" ref="N371">IF(L371&lt;0,INDEX(big_daily_table,MATCH(DATE(N$5,$J371,$I371),daily_dates,0),MATCH($B$3,daily_items,0)),NA())</f>
        <v>#N/A</v>
      </c>
      <c r="O371" s="1" t="str">
        <f t="array" ref="O371">IF(ISBLANK(INDEX(big_daily_table,MATCH(DATE(O$5,$J371,$I371),daily_dates,0),MATCH($B$3,daily_items,0))),NA(),INDEX(big_daily_table,MATCH(DATE(O$5,$J371,$I371),daily_dates,0),MATCH($B$3,daily_items,0)))</f>
        <v>#N/A</v>
      </c>
      <c r="P371" s="1" t="str">
        <f t="array" ref="P371">IF(ISBLANK(INDEX(big_daily_table,MATCH(DATE(P$5,$J371,$I371),daily_dates,0),MATCH($B$3,daily_items,0))),NA(),INDEX(big_daily_table,MATCH(DATE(P$5,$J371,$I371),daily_dates,0),MATCH($B$3,daily_items,0)))</f>
        <v>#N/A</v>
      </c>
      <c r="Q371" s="1" t="str">
        <f t="array" ref="Q371">IF(ISBLANK(INDEX(big_daily_table,MATCH(DATE(Q$5,$J371,$I371),daily_dates,0),MATCH($B$3,daily_items,0))),NA(),INDEX(big_daily_table,MATCH(DATE(Q$5,$J371,$I371),daily_dates,0),MATCH($B$3,daily_items,0)))</f>
        <v>#N/A</v>
      </c>
      <c r="R371" s="1" t="str">
        <f t="array" ref="R371">IF(ISBLANK(INDEX(big_daily_table,MATCH(DATE(R$5,$J371,$I371),daily_dates,0),MATCH($B$3,daily_items,0))),NA(),INDEX(big_daily_table,MATCH(DATE(R$5,$J371,$I371),daily_dates,0),MATCH($B$3,daily_items,0)))</f>
        <v>#N/A</v>
      </c>
      <c r="S371" s="1" t="str">
        <f t="array" ref="S371">IF(ISBLANK(INDEX(big_daily_table,MATCH(DATE(S$5,$J371,$I371),daily_dates,0),MATCH($B$3,daily_items,0))),NA(),INDEX(big_daily_table,MATCH(DATE(S$5,$J371,$I371),daily_dates,0),MATCH($B$3,daily_items,0)))</f>
        <v>#N/A</v>
      </c>
      <c r="T371" s="1" t="str">
        <f t="array" ref="T371">IF(ISBLANK(INDEX(big_daily_table,MATCH(DATE(T$5,$J371,$I371),daily_dates,0),MATCH($B$3,daily_items,0))),NA(),INDEX(big_daily_table,MATCH(DATE(T$5,$J371,$I371),daily_dates,0),MATCH($B$3,daily_items,0)))</f>
        <v>#N/A</v>
      </c>
      <c r="U371" s="1" t="str">
        <f t="array" ref="U371">IF(ISBLANK(INDEX(big_daily_table,MATCH(DATE(U$5,$J371,$I371),daily_dates,0),MATCH($B$3,daily_items,0))),NA(),INDEX(big_daily_table,MATCH(DATE(U$5,$J371,$I371),daily_dates,0),MATCH($B$3,daily_items,0)))</f>
        <v>#N/A</v>
      </c>
      <c r="V371" s="1" t="str">
        <f t="array" ref="V371">IF(ISBLANK(INDEX(big_daily_table,MATCH(DATE(V$5,$J371,$I371),daily_dates,0),MATCH($B$3,daily_items,0))),NA(),INDEX(big_daily_table,MATCH(DATE(V$5,$J371,$I371),daily_dates,0),MATCH($B$3,daily_items,0)))</f>
        <v>#N/A</v>
      </c>
      <c r="W371" s="1" t="str">
        <f t="array" ref="W371">IF(ISBLANK(INDEX(big_daily_table,MATCH(DATE(W$5,$J371,$I371),daily_dates,0),MATCH($B$3,daily_items,0))),NA(),INDEX(big_daily_table,MATCH(DATE(W$5,$J371,$I371),daily_dates,0),MATCH($B$3,daily_items,0)))</f>
        <v>#N/A</v>
      </c>
      <c r="X371" s="1" t="str">
        <f t="array" ref="X371">IF(ISBLANK(INDEX(big_daily_table,MATCH(DATE(X$5,$J371,$I371),daily_dates,0),MATCH($B$3,daily_items,0))),NA(),INDEX(big_daily_table,MATCH(DATE(X$5,$J371,$I371),daily_dates,0),MATCH($B$3,daily_items,0)))</f>
        <v>#N/A</v>
      </c>
      <c r="Y371" s="1" t="str">
        <f t="array" ref="Y371">IF(ISBLANK(INDEX(big_daily_table,MATCH(DATE(Y$5,$J371,$I371),daily_dates,0),MATCH($B$3,daily_items,0))),NA(),INDEX(big_daily_table,MATCH(DATE(Y$5,$J371,$I371),daily_dates,0),MATCH($B$3,daily_items,0)))</f>
        <v>#N/A</v>
      </c>
      <c r="Z371" s="1" t="str">
        <f t="shared" si="5"/>
        <v>#NAME?</v>
      </c>
      <c r="AA371" s="1" t="str">
        <f t="shared" si="6"/>
        <v>#NAME?</v>
      </c>
      <c r="AB371" s="1" t="str">
        <f t="shared" si="7"/>
        <v>#NAME?</v>
      </c>
      <c r="AC371" s="1" t="str">
        <f t="shared" si="8"/>
        <v>#NAME?</v>
      </c>
    </row>
    <row r="372" ht="14.25" customHeight="1">
      <c r="K372" s="7"/>
      <c r="L372" s="7"/>
      <c r="M372" s="7"/>
    </row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B3">
      <formula1>daily_items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28.14"/>
    <col customWidth="1" min="3" max="11" width="8.71"/>
    <col customWidth="1" min="12" max="14" width="10.71"/>
    <col customWidth="1" min="15" max="41" width="8.71"/>
  </cols>
  <sheetData>
    <row r="1" ht="14.25" customHeight="1"/>
    <row r="2" ht="14.25" customHeight="1">
      <c r="J2" s="1" t="s">
        <v>2</v>
      </c>
      <c r="K2" s="18">
        <v>5.0</v>
      </c>
      <c r="L2" s="1" t="s">
        <v>3</v>
      </c>
    </row>
    <row r="3" ht="14.25" customHeight="1">
      <c r="B3" s="19" t="s">
        <v>16</v>
      </c>
    </row>
    <row r="4" ht="14.25" customHeight="1"/>
    <row r="5" ht="14.25" customHeight="1">
      <c r="H5" s="20"/>
      <c r="I5" s="20" t="s">
        <v>17</v>
      </c>
      <c r="J5" s="20" t="s">
        <v>5</v>
      </c>
      <c r="K5" s="20" t="s">
        <v>6</v>
      </c>
      <c r="L5" s="20" t="s">
        <v>7</v>
      </c>
      <c r="M5" s="20" t="s">
        <v>8</v>
      </c>
      <c r="N5" s="20" t="str">
        <f>O5&amp;"F"</f>
        <v>2023F</v>
      </c>
      <c r="O5" s="21">
        <v>2023.0</v>
      </c>
      <c r="P5" s="20">
        <f t="shared" ref="P5:Z5" si="1">O5-1</f>
        <v>2022</v>
      </c>
      <c r="Q5" s="20">
        <f t="shared" si="1"/>
        <v>2021</v>
      </c>
      <c r="R5" s="20">
        <f t="shared" si="1"/>
        <v>2020</v>
      </c>
      <c r="S5" s="20">
        <f t="shared" si="1"/>
        <v>2019</v>
      </c>
      <c r="T5" s="20">
        <f t="shared" si="1"/>
        <v>2018</v>
      </c>
      <c r="U5" s="20">
        <f t="shared" si="1"/>
        <v>2017</v>
      </c>
      <c r="V5" s="20">
        <f t="shared" si="1"/>
        <v>2016</v>
      </c>
      <c r="W5" s="20">
        <f t="shared" si="1"/>
        <v>2015</v>
      </c>
      <c r="X5" s="20">
        <f t="shared" si="1"/>
        <v>2014</v>
      </c>
      <c r="Y5" s="20">
        <f t="shared" si="1"/>
        <v>2013</v>
      </c>
      <c r="Z5" s="20">
        <f t="shared" si="1"/>
        <v>2012</v>
      </c>
      <c r="AA5" s="20" t="s">
        <v>9</v>
      </c>
      <c r="AB5" s="20" t="s">
        <v>10</v>
      </c>
      <c r="AC5" s="20" t="str">
        <f>"min-max (2019 -"&amp;OFFSET($S$5,0,$K$2)&amp; ")"</f>
        <v>min-max (2019 -2014)</v>
      </c>
      <c r="AD5" s="20" t="s">
        <v>11</v>
      </c>
    </row>
    <row r="6" ht="14.25" customHeight="1">
      <c r="B6" s="22" t="s">
        <v>12</v>
      </c>
      <c r="H6" s="1">
        <v>1.0</v>
      </c>
      <c r="I6" s="1">
        <f>WEEKDAY('daily graphs'!K6)</f>
        <v>7</v>
      </c>
      <c r="J6" s="1">
        <f t="shared" ref="J6:J371" si="2">DAY(L6)</f>
        <v>25</v>
      </c>
      <c r="K6" s="1">
        <f t="shared" ref="K6:K371" si="3">MONTH(L6)</f>
        <v>12</v>
      </c>
      <c r="L6" s="23">
        <f>'daily graphs'!K6 - I6</f>
        <v>36519</v>
      </c>
      <c r="M6" s="24">
        <f t="shared" ref="M6:M371" si="4">IF(TODAY()&lt;DATE($O$5,K6,J6),1000000,-1000000)</f>
        <v>1000000</v>
      </c>
      <c r="N6" s="24" t="str">
        <f t="array" ref="N6">IF(M6&gt;0,INDEX(big_daily_table,MATCH(DATE(O$5,$K6,$J6),daily_dates,0),MATCH($B$3,daily_items,0)),NA())</f>
        <v>#N/A</v>
      </c>
      <c r="O6" s="1" t="str">
        <f t="array" ref="O6">IF(M6&lt;0,INDEX(big_daily_table,MATCH(DATE(O$5,$K6,$J6),daily_dates,0),MATCH($B$3,daily_items,0)),NA())</f>
        <v>#N/A</v>
      </c>
      <c r="P6" s="1" t="str">
        <f t="array" ref="P6">IF(ISBLANK(INDEX(big_daily_table,MATCH(DATE(P$5,$K6,$J6),daily_dates,0),MATCH($B$3,daily_items,0))),NA(),INDEX(big_daily_table,MATCH(DATE(P$5,$K6,$J6),daily_dates,0),MATCH($B$3,daily_items,0)))</f>
        <v>#N/A</v>
      </c>
      <c r="Q6" s="1" t="str">
        <f t="array" ref="Q6">IF(ISBLANK(INDEX(big_daily_table,MATCH(DATE(Q$5,$K6,$J6),daily_dates,0),MATCH($B$3,daily_items,0))),NA(),INDEX(big_daily_table,MATCH(DATE(Q$5,$K6,$J6),daily_dates,0),MATCH($B$3,daily_items,0)))</f>
        <v>#N/A</v>
      </c>
      <c r="R6" s="1" t="str">
        <f t="array" ref="R6">IF(ISBLANK(INDEX(big_daily_table,MATCH(DATE(R$5,$K6,$J6),daily_dates,0),MATCH($B$3,daily_items,0))),NA(),INDEX(big_daily_table,MATCH(DATE(R$5,$K6,$J6),daily_dates,0),MATCH($B$3,daily_items,0)))</f>
        <v>#N/A</v>
      </c>
      <c r="S6" s="1" t="str">
        <f t="array" ref="S6">IF(ISBLANK(INDEX(big_daily_table,MATCH(DATE(S$5,$K6,$J6),daily_dates,0),MATCH($B$3,daily_items,0))),NA(),INDEX(big_daily_table,MATCH(DATE(S$5,$K6,$J6),daily_dates,0),MATCH($B$3,daily_items,0)))</f>
        <v>#N/A</v>
      </c>
      <c r="T6" s="1" t="str">
        <f t="array" ref="T6">IF(ISBLANK(INDEX(big_daily_table,MATCH(DATE(T$5,$K6,$J6),daily_dates,0),MATCH($B$3,daily_items,0))),NA(),INDEX(big_daily_table,MATCH(DATE(T$5,$K6,$J6),daily_dates,0),MATCH($B$3,daily_items,0)))</f>
        <v>#N/A</v>
      </c>
      <c r="U6" s="1" t="str">
        <f t="array" ref="U6">IF(ISBLANK(INDEX(big_daily_table,MATCH(DATE(U$5,$K6,$J6),daily_dates,0),MATCH($B$3,daily_items,0))),NA(),INDEX(big_daily_table,MATCH(DATE(U$5,$K6,$J6),daily_dates,0),MATCH($B$3,daily_items,0)))</f>
        <v>#N/A</v>
      </c>
      <c r="V6" s="1" t="str">
        <f t="array" ref="V6">IF(ISBLANK(INDEX(big_daily_table,MATCH(DATE(V$5,$K6,$J6),daily_dates,0),MATCH($B$3,daily_items,0))),NA(),INDEX(big_daily_table,MATCH(DATE(V$5,$K6,$J6),daily_dates,0),MATCH($B$3,daily_items,0)))</f>
        <v>#N/A</v>
      </c>
      <c r="W6" s="1" t="str">
        <f t="array" ref="W6">IF(ISBLANK(INDEX(big_daily_table,MATCH(DATE(W$5,$K6,$J6),daily_dates,0),MATCH($B$3,daily_items,0))),NA(),INDEX(big_daily_table,MATCH(DATE(W$5,$K6,$J6),daily_dates,0),MATCH($B$3,daily_items,0)))</f>
        <v>#N/A</v>
      </c>
      <c r="X6" s="1" t="str">
        <f t="array" ref="X6">IF(ISBLANK(INDEX(big_daily_table,MATCH(DATE(X$5,$K6,$J6),daily_dates,0),MATCH($B$3,daily_items,0))),NA(),INDEX(big_daily_table,MATCH(DATE(X$5,$K6,$J6),daily_dates,0),MATCH($B$3,daily_items,0)))</f>
        <v>#N/A</v>
      </c>
      <c r="Y6" s="1" t="str">
        <f t="array" ref="Y6">IF(ISBLANK(INDEX(big_daily_table,MATCH(DATE(Y$5,$K6,$J6),daily_dates,0),MATCH($B$3,daily_items,0))),NA(),INDEX(big_daily_table,MATCH(DATE(Y$5,$K6,$J6),daily_dates,0),MATCH($B$3,daily_items,0)))</f>
        <v>#N/A</v>
      </c>
      <c r="Z6" s="1" t="str">
        <f t="array" ref="Z6">IF(ISBLANK(INDEX(big_daily_table,MATCH(DATE(Z$5,$K6,$J6),daily_dates,0),MATCH($B$3,daily_items,0))),NA(),INDEX(big_daily_table,MATCH(DATE(Z$5,$K6,$J6),daily_dates,0),MATCH($B$3,daily_items,0)))</f>
        <v>#N/A</v>
      </c>
      <c r="AA6" s="1" t="str">
        <f t="shared" ref="AA6:AA371" si="5">AGGREGATE(5,6,OFFSET($S$5,H6,0,1,$K$2))</f>
        <v>#NAME?</v>
      </c>
      <c r="AB6" s="1" t="str">
        <f t="shared" ref="AB6:AB371" si="6">AGGREGATE(4,6,OFFSET($S$5,H6,0,1,$K$2))</f>
        <v>#NAME?</v>
      </c>
      <c r="AC6" s="1" t="str">
        <f t="shared" ref="AC6:AC371" si="7">AB6-AA6</f>
        <v>#NAME?</v>
      </c>
      <c r="AD6" s="1" t="str">
        <f t="shared" ref="AD6:AD371" si="8">AGGREGATE(1,6,OFFSET($S$5,H6,0,1,$K$2))</f>
        <v>#NAME?</v>
      </c>
    </row>
    <row r="7" ht="14.25" customHeight="1">
      <c r="H7" s="1">
        <f t="shared" ref="H7:H371" si="9">H6+1</f>
        <v>2</v>
      </c>
      <c r="I7" s="1">
        <f>WEEKDAY('daily graphs'!K7)</f>
        <v>1</v>
      </c>
      <c r="J7" s="1">
        <f t="shared" si="2"/>
        <v>1</v>
      </c>
      <c r="K7" s="1">
        <f t="shared" si="3"/>
        <v>1</v>
      </c>
      <c r="L7" s="23">
        <f>'daily graphs'!K7 - I7</f>
        <v>36526</v>
      </c>
      <c r="M7" s="24">
        <f t="shared" si="4"/>
        <v>-1000000</v>
      </c>
      <c r="N7" s="24" t="str">
        <f t="array" ref="N7">IF(M7&gt;0,INDEX(big_daily_table,MATCH(DATE(O$5,$K7,$J7),daily_dates,0),MATCH($B$3,daily_items,0)),NA())</f>
        <v>#N/A</v>
      </c>
      <c r="O7" s="1" t="str">
        <f t="array" ref="O7">IF(M7&lt;0,INDEX(big_daily_table,MATCH(DATE(O$5,$K7,$J7),daily_dates,0),MATCH($B$3,daily_items,0)),NA())</f>
        <v>#N/A</v>
      </c>
      <c r="P7" s="1" t="str">
        <f t="array" ref="P7">IF(ISBLANK(INDEX(big_daily_table,MATCH(DATE(P$5,$K7,$J7),daily_dates,0),MATCH($B$3,daily_items,0))),NA(),INDEX(big_daily_table,MATCH(DATE(P$5,$K7,$J7),daily_dates,0),MATCH($B$3,daily_items,0)))</f>
        <v>#N/A</v>
      </c>
      <c r="Q7" s="1" t="str">
        <f t="array" ref="Q7">IF(ISBLANK(INDEX(big_daily_table,MATCH(DATE(Q$5,$K7,$J7),daily_dates,0),MATCH($B$3,daily_items,0))),NA(),INDEX(big_daily_table,MATCH(DATE(Q$5,$K7,$J7),daily_dates,0),MATCH($B$3,daily_items,0)))</f>
        <v>#N/A</v>
      </c>
      <c r="R7" s="1" t="str">
        <f t="array" ref="R7">IF(ISBLANK(INDEX(big_daily_table,MATCH(DATE(R$5,$K7,$J7),daily_dates,0),MATCH($B$3,daily_items,0))),NA(),INDEX(big_daily_table,MATCH(DATE(R$5,$K7,$J7),daily_dates,0),MATCH($B$3,daily_items,0)))</f>
        <v>#N/A</v>
      </c>
      <c r="S7" s="1" t="str">
        <f t="array" ref="S7">IF(ISBLANK(INDEX(big_daily_table,MATCH(DATE(S$5,$K7,$J7),daily_dates,0),MATCH($B$3,daily_items,0))),NA(),INDEX(big_daily_table,MATCH(DATE(S$5,$K7,$J7),daily_dates,0),MATCH($B$3,daily_items,0)))</f>
        <v>#N/A</v>
      </c>
      <c r="T7" s="1" t="str">
        <f t="array" ref="T7">IF(ISBLANK(INDEX(big_daily_table,MATCH(DATE(T$5,$K7,$J7),daily_dates,0),MATCH($B$3,daily_items,0))),NA(),INDEX(big_daily_table,MATCH(DATE(T$5,$K7,$J7),daily_dates,0),MATCH($B$3,daily_items,0)))</f>
        <v>#N/A</v>
      </c>
      <c r="U7" s="1" t="str">
        <f t="array" ref="U7">IF(ISBLANK(INDEX(big_daily_table,MATCH(DATE(U$5,$K7,$J7),daily_dates,0),MATCH($B$3,daily_items,0))),NA(),INDEX(big_daily_table,MATCH(DATE(U$5,$K7,$J7),daily_dates,0),MATCH($B$3,daily_items,0)))</f>
        <v>#N/A</v>
      </c>
      <c r="V7" s="1" t="str">
        <f t="array" ref="V7">IF(ISBLANK(INDEX(big_daily_table,MATCH(DATE(V$5,$K7,$J7),daily_dates,0),MATCH($B$3,daily_items,0))),NA(),INDEX(big_daily_table,MATCH(DATE(V$5,$K7,$J7),daily_dates,0),MATCH($B$3,daily_items,0)))</f>
        <v>#N/A</v>
      </c>
      <c r="W7" s="1" t="str">
        <f t="array" ref="W7">IF(ISBLANK(INDEX(big_daily_table,MATCH(DATE(W$5,$K7,$J7),daily_dates,0),MATCH($B$3,daily_items,0))),NA(),INDEX(big_daily_table,MATCH(DATE(W$5,$K7,$J7),daily_dates,0),MATCH($B$3,daily_items,0)))</f>
        <v>#N/A</v>
      </c>
      <c r="X7" s="1" t="str">
        <f t="array" ref="X7">IF(ISBLANK(INDEX(big_daily_table,MATCH(DATE(X$5,$K7,$J7),daily_dates,0),MATCH($B$3,daily_items,0))),NA(),INDEX(big_daily_table,MATCH(DATE(X$5,$K7,$J7),daily_dates,0),MATCH($B$3,daily_items,0)))</f>
        <v>#N/A</v>
      </c>
      <c r="Y7" s="1" t="str">
        <f t="array" ref="Y7">IF(ISBLANK(INDEX(big_daily_table,MATCH(DATE(Y$5,$K7,$J7),daily_dates,0),MATCH($B$3,daily_items,0))),NA(),INDEX(big_daily_table,MATCH(DATE(Y$5,$K7,$J7),daily_dates,0),MATCH($B$3,daily_items,0)))</f>
        <v>#N/A</v>
      </c>
      <c r="Z7" s="1" t="str">
        <f t="array" ref="Z7">IF(ISBLANK(INDEX(big_daily_table,MATCH(DATE(Z$5,$K7,$J7),daily_dates,0),MATCH($B$3,daily_items,0))),NA(),INDEX(big_daily_table,MATCH(DATE(Z$5,$K7,$J7),daily_dates,0),MATCH($B$3,daily_items,0)))</f>
        <v>#N/A</v>
      </c>
      <c r="AA7" s="1" t="str">
        <f t="shared" si="5"/>
        <v>#NAME?</v>
      </c>
      <c r="AB7" s="1" t="str">
        <f t="shared" si="6"/>
        <v>#NAME?</v>
      </c>
      <c r="AC7" s="1" t="str">
        <f t="shared" si="7"/>
        <v>#NAME?</v>
      </c>
      <c r="AD7" s="1" t="str">
        <f t="shared" si="8"/>
        <v>#NAME?</v>
      </c>
    </row>
    <row r="8" ht="14.25" customHeight="1">
      <c r="H8" s="1">
        <f t="shared" si="9"/>
        <v>3</v>
      </c>
      <c r="I8" s="1">
        <f>WEEKDAY('daily graphs'!K8)</f>
        <v>2</v>
      </c>
      <c r="J8" s="1">
        <f t="shared" si="2"/>
        <v>1</v>
      </c>
      <c r="K8" s="1">
        <f t="shared" si="3"/>
        <v>1</v>
      </c>
      <c r="L8" s="23">
        <f>'daily graphs'!K8 - I8</f>
        <v>36526</v>
      </c>
      <c r="M8" s="24">
        <f t="shared" si="4"/>
        <v>-1000000</v>
      </c>
      <c r="N8" s="24" t="str">
        <f t="array" ref="N8">IF(M8&gt;0,INDEX(big_daily_table,MATCH(DATE(O$5,$K8,$J8),daily_dates,0),MATCH($B$3,daily_items,0)),NA())</f>
        <v>#N/A</v>
      </c>
      <c r="O8" s="1" t="str">
        <f t="array" ref="O8">IF(M8&lt;0,INDEX(big_daily_table,MATCH(DATE(O$5,$K8,$J8),daily_dates,0),MATCH($B$3,daily_items,0)),NA())</f>
        <v>#N/A</v>
      </c>
      <c r="P8" s="1" t="str">
        <f t="array" ref="P8">IF(ISBLANK(INDEX(big_daily_table,MATCH(DATE(P$5,$K8,$J8),daily_dates,0),MATCH($B$3,daily_items,0))),NA(),INDEX(big_daily_table,MATCH(DATE(P$5,$K8,$J8),daily_dates,0),MATCH($B$3,daily_items,0)))</f>
        <v>#N/A</v>
      </c>
      <c r="Q8" s="1" t="str">
        <f t="array" ref="Q8">IF(ISBLANK(INDEX(big_daily_table,MATCH(DATE(Q$5,$K8,$J8),daily_dates,0),MATCH($B$3,daily_items,0))),NA(),INDEX(big_daily_table,MATCH(DATE(Q$5,$K8,$J8),daily_dates,0),MATCH($B$3,daily_items,0)))</f>
        <v>#N/A</v>
      </c>
      <c r="R8" s="1" t="str">
        <f t="array" ref="R8">IF(ISBLANK(INDEX(big_daily_table,MATCH(DATE(R$5,$K8,$J8),daily_dates,0),MATCH($B$3,daily_items,0))),NA(),INDEX(big_daily_table,MATCH(DATE(R$5,$K8,$J8),daily_dates,0),MATCH($B$3,daily_items,0)))</f>
        <v>#N/A</v>
      </c>
      <c r="S8" s="1" t="str">
        <f t="array" ref="S8">IF(ISBLANK(INDEX(big_daily_table,MATCH(DATE(S$5,$K8,$J8),daily_dates,0),MATCH($B$3,daily_items,0))),NA(),INDEX(big_daily_table,MATCH(DATE(S$5,$K8,$J8),daily_dates,0),MATCH($B$3,daily_items,0)))</f>
        <v>#N/A</v>
      </c>
      <c r="T8" s="1" t="str">
        <f t="array" ref="T8">IF(ISBLANK(INDEX(big_daily_table,MATCH(DATE(T$5,$K8,$J8),daily_dates,0),MATCH($B$3,daily_items,0))),NA(),INDEX(big_daily_table,MATCH(DATE(T$5,$K8,$J8),daily_dates,0),MATCH($B$3,daily_items,0)))</f>
        <v>#N/A</v>
      </c>
      <c r="U8" s="1" t="str">
        <f t="array" ref="U8">IF(ISBLANK(INDEX(big_daily_table,MATCH(DATE(U$5,$K8,$J8),daily_dates,0),MATCH($B$3,daily_items,0))),NA(),INDEX(big_daily_table,MATCH(DATE(U$5,$K8,$J8),daily_dates,0),MATCH($B$3,daily_items,0)))</f>
        <v>#N/A</v>
      </c>
      <c r="V8" s="1" t="str">
        <f t="array" ref="V8">IF(ISBLANK(INDEX(big_daily_table,MATCH(DATE(V$5,$K8,$J8),daily_dates,0),MATCH($B$3,daily_items,0))),NA(),INDEX(big_daily_table,MATCH(DATE(V$5,$K8,$J8),daily_dates,0),MATCH($B$3,daily_items,0)))</f>
        <v>#N/A</v>
      </c>
      <c r="W8" s="1" t="str">
        <f t="array" ref="W8">IF(ISBLANK(INDEX(big_daily_table,MATCH(DATE(W$5,$K8,$J8),daily_dates,0),MATCH($B$3,daily_items,0))),NA(),INDEX(big_daily_table,MATCH(DATE(W$5,$K8,$J8),daily_dates,0),MATCH($B$3,daily_items,0)))</f>
        <v>#N/A</v>
      </c>
      <c r="X8" s="1" t="str">
        <f t="array" ref="X8">IF(ISBLANK(INDEX(big_daily_table,MATCH(DATE(X$5,$K8,$J8),daily_dates,0),MATCH($B$3,daily_items,0))),NA(),INDEX(big_daily_table,MATCH(DATE(X$5,$K8,$J8),daily_dates,0),MATCH($B$3,daily_items,0)))</f>
        <v>#N/A</v>
      </c>
      <c r="Y8" s="1" t="str">
        <f t="array" ref="Y8">IF(ISBLANK(INDEX(big_daily_table,MATCH(DATE(Y$5,$K8,$J8),daily_dates,0),MATCH($B$3,daily_items,0))),NA(),INDEX(big_daily_table,MATCH(DATE(Y$5,$K8,$J8),daily_dates,0),MATCH($B$3,daily_items,0)))</f>
        <v>#N/A</v>
      </c>
      <c r="Z8" s="1" t="str">
        <f t="array" ref="Z8">IF(ISBLANK(INDEX(big_daily_table,MATCH(DATE(Z$5,$K8,$J8),daily_dates,0),MATCH($B$3,daily_items,0))),NA(),INDEX(big_daily_table,MATCH(DATE(Z$5,$K8,$J8),daily_dates,0),MATCH($B$3,daily_items,0)))</f>
        <v>#N/A</v>
      </c>
      <c r="AA8" s="1" t="str">
        <f t="shared" si="5"/>
        <v>#NAME?</v>
      </c>
      <c r="AB8" s="1" t="str">
        <f t="shared" si="6"/>
        <v>#NAME?</v>
      </c>
      <c r="AC8" s="1" t="str">
        <f t="shared" si="7"/>
        <v>#NAME?</v>
      </c>
      <c r="AD8" s="1" t="str">
        <f t="shared" si="8"/>
        <v>#NAME?</v>
      </c>
    </row>
    <row r="9" ht="14.25" customHeight="1">
      <c r="H9" s="1">
        <f t="shared" si="9"/>
        <v>4</v>
      </c>
      <c r="I9" s="1">
        <f>WEEKDAY('daily graphs'!K9)</f>
        <v>3</v>
      </c>
      <c r="J9" s="1">
        <f t="shared" si="2"/>
        <v>1</v>
      </c>
      <c r="K9" s="1">
        <f t="shared" si="3"/>
        <v>1</v>
      </c>
      <c r="L9" s="23">
        <f>'daily graphs'!K9 - I9</f>
        <v>36526</v>
      </c>
      <c r="M9" s="24">
        <f t="shared" si="4"/>
        <v>-1000000</v>
      </c>
      <c r="N9" s="24" t="str">
        <f t="array" ref="N9">IF(M9&gt;0,INDEX(big_daily_table,MATCH(DATE(O$5,$K9,$J9),daily_dates,0),MATCH($B$3,daily_items,0)),NA())</f>
        <v>#N/A</v>
      </c>
      <c r="O9" s="1" t="str">
        <f t="array" ref="O9">IF(M9&lt;0,INDEX(big_daily_table,MATCH(DATE(O$5,$K9,$J9),daily_dates,0),MATCH($B$3,daily_items,0)),NA())</f>
        <v>#N/A</v>
      </c>
      <c r="P9" s="1" t="str">
        <f t="array" ref="P9">IF(ISBLANK(INDEX(big_daily_table,MATCH(DATE(P$5,$K9,$J9),daily_dates,0),MATCH($B$3,daily_items,0))),NA(),INDEX(big_daily_table,MATCH(DATE(P$5,$K9,$J9),daily_dates,0),MATCH($B$3,daily_items,0)))</f>
        <v>#N/A</v>
      </c>
      <c r="Q9" s="1" t="str">
        <f t="array" ref="Q9">IF(ISBLANK(INDEX(big_daily_table,MATCH(DATE(Q$5,$K9,$J9),daily_dates,0),MATCH($B$3,daily_items,0))),NA(),INDEX(big_daily_table,MATCH(DATE(Q$5,$K9,$J9),daily_dates,0),MATCH($B$3,daily_items,0)))</f>
        <v>#N/A</v>
      </c>
      <c r="R9" s="1" t="str">
        <f t="array" ref="R9">IF(ISBLANK(INDEX(big_daily_table,MATCH(DATE(R$5,$K9,$J9),daily_dates,0),MATCH($B$3,daily_items,0))),NA(),INDEX(big_daily_table,MATCH(DATE(R$5,$K9,$J9),daily_dates,0),MATCH($B$3,daily_items,0)))</f>
        <v>#N/A</v>
      </c>
      <c r="S9" s="1" t="str">
        <f t="array" ref="S9">IF(ISBLANK(INDEX(big_daily_table,MATCH(DATE(S$5,$K9,$J9),daily_dates,0),MATCH($B$3,daily_items,0))),NA(),INDEX(big_daily_table,MATCH(DATE(S$5,$K9,$J9),daily_dates,0),MATCH($B$3,daily_items,0)))</f>
        <v>#N/A</v>
      </c>
      <c r="T9" s="1" t="str">
        <f t="array" ref="T9">IF(ISBLANK(INDEX(big_daily_table,MATCH(DATE(T$5,$K9,$J9),daily_dates,0),MATCH($B$3,daily_items,0))),NA(),INDEX(big_daily_table,MATCH(DATE(T$5,$K9,$J9),daily_dates,0),MATCH($B$3,daily_items,0)))</f>
        <v>#N/A</v>
      </c>
      <c r="U9" s="1" t="str">
        <f t="array" ref="U9">IF(ISBLANK(INDEX(big_daily_table,MATCH(DATE(U$5,$K9,$J9),daily_dates,0),MATCH($B$3,daily_items,0))),NA(),INDEX(big_daily_table,MATCH(DATE(U$5,$K9,$J9),daily_dates,0),MATCH($B$3,daily_items,0)))</f>
        <v>#N/A</v>
      </c>
      <c r="V9" s="1" t="str">
        <f t="array" ref="V9">IF(ISBLANK(INDEX(big_daily_table,MATCH(DATE(V$5,$K9,$J9),daily_dates,0),MATCH($B$3,daily_items,0))),NA(),INDEX(big_daily_table,MATCH(DATE(V$5,$K9,$J9),daily_dates,0),MATCH($B$3,daily_items,0)))</f>
        <v>#N/A</v>
      </c>
      <c r="W9" s="1" t="str">
        <f t="array" ref="W9">IF(ISBLANK(INDEX(big_daily_table,MATCH(DATE(W$5,$K9,$J9),daily_dates,0),MATCH($B$3,daily_items,0))),NA(),INDEX(big_daily_table,MATCH(DATE(W$5,$K9,$J9),daily_dates,0),MATCH($B$3,daily_items,0)))</f>
        <v>#N/A</v>
      </c>
      <c r="X9" s="1" t="str">
        <f t="array" ref="X9">IF(ISBLANK(INDEX(big_daily_table,MATCH(DATE(X$5,$K9,$J9),daily_dates,0),MATCH($B$3,daily_items,0))),NA(),INDEX(big_daily_table,MATCH(DATE(X$5,$K9,$J9),daily_dates,0),MATCH($B$3,daily_items,0)))</f>
        <v>#N/A</v>
      </c>
      <c r="Y9" s="1" t="str">
        <f t="array" ref="Y9">IF(ISBLANK(INDEX(big_daily_table,MATCH(DATE(Y$5,$K9,$J9),daily_dates,0),MATCH($B$3,daily_items,0))),NA(),INDEX(big_daily_table,MATCH(DATE(Y$5,$K9,$J9),daily_dates,0),MATCH($B$3,daily_items,0)))</f>
        <v>#N/A</v>
      </c>
      <c r="Z9" s="1" t="str">
        <f t="array" ref="Z9">IF(ISBLANK(INDEX(big_daily_table,MATCH(DATE(Z$5,$K9,$J9),daily_dates,0),MATCH($B$3,daily_items,0))),NA(),INDEX(big_daily_table,MATCH(DATE(Z$5,$K9,$J9),daily_dates,0),MATCH($B$3,daily_items,0)))</f>
        <v>#N/A</v>
      </c>
      <c r="AA9" s="1" t="str">
        <f t="shared" si="5"/>
        <v>#NAME?</v>
      </c>
      <c r="AB9" s="1" t="str">
        <f t="shared" si="6"/>
        <v>#NAME?</v>
      </c>
      <c r="AC9" s="1" t="str">
        <f t="shared" si="7"/>
        <v>#NAME?</v>
      </c>
      <c r="AD9" s="1" t="str">
        <f t="shared" si="8"/>
        <v>#NAME?</v>
      </c>
    </row>
    <row r="10" ht="14.25" customHeight="1">
      <c r="H10" s="1">
        <f t="shared" si="9"/>
        <v>5</v>
      </c>
      <c r="I10" s="1">
        <f>WEEKDAY('daily graphs'!K10)</f>
        <v>4</v>
      </c>
      <c r="J10" s="1">
        <f t="shared" si="2"/>
        <v>1</v>
      </c>
      <c r="K10" s="1">
        <f t="shared" si="3"/>
        <v>1</v>
      </c>
      <c r="L10" s="23">
        <f>'daily graphs'!K10 - I10</f>
        <v>36526</v>
      </c>
      <c r="M10" s="24">
        <f t="shared" si="4"/>
        <v>-1000000</v>
      </c>
      <c r="N10" s="24" t="str">
        <f t="array" ref="N10">IF(M10&gt;0,INDEX(big_daily_table,MATCH(DATE(O$5,$K10,$J10),daily_dates,0),MATCH($B$3,daily_items,0)),NA())</f>
        <v>#N/A</v>
      </c>
      <c r="O10" s="1" t="str">
        <f t="array" ref="O10">IF(M10&lt;0,INDEX(big_daily_table,MATCH(DATE(O$5,$K10,$J10),daily_dates,0),MATCH($B$3,daily_items,0)),NA())</f>
        <v>#N/A</v>
      </c>
      <c r="P10" s="1" t="str">
        <f t="array" ref="P10">IF(ISBLANK(INDEX(big_daily_table,MATCH(DATE(P$5,$K10,$J10),daily_dates,0),MATCH($B$3,daily_items,0))),NA(),INDEX(big_daily_table,MATCH(DATE(P$5,$K10,$J10),daily_dates,0),MATCH($B$3,daily_items,0)))</f>
        <v>#N/A</v>
      </c>
      <c r="Q10" s="1" t="str">
        <f t="array" ref="Q10">IF(ISBLANK(INDEX(big_daily_table,MATCH(DATE(Q$5,$K10,$J10),daily_dates,0),MATCH($B$3,daily_items,0))),NA(),INDEX(big_daily_table,MATCH(DATE(Q$5,$K10,$J10),daily_dates,0),MATCH($B$3,daily_items,0)))</f>
        <v>#N/A</v>
      </c>
      <c r="R10" s="1" t="str">
        <f t="array" ref="R10">IF(ISBLANK(INDEX(big_daily_table,MATCH(DATE(R$5,$K10,$J10),daily_dates,0),MATCH($B$3,daily_items,0))),NA(),INDEX(big_daily_table,MATCH(DATE(R$5,$K10,$J10),daily_dates,0),MATCH($B$3,daily_items,0)))</f>
        <v>#N/A</v>
      </c>
      <c r="S10" s="1" t="str">
        <f t="array" ref="S10">IF(ISBLANK(INDEX(big_daily_table,MATCH(DATE(S$5,$K10,$J10),daily_dates,0),MATCH($B$3,daily_items,0))),NA(),INDEX(big_daily_table,MATCH(DATE(S$5,$K10,$J10),daily_dates,0),MATCH($B$3,daily_items,0)))</f>
        <v>#N/A</v>
      </c>
      <c r="T10" s="1" t="str">
        <f t="array" ref="T10">IF(ISBLANK(INDEX(big_daily_table,MATCH(DATE(T$5,$K10,$J10),daily_dates,0),MATCH($B$3,daily_items,0))),NA(),INDEX(big_daily_table,MATCH(DATE(T$5,$K10,$J10),daily_dates,0),MATCH($B$3,daily_items,0)))</f>
        <v>#N/A</v>
      </c>
      <c r="U10" s="1" t="str">
        <f t="array" ref="U10">IF(ISBLANK(INDEX(big_daily_table,MATCH(DATE(U$5,$K10,$J10),daily_dates,0),MATCH($B$3,daily_items,0))),NA(),INDEX(big_daily_table,MATCH(DATE(U$5,$K10,$J10),daily_dates,0),MATCH($B$3,daily_items,0)))</f>
        <v>#N/A</v>
      </c>
      <c r="V10" s="1" t="str">
        <f t="array" ref="V10">IF(ISBLANK(INDEX(big_daily_table,MATCH(DATE(V$5,$K10,$J10),daily_dates,0),MATCH($B$3,daily_items,0))),NA(),INDEX(big_daily_table,MATCH(DATE(V$5,$K10,$J10),daily_dates,0),MATCH($B$3,daily_items,0)))</f>
        <v>#N/A</v>
      </c>
      <c r="W10" s="1" t="str">
        <f t="array" ref="W10">IF(ISBLANK(INDEX(big_daily_table,MATCH(DATE(W$5,$K10,$J10),daily_dates,0),MATCH($B$3,daily_items,0))),NA(),INDEX(big_daily_table,MATCH(DATE(W$5,$K10,$J10),daily_dates,0),MATCH($B$3,daily_items,0)))</f>
        <v>#N/A</v>
      </c>
      <c r="X10" s="1" t="str">
        <f t="array" ref="X10">IF(ISBLANK(INDEX(big_daily_table,MATCH(DATE(X$5,$K10,$J10),daily_dates,0),MATCH($B$3,daily_items,0))),NA(),INDEX(big_daily_table,MATCH(DATE(X$5,$K10,$J10),daily_dates,0),MATCH($B$3,daily_items,0)))</f>
        <v>#N/A</v>
      </c>
      <c r="Y10" s="1" t="str">
        <f t="array" ref="Y10">IF(ISBLANK(INDEX(big_daily_table,MATCH(DATE(Y$5,$K10,$J10),daily_dates,0),MATCH($B$3,daily_items,0))),NA(),INDEX(big_daily_table,MATCH(DATE(Y$5,$K10,$J10),daily_dates,0),MATCH($B$3,daily_items,0)))</f>
        <v>#N/A</v>
      </c>
      <c r="Z10" s="1" t="str">
        <f t="array" ref="Z10">IF(ISBLANK(INDEX(big_daily_table,MATCH(DATE(Z$5,$K10,$J10),daily_dates,0),MATCH($B$3,daily_items,0))),NA(),INDEX(big_daily_table,MATCH(DATE(Z$5,$K10,$J10),daily_dates,0),MATCH($B$3,daily_items,0)))</f>
        <v>#N/A</v>
      </c>
      <c r="AA10" s="1" t="str">
        <f t="shared" si="5"/>
        <v>#NAME?</v>
      </c>
      <c r="AB10" s="1" t="str">
        <f t="shared" si="6"/>
        <v>#NAME?</v>
      </c>
      <c r="AC10" s="1" t="str">
        <f t="shared" si="7"/>
        <v>#NAME?</v>
      </c>
      <c r="AD10" s="1" t="str">
        <f t="shared" si="8"/>
        <v>#NAME?</v>
      </c>
    </row>
    <row r="11" ht="14.25" customHeight="1">
      <c r="H11" s="1">
        <f t="shared" si="9"/>
        <v>6</v>
      </c>
      <c r="I11" s="1">
        <f>WEEKDAY('daily graphs'!K11)</f>
        <v>5</v>
      </c>
      <c r="J11" s="1">
        <f t="shared" si="2"/>
        <v>1</v>
      </c>
      <c r="K11" s="1">
        <f t="shared" si="3"/>
        <v>1</v>
      </c>
      <c r="L11" s="23">
        <f>'daily graphs'!K11 - I11</f>
        <v>36526</v>
      </c>
      <c r="M11" s="24">
        <f t="shared" si="4"/>
        <v>-1000000</v>
      </c>
      <c r="N11" s="24" t="str">
        <f t="array" ref="N11">IF(M11&gt;0,INDEX(big_daily_table,MATCH(DATE(O$5,$K11,$J11),daily_dates,0),MATCH($B$3,daily_items,0)),NA())</f>
        <v>#N/A</v>
      </c>
      <c r="O11" s="1" t="str">
        <f t="array" ref="O11">IF(M11&lt;0,INDEX(big_daily_table,MATCH(DATE(O$5,$K11,$J11),daily_dates,0),MATCH($B$3,daily_items,0)),NA())</f>
        <v>#N/A</v>
      </c>
      <c r="P11" s="1" t="str">
        <f t="array" ref="P11">IF(ISBLANK(INDEX(big_daily_table,MATCH(DATE(P$5,$K11,$J11),daily_dates,0),MATCH($B$3,daily_items,0))),NA(),INDEX(big_daily_table,MATCH(DATE(P$5,$K11,$J11),daily_dates,0),MATCH($B$3,daily_items,0)))</f>
        <v>#N/A</v>
      </c>
      <c r="Q11" s="1" t="str">
        <f t="array" ref="Q11">IF(ISBLANK(INDEX(big_daily_table,MATCH(DATE(Q$5,$K11,$J11),daily_dates,0),MATCH($B$3,daily_items,0))),NA(),INDEX(big_daily_table,MATCH(DATE(Q$5,$K11,$J11),daily_dates,0),MATCH($B$3,daily_items,0)))</f>
        <v>#N/A</v>
      </c>
      <c r="R11" s="1" t="str">
        <f t="array" ref="R11">IF(ISBLANK(INDEX(big_daily_table,MATCH(DATE(R$5,$K11,$J11),daily_dates,0),MATCH($B$3,daily_items,0))),NA(),INDEX(big_daily_table,MATCH(DATE(R$5,$K11,$J11),daily_dates,0),MATCH($B$3,daily_items,0)))</f>
        <v>#N/A</v>
      </c>
      <c r="S11" s="1" t="str">
        <f t="array" ref="S11">IF(ISBLANK(INDEX(big_daily_table,MATCH(DATE(S$5,$K11,$J11),daily_dates,0),MATCH($B$3,daily_items,0))),NA(),INDEX(big_daily_table,MATCH(DATE(S$5,$K11,$J11),daily_dates,0),MATCH($B$3,daily_items,0)))</f>
        <v>#N/A</v>
      </c>
      <c r="T11" s="1" t="str">
        <f t="array" ref="T11">IF(ISBLANK(INDEX(big_daily_table,MATCH(DATE(T$5,$K11,$J11),daily_dates,0),MATCH($B$3,daily_items,0))),NA(),INDEX(big_daily_table,MATCH(DATE(T$5,$K11,$J11),daily_dates,0),MATCH($B$3,daily_items,0)))</f>
        <v>#N/A</v>
      </c>
      <c r="U11" s="1" t="str">
        <f t="array" ref="U11">IF(ISBLANK(INDEX(big_daily_table,MATCH(DATE(U$5,$K11,$J11),daily_dates,0),MATCH($B$3,daily_items,0))),NA(),INDEX(big_daily_table,MATCH(DATE(U$5,$K11,$J11),daily_dates,0),MATCH($B$3,daily_items,0)))</f>
        <v>#N/A</v>
      </c>
      <c r="V11" s="1" t="str">
        <f t="array" ref="V11">IF(ISBLANK(INDEX(big_daily_table,MATCH(DATE(V$5,$K11,$J11),daily_dates,0),MATCH($B$3,daily_items,0))),NA(),INDEX(big_daily_table,MATCH(DATE(V$5,$K11,$J11),daily_dates,0),MATCH($B$3,daily_items,0)))</f>
        <v>#N/A</v>
      </c>
      <c r="W11" s="1" t="str">
        <f t="array" ref="W11">IF(ISBLANK(INDEX(big_daily_table,MATCH(DATE(W$5,$K11,$J11),daily_dates,0),MATCH($B$3,daily_items,0))),NA(),INDEX(big_daily_table,MATCH(DATE(W$5,$K11,$J11),daily_dates,0),MATCH($B$3,daily_items,0)))</f>
        <v>#N/A</v>
      </c>
      <c r="X11" s="1" t="str">
        <f t="array" ref="X11">IF(ISBLANK(INDEX(big_daily_table,MATCH(DATE(X$5,$K11,$J11),daily_dates,0),MATCH($B$3,daily_items,0))),NA(),INDEX(big_daily_table,MATCH(DATE(X$5,$K11,$J11),daily_dates,0),MATCH($B$3,daily_items,0)))</f>
        <v>#N/A</v>
      </c>
      <c r="Y11" s="1" t="str">
        <f t="array" ref="Y11">IF(ISBLANK(INDEX(big_daily_table,MATCH(DATE(Y$5,$K11,$J11),daily_dates,0),MATCH($B$3,daily_items,0))),NA(),INDEX(big_daily_table,MATCH(DATE(Y$5,$K11,$J11),daily_dates,0),MATCH($B$3,daily_items,0)))</f>
        <v>#N/A</v>
      </c>
      <c r="Z11" s="1" t="str">
        <f t="array" ref="Z11">IF(ISBLANK(INDEX(big_daily_table,MATCH(DATE(Z$5,$K11,$J11),daily_dates,0),MATCH($B$3,daily_items,0))),NA(),INDEX(big_daily_table,MATCH(DATE(Z$5,$K11,$J11),daily_dates,0),MATCH($B$3,daily_items,0)))</f>
        <v>#N/A</v>
      </c>
      <c r="AA11" s="1" t="str">
        <f t="shared" si="5"/>
        <v>#NAME?</v>
      </c>
      <c r="AB11" s="1" t="str">
        <f t="shared" si="6"/>
        <v>#NAME?</v>
      </c>
      <c r="AC11" s="1" t="str">
        <f t="shared" si="7"/>
        <v>#NAME?</v>
      </c>
      <c r="AD11" s="1" t="str">
        <f t="shared" si="8"/>
        <v>#NAME?</v>
      </c>
    </row>
    <row r="12" ht="14.25" customHeight="1">
      <c r="H12" s="1">
        <f t="shared" si="9"/>
        <v>7</v>
      </c>
      <c r="I12" s="1">
        <f>WEEKDAY('daily graphs'!K12)</f>
        <v>6</v>
      </c>
      <c r="J12" s="1">
        <f t="shared" si="2"/>
        <v>1</v>
      </c>
      <c r="K12" s="1">
        <f t="shared" si="3"/>
        <v>1</v>
      </c>
      <c r="L12" s="23">
        <f>'daily graphs'!K12 - I12</f>
        <v>36526</v>
      </c>
      <c r="M12" s="24">
        <f t="shared" si="4"/>
        <v>-1000000</v>
      </c>
      <c r="N12" s="24" t="str">
        <f t="array" ref="N12">IF(M12&gt;0,INDEX(big_daily_table,MATCH(DATE(O$5,$K12,$J12),daily_dates,0),MATCH($B$3,daily_items,0)),NA())</f>
        <v>#N/A</v>
      </c>
      <c r="O12" s="1" t="str">
        <f t="array" ref="O12">IF(M12&lt;0,INDEX(big_daily_table,MATCH(DATE(O$5,$K12,$J12),daily_dates,0),MATCH($B$3,daily_items,0)),NA())</f>
        <v>#N/A</v>
      </c>
      <c r="P12" s="1" t="str">
        <f t="array" ref="P12">IF(ISBLANK(INDEX(big_daily_table,MATCH(DATE(P$5,$K12,$J12),daily_dates,0),MATCH($B$3,daily_items,0))),NA(),INDEX(big_daily_table,MATCH(DATE(P$5,$K12,$J12),daily_dates,0),MATCH($B$3,daily_items,0)))</f>
        <v>#N/A</v>
      </c>
      <c r="Q12" s="1" t="str">
        <f t="array" ref="Q12">IF(ISBLANK(INDEX(big_daily_table,MATCH(DATE(Q$5,$K12,$J12),daily_dates,0),MATCH($B$3,daily_items,0))),NA(),INDEX(big_daily_table,MATCH(DATE(Q$5,$K12,$J12),daily_dates,0),MATCH($B$3,daily_items,0)))</f>
        <v>#N/A</v>
      </c>
      <c r="R12" s="1" t="str">
        <f t="array" ref="R12">IF(ISBLANK(INDEX(big_daily_table,MATCH(DATE(R$5,$K12,$J12),daily_dates,0),MATCH($B$3,daily_items,0))),NA(),INDEX(big_daily_table,MATCH(DATE(R$5,$K12,$J12),daily_dates,0),MATCH($B$3,daily_items,0)))</f>
        <v>#N/A</v>
      </c>
      <c r="S12" s="1" t="str">
        <f t="array" ref="S12">IF(ISBLANK(INDEX(big_daily_table,MATCH(DATE(S$5,$K12,$J12),daily_dates,0),MATCH($B$3,daily_items,0))),NA(),INDEX(big_daily_table,MATCH(DATE(S$5,$K12,$J12),daily_dates,0),MATCH($B$3,daily_items,0)))</f>
        <v>#N/A</v>
      </c>
      <c r="T12" s="1" t="str">
        <f t="array" ref="T12">IF(ISBLANK(INDEX(big_daily_table,MATCH(DATE(T$5,$K12,$J12),daily_dates,0),MATCH($B$3,daily_items,0))),NA(),INDEX(big_daily_table,MATCH(DATE(T$5,$K12,$J12),daily_dates,0),MATCH($B$3,daily_items,0)))</f>
        <v>#N/A</v>
      </c>
      <c r="U12" s="1" t="str">
        <f t="array" ref="U12">IF(ISBLANK(INDEX(big_daily_table,MATCH(DATE(U$5,$K12,$J12),daily_dates,0),MATCH($B$3,daily_items,0))),NA(),INDEX(big_daily_table,MATCH(DATE(U$5,$K12,$J12),daily_dates,0),MATCH($B$3,daily_items,0)))</f>
        <v>#N/A</v>
      </c>
      <c r="V12" s="1" t="str">
        <f t="array" ref="V12">IF(ISBLANK(INDEX(big_daily_table,MATCH(DATE(V$5,$K12,$J12),daily_dates,0),MATCH($B$3,daily_items,0))),NA(),INDEX(big_daily_table,MATCH(DATE(V$5,$K12,$J12),daily_dates,0),MATCH($B$3,daily_items,0)))</f>
        <v>#N/A</v>
      </c>
      <c r="W12" s="1" t="str">
        <f t="array" ref="W12">IF(ISBLANK(INDEX(big_daily_table,MATCH(DATE(W$5,$K12,$J12),daily_dates,0),MATCH($B$3,daily_items,0))),NA(),INDEX(big_daily_table,MATCH(DATE(W$5,$K12,$J12),daily_dates,0),MATCH($B$3,daily_items,0)))</f>
        <v>#N/A</v>
      </c>
      <c r="X12" s="1" t="str">
        <f t="array" ref="X12">IF(ISBLANK(INDEX(big_daily_table,MATCH(DATE(X$5,$K12,$J12),daily_dates,0),MATCH($B$3,daily_items,0))),NA(),INDEX(big_daily_table,MATCH(DATE(X$5,$K12,$J12),daily_dates,0),MATCH($B$3,daily_items,0)))</f>
        <v>#N/A</v>
      </c>
      <c r="Y12" s="1" t="str">
        <f t="array" ref="Y12">IF(ISBLANK(INDEX(big_daily_table,MATCH(DATE(Y$5,$K12,$J12),daily_dates,0),MATCH($B$3,daily_items,0))),NA(),INDEX(big_daily_table,MATCH(DATE(Y$5,$K12,$J12),daily_dates,0),MATCH($B$3,daily_items,0)))</f>
        <v>#N/A</v>
      </c>
      <c r="Z12" s="1" t="str">
        <f t="array" ref="Z12">IF(ISBLANK(INDEX(big_daily_table,MATCH(DATE(Z$5,$K12,$J12),daily_dates,0),MATCH($B$3,daily_items,0))),NA(),INDEX(big_daily_table,MATCH(DATE(Z$5,$K12,$J12),daily_dates,0),MATCH($B$3,daily_items,0)))</f>
        <v>#N/A</v>
      </c>
      <c r="AA12" s="1" t="str">
        <f t="shared" si="5"/>
        <v>#NAME?</v>
      </c>
      <c r="AB12" s="1" t="str">
        <f t="shared" si="6"/>
        <v>#NAME?</v>
      </c>
      <c r="AC12" s="1" t="str">
        <f t="shared" si="7"/>
        <v>#NAME?</v>
      </c>
      <c r="AD12" s="1" t="str">
        <f t="shared" si="8"/>
        <v>#NAME?</v>
      </c>
    </row>
    <row r="13" ht="14.25" customHeight="1">
      <c r="H13" s="1">
        <f t="shared" si="9"/>
        <v>8</v>
      </c>
      <c r="I13" s="1">
        <f>WEEKDAY('daily graphs'!K13)</f>
        <v>7</v>
      </c>
      <c r="J13" s="1">
        <f t="shared" si="2"/>
        <v>1</v>
      </c>
      <c r="K13" s="1">
        <f t="shared" si="3"/>
        <v>1</v>
      </c>
      <c r="L13" s="23">
        <f>'daily graphs'!K13 - I13</f>
        <v>36526</v>
      </c>
      <c r="M13" s="24">
        <f t="shared" si="4"/>
        <v>-1000000</v>
      </c>
      <c r="N13" s="24" t="str">
        <f t="array" ref="N13">IF(M13&gt;0,INDEX(big_daily_table,MATCH(DATE(O$5,$K13,$J13),daily_dates,0),MATCH($B$3,daily_items,0)),NA())</f>
        <v>#N/A</v>
      </c>
      <c r="O13" s="1" t="str">
        <f t="array" ref="O13">IF(M13&lt;0,INDEX(big_daily_table,MATCH(DATE(O$5,$K13,$J13),daily_dates,0),MATCH($B$3,daily_items,0)),NA())</f>
        <v>#N/A</v>
      </c>
      <c r="P13" s="1" t="str">
        <f t="array" ref="P13">IF(ISBLANK(INDEX(big_daily_table,MATCH(DATE(P$5,$K13,$J13),daily_dates,0),MATCH($B$3,daily_items,0))),NA(),INDEX(big_daily_table,MATCH(DATE(P$5,$K13,$J13),daily_dates,0),MATCH($B$3,daily_items,0)))</f>
        <v>#N/A</v>
      </c>
      <c r="Q13" s="1" t="str">
        <f t="array" ref="Q13">IF(ISBLANK(INDEX(big_daily_table,MATCH(DATE(Q$5,$K13,$J13),daily_dates,0),MATCH($B$3,daily_items,0))),NA(),INDEX(big_daily_table,MATCH(DATE(Q$5,$K13,$J13),daily_dates,0),MATCH($B$3,daily_items,0)))</f>
        <v>#N/A</v>
      </c>
      <c r="R13" s="1" t="str">
        <f t="array" ref="R13">IF(ISBLANK(INDEX(big_daily_table,MATCH(DATE(R$5,$K13,$J13),daily_dates,0),MATCH($B$3,daily_items,0))),NA(),INDEX(big_daily_table,MATCH(DATE(R$5,$K13,$J13),daily_dates,0),MATCH($B$3,daily_items,0)))</f>
        <v>#N/A</v>
      </c>
      <c r="S13" s="1" t="str">
        <f t="array" ref="S13">IF(ISBLANK(INDEX(big_daily_table,MATCH(DATE(S$5,$K13,$J13),daily_dates,0),MATCH($B$3,daily_items,0))),NA(),INDEX(big_daily_table,MATCH(DATE(S$5,$K13,$J13),daily_dates,0),MATCH($B$3,daily_items,0)))</f>
        <v>#N/A</v>
      </c>
      <c r="T13" s="1" t="str">
        <f t="array" ref="T13">IF(ISBLANK(INDEX(big_daily_table,MATCH(DATE(T$5,$K13,$J13),daily_dates,0),MATCH($B$3,daily_items,0))),NA(),INDEX(big_daily_table,MATCH(DATE(T$5,$K13,$J13),daily_dates,0),MATCH($B$3,daily_items,0)))</f>
        <v>#N/A</v>
      </c>
      <c r="U13" s="1" t="str">
        <f t="array" ref="U13">IF(ISBLANK(INDEX(big_daily_table,MATCH(DATE(U$5,$K13,$J13),daily_dates,0),MATCH($B$3,daily_items,0))),NA(),INDEX(big_daily_table,MATCH(DATE(U$5,$K13,$J13),daily_dates,0),MATCH($B$3,daily_items,0)))</f>
        <v>#N/A</v>
      </c>
      <c r="V13" s="1" t="str">
        <f t="array" ref="V13">IF(ISBLANK(INDEX(big_daily_table,MATCH(DATE(V$5,$K13,$J13),daily_dates,0),MATCH($B$3,daily_items,0))),NA(),INDEX(big_daily_table,MATCH(DATE(V$5,$K13,$J13),daily_dates,0),MATCH($B$3,daily_items,0)))</f>
        <v>#N/A</v>
      </c>
      <c r="W13" s="1" t="str">
        <f t="array" ref="W13">IF(ISBLANK(INDEX(big_daily_table,MATCH(DATE(W$5,$K13,$J13),daily_dates,0),MATCH($B$3,daily_items,0))),NA(),INDEX(big_daily_table,MATCH(DATE(W$5,$K13,$J13),daily_dates,0),MATCH($B$3,daily_items,0)))</f>
        <v>#N/A</v>
      </c>
      <c r="X13" s="1" t="str">
        <f t="array" ref="X13">IF(ISBLANK(INDEX(big_daily_table,MATCH(DATE(X$5,$K13,$J13),daily_dates,0),MATCH($B$3,daily_items,0))),NA(),INDEX(big_daily_table,MATCH(DATE(X$5,$K13,$J13),daily_dates,0),MATCH($B$3,daily_items,0)))</f>
        <v>#N/A</v>
      </c>
      <c r="Y13" s="1" t="str">
        <f t="array" ref="Y13">IF(ISBLANK(INDEX(big_daily_table,MATCH(DATE(Y$5,$K13,$J13),daily_dates,0),MATCH($B$3,daily_items,0))),NA(),INDEX(big_daily_table,MATCH(DATE(Y$5,$K13,$J13),daily_dates,0),MATCH($B$3,daily_items,0)))</f>
        <v>#N/A</v>
      </c>
      <c r="Z13" s="1" t="str">
        <f t="array" ref="Z13">IF(ISBLANK(INDEX(big_daily_table,MATCH(DATE(Z$5,$K13,$J13),daily_dates,0),MATCH($B$3,daily_items,0))),NA(),INDEX(big_daily_table,MATCH(DATE(Z$5,$K13,$J13),daily_dates,0),MATCH($B$3,daily_items,0)))</f>
        <v>#N/A</v>
      </c>
      <c r="AA13" s="1" t="str">
        <f t="shared" si="5"/>
        <v>#NAME?</v>
      </c>
      <c r="AB13" s="1" t="str">
        <f t="shared" si="6"/>
        <v>#NAME?</v>
      </c>
      <c r="AC13" s="1" t="str">
        <f t="shared" si="7"/>
        <v>#NAME?</v>
      </c>
      <c r="AD13" s="1" t="str">
        <f t="shared" si="8"/>
        <v>#NAME?</v>
      </c>
    </row>
    <row r="14" ht="14.25" customHeight="1">
      <c r="H14" s="1">
        <f t="shared" si="9"/>
        <v>9</v>
      </c>
      <c r="I14" s="1">
        <f>WEEKDAY('daily graphs'!K14)</f>
        <v>1</v>
      </c>
      <c r="J14" s="1">
        <f t="shared" si="2"/>
        <v>8</v>
      </c>
      <c r="K14" s="1">
        <f t="shared" si="3"/>
        <v>1</v>
      </c>
      <c r="L14" s="23">
        <f>'daily graphs'!K14 - I14</f>
        <v>36533</v>
      </c>
      <c r="M14" s="24">
        <f t="shared" si="4"/>
        <v>-1000000</v>
      </c>
      <c r="N14" s="24" t="str">
        <f t="array" ref="N14">IF(M14&gt;0,INDEX(big_daily_table,MATCH(DATE(O$5,$K14,$J14),daily_dates,0),MATCH($B$3,daily_items,0)),NA())</f>
        <v>#N/A</v>
      </c>
      <c r="O14" s="1" t="str">
        <f t="array" ref="O14">IF(M14&lt;0,INDEX(big_daily_table,MATCH(DATE(O$5,$K14,$J14),daily_dates,0),MATCH($B$3,daily_items,0)),NA())</f>
        <v>#N/A</v>
      </c>
      <c r="P14" s="1" t="str">
        <f t="array" ref="P14">IF(ISBLANK(INDEX(big_daily_table,MATCH(DATE(P$5,$K14,$J14),daily_dates,0),MATCH($B$3,daily_items,0))),NA(),INDEX(big_daily_table,MATCH(DATE(P$5,$K14,$J14),daily_dates,0),MATCH($B$3,daily_items,0)))</f>
        <v>#N/A</v>
      </c>
      <c r="Q14" s="1" t="str">
        <f t="array" ref="Q14">IF(ISBLANK(INDEX(big_daily_table,MATCH(DATE(Q$5,$K14,$J14),daily_dates,0),MATCH($B$3,daily_items,0))),NA(),INDEX(big_daily_table,MATCH(DATE(Q$5,$K14,$J14),daily_dates,0),MATCH($B$3,daily_items,0)))</f>
        <v>#N/A</v>
      </c>
      <c r="R14" s="1" t="str">
        <f t="array" ref="R14">IF(ISBLANK(INDEX(big_daily_table,MATCH(DATE(R$5,$K14,$J14),daily_dates,0),MATCH($B$3,daily_items,0))),NA(),INDEX(big_daily_table,MATCH(DATE(R$5,$K14,$J14),daily_dates,0),MATCH($B$3,daily_items,0)))</f>
        <v>#N/A</v>
      </c>
      <c r="S14" s="1" t="str">
        <f t="array" ref="S14">IF(ISBLANK(INDEX(big_daily_table,MATCH(DATE(S$5,$K14,$J14),daily_dates,0),MATCH($B$3,daily_items,0))),NA(),INDEX(big_daily_table,MATCH(DATE(S$5,$K14,$J14),daily_dates,0),MATCH($B$3,daily_items,0)))</f>
        <v>#N/A</v>
      </c>
      <c r="T14" s="1" t="str">
        <f t="array" ref="T14">IF(ISBLANK(INDEX(big_daily_table,MATCH(DATE(T$5,$K14,$J14),daily_dates,0),MATCH($B$3,daily_items,0))),NA(),INDEX(big_daily_table,MATCH(DATE(T$5,$K14,$J14),daily_dates,0),MATCH($B$3,daily_items,0)))</f>
        <v>#N/A</v>
      </c>
      <c r="U14" s="1" t="str">
        <f t="array" ref="U14">IF(ISBLANK(INDEX(big_daily_table,MATCH(DATE(U$5,$K14,$J14),daily_dates,0),MATCH($B$3,daily_items,0))),NA(),INDEX(big_daily_table,MATCH(DATE(U$5,$K14,$J14),daily_dates,0),MATCH($B$3,daily_items,0)))</f>
        <v>#N/A</v>
      </c>
      <c r="V14" s="1" t="str">
        <f t="array" ref="V14">IF(ISBLANK(INDEX(big_daily_table,MATCH(DATE(V$5,$K14,$J14),daily_dates,0),MATCH($B$3,daily_items,0))),NA(),INDEX(big_daily_table,MATCH(DATE(V$5,$K14,$J14),daily_dates,0),MATCH($B$3,daily_items,0)))</f>
        <v>#N/A</v>
      </c>
      <c r="W14" s="1" t="str">
        <f t="array" ref="W14">IF(ISBLANK(INDEX(big_daily_table,MATCH(DATE(W$5,$K14,$J14),daily_dates,0),MATCH($B$3,daily_items,0))),NA(),INDEX(big_daily_table,MATCH(DATE(W$5,$K14,$J14),daily_dates,0),MATCH($B$3,daily_items,0)))</f>
        <v>#N/A</v>
      </c>
      <c r="X14" s="1" t="str">
        <f t="array" ref="X14">IF(ISBLANK(INDEX(big_daily_table,MATCH(DATE(X$5,$K14,$J14),daily_dates,0),MATCH($B$3,daily_items,0))),NA(),INDEX(big_daily_table,MATCH(DATE(X$5,$K14,$J14),daily_dates,0),MATCH($B$3,daily_items,0)))</f>
        <v>#N/A</v>
      </c>
      <c r="Y14" s="1" t="str">
        <f t="array" ref="Y14">IF(ISBLANK(INDEX(big_daily_table,MATCH(DATE(Y$5,$K14,$J14),daily_dates,0),MATCH($B$3,daily_items,0))),NA(),INDEX(big_daily_table,MATCH(DATE(Y$5,$K14,$J14),daily_dates,0),MATCH($B$3,daily_items,0)))</f>
        <v>#N/A</v>
      </c>
      <c r="Z14" s="1" t="str">
        <f t="array" ref="Z14">IF(ISBLANK(INDEX(big_daily_table,MATCH(DATE(Z$5,$K14,$J14),daily_dates,0),MATCH($B$3,daily_items,0))),NA(),INDEX(big_daily_table,MATCH(DATE(Z$5,$K14,$J14),daily_dates,0),MATCH($B$3,daily_items,0)))</f>
        <v>#N/A</v>
      </c>
      <c r="AA14" s="1" t="str">
        <f t="shared" si="5"/>
        <v>#NAME?</v>
      </c>
      <c r="AB14" s="1" t="str">
        <f t="shared" si="6"/>
        <v>#NAME?</v>
      </c>
      <c r="AC14" s="1" t="str">
        <f t="shared" si="7"/>
        <v>#NAME?</v>
      </c>
      <c r="AD14" s="1" t="str">
        <f t="shared" si="8"/>
        <v>#NAME?</v>
      </c>
    </row>
    <row r="15" ht="14.25" customHeight="1">
      <c r="H15" s="1">
        <f t="shared" si="9"/>
        <v>10</v>
      </c>
      <c r="I15" s="1">
        <f>WEEKDAY('daily graphs'!K15)</f>
        <v>2</v>
      </c>
      <c r="J15" s="1">
        <f t="shared" si="2"/>
        <v>8</v>
      </c>
      <c r="K15" s="1">
        <f t="shared" si="3"/>
        <v>1</v>
      </c>
      <c r="L15" s="23">
        <f>'daily graphs'!K15 - I15</f>
        <v>36533</v>
      </c>
      <c r="M15" s="24">
        <f t="shared" si="4"/>
        <v>-1000000</v>
      </c>
      <c r="N15" s="24" t="str">
        <f t="array" ref="N15">IF(M15&gt;0,INDEX(big_daily_table,MATCH(DATE(O$5,$K15,$J15),daily_dates,0),MATCH($B$3,daily_items,0)),NA())</f>
        <v>#N/A</v>
      </c>
      <c r="O15" s="1" t="str">
        <f t="array" ref="O15">IF(M15&lt;0,INDEX(big_daily_table,MATCH(DATE(O$5,$K15,$J15),daily_dates,0),MATCH($B$3,daily_items,0)),NA())</f>
        <v>#N/A</v>
      </c>
      <c r="P15" s="1" t="str">
        <f t="array" ref="P15">IF(ISBLANK(INDEX(big_daily_table,MATCH(DATE(P$5,$K15,$J15),daily_dates,0),MATCH($B$3,daily_items,0))),NA(),INDEX(big_daily_table,MATCH(DATE(P$5,$K15,$J15),daily_dates,0),MATCH($B$3,daily_items,0)))</f>
        <v>#N/A</v>
      </c>
      <c r="Q15" s="1" t="str">
        <f t="array" ref="Q15">IF(ISBLANK(INDEX(big_daily_table,MATCH(DATE(Q$5,$K15,$J15),daily_dates,0),MATCH($B$3,daily_items,0))),NA(),INDEX(big_daily_table,MATCH(DATE(Q$5,$K15,$J15),daily_dates,0),MATCH($B$3,daily_items,0)))</f>
        <v>#N/A</v>
      </c>
      <c r="R15" s="1" t="str">
        <f t="array" ref="R15">IF(ISBLANK(INDEX(big_daily_table,MATCH(DATE(R$5,$K15,$J15),daily_dates,0),MATCH($B$3,daily_items,0))),NA(),INDEX(big_daily_table,MATCH(DATE(R$5,$K15,$J15),daily_dates,0),MATCH($B$3,daily_items,0)))</f>
        <v>#N/A</v>
      </c>
      <c r="S15" s="1" t="str">
        <f t="array" ref="S15">IF(ISBLANK(INDEX(big_daily_table,MATCH(DATE(S$5,$K15,$J15),daily_dates,0),MATCH($B$3,daily_items,0))),NA(),INDEX(big_daily_table,MATCH(DATE(S$5,$K15,$J15),daily_dates,0),MATCH($B$3,daily_items,0)))</f>
        <v>#N/A</v>
      </c>
      <c r="T15" s="1" t="str">
        <f t="array" ref="T15">IF(ISBLANK(INDEX(big_daily_table,MATCH(DATE(T$5,$K15,$J15),daily_dates,0),MATCH($B$3,daily_items,0))),NA(),INDEX(big_daily_table,MATCH(DATE(T$5,$K15,$J15),daily_dates,0),MATCH($B$3,daily_items,0)))</f>
        <v>#N/A</v>
      </c>
      <c r="U15" s="1" t="str">
        <f t="array" ref="U15">IF(ISBLANK(INDEX(big_daily_table,MATCH(DATE(U$5,$K15,$J15),daily_dates,0),MATCH($B$3,daily_items,0))),NA(),INDEX(big_daily_table,MATCH(DATE(U$5,$K15,$J15),daily_dates,0),MATCH($B$3,daily_items,0)))</f>
        <v>#N/A</v>
      </c>
      <c r="V15" s="1" t="str">
        <f t="array" ref="V15">IF(ISBLANK(INDEX(big_daily_table,MATCH(DATE(V$5,$K15,$J15),daily_dates,0),MATCH($B$3,daily_items,0))),NA(),INDEX(big_daily_table,MATCH(DATE(V$5,$K15,$J15),daily_dates,0),MATCH($B$3,daily_items,0)))</f>
        <v>#N/A</v>
      </c>
      <c r="W15" s="1" t="str">
        <f t="array" ref="W15">IF(ISBLANK(INDEX(big_daily_table,MATCH(DATE(W$5,$K15,$J15),daily_dates,0),MATCH($B$3,daily_items,0))),NA(),INDEX(big_daily_table,MATCH(DATE(W$5,$K15,$J15),daily_dates,0),MATCH($B$3,daily_items,0)))</f>
        <v>#N/A</v>
      </c>
      <c r="X15" s="1" t="str">
        <f t="array" ref="X15">IF(ISBLANK(INDEX(big_daily_table,MATCH(DATE(X$5,$K15,$J15),daily_dates,0),MATCH($B$3,daily_items,0))),NA(),INDEX(big_daily_table,MATCH(DATE(X$5,$K15,$J15),daily_dates,0),MATCH($B$3,daily_items,0)))</f>
        <v>#N/A</v>
      </c>
      <c r="Y15" s="1" t="str">
        <f t="array" ref="Y15">IF(ISBLANK(INDEX(big_daily_table,MATCH(DATE(Y$5,$K15,$J15),daily_dates,0),MATCH($B$3,daily_items,0))),NA(),INDEX(big_daily_table,MATCH(DATE(Y$5,$K15,$J15),daily_dates,0),MATCH($B$3,daily_items,0)))</f>
        <v>#N/A</v>
      </c>
      <c r="Z15" s="1" t="str">
        <f t="array" ref="Z15">IF(ISBLANK(INDEX(big_daily_table,MATCH(DATE(Z$5,$K15,$J15),daily_dates,0),MATCH($B$3,daily_items,0))),NA(),INDEX(big_daily_table,MATCH(DATE(Z$5,$K15,$J15),daily_dates,0),MATCH($B$3,daily_items,0)))</f>
        <v>#N/A</v>
      </c>
      <c r="AA15" s="1" t="str">
        <f t="shared" si="5"/>
        <v>#NAME?</v>
      </c>
      <c r="AB15" s="1" t="str">
        <f t="shared" si="6"/>
        <v>#NAME?</v>
      </c>
      <c r="AC15" s="1" t="str">
        <f t="shared" si="7"/>
        <v>#NAME?</v>
      </c>
      <c r="AD15" s="1" t="str">
        <f t="shared" si="8"/>
        <v>#NAME?</v>
      </c>
    </row>
    <row r="16" ht="14.25" customHeight="1">
      <c r="H16" s="1">
        <f t="shared" si="9"/>
        <v>11</v>
      </c>
      <c r="I16" s="1">
        <f>WEEKDAY('daily graphs'!K16)</f>
        <v>3</v>
      </c>
      <c r="J16" s="1">
        <f t="shared" si="2"/>
        <v>8</v>
      </c>
      <c r="K16" s="1">
        <f t="shared" si="3"/>
        <v>1</v>
      </c>
      <c r="L16" s="23">
        <f>'daily graphs'!K16 - I16</f>
        <v>36533</v>
      </c>
      <c r="M16" s="24">
        <f t="shared" si="4"/>
        <v>-1000000</v>
      </c>
      <c r="N16" s="24" t="str">
        <f t="array" ref="N16">IF(M16&gt;0,INDEX(big_daily_table,MATCH(DATE(O$5,$K16,$J16),daily_dates,0),MATCH($B$3,daily_items,0)),NA())</f>
        <v>#N/A</v>
      </c>
      <c r="O16" s="1" t="str">
        <f t="array" ref="O16">IF(M16&lt;0,INDEX(big_daily_table,MATCH(DATE(O$5,$K16,$J16),daily_dates,0),MATCH($B$3,daily_items,0)),NA())</f>
        <v>#N/A</v>
      </c>
      <c r="P16" s="1" t="str">
        <f t="array" ref="P16">IF(ISBLANK(INDEX(big_daily_table,MATCH(DATE(P$5,$K16,$J16),daily_dates,0),MATCH($B$3,daily_items,0))),NA(),INDEX(big_daily_table,MATCH(DATE(P$5,$K16,$J16),daily_dates,0),MATCH($B$3,daily_items,0)))</f>
        <v>#N/A</v>
      </c>
      <c r="Q16" s="1" t="str">
        <f t="array" ref="Q16">IF(ISBLANK(INDEX(big_daily_table,MATCH(DATE(Q$5,$K16,$J16),daily_dates,0),MATCH($B$3,daily_items,0))),NA(),INDEX(big_daily_table,MATCH(DATE(Q$5,$K16,$J16),daily_dates,0),MATCH($B$3,daily_items,0)))</f>
        <v>#N/A</v>
      </c>
      <c r="R16" s="1" t="str">
        <f t="array" ref="R16">IF(ISBLANK(INDEX(big_daily_table,MATCH(DATE(R$5,$K16,$J16),daily_dates,0),MATCH($B$3,daily_items,0))),NA(),INDEX(big_daily_table,MATCH(DATE(R$5,$K16,$J16),daily_dates,0),MATCH($B$3,daily_items,0)))</f>
        <v>#N/A</v>
      </c>
      <c r="S16" s="1" t="str">
        <f t="array" ref="S16">IF(ISBLANK(INDEX(big_daily_table,MATCH(DATE(S$5,$K16,$J16),daily_dates,0),MATCH($B$3,daily_items,0))),NA(),INDEX(big_daily_table,MATCH(DATE(S$5,$K16,$J16),daily_dates,0),MATCH($B$3,daily_items,0)))</f>
        <v>#N/A</v>
      </c>
      <c r="T16" s="1" t="str">
        <f t="array" ref="T16">IF(ISBLANK(INDEX(big_daily_table,MATCH(DATE(T$5,$K16,$J16),daily_dates,0),MATCH($B$3,daily_items,0))),NA(),INDEX(big_daily_table,MATCH(DATE(T$5,$K16,$J16),daily_dates,0),MATCH($B$3,daily_items,0)))</f>
        <v>#N/A</v>
      </c>
      <c r="U16" s="1" t="str">
        <f t="array" ref="U16">IF(ISBLANK(INDEX(big_daily_table,MATCH(DATE(U$5,$K16,$J16),daily_dates,0),MATCH($B$3,daily_items,0))),NA(),INDEX(big_daily_table,MATCH(DATE(U$5,$K16,$J16),daily_dates,0),MATCH($B$3,daily_items,0)))</f>
        <v>#N/A</v>
      </c>
      <c r="V16" s="1" t="str">
        <f t="array" ref="V16">IF(ISBLANK(INDEX(big_daily_table,MATCH(DATE(V$5,$K16,$J16),daily_dates,0),MATCH($B$3,daily_items,0))),NA(),INDEX(big_daily_table,MATCH(DATE(V$5,$K16,$J16),daily_dates,0),MATCH($B$3,daily_items,0)))</f>
        <v>#N/A</v>
      </c>
      <c r="W16" s="1" t="str">
        <f t="array" ref="W16">IF(ISBLANK(INDEX(big_daily_table,MATCH(DATE(W$5,$K16,$J16),daily_dates,0),MATCH($B$3,daily_items,0))),NA(),INDEX(big_daily_table,MATCH(DATE(W$5,$K16,$J16),daily_dates,0),MATCH($B$3,daily_items,0)))</f>
        <v>#N/A</v>
      </c>
      <c r="X16" s="1" t="str">
        <f t="array" ref="X16">IF(ISBLANK(INDEX(big_daily_table,MATCH(DATE(X$5,$K16,$J16),daily_dates,0),MATCH($B$3,daily_items,0))),NA(),INDEX(big_daily_table,MATCH(DATE(X$5,$K16,$J16),daily_dates,0),MATCH($B$3,daily_items,0)))</f>
        <v>#N/A</v>
      </c>
      <c r="Y16" s="1" t="str">
        <f t="array" ref="Y16">IF(ISBLANK(INDEX(big_daily_table,MATCH(DATE(Y$5,$K16,$J16),daily_dates,0),MATCH($B$3,daily_items,0))),NA(),INDEX(big_daily_table,MATCH(DATE(Y$5,$K16,$J16),daily_dates,0),MATCH($B$3,daily_items,0)))</f>
        <v>#N/A</v>
      </c>
      <c r="Z16" s="1" t="str">
        <f t="array" ref="Z16">IF(ISBLANK(INDEX(big_daily_table,MATCH(DATE(Z$5,$K16,$J16),daily_dates,0),MATCH($B$3,daily_items,0))),NA(),INDEX(big_daily_table,MATCH(DATE(Z$5,$K16,$J16),daily_dates,0),MATCH($B$3,daily_items,0)))</f>
        <v>#N/A</v>
      </c>
      <c r="AA16" s="1" t="str">
        <f t="shared" si="5"/>
        <v>#NAME?</v>
      </c>
      <c r="AB16" s="1" t="str">
        <f t="shared" si="6"/>
        <v>#NAME?</v>
      </c>
      <c r="AC16" s="1" t="str">
        <f t="shared" si="7"/>
        <v>#NAME?</v>
      </c>
      <c r="AD16" s="1" t="str">
        <f t="shared" si="8"/>
        <v>#NAME?</v>
      </c>
    </row>
    <row r="17" ht="14.25" customHeight="1">
      <c r="H17" s="1">
        <f t="shared" si="9"/>
        <v>12</v>
      </c>
      <c r="I17" s="1">
        <f>WEEKDAY('daily graphs'!K17)</f>
        <v>4</v>
      </c>
      <c r="J17" s="1">
        <f t="shared" si="2"/>
        <v>8</v>
      </c>
      <c r="K17" s="1">
        <f t="shared" si="3"/>
        <v>1</v>
      </c>
      <c r="L17" s="23">
        <f>'daily graphs'!K17 - I17</f>
        <v>36533</v>
      </c>
      <c r="M17" s="24">
        <f t="shared" si="4"/>
        <v>-1000000</v>
      </c>
      <c r="N17" s="24" t="str">
        <f t="array" ref="N17">IF(M17&gt;0,INDEX(big_daily_table,MATCH(DATE(O$5,$K17,$J17),daily_dates,0),MATCH($B$3,daily_items,0)),NA())</f>
        <v>#N/A</v>
      </c>
      <c r="O17" s="1" t="str">
        <f t="array" ref="O17">IF(M17&lt;0,INDEX(big_daily_table,MATCH(DATE(O$5,$K17,$J17),daily_dates,0),MATCH($B$3,daily_items,0)),NA())</f>
        <v>#N/A</v>
      </c>
      <c r="P17" s="1" t="str">
        <f t="array" ref="P17">IF(ISBLANK(INDEX(big_daily_table,MATCH(DATE(P$5,$K17,$J17),daily_dates,0),MATCH($B$3,daily_items,0))),NA(),INDEX(big_daily_table,MATCH(DATE(P$5,$K17,$J17),daily_dates,0),MATCH($B$3,daily_items,0)))</f>
        <v>#N/A</v>
      </c>
      <c r="Q17" s="1" t="str">
        <f t="array" ref="Q17">IF(ISBLANK(INDEX(big_daily_table,MATCH(DATE(Q$5,$K17,$J17),daily_dates,0),MATCH($B$3,daily_items,0))),NA(),INDEX(big_daily_table,MATCH(DATE(Q$5,$K17,$J17),daily_dates,0),MATCH($B$3,daily_items,0)))</f>
        <v>#N/A</v>
      </c>
      <c r="R17" s="1" t="str">
        <f t="array" ref="R17">IF(ISBLANK(INDEX(big_daily_table,MATCH(DATE(R$5,$K17,$J17),daily_dates,0),MATCH($B$3,daily_items,0))),NA(),INDEX(big_daily_table,MATCH(DATE(R$5,$K17,$J17),daily_dates,0),MATCH($B$3,daily_items,0)))</f>
        <v>#N/A</v>
      </c>
      <c r="S17" s="1" t="str">
        <f t="array" ref="S17">IF(ISBLANK(INDEX(big_daily_table,MATCH(DATE(S$5,$K17,$J17),daily_dates,0),MATCH($B$3,daily_items,0))),NA(),INDEX(big_daily_table,MATCH(DATE(S$5,$K17,$J17),daily_dates,0),MATCH($B$3,daily_items,0)))</f>
        <v>#N/A</v>
      </c>
      <c r="T17" s="1" t="str">
        <f t="array" ref="T17">IF(ISBLANK(INDEX(big_daily_table,MATCH(DATE(T$5,$K17,$J17),daily_dates,0),MATCH($B$3,daily_items,0))),NA(),INDEX(big_daily_table,MATCH(DATE(T$5,$K17,$J17),daily_dates,0),MATCH($B$3,daily_items,0)))</f>
        <v>#N/A</v>
      </c>
      <c r="U17" s="1" t="str">
        <f t="array" ref="U17">IF(ISBLANK(INDEX(big_daily_table,MATCH(DATE(U$5,$K17,$J17),daily_dates,0),MATCH($B$3,daily_items,0))),NA(),INDEX(big_daily_table,MATCH(DATE(U$5,$K17,$J17),daily_dates,0),MATCH($B$3,daily_items,0)))</f>
        <v>#N/A</v>
      </c>
      <c r="V17" s="1" t="str">
        <f t="array" ref="V17">IF(ISBLANK(INDEX(big_daily_table,MATCH(DATE(V$5,$K17,$J17),daily_dates,0),MATCH($B$3,daily_items,0))),NA(),INDEX(big_daily_table,MATCH(DATE(V$5,$K17,$J17),daily_dates,0),MATCH($B$3,daily_items,0)))</f>
        <v>#N/A</v>
      </c>
      <c r="W17" s="1" t="str">
        <f t="array" ref="W17">IF(ISBLANK(INDEX(big_daily_table,MATCH(DATE(W$5,$K17,$J17),daily_dates,0),MATCH($B$3,daily_items,0))),NA(),INDEX(big_daily_table,MATCH(DATE(W$5,$K17,$J17),daily_dates,0),MATCH($B$3,daily_items,0)))</f>
        <v>#N/A</v>
      </c>
      <c r="X17" s="1" t="str">
        <f t="array" ref="X17">IF(ISBLANK(INDEX(big_daily_table,MATCH(DATE(X$5,$K17,$J17),daily_dates,0),MATCH($B$3,daily_items,0))),NA(),INDEX(big_daily_table,MATCH(DATE(X$5,$K17,$J17),daily_dates,0),MATCH($B$3,daily_items,0)))</f>
        <v>#N/A</v>
      </c>
      <c r="Y17" s="1" t="str">
        <f t="array" ref="Y17">IF(ISBLANK(INDEX(big_daily_table,MATCH(DATE(Y$5,$K17,$J17),daily_dates,0),MATCH($B$3,daily_items,0))),NA(),INDEX(big_daily_table,MATCH(DATE(Y$5,$K17,$J17),daily_dates,0),MATCH($B$3,daily_items,0)))</f>
        <v>#N/A</v>
      </c>
      <c r="Z17" s="1" t="str">
        <f t="array" ref="Z17">IF(ISBLANK(INDEX(big_daily_table,MATCH(DATE(Z$5,$K17,$J17),daily_dates,0),MATCH($B$3,daily_items,0))),NA(),INDEX(big_daily_table,MATCH(DATE(Z$5,$K17,$J17),daily_dates,0),MATCH($B$3,daily_items,0)))</f>
        <v>#N/A</v>
      </c>
      <c r="AA17" s="1" t="str">
        <f t="shared" si="5"/>
        <v>#NAME?</v>
      </c>
      <c r="AB17" s="1" t="str">
        <f t="shared" si="6"/>
        <v>#NAME?</v>
      </c>
      <c r="AC17" s="1" t="str">
        <f t="shared" si="7"/>
        <v>#NAME?</v>
      </c>
      <c r="AD17" s="1" t="str">
        <f t="shared" si="8"/>
        <v>#NAME?</v>
      </c>
    </row>
    <row r="18" ht="14.25" customHeight="1">
      <c r="H18" s="1">
        <f t="shared" si="9"/>
        <v>13</v>
      </c>
      <c r="I18" s="1">
        <f>WEEKDAY('daily graphs'!K18)</f>
        <v>5</v>
      </c>
      <c r="J18" s="1">
        <f t="shared" si="2"/>
        <v>8</v>
      </c>
      <c r="K18" s="1">
        <f t="shared" si="3"/>
        <v>1</v>
      </c>
      <c r="L18" s="23">
        <f>'daily graphs'!K18 - I18</f>
        <v>36533</v>
      </c>
      <c r="M18" s="24">
        <f t="shared" si="4"/>
        <v>-1000000</v>
      </c>
      <c r="N18" s="24" t="str">
        <f t="array" ref="N18">IF(M18&gt;0,INDEX(big_daily_table,MATCH(DATE(O$5,$K18,$J18),daily_dates,0),MATCH($B$3,daily_items,0)),NA())</f>
        <v>#N/A</v>
      </c>
      <c r="O18" s="1" t="str">
        <f t="array" ref="O18">IF(M18&lt;0,INDEX(big_daily_table,MATCH(DATE(O$5,$K18,$J18),daily_dates,0),MATCH($B$3,daily_items,0)),NA())</f>
        <v>#N/A</v>
      </c>
      <c r="P18" s="1" t="str">
        <f t="array" ref="P18">IF(ISBLANK(INDEX(big_daily_table,MATCH(DATE(P$5,$K18,$J18),daily_dates,0),MATCH($B$3,daily_items,0))),NA(),INDEX(big_daily_table,MATCH(DATE(P$5,$K18,$J18),daily_dates,0),MATCH($B$3,daily_items,0)))</f>
        <v>#N/A</v>
      </c>
      <c r="Q18" s="1" t="str">
        <f t="array" ref="Q18">IF(ISBLANK(INDEX(big_daily_table,MATCH(DATE(Q$5,$K18,$J18),daily_dates,0),MATCH($B$3,daily_items,0))),NA(),INDEX(big_daily_table,MATCH(DATE(Q$5,$K18,$J18),daily_dates,0),MATCH($B$3,daily_items,0)))</f>
        <v>#N/A</v>
      </c>
      <c r="R18" s="1" t="str">
        <f t="array" ref="R18">IF(ISBLANK(INDEX(big_daily_table,MATCH(DATE(R$5,$K18,$J18),daily_dates,0),MATCH($B$3,daily_items,0))),NA(),INDEX(big_daily_table,MATCH(DATE(R$5,$K18,$J18),daily_dates,0),MATCH($B$3,daily_items,0)))</f>
        <v>#N/A</v>
      </c>
      <c r="S18" s="1" t="str">
        <f t="array" ref="S18">IF(ISBLANK(INDEX(big_daily_table,MATCH(DATE(S$5,$K18,$J18),daily_dates,0),MATCH($B$3,daily_items,0))),NA(),INDEX(big_daily_table,MATCH(DATE(S$5,$K18,$J18),daily_dates,0),MATCH($B$3,daily_items,0)))</f>
        <v>#N/A</v>
      </c>
      <c r="T18" s="1" t="str">
        <f t="array" ref="T18">IF(ISBLANK(INDEX(big_daily_table,MATCH(DATE(T$5,$K18,$J18),daily_dates,0),MATCH($B$3,daily_items,0))),NA(),INDEX(big_daily_table,MATCH(DATE(T$5,$K18,$J18),daily_dates,0),MATCH($B$3,daily_items,0)))</f>
        <v>#N/A</v>
      </c>
      <c r="U18" s="1" t="str">
        <f t="array" ref="U18">IF(ISBLANK(INDEX(big_daily_table,MATCH(DATE(U$5,$K18,$J18),daily_dates,0),MATCH($B$3,daily_items,0))),NA(),INDEX(big_daily_table,MATCH(DATE(U$5,$K18,$J18),daily_dates,0),MATCH($B$3,daily_items,0)))</f>
        <v>#N/A</v>
      </c>
      <c r="V18" s="1" t="str">
        <f t="array" ref="V18">IF(ISBLANK(INDEX(big_daily_table,MATCH(DATE(V$5,$K18,$J18),daily_dates,0),MATCH($B$3,daily_items,0))),NA(),INDEX(big_daily_table,MATCH(DATE(V$5,$K18,$J18),daily_dates,0),MATCH($B$3,daily_items,0)))</f>
        <v>#N/A</v>
      </c>
      <c r="W18" s="1" t="str">
        <f t="array" ref="W18">IF(ISBLANK(INDEX(big_daily_table,MATCH(DATE(W$5,$K18,$J18),daily_dates,0),MATCH($B$3,daily_items,0))),NA(),INDEX(big_daily_table,MATCH(DATE(W$5,$K18,$J18),daily_dates,0),MATCH($B$3,daily_items,0)))</f>
        <v>#N/A</v>
      </c>
      <c r="X18" s="1" t="str">
        <f t="array" ref="X18">IF(ISBLANK(INDEX(big_daily_table,MATCH(DATE(X$5,$K18,$J18),daily_dates,0),MATCH($B$3,daily_items,0))),NA(),INDEX(big_daily_table,MATCH(DATE(X$5,$K18,$J18),daily_dates,0),MATCH($B$3,daily_items,0)))</f>
        <v>#N/A</v>
      </c>
      <c r="Y18" s="1" t="str">
        <f t="array" ref="Y18">IF(ISBLANK(INDEX(big_daily_table,MATCH(DATE(Y$5,$K18,$J18),daily_dates,0),MATCH($B$3,daily_items,0))),NA(),INDEX(big_daily_table,MATCH(DATE(Y$5,$K18,$J18),daily_dates,0),MATCH($B$3,daily_items,0)))</f>
        <v>#N/A</v>
      </c>
      <c r="Z18" s="1" t="str">
        <f t="array" ref="Z18">IF(ISBLANK(INDEX(big_daily_table,MATCH(DATE(Z$5,$K18,$J18),daily_dates,0),MATCH($B$3,daily_items,0))),NA(),INDEX(big_daily_table,MATCH(DATE(Z$5,$K18,$J18),daily_dates,0),MATCH($B$3,daily_items,0)))</f>
        <v>#N/A</v>
      </c>
      <c r="AA18" s="1" t="str">
        <f t="shared" si="5"/>
        <v>#NAME?</v>
      </c>
      <c r="AB18" s="1" t="str">
        <f t="shared" si="6"/>
        <v>#NAME?</v>
      </c>
      <c r="AC18" s="1" t="str">
        <f t="shared" si="7"/>
        <v>#NAME?</v>
      </c>
      <c r="AD18" s="1" t="str">
        <f t="shared" si="8"/>
        <v>#NAME?</v>
      </c>
    </row>
    <row r="19" ht="14.25" customHeight="1">
      <c r="H19" s="1">
        <f t="shared" si="9"/>
        <v>14</v>
      </c>
      <c r="I19" s="1">
        <f>WEEKDAY('daily graphs'!K19)</f>
        <v>6</v>
      </c>
      <c r="J19" s="1">
        <f t="shared" si="2"/>
        <v>8</v>
      </c>
      <c r="K19" s="1">
        <f t="shared" si="3"/>
        <v>1</v>
      </c>
      <c r="L19" s="23">
        <f>'daily graphs'!K19 - I19</f>
        <v>36533</v>
      </c>
      <c r="M19" s="24">
        <f t="shared" si="4"/>
        <v>-1000000</v>
      </c>
      <c r="N19" s="24" t="str">
        <f t="array" ref="N19">IF(M19&gt;0,INDEX(big_daily_table,MATCH(DATE(O$5,$K19,$J19),daily_dates,0),MATCH($B$3,daily_items,0)),NA())</f>
        <v>#N/A</v>
      </c>
      <c r="O19" s="1" t="str">
        <f t="array" ref="O19">IF(M19&lt;0,INDEX(big_daily_table,MATCH(DATE(O$5,$K19,$J19),daily_dates,0),MATCH($B$3,daily_items,0)),NA())</f>
        <v>#N/A</v>
      </c>
      <c r="P19" s="1" t="str">
        <f t="array" ref="P19">IF(ISBLANK(INDEX(big_daily_table,MATCH(DATE(P$5,$K19,$J19),daily_dates,0),MATCH($B$3,daily_items,0))),NA(),INDEX(big_daily_table,MATCH(DATE(P$5,$K19,$J19),daily_dates,0),MATCH($B$3,daily_items,0)))</f>
        <v>#N/A</v>
      </c>
      <c r="Q19" s="1" t="str">
        <f t="array" ref="Q19">IF(ISBLANK(INDEX(big_daily_table,MATCH(DATE(Q$5,$K19,$J19),daily_dates,0),MATCH($B$3,daily_items,0))),NA(),INDEX(big_daily_table,MATCH(DATE(Q$5,$K19,$J19),daily_dates,0),MATCH($B$3,daily_items,0)))</f>
        <v>#N/A</v>
      </c>
      <c r="R19" s="1" t="str">
        <f t="array" ref="R19">IF(ISBLANK(INDEX(big_daily_table,MATCH(DATE(R$5,$K19,$J19),daily_dates,0),MATCH($B$3,daily_items,0))),NA(),INDEX(big_daily_table,MATCH(DATE(R$5,$K19,$J19),daily_dates,0),MATCH($B$3,daily_items,0)))</f>
        <v>#N/A</v>
      </c>
      <c r="S19" s="1" t="str">
        <f t="array" ref="S19">IF(ISBLANK(INDEX(big_daily_table,MATCH(DATE(S$5,$K19,$J19),daily_dates,0),MATCH($B$3,daily_items,0))),NA(),INDEX(big_daily_table,MATCH(DATE(S$5,$K19,$J19),daily_dates,0),MATCH($B$3,daily_items,0)))</f>
        <v>#N/A</v>
      </c>
      <c r="T19" s="1" t="str">
        <f t="array" ref="T19">IF(ISBLANK(INDEX(big_daily_table,MATCH(DATE(T$5,$K19,$J19),daily_dates,0),MATCH($B$3,daily_items,0))),NA(),INDEX(big_daily_table,MATCH(DATE(T$5,$K19,$J19),daily_dates,0),MATCH($B$3,daily_items,0)))</f>
        <v>#N/A</v>
      </c>
      <c r="U19" s="1" t="str">
        <f t="array" ref="U19">IF(ISBLANK(INDEX(big_daily_table,MATCH(DATE(U$5,$K19,$J19),daily_dates,0),MATCH($B$3,daily_items,0))),NA(),INDEX(big_daily_table,MATCH(DATE(U$5,$K19,$J19),daily_dates,0),MATCH($B$3,daily_items,0)))</f>
        <v>#N/A</v>
      </c>
      <c r="V19" s="1" t="str">
        <f t="array" ref="V19">IF(ISBLANK(INDEX(big_daily_table,MATCH(DATE(V$5,$K19,$J19),daily_dates,0),MATCH($B$3,daily_items,0))),NA(),INDEX(big_daily_table,MATCH(DATE(V$5,$K19,$J19),daily_dates,0),MATCH($B$3,daily_items,0)))</f>
        <v>#N/A</v>
      </c>
      <c r="W19" s="1" t="str">
        <f t="array" ref="W19">IF(ISBLANK(INDEX(big_daily_table,MATCH(DATE(W$5,$K19,$J19),daily_dates,0),MATCH($B$3,daily_items,0))),NA(),INDEX(big_daily_table,MATCH(DATE(W$5,$K19,$J19),daily_dates,0),MATCH($B$3,daily_items,0)))</f>
        <v>#N/A</v>
      </c>
      <c r="X19" s="1" t="str">
        <f t="array" ref="X19">IF(ISBLANK(INDEX(big_daily_table,MATCH(DATE(X$5,$K19,$J19),daily_dates,0),MATCH($B$3,daily_items,0))),NA(),INDEX(big_daily_table,MATCH(DATE(X$5,$K19,$J19),daily_dates,0),MATCH($B$3,daily_items,0)))</f>
        <v>#N/A</v>
      </c>
      <c r="Y19" s="1" t="str">
        <f t="array" ref="Y19">IF(ISBLANK(INDEX(big_daily_table,MATCH(DATE(Y$5,$K19,$J19),daily_dates,0),MATCH($B$3,daily_items,0))),NA(),INDEX(big_daily_table,MATCH(DATE(Y$5,$K19,$J19),daily_dates,0),MATCH($B$3,daily_items,0)))</f>
        <v>#N/A</v>
      </c>
      <c r="Z19" s="1" t="str">
        <f t="array" ref="Z19">IF(ISBLANK(INDEX(big_daily_table,MATCH(DATE(Z$5,$K19,$J19),daily_dates,0),MATCH($B$3,daily_items,0))),NA(),INDEX(big_daily_table,MATCH(DATE(Z$5,$K19,$J19),daily_dates,0),MATCH($B$3,daily_items,0)))</f>
        <v>#N/A</v>
      </c>
      <c r="AA19" s="1" t="str">
        <f t="shared" si="5"/>
        <v>#NAME?</v>
      </c>
      <c r="AB19" s="1" t="str">
        <f t="shared" si="6"/>
        <v>#NAME?</v>
      </c>
      <c r="AC19" s="1" t="str">
        <f t="shared" si="7"/>
        <v>#NAME?</v>
      </c>
      <c r="AD19" s="1" t="str">
        <f t="shared" si="8"/>
        <v>#NAME?</v>
      </c>
    </row>
    <row r="20" ht="14.25" customHeight="1">
      <c r="H20" s="1">
        <f t="shared" si="9"/>
        <v>15</v>
      </c>
      <c r="I20" s="1">
        <f>WEEKDAY('daily graphs'!K20)</f>
        <v>7</v>
      </c>
      <c r="J20" s="1">
        <f t="shared" si="2"/>
        <v>8</v>
      </c>
      <c r="K20" s="1">
        <f t="shared" si="3"/>
        <v>1</v>
      </c>
      <c r="L20" s="23">
        <f>'daily graphs'!K20 - I20</f>
        <v>36533</v>
      </c>
      <c r="M20" s="24">
        <f t="shared" si="4"/>
        <v>-1000000</v>
      </c>
      <c r="N20" s="24" t="str">
        <f t="array" ref="N20">IF(M20&gt;0,INDEX(big_daily_table,MATCH(DATE(O$5,$K20,$J20),daily_dates,0),MATCH($B$3,daily_items,0)),NA())</f>
        <v>#N/A</v>
      </c>
      <c r="O20" s="1" t="str">
        <f t="array" ref="O20">IF(M20&lt;0,INDEX(big_daily_table,MATCH(DATE(O$5,$K20,$J20),daily_dates,0),MATCH($B$3,daily_items,0)),NA())</f>
        <v>#N/A</v>
      </c>
      <c r="P20" s="1" t="str">
        <f t="array" ref="P20">IF(ISBLANK(INDEX(big_daily_table,MATCH(DATE(P$5,$K20,$J20),daily_dates,0),MATCH($B$3,daily_items,0))),NA(),INDEX(big_daily_table,MATCH(DATE(P$5,$K20,$J20),daily_dates,0),MATCH($B$3,daily_items,0)))</f>
        <v>#N/A</v>
      </c>
      <c r="Q20" s="1" t="str">
        <f t="array" ref="Q20">IF(ISBLANK(INDEX(big_daily_table,MATCH(DATE(Q$5,$K20,$J20),daily_dates,0),MATCH($B$3,daily_items,0))),NA(),INDEX(big_daily_table,MATCH(DATE(Q$5,$K20,$J20),daily_dates,0),MATCH($B$3,daily_items,0)))</f>
        <v>#N/A</v>
      </c>
      <c r="R20" s="1" t="str">
        <f t="array" ref="R20">IF(ISBLANK(INDEX(big_daily_table,MATCH(DATE(R$5,$K20,$J20),daily_dates,0),MATCH($B$3,daily_items,0))),NA(),INDEX(big_daily_table,MATCH(DATE(R$5,$K20,$J20),daily_dates,0),MATCH($B$3,daily_items,0)))</f>
        <v>#N/A</v>
      </c>
      <c r="S20" s="1" t="str">
        <f t="array" ref="S20">IF(ISBLANK(INDEX(big_daily_table,MATCH(DATE(S$5,$K20,$J20),daily_dates,0),MATCH($B$3,daily_items,0))),NA(),INDEX(big_daily_table,MATCH(DATE(S$5,$K20,$J20),daily_dates,0),MATCH($B$3,daily_items,0)))</f>
        <v>#N/A</v>
      </c>
      <c r="T20" s="1" t="str">
        <f t="array" ref="T20">IF(ISBLANK(INDEX(big_daily_table,MATCH(DATE(T$5,$K20,$J20),daily_dates,0),MATCH($B$3,daily_items,0))),NA(),INDEX(big_daily_table,MATCH(DATE(T$5,$K20,$J20),daily_dates,0),MATCH($B$3,daily_items,0)))</f>
        <v>#N/A</v>
      </c>
      <c r="U20" s="1" t="str">
        <f t="array" ref="U20">IF(ISBLANK(INDEX(big_daily_table,MATCH(DATE(U$5,$K20,$J20),daily_dates,0),MATCH($B$3,daily_items,0))),NA(),INDEX(big_daily_table,MATCH(DATE(U$5,$K20,$J20),daily_dates,0),MATCH($B$3,daily_items,0)))</f>
        <v>#N/A</v>
      </c>
      <c r="V20" s="1" t="str">
        <f t="array" ref="V20">IF(ISBLANK(INDEX(big_daily_table,MATCH(DATE(V$5,$K20,$J20),daily_dates,0),MATCH($B$3,daily_items,0))),NA(),INDEX(big_daily_table,MATCH(DATE(V$5,$K20,$J20),daily_dates,0),MATCH($B$3,daily_items,0)))</f>
        <v>#N/A</v>
      </c>
      <c r="W20" s="1" t="str">
        <f t="array" ref="W20">IF(ISBLANK(INDEX(big_daily_table,MATCH(DATE(W$5,$K20,$J20),daily_dates,0),MATCH($B$3,daily_items,0))),NA(),INDEX(big_daily_table,MATCH(DATE(W$5,$K20,$J20),daily_dates,0),MATCH($B$3,daily_items,0)))</f>
        <v>#N/A</v>
      </c>
      <c r="X20" s="1" t="str">
        <f t="array" ref="X20">IF(ISBLANK(INDEX(big_daily_table,MATCH(DATE(X$5,$K20,$J20),daily_dates,0),MATCH($B$3,daily_items,0))),NA(),INDEX(big_daily_table,MATCH(DATE(X$5,$K20,$J20),daily_dates,0),MATCH($B$3,daily_items,0)))</f>
        <v>#N/A</v>
      </c>
      <c r="Y20" s="1" t="str">
        <f t="array" ref="Y20">IF(ISBLANK(INDEX(big_daily_table,MATCH(DATE(Y$5,$K20,$J20),daily_dates,0),MATCH($B$3,daily_items,0))),NA(),INDEX(big_daily_table,MATCH(DATE(Y$5,$K20,$J20),daily_dates,0),MATCH($B$3,daily_items,0)))</f>
        <v>#N/A</v>
      </c>
      <c r="Z20" s="1" t="str">
        <f t="array" ref="Z20">IF(ISBLANK(INDEX(big_daily_table,MATCH(DATE(Z$5,$K20,$J20),daily_dates,0),MATCH($B$3,daily_items,0))),NA(),INDEX(big_daily_table,MATCH(DATE(Z$5,$K20,$J20),daily_dates,0),MATCH($B$3,daily_items,0)))</f>
        <v>#N/A</v>
      </c>
      <c r="AA20" s="1" t="str">
        <f t="shared" si="5"/>
        <v>#NAME?</v>
      </c>
      <c r="AB20" s="1" t="str">
        <f t="shared" si="6"/>
        <v>#NAME?</v>
      </c>
      <c r="AC20" s="1" t="str">
        <f t="shared" si="7"/>
        <v>#NAME?</v>
      </c>
      <c r="AD20" s="1" t="str">
        <f t="shared" si="8"/>
        <v>#NAME?</v>
      </c>
    </row>
    <row r="21" ht="14.25" customHeight="1">
      <c r="H21" s="1">
        <f t="shared" si="9"/>
        <v>16</v>
      </c>
      <c r="I21" s="1">
        <f>WEEKDAY('daily graphs'!K21)</f>
        <v>1</v>
      </c>
      <c r="J21" s="1">
        <f t="shared" si="2"/>
        <v>15</v>
      </c>
      <c r="K21" s="1">
        <f t="shared" si="3"/>
        <v>1</v>
      </c>
      <c r="L21" s="23">
        <f>'daily graphs'!K21 - I21</f>
        <v>36540</v>
      </c>
      <c r="M21" s="24">
        <f t="shared" si="4"/>
        <v>-1000000</v>
      </c>
      <c r="N21" s="24" t="str">
        <f t="array" ref="N21">IF(M21&gt;0,INDEX(big_daily_table,MATCH(DATE(O$5,$K21,$J21),daily_dates,0),MATCH($B$3,daily_items,0)),NA())</f>
        <v>#N/A</v>
      </c>
      <c r="O21" s="1" t="str">
        <f t="array" ref="O21">IF(M21&lt;0,INDEX(big_daily_table,MATCH(DATE(O$5,$K21,$J21),daily_dates,0),MATCH($B$3,daily_items,0)),NA())</f>
        <v>#N/A</v>
      </c>
      <c r="P21" s="1" t="str">
        <f t="array" ref="P21">IF(ISBLANK(INDEX(big_daily_table,MATCH(DATE(P$5,$K21,$J21),daily_dates,0),MATCH($B$3,daily_items,0))),NA(),INDEX(big_daily_table,MATCH(DATE(P$5,$K21,$J21),daily_dates,0),MATCH($B$3,daily_items,0)))</f>
        <v>#N/A</v>
      </c>
      <c r="Q21" s="1" t="str">
        <f t="array" ref="Q21">IF(ISBLANK(INDEX(big_daily_table,MATCH(DATE(Q$5,$K21,$J21),daily_dates,0),MATCH($B$3,daily_items,0))),NA(),INDEX(big_daily_table,MATCH(DATE(Q$5,$K21,$J21),daily_dates,0),MATCH($B$3,daily_items,0)))</f>
        <v>#N/A</v>
      </c>
      <c r="R21" s="1" t="str">
        <f t="array" ref="R21">IF(ISBLANK(INDEX(big_daily_table,MATCH(DATE(R$5,$K21,$J21),daily_dates,0),MATCH($B$3,daily_items,0))),NA(),INDEX(big_daily_table,MATCH(DATE(R$5,$K21,$J21),daily_dates,0),MATCH($B$3,daily_items,0)))</f>
        <v>#N/A</v>
      </c>
      <c r="S21" s="1" t="str">
        <f t="array" ref="S21">IF(ISBLANK(INDEX(big_daily_table,MATCH(DATE(S$5,$K21,$J21),daily_dates,0),MATCH($B$3,daily_items,0))),NA(),INDEX(big_daily_table,MATCH(DATE(S$5,$K21,$J21),daily_dates,0),MATCH($B$3,daily_items,0)))</f>
        <v>#N/A</v>
      </c>
      <c r="T21" s="1" t="str">
        <f t="array" ref="T21">IF(ISBLANK(INDEX(big_daily_table,MATCH(DATE(T$5,$K21,$J21),daily_dates,0),MATCH($B$3,daily_items,0))),NA(),INDEX(big_daily_table,MATCH(DATE(T$5,$K21,$J21),daily_dates,0),MATCH($B$3,daily_items,0)))</f>
        <v>#N/A</v>
      </c>
      <c r="U21" s="1" t="str">
        <f t="array" ref="U21">IF(ISBLANK(INDEX(big_daily_table,MATCH(DATE(U$5,$K21,$J21),daily_dates,0),MATCH($B$3,daily_items,0))),NA(),INDEX(big_daily_table,MATCH(DATE(U$5,$K21,$J21),daily_dates,0),MATCH($B$3,daily_items,0)))</f>
        <v>#N/A</v>
      </c>
      <c r="V21" s="1" t="str">
        <f t="array" ref="V21">IF(ISBLANK(INDEX(big_daily_table,MATCH(DATE(V$5,$K21,$J21),daily_dates,0),MATCH($B$3,daily_items,0))),NA(),INDEX(big_daily_table,MATCH(DATE(V$5,$K21,$J21),daily_dates,0),MATCH($B$3,daily_items,0)))</f>
        <v>#N/A</v>
      </c>
      <c r="W21" s="1" t="str">
        <f t="array" ref="W21">IF(ISBLANK(INDEX(big_daily_table,MATCH(DATE(W$5,$K21,$J21),daily_dates,0),MATCH($B$3,daily_items,0))),NA(),INDEX(big_daily_table,MATCH(DATE(W$5,$K21,$J21),daily_dates,0),MATCH($B$3,daily_items,0)))</f>
        <v>#N/A</v>
      </c>
      <c r="X21" s="1" t="str">
        <f t="array" ref="X21">IF(ISBLANK(INDEX(big_daily_table,MATCH(DATE(X$5,$K21,$J21),daily_dates,0),MATCH($B$3,daily_items,0))),NA(),INDEX(big_daily_table,MATCH(DATE(X$5,$K21,$J21),daily_dates,0),MATCH($B$3,daily_items,0)))</f>
        <v>#N/A</v>
      </c>
      <c r="Y21" s="1" t="str">
        <f t="array" ref="Y21">IF(ISBLANK(INDEX(big_daily_table,MATCH(DATE(Y$5,$K21,$J21),daily_dates,0),MATCH($B$3,daily_items,0))),NA(),INDEX(big_daily_table,MATCH(DATE(Y$5,$K21,$J21),daily_dates,0),MATCH($B$3,daily_items,0)))</f>
        <v>#N/A</v>
      </c>
      <c r="Z21" s="1" t="str">
        <f t="array" ref="Z21">IF(ISBLANK(INDEX(big_daily_table,MATCH(DATE(Z$5,$K21,$J21),daily_dates,0),MATCH($B$3,daily_items,0))),NA(),INDEX(big_daily_table,MATCH(DATE(Z$5,$K21,$J21),daily_dates,0),MATCH($B$3,daily_items,0)))</f>
        <v>#N/A</v>
      </c>
      <c r="AA21" s="1" t="str">
        <f t="shared" si="5"/>
        <v>#NAME?</v>
      </c>
      <c r="AB21" s="1" t="str">
        <f t="shared" si="6"/>
        <v>#NAME?</v>
      </c>
      <c r="AC21" s="1" t="str">
        <f t="shared" si="7"/>
        <v>#NAME?</v>
      </c>
      <c r="AD21" s="1" t="str">
        <f t="shared" si="8"/>
        <v>#NAME?</v>
      </c>
    </row>
    <row r="22" ht="14.25" customHeight="1">
      <c r="H22" s="1">
        <f t="shared" si="9"/>
        <v>17</v>
      </c>
      <c r="I22" s="1">
        <f>WEEKDAY('daily graphs'!K22)</f>
        <v>2</v>
      </c>
      <c r="J22" s="1">
        <f t="shared" si="2"/>
        <v>15</v>
      </c>
      <c r="K22" s="1">
        <f t="shared" si="3"/>
        <v>1</v>
      </c>
      <c r="L22" s="23">
        <f>'daily graphs'!K22 - I22</f>
        <v>36540</v>
      </c>
      <c r="M22" s="24">
        <f t="shared" si="4"/>
        <v>-1000000</v>
      </c>
      <c r="N22" s="24" t="str">
        <f t="array" ref="N22">IF(M22&gt;0,INDEX(big_daily_table,MATCH(DATE(O$5,$K22,$J22),daily_dates,0),MATCH($B$3,daily_items,0)),NA())</f>
        <v>#N/A</v>
      </c>
      <c r="O22" s="1" t="str">
        <f t="array" ref="O22">IF(M22&lt;0,INDEX(big_daily_table,MATCH(DATE(O$5,$K22,$J22),daily_dates,0),MATCH($B$3,daily_items,0)),NA())</f>
        <v>#N/A</v>
      </c>
      <c r="P22" s="1" t="str">
        <f t="array" ref="P22">IF(ISBLANK(INDEX(big_daily_table,MATCH(DATE(P$5,$K22,$J22),daily_dates,0),MATCH($B$3,daily_items,0))),NA(),INDEX(big_daily_table,MATCH(DATE(P$5,$K22,$J22),daily_dates,0),MATCH($B$3,daily_items,0)))</f>
        <v>#N/A</v>
      </c>
      <c r="Q22" s="1" t="str">
        <f t="array" ref="Q22">IF(ISBLANK(INDEX(big_daily_table,MATCH(DATE(Q$5,$K22,$J22),daily_dates,0),MATCH($B$3,daily_items,0))),NA(),INDEX(big_daily_table,MATCH(DATE(Q$5,$K22,$J22),daily_dates,0),MATCH($B$3,daily_items,0)))</f>
        <v>#N/A</v>
      </c>
      <c r="R22" s="1" t="str">
        <f t="array" ref="R22">IF(ISBLANK(INDEX(big_daily_table,MATCH(DATE(R$5,$K22,$J22),daily_dates,0),MATCH($B$3,daily_items,0))),NA(),INDEX(big_daily_table,MATCH(DATE(R$5,$K22,$J22),daily_dates,0),MATCH($B$3,daily_items,0)))</f>
        <v>#N/A</v>
      </c>
      <c r="S22" s="1" t="str">
        <f t="array" ref="S22">IF(ISBLANK(INDEX(big_daily_table,MATCH(DATE(S$5,$K22,$J22),daily_dates,0),MATCH($B$3,daily_items,0))),NA(),INDEX(big_daily_table,MATCH(DATE(S$5,$K22,$J22),daily_dates,0),MATCH($B$3,daily_items,0)))</f>
        <v>#N/A</v>
      </c>
      <c r="T22" s="1" t="str">
        <f t="array" ref="T22">IF(ISBLANK(INDEX(big_daily_table,MATCH(DATE(T$5,$K22,$J22),daily_dates,0),MATCH($B$3,daily_items,0))),NA(),INDEX(big_daily_table,MATCH(DATE(T$5,$K22,$J22),daily_dates,0),MATCH($B$3,daily_items,0)))</f>
        <v>#N/A</v>
      </c>
      <c r="U22" s="1" t="str">
        <f t="array" ref="U22">IF(ISBLANK(INDEX(big_daily_table,MATCH(DATE(U$5,$K22,$J22),daily_dates,0),MATCH($B$3,daily_items,0))),NA(),INDEX(big_daily_table,MATCH(DATE(U$5,$K22,$J22),daily_dates,0),MATCH($B$3,daily_items,0)))</f>
        <v>#N/A</v>
      </c>
      <c r="V22" s="1" t="str">
        <f t="array" ref="V22">IF(ISBLANK(INDEX(big_daily_table,MATCH(DATE(V$5,$K22,$J22),daily_dates,0),MATCH($B$3,daily_items,0))),NA(),INDEX(big_daily_table,MATCH(DATE(V$5,$K22,$J22),daily_dates,0),MATCH($B$3,daily_items,0)))</f>
        <v>#N/A</v>
      </c>
      <c r="W22" s="1" t="str">
        <f t="array" ref="W22">IF(ISBLANK(INDEX(big_daily_table,MATCH(DATE(W$5,$K22,$J22),daily_dates,0),MATCH($B$3,daily_items,0))),NA(),INDEX(big_daily_table,MATCH(DATE(W$5,$K22,$J22),daily_dates,0),MATCH($B$3,daily_items,0)))</f>
        <v>#N/A</v>
      </c>
      <c r="X22" s="1" t="str">
        <f t="array" ref="X22">IF(ISBLANK(INDEX(big_daily_table,MATCH(DATE(X$5,$K22,$J22),daily_dates,0),MATCH($B$3,daily_items,0))),NA(),INDEX(big_daily_table,MATCH(DATE(X$5,$K22,$J22),daily_dates,0),MATCH($B$3,daily_items,0)))</f>
        <v>#N/A</v>
      </c>
      <c r="Y22" s="1" t="str">
        <f t="array" ref="Y22">IF(ISBLANK(INDEX(big_daily_table,MATCH(DATE(Y$5,$K22,$J22),daily_dates,0),MATCH($B$3,daily_items,0))),NA(),INDEX(big_daily_table,MATCH(DATE(Y$5,$K22,$J22),daily_dates,0),MATCH($B$3,daily_items,0)))</f>
        <v>#N/A</v>
      </c>
      <c r="Z22" s="1" t="str">
        <f t="array" ref="Z22">IF(ISBLANK(INDEX(big_daily_table,MATCH(DATE(Z$5,$K22,$J22),daily_dates,0),MATCH($B$3,daily_items,0))),NA(),INDEX(big_daily_table,MATCH(DATE(Z$5,$K22,$J22),daily_dates,0),MATCH($B$3,daily_items,0)))</f>
        <v>#N/A</v>
      </c>
      <c r="AA22" s="1" t="str">
        <f t="shared" si="5"/>
        <v>#NAME?</v>
      </c>
      <c r="AB22" s="1" t="str">
        <f t="shared" si="6"/>
        <v>#NAME?</v>
      </c>
      <c r="AC22" s="1" t="str">
        <f t="shared" si="7"/>
        <v>#NAME?</v>
      </c>
      <c r="AD22" s="1" t="str">
        <f t="shared" si="8"/>
        <v>#NAME?</v>
      </c>
    </row>
    <row r="23" ht="14.25" customHeight="1">
      <c r="H23" s="1">
        <f t="shared" si="9"/>
        <v>18</v>
      </c>
      <c r="I23" s="1">
        <f>WEEKDAY('daily graphs'!K23)</f>
        <v>3</v>
      </c>
      <c r="J23" s="1">
        <f t="shared" si="2"/>
        <v>15</v>
      </c>
      <c r="K23" s="1">
        <f t="shared" si="3"/>
        <v>1</v>
      </c>
      <c r="L23" s="23">
        <f>'daily graphs'!K23 - I23</f>
        <v>36540</v>
      </c>
      <c r="M23" s="24">
        <f t="shared" si="4"/>
        <v>-1000000</v>
      </c>
      <c r="N23" s="24" t="str">
        <f t="array" ref="N23">IF(M23&gt;0,INDEX(big_daily_table,MATCH(DATE(O$5,$K23,$J23),daily_dates,0),MATCH($B$3,daily_items,0)),NA())</f>
        <v>#N/A</v>
      </c>
      <c r="O23" s="1" t="str">
        <f t="array" ref="O23">IF(M23&lt;0,INDEX(big_daily_table,MATCH(DATE(O$5,$K23,$J23),daily_dates,0),MATCH($B$3,daily_items,0)),NA())</f>
        <v>#N/A</v>
      </c>
      <c r="P23" s="1" t="str">
        <f t="array" ref="P23">IF(ISBLANK(INDEX(big_daily_table,MATCH(DATE(P$5,$K23,$J23),daily_dates,0),MATCH($B$3,daily_items,0))),NA(),INDEX(big_daily_table,MATCH(DATE(P$5,$K23,$J23),daily_dates,0),MATCH($B$3,daily_items,0)))</f>
        <v>#N/A</v>
      </c>
      <c r="Q23" s="1" t="str">
        <f t="array" ref="Q23">IF(ISBLANK(INDEX(big_daily_table,MATCH(DATE(Q$5,$K23,$J23),daily_dates,0),MATCH($B$3,daily_items,0))),NA(),INDEX(big_daily_table,MATCH(DATE(Q$5,$K23,$J23),daily_dates,0),MATCH($B$3,daily_items,0)))</f>
        <v>#N/A</v>
      </c>
      <c r="R23" s="1" t="str">
        <f t="array" ref="R23">IF(ISBLANK(INDEX(big_daily_table,MATCH(DATE(R$5,$K23,$J23),daily_dates,0),MATCH($B$3,daily_items,0))),NA(),INDEX(big_daily_table,MATCH(DATE(R$5,$K23,$J23),daily_dates,0),MATCH($B$3,daily_items,0)))</f>
        <v>#N/A</v>
      </c>
      <c r="S23" s="1" t="str">
        <f t="array" ref="S23">IF(ISBLANK(INDEX(big_daily_table,MATCH(DATE(S$5,$K23,$J23),daily_dates,0),MATCH($B$3,daily_items,0))),NA(),INDEX(big_daily_table,MATCH(DATE(S$5,$K23,$J23),daily_dates,0),MATCH($B$3,daily_items,0)))</f>
        <v>#N/A</v>
      </c>
      <c r="T23" s="1" t="str">
        <f t="array" ref="T23">IF(ISBLANK(INDEX(big_daily_table,MATCH(DATE(T$5,$K23,$J23),daily_dates,0),MATCH($B$3,daily_items,0))),NA(),INDEX(big_daily_table,MATCH(DATE(T$5,$K23,$J23),daily_dates,0),MATCH($B$3,daily_items,0)))</f>
        <v>#N/A</v>
      </c>
      <c r="U23" s="1" t="str">
        <f t="array" ref="U23">IF(ISBLANK(INDEX(big_daily_table,MATCH(DATE(U$5,$K23,$J23),daily_dates,0),MATCH($B$3,daily_items,0))),NA(),INDEX(big_daily_table,MATCH(DATE(U$5,$K23,$J23),daily_dates,0),MATCH($B$3,daily_items,0)))</f>
        <v>#N/A</v>
      </c>
      <c r="V23" s="1" t="str">
        <f t="array" ref="V23">IF(ISBLANK(INDEX(big_daily_table,MATCH(DATE(V$5,$K23,$J23),daily_dates,0),MATCH($B$3,daily_items,0))),NA(),INDEX(big_daily_table,MATCH(DATE(V$5,$K23,$J23),daily_dates,0),MATCH($B$3,daily_items,0)))</f>
        <v>#N/A</v>
      </c>
      <c r="W23" s="1" t="str">
        <f t="array" ref="W23">IF(ISBLANK(INDEX(big_daily_table,MATCH(DATE(W$5,$K23,$J23),daily_dates,0),MATCH($B$3,daily_items,0))),NA(),INDEX(big_daily_table,MATCH(DATE(W$5,$K23,$J23),daily_dates,0),MATCH($B$3,daily_items,0)))</f>
        <v>#N/A</v>
      </c>
      <c r="X23" s="1" t="str">
        <f t="array" ref="X23">IF(ISBLANK(INDEX(big_daily_table,MATCH(DATE(X$5,$K23,$J23),daily_dates,0),MATCH($B$3,daily_items,0))),NA(),INDEX(big_daily_table,MATCH(DATE(X$5,$K23,$J23),daily_dates,0),MATCH($B$3,daily_items,0)))</f>
        <v>#N/A</v>
      </c>
      <c r="Y23" s="1" t="str">
        <f t="array" ref="Y23">IF(ISBLANK(INDEX(big_daily_table,MATCH(DATE(Y$5,$K23,$J23),daily_dates,0),MATCH($B$3,daily_items,0))),NA(),INDEX(big_daily_table,MATCH(DATE(Y$5,$K23,$J23),daily_dates,0),MATCH($B$3,daily_items,0)))</f>
        <v>#N/A</v>
      </c>
      <c r="Z23" s="1" t="str">
        <f t="array" ref="Z23">IF(ISBLANK(INDEX(big_daily_table,MATCH(DATE(Z$5,$K23,$J23),daily_dates,0),MATCH($B$3,daily_items,0))),NA(),INDEX(big_daily_table,MATCH(DATE(Z$5,$K23,$J23),daily_dates,0),MATCH($B$3,daily_items,0)))</f>
        <v>#N/A</v>
      </c>
      <c r="AA23" s="1" t="str">
        <f t="shared" si="5"/>
        <v>#NAME?</v>
      </c>
      <c r="AB23" s="1" t="str">
        <f t="shared" si="6"/>
        <v>#NAME?</v>
      </c>
      <c r="AC23" s="1" t="str">
        <f t="shared" si="7"/>
        <v>#NAME?</v>
      </c>
      <c r="AD23" s="1" t="str">
        <f t="shared" si="8"/>
        <v>#NAME?</v>
      </c>
    </row>
    <row r="24" ht="14.25" customHeight="1">
      <c r="H24" s="1">
        <f t="shared" si="9"/>
        <v>19</v>
      </c>
      <c r="I24" s="1">
        <f>WEEKDAY('daily graphs'!K24)</f>
        <v>4</v>
      </c>
      <c r="J24" s="1">
        <f t="shared" si="2"/>
        <v>15</v>
      </c>
      <c r="K24" s="1">
        <f t="shared" si="3"/>
        <v>1</v>
      </c>
      <c r="L24" s="23">
        <f>'daily graphs'!K24 - I24</f>
        <v>36540</v>
      </c>
      <c r="M24" s="24">
        <f t="shared" si="4"/>
        <v>-1000000</v>
      </c>
      <c r="N24" s="24" t="str">
        <f t="array" ref="N24">IF(M24&gt;0,INDEX(big_daily_table,MATCH(DATE(O$5,$K24,$J24),daily_dates,0),MATCH($B$3,daily_items,0)),NA())</f>
        <v>#N/A</v>
      </c>
      <c r="O24" s="1" t="str">
        <f t="array" ref="O24">IF(M24&lt;0,INDEX(big_daily_table,MATCH(DATE(O$5,$K24,$J24),daily_dates,0),MATCH($B$3,daily_items,0)),NA())</f>
        <v>#N/A</v>
      </c>
      <c r="P24" s="1" t="str">
        <f t="array" ref="P24">IF(ISBLANK(INDEX(big_daily_table,MATCH(DATE(P$5,$K24,$J24),daily_dates,0),MATCH($B$3,daily_items,0))),NA(),INDEX(big_daily_table,MATCH(DATE(P$5,$K24,$J24),daily_dates,0),MATCH($B$3,daily_items,0)))</f>
        <v>#N/A</v>
      </c>
      <c r="Q24" s="1" t="str">
        <f t="array" ref="Q24">IF(ISBLANK(INDEX(big_daily_table,MATCH(DATE(Q$5,$K24,$J24),daily_dates,0),MATCH($B$3,daily_items,0))),NA(),INDEX(big_daily_table,MATCH(DATE(Q$5,$K24,$J24),daily_dates,0),MATCH($B$3,daily_items,0)))</f>
        <v>#N/A</v>
      </c>
      <c r="R24" s="1" t="str">
        <f t="array" ref="R24">IF(ISBLANK(INDEX(big_daily_table,MATCH(DATE(R$5,$K24,$J24),daily_dates,0),MATCH($B$3,daily_items,0))),NA(),INDEX(big_daily_table,MATCH(DATE(R$5,$K24,$J24),daily_dates,0),MATCH($B$3,daily_items,0)))</f>
        <v>#N/A</v>
      </c>
      <c r="S24" s="1" t="str">
        <f t="array" ref="S24">IF(ISBLANK(INDEX(big_daily_table,MATCH(DATE(S$5,$K24,$J24),daily_dates,0),MATCH($B$3,daily_items,0))),NA(),INDEX(big_daily_table,MATCH(DATE(S$5,$K24,$J24),daily_dates,0),MATCH($B$3,daily_items,0)))</f>
        <v>#N/A</v>
      </c>
      <c r="T24" s="1" t="str">
        <f t="array" ref="T24">IF(ISBLANK(INDEX(big_daily_table,MATCH(DATE(T$5,$K24,$J24),daily_dates,0),MATCH($B$3,daily_items,0))),NA(),INDEX(big_daily_table,MATCH(DATE(T$5,$K24,$J24),daily_dates,0),MATCH($B$3,daily_items,0)))</f>
        <v>#N/A</v>
      </c>
      <c r="U24" s="1" t="str">
        <f t="array" ref="U24">IF(ISBLANK(INDEX(big_daily_table,MATCH(DATE(U$5,$K24,$J24),daily_dates,0),MATCH($B$3,daily_items,0))),NA(),INDEX(big_daily_table,MATCH(DATE(U$5,$K24,$J24),daily_dates,0),MATCH($B$3,daily_items,0)))</f>
        <v>#N/A</v>
      </c>
      <c r="V24" s="1" t="str">
        <f t="array" ref="V24">IF(ISBLANK(INDEX(big_daily_table,MATCH(DATE(V$5,$K24,$J24),daily_dates,0),MATCH($B$3,daily_items,0))),NA(),INDEX(big_daily_table,MATCH(DATE(V$5,$K24,$J24),daily_dates,0),MATCH($B$3,daily_items,0)))</f>
        <v>#N/A</v>
      </c>
      <c r="W24" s="1" t="str">
        <f t="array" ref="W24">IF(ISBLANK(INDEX(big_daily_table,MATCH(DATE(W$5,$K24,$J24),daily_dates,0),MATCH($B$3,daily_items,0))),NA(),INDEX(big_daily_table,MATCH(DATE(W$5,$K24,$J24),daily_dates,0),MATCH($B$3,daily_items,0)))</f>
        <v>#N/A</v>
      </c>
      <c r="X24" s="1" t="str">
        <f t="array" ref="X24">IF(ISBLANK(INDEX(big_daily_table,MATCH(DATE(X$5,$K24,$J24),daily_dates,0),MATCH($B$3,daily_items,0))),NA(),INDEX(big_daily_table,MATCH(DATE(X$5,$K24,$J24),daily_dates,0),MATCH($B$3,daily_items,0)))</f>
        <v>#N/A</v>
      </c>
      <c r="Y24" s="1" t="str">
        <f t="array" ref="Y24">IF(ISBLANK(INDEX(big_daily_table,MATCH(DATE(Y$5,$K24,$J24),daily_dates,0),MATCH($B$3,daily_items,0))),NA(),INDEX(big_daily_table,MATCH(DATE(Y$5,$K24,$J24),daily_dates,0),MATCH($B$3,daily_items,0)))</f>
        <v>#N/A</v>
      </c>
      <c r="Z24" s="1" t="str">
        <f t="array" ref="Z24">IF(ISBLANK(INDEX(big_daily_table,MATCH(DATE(Z$5,$K24,$J24),daily_dates,0),MATCH($B$3,daily_items,0))),NA(),INDEX(big_daily_table,MATCH(DATE(Z$5,$K24,$J24),daily_dates,0),MATCH($B$3,daily_items,0)))</f>
        <v>#N/A</v>
      </c>
      <c r="AA24" s="1" t="str">
        <f t="shared" si="5"/>
        <v>#NAME?</v>
      </c>
      <c r="AB24" s="1" t="str">
        <f t="shared" si="6"/>
        <v>#NAME?</v>
      </c>
      <c r="AC24" s="1" t="str">
        <f t="shared" si="7"/>
        <v>#NAME?</v>
      </c>
      <c r="AD24" s="1" t="str">
        <f t="shared" si="8"/>
        <v>#NAME?</v>
      </c>
      <c r="AF24" s="25"/>
      <c r="AG24" s="26" t="str">
        <f>AGGREGATE(5,6,N6:AB371)+0.0001</f>
        <v>#NAME?</v>
      </c>
      <c r="AH24" s="26" t="str">
        <f>AGGREGATE(4,6,N6:AB371)+0.0001</f>
        <v>#NAME?</v>
      </c>
      <c r="AI24" s="26"/>
      <c r="AJ24" s="27"/>
      <c r="AK24" s="26"/>
      <c r="AL24" s="26"/>
      <c r="AM24" s="26"/>
      <c r="AN24" s="26"/>
      <c r="AO24" s="28"/>
    </row>
    <row r="25" ht="14.25" customHeight="1">
      <c r="B25" s="22" t="s">
        <v>13</v>
      </c>
      <c r="H25" s="1">
        <f t="shared" si="9"/>
        <v>20</v>
      </c>
      <c r="I25" s="1">
        <f>WEEKDAY('daily graphs'!K25)</f>
        <v>5</v>
      </c>
      <c r="J25" s="1">
        <f t="shared" si="2"/>
        <v>15</v>
      </c>
      <c r="K25" s="1">
        <f t="shared" si="3"/>
        <v>1</v>
      </c>
      <c r="L25" s="23">
        <f>'daily graphs'!K25 - I25</f>
        <v>36540</v>
      </c>
      <c r="M25" s="24">
        <f t="shared" si="4"/>
        <v>-1000000</v>
      </c>
      <c r="N25" s="24" t="str">
        <f t="array" ref="N25">IF(M25&gt;0,INDEX(big_daily_table,MATCH(DATE(O$5,$K25,$J25),daily_dates,0),MATCH($B$3,daily_items,0)),NA())</f>
        <v>#N/A</v>
      </c>
      <c r="O25" s="1" t="str">
        <f t="array" ref="O25">IF(M25&lt;0,INDEX(big_daily_table,MATCH(DATE(O$5,$K25,$J25),daily_dates,0),MATCH($B$3,daily_items,0)),NA())</f>
        <v>#N/A</v>
      </c>
      <c r="P25" s="1" t="str">
        <f t="array" ref="P25">IF(ISBLANK(INDEX(big_daily_table,MATCH(DATE(P$5,$K25,$J25),daily_dates,0),MATCH($B$3,daily_items,0))),NA(),INDEX(big_daily_table,MATCH(DATE(P$5,$K25,$J25),daily_dates,0),MATCH($B$3,daily_items,0)))</f>
        <v>#N/A</v>
      </c>
      <c r="Q25" s="1" t="str">
        <f t="array" ref="Q25">IF(ISBLANK(INDEX(big_daily_table,MATCH(DATE(Q$5,$K25,$J25),daily_dates,0),MATCH($B$3,daily_items,0))),NA(),INDEX(big_daily_table,MATCH(DATE(Q$5,$K25,$J25),daily_dates,0),MATCH($B$3,daily_items,0)))</f>
        <v>#N/A</v>
      </c>
      <c r="R25" s="1" t="str">
        <f t="array" ref="R25">IF(ISBLANK(INDEX(big_daily_table,MATCH(DATE(R$5,$K25,$J25),daily_dates,0),MATCH($B$3,daily_items,0))),NA(),INDEX(big_daily_table,MATCH(DATE(R$5,$K25,$J25),daily_dates,0),MATCH($B$3,daily_items,0)))</f>
        <v>#N/A</v>
      </c>
      <c r="S25" s="1" t="str">
        <f t="array" ref="S25">IF(ISBLANK(INDEX(big_daily_table,MATCH(DATE(S$5,$K25,$J25),daily_dates,0),MATCH($B$3,daily_items,0))),NA(),INDEX(big_daily_table,MATCH(DATE(S$5,$K25,$J25),daily_dates,0),MATCH($B$3,daily_items,0)))</f>
        <v>#N/A</v>
      </c>
      <c r="T25" s="1" t="str">
        <f t="array" ref="T25">IF(ISBLANK(INDEX(big_daily_table,MATCH(DATE(T$5,$K25,$J25),daily_dates,0),MATCH($B$3,daily_items,0))),NA(),INDEX(big_daily_table,MATCH(DATE(T$5,$K25,$J25),daily_dates,0),MATCH($B$3,daily_items,0)))</f>
        <v>#N/A</v>
      </c>
      <c r="U25" s="1" t="str">
        <f t="array" ref="U25">IF(ISBLANK(INDEX(big_daily_table,MATCH(DATE(U$5,$K25,$J25),daily_dates,0),MATCH($B$3,daily_items,0))),NA(),INDEX(big_daily_table,MATCH(DATE(U$5,$K25,$J25),daily_dates,0),MATCH($B$3,daily_items,0)))</f>
        <v>#N/A</v>
      </c>
      <c r="V25" s="1" t="str">
        <f t="array" ref="V25">IF(ISBLANK(INDEX(big_daily_table,MATCH(DATE(V$5,$K25,$J25),daily_dates,0),MATCH($B$3,daily_items,0))),NA(),INDEX(big_daily_table,MATCH(DATE(V$5,$K25,$J25),daily_dates,0),MATCH($B$3,daily_items,0)))</f>
        <v>#N/A</v>
      </c>
      <c r="W25" s="1" t="str">
        <f t="array" ref="W25">IF(ISBLANK(INDEX(big_daily_table,MATCH(DATE(W$5,$K25,$J25),daily_dates,0),MATCH($B$3,daily_items,0))),NA(),INDEX(big_daily_table,MATCH(DATE(W$5,$K25,$J25),daily_dates,0),MATCH($B$3,daily_items,0)))</f>
        <v>#N/A</v>
      </c>
      <c r="X25" s="1" t="str">
        <f t="array" ref="X25">IF(ISBLANK(INDEX(big_daily_table,MATCH(DATE(X$5,$K25,$J25),daily_dates,0),MATCH($B$3,daily_items,0))),NA(),INDEX(big_daily_table,MATCH(DATE(X$5,$K25,$J25),daily_dates,0),MATCH($B$3,daily_items,0)))</f>
        <v>#N/A</v>
      </c>
      <c r="Y25" s="1" t="str">
        <f t="array" ref="Y25">IF(ISBLANK(INDEX(big_daily_table,MATCH(DATE(Y$5,$K25,$J25),daily_dates,0),MATCH($B$3,daily_items,0))),NA(),INDEX(big_daily_table,MATCH(DATE(Y$5,$K25,$J25),daily_dates,0),MATCH($B$3,daily_items,0)))</f>
        <v>#N/A</v>
      </c>
      <c r="Z25" s="1" t="str">
        <f t="array" ref="Z25">IF(ISBLANK(INDEX(big_daily_table,MATCH(DATE(Z$5,$K25,$J25),daily_dates,0),MATCH($B$3,daily_items,0))),NA(),INDEX(big_daily_table,MATCH(DATE(Z$5,$K25,$J25),daily_dates,0),MATCH($B$3,daily_items,0)))</f>
        <v>#N/A</v>
      </c>
      <c r="AA25" s="1" t="str">
        <f t="shared" si="5"/>
        <v>#NAME?</v>
      </c>
      <c r="AB25" s="1" t="str">
        <f t="shared" si="6"/>
        <v>#NAME?</v>
      </c>
      <c r="AC25" s="1" t="str">
        <f t="shared" si="7"/>
        <v>#NAME?</v>
      </c>
      <c r="AD25" s="1" t="str">
        <f t="shared" si="8"/>
        <v>#NAME?</v>
      </c>
      <c r="AF25" s="29" t="s">
        <v>14</v>
      </c>
      <c r="AG25" s="1" t="str">
        <f>AG24</f>
        <v>#NAME?</v>
      </c>
      <c r="AI25" s="1" t="str">
        <f>LOG10(ABS(AG25))</f>
        <v>#NAME?</v>
      </c>
      <c r="AJ25" s="1" t="str">
        <f>10^FLOOR(AI25,1)</f>
        <v>#NAME?</v>
      </c>
      <c r="AK25" s="1" t="str">
        <f t="shared" ref="AK25:AK26" si="10">AJ25/2</f>
        <v>#NAME?</v>
      </c>
      <c r="AL25" s="1" t="str">
        <f t="shared" ref="AL25:AL26" si="11">ROUNDDOWN(AG25/AJ25,0)*AJ25</f>
        <v>#NAME?</v>
      </c>
      <c r="AM25" s="1" t="str">
        <f t="shared" ref="AM25:AM26" si="12">AG25-AL25</f>
        <v>#NAME?</v>
      </c>
      <c r="AN25" s="1" t="str">
        <f>IF(ABS(AM25)=AL25,ROUNDDOWN(AM25/AK25,0)+1,ROUNDUP(AM25/AK25,0)-1)*AK25</f>
        <v>#NAME?</v>
      </c>
      <c r="AO25" s="30" t="str">
        <f t="shared" ref="AO25:AO26" si="13">AN25+AL25</f>
        <v>#NAME?</v>
      </c>
    </row>
    <row r="26" ht="14.25" customHeight="1">
      <c r="H26" s="1">
        <f t="shared" si="9"/>
        <v>21</v>
      </c>
      <c r="I26" s="1">
        <f>WEEKDAY('daily graphs'!K26)</f>
        <v>6</v>
      </c>
      <c r="J26" s="1">
        <f t="shared" si="2"/>
        <v>15</v>
      </c>
      <c r="K26" s="1">
        <f t="shared" si="3"/>
        <v>1</v>
      </c>
      <c r="L26" s="23">
        <f>'daily graphs'!K26 - I26</f>
        <v>36540</v>
      </c>
      <c r="M26" s="24">
        <f t="shared" si="4"/>
        <v>-1000000</v>
      </c>
      <c r="N26" s="24" t="str">
        <f t="array" ref="N26">IF(M26&gt;0,INDEX(big_daily_table,MATCH(DATE(O$5,$K26,$J26),daily_dates,0),MATCH($B$3,daily_items,0)),NA())</f>
        <v>#N/A</v>
      </c>
      <c r="O26" s="1" t="str">
        <f t="array" ref="O26">IF(M26&lt;0,INDEX(big_daily_table,MATCH(DATE(O$5,$K26,$J26),daily_dates,0),MATCH($B$3,daily_items,0)),NA())</f>
        <v>#N/A</v>
      </c>
      <c r="P26" s="1" t="str">
        <f t="array" ref="P26">IF(ISBLANK(INDEX(big_daily_table,MATCH(DATE(P$5,$K26,$J26),daily_dates,0),MATCH($B$3,daily_items,0))),NA(),INDEX(big_daily_table,MATCH(DATE(P$5,$K26,$J26),daily_dates,0),MATCH($B$3,daily_items,0)))</f>
        <v>#N/A</v>
      </c>
      <c r="Q26" s="1" t="str">
        <f t="array" ref="Q26">IF(ISBLANK(INDEX(big_daily_table,MATCH(DATE(Q$5,$K26,$J26),daily_dates,0),MATCH($B$3,daily_items,0))),NA(),INDEX(big_daily_table,MATCH(DATE(Q$5,$K26,$J26),daily_dates,0),MATCH($B$3,daily_items,0)))</f>
        <v>#N/A</v>
      </c>
      <c r="R26" s="1" t="str">
        <f t="array" ref="R26">IF(ISBLANK(INDEX(big_daily_table,MATCH(DATE(R$5,$K26,$J26),daily_dates,0),MATCH($B$3,daily_items,0))),NA(),INDEX(big_daily_table,MATCH(DATE(R$5,$K26,$J26),daily_dates,0),MATCH($B$3,daily_items,0)))</f>
        <v>#N/A</v>
      </c>
      <c r="S26" s="1" t="str">
        <f t="array" ref="S26">IF(ISBLANK(INDEX(big_daily_table,MATCH(DATE(S$5,$K26,$J26),daily_dates,0),MATCH($B$3,daily_items,0))),NA(),INDEX(big_daily_table,MATCH(DATE(S$5,$K26,$J26),daily_dates,0),MATCH($B$3,daily_items,0)))</f>
        <v>#N/A</v>
      </c>
      <c r="T26" s="1" t="str">
        <f t="array" ref="T26">IF(ISBLANK(INDEX(big_daily_table,MATCH(DATE(T$5,$K26,$J26),daily_dates,0),MATCH($B$3,daily_items,0))),NA(),INDEX(big_daily_table,MATCH(DATE(T$5,$K26,$J26),daily_dates,0),MATCH($B$3,daily_items,0)))</f>
        <v>#N/A</v>
      </c>
      <c r="U26" s="1" t="str">
        <f t="array" ref="U26">IF(ISBLANK(INDEX(big_daily_table,MATCH(DATE(U$5,$K26,$J26),daily_dates,0),MATCH($B$3,daily_items,0))),NA(),INDEX(big_daily_table,MATCH(DATE(U$5,$K26,$J26),daily_dates,0),MATCH($B$3,daily_items,0)))</f>
        <v>#N/A</v>
      </c>
      <c r="V26" s="1" t="str">
        <f t="array" ref="V26">IF(ISBLANK(INDEX(big_daily_table,MATCH(DATE(V$5,$K26,$J26),daily_dates,0),MATCH($B$3,daily_items,0))),NA(),INDEX(big_daily_table,MATCH(DATE(V$5,$K26,$J26),daily_dates,0),MATCH($B$3,daily_items,0)))</f>
        <v>#N/A</v>
      </c>
      <c r="W26" s="1" t="str">
        <f t="array" ref="W26">IF(ISBLANK(INDEX(big_daily_table,MATCH(DATE(W$5,$K26,$J26),daily_dates,0),MATCH($B$3,daily_items,0))),NA(),INDEX(big_daily_table,MATCH(DATE(W$5,$K26,$J26),daily_dates,0),MATCH($B$3,daily_items,0)))</f>
        <v>#N/A</v>
      </c>
      <c r="X26" s="1" t="str">
        <f t="array" ref="X26">IF(ISBLANK(INDEX(big_daily_table,MATCH(DATE(X$5,$K26,$J26),daily_dates,0),MATCH($B$3,daily_items,0))),NA(),INDEX(big_daily_table,MATCH(DATE(X$5,$K26,$J26),daily_dates,0),MATCH($B$3,daily_items,0)))</f>
        <v>#N/A</v>
      </c>
      <c r="Y26" s="1" t="str">
        <f t="array" ref="Y26">IF(ISBLANK(INDEX(big_daily_table,MATCH(DATE(Y$5,$K26,$J26),daily_dates,0),MATCH($B$3,daily_items,0))),NA(),INDEX(big_daily_table,MATCH(DATE(Y$5,$K26,$J26),daily_dates,0),MATCH($B$3,daily_items,0)))</f>
        <v>#N/A</v>
      </c>
      <c r="Z26" s="1" t="str">
        <f t="array" ref="Z26">IF(ISBLANK(INDEX(big_daily_table,MATCH(DATE(Z$5,$K26,$J26),daily_dates,0),MATCH($B$3,daily_items,0))),NA(),INDEX(big_daily_table,MATCH(DATE(Z$5,$K26,$J26),daily_dates,0),MATCH($B$3,daily_items,0)))</f>
        <v>#N/A</v>
      </c>
      <c r="AA26" s="1" t="str">
        <f t="shared" si="5"/>
        <v>#NAME?</v>
      </c>
      <c r="AB26" s="1" t="str">
        <f t="shared" si="6"/>
        <v>#NAME?</v>
      </c>
      <c r="AC26" s="1" t="str">
        <f t="shared" si="7"/>
        <v>#NAME?</v>
      </c>
      <c r="AD26" s="1" t="str">
        <f t="shared" si="8"/>
        <v>#NAME?</v>
      </c>
      <c r="AF26" s="31" t="s">
        <v>15</v>
      </c>
      <c r="AG26" s="20" t="str">
        <f>AH24</f>
        <v>#NAME?</v>
      </c>
      <c r="AH26" s="20"/>
      <c r="AI26" s="20" t="str">
        <f>LOG10(AG26)</f>
        <v>#NAME?</v>
      </c>
      <c r="AJ26" s="20" t="str">
        <f>AJ25</f>
        <v>#NAME?</v>
      </c>
      <c r="AK26" s="20" t="str">
        <f t="shared" si="10"/>
        <v>#NAME?</v>
      </c>
      <c r="AL26" s="20" t="str">
        <f t="shared" si="11"/>
        <v>#NAME?</v>
      </c>
      <c r="AM26" s="20" t="str">
        <f t="shared" si="12"/>
        <v>#NAME?</v>
      </c>
      <c r="AN26" s="20" t="str">
        <f>IF(ABS(AM26)=AL26,ROUNDDOWN(AM26/AK26,0)-1,ROUNDUP(AM26/AK26,0)+1)*AK26</f>
        <v>#NAME?</v>
      </c>
      <c r="AO26" s="32" t="str">
        <f t="shared" si="13"/>
        <v>#NAME?</v>
      </c>
    </row>
    <row r="27" ht="14.25" customHeight="1">
      <c r="H27" s="1">
        <f t="shared" si="9"/>
        <v>22</v>
      </c>
      <c r="I27" s="1">
        <f>WEEKDAY('daily graphs'!K27)</f>
        <v>7</v>
      </c>
      <c r="J27" s="1">
        <f t="shared" si="2"/>
        <v>15</v>
      </c>
      <c r="K27" s="1">
        <f t="shared" si="3"/>
        <v>1</v>
      </c>
      <c r="L27" s="23">
        <f>'daily graphs'!K27 - I27</f>
        <v>36540</v>
      </c>
      <c r="M27" s="24">
        <f t="shared" si="4"/>
        <v>-1000000</v>
      </c>
      <c r="N27" s="24" t="str">
        <f t="array" ref="N27">IF(M27&gt;0,INDEX(big_daily_table,MATCH(DATE(O$5,$K27,$J27),daily_dates,0),MATCH($B$3,daily_items,0)),NA())</f>
        <v>#N/A</v>
      </c>
      <c r="O27" s="1" t="str">
        <f t="array" ref="O27">IF(M27&lt;0,INDEX(big_daily_table,MATCH(DATE(O$5,$K27,$J27),daily_dates,0),MATCH($B$3,daily_items,0)),NA())</f>
        <v>#N/A</v>
      </c>
      <c r="P27" s="1" t="str">
        <f t="array" ref="P27">IF(ISBLANK(INDEX(big_daily_table,MATCH(DATE(P$5,$K27,$J27),daily_dates,0),MATCH($B$3,daily_items,0))),NA(),INDEX(big_daily_table,MATCH(DATE(P$5,$K27,$J27),daily_dates,0),MATCH($B$3,daily_items,0)))</f>
        <v>#N/A</v>
      </c>
      <c r="Q27" s="1" t="str">
        <f t="array" ref="Q27">IF(ISBLANK(INDEX(big_daily_table,MATCH(DATE(Q$5,$K27,$J27),daily_dates,0),MATCH($B$3,daily_items,0))),NA(),INDEX(big_daily_table,MATCH(DATE(Q$5,$K27,$J27),daily_dates,0),MATCH($B$3,daily_items,0)))</f>
        <v>#N/A</v>
      </c>
      <c r="R27" s="1" t="str">
        <f t="array" ref="R27">IF(ISBLANK(INDEX(big_daily_table,MATCH(DATE(R$5,$K27,$J27),daily_dates,0),MATCH($B$3,daily_items,0))),NA(),INDEX(big_daily_table,MATCH(DATE(R$5,$K27,$J27),daily_dates,0),MATCH($B$3,daily_items,0)))</f>
        <v>#N/A</v>
      </c>
      <c r="S27" s="1" t="str">
        <f t="array" ref="S27">IF(ISBLANK(INDEX(big_daily_table,MATCH(DATE(S$5,$K27,$J27),daily_dates,0),MATCH($B$3,daily_items,0))),NA(),INDEX(big_daily_table,MATCH(DATE(S$5,$K27,$J27),daily_dates,0),MATCH($B$3,daily_items,0)))</f>
        <v>#N/A</v>
      </c>
      <c r="T27" s="1" t="str">
        <f t="array" ref="T27">IF(ISBLANK(INDEX(big_daily_table,MATCH(DATE(T$5,$K27,$J27),daily_dates,0),MATCH($B$3,daily_items,0))),NA(),INDEX(big_daily_table,MATCH(DATE(T$5,$K27,$J27),daily_dates,0),MATCH($B$3,daily_items,0)))</f>
        <v>#N/A</v>
      </c>
      <c r="U27" s="1" t="str">
        <f t="array" ref="U27">IF(ISBLANK(INDEX(big_daily_table,MATCH(DATE(U$5,$K27,$J27),daily_dates,0),MATCH($B$3,daily_items,0))),NA(),INDEX(big_daily_table,MATCH(DATE(U$5,$K27,$J27),daily_dates,0),MATCH($B$3,daily_items,0)))</f>
        <v>#N/A</v>
      </c>
      <c r="V27" s="1" t="str">
        <f t="array" ref="V27">IF(ISBLANK(INDEX(big_daily_table,MATCH(DATE(V$5,$K27,$J27),daily_dates,0),MATCH($B$3,daily_items,0))),NA(),INDEX(big_daily_table,MATCH(DATE(V$5,$K27,$J27),daily_dates,0),MATCH($B$3,daily_items,0)))</f>
        <v>#N/A</v>
      </c>
      <c r="W27" s="1" t="str">
        <f t="array" ref="W27">IF(ISBLANK(INDEX(big_daily_table,MATCH(DATE(W$5,$K27,$J27),daily_dates,0),MATCH($B$3,daily_items,0))),NA(),INDEX(big_daily_table,MATCH(DATE(W$5,$K27,$J27),daily_dates,0),MATCH($B$3,daily_items,0)))</f>
        <v>#N/A</v>
      </c>
      <c r="X27" s="1" t="str">
        <f t="array" ref="X27">IF(ISBLANK(INDEX(big_daily_table,MATCH(DATE(X$5,$K27,$J27),daily_dates,0),MATCH($B$3,daily_items,0))),NA(),INDEX(big_daily_table,MATCH(DATE(X$5,$K27,$J27),daily_dates,0),MATCH($B$3,daily_items,0)))</f>
        <v>#N/A</v>
      </c>
      <c r="Y27" s="1" t="str">
        <f t="array" ref="Y27">IF(ISBLANK(INDEX(big_daily_table,MATCH(DATE(Y$5,$K27,$J27),daily_dates,0),MATCH($B$3,daily_items,0))),NA(),INDEX(big_daily_table,MATCH(DATE(Y$5,$K27,$J27),daily_dates,0),MATCH($B$3,daily_items,0)))</f>
        <v>#N/A</v>
      </c>
      <c r="Z27" s="1" t="str">
        <f t="array" ref="Z27">IF(ISBLANK(INDEX(big_daily_table,MATCH(DATE(Z$5,$K27,$J27),daily_dates,0),MATCH($B$3,daily_items,0))),NA(),INDEX(big_daily_table,MATCH(DATE(Z$5,$K27,$J27),daily_dates,0),MATCH($B$3,daily_items,0)))</f>
        <v>#N/A</v>
      </c>
      <c r="AA27" s="1" t="str">
        <f t="shared" si="5"/>
        <v>#NAME?</v>
      </c>
      <c r="AB27" s="1" t="str">
        <f t="shared" si="6"/>
        <v>#NAME?</v>
      </c>
      <c r="AC27" s="1" t="str">
        <f t="shared" si="7"/>
        <v>#NAME?</v>
      </c>
      <c r="AD27" s="1" t="str">
        <f t="shared" si="8"/>
        <v>#NAME?</v>
      </c>
    </row>
    <row r="28" ht="14.25" customHeight="1">
      <c r="H28" s="1">
        <f t="shared" si="9"/>
        <v>23</v>
      </c>
      <c r="I28" s="1">
        <f>WEEKDAY('daily graphs'!K28)</f>
        <v>1</v>
      </c>
      <c r="J28" s="1">
        <f t="shared" si="2"/>
        <v>22</v>
      </c>
      <c r="K28" s="1">
        <f t="shared" si="3"/>
        <v>1</v>
      </c>
      <c r="L28" s="23">
        <f>'daily graphs'!K28 - I28</f>
        <v>36547</v>
      </c>
      <c r="M28" s="24">
        <f t="shared" si="4"/>
        <v>-1000000</v>
      </c>
      <c r="N28" s="24" t="str">
        <f t="array" ref="N28">IF(M28&gt;0,INDEX(big_daily_table,MATCH(DATE(O$5,$K28,$J28),daily_dates,0),MATCH($B$3,daily_items,0)),NA())</f>
        <v>#N/A</v>
      </c>
      <c r="O28" s="1" t="str">
        <f t="array" ref="O28">IF(M28&lt;0,INDEX(big_daily_table,MATCH(DATE(O$5,$K28,$J28),daily_dates,0),MATCH($B$3,daily_items,0)),NA())</f>
        <v>#N/A</v>
      </c>
      <c r="P28" s="1" t="str">
        <f t="array" ref="P28">IF(ISBLANK(INDEX(big_daily_table,MATCH(DATE(P$5,$K28,$J28),daily_dates,0),MATCH($B$3,daily_items,0))),NA(),INDEX(big_daily_table,MATCH(DATE(P$5,$K28,$J28),daily_dates,0),MATCH($B$3,daily_items,0)))</f>
        <v>#N/A</v>
      </c>
      <c r="Q28" s="1" t="str">
        <f t="array" ref="Q28">IF(ISBLANK(INDEX(big_daily_table,MATCH(DATE(Q$5,$K28,$J28),daily_dates,0),MATCH($B$3,daily_items,0))),NA(),INDEX(big_daily_table,MATCH(DATE(Q$5,$K28,$J28),daily_dates,0),MATCH($B$3,daily_items,0)))</f>
        <v>#N/A</v>
      </c>
      <c r="R28" s="1" t="str">
        <f t="array" ref="R28">IF(ISBLANK(INDEX(big_daily_table,MATCH(DATE(R$5,$K28,$J28),daily_dates,0),MATCH($B$3,daily_items,0))),NA(),INDEX(big_daily_table,MATCH(DATE(R$5,$K28,$J28),daily_dates,0),MATCH($B$3,daily_items,0)))</f>
        <v>#N/A</v>
      </c>
      <c r="S28" s="1" t="str">
        <f t="array" ref="S28">IF(ISBLANK(INDEX(big_daily_table,MATCH(DATE(S$5,$K28,$J28),daily_dates,0),MATCH($B$3,daily_items,0))),NA(),INDEX(big_daily_table,MATCH(DATE(S$5,$K28,$J28),daily_dates,0),MATCH($B$3,daily_items,0)))</f>
        <v>#N/A</v>
      </c>
      <c r="T28" s="1" t="str">
        <f t="array" ref="T28">IF(ISBLANK(INDEX(big_daily_table,MATCH(DATE(T$5,$K28,$J28),daily_dates,0),MATCH($B$3,daily_items,0))),NA(),INDEX(big_daily_table,MATCH(DATE(T$5,$K28,$J28),daily_dates,0),MATCH($B$3,daily_items,0)))</f>
        <v>#N/A</v>
      </c>
      <c r="U28" s="1" t="str">
        <f t="array" ref="U28">IF(ISBLANK(INDEX(big_daily_table,MATCH(DATE(U$5,$K28,$J28),daily_dates,0),MATCH($B$3,daily_items,0))),NA(),INDEX(big_daily_table,MATCH(DATE(U$5,$K28,$J28),daily_dates,0),MATCH($B$3,daily_items,0)))</f>
        <v>#N/A</v>
      </c>
      <c r="V28" s="1" t="str">
        <f t="array" ref="V28">IF(ISBLANK(INDEX(big_daily_table,MATCH(DATE(V$5,$K28,$J28),daily_dates,0),MATCH($B$3,daily_items,0))),NA(),INDEX(big_daily_table,MATCH(DATE(V$5,$K28,$J28),daily_dates,0),MATCH($B$3,daily_items,0)))</f>
        <v>#N/A</v>
      </c>
      <c r="W28" s="1" t="str">
        <f t="array" ref="W28">IF(ISBLANK(INDEX(big_daily_table,MATCH(DATE(W$5,$K28,$J28),daily_dates,0),MATCH($B$3,daily_items,0))),NA(),INDEX(big_daily_table,MATCH(DATE(W$5,$K28,$J28),daily_dates,0),MATCH($B$3,daily_items,0)))</f>
        <v>#N/A</v>
      </c>
      <c r="X28" s="1" t="str">
        <f t="array" ref="X28">IF(ISBLANK(INDEX(big_daily_table,MATCH(DATE(X$5,$K28,$J28),daily_dates,0),MATCH($B$3,daily_items,0))),NA(),INDEX(big_daily_table,MATCH(DATE(X$5,$K28,$J28),daily_dates,0),MATCH($B$3,daily_items,0)))</f>
        <v>#N/A</v>
      </c>
      <c r="Y28" s="1" t="str">
        <f t="array" ref="Y28">IF(ISBLANK(INDEX(big_daily_table,MATCH(DATE(Y$5,$K28,$J28),daily_dates,0),MATCH($B$3,daily_items,0))),NA(),INDEX(big_daily_table,MATCH(DATE(Y$5,$K28,$J28),daily_dates,0),MATCH($B$3,daily_items,0)))</f>
        <v>#N/A</v>
      </c>
      <c r="Z28" s="1" t="str">
        <f t="array" ref="Z28">IF(ISBLANK(INDEX(big_daily_table,MATCH(DATE(Z$5,$K28,$J28),daily_dates,0),MATCH($B$3,daily_items,0))),NA(),INDEX(big_daily_table,MATCH(DATE(Z$5,$K28,$J28),daily_dates,0),MATCH($B$3,daily_items,0)))</f>
        <v>#N/A</v>
      </c>
      <c r="AA28" s="1" t="str">
        <f t="shared" si="5"/>
        <v>#NAME?</v>
      </c>
      <c r="AB28" s="1" t="str">
        <f t="shared" si="6"/>
        <v>#NAME?</v>
      </c>
      <c r="AC28" s="1" t="str">
        <f t="shared" si="7"/>
        <v>#NAME?</v>
      </c>
      <c r="AD28" s="1" t="str">
        <f t="shared" si="8"/>
        <v>#NAME?</v>
      </c>
    </row>
    <row r="29" ht="14.25" customHeight="1">
      <c r="H29" s="1">
        <f t="shared" si="9"/>
        <v>24</v>
      </c>
      <c r="I29" s="1">
        <f>WEEKDAY('daily graphs'!K29)</f>
        <v>2</v>
      </c>
      <c r="J29" s="1">
        <f t="shared" si="2"/>
        <v>22</v>
      </c>
      <c r="K29" s="1">
        <f t="shared" si="3"/>
        <v>1</v>
      </c>
      <c r="L29" s="23">
        <f>'daily graphs'!K29 - I29</f>
        <v>36547</v>
      </c>
      <c r="M29" s="24">
        <f t="shared" si="4"/>
        <v>-1000000</v>
      </c>
      <c r="N29" s="24" t="str">
        <f t="array" ref="N29">IF(M29&gt;0,INDEX(big_daily_table,MATCH(DATE(O$5,$K29,$J29),daily_dates,0),MATCH($B$3,daily_items,0)),NA())</f>
        <v>#N/A</v>
      </c>
      <c r="O29" s="1" t="str">
        <f t="array" ref="O29">IF(M29&lt;0,INDEX(big_daily_table,MATCH(DATE(O$5,$K29,$J29),daily_dates,0),MATCH($B$3,daily_items,0)),NA())</f>
        <v>#N/A</v>
      </c>
      <c r="P29" s="1" t="str">
        <f t="array" ref="P29">IF(ISBLANK(INDEX(big_daily_table,MATCH(DATE(P$5,$K29,$J29),daily_dates,0),MATCH($B$3,daily_items,0))),NA(),INDEX(big_daily_table,MATCH(DATE(P$5,$K29,$J29),daily_dates,0),MATCH($B$3,daily_items,0)))</f>
        <v>#N/A</v>
      </c>
      <c r="Q29" s="1" t="str">
        <f t="array" ref="Q29">IF(ISBLANK(INDEX(big_daily_table,MATCH(DATE(Q$5,$K29,$J29),daily_dates,0),MATCH($B$3,daily_items,0))),NA(),INDEX(big_daily_table,MATCH(DATE(Q$5,$K29,$J29),daily_dates,0),MATCH($B$3,daily_items,0)))</f>
        <v>#N/A</v>
      </c>
      <c r="R29" s="1" t="str">
        <f t="array" ref="R29">IF(ISBLANK(INDEX(big_daily_table,MATCH(DATE(R$5,$K29,$J29),daily_dates,0),MATCH($B$3,daily_items,0))),NA(),INDEX(big_daily_table,MATCH(DATE(R$5,$K29,$J29),daily_dates,0),MATCH($B$3,daily_items,0)))</f>
        <v>#N/A</v>
      </c>
      <c r="S29" s="1" t="str">
        <f t="array" ref="S29">IF(ISBLANK(INDEX(big_daily_table,MATCH(DATE(S$5,$K29,$J29),daily_dates,0),MATCH($B$3,daily_items,0))),NA(),INDEX(big_daily_table,MATCH(DATE(S$5,$K29,$J29),daily_dates,0),MATCH($B$3,daily_items,0)))</f>
        <v>#N/A</v>
      </c>
      <c r="T29" s="1" t="str">
        <f t="array" ref="T29">IF(ISBLANK(INDEX(big_daily_table,MATCH(DATE(T$5,$K29,$J29),daily_dates,0),MATCH($B$3,daily_items,0))),NA(),INDEX(big_daily_table,MATCH(DATE(T$5,$K29,$J29),daily_dates,0),MATCH($B$3,daily_items,0)))</f>
        <v>#N/A</v>
      </c>
      <c r="U29" s="1" t="str">
        <f t="array" ref="U29">IF(ISBLANK(INDEX(big_daily_table,MATCH(DATE(U$5,$K29,$J29),daily_dates,0),MATCH($B$3,daily_items,0))),NA(),INDEX(big_daily_table,MATCH(DATE(U$5,$K29,$J29),daily_dates,0),MATCH($B$3,daily_items,0)))</f>
        <v>#N/A</v>
      </c>
      <c r="V29" s="1" t="str">
        <f t="array" ref="V29">IF(ISBLANK(INDEX(big_daily_table,MATCH(DATE(V$5,$K29,$J29),daily_dates,0),MATCH($B$3,daily_items,0))),NA(),INDEX(big_daily_table,MATCH(DATE(V$5,$K29,$J29),daily_dates,0),MATCH($B$3,daily_items,0)))</f>
        <v>#N/A</v>
      </c>
      <c r="W29" s="1" t="str">
        <f t="array" ref="W29">IF(ISBLANK(INDEX(big_daily_table,MATCH(DATE(W$5,$K29,$J29),daily_dates,0),MATCH($B$3,daily_items,0))),NA(),INDEX(big_daily_table,MATCH(DATE(W$5,$K29,$J29),daily_dates,0),MATCH($B$3,daily_items,0)))</f>
        <v>#N/A</v>
      </c>
      <c r="X29" s="1" t="str">
        <f t="array" ref="X29">IF(ISBLANK(INDEX(big_daily_table,MATCH(DATE(X$5,$K29,$J29),daily_dates,0),MATCH($B$3,daily_items,0))),NA(),INDEX(big_daily_table,MATCH(DATE(X$5,$K29,$J29),daily_dates,0),MATCH($B$3,daily_items,0)))</f>
        <v>#N/A</v>
      </c>
      <c r="Y29" s="1" t="str">
        <f t="array" ref="Y29">IF(ISBLANK(INDEX(big_daily_table,MATCH(DATE(Y$5,$K29,$J29),daily_dates,0),MATCH($B$3,daily_items,0))),NA(),INDEX(big_daily_table,MATCH(DATE(Y$5,$K29,$J29),daily_dates,0),MATCH($B$3,daily_items,0)))</f>
        <v>#N/A</v>
      </c>
      <c r="Z29" s="1" t="str">
        <f t="array" ref="Z29">IF(ISBLANK(INDEX(big_daily_table,MATCH(DATE(Z$5,$K29,$J29),daily_dates,0),MATCH($B$3,daily_items,0))),NA(),INDEX(big_daily_table,MATCH(DATE(Z$5,$K29,$J29),daily_dates,0),MATCH($B$3,daily_items,0)))</f>
        <v>#N/A</v>
      </c>
      <c r="AA29" s="1" t="str">
        <f t="shared" si="5"/>
        <v>#NAME?</v>
      </c>
      <c r="AB29" s="1" t="str">
        <f t="shared" si="6"/>
        <v>#NAME?</v>
      </c>
      <c r="AC29" s="1" t="str">
        <f t="shared" si="7"/>
        <v>#NAME?</v>
      </c>
      <c r="AD29" s="1" t="str">
        <f t="shared" si="8"/>
        <v>#NAME?</v>
      </c>
    </row>
    <row r="30" ht="14.25" customHeight="1">
      <c r="H30" s="1">
        <f t="shared" si="9"/>
        <v>25</v>
      </c>
      <c r="I30" s="1">
        <f>WEEKDAY('daily graphs'!K30)</f>
        <v>3</v>
      </c>
      <c r="J30" s="1">
        <f t="shared" si="2"/>
        <v>22</v>
      </c>
      <c r="K30" s="1">
        <f t="shared" si="3"/>
        <v>1</v>
      </c>
      <c r="L30" s="23">
        <f>'daily graphs'!K30 - I30</f>
        <v>36547</v>
      </c>
      <c r="M30" s="24">
        <f t="shared" si="4"/>
        <v>-1000000</v>
      </c>
      <c r="N30" s="24" t="str">
        <f t="array" ref="N30">IF(M30&gt;0,INDEX(big_daily_table,MATCH(DATE(O$5,$K30,$J30),daily_dates,0),MATCH($B$3,daily_items,0)),NA())</f>
        <v>#N/A</v>
      </c>
      <c r="O30" s="1" t="str">
        <f t="array" ref="O30">IF(M30&lt;0,INDEX(big_daily_table,MATCH(DATE(O$5,$K30,$J30),daily_dates,0),MATCH($B$3,daily_items,0)),NA())</f>
        <v>#N/A</v>
      </c>
      <c r="P30" s="1" t="str">
        <f t="array" ref="P30">IF(ISBLANK(INDEX(big_daily_table,MATCH(DATE(P$5,$K30,$J30),daily_dates,0),MATCH($B$3,daily_items,0))),NA(),INDEX(big_daily_table,MATCH(DATE(P$5,$K30,$J30),daily_dates,0),MATCH($B$3,daily_items,0)))</f>
        <v>#N/A</v>
      </c>
      <c r="Q30" s="1" t="str">
        <f t="array" ref="Q30">IF(ISBLANK(INDEX(big_daily_table,MATCH(DATE(Q$5,$K30,$J30),daily_dates,0),MATCH($B$3,daily_items,0))),NA(),INDEX(big_daily_table,MATCH(DATE(Q$5,$K30,$J30),daily_dates,0),MATCH($B$3,daily_items,0)))</f>
        <v>#N/A</v>
      </c>
      <c r="R30" s="1" t="str">
        <f t="array" ref="R30">IF(ISBLANK(INDEX(big_daily_table,MATCH(DATE(R$5,$K30,$J30),daily_dates,0),MATCH($B$3,daily_items,0))),NA(),INDEX(big_daily_table,MATCH(DATE(R$5,$K30,$J30),daily_dates,0),MATCH($B$3,daily_items,0)))</f>
        <v>#N/A</v>
      </c>
      <c r="S30" s="1" t="str">
        <f t="array" ref="S30">IF(ISBLANK(INDEX(big_daily_table,MATCH(DATE(S$5,$K30,$J30),daily_dates,0),MATCH($B$3,daily_items,0))),NA(),INDEX(big_daily_table,MATCH(DATE(S$5,$K30,$J30),daily_dates,0),MATCH($B$3,daily_items,0)))</f>
        <v>#N/A</v>
      </c>
      <c r="T30" s="1" t="str">
        <f t="array" ref="T30">IF(ISBLANK(INDEX(big_daily_table,MATCH(DATE(T$5,$K30,$J30),daily_dates,0),MATCH($B$3,daily_items,0))),NA(),INDEX(big_daily_table,MATCH(DATE(T$5,$K30,$J30),daily_dates,0),MATCH($B$3,daily_items,0)))</f>
        <v>#N/A</v>
      </c>
      <c r="U30" s="1" t="str">
        <f t="array" ref="U30">IF(ISBLANK(INDEX(big_daily_table,MATCH(DATE(U$5,$K30,$J30),daily_dates,0),MATCH($B$3,daily_items,0))),NA(),INDEX(big_daily_table,MATCH(DATE(U$5,$K30,$J30),daily_dates,0),MATCH($B$3,daily_items,0)))</f>
        <v>#N/A</v>
      </c>
      <c r="V30" s="1" t="str">
        <f t="array" ref="V30">IF(ISBLANK(INDEX(big_daily_table,MATCH(DATE(V$5,$K30,$J30),daily_dates,0),MATCH($B$3,daily_items,0))),NA(),INDEX(big_daily_table,MATCH(DATE(V$5,$K30,$J30),daily_dates,0),MATCH($B$3,daily_items,0)))</f>
        <v>#N/A</v>
      </c>
      <c r="W30" s="1" t="str">
        <f t="array" ref="W30">IF(ISBLANK(INDEX(big_daily_table,MATCH(DATE(W$5,$K30,$J30),daily_dates,0),MATCH($B$3,daily_items,0))),NA(),INDEX(big_daily_table,MATCH(DATE(W$5,$K30,$J30),daily_dates,0),MATCH($B$3,daily_items,0)))</f>
        <v>#N/A</v>
      </c>
      <c r="X30" s="1" t="str">
        <f t="array" ref="X30">IF(ISBLANK(INDEX(big_daily_table,MATCH(DATE(X$5,$K30,$J30),daily_dates,0),MATCH($B$3,daily_items,0))),NA(),INDEX(big_daily_table,MATCH(DATE(X$5,$K30,$J30),daily_dates,0),MATCH($B$3,daily_items,0)))</f>
        <v>#N/A</v>
      </c>
      <c r="Y30" s="1" t="str">
        <f t="array" ref="Y30">IF(ISBLANK(INDEX(big_daily_table,MATCH(DATE(Y$5,$K30,$J30),daily_dates,0),MATCH($B$3,daily_items,0))),NA(),INDEX(big_daily_table,MATCH(DATE(Y$5,$K30,$J30),daily_dates,0),MATCH($B$3,daily_items,0)))</f>
        <v>#N/A</v>
      </c>
      <c r="Z30" s="1" t="str">
        <f t="array" ref="Z30">IF(ISBLANK(INDEX(big_daily_table,MATCH(DATE(Z$5,$K30,$J30),daily_dates,0),MATCH($B$3,daily_items,0))),NA(),INDEX(big_daily_table,MATCH(DATE(Z$5,$K30,$J30),daily_dates,0),MATCH($B$3,daily_items,0)))</f>
        <v>#N/A</v>
      </c>
      <c r="AA30" s="1" t="str">
        <f t="shared" si="5"/>
        <v>#NAME?</v>
      </c>
      <c r="AB30" s="1" t="str">
        <f t="shared" si="6"/>
        <v>#NAME?</v>
      </c>
      <c r="AC30" s="1" t="str">
        <f t="shared" si="7"/>
        <v>#NAME?</v>
      </c>
      <c r="AD30" s="1" t="str">
        <f t="shared" si="8"/>
        <v>#NAME?</v>
      </c>
    </row>
    <row r="31" ht="14.25" customHeight="1">
      <c r="H31" s="1">
        <f t="shared" si="9"/>
        <v>26</v>
      </c>
      <c r="I31" s="1">
        <f>WEEKDAY('daily graphs'!K31)</f>
        <v>4</v>
      </c>
      <c r="J31" s="1">
        <f t="shared" si="2"/>
        <v>22</v>
      </c>
      <c r="K31" s="1">
        <f t="shared" si="3"/>
        <v>1</v>
      </c>
      <c r="L31" s="23">
        <f>'daily graphs'!K31 - I31</f>
        <v>36547</v>
      </c>
      <c r="M31" s="24">
        <f t="shared" si="4"/>
        <v>-1000000</v>
      </c>
      <c r="N31" s="24" t="str">
        <f t="array" ref="N31">IF(M31&gt;0,INDEX(big_daily_table,MATCH(DATE(O$5,$K31,$J31),daily_dates,0),MATCH($B$3,daily_items,0)),NA())</f>
        <v>#N/A</v>
      </c>
      <c r="O31" s="1" t="str">
        <f t="array" ref="O31">IF(M31&lt;0,INDEX(big_daily_table,MATCH(DATE(O$5,$K31,$J31),daily_dates,0),MATCH($B$3,daily_items,0)),NA())</f>
        <v>#N/A</v>
      </c>
      <c r="P31" s="1" t="str">
        <f t="array" ref="P31">IF(ISBLANK(INDEX(big_daily_table,MATCH(DATE(P$5,$K31,$J31),daily_dates,0),MATCH($B$3,daily_items,0))),NA(),INDEX(big_daily_table,MATCH(DATE(P$5,$K31,$J31),daily_dates,0),MATCH($B$3,daily_items,0)))</f>
        <v>#N/A</v>
      </c>
      <c r="Q31" s="1" t="str">
        <f t="array" ref="Q31">IF(ISBLANK(INDEX(big_daily_table,MATCH(DATE(Q$5,$K31,$J31),daily_dates,0),MATCH($B$3,daily_items,0))),NA(),INDEX(big_daily_table,MATCH(DATE(Q$5,$K31,$J31),daily_dates,0),MATCH($B$3,daily_items,0)))</f>
        <v>#N/A</v>
      </c>
      <c r="R31" s="1" t="str">
        <f t="array" ref="R31">IF(ISBLANK(INDEX(big_daily_table,MATCH(DATE(R$5,$K31,$J31),daily_dates,0),MATCH($B$3,daily_items,0))),NA(),INDEX(big_daily_table,MATCH(DATE(R$5,$K31,$J31),daily_dates,0),MATCH($B$3,daily_items,0)))</f>
        <v>#N/A</v>
      </c>
      <c r="S31" s="1" t="str">
        <f t="array" ref="S31">IF(ISBLANK(INDEX(big_daily_table,MATCH(DATE(S$5,$K31,$J31),daily_dates,0),MATCH($B$3,daily_items,0))),NA(),INDEX(big_daily_table,MATCH(DATE(S$5,$K31,$J31),daily_dates,0),MATCH($B$3,daily_items,0)))</f>
        <v>#N/A</v>
      </c>
      <c r="T31" s="1" t="str">
        <f t="array" ref="T31">IF(ISBLANK(INDEX(big_daily_table,MATCH(DATE(T$5,$K31,$J31),daily_dates,0),MATCH($B$3,daily_items,0))),NA(),INDEX(big_daily_table,MATCH(DATE(T$5,$K31,$J31),daily_dates,0),MATCH($B$3,daily_items,0)))</f>
        <v>#N/A</v>
      </c>
      <c r="U31" s="1" t="str">
        <f t="array" ref="U31">IF(ISBLANK(INDEX(big_daily_table,MATCH(DATE(U$5,$K31,$J31),daily_dates,0),MATCH($B$3,daily_items,0))),NA(),INDEX(big_daily_table,MATCH(DATE(U$5,$K31,$J31),daily_dates,0),MATCH($B$3,daily_items,0)))</f>
        <v>#N/A</v>
      </c>
      <c r="V31" s="1" t="str">
        <f t="array" ref="V31">IF(ISBLANK(INDEX(big_daily_table,MATCH(DATE(V$5,$K31,$J31),daily_dates,0),MATCH($B$3,daily_items,0))),NA(),INDEX(big_daily_table,MATCH(DATE(V$5,$K31,$J31),daily_dates,0),MATCH($B$3,daily_items,0)))</f>
        <v>#N/A</v>
      </c>
      <c r="W31" s="1" t="str">
        <f t="array" ref="W31">IF(ISBLANK(INDEX(big_daily_table,MATCH(DATE(W$5,$K31,$J31),daily_dates,0),MATCH($B$3,daily_items,0))),NA(),INDEX(big_daily_table,MATCH(DATE(W$5,$K31,$J31),daily_dates,0),MATCH($B$3,daily_items,0)))</f>
        <v>#N/A</v>
      </c>
      <c r="X31" s="1" t="str">
        <f t="array" ref="X31">IF(ISBLANK(INDEX(big_daily_table,MATCH(DATE(X$5,$K31,$J31),daily_dates,0),MATCH($B$3,daily_items,0))),NA(),INDEX(big_daily_table,MATCH(DATE(X$5,$K31,$J31),daily_dates,0),MATCH($B$3,daily_items,0)))</f>
        <v>#N/A</v>
      </c>
      <c r="Y31" s="1" t="str">
        <f t="array" ref="Y31">IF(ISBLANK(INDEX(big_daily_table,MATCH(DATE(Y$5,$K31,$J31),daily_dates,0),MATCH($B$3,daily_items,0))),NA(),INDEX(big_daily_table,MATCH(DATE(Y$5,$K31,$J31),daily_dates,0),MATCH($B$3,daily_items,0)))</f>
        <v>#N/A</v>
      </c>
      <c r="Z31" s="1" t="str">
        <f t="array" ref="Z31">IF(ISBLANK(INDEX(big_daily_table,MATCH(DATE(Z$5,$K31,$J31),daily_dates,0),MATCH($B$3,daily_items,0))),NA(),INDEX(big_daily_table,MATCH(DATE(Z$5,$K31,$J31),daily_dates,0),MATCH($B$3,daily_items,0)))</f>
        <v>#N/A</v>
      </c>
      <c r="AA31" s="1" t="str">
        <f t="shared" si="5"/>
        <v>#NAME?</v>
      </c>
      <c r="AB31" s="1" t="str">
        <f t="shared" si="6"/>
        <v>#NAME?</v>
      </c>
      <c r="AC31" s="1" t="str">
        <f t="shared" si="7"/>
        <v>#NAME?</v>
      </c>
      <c r="AD31" s="1" t="str">
        <f t="shared" si="8"/>
        <v>#NAME?</v>
      </c>
    </row>
    <row r="32" ht="14.25" customHeight="1">
      <c r="H32" s="1">
        <f t="shared" si="9"/>
        <v>27</v>
      </c>
      <c r="I32" s="1">
        <f>WEEKDAY('daily graphs'!K32)</f>
        <v>5</v>
      </c>
      <c r="J32" s="1">
        <f t="shared" si="2"/>
        <v>22</v>
      </c>
      <c r="K32" s="1">
        <f t="shared" si="3"/>
        <v>1</v>
      </c>
      <c r="L32" s="23">
        <f>'daily graphs'!K32 - I32</f>
        <v>36547</v>
      </c>
      <c r="M32" s="24">
        <f t="shared" si="4"/>
        <v>-1000000</v>
      </c>
      <c r="N32" s="24" t="str">
        <f t="array" ref="N32">IF(M32&gt;0,INDEX(big_daily_table,MATCH(DATE(O$5,$K32,$J32),daily_dates,0),MATCH($B$3,daily_items,0)),NA())</f>
        <v>#N/A</v>
      </c>
      <c r="O32" s="1" t="str">
        <f t="array" ref="O32">IF(M32&lt;0,INDEX(big_daily_table,MATCH(DATE(O$5,$K32,$J32),daily_dates,0),MATCH($B$3,daily_items,0)),NA())</f>
        <v>#N/A</v>
      </c>
      <c r="P32" s="1" t="str">
        <f t="array" ref="P32">IF(ISBLANK(INDEX(big_daily_table,MATCH(DATE(P$5,$K32,$J32),daily_dates,0),MATCH($B$3,daily_items,0))),NA(),INDEX(big_daily_table,MATCH(DATE(P$5,$K32,$J32),daily_dates,0),MATCH($B$3,daily_items,0)))</f>
        <v>#N/A</v>
      </c>
      <c r="Q32" s="1" t="str">
        <f t="array" ref="Q32">IF(ISBLANK(INDEX(big_daily_table,MATCH(DATE(Q$5,$K32,$J32),daily_dates,0),MATCH($B$3,daily_items,0))),NA(),INDEX(big_daily_table,MATCH(DATE(Q$5,$K32,$J32),daily_dates,0),MATCH($B$3,daily_items,0)))</f>
        <v>#N/A</v>
      </c>
      <c r="R32" s="1" t="str">
        <f t="array" ref="R32">IF(ISBLANK(INDEX(big_daily_table,MATCH(DATE(R$5,$K32,$J32),daily_dates,0),MATCH($B$3,daily_items,0))),NA(),INDEX(big_daily_table,MATCH(DATE(R$5,$K32,$J32),daily_dates,0),MATCH($B$3,daily_items,0)))</f>
        <v>#N/A</v>
      </c>
      <c r="S32" s="1" t="str">
        <f t="array" ref="S32">IF(ISBLANK(INDEX(big_daily_table,MATCH(DATE(S$5,$K32,$J32),daily_dates,0),MATCH($B$3,daily_items,0))),NA(),INDEX(big_daily_table,MATCH(DATE(S$5,$K32,$J32),daily_dates,0),MATCH($B$3,daily_items,0)))</f>
        <v>#N/A</v>
      </c>
      <c r="T32" s="1" t="str">
        <f t="array" ref="T32">IF(ISBLANK(INDEX(big_daily_table,MATCH(DATE(T$5,$K32,$J32),daily_dates,0),MATCH($B$3,daily_items,0))),NA(),INDEX(big_daily_table,MATCH(DATE(T$5,$K32,$J32),daily_dates,0),MATCH($B$3,daily_items,0)))</f>
        <v>#N/A</v>
      </c>
      <c r="U32" s="1" t="str">
        <f t="array" ref="U32">IF(ISBLANK(INDEX(big_daily_table,MATCH(DATE(U$5,$K32,$J32),daily_dates,0),MATCH($B$3,daily_items,0))),NA(),INDEX(big_daily_table,MATCH(DATE(U$5,$K32,$J32),daily_dates,0),MATCH($B$3,daily_items,0)))</f>
        <v>#N/A</v>
      </c>
      <c r="V32" s="1" t="str">
        <f t="array" ref="V32">IF(ISBLANK(INDEX(big_daily_table,MATCH(DATE(V$5,$K32,$J32),daily_dates,0),MATCH($B$3,daily_items,0))),NA(),INDEX(big_daily_table,MATCH(DATE(V$5,$K32,$J32),daily_dates,0),MATCH($B$3,daily_items,0)))</f>
        <v>#N/A</v>
      </c>
      <c r="W32" s="1" t="str">
        <f t="array" ref="W32">IF(ISBLANK(INDEX(big_daily_table,MATCH(DATE(W$5,$K32,$J32),daily_dates,0),MATCH($B$3,daily_items,0))),NA(),INDEX(big_daily_table,MATCH(DATE(W$5,$K32,$J32),daily_dates,0),MATCH($B$3,daily_items,0)))</f>
        <v>#N/A</v>
      </c>
      <c r="X32" s="1" t="str">
        <f t="array" ref="X32">IF(ISBLANK(INDEX(big_daily_table,MATCH(DATE(X$5,$K32,$J32),daily_dates,0),MATCH($B$3,daily_items,0))),NA(),INDEX(big_daily_table,MATCH(DATE(X$5,$K32,$J32),daily_dates,0),MATCH($B$3,daily_items,0)))</f>
        <v>#N/A</v>
      </c>
      <c r="Y32" s="1" t="str">
        <f t="array" ref="Y32">IF(ISBLANK(INDEX(big_daily_table,MATCH(DATE(Y$5,$K32,$J32),daily_dates,0),MATCH($B$3,daily_items,0))),NA(),INDEX(big_daily_table,MATCH(DATE(Y$5,$K32,$J32),daily_dates,0),MATCH($B$3,daily_items,0)))</f>
        <v>#N/A</v>
      </c>
      <c r="Z32" s="1" t="str">
        <f t="array" ref="Z32">IF(ISBLANK(INDEX(big_daily_table,MATCH(DATE(Z$5,$K32,$J32),daily_dates,0),MATCH($B$3,daily_items,0))),NA(),INDEX(big_daily_table,MATCH(DATE(Z$5,$K32,$J32),daily_dates,0),MATCH($B$3,daily_items,0)))</f>
        <v>#N/A</v>
      </c>
      <c r="AA32" s="1" t="str">
        <f t="shared" si="5"/>
        <v>#NAME?</v>
      </c>
      <c r="AB32" s="1" t="str">
        <f t="shared" si="6"/>
        <v>#NAME?</v>
      </c>
      <c r="AC32" s="1" t="str">
        <f t="shared" si="7"/>
        <v>#NAME?</v>
      </c>
      <c r="AD32" s="1" t="str">
        <f t="shared" si="8"/>
        <v>#NAME?</v>
      </c>
    </row>
    <row r="33" ht="14.25" customHeight="1">
      <c r="H33" s="1">
        <f t="shared" si="9"/>
        <v>28</v>
      </c>
      <c r="I33" s="1">
        <f>WEEKDAY('daily graphs'!K33)</f>
        <v>6</v>
      </c>
      <c r="J33" s="1">
        <f t="shared" si="2"/>
        <v>22</v>
      </c>
      <c r="K33" s="1">
        <f t="shared" si="3"/>
        <v>1</v>
      </c>
      <c r="L33" s="23">
        <f>'daily graphs'!K33 - I33</f>
        <v>36547</v>
      </c>
      <c r="M33" s="24">
        <f t="shared" si="4"/>
        <v>-1000000</v>
      </c>
      <c r="N33" s="24" t="str">
        <f t="array" ref="N33">IF(M33&gt;0,INDEX(big_daily_table,MATCH(DATE(O$5,$K33,$J33),daily_dates,0),MATCH($B$3,daily_items,0)),NA())</f>
        <v>#N/A</v>
      </c>
      <c r="O33" s="1" t="str">
        <f t="array" ref="O33">IF(M33&lt;0,INDEX(big_daily_table,MATCH(DATE(O$5,$K33,$J33),daily_dates,0),MATCH($B$3,daily_items,0)),NA())</f>
        <v>#N/A</v>
      </c>
      <c r="P33" s="1" t="str">
        <f t="array" ref="P33">IF(ISBLANK(INDEX(big_daily_table,MATCH(DATE(P$5,$K33,$J33),daily_dates,0),MATCH($B$3,daily_items,0))),NA(),INDEX(big_daily_table,MATCH(DATE(P$5,$K33,$J33),daily_dates,0),MATCH($B$3,daily_items,0)))</f>
        <v>#N/A</v>
      </c>
      <c r="Q33" s="1" t="str">
        <f t="array" ref="Q33">IF(ISBLANK(INDEX(big_daily_table,MATCH(DATE(Q$5,$K33,$J33),daily_dates,0),MATCH($B$3,daily_items,0))),NA(),INDEX(big_daily_table,MATCH(DATE(Q$5,$K33,$J33),daily_dates,0),MATCH($B$3,daily_items,0)))</f>
        <v>#N/A</v>
      </c>
      <c r="R33" s="1" t="str">
        <f t="array" ref="R33">IF(ISBLANK(INDEX(big_daily_table,MATCH(DATE(R$5,$K33,$J33),daily_dates,0),MATCH($B$3,daily_items,0))),NA(),INDEX(big_daily_table,MATCH(DATE(R$5,$K33,$J33),daily_dates,0),MATCH($B$3,daily_items,0)))</f>
        <v>#N/A</v>
      </c>
      <c r="S33" s="1" t="str">
        <f t="array" ref="S33">IF(ISBLANK(INDEX(big_daily_table,MATCH(DATE(S$5,$K33,$J33),daily_dates,0),MATCH($B$3,daily_items,0))),NA(),INDEX(big_daily_table,MATCH(DATE(S$5,$K33,$J33),daily_dates,0),MATCH($B$3,daily_items,0)))</f>
        <v>#N/A</v>
      </c>
      <c r="T33" s="1" t="str">
        <f t="array" ref="T33">IF(ISBLANK(INDEX(big_daily_table,MATCH(DATE(T$5,$K33,$J33),daily_dates,0),MATCH($B$3,daily_items,0))),NA(),INDEX(big_daily_table,MATCH(DATE(T$5,$K33,$J33),daily_dates,0),MATCH($B$3,daily_items,0)))</f>
        <v>#N/A</v>
      </c>
      <c r="U33" s="1" t="str">
        <f t="array" ref="U33">IF(ISBLANK(INDEX(big_daily_table,MATCH(DATE(U$5,$K33,$J33),daily_dates,0),MATCH($B$3,daily_items,0))),NA(),INDEX(big_daily_table,MATCH(DATE(U$5,$K33,$J33),daily_dates,0),MATCH($B$3,daily_items,0)))</f>
        <v>#N/A</v>
      </c>
      <c r="V33" s="1" t="str">
        <f t="array" ref="V33">IF(ISBLANK(INDEX(big_daily_table,MATCH(DATE(V$5,$K33,$J33),daily_dates,0),MATCH($B$3,daily_items,0))),NA(),INDEX(big_daily_table,MATCH(DATE(V$5,$K33,$J33),daily_dates,0),MATCH($B$3,daily_items,0)))</f>
        <v>#N/A</v>
      </c>
      <c r="W33" s="1" t="str">
        <f t="array" ref="W33">IF(ISBLANK(INDEX(big_daily_table,MATCH(DATE(W$5,$K33,$J33),daily_dates,0),MATCH($B$3,daily_items,0))),NA(),INDEX(big_daily_table,MATCH(DATE(W$5,$K33,$J33),daily_dates,0),MATCH($B$3,daily_items,0)))</f>
        <v>#N/A</v>
      </c>
      <c r="X33" s="1" t="str">
        <f t="array" ref="X33">IF(ISBLANK(INDEX(big_daily_table,MATCH(DATE(X$5,$K33,$J33),daily_dates,0),MATCH($B$3,daily_items,0))),NA(),INDEX(big_daily_table,MATCH(DATE(X$5,$K33,$J33),daily_dates,0),MATCH($B$3,daily_items,0)))</f>
        <v>#N/A</v>
      </c>
      <c r="Y33" s="1" t="str">
        <f t="array" ref="Y33">IF(ISBLANK(INDEX(big_daily_table,MATCH(DATE(Y$5,$K33,$J33),daily_dates,0),MATCH($B$3,daily_items,0))),NA(),INDEX(big_daily_table,MATCH(DATE(Y$5,$K33,$J33),daily_dates,0),MATCH($B$3,daily_items,0)))</f>
        <v>#N/A</v>
      </c>
      <c r="Z33" s="1" t="str">
        <f t="array" ref="Z33">IF(ISBLANK(INDEX(big_daily_table,MATCH(DATE(Z$5,$K33,$J33),daily_dates,0),MATCH($B$3,daily_items,0))),NA(),INDEX(big_daily_table,MATCH(DATE(Z$5,$K33,$J33),daily_dates,0),MATCH($B$3,daily_items,0)))</f>
        <v>#N/A</v>
      </c>
      <c r="AA33" s="1" t="str">
        <f t="shared" si="5"/>
        <v>#NAME?</v>
      </c>
      <c r="AB33" s="1" t="str">
        <f t="shared" si="6"/>
        <v>#NAME?</v>
      </c>
      <c r="AC33" s="1" t="str">
        <f t="shared" si="7"/>
        <v>#NAME?</v>
      </c>
      <c r="AD33" s="1" t="str">
        <f t="shared" si="8"/>
        <v>#NAME?</v>
      </c>
    </row>
    <row r="34" ht="14.25" customHeight="1">
      <c r="H34" s="1">
        <f t="shared" si="9"/>
        <v>29</v>
      </c>
      <c r="I34" s="1">
        <f>WEEKDAY('daily graphs'!K34)</f>
        <v>7</v>
      </c>
      <c r="J34" s="1">
        <f t="shared" si="2"/>
        <v>22</v>
      </c>
      <c r="K34" s="1">
        <f t="shared" si="3"/>
        <v>1</v>
      </c>
      <c r="L34" s="23">
        <f>'daily graphs'!K34 - I34</f>
        <v>36547</v>
      </c>
      <c r="M34" s="24">
        <f t="shared" si="4"/>
        <v>-1000000</v>
      </c>
      <c r="N34" s="24" t="str">
        <f t="array" ref="N34">IF(M34&gt;0,INDEX(big_daily_table,MATCH(DATE(O$5,$K34,$J34),daily_dates,0),MATCH($B$3,daily_items,0)),NA())</f>
        <v>#N/A</v>
      </c>
      <c r="O34" s="1" t="str">
        <f t="array" ref="O34">IF(M34&lt;0,INDEX(big_daily_table,MATCH(DATE(O$5,$K34,$J34),daily_dates,0),MATCH($B$3,daily_items,0)),NA())</f>
        <v>#N/A</v>
      </c>
      <c r="P34" s="1" t="str">
        <f t="array" ref="P34">IF(ISBLANK(INDEX(big_daily_table,MATCH(DATE(P$5,$K34,$J34),daily_dates,0),MATCH($B$3,daily_items,0))),NA(),INDEX(big_daily_table,MATCH(DATE(P$5,$K34,$J34),daily_dates,0),MATCH($B$3,daily_items,0)))</f>
        <v>#N/A</v>
      </c>
      <c r="Q34" s="1" t="str">
        <f t="array" ref="Q34">IF(ISBLANK(INDEX(big_daily_table,MATCH(DATE(Q$5,$K34,$J34),daily_dates,0),MATCH($B$3,daily_items,0))),NA(),INDEX(big_daily_table,MATCH(DATE(Q$5,$K34,$J34),daily_dates,0),MATCH($B$3,daily_items,0)))</f>
        <v>#N/A</v>
      </c>
      <c r="R34" s="1" t="str">
        <f t="array" ref="R34">IF(ISBLANK(INDEX(big_daily_table,MATCH(DATE(R$5,$K34,$J34),daily_dates,0),MATCH($B$3,daily_items,0))),NA(),INDEX(big_daily_table,MATCH(DATE(R$5,$K34,$J34),daily_dates,0),MATCH($B$3,daily_items,0)))</f>
        <v>#N/A</v>
      </c>
      <c r="S34" s="1" t="str">
        <f t="array" ref="S34">IF(ISBLANK(INDEX(big_daily_table,MATCH(DATE(S$5,$K34,$J34),daily_dates,0),MATCH($B$3,daily_items,0))),NA(),INDEX(big_daily_table,MATCH(DATE(S$5,$K34,$J34),daily_dates,0),MATCH($B$3,daily_items,0)))</f>
        <v>#N/A</v>
      </c>
      <c r="T34" s="1" t="str">
        <f t="array" ref="T34">IF(ISBLANK(INDEX(big_daily_table,MATCH(DATE(T$5,$K34,$J34),daily_dates,0),MATCH($B$3,daily_items,0))),NA(),INDEX(big_daily_table,MATCH(DATE(T$5,$K34,$J34),daily_dates,0),MATCH($B$3,daily_items,0)))</f>
        <v>#N/A</v>
      </c>
      <c r="U34" s="1" t="str">
        <f t="array" ref="U34">IF(ISBLANK(INDEX(big_daily_table,MATCH(DATE(U$5,$K34,$J34),daily_dates,0),MATCH($B$3,daily_items,0))),NA(),INDEX(big_daily_table,MATCH(DATE(U$5,$K34,$J34),daily_dates,0),MATCH($B$3,daily_items,0)))</f>
        <v>#N/A</v>
      </c>
      <c r="V34" s="1" t="str">
        <f t="array" ref="V34">IF(ISBLANK(INDEX(big_daily_table,MATCH(DATE(V$5,$K34,$J34),daily_dates,0),MATCH($B$3,daily_items,0))),NA(),INDEX(big_daily_table,MATCH(DATE(V$5,$K34,$J34),daily_dates,0),MATCH($B$3,daily_items,0)))</f>
        <v>#N/A</v>
      </c>
      <c r="W34" s="1" t="str">
        <f t="array" ref="W34">IF(ISBLANK(INDEX(big_daily_table,MATCH(DATE(W$5,$K34,$J34),daily_dates,0),MATCH($B$3,daily_items,0))),NA(),INDEX(big_daily_table,MATCH(DATE(W$5,$K34,$J34),daily_dates,0),MATCH($B$3,daily_items,0)))</f>
        <v>#N/A</v>
      </c>
      <c r="X34" s="1" t="str">
        <f t="array" ref="X34">IF(ISBLANK(INDEX(big_daily_table,MATCH(DATE(X$5,$K34,$J34),daily_dates,0),MATCH($B$3,daily_items,0))),NA(),INDEX(big_daily_table,MATCH(DATE(X$5,$K34,$J34),daily_dates,0),MATCH($B$3,daily_items,0)))</f>
        <v>#N/A</v>
      </c>
      <c r="Y34" s="1" t="str">
        <f t="array" ref="Y34">IF(ISBLANK(INDEX(big_daily_table,MATCH(DATE(Y$5,$K34,$J34),daily_dates,0),MATCH($B$3,daily_items,0))),NA(),INDEX(big_daily_table,MATCH(DATE(Y$5,$K34,$J34),daily_dates,0),MATCH($B$3,daily_items,0)))</f>
        <v>#N/A</v>
      </c>
      <c r="Z34" s="1" t="str">
        <f t="array" ref="Z34">IF(ISBLANK(INDEX(big_daily_table,MATCH(DATE(Z$5,$K34,$J34),daily_dates,0),MATCH($B$3,daily_items,0))),NA(),INDEX(big_daily_table,MATCH(DATE(Z$5,$K34,$J34),daily_dates,0),MATCH($B$3,daily_items,0)))</f>
        <v>#N/A</v>
      </c>
      <c r="AA34" s="1" t="str">
        <f t="shared" si="5"/>
        <v>#NAME?</v>
      </c>
      <c r="AB34" s="1" t="str">
        <f t="shared" si="6"/>
        <v>#NAME?</v>
      </c>
      <c r="AC34" s="1" t="str">
        <f t="shared" si="7"/>
        <v>#NAME?</v>
      </c>
      <c r="AD34" s="1" t="str">
        <f t="shared" si="8"/>
        <v>#NAME?</v>
      </c>
    </row>
    <row r="35" ht="14.25" customHeight="1">
      <c r="H35" s="1">
        <f t="shared" si="9"/>
        <v>30</v>
      </c>
      <c r="I35" s="1">
        <f>WEEKDAY('daily graphs'!K35)</f>
        <v>1</v>
      </c>
      <c r="J35" s="1">
        <f t="shared" si="2"/>
        <v>29</v>
      </c>
      <c r="K35" s="1">
        <f t="shared" si="3"/>
        <v>1</v>
      </c>
      <c r="L35" s="23">
        <f>'daily graphs'!K35 - I35</f>
        <v>36554</v>
      </c>
      <c r="M35" s="24">
        <f t="shared" si="4"/>
        <v>-1000000</v>
      </c>
      <c r="N35" s="24" t="str">
        <f t="array" ref="N35">IF(M35&gt;0,INDEX(big_daily_table,MATCH(DATE(O$5,$K35,$J35),daily_dates,0),MATCH($B$3,daily_items,0)),NA())</f>
        <v>#N/A</v>
      </c>
      <c r="O35" s="1" t="str">
        <f t="array" ref="O35">IF(M35&lt;0,INDEX(big_daily_table,MATCH(DATE(O$5,$K35,$J35),daily_dates,0),MATCH($B$3,daily_items,0)),NA())</f>
        <v>#N/A</v>
      </c>
      <c r="P35" s="1" t="str">
        <f t="array" ref="P35">IF(ISBLANK(INDEX(big_daily_table,MATCH(DATE(P$5,$K35,$J35),daily_dates,0),MATCH($B$3,daily_items,0))),NA(),INDEX(big_daily_table,MATCH(DATE(P$5,$K35,$J35),daily_dates,0),MATCH($B$3,daily_items,0)))</f>
        <v>#N/A</v>
      </c>
      <c r="Q35" s="1" t="str">
        <f t="array" ref="Q35">IF(ISBLANK(INDEX(big_daily_table,MATCH(DATE(Q$5,$K35,$J35),daily_dates,0),MATCH($B$3,daily_items,0))),NA(),INDEX(big_daily_table,MATCH(DATE(Q$5,$K35,$J35),daily_dates,0),MATCH($B$3,daily_items,0)))</f>
        <v>#N/A</v>
      </c>
      <c r="R35" s="1" t="str">
        <f t="array" ref="R35">IF(ISBLANK(INDEX(big_daily_table,MATCH(DATE(R$5,$K35,$J35),daily_dates,0),MATCH($B$3,daily_items,0))),NA(),INDEX(big_daily_table,MATCH(DATE(R$5,$K35,$J35),daily_dates,0),MATCH($B$3,daily_items,0)))</f>
        <v>#N/A</v>
      </c>
      <c r="S35" s="1" t="str">
        <f t="array" ref="S35">IF(ISBLANK(INDEX(big_daily_table,MATCH(DATE(S$5,$K35,$J35),daily_dates,0),MATCH($B$3,daily_items,0))),NA(),INDEX(big_daily_table,MATCH(DATE(S$5,$K35,$J35),daily_dates,0),MATCH($B$3,daily_items,0)))</f>
        <v>#N/A</v>
      </c>
      <c r="T35" s="1" t="str">
        <f t="array" ref="T35">IF(ISBLANK(INDEX(big_daily_table,MATCH(DATE(T$5,$K35,$J35),daily_dates,0),MATCH($B$3,daily_items,0))),NA(),INDEX(big_daily_table,MATCH(DATE(T$5,$K35,$J35),daily_dates,0),MATCH($B$3,daily_items,0)))</f>
        <v>#N/A</v>
      </c>
      <c r="U35" s="1" t="str">
        <f t="array" ref="U35">IF(ISBLANK(INDEX(big_daily_table,MATCH(DATE(U$5,$K35,$J35),daily_dates,0),MATCH($B$3,daily_items,0))),NA(),INDEX(big_daily_table,MATCH(DATE(U$5,$K35,$J35),daily_dates,0),MATCH($B$3,daily_items,0)))</f>
        <v>#N/A</v>
      </c>
      <c r="V35" s="1" t="str">
        <f t="array" ref="V35">IF(ISBLANK(INDEX(big_daily_table,MATCH(DATE(V$5,$K35,$J35),daily_dates,0),MATCH($B$3,daily_items,0))),NA(),INDEX(big_daily_table,MATCH(DATE(V$5,$K35,$J35),daily_dates,0),MATCH($B$3,daily_items,0)))</f>
        <v>#N/A</v>
      </c>
      <c r="W35" s="1" t="str">
        <f t="array" ref="W35">IF(ISBLANK(INDEX(big_daily_table,MATCH(DATE(W$5,$K35,$J35),daily_dates,0),MATCH($B$3,daily_items,0))),NA(),INDEX(big_daily_table,MATCH(DATE(W$5,$K35,$J35),daily_dates,0),MATCH($B$3,daily_items,0)))</f>
        <v>#N/A</v>
      </c>
      <c r="X35" s="1" t="str">
        <f t="array" ref="X35">IF(ISBLANK(INDEX(big_daily_table,MATCH(DATE(X$5,$K35,$J35),daily_dates,0),MATCH($B$3,daily_items,0))),NA(),INDEX(big_daily_table,MATCH(DATE(X$5,$K35,$J35),daily_dates,0),MATCH($B$3,daily_items,0)))</f>
        <v>#N/A</v>
      </c>
      <c r="Y35" s="1" t="str">
        <f t="array" ref="Y35">IF(ISBLANK(INDEX(big_daily_table,MATCH(DATE(Y$5,$K35,$J35),daily_dates,0),MATCH($B$3,daily_items,0))),NA(),INDEX(big_daily_table,MATCH(DATE(Y$5,$K35,$J35),daily_dates,0),MATCH($B$3,daily_items,0)))</f>
        <v>#N/A</v>
      </c>
      <c r="Z35" s="1" t="str">
        <f t="array" ref="Z35">IF(ISBLANK(INDEX(big_daily_table,MATCH(DATE(Z$5,$K35,$J35),daily_dates,0),MATCH($B$3,daily_items,0))),NA(),INDEX(big_daily_table,MATCH(DATE(Z$5,$K35,$J35),daily_dates,0),MATCH($B$3,daily_items,0)))</f>
        <v>#N/A</v>
      </c>
      <c r="AA35" s="1" t="str">
        <f t="shared" si="5"/>
        <v>#NAME?</v>
      </c>
      <c r="AB35" s="1" t="str">
        <f t="shared" si="6"/>
        <v>#NAME?</v>
      </c>
      <c r="AC35" s="1" t="str">
        <f t="shared" si="7"/>
        <v>#NAME?</v>
      </c>
      <c r="AD35" s="1" t="str">
        <f t="shared" si="8"/>
        <v>#NAME?</v>
      </c>
    </row>
    <row r="36" ht="14.25" customHeight="1">
      <c r="H36" s="1">
        <f t="shared" si="9"/>
        <v>31</v>
      </c>
      <c r="I36" s="1">
        <f>WEEKDAY('daily graphs'!K36)</f>
        <v>2</v>
      </c>
      <c r="J36" s="1">
        <f t="shared" si="2"/>
        <v>29</v>
      </c>
      <c r="K36" s="1">
        <f t="shared" si="3"/>
        <v>1</v>
      </c>
      <c r="L36" s="23">
        <f>'daily graphs'!K36 - I36</f>
        <v>36554</v>
      </c>
      <c r="M36" s="24">
        <f t="shared" si="4"/>
        <v>-1000000</v>
      </c>
      <c r="N36" s="24" t="str">
        <f t="array" ref="N36">IF(M36&gt;0,INDEX(big_daily_table,MATCH(DATE(O$5,$K36,$J36),daily_dates,0),MATCH($B$3,daily_items,0)),NA())</f>
        <v>#N/A</v>
      </c>
      <c r="O36" s="1" t="str">
        <f t="array" ref="O36">IF(M36&lt;0,INDEX(big_daily_table,MATCH(DATE(O$5,$K36,$J36),daily_dates,0),MATCH($B$3,daily_items,0)),NA())</f>
        <v>#N/A</v>
      </c>
      <c r="P36" s="1" t="str">
        <f t="array" ref="P36">IF(ISBLANK(INDEX(big_daily_table,MATCH(DATE(P$5,$K36,$J36),daily_dates,0),MATCH($B$3,daily_items,0))),NA(),INDEX(big_daily_table,MATCH(DATE(P$5,$K36,$J36),daily_dates,0),MATCH($B$3,daily_items,0)))</f>
        <v>#N/A</v>
      </c>
      <c r="Q36" s="1" t="str">
        <f t="array" ref="Q36">IF(ISBLANK(INDEX(big_daily_table,MATCH(DATE(Q$5,$K36,$J36),daily_dates,0),MATCH($B$3,daily_items,0))),NA(),INDEX(big_daily_table,MATCH(DATE(Q$5,$K36,$J36),daily_dates,0),MATCH($B$3,daily_items,0)))</f>
        <v>#N/A</v>
      </c>
      <c r="R36" s="1" t="str">
        <f t="array" ref="R36">IF(ISBLANK(INDEX(big_daily_table,MATCH(DATE(R$5,$K36,$J36),daily_dates,0),MATCH($B$3,daily_items,0))),NA(),INDEX(big_daily_table,MATCH(DATE(R$5,$K36,$J36),daily_dates,0),MATCH($B$3,daily_items,0)))</f>
        <v>#N/A</v>
      </c>
      <c r="S36" s="1" t="str">
        <f t="array" ref="S36">IF(ISBLANK(INDEX(big_daily_table,MATCH(DATE(S$5,$K36,$J36),daily_dates,0),MATCH($B$3,daily_items,0))),NA(),INDEX(big_daily_table,MATCH(DATE(S$5,$K36,$J36),daily_dates,0),MATCH($B$3,daily_items,0)))</f>
        <v>#N/A</v>
      </c>
      <c r="T36" s="1" t="str">
        <f t="array" ref="T36">IF(ISBLANK(INDEX(big_daily_table,MATCH(DATE(T$5,$K36,$J36),daily_dates,0),MATCH($B$3,daily_items,0))),NA(),INDEX(big_daily_table,MATCH(DATE(T$5,$K36,$J36),daily_dates,0),MATCH($B$3,daily_items,0)))</f>
        <v>#N/A</v>
      </c>
      <c r="U36" s="1" t="str">
        <f t="array" ref="U36">IF(ISBLANK(INDEX(big_daily_table,MATCH(DATE(U$5,$K36,$J36),daily_dates,0),MATCH($B$3,daily_items,0))),NA(),INDEX(big_daily_table,MATCH(DATE(U$5,$K36,$J36),daily_dates,0),MATCH($B$3,daily_items,0)))</f>
        <v>#N/A</v>
      </c>
      <c r="V36" s="1" t="str">
        <f t="array" ref="V36">IF(ISBLANK(INDEX(big_daily_table,MATCH(DATE(V$5,$K36,$J36),daily_dates,0),MATCH($B$3,daily_items,0))),NA(),INDEX(big_daily_table,MATCH(DATE(V$5,$K36,$J36),daily_dates,0),MATCH($B$3,daily_items,0)))</f>
        <v>#N/A</v>
      </c>
      <c r="W36" s="1" t="str">
        <f t="array" ref="W36">IF(ISBLANK(INDEX(big_daily_table,MATCH(DATE(W$5,$K36,$J36),daily_dates,0),MATCH($B$3,daily_items,0))),NA(),INDEX(big_daily_table,MATCH(DATE(W$5,$K36,$J36),daily_dates,0),MATCH($B$3,daily_items,0)))</f>
        <v>#N/A</v>
      </c>
      <c r="X36" s="1" t="str">
        <f t="array" ref="X36">IF(ISBLANK(INDEX(big_daily_table,MATCH(DATE(X$5,$K36,$J36),daily_dates,0),MATCH($B$3,daily_items,0))),NA(),INDEX(big_daily_table,MATCH(DATE(X$5,$K36,$J36),daily_dates,0),MATCH($B$3,daily_items,0)))</f>
        <v>#N/A</v>
      </c>
      <c r="Y36" s="1" t="str">
        <f t="array" ref="Y36">IF(ISBLANK(INDEX(big_daily_table,MATCH(DATE(Y$5,$K36,$J36),daily_dates,0),MATCH($B$3,daily_items,0))),NA(),INDEX(big_daily_table,MATCH(DATE(Y$5,$K36,$J36),daily_dates,0),MATCH($B$3,daily_items,0)))</f>
        <v>#N/A</v>
      </c>
      <c r="Z36" s="1" t="str">
        <f t="array" ref="Z36">IF(ISBLANK(INDEX(big_daily_table,MATCH(DATE(Z$5,$K36,$J36),daily_dates,0),MATCH($B$3,daily_items,0))),NA(),INDEX(big_daily_table,MATCH(DATE(Z$5,$K36,$J36),daily_dates,0),MATCH($B$3,daily_items,0)))</f>
        <v>#N/A</v>
      </c>
      <c r="AA36" s="1" t="str">
        <f t="shared" si="5"/>
        <v>#NAME?</v>
      </c>
      <c r="AB36" s="1" t="str">
        <f t="shared" si="6"/>
        <v>#NAME?</v>
      </c>
      <c r="AC36" s="1" t="str">
        <f t="shared" si="7"/>
        <v>#NAME?</v>
      </c>
      <c r="AD36" s="1" t="str">
        <f t="shared" si="8"/>
        <v>#NAME?</v>
      </c>
    </row>
    <row r="37" ht="14.25" customHeight="1">
      <c r="H37" s="1">
        <f t="shared" si="9"/>
        <v>32</v>
      </c>
      <c r="I37" s="1">
        <f>WEEKDAY('daily graphs'!K37)</f>
        <v>3</v>
      </c>
      <c r="J37" s="1">
        <f t="shared" si="2"/>
        <v>29</v>
      </c>
      <c r="K37" s="1">
        <f t="shared" si="3"/>
        <v>1</v>
      </c>
      <c r="L37" s="23">
        <f>'daily graphs'!K37 - I37</f>
        <v>36554</v>
      </c>
      <c r="M37" s="24">
        <f t="shared" si="4"/>
        <v>-1000000</v>
      </c>
      <c r="N37" s="24" t="str">
        <f t="array" ref="N37">IF(M37&gt;0,INDEX(big_daily_table,MATCH(DATE(O$5,$K37,$J37),daily_dates,0),MATCH($B$3,daily_items,0)),NA())</f>
        <v>#N/A</v>
      </c>
      <c r="O37" s="1" t="str">
        <f t="array" ref="O37">IF(M37&lt;0,INDEX(big_daily_table,MATCH(DATE(O$5,$K37,$J37),daily_dates,0),MATCH($B$3,daily_items,0)),NA())</f>
        <v>#N/A</v>
      </c>
      <c r="P37" s="1" t="str">
        <f t="array" ref="P37">IF(ISBLANK(INDEX(big_daily_table,MATCH(DATE(P$5,$K37,$J37),daily_dates,0),MATCH($B$3,daily_items,0))),NA(),INDEX(big_daily_table,MATCH(DATE(P$5,$K37,$J37),daily_dates,0),MATCH($B$3,daily_items,0)))</f>
        <v>#N/A</v>
      </c>
      <c r="Q37" s="1" t="str">
        <f t="array" ref="Q37">IF(ISBLANK(INDEX(big_daily_table,MATCH(DATE(Q$5,$K37,$J37),daily_dates,0),MATCH($B$3,daily_items,0))),NA(),INDEX(big_daily_table,MATCH(DATE(Q$5,$K37,$J37),daily_dates,0),MATCH($B$3,daily_items,0)))</f>
        <v>#N/A</v>
      </c>
      <c r="R37" s="1" t="str">
        <f t="array" ref="R37">IF(ISBLANK(INDEX(big_daily_table,MATCH(DATE(R$5,$K37,$J37),daily_dates,0),MATCH($B$3,daily_items,0))),NA(),INDEX(big_daily_table,MATCH(DATE(R$5,$K37,$J37),daily_dates,0),MATCH($B$3,daily_items,0)))</f>
        <v>#N/A</v>
      </c>
      <c r="S37" s="1" t="str">
        <f t="array" ref="S37">IF(ISBLANK(INDEX(big_daily_table,MATCH(DATE(S$5,$K37,$J37),daily_dates,0),MATCH($B$3,daily_items,0))),NA(),INDEX(big_daily_table,MATCH(DATE(S$5,$K37,$J37),daily_dates,0),MATCH($B$3,daily_items,0)))</f>
        <v>#N/A</v>
      </c>
      <c r="T37" s="1" t="str">
        <f t="array" ref="T37">IF(ISBLANK(INDEX(big_daily_table,MATCH(DATE(T$5,$K37,$J37),daily_dates,0),MATCH($B$3,daily_items,0))),NA(),INDEX(big_daily_table,MATCH(DATE(T$5,$K37,$J37),daily_dates,0),MATCH($B$3,daily_items,0)))</f>
        <v>#N/A</v>
      </c>
      <c r="U37" s="1" t="str">
        <f t="array" ref="U37">IF(ISBLANK(INDEX(big_daily_table,MATCH(DATE(U$5,$K37,$J37),daily_dates,0),MATCH($B$3,daily_items,0))),NA(),INDEX(big_daily_table,MATCH(DATE(U$5,$K37,$J37),daily_dates,0),MATCH($B$3,daily_items,0)))</f>
        <v>#N/A</v>
      </c>
      <c r="V37" s="1" t="str">
        <f t="array" ref="V37">IF(ISBLANK(INDEX(big_daily_table,MATCH(DATE(V$5,$K37,$J37),daily_dates,0),MATCH($B$3,daily_items,0))),NA(),INDEX(big_daily_table,MATCH(DATE(V$5,$K37,$J37),daily_dates,0),MATCH($B$3,daily_items,0)))</f>
        <v>#N/A</v>
      </c>
      <c r="W37" s="1" t="str">
        <f t="array" ref="W37">IF(ISBLANK(INDEX(big_daily_table,MATCH(DATE(W$5,$K37,$J37),daily_dates,0),MATCH($B$3,daily_items,0))),NA(),INDEX(big_daily_table,MATCH(DATE(W$5,$K37,$J37),daily_dates,0),MATCH($B$3,daily_items,0)))</f>
        <v>#N/A</v>
      </c>
      <c r="X37" s="1" t="str">
        <f t="array" ref="X37">IF(ISBLANK(INDEX(big_daily_table,MATCH(DATE(X$5,$K37,$J37),daily_dates,0),MATCH($B$3,daily_items,0))),NA(),INDEX(big_daily_table,MATCH(DATE(X$5,$K37,$J37),daily_dates,0),MATCH($B$3,daily_items,0)))</f>
        <v>#N/A</v>
      </c>
      <c r="Y37" s="1" t="str">
        <f t="array" ref="Y37">IF(ISBLANK(INDEX(big_daily_table,MATCH(DATE(Y$5,$K37,$J37),daily_dates,0),MATCH($B$3,daily_items,0))),NA(),INDEX(big_daily_table,MATCH(DATE(Y$5,$K37,$J37),daily_dates,0),MATCH($B$3,daily_items,0)))</f>
        <v>#N/A</v>
      </c>
      <c r="Z37" s="1" t="str">
        <f t="array" ref="Z37">IF(ISBLANK(INDEX(big_daily_table,MATCH(DATE(Z$5,$K37,$J37),daily_dates,0),MATCH($B$3,daily_items,0))),NA(),INDEX(big_daily_table,MATCH(DATE(Z$5,$K37,$J37),daily_dates,0),MATCH($B$3,daily_items,0)))</f>
        <v>#N/A</v>
      </c>
      <c r="AA37" s="1" t="str">
        <f t="shared" si="5"/>
        <v>#NAME?</v>
      </c>
      <c r="AB37" s="1" t="str">
        <f t="shared" si="6"/>
        <v>#NAME?</v>
      </c>
      <c r="AC37" s="1" t="str">
        <f t="shared" si="7"/>
        <v>#NAME?</v>
      </c>
      <c r="AD37" s="1" t="str">
        <f t="shared" si="8"/>
        <v>#NAME?</v>
      </c>
    </row>
    <row r="38" ht="14.25" customHeight="1">
      <c r="H38" s="1">
        <f t="shared" si="9"/>
        <v>33</v>
      </c>
      <c r="I38" s="1">
        <f>WEEKDAY('daily graphs'!K38)</f>
        <v>4</v>
      </c>
      <c r="J38" s="1">
        <f t="shared" si="2"/>
        <v>29</v>
      </c>
      <c r="K38" s="1">
        <f t="shared" si="3"/>
        <v>1</v>
      </c>
      <c r="L38" s="23">
        <f>'daily graphs'!K38 - I38</f>
        <v>36554</v>
      </c>
      <c r="M38" s="24">
        <f t="shared" si="4"/>
        <v>-1000000</v>
      </c>
      <c r="N38" s="24" t="str">
        <f t="array" ref="N38">IF(M38&gt;0,INDEX(big_daily_table,MATCH(DATE(O$5,$K38,$J38),daily_dates,0),MATCH($B$3,daily_items,0)),NA())</f>
        <v>#N/A</v>
      </c>
      <c r="O38" s="1" t="str">
        <f t="array" ref="O38">IF(M38&lt;0,INDEX(big_daily_table,MATCH(DATE(O$5,$K38,$J38),daily_dates,0),MATCH($B$3,daily_items,0)),NA())</f>
        <v>#N/A</v>
      </c>
      <c r="P38" s="1" t="str">
        <f t="array" ref="P38">IF(ISBLANK(INDEX(big_daily_table,MATCH(DATE(P$5,$K38,$J38),daily_dates,0),MATCH($B$3,daily_items,0))),NA(),INDEX(big_daily_table,MATCH(DATE(P$5,$K38,$J38),daily_dates,0),MATCH($B$3,daily_items,0)))</f>
        <v>#N/A</v>
      </c>
      <c r="Q38" s="1" t="str">
        <f t="array" ref="Q38">IF(ISBLANK(INDEX(big_daily_table,MATCH(DATE(Q$5,$K38,$J38),daily_dates,0),MATCH($B$3,daily_items,0))),NA(),INDEX(big_daily_table,MATCH(DATE(Q$5,$K38,$J38),daily_dates,0),MATCH($B$3,daily_items,0)))</f>
        <v>#N/A</v>
      </c>
      <c r="R38" s="1" t="str">
        <f t="array" ref="R38">IF(ISBLANK(INDEX(big_daily_table,MATCH(DATE(R$5,$K38,$J38),daily_dates,0),MATCH($B$3,daily_items,0))),NA(),INDEX(big_daily_table,MATCH(DATE(R$5,$K38,$J38),daily_dates,0),MATCH($B$3,daily_items,0)))</f>
        <v>#N/A</v>
      </c>
      <c r="S38" s="1" t="str">
        <f t="array" ref="S38">IF(ISBLANK(INDEX(big_daily_table,MATCH(DATE(S$5,$K38,$J38),daily_dates,0),MATCH($B$3,daily_items,0))),NA(),INDEX(big_daily_table,MATCH(DATE(S$5,$K38,$J38),daily_dates,0),MATCH($B$3,daily_items,0)))</f>
        <v>#N/A</v>
      </c>
      <c r="T38" s="1" t="str">
        <f t="array" ref="T38">IF(ISBLANK(INDEX(big_daily_table,MATCH(DATE(T$5,$K38,$J38),daily_dates,0),MATCH($B$3,daily_items,0))),NA(),INDEX(big_daily_table,MATCH(DATE(T$5,$K38,$J38),daily_dates,0),MATCH($B$3,daily_items,0)))</f>
        <v>#N/A</v>
      </c>
      <c r="U38" s="1" t="str">
        <f t="array" ref="U38">IF(ISBLANK(INDEX(big_daily_table,MATCH(DATE(U$5,$K38,$J38),daily_dates,0),MATCH($B$3,daily_items,0))),NA(),INDEX(big_daily_table,MATCH(DATE(U$5,$K38,$J38),daily_dates,0),MATCH($B$3,daily_items,0)))</f>
        <v>#N/A</v>
      </c>
      <c r="V38" s="1" t="str">
        <f t="array" ref="V38">IF(ISBLANK(INDEX(big_daily_table,MATCH(DATE(V$5,$K38,$J38),daily_dates,0),MATCH($B$3,daily_items,0))),NA(),INDEX(big_daily_table,MATCH(DATE(V$5,$K38,$J38),daily_dates,0),MATCH($B$3,daily_items,0)))</f>
        <v>#N/A</v>
      </c>
      <c r="W38" s="1" t="str">
        <f t="array" ref="W38">IF(ISBLANK(INDEX(big_daily_table,MATCH(DATE(W$5,$K38,$J38),daily_dates,0),MATCH($B$3,daily_items,0))),NA(),INDEX(big_daily_table,MATCH(DATE(W$5,$K38,$J38),daily_dates,0),MATCH($B$3,daily_items,0)))</f>
        <v>#N/A</v>
      </c>
      <c r="X38" s="1" t="str">
        <f t="array" ref="X38">IF(ISBLANK(INDEX(big_daily_table,MATCH(DATE(X$5,$K38,$J38),daily_dates,0),MATCH($B$3,daily_items,0))),NA(),INDEX(big_daily_table,MATCH(DATE(X$5,$K38,$J38),daily_dates,0),MATCH($B$3,daily_items,0)))</f>
        <v>#N/A</v>
      </c>
      <c r="Y38" s="1" t="str">
        <f t="array" ref="Y38">IF(ISBLANK(INDEX(big_daily_table,MATCH(DATE(Y$5,$K38,$J38),daily_dates,0),MATCH($B$3,daily_items,0))),NA(),INDEX(big_daily_table,MATCH(DATE(Y$5,$K38,$J38),daily_dates,0),MATCH($B$3,daily_items,0)))</f>
        <v>#N/A</v>
      </c>
      <c r="Z38" s="1" t="str">
        <f t="array" ref="Z38">IF(ISBLANK(INDEX(big_daily_table,MATCH(DATE(Z$5,$K38,$J38),daily_dates,0),MATCH($B$3,daily_items,0))),NA(),INDEX(big_daily_table,MATCH(DATE(Z$5,$K38,$J38),daily_dates,0),MATCH($B$3,daily_items,0)))</f>
        <v>#N/A</v>
      </c>
      <c r="AA38" s="1" t="str">
        <f t="shared" si="5"/>
        <v>#NAME?</v>
      </c>
      <c r="AB38" s="1" t="str">
        <f t="shared" si="6"/>
        <v>#NAME?</v>
      </c>
      <c r="AC38" s="1" t="str">
        <f t="shared" si="7"/>
        <v>#NAME?</v>
      </c>
      <c r="AD38" s="1" t="str">
        <f t="shared" si="8"/>
        <v>#NAME?</v>
      </c>
    </row>
    <row r="39" ht="14.25" customHeight="1">
      <c r="H39" s="1">
        <f t="shared" si="9"/>
        <v>34</v>
      </c>
      <c r="I39" s="1">
        <f>WEEKDAY('daily graphs'!K39)</f>
        <v>5</v>
      </c>
      <c r="J39" s="1">
        <f t="shared" si="2"/>
        <v>29</v>
      </c>
      <c r="K39" s="1">
        <f t="shared" si="3"/>
        <v>1</v>
      </c>
      <c r="L39" s="23">
        <f>'daily graphs'!K39 - I39</f>
        <v>36554</v>
      </c>
      <c r="M39" s="24">
        <f t="shared" si="4"/>
        <v>-1000000</v>
      </c>
      <c r="N39" s="24" t="str">
        <f t="array" ref="N39">IF(M39&gt;0,INDEX(big_daily_table,MATCH(DATE(O$5,$K39,$J39),daily_dates,0),MATCH($B$3,daily_items,0)),NA())</f>
        <v>#N/A</v>
      </c>
      <c r="O39" s="1" t="str">
        <f t="array" ref="O39">IF(M39&lt;0,INDEX(big_daily_table,MATCH(DATE(O$5,$K39,$J39),daily_dates,0),MATCH($B$3,daily_items,0)),NA())</f>
        <v>#N/A</v>
      </c>
      <c r="P39" s="1" t="str">
        <f t="array" ref="P39">IF(ISBLANK(INDEX(big_daily_table,MATCH(DATE(P$5,$K39,$J39),daily_dates,0),MATCH($B$3,daily_items,0))),NA(),INDEX(big_daily_table,MATCH(DATE(P$5,$K39,$J39),daily_dates,0),MATCH($B$3,daily_items,0)))</f>
        <v>#N/A</v>
      </c>
      <c r="Q39" s="1" t="str">
        <f t="array" ref="Q39">IF(ISBLANK(INDEX(big_daily_table,MATCH(DATE(Q$5,$K39,$J39),daily_dates,0),MATCH($B$3,daily_items,0))),NA(),INDEX(big_daily_table,MATCH(DATE(Q$5,$K39,$J39),daily_dates,0),MATCH($B$3,daily_items,0)))</f>
        <v>#N/A</v>
      </c>
      <c r="R39" s="1" t="str">
        <f t="array" ref="R39">IF(ISBLANK(INDEX(big_daily_table,MATCH(DATE(R$5,$K39,$J39),daily_dates,0),MATCH($B$3,daily_items,0))),NA(),INDEX(big_daily_table,MATCH(DATE(R$5,$K39,$J39),daily_dates,0),MATCH($B$3,daily_items,0)))</f>
        <v>#N/A</v>
      </c>
      <c r="S39" s="1" t="str">
        <f t="array" ref="S39">IF(ISBLANK(INDEX(big_daily_table,MATCH(DATE(S$5,$K39,$J39),daily_dates,0),MATCH($B$3,daily_items,0))),NA(),INDEX(big_daily_table,MATCH(DATE(S$5,$K39,$J39),daily_dates,0),MATCH($B$3,daily_items,0)))</f>
        <v>#N/A</v>
      </c>
      <c r="T39" s="1" t="str">
        <f t="array" ref="T39">IF(ISBLANK(INDEX(big_daily_table,MATCH(DATE(T$5,$K39,$J39),daily_dates,0),MATCH($B$3,daily_items,0))),NA(),INDEX(big_daily_table,MATCH(DATE(T$5,$K39,$J39),daily_dates,0),MATCH($B$3,daily_items,0)))</f>
        <v>#N/A</v>
      </c>
      <c r="U39" s="1" t="str">
        <f t="array" ref="U39">IF(ISBLANK(INDEX(big_daily_table,MATCH(DATE(U$5,$K39,$J39),daily_dates,0),MATCH($B$3,daily_items,0))),NA(),INDEX(big_daily_table,MATCH(DATE(U$5,$K39,$J39),daily_dates,0),MATCH($B$3,daily_items,0)))</f>
        <v>#N/A</v>
      </c>
      <c r="V39" s="1" t="str">
        <f t="array" ref="V39">IF(ISBLANK(INDEX(big_daily_table,MATCH(DATE(V$5,$K39,$J39),daily_dates,0),MATCH($B$3,daily_items,0))),NA(),INDEX(big_daily_table,MATCH(DATE(V$5,$K39,$J39),daily_dates,0),MATCH($B$3,daily_items,0)))</f>
        <v>#N/A</v>
      </c>
      <c r="W39" s="1" t="str">
        <f t="array" ref="W39">IF(ISBLANK(INDEX(big_daily_table,MATCH(DATE(W$5,$K39,$J39),daily_dates,0),MATCH($B$3,daily_items,0))),NA(),INDEX(big_daily_table,MATCH(DATE(W$5,$K39,$J39),daily_dates,0),MATCH($B$3,daily_items,0)))</f>
        <v>#N/A</v>
      </c>
      <c r="X39" s="1" t="str">
        <f t="array" ref="X39">IF(ISBLANK(INDEX(big_daily_table,MATCH(DATE(X$5,$K39,$J39),daily_dates,0),MATCH($B$3,daily_items,0))),NA(),INDEX(big_daily_table,MATCH(DATE(X$5,$K39,$J39),daily_dates,0),MATCH($B$3,daily_items,0)))</f>
        <v>#N/A</v>
      </c>
      <c r="Y39" s="1" t="str">
        <f t="array" ref="Y39">IF(ISBLANK(INDEX(big_daily_table,MATCH(DATE(Y$5,$K39,$J39),daily_dates,0),MATCH($B$3,daily_items,0))),NA(),INDEX(big_daily_table,MATCH(DATE(Y$5,$K39,$J39),daily_dates,0),MATCH($B$3,daily_items,0)))</f>
        <v>#N/A</v>
      </c>
      <c r="Z39" s="1" t="str">
        <f t="array" ref="Z39">IF(ISBLANK(INDEX(big_daily_table,MATCH(DATE(Z$5,$K39,$J39),daily_dates,0),MATCH($B$3,daily_items,0))),NA(),INDEX(big_daily_table,MATCH(DATE(Z$5,$K39,$J39),daily_dates,0),MATCH($B$3,daily_items,0)))</f>
        <v>#N/A</v>
      </c>
      <c r="AA39" s="1" t="str">
        <f t="shared" si="5"/>
        <v>#NAME?</v>
      </c>
      <c r="AB39" s="1" t="str">
        <f t="shared" si="6"/>
        <v>#NAME?</v>
      </c>
      <c r="AC39" s="1" t="str">
        <f t="shared" si="7"/>
        <v>#NAME?</v>
      </c>
      <c r="AD39" s="1" t="str">
        <f t="shared" si="8"/>
        <v>#NAME?</v>
      </c>
    </row>
    <row r="40" ht="14.25" customHeight="1">
      <c r="H40" s="1">
        <f t="shared" si="9"/>
        <v>35</v>
      </c>
      <c r="I40" s="1">
        <f>WEEKDAY('daily graphs'!K40)</f>
        <v>6</v>
      </c>
      <c r="J40" s="1">
        <f t="shared" si="2"/>
        <v>29</v>
      </c>
      <c r="K40" s="1">
        <f t="shared" si="3"/>
        <v>1</v>
      </c>
      <c r="L40" s="23">
        <f>'daily graphs'!K40 - I40</f>
        <v>36554</v>
      </c>
      <c r="M40" s="24">
        <f t="shared" si="4"/>
        <v>-1000000</v>
      </c>
      <c r="N40" s="24" t="str">
        <f t="array" ref="N40">IF(M40&gt;0,INDEX(big_daily_table,MATCH(DATE(O$5,$K40,$J40),daily_dates,0),MATCH($B$3,daily_items,0)),NA())</f>
        <v>#N/A</v>
      </c>
      <c r="O40" s="1" t="str">
        <f t="array" ref="O40">IF(M40&lt;0,INDEX(big_daily_table,MATCH(DATE(O$5,$K40,$J40),daily_dates,0),MATCH($B$3,daily_items,0)),NA())</f>
        <v>#N/A</v>
      </c>
      <c r="P40" s="1" t="str">
        <f t="array" ref="P40">IF(ISBLANK(INDEX(big_daily_table,MATCH(DATE(P$5,$K40,$J40),daily_dates,0),MATCH($B$3,daily_items,0))),NA(),INDEX(big_daily_table,MATCH(DATE(P$5,$K40,$J40),daily_dates,0),MATCH($B$3,daily_items,0)))</f>
        <v>#N/A</v>
      </c>
      <c r="Q40" s="1" t="str">
        <f t="array" ref="Q40">IF(ISBLANK(INDEX(big_daily_table,MATCH(DATE(Q$5,$K40,$J40),daily_dates,0),MATCH($B$3,daily_items,0))),NA(),INDEX(big_daily_table,MATCH(DATE(Q$5,$K40,$J40),daily_dates,0),MATCH($B$3,daily_items,0)))</f>
        <v>#N/A</v>
      </c>
      <c r="R40" s="1" t="str">
        <f t="array" ref="R40">IF(ISBLANK(INDEX(big_daily_table,MATCH(DATE(R$5,$K40,$J40),daily_dates,0),MATCH($B$3,daily_items,0))),NA(),INDEX(big_daily_table,MATCH(DATE(R$5,$K40,$J40),daily_dates,0),MATCH($B$3,daily_items,0)))</f>
        <v>#N/A</v>
      </c>
      <c r="S40" s="1" t="str">
        <f t="array" ref="S40">IF(ISBLANK(INDEX(big_daily_table,MATCH(DATE(S$5,$K40,$J40),daily_dates,0),MATCH($B$3,daily_items,0))),NA(),INDEX(big_daily_table,MATCH(DATE(S$5,$K40,$J40),daily_dates,0),MATCH($B$3,daily_items,0)))</f>
        <v>#N/A</v>
      </c>
      <c r="T40" s="1" t="str">
        <f t="array" ref="T40">IF(ISBLANK(INDEX(big_daily_table,MATCH(DATE(T$5,$K40,$J40),daily_dates,0),MATCH($B$3,daily_items,0))),NA(),INDEX(big_daily_table,MATCH(DATE(T$5,$K40,$J40),daily_dates,0),MATCH($B$3,daily_items,0)))</f>
        <v>#N/A</v>
      </c>
      <c r="U40" s="1" t="str">
        <f t="array" ref="U40">IF(ISBLANK(INDEX(big_daily_table,MATCH(DATE(U$5,$K40,$J40),daily_dates,0),MATCH($B$3,daily_items,0))),NA(),INDEX(big_daily_table,MATCH(DATE(U$5,$K40,$J40),daily_dates,0),MATCH($B$3,daily_items,0)))</f>
        <v>#N/A</v>
      </c>
      <c r="V40" s="1" t="str">
        <f t="array" ref="V40">IF(ISBLANK(INDEX(big_daily_table,MATCH(DATE(V$5,$K40,$J40),daily_dates,0),MATCH($B$3,daily_items,0))),NA(),INDEX(big_daily_table,MATCH(DATE(V$5,$K40,$J40),daily_dates,0),MATCH($B$3,daily_items,0)))</f>
        <v>#N/A</v>
      </c>
      <c r="W40" s="1" t="str">
        <f t="array" ref="W40">IF(ISBLANK(INDEX(big_daily_table,MATCH(DATE(W$5,$K40,$J40),daily_dates,0),MATCH($B$3,daily_items,0))),NA(),INDEX(big_daily_table,MATCH(DATE(W$5,$K40,$J40),daily_dates,0),MATCH($B$3,daily_items,0)))</f>
        <v>#N/A</v>
      </c>
      <c r="X40" s="1" t="str">
        <f t="array" ref="X40">IF(ISBLANK(INDEX(big_daily_table,MATCH(DATE(X$5,$K40,$J40),daily_dates,0),MATCH($B$3,daily_items,0))),NA(),INDEX(big_daily_table,MATCH(DATE(X$5,$K40,$J40),daily_dates,0),MATCH($B$3,daily_items,0)))</f>
        <v>#N/A</v>
      </c>
      <c r="Y40" s="1" t="str">
        <f t="array" ref="Y40">IF(ISBLANK(INDEX(big_daily_table,MATCH(DATE(Y$5,$K40,$J40),daily_dates,0),MATCH($B$3,daily_items,0))),NA(),INDEX(big_daily_table,MATCH(DATE(Y$5,$K40,$J40),daily_dates,0),MATCH($B$3,daily_items,0)))</f>
        <v>#N/A</v>
      </c>
      <c r="Z40" s="1" t="str">
        <f t="array" ref="Z40">IF(ISBLANK(INDEX(big_daily_table,MATCH(DATE(Z$5,$K40,$J40),daily_dates,0),MATCH($B$3,daily_items,0))),NA(),INDEX(big_daily_table,MATCH(DATE(Z$5,$K40,$J40),daily_dates,0),MATCH($B$3,daily_items,0)))</f>
        <v>#N/A</v>
      </c>
      <c r="AA40" s="1" t="str">
        <f t="shared" si="5"/>
        <v>#NAME?</v>
      </c>
      <c r="AB40" s="1" t="str">
        <f t="shared" si="6"/>
        <v>#NAME?</v>
      </c>
      <c r="AC40" s="1" t="str">
        <f t="shared" si="7"/>
        <v>#NAME?</v>
      </c>
      <c r="AD40" s="1" t="str">
        <f t="shared" si="8"/>
        <v>#NAME?</v>
      </c>
    </row>
    <row r="41" ht="14.25" customHeight="1">
      <c r="H41" s="1">
        <f t="shared" si="9"/>
        <v>36</v>
      </c>
      <c r="I41" s="1">
        <f>WEEKDAY('daily graphs'!K41)</f>
        <v>7</v>
      </c>
      <c r="J41" s="1">
        <f t="shared" si="2"/>
        <v>29</v>
      </c>
      <c r="K41" s="1">
        <f t="shared" si="3"/>
        <v>1</v>
      </c>
      <c r="L41" s="23">
        <f>'daily graphs'!K41 - I41</f>
        <v>36554</v>
      </c>
      <c r="M41" s="24">
        <f t="shared" si="4"/>
        <v>-1000000</v>
      </c>
      <c r="N41" s="24" t="str">
        <f t="array" ref="N41">IF(M41&gt;0,INDEX(big_daily_table,MATCH(DATE(O$5,$K41,$J41),daily_dates,0),MATCH($B$3,daily_items,0)),NA())</f>
        <v>#N/A</v>
      </c>
      <c r="O41" s="1" t="str">
        <f t="array" ref="O41">IF(M41&lt;0,INDEX(big_daily_table,MATCH(DATE(O$5,$K41,$J41),daily_dates,0),MATCH($B$3,daily_items,0)),NA())</f>
        <v>#N/A</v>
      </c>
      <c r="P41" s="1" t="str">
        <f t="array" ref="P41">IF(ISBLANK(INDEX(big_daily_table,MATCH(DATE(P$5,$K41,$J41),daily_dates,0),MATCH($B$3,daily_items,0))),NA(),INDEX(big_daily_table,MATCH(DATE(P$5,$K41,$J41),daily_dates,0),MATCH($B$3,daily_items,0)))</f>
        <v>#N/A</v>
      </c>
      <c r="Q41" s="1" t="str">
        <f t="array" ref="Q41">IF(ISBLANK(INDEX(big_daily_table,MATCH(DATE(Q$5,$K41,$J41),daily_dates,0),MATCH($B$3,daily_items,0))),NA(),INDEX(big_daily_table,MATCH(DATE(Q$5,$K41,$J41),daily_dates,0),MATCH($B$3,daily_items,0)))</f>
        <v>#N/A</v>
      </c>
      <c r="R41" s="1" t="str">
        <f t="array" ref="R41">IF(ISBLANK(INDEX(big_daily_table,MATCH(DATE(R$5,$K41,$J41),daily_dates,0),MATCH($B$3,daily_items,0))),NA(),INDEX(big_daily_table,MATCH(DATE(R$5,$K41,$J41),daily_dates,0),MATCH($B$3,daily_items,0)))</f>
        <v>#N/A</v>
      </c>
      <c r="S41" s="1" t="str">
        <f t="array" ref="S41">IF(ISBLANK(INDEX(big_daily_table,MATCH(DATE(S$5,$K41,$J41),daily_dates,0),MATCH($B$3,daily_items,0))),NA(),INDEX(big_daily_table,MATCH(DATE(S$5,$K41,$J41),daily_dates,0),MATCH($B$3,daily_items,0)))</f>
        <v>#N/A</v>
      </c>
      <c r="T41" s="1" t="str">
        <f t="array" ref="T41">IF(ISBLANK(INDEX(big_daily_table,MATCH(DATE(T$5,$K41,$J41),daily_dates,0),MATCH($B$3,daily_items,0))),NA(),INDEX(big_daily_table,MATCH(DATE(T$5,$K41,$J41),daily_dates,0),MATCH($B$3,daily_items,0)))</f>
        <v>#N/A</v>
      </c>
      <c r="U41" s="1" t="str">
        <f t="array" ref="U41">IF(ISBLANK(INDEX(big_daily_table,MATCH(DATE(U$5,$K41,$J41),daily_dates,0),MATCH($B$3,daily_items,0))),NA(),INDEX(big_daily_table,MATCH(DATE(U$5,$K41,$J41),daily_dates,0),MATCH($B$3,daily_items,0)))</f>
        <v>#N/A</v>
      </c>
      <c r="V41" s="1" t="str">
        <f t="array" ref="V41">IF(ISBLANK(INDEX(big_daily_table,MATCH(DATE(V$5,$K41,$J41),daily_dates,0),MATCH($B$3,daily_items,0))),NA(),INDEX(big_daily_table,MATCH(DATE(V$5,$K41,$J41),daily_dates,0),MATCH($B$3,daily_items,0)))</f>
        <v>#N/A</v>
      </c>
      <c r="W41" s="1" t="str">
        <f t="array" ref="W41">IF(ISBLANK(INDEX(big_daily_table,MATCH(DATE(W$5,$K41,$J41),daily_dates,0),MATCH($B$3,daily_items,0))),NA(),INDEX(big_daily_table,MATCH(DATE(W$5,$K41,$J41),daily_dates,0),MATCH($B$3,daily_items,0)))</f>
        <v>#N/A</v>
      </c>
      <c r="X41" s="1" t="str">
        <f t="array" ref="X41">IF(ISBLANK(INDEX(big_daily_table,MATCH(DATE(X$5,$K41,$J41),daily_dates,0),MATCH($B$3,daily_items,0))),NA(),INDEX(big_daily_table,MATCH(DATE(X$5,$K41,$J41),daily_dates,0),MATCH($B$3,daily_items,0)))</f>
        <v>#N/A</v>
      </c>
      <c r="Y41" s="1" t="str">
        <f t="array" ref="Y41">IF(ISBLANK(INDEX(big_daily_table,MATCH(DATE(Y$5,$K41,$J41),daily_dates,0),MATCH($B$3,daily_items,0))),NA(),INDEX(big_daily_table,MATCH(DATE(Y$5,$K41,$J41),daily_dates,0),MATCH($B$3,daily_items,0)))</f>
        <v>#N/A</v>
      </c>
      <c r="Z41" s="1" t="str">
        <f t="array" ref="Z41">IF(ISBLANK(INDEX(big_daily_table,MATCH(DATE(Z$5,$K41,$J41),daily_dates,0),MATCH($B$3,daily_items,0))),NA(),INDEX(big_daily_table,MATCH(DATE(Z$5,$K41,$J41),daily_dates,0),MATCH($B$3,daily_items,0)))</f>
        <v>#N/A</v>
      </c>
      <c r="AA41" s="1" t="str">
        <f t="shared" si="5"/>
        <v>#NAME?</v>
      </c>
      <c r="AB41" s="1" t="str">
        <f t="shared" si="6"/>
        <v>#NAME?</v>
      </c>
      <c r="AC41" s="1" t="str">
        <f t="shared" si="7"/>
        <v>#NAME?</v>
      </c>
      <c r="AD41" s="1" t="str">
        <f t="shared" si="8"/>
        <v>#NAME?</v>
      </c>
    </row>
    <row r="42" ht="14.25" customHeight="1">
      <c r="H42" s="1">
        <f t="shared" si="9"/>
        <v>37</v>
      </c>
      <c r="I42" s="1">
        <f>WEEKDAY('daily graphs'!K42)</f>
        <v>1</v>
      </c>
      <c r="J42" s="1">
        <f t="shared" si="2"/>
        <v>5</v>
      </c>
      <c r="K42" s="1">
        <f t="shared" si="3"/>
        <v>2</v>
      </c>
      <c r="L42" s="23">
        <f>'daily graphs'!K42 - I42</f>
        <v>36561</v>
      </c>
      <c r="M42" s="24">
        <f t="shared" si="4"/>
        <v>-1000000</v>
      </c>
      <c r="N42" s="24" t="str">
        <f t="array" ref="N42">IF(M42&gt;0,INDEX(big_daily_table,MATCH(DATE(O$5,$K42,$J42),daily_dates,0),MATCH($B$3,daily_items,0)),NA())</f>
        <v>#N/A</v>
      </c>
      <c r="O42" s="1" t="str">
        <f t="array" ref="O42">IF(M42&lt;0,INDEX(big_daily_table,MATCH(DATE(O$5,$K42,$J42),daily_dates,0),MATCH($B$3,daily_items,0)),NA())</f>
        <v>#N/A</v>
      </c>
      <c r="P42" s="1" t="str">
        <f t="array" ref="P42">IF(ISBLANK(INDEX(big_daily_table,MATCH(DATE(P$5,$K42,$J42),daily_dates,0),MATCH($B$3,daily_items,0))),NA(),INDEX(big_daily_table,MATCH(DATE(P$5,$K42,$J42),daily_dates,0),MATCH($B$3,daily_items,0)))</f>
        <v>#N/A</v>
      </c>
      <c r="Q42" s="1" t="str">
        <f t="array" ref="Q42">IF(ISBLANK(INDEX(big_daily_table,MATCH(DATE(Q$5,$K42,$J42),daily_dates,0),MATCH($B$3,daily_items,0))),NA(),INDEX(big_daily_table,MATCH(DATE(Q$5,$K42,$J42),daily_dates,0),MATCH($B$3,daily_items,0)))</f>
        <v>#N/A</v>
      </c>
      <c r="R42" s="1" t="str">
        <f t="array" ref="R42">IF(ISBLANK(INDEX(big_daily_table,MATCH(DATE(R$5,$K42,$J42),daily_dates,0),MATCH($B$3,daily_items,0))),NA(),INDEX(big_daily_table,MATCH(DATE(R$5,$K42,$J42),daily_dates,0),MATCH($B$3,daily_items,0)))</f>
        <v>#N/A</v>
      </c>
      <c r="S42" s="1" t="str">
        <f t="array" ref="S42">IF(ISBLANK(INDEX(big_daily_table,MATCH(DATE(S$5,$K42,$J42),daily_dates,0),MATCH($B$3,daily_items,0))),NA(),INDEX(big_daily_table,MATCH(DATE(S$5,$K42,$J42),daily_dates,0),MATCH($B$3,daily_items,0)))</f>
        <v>#N/A</v>
      </c>
      <c r="T42" s="1" t="str">
        <f t="array" ref="T42">IF(ISBLANK(INDEX(big_daily_table,MATCH(DATE(T$5,$K42,$J42),daily_dates,0),MATCH($B$3,daily_items,0))),NA(),INDEX(big_daily_table,MATCH(DATE(T$5,$K42,$J42),daily_dates,0),MATCH($B$3,daily_items,0)))</f>
        <v>#N/A</v>
      </c>
      <c r="U42" s="1" t="str">
        <f t="array" ref="U42">IF(ISBLANK(INDEX(big_daily_table,MATCH(DATE(U$5,$K42,$J42),daily_dates,0),MATCH($B$3,daily_items,0))),NA(),INDEX(big_daily_table,MATCH(DATE(U$5,$K42,$J42),daily_dates,0),MATCH($B$3,daily_items,0)))</f>
        <v>#N/A</v>
      </c>
      <c r="V42" s="1" t="str">
        <f t="array" ref="V42">IF(ISBLANK(INDEX(big_daily_table,MATCH(DATE(V$5,$K42,$J42),daily_dates,0),MATCH($B$3,daily_items,0))),NA(),INDEX(big_daily_table,MATCH(DATE(V$5,$K42,$J42),daily_dates,0),MATCH($B$3,daily_items,0)))</f>
        <v>#N/A</v>
      </c>
      <c r="W42" s="1" t="str">
        <f t="array" ref="W42">IF(ISBLANK(INDEX(big_daily_table,MATCH(DATE(W$5,$K42,$J42),daily_dates,0),MATCH($B$3,daily_items,0))),NA(),INDEX(big_daily_table,MATCH(DATE(W$5,$K42,$J42),daily_dates,0),MATCH($B$3,daily_items,0)))</f>
        <v>#N/A</v>
      </c>
      <c r="X42" s="1" t="str">
        <f t="array" ref="X42">IF(ISBLANK(INDEX(big_daily_table,MATCH(DATE(X$5,$K42,$J42),daily_dates,0),MATCH($B$3,daily_items,0))),NA(),INDEX(big_daily_table,MATCH(DATE(X$5,$K42,$J42),daily_dates,0),MATCH($B$3,daily_items,0)))</f>
        <v>#N/A</v>
      </c>
      <c r="Y42" s="1" t="str">
        <f t="array" ref="Y42">IF(ISBLANK(INDEX(big_daily_table,MATCH(DATE(Y$5,$K42,$J42),daily_dates,0),MATCH($B$3,daily_items,0))),NA(),INDEX(big_daily_table,MATCH(DATE(Y$5,$K42,$J42),daily_dates,0),MATCH($B$3,daily_items,0)))</f>
        <v>#N/A</v>
      </c>
      <c r="Z42" s="1" t="str">
        <f t="array" ref="Z42">IF(ISBLANK(INDEX(big_daily_table,MATCH(DATE(Z$5,$K42,$J42),daily_dates,0),MATCH($B$3,daily_items,0))),NA(),INDEX(big_daily_table,MATCH(DATE(Z$5,$K42,$J42),daily_dates,0),MATCH($B$3,daily_items,0)))</f>
        <v>#N/A</v>
      </c>
      <c r="AA42" s="1" t="str">
        <f t="shared" si="5"/>
        <v>#NAME?</v>
      </c>
      <c r="AB42" s="1" t="str">
        <f t="shared" si="6"/>
        <v>#NAME?</v>
      </c>
      <c r="AC42" s="1" t="str">
        <f t="shared" si="7"/>
        <v>#NAME?</v>
      </c>
      <c r="AD42" s="1" t="str">
        <f t="shared" si="8"/>
        <v>#NAME?</v>
      </c>
    </row>
    <row r="43" ht="14.25" customHeight="1">
      <c r="H43" s="1">
        <f t="shared" si="9"/>
        <v>38</v>
      </c>
      <c r="I43" s="1">
        <f>WEEKDAY('daily graphs'!K43)</f>
        <v>2</v>
      </c>
      <c r="J43" s="1">
        <f t="shared" si="2"/>
        <v>5</v>
      </c>
      <c r="K43" s="1">
        <f t="shared" si="3"/>
        <v>2</v>
      </c>
      <c r="L43" s="23">
        <f>'daily graphs'!K43 - I43</f>
        <v>36561</v>
      </c>
      <c r="M43" s="24">
        <f t="shared" si="4"/>
        <v>-1000000</v>
      </c>
      <c r="N43" s="24" t="str">
        <f t="array" ref="N43">IF(M43&gt;0,INDEX(big_daily_table,MATCH(DATE(O$5,$K43,$J43),daily_dates,0),MATCH($B$3,daily_items,0)),NA())</f>
        <v>#N/A</v>
      </c>
      <c r="O43" s="1" t="str">
        <f t="array" ref="O43">IF(M43&lt;0,INDEX(big_daily_table,MATCH(DATE(O$5,$K43,$J43),daily_dates,0),MATCH($B$3,daily_items,0)),NA())</f>
        <v>#N/A</v>
      </c>
      <c r="P43" s="1" t="str">
        <f t="array" ref="P43">IF(ISBLANK(INDEX(big_daily_table,MATCH(DATE(P$5,$K43,$J43),daily_dates,0),MATCH($B$3,daily_items,0))),NA(),INDEX(big_daily_table,MATCH(DATE(P$5,$K43,$J43),daily_dates,0),MATCH($B$3,daily_items,0)))</f>
        <v>#N/A</v>
      </c>
      <c r="Q43" s="1" t="str">
        <f t="array" ref="Q43">IF(ISBLANK(INDEX(big_daily_table,MATCH(DATE(Q$5,$K43,$J43),daily_dates,0),MATCH($B$3,daily_items,0))),NA(),INDEX(big_daily_table,MATCH(DATE(Q$5,$K43,$J43),daily_dates,0),MATCH($B$3,daily_items,0)))</f>
        <v>#N/A</v>
      </c>
      <c r="R43" s="1" t="str">
        <f t="array" ref="R43">IF(ISBLANK(INDEX(big_daily_table,MATCH(DATE(R$5,$K43,$J43),daily_dates,0),MATCH($B$3,daily_items,0))),NA(),INDEX(big_daily_table,MATCH(DATE(R$5,$K43,$J43),daily_dates,0),MATCH($B$3,daily_items,0)))</f>
        <v>#N/A</v>
      </c>
      <c r="S43" s="1" t="str">
        <f t="array" ref="S43">IF(ISBLANK(INDEX(big_daily_table,MATCH(DATE(S$5,$K43,$J43),daily_dates,0),MATCH($B$3,daily_items,0))),NA(),INDEX(big_daily_table,MATCH(DATE(S$5,$K43,$J43),daily_dates,0),MATCH($B$3,daily_items,0)))</f>
        <v>#N/A</v>
      </c>
      <c r="T43" s="1" t="str">
        <f t="array" ref="T43">IF(ISBLANK(INDEX(big_daily_table,MATCH(DATE(T$5,$K43,$J43),daily_dates,0),MATCH($B$3,daily_items,0))),NA(),INDEX(big_daily_table,MATCH(DATE(T$5,$K43,$J43),daily_dates,0),MATCH($B$3,daily_items,0)))</f>
        <v>#N/A</v>
      </c>
      <c r="U43" s="1" t="str">
        <f t="array" ref="U43">IF(ISBLANK(INDEX(big_daily_table,MATCH(DATE(U$5,$K43,$J43),daily_dates,0),MATCH($B$3,daily_items,0))),NA(),INDEX(big_daily_table,MATCH(DATE(U$5,$K43,$J43),daily_dates,0),MATCH($B$3,daily_items,0)))</f>
        <v>#N/A</v>
      </c>
      <c r="V43" s="1" t="str">
        <f t="array" ref="V43">IF(ISBLANK(INDEX(big_daily_table,MATCH(DATE(V$5,$K43,$J43),daily_dates,0),MATCH($B$3,daily_items,0))),NA(),INDEX(big_daily_table,MATCH(DATE(V$5,$K43,$J43),daily_dates,0),MATCH($B$3,daily_items,0)))</f>
        <v>#N/A</v>
      </c>
      <c r="W43" s="1" t="str">
        <f t="array" ref="W43">IF(ISBLANK(INDEX(big_daily_table,MATCH(DATE(W$5,$K43,$J43),daily_dates,0),MATCH($B$3,daily_items,0))),NA(),INDEX(big_daily_table,MATCH(DATE(W$5,$K43,$J43),daily_dates,0),MATCH($B$3,daily_items,0)))</f>
        <v>#N/A</v>
      </c>
      <c r="X43" s="1" t="str">
        <f t="array" ref="X43">IF(ISBLANK(INDEX(big_daily_table,MATCH(DATE(X$5,$K43,$J43),daily_dates,0),MATCH($B$3,daily_items,0))),NA(),INDEX(big_daily_table,MATCH(DATE(X$5,$K43,$J43),daily_dates,0),MATCH($B$3,daily_items,0)))</f>
        <v>#N/A</v>
      </c>
      <c r="Y43" s="1" t="str">
        <f t="array" ref="Y43">IF(ISBLANK(INDEX(big_daily_table,MATCH(DATE(Y$5,$K43,$J43),daily_dates,0),MATCH($B$3,daily_items,0))),NA(),INDEX(big_daily_table,MATCH(DATE(Y$5,$K43,$J43),daily_dates,0),MATCH($B$3,daily_items,0)))</f>
        <v>#N/A</v>
      </c>
      <c r="Z43" s="1" t="str">
        <f t="array" ref="Z43">IF(ISBLANK(INDEX(big_daily_table,MATCH(DATE(Z$5,$K43,$J43),daily_dates,0),MATCH($B$3,daily_items,0))),NA(),INDEX(big_daily_table,MATCH(DATE(Z$5,$K43,$J43),daily_dates,0),MATCH($B$3,daily_items,0)))</f>
        <v>#N/A</v>
      </c>
      <c r="AA43" s="1" t="str">
        <f t="shared" si="5"/>
        <v>#NAME?</v>
      </c>
      <c r="AB43" s="1" t="str">
        <f t="shared" si="6"/>
        <v>#NAME?</v>
      </c>
      <c r="AC43" s="1" t="str">
        <f t="shared" si="7"/>
        <v>#NAME?</v>
      </c>
      <c r="AD43" s="1" t="str">
        <f t="shared" si="8"/>
        <v>#NAME?</v>
      </c>
    </row>
    <row r="44" ht="14.25" customHeight="1">
      <c r="H44" s="1">
        <f t="shared" si="9"/>
        <v>39</v>
      </c>
      <c r="I44" s="1">
        <f>WEEKDAY('daily graphs'!K44)</f>
        <v>3</v>
      </c>
      <c r="J44" s="1">
        <f t="shared" si="2"/>
        <v>5</v>
      </c>
      <c r="K44" s="1">
        <f t="shared" si="3"/>
        <v>2</v>
      </c>
      <c r="L44" s="23">
        <f>'daily graphs'!K44 - I44</f>
        <v>36561</v>
      </c>
      <c r="M44" s="24">
        <f t="shared" si="4"/>
        <v>-1000000</v>
      </c>
      <c r="N44" s="24" t="str">
        <f t="array" ref="N44">IF(M44&gt;0,INDEX(big_daily_table,MATCH(DATE(O$5,$K44,$J44),daily_dates,0),MATCH($B$3,daily_items,0)),NA())</f>
        <v>#N/A</v>
      </c>
      <c r="O44" s="1" t="str">
        <f t="array" ref="O44">IF(M44&lt;0,INDEX(big_daily_table,MATCH(DATE(O$5,$K44,$J44),daily_dates,0),MATCH($B$3,daily_items,0)),NA())</f>
        <v>#N/A</v>
      </c>
      <c r="P44" s="1" t="str">
        <f t="array" ref="P44">IF(ISBLANK(INDEX(big_daily_table,MATCH(DATE(P$5,$K44,$J44),daily_dates,0),MATCH($B$3,daily_items,0))),NA(),INDEX(big_daily_table,MATCH(DATE(P$5,$K44,$J44),daily_dates,0),MATCH($B$3,daily_items,0)))</f>
        <v>#N/A</v>
      </c>
      <c r="Q44" s="1" t="str">
        <f t="array" ref="Q44">IF(ISBLANK(INDEX(big_daily_table,MATCH(DATE(Q$5,$K44,$J44),daily_dates,0),MATCH($B$3,daily_items,0))),NA(),INDEX(big_daily_table,MATCH(DATE(Q$5,$K44,$J44),daily_dates,0),MATCH($B$3,daily_items,0)))</f>
        <v>#N/A</v>
      </c>
      <c r="R44" s="1" t="str">
        <f t="array" ref="R44">IF(ISBLANK(INDEX(big_daily_table,MATCH(DATE(R$5,$K44,$J44),daily_dates,0),MATCH($B$3,daily_items,0))),NA(),INDEX(big_daily_table,MATCH(DATE(R$5,$K44,$J44),daily_dates,0),MATCH($B$3,daily_items,0)))</f>
        <v>#N/A</v>
      </c>
      <c r="S44" s="1" t="str">
        <f t="array" ref="S44">IF(ISBLANK(INDEX(big_daily_table,MATCH(DATE(S$5,$K44,$J44),daily_dates,0),MATCH($B$3,daily_items,0))),NA(),INDEX(big_daily_table,MATCH(DATE(S$5,$K44,$J44),daily_dates,0),MATCH($B$3,daily_items,0)))</f>
        <v>#N/A</v>
      </c>
      <c r="T44" s="1" t="str">
        <f t="array" ref="T44">IF(ISBLANK(INDEX(big_daily_table,MATCH(DATE(T$5,$K44,$J44),daily_dates,0),MATCH($B$3,daily_items,0))),NA(),INDEX(big_daily_table,MATCH(DATE(T$5,$K44,$J44),daily_dates,0),MATCH($B$3,daily_items,0)))</f>
        <v>#N/A</v>
      </c>
      <c r="U44" s="1" t="str">
        <f t="array" ref="U44">IF(ISBLANK(INDEX(big_daily_table,MATCH(DATE(U$5,$K44,$J44),daily_dates,0),MATCH($B$3,daily_items,0))),NA(),INDEX(big_daily_table,MATCH(DATE(U$5,$K44,$J44),daily_dates,0),MATCH($B$3,daily_items,0)))</f>
        <v>#N/A</v>
      </c>
      <c r="V44" s="1" t="str">
        <f t="array" ref="V44">IF(ISBLANK(INDEX(big_daily_table,MATCH(DATE(V$5,$K44,$J44),daily_dates,0),MATCH($B$3,daily_items,0))),NA(),INDEX(big_daily_table,MATCH(DATE(V$5,$K44,$J44),daily_dates,0),MATCH($B$3,daily_items,0)))</f>
        <v>#N/A</v>
      </c>
      <c r="W44" s="1" t="str">
        <f t="array" ref="W44">IF(ISBLANK(INDEX(big_daily_table,MATCH(DATE(W$5,$K44,$J44),daily_dates,0),MATCH($B$3,daily_items,0))),NA(),INDEX(big_daily_table,MATCH(DATE(W$5,$K44,$J44),daily_dates,0),MATCH($B$3,daily_items,0)))</f>
        <v>#N/A</v>
      </c>
      <c r="X44" s="1" t="str">
        <f t="array" ref="X44">IF(ISBLANK(INDEX(big_daily_table,MATCH(DATE(X$5,$K44,$J44),daily_dates,0),MATCH($B$3,daily_items,0))),NA(),INDEX(big_daily_table,MATCH(DATE(X$5,$K44,$J44),daily_dates,0),MATCH($B$3,daily_items,0)))</f>
        <v>#N/A</v>
      </c>
      <c r="Y44" s="1" t="str">
        <f t="array" ref="Y44">IF(ISBLANK(INDEX(big_daily_table,MATCH(DATE(Y$5,$K44,$J44),daily_dates,0),MATCH($B$3,daily_items,0))),NA(),INDEX(big_daily_table,MATCH(DATE(Y$5,$K44,$J44),daily_dates,0),MATCH($B$3,daily_items,0)))</f>
        <v>#N/A</v>
      </c>
      <c r="Z44" s="1" t="str">
        <f t="array" ref="Z44">IF(ISBLANK(INDEX(big_daily_table,MATCH(DATE(Z$5,$K44,$J44),daily_dates,0),MATCH($B$3,daily_items,0))),NA(),INDEX(big_daily_table,MATCH(DATE(Z$5,$K44,$J44),daily_dates,0),MATCH($B$3,daily_items,0)))</f>
        <v>#N/A</v>
      </c>
      <c r="AA44" s="1" t="str">
        <f t="shared" si="5"/>
        <v>#NAME?</v>
      </c>
      <c r="AB44" s="1" t="str">
        <f t="shared" si="6"/>
        <v>#NAME?</v>
      </c>
      <c r="AC44" s="1" t="str">
        <f t="shared" si="7"/>
        <v>#NAME?</v>
      </c>
      <c r="AD44" s="1" t="str">
        <f t="shared" si="8"/>
        <v>#NAME?</v>
      </c>
    </row>
    <row r="45" ht="14.25" customHeight="1">
      <c r="H45" s="1">
        <f t="shared" si="9"/>
        <v>40</v>
      </c>
      <c r="I45" s="1">
        <f>WEEKDAY('daily graphs'!K45)</f>
        <v>4</v>
      </c>
      <c r="J45" s="1">
        <f t="shared" si="2"/>
        <v>5</v>
      </c>
      <c r="K45" s="1">
        <f t="shared" si="3"/>
        <v>2</v>
      </c>
      <c r="L45" s="23">
        <f>'daily graphs'!K45 - I45</f>
        <v>36561</v>
      </c>
      <c r="M45" s="24">
        <f t="shared" si="4"/>
        <v>-1000000</v>
      </c>
      <c r="N45" s="24" t="str">
        <f t="array" ref="N45">IF(M45&gt;0,INDEX(big_daily_table,MATCH(DATE(O$5,$K45,$J45),daily_dates,0),MATCH($B$3,daily_items,0)),NA())</f>
        <v>#N/A</v>
      </c>
      <c r="O45" s="1" t="str">
        <f t="array" ref="O45">IF(M45&lt;0,INDEX(big_daily_table,MATCH(DATE(O$5,$K45,$J45),daily_dates,0),MATCH($B$3,daily_items,0)),NA())</f>
        <v>#N/A</v>
      </c>
      <c r="P45" s="1" t="str">
        <f t="array" ref="P45">IF(ISBLANK(INDEX(big_daily_table,MATCH(DATE(P$5,$K45,$J45),daily_dates,0),MATCH($B$3,daily_items,0))),NA(),INDEX(big_daily_table,MATCH(DATE(P$5,$K45,$J45),daily_dates,0),MATCH($B$3,daily_items,0)))</f>
        <v>#N/A</v>
      </c>
      <c r="Q45" s="1" t="str">
        <f t="array" ref="Q45">IF(ISBLANK(INDEX(big_daily_table,MATCH(DATE(Q$5,$K45,$J45),daily_dates,0),MATCH($B$3,daily_items,0))),NA(),INDEX(big_daily_table,MATCH(DATE(Q$5,$K45,$J45),daily_dates,0),MATCH($B$3,daily_items,0)))</f>
        <v>#N/A</v>
      </c>
      <c r="R45" s="1" t="str">
        <f t="array" ref="R45">IF(ISBLANK(INDEX(big_daily_table,MATCH(DATE(R$5,$K45,$J45),daily_dates,0),MATCH($B$3,daily_items,0))),NA(),INDEX(big_daily_table,MATCH(DATE(R$5,$K45,$J45),daily_dates,0),MATCH($B$3,daily_items,0)))</f>
        <v>#N/A</v>
      </c>
      <c r="S45" s="1" t="str">
        <f t="array" ref="S45">IF(ISBLANK(INDEX(big_daily_table,MATCH(DATE(S$5,$K45,$J45),daily_dates,0),MATCH($B$3,daily_items,0))),NA(),INDEX(big_daily_table,MATCH(DATE(S$5,$K45,$J45),daily_dates,0),MATCH($B$3,daily_items,0)))</f>
        <v>#N/A</v>
      </c>
      <c r="T45" s="1" t="str">
        <f t="array" ref="T45">IF(ISBLANK(INDEX(big_daily_table,MATCH(DATE(T$5,$K45,$J45),daily_dates,0),MATCH($B$3,daily_items,0))),NA(),INDEX(big_daily_table,MATCH(DATE(T$5,$K45,$J45),daily_dates,0),MATCH($B$3,daily_items,0)))</f>
        <v>#N/A</v>
      </c>
      <c r="U45" s="1" t="str">
        <f t="array" ref="U45">IF(ISBLANK(INDEX(big_daily_table,MATCH(DATE(U$5,$K45,$J45),daily_dates,0),MATCH($B$3,daily_items,0))),NA(),INDEX(big_daily_table,MATCH(DATE(U$5,$K45,$J45),daily_dates,0),MATCH($B$3,daily_items,0)))</f>
        <v>#N/A</v>
      </c>
      <c r="V45" s="1" t="str">
        <f t="array" ref="V45">IF(ISBLANK(INDEX(big_daily_table,MATCH(DATE(V$5,$K45,$J45),daily_dates,0),MATCH($B$3,daily_items,0))),NA(),INDEX(big_daily_table,MATCH(DATE(V$5,$K45,$J45),daily_dates,0),MATCH($B$3,daily_items,0)))</f>
        <v>#N/A</v>
      </c>
      <c r="W45" s="1" t="str">
        <f t="array" ref="W45">IF(ISBLANK(INDEX(big_daily_table,MATCH(DATE(W$5,$K45,$J45),daily_dates,0),MATCH($B$3,daily_items,0))),NA(),INDEX(big_daily_table,MATCH(DATE(W$5,$K45,$J45),daily_dates,0),MATCH($B$3,daily_items,0)))</f>
        <v>#N/A</v>
      </c>
      <c r="X45" s="1" t="str">
        <f t="array" ref="X45">IF(ISBLANK(INDEX(big_daily_table,MATCH(DATE(X$5,$K45,$J45),daily_dates,0),MATCH($B$3,daily_items,0))),NA(),INDEX(big_daily_table,MATCH(DATE(X$5,$K45,$J45),daily_dates,0),MATCH($B$3,daily_items,0)))</f>
        <v>#N/A</v>
      </c>
      <c r="Y45" s="1" t="str">
        <f t="array" ref="Y45">IF(ISBLANK(INDEX(big_daily_table,MATCH(DATE(Y$5,$K45,$J45),daily_dates,0),MATCH($B$3,daily_items,0))),NA(),INDEX(big_daily_table,MATCH(DATE(Y$5,$K45,$J45),daily_dates,0),MATCH($B$3,daily_items,0)))</f>
        <v>#N/A</v>
      </c>
      <c r="Z45" s="1" t="str">
        <f t="array" ref="Z45">IF(ISBLANK(INDEX(big_daily_table,MATCH(DATE(Z$5,$K45,$J45),daily_dates,0),MATCH($B$3,daily_items,0))),NA(),INDEX(big_daily_table,MATCH(DATE(Z$5,$K45,$J45),daily_dates,0),MATCH($B$3,daily_items,0)))</f>
        <v>#N/A</v>
      </c>
      <c r="AA45" s="1" t="str">
        <f t="shared" si="5"/>
        <v>#NAME?</v>
      </c>
      <c r="AB45" s="1" t="str">
        <f t="shared" si="6"/>
        <v>#NAME?</v>
      </c>
      <c r="AC45" s="1" t="str">
        <f t="shared" si="7"/>
        <v>#NAME?</v>
      </c>
      <c r="AD45" s="1" t="str">
        <f t="shared" si="8"/>
        <v>#NAME?</v>
      </c>
    </row>
    <row r="46" ht="14.25" customHeight="1">
      <c r="H46" s="1">
        <f t="shared" si="9"/>
        <v>41</v>
      </c>
      <c r="I46" s="1">
        <f>WEEKDAY('daily graphs'!K46)</f>
        <v>5</v>
      </c>
      <c r="J46" s="1">
        <f t="shared" si="2"/>
        <v>5</v>
      </c>
      <c r="K46" s="1">
        <f t="shared" si="3"/>
        <v>2</v>
      </c>
      <c r="L46" s="23">
        <f>'daily graphs'!K46 - I46</f>
        <v>36561</v>
      </c>
      <c r="M46" s="24">
        <f t="shared" si="4"/>
        <v>-1000000</v>
      </c>
      <c r="N46" s="24" t="str">
        <f t="array" ref="N46">IF(M46&gt;0,INDEX(big_daily_table,MATCH(DATE(O$5,$K46,$J46),daily_dates,0),MATCH($B$3,daily_items,0)),NA())</f>
        <v>#N/A</v>
      </c>
      <c r="O46" s="1" t="str">
        <f t="array" ref="O46">IF(M46&lt;0,INDEX(big_daily_table,MATCH(DATE(O$5,$K46,$J46),daily_dates,0),MATCH($B$3,daily_items,0)),NA())</f>
        <v>#N/A</v>
      </c>
      <c r="P46" s="1" t="str">
        <f t="array" ref="P46">IF(ISBLANK(INDEX(big_daily_table,MATCH(DATE(P$5,$K46,$J46),daily_dates,0),MATCH($B$3,daily_items,0))),NA(),INDEX(big_daily_table,MATCH(DATE(P$5,$K46,$J46),daily_dates,0),MATCH($B$3,daily_items,0)))</f>
        <v>#N/A</v>
      </c>
      <c r="Q46" s="1" t="str">
        <f t="array" ref="Q46">IF(ISBLANK(INDEX(big_daily_table,MATCH(DATE(Q$5,$K46,$J46),daily_dates,0),MATCH($B$3,daily_items,0))),NA(),INDEX(big_daily_table,MATCH(DATE(Q$5,$K46,$J46),daily_dates,0),MATCH($B$3,daily_items,0)))</f>
        <v>#N/A</v>
      </c>
      <c r="R46" s="1" t="str">
        <f t="array" ref="R46">IF(ISBLANK(INDEX(big_daily_table,MATCH(DATE(R$5,$K46,$J46),daily_dates,0),MATCH($B$3,daily_items,0))),NA(),INDEX(big_daily_table,MATCH(DATE(R$5,$K46,$J46),daily_dates,0),MATCH($B$3,daily_items,0)))</f>
        <v>#N/A</v>
      </c>
      <c r="S46" s="1" t="str">
        <f t="array" ref="S46">IF(ISBLANK(INDEX(big_daily_table,MATCH(DATE(S$5,$K46,$J46),daily_dates,0),MATCH($B$3,daily_items,0))),NA(),INDEX(big_daily_table,MATCH(DATE(S$5,$K46,$J46),daily_dates,0),MATCH($B$3,daily_items,0)))</f>
        <v>#N/A</v>
      </c>
      <c r="T46" s="1" t="str">
        <f t="array" ref="T46">IF(ISBLANK(INDEX(big_daily_table,MATCH(DATE(T$5,$K46,$J46),daily_dates,0),MATCH($B$3,daily_items,0))),NA(),INDEX(big_daily_table,MATCH(DATE(T$5,$K46,$J46),daily_dates,0),MATCH($B$3,daily_items,0)))</f>
        <v>#N/A</v>
      </c>
      <c r="U46" s="1" t="str">
        <f t="array" ref="U46">IF(ISBLANK(INDEX(big_daily_table,MATCH(DATE(U$5,$K46,$J46),daily_dates,0),MATCH($B$3,daily_items,0))),NA(),INDEX(big_daily_table,MATCH(DATE(U$5,$K46,$J46),daily_dates,0),MATCH($B$3,daily_items,0)))</f>
        <v>#N/A</v>
      </c>
      <c r="V46" s="1" t="str">
        <f t="array" ref="V46">IF(ISBLANK(INDEX(big_daily_table,MATCH(DATE(V$5,$K46,$J46),daily_dates,0),MATCH($B$3,daily_items,0))),NA(),INDEX(big_daily_table,MATCH(DATE(V$5,$K46,$J46),daily_dates,0),MATCH($B$3,daily_items,0)))</f>
        <v>#N/A</v>
      </c>
      <c r="W46" s="1" t="str">
        <f t="array" ref="W46">IF(ISBLANK(INDEX(big_daily_table,MATCH(DATE(W$5,$K46,$J46),daily_dates,0),MATCH($B$3,daily_items,0))),NA(),INDEX(big_daily_table,MATCH(DATE(W$5,$K46,$J46),daily_dates,0),MATCH($B$3,daily_items,0)))</f>
        <v>#N/A</v>
      </c>
      <c r="X46" s="1" t="str">
        <f t="array" ref="X46">IF(ISBLANK(INDEX(big_daily_table,MATCH(DATE(X$5,$K46,$J46),daily_dates,0),MATCH($B$3,daily_items,0))),NA(),INDEX(big_daily_table,MATCH(DATE(X$5,$K46,$J46),daily_dates,0),MATCH($B$3,daily_items,0)))</f>
        <v>#N/A</v>
      </c>
      <c r="Y46" s="1" t="str">
        <f t="array" ref="Y46">IF(ISBLANK(INDEX(big_daily_table,MATCH(DATE(Y$5,$K46,$J46),daily_dates,0),MATCH($B$3,daily_items,0))),NA(),INDEX(big_daily_table,MATCH(DATE(Y$5,$K46,$J46),daily_dates,0),MATCH($B$3,daily_items,0)))</f>
        <v>#N/A</v>
      </c>
      <c r="Z46" s="1" t="str">
        <f t="array" ref="Z46">IF(ISBLANK(INDEX(big_daily_table,MATCH(DATE(Z$5,$K46,$J46),daily_dates,0),MATCH($B$3,daily_items,0))),NA(),INDEX(big_daily_table,MATCH(DATE(Z$5,$K46,$J46),daily_dates,0),MATCH($B$3,daily_items,0)))</f>
        <v>#N/A</v>
      </c>
      <c r="AA46" s="1" t="str">
        <f t="shared" si="5"/>
        <v>#NAME?</v>
      </c>
      <c r="AB46" s="1" t="str">
        <f t="shared" si="6"/>
        <v>#NAME?</v>
      </c>
      <c r="AC46" s="1" t="str">
        <f t="shared" si="7"/>
        <v>#NAME?</v>
      </c>
      <c r="AD46" s="1" t="str">
        <f t="shared" si="8"/>
        <v>#NAME?</v>
      </c>
    </row>
    <row r="47" ht="14.25" customHeight="1">
      <c r="H47" s="1">
        <f t="shared" si="9"/>
        <v>42</v>
      </c>
      <c r="I47" s="1">
        <f>WEEKDAY('daily graphs'!K47)</f>
        <v>6</v>
      </c>
      <c r="J47" s="1">
        <f t="shared" si="2"/>
        <v>5</v>
      </c>
      <c r="K47" s="1">
        <f t="shared" si="3"/>
        <v>2</v>
      </c>
      <c r="L47" s="23">
        <f>'daily graphs'!K47 - I47</f>
        <v>36561</v>
      </c>
      <c r="M47" s="24">
        <f t="shared" si="4"/>
        <v>-1000000</v>
      </c>
      <c r="N47" s="24" t="str">
        <f t="array" ref="N47">IF(M47&gt;0,INDEX(big_daily_table,MATCH(DATE(O$5,$K47,$J47),daily_dates,0),MATCH($B$3,daily_items,0)),NA())</f>
        <v>#N/A</v>
      </c>
      <c r="O47" s="1" t="str">
        <f t="array" ref="O47">IF(M47&lt;0,INDEX(big_daily_table,MATCH(DATE(O$5,$K47,$J47),daily_dates,0),MATCH($B$3,daily_items,0)),NA())</f>
        <v>#N/A</v>
      </c>
      <c r="P47" s="1" t="str">
        <f t="array" ref="P47">IF(ISBLANK(INDEX(big_daily_table,MATCH(DATE(P$5,$K47,$J47),daily_dates,0),MATCH($B$3,daily_items,0))),NA(),INDEX(big_daily_table,MATCH(DATE(P$5,$K47,$J47),daily_dates,0),MATCH($B$3,daily_items,0)))</f>
        <v>#N/A</v>
      </c>
      <c r="Q47" s="1" t="str">
        <f t="array" ref="Q47">IF(ISBLANK(INDEX(big_daily_table,MATCH(DATE(Q$5,$K47,$J47),daily_dates,0),MATCH($B$3,daily_items,0))),NA(),INDEX(big_daily_table,MATCH(DATE(Q$5,$K47,$J47),daily_dates,0),MATCH($B$3,daily_items,0)))</f>
        <v>#N/A</v>
      </c>
      <c r="R47" s="1" t="str">
        <f t="array" ref="R47">IF(ISBLANK(INDEX(big_daily_table,MATCH(DATE(R$5,$K47,$J47),daily_dates,0),MATCH($B$3,daily_items,0))),NA(),INDEX(big_daily_table,MATCH(DATE(R$5,$K47,$J47),daily_dates,0),MATCH($B$3,daily_items,0)))</f>
        <v>#N/A</v>
      </c>
      <c r="S47" s="1" t="str">
        <f t="array" ref="S47">IF(ISBLANK(INDEX(big_daily_table,MATCH(DATE(S$5,$K47,$J47),daily_dates,0),MATCH($B$3,daily_items,0))),NA(),INDEX(big_daily_table,MATCH(DATE(S$5,$K47,$J47),daily_dates,0),MATCH($B$3,daily_items,0)))</f>
        <v>#N/A</v>
      </c>
      <c r="T47" s="1" t="str">
        <f t="array" ref="T47">IF(ISBLANK(INDEX(big_daily_table,MATCH(DATE(T$5,$K47,$J47),daily_dates,0),MATCH($B$3,daily_items,0))),NA(),INDEX(big_daily_table,MATCH(DATE(T$5,$K47,$J47),daily_dates,0),MATCH($B$3,daily_items,0)))</f>
        <v>#N/A</v>
      </c>
      <c r="U47" s="1" t="str">
        <f t="array" ref="U47">IF(ISBLANK(INDEX(big_daily_table,MATCH(DATE(U$5,$K47,$J47),daily_dates,0),MATCH($B$3,daily_items,0))),NA(),INDEX(big_daily_table,MATCH(DATE(U$5,$K47,$J47),daily_dates,0),MATCH($B$3,daily_items,0)))</f>
        <v>#N/A</v>
      </c>
      <c r="V47" s="1" t="str">
        <f t="array" ref="V47">IF(ISBLANK(INDEX(big_daily_table,MATCH(DATE(V$5,$K47,$J47),daily_dates,0),MATCH($B$3,daily_items,0))),NA(),INDEX(big_daily_table,MATCH(DATE(V$5,$K47,$J47),daily_dates,0),MATCH($B$3,daily_items,0)))</f>
        <v>#N/A</v>
      </c>
      <c r="W47" s="1" t="str">
        <f t="array" ref="W47">IF(ISBLANK(INDEX(big_daily_table,MATCH(DATE(W$5,$K47,$J47),daily_dates,0),MATCH($B$3,daily_items,0))),NA(),INDEX(big_daily_table,MATCH(DATE(W$5,$K47,$J47),daily_dates,0),MATCH($B$3,daily_items,0)))</f>
        <v>#N/A</v>
      </c>
      <c r="X47" s="1" t="str">
        <f t="array" ref="X47">IF(ISBLANK(INDEX(big_daily_table,MATCH(DATE(X$5,$K47,$J47),daily_dates,0),MATCH($B$3,daily_items,0))),NA(),INDEX(big_daily_table,MATCH(DATE(X$5,$K47,$J47),daily_dates,0),MATCH($B$3,daily_items,0)))</f>
        <v>#N/A</v>
      </c>
      <c r="Y47" s="1" t="str">
        <f t="array" ref="Y47">IF(ISBLANK(INDEX(big_daily_table,MATCH(DATE(Y$5,$K47,$J47),daily_dates,0),MATCH($B$3,daily_items,0))),NA(),INDEX(big_daily_table,MATCH(DATE(Y$5,$K47,$J47),daily_dates,0),MATCH($B$3,daily_items,0)))</f>
        <v>#N/A</v>
      </c>
      <c r="Z47" s="1" t="str">
        <f t="array" ref="Z47">IF(ISBLANK(INDEX(big_daily_table,MATCH(DATE(Z$5,$K47,$J47),daily_dates,0),MATCH($B$3,daily_items,0))),NA(),INDEX(big_daily_table,MATCH(DATE(Z$5,$K47,$J47),daily_dates,0),MATCH($B$3,daily_items,0)))</f>
        <v>#N/A</v>
      </c>
      <c r="AA47" s="1" t="str">
        <f t="shared" si="5"/>
        <v>#NAME?</v>
      </c>
      <c r="AB47" s="1" t="str">
        <f t="shared" si="6"/>
        <v>#NAME?</v>
      </c>
      <c r="AC47" s="1" t="str">
        <f t="shared" si="7"/>
        <v>#NAME?</v>
      </c>
      <c r="AD47" s="1" t="str">
        <f t="shared" si="8"/>
        <v>#NAME?</v>
      </c>
    </row>
    <row r="48" ht="14.25" customHeight="1">
      <c r="H48" s="1">
        <f t="shared" si="9"/>
        <v>43</v>
      </c>
      <c r="I48" s="1">
        <f>WEEKDAY('daily graphs'!K48)</f>
        <v>7</v>
      </c>
      <c r="J48" s="1">
        <f t="shared" si="2"/>
        <v>5</v>
      </c>
      <c r="K48" s="1">
        <f t="shared" si="3"/>
        <v>2</v>
      </c>
      <c r="L48" s="23">
        <f>'daily graphs'!K48 - I48</f>
        <v>36561</v>
      </c>
      <c r="M48" s="24">
        <f t="shared" si="4"/>
        <v>-1000000</v>
      </c>
      <c r="N48" s="24" t="str">
        <f t="array" ref="N48">IF(M48&gt;0,INDEX(big_daily_table,MATCH(DATE(O$5,$K48,$J48),daily_dates,0),MATCH($B$3,daily_items,0)),NA())</f>
        <v>#N/A</v>
      </c>
      <c r="O48" s="1" t="str">
        <f t="array" ref="O48">IF(M48&lt;0,INDEX(big_daily_table,MATCH(DATE(O$5,$K48,$J48),daily_dates,0),MATCH($B$3,daily_items,0)),NA())</f>
        <v>#N/A</v>
      </c>
      <c r="P48" s="1" t="str">
        <f t="array" ref="P48">IF(ISBLANK(INDEX(big_daily_table,MATCH(DATE(P$5,$K48,$J48),daily_dates,0),MATCH($B$3,daily_items,0))),NA(),INDEX(big_daily_table,MATCH(DATE(P$5,$K48,$J48),daily_dates,0),MATCH($B$3,daily_items,0)))</f>
        <v>#N/A</v>
      </c>
      <c r="Q48" s="1" t="str">
        <f t="array" ref="Q48">IF(ISBLANK(INDEX(big_daily_table,MATCH(DATE(Q$5,$K48,$J48),daily_dates,0),MATCH($B$3,daily_items,0))),NA(),INDEX(big_daily_table,MATCH(DATE(Q$5,$K48,$J48),daily_dates,0),MATCH($B$3,daily_items,0)))</f>
        <v>#N/A</v>
      </c>
      <c r="R48" s="1" t="str">
        <f t="array" ref="R48">IF(ISBLANK(INDEX(big_daily_table,MATCH(DATE(R$5,$K48,$J48),daily_dates,0),MATCH($B$3,daily_items,0))),NA(),INDEX(big_daily_table,MATCH(DATE(R$5,$K48,$J48),daily_dates,0),MATCH($B$3,daily_items,0)))</f>
        <v>#N/A</v>
      </c>
      <c r="S48" s="1" t="str">
        <f t="array" ref="S48">IF(ISBLANK(INDEX(big_daily_table,MATCH(DATE(S$5,$K48,$J48),daily_dates,0),MATCH($B$3,daily_items,0))),NA(),INDEX(big_daily_table,MATCH(DATE(S$5,$K48,$J48),daily_dates,0),MATCH($B$3,daily_items,0)))</f>
        <v>#N/A</v>
      </c>
      <c r="T48" s="1" t="str">
        <f t="array" ref="T48">IF(ISBLANK(INDEX(big_daily_table,MATCH(DATE(T$5,$K48,$J48),daily_dates,0),MATCH($B$3,daily_items,0))),NA(),INDEX(big_daily_table,MATCH(DATE(T$5,$K48,$J48),daily_dates,0),MATCH($B$3,daily_items,0)))</f>
        <v>#N/A</v>
      </c>
      <c r="U48" s="1" t="str">
        <f t="array" ref="U48">IF(ISBLANK(INDEX(big_daily_table,MATCH(DATE(U$5,$K48,$J48),daily_dates,0),MATCH($B$3,daily_items,0))),NA(),INDEX(big_daily_table,MATCH(DATE(U$5,$K48,$J48),daily_dates,0),MATCH($B$3,daily_items,0)))</f>
        <v>#N/A</v>
      </c>
      <c r="V48" s="1" t="str">
        <f t="array" ref="V48">IF(ISBLANK(INDEX(big_daily_table,MATCH(DATE(V$5,$K48,$J48),daily_dates,0),MATCH($B$3,daily_items,0))),NA(),INDEX(big_daily_table,MATCH(DATE(V$5,$K48,$J48),daily_dates,0),MATCH($B$3,daily_items,0)))</f>
        <v>#N/A</v>
      </c>
      <c r="W48" s="1" t="str">
        <f t="array" ref="W48">IF(ISBLANK(INDEX(big_daily_table,MATCH(DATE(W$5,$K48,$J48),daily_dates,0),MATCH($B$3,daily_items,0))),NA(),INDEX(big_daily_table,MATCH(DATE(W$5,$K48,$J48),daily_dates,0),MATCH($B$3,daily_items,0)))</f>
        <v>#N/A</v>
      </c>
      <c r="X48" s="1" t="str">
        <f t="array" ref="X48">IF(ISBLANK(INDEX(big_daily_table,MATCH(DATE(X$5,$K48,$J48),daily_dates,0),MATCH($B$3,daily_items,0))),NA(),INDEX(big_daily_table,MATCH(DATE(X$5,$K48,$J48),daily_dates,0),MATCH($B$3,daily_items,0)))</f>
        <v>#N/A</v>
      </c>
      <c r="Y48" s="1" t="str">
        <f t="array" ref="Y48">IF(ISBLANK(INDEX(big_daily_table,MATCH(DATE(Y$5,$K48,$J48),daily_dates,0),MATCH($B$3,daily_items,0))),NA(),INDEX(big_daily_table,MATCH(DATE(Y$5,$K48,$J48),daily_dates,0),MATCH($B$3,daily_items,0)))</f>
        <v>#N/A</v>
      </c>
      <c r="Z48" s="1" t="str">
        <f t="array" ref="Z48">IF(ISBLANK(INDEX(big_daily_table,MATCH(DATE(Z$5,$K48,$J48),daily_dates,0),MATCH($B$3,daily_items,0))),NA(),INDEX(big_daily_table,MATCH(DATE(Z$5,$K48,$J48),daily_dates,0),MATCH($B$3,daily_items,0)))</f>
        <v>#N/A</v>
      </c>
      <c r="AA48" s="1" t="str">
        <f t="shared" si="5"/>
        <v>#NAME?</v>
      </c>
      <c r="AB48" s="1" t="str">
        <f t="shared" si="6"/>
        <v>#NAME?</v>
      </c>
      <c r="AC48" s="1" t="str">
        <f t="shared" si="7"/>
        <v>#NAME?</v>
      </c>
      <c r="AD48" s="1" t="str">
        <f t="shared" si="8"/>
        <v>#NAME?</v>
      </c>
    </row>
    <row r="49" ht="14.25" customHeight="1">
      <c r="H49" s="1">
        <f t="shared" si="9"/>
        <v>44</v>
      </c>
      <c r="I49" s="1">
        <f>WEEKDAY('daily graphs'!K49)</f>
        <v>1</v>
      </c>
      <c r="J49" s="1">
        <f t="shared" si="2"/>
        <v>12</v>
      </c>
      <c r="K49" s="1">
        <f t="shared" si="3"/>
        <v>2</v>
      </c>
      <c r="L49" s="23">
        <f>'daily graphs'!K49 - I49</f>
        <v>36568</v>
      </c>
      <c r="M49" s="24">
        <f t="shared" si="4"/>
        <v>-1000000</v>
      </c>
      <c r="N49" s="24" t="str">
        <f t="array" ref="N49">IF(M49&gt;0,INDEX(big_daily_table,MATCH(DATE(O$5,$K49,$J49),daily_dates,0),MATCH($B$3,daily_items,0)),NA())</f>
        <v>#N/A</v>
      </c>
      <c r="O49" s="1" t="str">
        <f t="array" ref="O49">IF(M49&lt;0,INDEX(big_daily_table,MATCH(DATE(O$5,$K49,$J49),daily_dates,0),MATCH($B$3,daily_items,0)),NA())</f>
        <v>#N/A</v>
      </c>
      <c r="P49" s="1" t="str">
        <f t="array" ref="P49">IF(ISBLANK(INDEX(big_daily_table,MATCH(DATE(P$5,$K49,$J49),daily_dates,0),MATCH($B$3,daily_items,0))),NA(),INDEX(big_daily_table,MATCH(DATE(P$5,$K49,$J49),daily_dates,0),MATCH($B$3,daily_items,0)))</f>
        <v>#N/A</v>
      </c>
      <c r="Q49" s="1" t="str">
        <f t="array" ref="Q49">IF(ISBLANK(INDEX(big_daily_table,MATCH(DATE(Q$5,$K49,$J49),daily_dates,0),MATCH($B$3,daily_items,0))),NA(),INDEX(big_daily_table,MATCH(DATE(Q$5,$K49,$J49),daily_dates,0),MATCH($B$3,daily_items,0)))</f>
        <v>#N/A</v>
      </c>
      <c r="R49" s="1" t="str">
        <f t="array" ref="R49">IF(ISBLANK(INDEX(big_daily_table,MATCH(DATE(R$5,$K49,$J49),daily_dates,0),MATCH($B$3,daily_items,0))),NA(),INDEX(big_daily_table,MATCH(DATE(R$5,$K49,$J49),daily_dates,0),MATCH($B$3,daily_items,0)))</f>
        <v>#N/A</v>
      </c>
      <c r="S49" s="1" t="str">
        <f t="array" ref="S49">IF(ISBLANK(INDEX(big_daily_table,MATCH(DATE(S$5,$K49,$J49),daily_dates,0),MATCH($B$3,daily_items,0))),NA(),INDEX(big_daily_table,MATCH(DATE(S$5,$K49,$J49),daily_dates,0),MATCH($B$3,daily_items,0)))</f>
        <v>#N/A</v>
      </c>
      <c r="T49" s="1" t="str">
        <f t="array" ref="T49">IF(ISBLANK(INDEX(big_daily_table,MATCH(DATE(T$5,$K49,$J49),daily_dates,0),MATCH($B$3,daily_items,0))),NA(),INDEX(big_daily_table,MATCH(DATE(T$5,$K49,$J49),daily_dates,0),MATCH($B$3,daily_items,0)))</f>
        <v>#N/A</v>
      </c>
      <c r="U49" s="1" t="str">
        <f t="array" ref="U49">IF(ISBLANK(INDEX(big_daily_table,MATCH(DATE(U$5,$K49,$J49),daily_dates,0),MATCH($B$3,daily_items,0))),NA(),INDEX(big_daily_table,MATCH(DATE(U$5,$K49,$J49),daily_dates,0),MATCH($B$3,daily_items,0)))</f>
        <v>#N/A</v>
      </c>
      <c r="V49" s="1" t="str">
        <f t="array" ref="V49">IF(ISBLANK(INDEX(big_daily_table,MATCH(DATE(V$5,$K49,$J49),daily_dates,0),MATCH($B$3,daily_items,0))),NA(),INDEX(big_daily_table,MATCH(DATE(V$5,$K49,$J49),daily_dates,0),MATCH($B$3,daily_items,0)))</f>
        <v>#N/A</v>
      </c>
      <c r="W49" s="1" t="str">
        <f t="array" ref="W49">IF(ISBLANK(INDEX(big_daily_table,MATCH(DATE(W$5,$K49,$J49),daily_dates,0),MATCH($B$3,daily_items,0))),NA(),INDEX(big_daily_table,MATCH(DATE(W$5,$K49,$J49),daily_dates,0),MATCH($B$3,daily_items,0)))</f>
        <v>#N/A</v>
      </c>
      <c r="X49" s="1" t="str">
        <f t="array" ref="X49">IF(ISBLANK(INDEX(big_daily_table,MATCH(DATE(X$5,$K49,$J49),daily_dates,0),MATCH($B$3,daily_items,0))),NA(),INDEX(big_daily_table,MATCH(DATE(X$5,$K49,$J49),daily_dates,0),MATCH($B$3,daily_items,0)))</f>
        <v>#N/A</v>
      </c>
      <c r="Y49" s="1" t="str">
        <f t="array" ref="Y49">IF(ISBLANK(INDEX(big_daily_table,MATCH(DATE(Y$5,$K49,$J49),daily_dates,0),MATCH($B$3,daily_items,0))),NA(),INDEX(big_daily_table,MATCH(DATE(Y$5,$K49,$J49),daily_dates,0),MATCH($B$3,daily_items,0)))</f>
        <v>#N/A</v>
      </c>
      <c r="Z49" s="1" t="str">
        <f t="array" ref="Z49">IF(ISBLANK(INDEX(big_daily_table,MATCH(DATE(Z$5,$K49,$J49),daily_dates,0),MATCH($B$3,daily_items,0))),NA(),INDEX(big_daily_table,MATCH(DATE(Z$5,$K49,$J49),daily_dates,0),MATCH($B$3,daily_items,0)))</f>
        <v>#N/A</v>
      </c>
      <c r="AA49" s="1" t="str">
        <f t="shared" si="5"/>
        <v>#NAME?</v>
      </c>
      <c r="AB49" s="1" t="str">
        <f t="shared" si="6"/>
        <v>#NAME?</v>
      </c>
      <c r="AC49" s="1" t="str">
        <f t="shared" si="7"/>
        <v>#NAME?</v>
      </c>
      <c r="AD49" s="1" t="str">
        <f t="shared" si="8"/>
        <v>#NAME?</v>
      </c>
    </row>
    <row r="50" ht="14.25" customHeight="1">
      <c r="H50" s="1">
        <f t="shared" si="9"/>
        <v>45</v>
      </c>
      <c r="I50" s="1">
        <f>WEEKDAY('daily graphs'!K50)</f>
        <v>2</v>
      </c>
      <c r="J50" s="1">
        <f t="shared" si="2"/>
        <v>12</v>
      </c>
      <c r="K50" s="1">
        <f t="shared" si="3"/>
        <v>2</v>
      </c>
      <c r="L50" s="23">
        <f>'daily graphs'!K50 - I50</f>
        <v>36568</v>
      </c>
      <c r="M50" s="24">
        <f t="shared" si="4"/>
        <v>-1000000</v>
      </c>
      <c r="N50" s="24" t="str">
        <f t="array" ref="N50">IF(M50&gt;0,INDEX(big_daily_table,MATCH(DATE(O$5,$K50,$J50),daily_dates,0),MATCH($B$3,daily_items,0)),NA())</f>
        <v>#N/A</v>
      </c>
      <c r="O50" s="1" t="str">
        <f t="array" ref="O50">IF(M50&lt;0,INDEX(big_daily_table,MATCH(DATE(O$5,$K50,$J50),daily_dates,0),MATCH($B$3,daily_items,0)),NA())</f>
        <v>#N/A</v>
      </c>
      <c r="P50" s="1" t="str">
        <f t="array" ref="P50">IF(ISBLANK(INDEX(big_daily_table,MATCH(DATE(P$5,$K50,$J50),daily_dates,0),MATCH($B$3,daily_items,0))),NA(),INDEX(big_daily_table,MATCH(DATE(P$5,$K50,$J50),daily_dates,0),MATCH($B$3,daily_items,0)))</f>
        <v>#N/A</v>
      </c>
      <c r="Q50" s="1" t="str">
        <f t="array" ref="Q50">IF(ISBLANK(INDEX(big_daily_table,MATCH(DATE(Q$5,$K50,$J50),daily_dates,0),MATCH($B$3,daily_items,0))),NA(),INDEX(big_daily_table,MATCH(DATE(Q$5,$K50,$J50),daily_dates,0),MATCH($B$3,daily_items,0)))</f>
        <v>#N/A</v>
      </c>
      <c r="R50" s="1" t="str">
        <f t="array" ref="R50">IF(ISBLANK(INDEX(big_daily_table,MATCH(DATE(R$5,$K50,$J50),daily_dates,0),MATCH($B$3,daily_items,0))),NA(),INDEX(big_daily_table,MATCH(DATE(R$5,$K50,$J50),daily_dates,0),MATCH($B$3,daily_items,0)))</f>
        <v>#N/A</v>
      </c>
      <c r="S50" s="1" t="str">
        <f t="array" ref="S50">IF(ISBLANK(INDEX(big_daily_table,MATCH(DATE(S$5,$K50,$J50),daily_dates,0),MATCH($B$3,daily_items,0))),NA(),INDEX(big_daily_table,MATCH(DATE(S$5,$K50,$J50),daily_dates,0),MATCH($B$3,daily_items,0)))</f>
        <v>#N/A</v>
      </c>
      <c r="T50" s="1" t="str">
        <f t="array" ref="T50">IF(ISBLANK(INDEX(big_daily_table,MATCH(DATE(T$5,$K50,$J50),daily_dates,0),MATCH($B$3,daily_items,0))),NA(),INDEX(big_daily_table,MATCH(DATE(T$5,$K50,$J50),daily_dates,0),MATCH($B$3,daily_items,0)))</f>
        <v>#N/A</v>
      </c>
      <c r="U50" s="1" t="str">
        <f t="array" ref="U50">IF(ISBLANK(INDEX(big_daily_table,MATCH(DATE(U$5,$K50,$J50),daily_dates,0),MATCH($B$3,daily_items,0))),NA(),INDEX(big_daily_table,MATCH(DATE(U$5,$K50,$J50),daily_dates,0),MATCH($B$3,daily_items,0)))</f>
        <v>#N/A</v>
      </c>
      <c r="V50" s="1" t="str">
        <f t="array" ref="V50">IF(ISBLANK(INDEX(big_daily_table,MATCH(DATE(V$5,$K50,$J50),daily_dates,0),MATCH($B$3,daily_items,0))),NA(),INDEX(big_daily_table,MATCH(DATE(V$5,$K50,$J50),daily_dates,0),MATCH($B$3,daily_items,0)))</f>
        <v>#N/A</v>
      </c>
      <c r="W50" s="1" t="str">
        <f t="array" ref="W50">IF(ISBLANK(INDEX(big_daily_table,MATCH(DATE(W$5,$K50,$J50),daily_dates,0),MATCH($B$3,daily_items,0))),NA(),INDEX(big_daily_table,MATCH(DATE(W$5,$K50,$J50),daily_dates,0),MATCH($B$3,daily_items,0)))</f>
        <v>#N/A</v>
      </c>
      <c r="X50" s="1" t="str">
        <f t="array" ref="X50">IF(ISBLANK(INDEX(big_daily_table,MATCH(DATE(X$5,$K50,$J50),daily_dates,0),MATCH($B$3,daily_items,0))),NA(),INDEX(big_daily_table,MATCH(DATE(X$5,$K50,$J50),daily_dates,0),MATCH($B$3,daily_items,0)))</f>
        <v>#N/A</v>
      </c>
      <c r="Y50" s="1" t="str">
        <f t="array" ref="Y50">IF(ISBLANK(INDEX(big_daily_table,MATCH(DATE(Y$5,$K50,$J50),daily_dates,0),MATCH($B$3,daily_items,0))),NA(),INDEX(big_daily_table,MATCH(DATE(Y$5,$K50,$J50),daily_dates,0),MATCH($B$3,daily_items,0)))</f>
        <v>#N/A</v>
      </c>
      <c r="Z50" s="1" t="str">
        <f t="array" ref="Z50">IF(ISBLANK(INDEX(big_daily_table,MATCH(DATE(Z$5,$K50,$J50),daily_dates,0),MATCH($B$3,daily_items,0))),NA(),INDEX(big_daily_table,MATCH(DATE(Z$5,$K50,$J50),daily_dates,0),MATCH($B$3,daily_items,0)))</f>
        <v>#N/A</v>
      </c>
      <c r="AA50" s="1" t="str">
        <f t="shared" si="5"/>
        <v>#NAME?</v>
      </c>
      <c r="AB50" s="1" t="str">
        <f t="shared" si="6"/>
        <v>#NAME?</v>
      </c>
      <c r="AC50" s="1" t="str">
        <f t="shared" si="7"/>
        <v>#NAME?</v>
      </c>
      <c r="AD50" s="1" t="str">
        <f t="shared" si="8"/>
        <v>#NAME?</v>
      </c>
    </row>
    <row r="51" ht="14.25" customHeight="1">
      <c r="H51" s="1">
        <f t="shared" si="9"/>
        <v>46</v>
      </c>
      <c r="I51" s="1">
        <f>WEEKDAY('daily graphs'!K51)</f>
        <v>3</v>
      </c>
      <c r="J51" s="1">
        <f t="shared" si="2"/>
        <v>12</v>
      </c>
      <c r="K51" s="1">
        <f t="shared" si="3"/>
        <v>2</v>
      </c>
      <c r="L51" s="23">
        <f>'daily graphs'!K51 - I51</f>
        <v>36568</v>
      </c>
      <c r="M51" s="24">
        <f t="shared" si="4"/>
        <v>-1000000</v>
      </c>
      <c r="N51" s="24" t="str">
        <f t="array" ref="N51">IF(M51&gt;0,INDEX(big_daily_table,MATCH(DATE(O$5,$K51,$J51),daily_dates,0),MATCH($B$3,daily_items,0)),NA())</f>
        <v>#N/A</v>
      </c>
      <c r="O51" s="1" t="str">
        <f t="array" ref="O51">IF(M51&lt;0,INDEX(big_daily_table,MATCH(DATE(O$5,$K51,$J51),daily_dates,0),MATCH($B$3,daily_items,0)),NA())</f>
        <v>#N/A</v>
      </c>
      <c r="P51" s="1" t="str">
        <f t="array" ref="P51">IF(ISBLANK(INDEX(big_daily_table,MATCH(DATE(P$5,$K51,$J51),daily_dates,0),MATCH($B$3,daily_items,0))),NA(),INDEX(big_daily_table,MATCH(DATE(P$5,$K51,$J51),daily_dates,0),MATCH($B$3,daily_items,0)))</f>
        <v>#N/A</v>
      </c>
      <c r="Q51" s="1" t="str">
        <f t="array" ref="Q51">IF(ISBLANK(INDEX(big_daily_table,MATCH(DATE(Q$5,$K51,$J51),daily_dates,0),MATCH($B$3,daily_items,0))),NA(),INDEX(big_daily_table,MATCH(DATE(Q$5,$K51,$J51),daily_dates,0),MATCH($B$3,daily_items,0)))</f>
        <v>#N/A</v>
      </c>
      <c r="R51" s="1" t="str">
        <f t="array" ref="R51">IF(ISBLANK(INDEX(big_daily_table,MATCH(DATE(R$5,$K51,$J51),daily_dates,0),MATCH($B$3,daily_items,0))),NA(),INDEX(big_daily_table,MATCH(DATE(R$5,$K51,$J51),daily_dates,0),MATCH($B$3,daily_items,0)))</f>
        <v>#N/A</v>
      </c>
      <c r="S51" s="1" t="str">
        <f t="array" ref="S51">IF(ISBLANK(INDEX(big_daily_table,MATCH(DATE(S$5,$K51,$J51),daily_dates,0),MATCH($B$3,daily_items,0))),NA(),INDEX(big_daily_table,MATCH(DATE(S$5,$K51,$J51),daily_dates,0),MATCH($B$3,daily_items,0)))</f>
        <v>#N/A</v>
      </c>
      <c r="T51" s="1" t="str">
        <f t="array" ref="T51">IF(ISBLANK(INDEX(big_daily_table,MATCH(DATE(T$5,$K51,$J51),daily_dates,0),MATCH($B$3,daily_items,0))),NA(),INDEX(big_daily_table,MATCH(DATE(T$5,$K51,$J51),daily_dates,0),MATCH($B$3,daily_items,0)))</f>
        <v>#N/A</v>
      </c>
      <c r="U51" s="1" t="str">
        <f t="array" ref="U51">IF(ISBLANK(INDEX(big_daily_table,MATCH(DATE(U$5,$K51,$J51),daily_dates,0),MATCH($B$3,daily_items,0))),NA(),INDEX(big_daily_table,MATCH(DATE(U$5,$K51,$J51),daily_dates,0),MATCH($B$3,daily_items,0)))</f>
        <v>#N/A</v>
      </c>
      <c r="V51" s="1" t="str">
        <f t="array" ref="V51">IF(ISBLANK(INDEX(big_daily_table,MATCH(DATE(V$5,$K51,$J51),daily_dates,0),MATCH($B$3,daily_items,0))),NA(),INDEX(big_daily_table,MATCH(DATE(V$5,$K51,$J51),daily_dates,0),MATCH($B$3,daily_items,0)))</f>
        <v>#N/A</v>
      </c>
      <c r="W51" s="1" t="str">
        <f t="array" ref="W51">IF(ISBLANK(INDEX(big_daily_table,MATCH(DATE(W$5,$K51,$J51),daily_dates,0),MATCH($B$3,daily_items,0))),NA(),INDEX(big_daily_table,MATCH(DATE(W$5,$K51,$J51),daily_dates,0),MATCH($B$3,daily_items,0)))</f>
        <v>#N/A</v>
      </c>
      <c r="X51" s="1" t="str">
        <f t="array" ref="X51">IF(ISBLANK(INDEX(big_daily_table,MATCH(DATE(X$5,$K51,$J51),daily_dates,0),MATCH($B$3,daily_items,0))),NA(),INDEX(big_daily_table,MATCH(DATE(X$5,$K51,$J51),daily_dates,0),MATCH($B$3,daily_items,0)))</f>
        <v>#N/A</v>
      </c>
      <c r="Y51" s="1" t="str">
        <f t="array" ref="Y51">IF(ISBLANK(INDEX(big_daily_table,MATCH(DATE(Y$5,$K51,$J51),daily_dates,0),MATCH($B$3,daily_items,0))),NA(),INDEX(big_daily_table,MATCH(DATE(Y$5,$K51,$J51),daily_dates,0),MATCH($B$3,daily_items,0)))</f>
        <v>#N/A</v>
      </c>
      <c r="Z51" s="1" t="str">
        <f t="array" ref="Z51">IF(ISBLANK(INDEX(big_daily_table,MATCH(DATE(Z$5,$K51,$J51),daily_dates,0),MATCH($B$3,daily_items,0))),NA(),INDEX(big_daily_table,MATCH(DATE(Z$5,$K51,$J51),daily_dates,0),MATCH($B$3,daily_items,0)))</f>
        <v>#N/A</v>
      </c>
      <c r="AA51" s="1" t="str">
        <f t="shared" si="5"/>
        <v>#NAME?</v>
      </c>
      <c r="AB51" s="1" t="str">
        <f t="shared" si="6"/>
        <v>#NAME?</v>
      </c>
      <c r="AC51" s="1" t="str">
        <f t="shared" si="7"/>
        <v>#NAME?</v>
      </c>
      <c r="AD51" s="1" t="str">
        <f t="shared" si="8"/>
        <v>#NAME?</v>
      </c>
    </row>
    <row r="52" ht="14.25" customHeight="1">
      <c r="H52" s="1">
        <f t="shared" si="9"/>
        <v>47</v>
      </c>
      <c r="I52" s="1">
        <f>WEEKDAY('daily graphs'!K52)</f>
        <v>4</v>
      </c>
      <c r="J52" s="1">
        <f t="shared" si="2"/>
        <v>12</v>
      </c>
      <c r="K52" s="1">
        <f t="shared" si="3"/>
        <v>2</v>
      </c>
      <c r="L52" s="23">
        <f>'daily graphs'!K52 - I52</f>
        <v>36568</v>
      </c>
      <c r="M52" s="24">
        <f t="shared" si="4"/>
        <v>-1000000</v>
      </c>
      <c r="N52" s="24" t="str">
        <f t="array" ref="N52">IF(M52&gt;0,INDEX(big_daily_table,MATCH(DATE(O$5,$K52,$J52),daily_dates,0),MATCH($B$3,daily_items,0)),NA())</f>
        <v>#N/A</v>
      </c>
      <c r="O52" s="1" t="str">
        <f t="array" ref="O52">IF(M52&lt;0,INDEX(big_daily_table,MATCH(DATE(O$5,$K52,$J52),daily_dates,0),MATCH($B$3,daily_items,0)),NA())</f>
        <v>#N/A</v>
      </c>
      <c r="P52" s="1" t="str">
        <f t="array" ref="P52">IF(ISBLANK(INDEX(big_daily_table,MATCH(DATE(P$5,$K52,$J52),daily_dates,0),MATCH($B$3,daily_items,0))),NA(),INDEX(big_daily_table,MATCH(DATE(P$5,$K52,$J52),daily_dates,0),MATCH($B$3,daily_items,0)))</f>
        <v>#N/A</v>
      </c>
      <c r="Q52" s="1" t="str">
        <f t="array" ref="Q52">IF(ISBLANK(INDEX(big_daily_table,MATCH(DATE(Q$5,$K52,$J52),daily_dates,0),MATCH($B$3,daily_items,0))),NA(),INDEX(big_daily_table,MATCH(DATE(Q$5,$K52,$J52),daily_dates,0),MATCH($B$3,daily_items,0)))</f>
        <v>#N/A</v>
      </c>
      <c r="R52" s="1" t="str">
        <f t="array" ref="R52">IF(ISBLANK(INDEX(big_daily_table,MATCH(DATE(R$5,$K52,$J52),daily_dates,0),MATCH($B$3,daily_items,0))),NA(),INDEX(big_daily_table,MATCH(DATE(R$5,$K52,$J52),daily_dates,0),MATCH($B$3,daily_items,0)))</f>
        <v>#N/A</v>
      </c>
      <c r="S52" s="1" t="str">
        <f t="array" ref="S52">IF(ISBLANK(INDEX(big_daily_table,MATCH(DATE(S$5,$K52,$J52),daily_dates,0),MATCH($B$3,daily_items,0))),NA(),INDEX(big_daily_table,MATCH(DATE(S$5,$K52,$J52),daily_dates,0),MATCH($B$3,daily_items,0)))</f>
        <v>#N/A</v>
      </c>
      <c r="T52" s="1" t="str">
        <f t="array" ref="T52">IF(ISBLANK(INDEX(big_daily_table,MATCH(DATE(T$5,$K52,$J52),daily_dates,0),MATCH($B$3,daily_items,0))),NA(),INDEX(big_daily_table,MATCH(DATE(T$5,$K52,$J52),daily_dates,0),MATCH($B$3,daily_items,0)))</f>
        <v>#N/A</v>
      </c>
      <c r="U52" s="1" t="str">
        <f t="array" ref="U52">IF(ISBLANK(INDEX(big_daily_table,MATCH(DATE(U$5,$K52,$J52),daily_dates,0),MATCH($B$3,daily_items,0))),NA(),INDEX(big_daily_table,MATCH(DATE(U$5,$K52,$J52),daily_dates,0),MATCH($B$3,daily_items,0)))</f>
        <v>#N/A</v>
      </c>
      <c r="V52" s="1" t="str">
        <f t="array" ref="V52">IF(ISBLANK(INDEX(big_daily_table,MATCH(DATE(V$5,$K52,$J52),daily_dates,0),MATCH($B$3,daily_items,0))),NA(),INDEX(big_daily_table,MATCH(DATE(V$5,$K52,$J52),daily_dates,0),MATCH($B$3,daily_items,0)))</f>
        <v>#N/A</v>
      </c>
      <c r="W52" s="1" t="str">
        <f t="array" ref="W52">IF(ISBLANK(INDEX(big_daily_table,MATCH(DATE(W$5,$K52,$J52),daily_dates,0),MATCH($B$3,daily_items,0))),NA(),INDEX(big_daily_table,MATCH(DATE(W$5,$K52,$J52),daily_dates,0),MATCH($B$3,daily_items,0)))</f>
        <v>#N/A</v>
      </c>
      <c r="X52" s="1" t="str">
        <f t="array" ref="X52">IF(ISBLANK(INDEX(big_daily_table,MATCH(DATE(X$5,$K52,$J52),daily_dates,0),MATCH($B$3,daily_items,0))),NA(),INDEX(big_daily_table,MATCH(DATE(X$5,$K52,$J52),daily_dates,0),MATCH($B$3,daily_items,0)))</f>
        <v>#N/A</v>
      </c>
      <c r="Y52" s="1" t="str">
        <f t="array" ref="Y52">IF(ISBLANK(INDEX(big_daily_table,MATCH(DATE(Y$5,$K52,$J52),daily_dates,0),MATCH($B$3,daily_items,0))),NA(),INDEX(big_daily_table,MATCH(DATE(Y$5,$K52,$J52),daily_dates,0),MATCH($B$3,daily_items,0)))</f>
        <v>#N/A</v>
      </c>
      <c r="Z52" s="1" t="str">
        <f t="array" ref="Z52">IF(ISBLANK(INDEX(big_daily_table,MATCH(DATE(Z$5,$K52,$J52),daily_dates,0),MATCH($B$3,daily_items,0))),NA(),INDEX(big_daily_table,MATCH(DATE(Z$5,$K52,$J52),daily_dates,0),MATCH($B$3,daily_items,0)))</f>
        <v>#N/A</v>
      </c>
      <c r="AA52" s="1" t="str">
        <f t="shared" si="5"/>
        <v>#NAME?</v>
      </c>
      <c r="AB52" s="1" t="str">
        <f t="shared" si="6"/>
        <v>#NAME?</v>
      </c>
      <c r="AC52" s="1" t="str">
        <f t="shared" si="7"/>
        <v>#NAME?</v>
      </c>
      <c r="AD52" s="1" t="str">
        <f t="shared" si="8"/>
        <v>#NAME?</v>
      </c>
    </row>
    <row r="53" ht="14.25" customHeight="1">
      <c r="H53" s="1">
        <f t="shared" si="9"/>
        <v>48</v>
      </c>
      <c r="I53" s="1">
        <f>WEEKDAY('daily graphs'!K53)</f>
        <v>5</v>
      </c>
      <c r="J53" s="1">
        <f t="shared" si="2"/>
        <v>12</v>
      </c>
      <c r="K53" s="1">
        <f t="shared" si="3"/>
        <v>2</v>
      </c>
      <c r="L53" s="23">
        <f>'daily graphs'!K53 - I53</f>
        <v>36568</v>
      </c>
      <c r="M53" s="24">
        <f t="shared" si="4"/>
        <v>-1000000</v>
      </c>
      <c r="N53" s="24" t="str">
        <f t="array" ref="N53">IF(M53&gt;0,INDEX(big_daily_table,MATCH(DATE(O$5,$K53,$J53),daily_dates,0),MATCH($B$3,daily_items,0)),NA())</f>
        <v>#N/A</v>
      </c>
      <c r="O53" s="1" t="str">
        <f t="array" ref="O53">IF(M53&lt;0,INDEX(big_daily_table,MATCH(DATE(O$5,$K53,$J53),daily_dates,0),MATCH($B$3,daily_items,0)),NA())</f>
        <v>#N/A</v>
      </c>
      <c r="P53" s="1" t="str">
        <f t="array" ref="P53">IF(ISBLANK(INDEX(big_daily_table,MATCH(DATE(P$5,$K53,$J53),daily_dates,0),MATCH($B$3,daily_items,0))),NA(),INDEX(big_daily_table,MATCH(DATE(P$5,$K53,$J53),daily_dates,0),MATCH($B$3,daily_items,0)))</f>
        <v>#N/A</v>
      </c>
      <c r="Q53" s="1" t="str">
        <f t="array" ref="Q53">IF(ISBLANK(INDEX(big_daily_table,MATCH(DATE(Q$5,$K53,$J53),daily_dates,0),MATCH($B$3,daily_items,0))),NA(),INDEX(big_daily_table,MATCH(DATE(Q$5,$K53,$J53),daily_dates,0),MATCH($B$3,daily_items,0)))</f>
        <v>#N/A</v>
      </c>
      <c r="R53" s="1" t="str">
        <f t="array" ref="R53">IF(ISBLANK(INDEX(big_daily_table,MATCH(DATE(R$5,$K53,$J53),daily_dates,0),MATCH($B$3,daily_items,0))),NA(),INDEX(big_daily_table,MATCH(DATE(R$5,$K53,$J53),daily_dates,0),MATCH($B$3,daily_items,0)))</f>
        <v>#N/A</v>
      </c>
      <c r="S53" s="1" t="str">
        <f t="array" ref="S53">IF(ISBLANK(INDEX(big_daily_table,MATCH(DATE(S$5,$K53,$J53),daily_dates,0),MATCH($B$3,daily_items,0))),NA(),INDEX(big_daily_table,MATCH(DATE(S$5,$K53,$J53),daily_dates,0),MATCH($B$3,daily_items,0)))</f>
        <v>#N/A</v>
      </c>
      <c r="T53" s="1" t="str">
        <f t="array" ref="T53">IF(ISBLANK(INDEX(big_daily_table,MATCH(DATE(T$5,$K53,$J53),daily_dates,0),MATCH($B$3,daily_items,0))),NA(),INDEX(big_daily_table,MATCH(DATE(T$5,$K53,$J53),daily_dates,0),MATCH($B$3,daily_items,0)))</f>
        <v>#N/A</v>
      </c>
      <c r="U53" s="1" t="str">
        <f t="array" ref="U53">IF(ISBLANK(INDEX(big_daily_table,MATCH(DATE(U$5,$K53,$J53),daily_dates,0),MATCH($B$3,daily_items,0))),NA(),INDEX(big_daily_table,MATCH(DATE(U$5,$K53,$J53),daily_dates,0),MATCH($B$3,daily_items,0)))</f>
        <v>#N/A</v>
      </c>
      <c r="V53" s="1" t="str">
        <f t="array" ref="V53">IF(ISBLANK(INDEX(big_daily_table,MATCH(DATE(V$5,$K53,$J53),daily_dates,0),MATCH($B$3,daily_items,0))),NA(),INDEX(big_daily_table,MATCH(DATE(V$5,$K53,$J53),daily_dates,0),MATCH($B$3,daily_items,0)))</f>
        <v>#N/A</v>
      </c>
      <c r="W53" s="1" t="str">
        <f t="array" ref="W53">IF(ISBLANK(INDEX(big_daily_table,MATCH(DATE(W$5,$K53,$J53),daily_dates,0),MATCH($B$3,daily_items,0))),NA(),INDEX(big_daily_table,MATCH(DATE(W$5,$K53,$J53),daily_dates,0),MATCH($B$3,daily_items,0)))</f>
        <v>#N/A</v>
      </c>
      <c r="X53" s="1" t="str">
        <f t="array" ref="X53">IF(ISBLANK(INDEX(big_daily_table,MATCH(DATE(X$5,$K53,$J53),daily_dates,0),MATCH($B$3,daily_items,0))),NA(),INDEX(big_daily_table,MATCH(DATE(X$5,$K53,$J53),daily_dates,0),MATCH($B$3,daily_items,0)))</f>
        <v>#N/A</v>
      </c>
      <c r="Y53" s="1" t="str">
        <f t="array" ref="Y53">IF(ISBLANK(INDEX(big_daily_table,MATCH(DATE(Y$5,$K53,$J53),daily_dates,0),MATCH($B$3,daily_items,0))),NA(),INDEX(big_daily_table,MATCH(DATE(Y$5,$K53,$J53),daily_dates,0),MATCH($B$3,daily_items,0)))</f>
        <v>#N/A</v>
      </c>
      <c r="Z53" s="1" t="str">
        <f t="array" ref="Z53">IF(ISBLANK(INDEX(big_daily_table,MATCH(DATE(Z$5,$K53,$J53),daily_dates,0),MATCH($B$3,daily_items,0))),NA(),INDEX(big_daily_table,MATCH(DATE(Z$5,$K53,$J53),daily_dates,0),MATCH($B$3,daily_items,0)))</f>
        <v>#N/A</v>
      </c>
      <c r="AA53" s="1" t="str">
        <f t="shared" si="5"/>
        <v>#NAME?</v>
      </c>
      <c r="AB53" s="1" t="str">
        <f t="shared" si="6"/>
        <v>#NAME?</v>
      </c>
      <c r="AC53" s="1" t="str">
        <f t="shared" si="7"/>
        <v>#NAME?</v>
      </c>
      <c r="AD53" s="1" t="str">
        <f t="shared" si="8"/>
        <v>#NAME?</v>
      </c>
    </row>
    <row r="54" ht="14.25" customHeight="1">
      <c r="H54" s="1">
        <f t="shared" si="9"/>
        <v>49</v>
      </c>
      <c r="I54" s="1">
        <f>WEEKDAY('daily graphs'!K54)</f>
        <v>6</v>
      </c>
      <c r="J54" s="1">
        <f t="shared" si="2"/>
        <v>12</v>
      </c>
      <c r="K54" s="1">
        <f t="shared" si="3"/>
        <v>2</v>
      </c>
      <c r="L54" s="23">
        <f>'daily graphs'!K54 - I54</f>
        <v>36568</v>
      </c>
      <c r="M54" s="24">
        <f t="shared" si="4"/>
        <v>-1000000</v>
      </c>
      <c r="N54" s="24" t="str">
        <f t="array" ref="N54">IF(M54&gt;0,INDEX(big_daily_table,MATCH(DATE(O$5,$K54,$J54),daily_dates,0),MATCH($B$3,daily_items,0)),NA())</f>
        <v>#N/A</v>
      </c>
      <c r="O54" s="1" t="str">
        <f t="array" ref="O54">IF(M54&lt;0,INDEX(big_daily_table,MATCH(DATE(O$5,$K54,$J54),daily_dates,0),MATCH($B$3,daily_items,0)),NA())</f>
        <v>#N/A</v>
      </c>
      <c r="P54" s="1" t="str">
        <f t="array" ref="P54">IF(ISBLANK(INDEX(big_daily_table,MATCH(DATE(P$5,$K54,$J54),daily_dates,0),MATCH($B$3,daily_items,0))),NA(),INDEX(big_daily_table,MATCH(DATE(P$5,$K54,$J54),daily_dates,0),MATCH($B$3,daily_items,0)))</f>
        <v>#N/A</v>
      </c>
      <c r="Q54" s="1" t="str">
        <f t="array" ref="Q54">IF(ISBLANK(INDEX(big_daily_table,MATCH(DATE(Q$5,$K54,$J54),daily_dates,0),MATCH($B$3,daily_items,0))),NA(),INDEX(big_daily_table,MATCH(DATE(Q$5,$K54,$J54),daily_dates,0),MATCH($B$3,daily_items,0)))</f>
        <v>#N/A</v>
      </c>
      <c r="R54" s="1" t="str">
        <f t="array" ref="R54">IF(ISBLANK(INDEX(big_daily_table,MATCH(DATE(R$5,$K54,$J54),daily_dates,0),MATCH($B$3,daily_items,0))),NA(),INDEX(big_daily_table,MATCH(DATE(R$5,$K54,$J54),daily_dates,0),MATCH($B$3,daily_items,0)))</f>
        <v>#N/A</v>
      </c>
      <c r="S54" s="1" t="str">
        <f t="array" ref="S54">IF(ISBLANK(INDEX(big_daily_table,MATCH(DATE(S$5,$K54,$J54),daily_dates,0),MATCH($B$3,daily_items,0))),NA(),INDEX(big_daily_table,MATCH(DATE(S$5,$K54,$J54),daily_dates,0),MATCH($B$3,daily_items,0)))</f>
        <v>#N/A</v>
      </c>
      <c r="T54" s="1" t="str">
        <f t="array" ref="T54">IF(ISBLANK(INDEX(big_daily_table,MATCH(DATE(T$5,$K54,$J54),daily_dates,0),MATCH($B$3,daily_items,0))),NA(),INDEX(big_daily_table,MATCH(DATE(T$5,$K54,$J54),daily_dates,0),MATCH($B$3,daily_items,0)))</f>
        <v>#N/A</v>
      </c>
      <c r="U54" s="1" t="str">
        <f t="array" ref="U54">IF(ISBLANK(INDEX(big_daily_table,MATCH(DATE(U$5,$K54,$J54),daily_dates,0),MATCH($B$3,daily_items,0))),NA(),INDEX(big_daily_table,MATCH(DATE(U$5,$K54,$J54),daily_dates,0),MATCH($B$3,daily_items,0)))</f>
        <v>#N/A</v>
      </c>
      <c r="V54" s="1" t="str">
        <f t="array" ref="V54">IF(ISBLANK(INDEX(big_daily_table,MATCH(DATE(V$5,$K54,$J54),daily_dates,0),MATCH($B$3,daily_items,0))),NA(),INDEX(big_daily_table,MATCH(DATE(V$5,$K54,$J54),daily_dates,0),MATCH($B$3,daily_items,0)))</f>
        <v>#N/A</v>
      </c>
      <c r="W54" s="1" t="str">
        <f t="array" ref="W54">IF(ISBLANK(INDEX(big_daily_table,MATCH(DATE(W$5,$K54,$J54),daily_dates,0),MATCH($B$3,daily_items,0))),NA(),INDEX(big_daily_table,MATCH(DATE(W$5,$K54,$J54),daily_dates,0),MATCH($B$3,daily_items,0)))</f>
        <v>#N/A</v>
      </c>
      <c r="X54" s="1" t="str">
        <f t="array" ref="X54">IF(ISBLANK(INDEX(big_daily_table,MATCH(DATE(X$5,$K54,$J54),daily_dates,0),MATCH($B$3,daily_items,0))),NA(),INDEX(big_daily_table,MATCH(DATE(X$5,$K54,$J54),daily_dates,0),MATCH($B$3,daily_items,0)))</f>
        <v>#N/A</v>
      </c>
      <c r="Y54" s="1" t="str">
        <f t="array" ref="Y54">IF(ISBLANK(INDEX(big_daily_table,MATCH(DATE(Y$5,$K54,$J54),daily_dates,0),MATCH($B$3,daily_items,0))),NA(),INDEX(big_daily_table,MATCH(DATE(Y$5,$K54,$J54),daily_dates,0),MATCH($B$3,daily_items,0)))</f>
        <v>#N/A</v>
      </c>
      <c r="Z54" s="1" t="str">
        <f t="array" ref="Z54">IF(ISBLANK(INDEX(big_daily_table,MATCH(DATE(Z$5,$K54,$J54),daily_dates,0),MATCH($B$3,daily_items,0))),NA(),INDEX(big_daily_table,MATCH(DATE(Z$5,$K54,$J54),daily_dates,0),MATCH($B$3,daily_items,0)))</f>
        <v>#N/A</v>
      </c>
      <c r="AA54" s="1" t="str">
        <f t="shared" si="5"/>
        <v>#NAME?</v>
      </c>
      <c r="AB54" s="1" t="str">
        <f t="shared" si="6"/>
        <v>#NAME?</v>
      </c>
      <c r="AC54" s="1" t="str">
        <f t="shared" si="7"/>
        <v>#NAME?</v>
      </c>
      <c r="AD54" s="1" t="str">
        <f t="shared" si="8"/>
        <v>#NAME?</v>
      </c>
    </row>
    <row r="55" ht="14.25" customHeight="1">
      <c r="H55" s="1">
        <f t="shared" si="9"/>
        <v>50</v>
      </c>
      <c r="I55" s="1">
        <f>WEEKDAY('daily graphs'!K55)</f>
        <v>7</v>
      </c>
      <c r="J55" s="1">
        <f t="shared" si="2"/>
        <v>12</v>
      </c>
      <c r="K55" s="1">
        <f t="shared" si="3"/>
        <v>2</v>
      </c>
      <c r="L55" s="23">
        <f>'daily graphs'!K55 - I55</f>
        <v>36568</v>
      </c>
      <c r="M55" s="24">
        <f t="shared" si="4"/>
        <v>-1000000</v>
      </c>
      <c r="N55" s="24" t="str">
        <f t="array" ref="N55">IF(M55&gt;0,INDEX(big_daily_table,MATCH(DATE(O$5,$K55,$J55),daily_dates,0),MATCH($B$3,daily_items,0)),NA())</f>
        <v>#N/A</v>
      </c>
      <c r="O55" s="1" t="str">
        <f t="array" ref="O55">IF(M55&lt;0,INDEX(big_daily_table,MATCH(DATE(O$5,$K55,$J55),daily_dates,0),MATCH($B$3,daily_items,0)),NA())</f>
        <v>#N/A</v>
      </c>
      <c r="P55" s="1" t="str">
        <f t="array" ref="P55">IF(ISBLANK(INDEX(big_daily_table,MATCH(DATE(P$5,$K55,$J55),daily_dates,0),MATCH($B$3,daily_items,0))),NA(),INDEX(big_daily_table,MATCH(DATE(P$5,$K55,$J55),daily_dates,0),MATCH($B$3,daily_items,0)))</f>
        <v>#N/A</v>
      </c>
      <c r="Q55" s="1" t="str">
        <f t="array" ref="Q55">IF(ISBLANK(INDEX(big_daily_table,MATCH(DATE(Q$5,$K55,$J55),daily_dates,0),MATCH($B$3,daily_items,0))),NA(),INDEX(big_daily_table,MATCH(DATE(Q$5,$K55,$J55),daily_dates,0),MATCH($B$3,daily_items,0)))</f>
        <v>#N/A</v>
      </c>
      <c r="R55" s="1" t="str">
        <f t="array" ref="R55">IF(ISBLANK(INDEX(big_daily_table,MATCH(DATE(R$5,$K55,$J55),daily_dates,0),MATCH($B$3,daily_items,0))),NA(),INDEX(big_daily_table,MATCH(DATE(R$5,$K55,$J55),daily_dates,0),MATCH($B$3,daily_items,0)))</f>
        <v>#N/A</v>
      </c>
      <c r="S55" s="1" t="str">
        <f t="array" ref="S55">IF(ISBLANK(INDEX(big_daily_table,MATCH(DATE(S$5,$K55,$J55),daily_dates,0),MATCH($B$3,daily_items,0))),NA(),INDEX(big_daily_table,MATCH(DATE(S$5,$K55,$J55),daily_dates,0),MATCH($B$3,daily_items,0)))</f>
        <v>#N/A</v>
      </c>
      <c r="T55" s="1" t="str">
        <f t="array" ref="T55">IF(ISBLANK(INDEX(big_daily_table,MATCH(DATE(T$5,$K55,$J55),daily_dates,0),MATCH($B$3,daily_items,0))),NA(),INDEX(big_daily_table,MATCH(DATE(T$5,$K55,$J55),daily_dates,0),MATCH($B$3,daily_items,0)))</f>
        <v>#N/A</v>
      </c>
      <c r="U55" s="1" t="str">
        <f t="array" ref="U55">IF(ISBLANK(INDEX(big_daily_table,MATCH(DATE(U$5,$K55,$J55),daily_dates,0),MATCH($B$3,daily_items,0))),NA(),INDEX(big_daily_table,MATCH(DATE(U$5,$K55,$J55),daily_dates,0),MATCH($B$3,daily_items,0)))</f>
        <v>#N/A</v>
      </c>
      <c r="V55" s="1" t="str">
        <f t="array" ref="V55">IF(ISBLANK(INDEX(big_daily_table,MATCH(DATE(V$5,$K55,$J55),daily_dates,0),MATCH($B$3,daily_items,0))),NA(),INDEX(big_daily_table,MATCH(DATE(V$5,$K55,$J55),daily_dates,0),MATCH($B$3,daily_items,0)))</f>
        <v>#N/A</v>
      </c>
      <c r="W55" s="1" t="str">
        <f t="array" ref="W55">IF(ISBLANK(INDEX(big_daily_table,MATCH(DATE(W$5,$K55,$J55),daily_dates,0),MATCH($B$3,daily_items,0))),NA(),INDEX(big_daily_table,MATCH(DATE(W$5,$K55,$J55),daily_dates,0),MATCH($B$3,daily_items,0)))</f>
        <v>#N/A</v>
      </c>
      <c r="X55" s="1" t="str">
        <f t="array" ref="X55">IF(ISBLANK(INDEX(big_daily_table,MATCH(DATE(X$5,$K55,$J55),daily_dates,0),MATCH($B$3,daily_items,0))),NA(),INDEX(big_daily_table,MATCH(DATE(X$5,$K55,$J55),daily_dates,0),MATCH($B$3,daily_items,0)))</f>
        <v>#N/A</v>
      </c>
      <c r="Y55" s="1" t="str">
        <f t="array" ref="Y55">IF(ISBLANK(INDEX(big_daily_table,MATCH(DATE(Y$5,$K55,$J55),daily_dates,0),MATCH($B$3,daily_items,0))),NA(),INDEX(big_daily_table,MATCH(DATE(Y$5,$K55,$J55),daily_dates,0),MATCH($B$3,daily_items,0)))</f>
        <v>#N/A</v>
      </c>
      <c r="Z55" s="1" t="str">
        <f t="array" ref="Z55">IF(ISBLANK(INDEX(big_daily_table,MATCH(DATE(Z$5,$K55,$J55),daily_dates,0),MATCH($B$3,daily_items,0))),NA(),INDEX(big_daily_table,MATCH(DATE(Z$5,$K55,$J55),daily_dates,0),MATCH($B$3,daily_items,0)))</f>
        <v>#N/A</v>
      </c>
      <c r="AA55" s="1" t="str">
        <f t="shared" si="5"/>
        <v>#NAME?</v>
      </c>
      <c r="AB55" s="1" t="str">
        <f t="shared" si="6"/>
        <v>#NAME?</v>
      </c>
      <c r="AC55" s="1" t="str">
        <f t="shared" si="7"/>
        <v>#NAME?</v>
      </c>
      <c r="AD55" s="1" t="str">
        <f t="shared" si="8"/>
        <v>#NAME?</v>
      </c>
    </row>
    <row r="56" ht="14.25" customHeight="1">
      <c r="H56" s="1">
        <f t="shared" si="9"/>
        <v>51</v>
      </c>
      <c r="I56" s="1">
        <f>WEEKDAY('daily graphs'!K56)</f>
        <v>1</v>
      </c>
      <c r="J56" s="1">
        <f t="shared" si="2"/>
        <v>19</v>
      </c>
      <c r="K56" s="1">
        <f t="shared" si="3"/>
        <v>2</v>
      </c>
      <c r="L56" s="23">
        <f>'daily graphs'!K56 - I56</f>
        <v>36575</v>
      </c>
      <c r="M56" s="24">
        <f t="shared" si="4"/>
        <v>-1000000</v>
      </c>
      <c r="N56" s="24" t="str">
        <f t="array" ref="N56">IF(M56&gt;0,INDEX(big_daily_table,MATCH(DATE(O$5,$K56,$J56),daily_dates,0),MATCH($B$3,daily_items,0)),NA())</f>
        <v>#N/A</v>
      </c>
      <c r="O56" s="1" t="str">
        <f t="array" ref="O56">IF(M56&lt;0,INDEX(big_daily_table,MATCH(DATE(O$5,$K56,$J56),daily_dates,0),MATCH($B$3,daily_items,0)),NA())</f>
        <v>#N/A</v>
      </c>
      <c r="P56" s="1" t="str">
        <f t="array" ref="P56">IF(ISBLANK(INDEX(big_daily_table,MATCH(DATE(P$5,$K56,$J56),daily_dates,0),MATCH($B$3,daily_items,0))),NA(),INDEX(big_daily_table,MATCH(DATE(P$5,$K56,$J56),daily_dates,0),MATCH($B$3,daily_items,0)))</f>
        <v>#N/A</v>
      </c>
      <c r="Q56" s="1" t="str">
        <f t="array" ref="Q56">IF(ISBLANK(INDEX(big_daily_table,MATCH(DATE(Q$5,$K56,$J56),daily_dates,0),MATCH($B$3,daily_items,0))),NA(),INDEX(big_daily_table,MATCH(DATE(Q$5,$K56,$J56),daily_dates,0),MATCH($B$3,daily_items,0)))</f>
        <v>#N/A</v>
      </c>
      <c r="R56" s="1" t="str">
        <f t="array" ref="R56">IF(ISBLANK(INDEX(big_daily_table,MATCH(DATE(R$5,$K56,$J56),daily_dates,0),MATCH($B$3,daily_items,0))),NA(),INDEX(big_daily_table,MATCH(DATE(R$5,$K56,$J56),daily_dates,0),MATCH($B$3,daily_items,0)))</f>
        <v>#N/A</v>
      </c>
      <c r="S56" s="1" t="str">
        <f t="array" ref="S56">IF(ISBLANK(INDEX(big_daily_table,MATCH(DATE(S$5,$K56,$J56),daily_dates,0),MATCH($B$3,daily_items,0))),NA(),INDEX(big_daily_table,MATCH(DATE(S$5,$K56,$J56),daily_dates,0),MATCH($B$3,daily_items,0)))</f>
        <v>#N/A</v>
      </c>
      <c r="T56" s="1" t="str">
        <f t="array" ref="T56">IF(ISBLANK(INDEX(big_daily_table,MATCH(DATE(T$5,$K56,$J56),daily_dates,0),MATCH($B$3,daily_items,0))),NA(),INDEX(big_daily_table,MATCH(DATE(T$5,$K56,$J56),daily_dates,0),MATCH($B$3,daily_items,0)))</f>
        <v>#N/A</v>
      </c>
      <c r="U56" s="1" t="str">
        <f t="array" ref="U56">IF(ISBLANK(INDEX(big_daily_table,MATCH(DATE(U$5,$K56,$J56),daily_dates,0),MATCH($B$3,daily_items,0))),NA(),INDEX(big_daily_table,MATCH(DATE(U$5,$K56,$J56),daily_dates,0),MATCH($B$3,daily_items,0)))</f>
        <v>#N/A</v>
      </c>
      <c r="V56" s="1" t="str">
        <f t="array" ref="V56">IF(ISBLANK(INDEX(big_daily_table,MATCH(DATE(V$5,$K56,$J56),daily_dates,0),MATCH($B$3,daily_items,0))),NA(),INDEX(big_daily_table,MATCH(DATE(V$5,$K56,$J56),daily_dates,0),MATCH($B$3,daily_items,0)))</f>
        <v>#N/A</v>
      </c>
      <c r="W56" s="1" t="str">
        <f t="array" ref="W56">IF(ISBLANK(INDEX(big_daily_table,MATCH(DATE(W$5,$K56,$J56),daily_dates,0),MATCH($B$3,daily_items,0))),NA(),INDEX(big_daily_table,MATCH(DATE(W$5,$K56,$J56),daily_dates,0),MATCH($B$3,daily_items,0)))</f>
        <v>#N/A</v>
      </c>
      <c r="X56" s="1" t="str">
        <f t="array" ref="X56">IF(ISBLANK(INDEX(big_daily_table,MATCH(DATE(X$5,$K56,$J56),daily_dates,0),MATCH($B$3,daily_items,0))),NA(),INDEX(big_daily_table,MATCH(DATE(X$5,$K56,$J56),daily_dates,0),MATCH($B$3,daily_items,0)))</f>
        <v>#N/A</v>
      </c>
      <c r="Y56" s="1" t="str">
        <f t="array" ref="Y56">IF(ISBLANK(INDEX(big_daily_table,MATCH(DATE(Y$5,$K56,$J56),daily_dates,0),MATCH($B$3,daily_items,0))),NA(),INDEX(big_daily_table,MATCH(DATE(Y$5,$K56,$J56),daily_dates,0),MATCH($B$3,daily_items,0)))</f>
        <v>#N/A</v>
      </c>
      <c r="Z56" s="1" t="str">
        <f t="array" ref="Z56">IF(ISBLANK(INDEX(big_daily_table,MATCH(DATE(Z$5,$K56,$J56),daily_dates,0),MATCH($B$3,daily_items,0))),NA(),INDEX(big_daily_table,MATCH(DATE(Z$5,$K56,$J56),daily_dates,0),MATCH($B$3,daily_items,0)))</f>
        <v>#N/A</v>
      </c>
      <c r="AA56" s="1" t="str">
        <f t="shared" si="5"/>
        <v>#NAME?</v>
      </c>
      <c r="AB56" s="1" t="str">
        <f t="shared" si="6"/>
        <v>#NAME?</v>
      </c>
      <c r="AC56" s="1" t="str">
        <f t="shared" si="7"/>
        <v>#NAME?</v>
      </c>
      <c r="AD56" s="1" t="str">
        <f t="shared" si="8"/>
        <v>#NAME?</v>
      </c>
    </row>
    <row r="57" ht="14.25" customHeight="1">
      <c r="H57" s="1">
        <f t="shared" si="9"/>
        <v>52</v>
      </c>
      <c r="I57" s="1">
        <f>WEEKDAY('daily graphs'!K57)</f>
        <v>2</v>
      </c>
      <c r="J57" s="1">
        <f t="shared" si="2"/>
        <v>19</v>
      </c>
      <c r="K57" s="1">
        <f t="shared" si="3"/>
        <v>2</v>
      </c>
      <c r="L57" s="23">
        <f>'daily graphs'!K57 - I57</f>
        <v>36575</v>
      </c>
      <c r="M57" s="24">
        <f t="shared" si="4"/>
        <v>-1000000</v>
      </c>
      <c r="N57" s="24" t="str">
        <f t="array" ref="N57">IF(M57&gt;0,INDEX(big_daily_table,MATCH(DATE(O$5,$K57,$J57),daily_dates,0),MATCH($B$3,daily_items,0)),NA())</f>
        <v>#N/A</v>
      </c>
      <c r="O57" s="1" t="str">
        <f t="array" ref="O57">IF(M57&lt;0,INDEX(big_daily_table,MATCH(DATE(O$5,$K57,$J57),daily_dates,0),MATCH($B$3,daily_items,0)),NA())</f>
        <v>#N/A</v>
      </c>
      <c r="P57" s="1" t="str">
        <f t="array" ref="P57">IF(ISBLANK(INDEX(big_daily_table,MATCH(DATE(P$5,$K57,$J57),daily_dates,0),MATCH($B$3,daily_items,0))),NA(),INDEX(big_daily_table,MATCH(DATE(P$5,$K57,$J57),daily_dates,0),MATCH($B$3,daily_items,0)))</f>
        <v>#N/A</v>
      </c>
      <c r="Q57" s="1" t="str">
        <f t="array" ref="Q57">IF(ISBLANK(INDEX(big_daily_table,MATCH(DATE(Q$5,$K57,$J57),daily_dates,0),MATCH($B$3,daily_items,0))),NA(),INDEX(big_daily_table,MATCH(DATE(Q$5,$K57,$J57),daily_dates,0),MATCH($B$3,daily_items,0)))</f>
        <v>#N/A</v>
      </c>
      <c r="R57" s="1" t="str">
        <f t="array" ref="R57">IF(ISBLANK(INDEX(big_daily_table,MATCH(DATE(R$5,$K57,$J57),daily_dates,0),MATCH($B$3,daily_items,0))),NA(),INDEX(big_daily_table,MATCH(DATE(R$5,$K57,$J57),daily_dates,0),MATCH($B$3,daily_items,0)))</f>
        <v>#N/A</v>
      </c>
      <c r="S57" s="1" t="str">
        <f t="array" ref="S57">IF(ISBLANK(INDEX(big_daily_table,MATCH(DATE(S$5,$K57,$J57),daily_dates,0),MATCH($B$3,daily_items,0))),NA(),INDEX(big_daily_table,MATCH(DATE(S$5,$K57,$J57),daily_dates,0),MATCH($B$3,daily_items,0)))</f>
        <v>#N/A</v>
      </c>
      <c r="T57" s="1" t="str">
        <f t="array" ref="T57">IF(ISBLANK(INDEX(big_daily_table,MATCH(DATE(T$5,$K57,$J57),daily_dates,0),MATCH($B$3,daily_items,0))),NA(),INDEX(big_daily_table,MATCH(DATE(T$5,$K57,$J57),daily_dates,0),MATCH($B$3,daily_items,0)))</f>
        <v>#N/A</v>
      </c>
      <c r="U57" s="1" t="str">
        <f t="array" ref="U57">IF(ISBLANK(INDEX(big_daily_table,MATCH(DATE(U$5,$K57,$J57),daily_dates,0),MATCH($B$3,daily_items,0))),NA(),INDEX(big_daily_table,MATCH(DATE(U$5,$K57,$J57),daily_dates,0),MATCH($B$3,daily_items,0)))</f>
        <v>#N/A</v>
      </c>
      <c r="V57" s="1" t="str">
        <f t="array" ref="V57">IF(ISBLANK(INDEX(big_daily_table,MATCH(DATE(V$5,$K57,$J57),daily_dates,0),MATCH($B$3,daily_items,0))),NA(),INDEX(big_daily_table,MATCH(DATE(V$5,$K57,$J57),daily_dates,0),MATCH($B$3,daily_items,0)))</f>
        <v>#N/A</v>
      </c>
      <c r="W57" s="1" t="str">
        <f t="array" ref="W57">IF(ISBLANK(INDEX(big_daily_table,MATCH(DATE(W$5,$K57,$J57),daily_dates,0),MATCH($B$3,daily_items,0))),NA(),INDEX(big_daily_table,MATCH(DATE(W$5,$K57,$J57),daily_dates,0),MATCH($B$3,daily_items,0)))</f>
        <v>#N/A</v>
      </c>
      <c r="X57" s="1" t="str">
        <f t="array" ref="X57">IF(ISBLANK(INDEX(big_daily_table,MATCH(DATE(X$5,$K57,$J57),daily_dates,0),MATCH($B$3,daily_items,0))),NA(),INDEX(big_daily_table,MATCH(DATE(X$5,$K57,$J57),daily_dates,0),MATCH($B$3,daily_items,0)))</f>
        <v>#N/A</v>
      </c>
      <c r="Y57" s="1" t="str">
        <f t="array" ref="Y57">IF(ISBLANK(INDEX(big_daily_table,MATCH(DATE(Y$5,$K57,$J57),daily_dates,0),MATCH($B$3,daily_items,0))),NA(),INDEX(big_daily_table,MATCH(DATE(Y$5,$K57,$J57),daily_dates,0),MATCH($B$3,daily_items,0)))</f>
        <v>#N/A</v>
      </c>
      <c r="Z57" s="1" t="str">
        <f t="array" ref="Z57">IF(ISBLANK(INDEX(big_daily_table,MATCH(DATE(Z$5,$K57,$J57),daily_dates,0),MATCH($B$3,daily_items,0))),NA(),INDEX(big_daily_table,MATCH(DATE(Z$5,$K57,$J57),daily_dates,0),MATCH($B$3,daily_items,0)))</f>
        <v>#N/A</v>
      </c>
      <c r="AA57" s="1" t="str">
        <f t="shared" si="5"/>
        <v>#NAME?</v>
      </c>
      <c r="AB57" s="1" t="str">
        <f t="shared" si="6"/>
        <v>#NAME?</v>
      </c>
      <c r="AC57" s="1" t="str">
        <f t="shared" si="7"/>
        <v>#NAME?</v>
      </c>
      <c r="AD57" s="1" t="str">
        <f t="shared" si="8"/>
        <v>#NAME?</v>
      </c>
    </row>
    <row r="58" ht="14.25" customHeight="1">
      <c r="H58" s="1">
        <f t="shared" si="9"/>
        <v>53</v>
      </c>
      <c r="I58" s="1">
        <f>WEEKDAY('daily graphs'!K58)</f>
        <v>3</v>
      </c>
      <c r="J58" s="1">
        <f t="shared" si="2"/>
        <v>19</v>
      </c>
      <c r="K58" s="1">
        <f t="shared" si="3"/>
        <v>2</v>
      </c>
      <c r="L58" s="23">
        <f>'daily graphs'!K58 - I58</f>
        <v>36575</v>
      </c>
      <c r="M58" s="24">
        <f t="shared" si="4"/>
        <v>-1000000</v>
      </c>
      <c r="N58" s="24" t="str">
        <f t="array" ref="N58">IF(M58&gt;0,INDEX(big_daily_table,MATCH(DATE(O$5,$K58,$J58),daily_dates,0),MATCH($B$3,daily_items,0)),NA())</f>
        <v>#N/A</v>
      </c>
      <c r="O58" s="1" t="str">
        <f t="array" ref="O58">IF(M58&lt;0,INDEX(big_daily_table,MATCH(DATE(O$5,$K58,$J58),daily_dates,0),MATCH($B$3,daily_items,0)),NA())</f>
        <v>#N/A</v>
      </c>
      <c r="P58" s="1" t="str">
        <f t="array" ref="P58">IF(ISBLANK(INDEX(big_daily_table,MATCH(DATE(P$5,$K58,$J58),daily_dates,0),MATCH($B$3,daily_items,0))),NA(),INDEX(big_daily_table,MATCH(DATE(P$5,$K58,$J58),daily_dates,0),MATCH($B$3,daily_items,0)))</f>
        <v>#N/A</v>
      </c>
      <c r="Q58" s="1" t="str">
        <f t="array" ref="Q58">IF(ISBLANK(INDEX(big_daily_table,MATCH(DATE(Q$5,$K58,$J58),daily_dates,0),MATCH($B$3,daily_items,0))),NA(),INDEX(big_daily_table,MATCH(DATE(Q$5,$K58,$J58),daily_dates,0),MATCH($B$3,daily_items,0)))</f>
        <v>#N/A</v>
      </c>
      <c r="R58" s="1" t="str">
        <f t="array" ref="R58">IF(ISBLANK(INDEX(big_daily_table,MATCH(DATE(R$5,$K58,$J58),daily_dates,0),MATCH($B$3,daily_items,0))),NA(),INDEX(big_daily_table,MATCH(DATE(R$5,$K58,$J58),daily_dates,0),MATCH($B$3,daily_items,0)))</f>
        <v>#N/A</v>
      </c>
      <c r="S58" s="1" t="str">
        <f t="array" ref="S58">IF(ISBLANK(INDEX(big_daily_table,MATCH(DATE(S$5,$K58,$J58),daily_dates,0),MATCH($B$3,daily_items,0))),NA(),INDEX(big_daily_table,MATCH(DATE(S$5,$K58,$J58),daily_dates,0),MATCH($B$3,daily_items,0)))</f>
        <v>#N/A</v>
      </c>
      <c r="T58" s="1" t="str">
        <f t="array" ref="T58">IF(ISBLANK(INDEX(big_daily_table,MATCH(DATE(T$5,$K58,$J58),daily_dates,0),MATCH($B$3,daily_items,0))),NA(),INDEX(big_daily_table,MATCH(DATE(T$5,$K58,$J58),daily_dates,0),MATCH($B$3,daily_items,0)))</f>
        <v>#N/A</v>
      </c>
      <c r="U58" s="1" t="str">
        <f t="array" ref="U58">IF(ISBLANK(INDEX(big_daily_table,MATCH(DATE(U$5,$K58,$J58),daily_dates,0),MATCH($B$3,daily_items,0))),NA(),INDEX(big_daily_table,MATCH(DATE(U$5,$K58,$J58),daily_dates,0),MATCH($B$3,daily_items,0)))</f>
        <v>#N/A</v>
      </c>
      <c r="V58" s="1" t="str">
        <f t="array" ref="V58">IF(ISBLANK(INDEX(big_daily_table,MATCH(DATE(V$5,$K58,$J58),daily_dates,0),MATCH($B$3,daily_items,0))),NA(),INDEX(big_daily_table,MATCH(DATE(V$5,$K58,$J58),daily_dates,0),MATCH($B$3,daily_items,0)))</f>
        <v>#N/A</v>
      </c>
      <c r="W58" s="1" t="str">
        <f t="array" ref="W58">IF(ISBLANK(INDEX(big_daily_table,MATCH(DATE(W$5,$K58,$J58),daily_dates,0),MATCH($B$3,daily_items,0))),NA(),INDEX(big_daily_table,MATCH(DATE(W$5,$K58,$J58),daily_dates,0),MATCH($B$3,daily_items,0)))</f>
        <v>#N/A</v>
      </c>
      <c r="X58" s="1" t="str">
        <f t="array" ref="X58">IF(ISBLANK(INDEX(big_daily_table,MATCH(DATE(X$5,$K58,$J58),daily_dates,0),MATCH($B$3,daily_items,0))),NA(),INDEX(big_daily_table,MATCH(DATE(X$5,$K58,$J58),daily_dates,0),MATCH($B$3,daily_items,0)))</f>
        <v>#N/A</v>
      </c>
      <c r="Y58" s="1" t="str">
        <f t="array" ref="Y58">IF(ISBLANK(INDEX(big_daily_table,MATCH(DATE(Y$5,$K58,$J58),daily_dates,0),MATCH($B$3,daily_items,0))),NA(),INDEX(big_daily_table,MATCH(DATE(Y$5,$K58,$J58),daily_dates,0),MATCH($B$3,daily_items,0)))</f>
        <v>#N/A</v>
      </c>
      <c r="Z58" s="1" t="str">
        <f t="array" ref="Z58">IF(ISBLANK(INDEX(big_daily_table,MATCH(DATE(Z$5,$K58,$J58),daily_dates,0),MATCH($B$3,daily_items,0))),NA(),INDEX(big_daily_table,MATCH(DATE(Z$5,$K58,$J58),daily_dates,0),MATCH($B$3,daily_items,0)))</f>
        <v>#N/A</v>
      </c>
      <c r="AA58" s="1" t="str">
        <f t="shared" si="5"/>
        <v>#NAME?</v>
      </c>
      <c r="AB58" s="1" t="str">
        <f t="shared" si="6"/>
        <v>#NAME?</v>
      </c>
      <c r="AC58" s="1" t="str">
        <f t="shared" si="7"/>
        <v>#NAME?</v>
      </c>
      <c r="AD58" s="1" t="str">
        <f t="shared" si="8"/>
        <v>#NAME?</v>
      </c>
    </row>
    <row r="59" ht="14.25" customHeight="1">
      <c r="H59" s="1">
        <f t="shared" si="9"/>
        <v>54</v>
      </c>
      <c r="I59" s="1">
        <f>WEEKDAY('daily graphs'!K59)</f>
        <v>4</v>
      </c>
      <c r="J59" s="1">
        <f t="shared" si="2"/>
        <v>19</v>
      </c>
      <c r="K59" s="1">
        <f t="shared" si="3"/>
        <v>2</v>
      </c>
      <c r="L59" s="23">
        <f>'daily graphs'!K59 - I59</f>
        <v>36575</v>
      </c>
      <c r="M59" s="24">
        <f t="shared" si="4"/>
        <v>-1000000</v>
      </c>
      <c r="N59" s="24" t="str">
        <f t="array" ref="N59">IF(M59&gt;0,INDEX(big_daily_table,MATCH(DATE(O$5,$K59,$J59),daily_dates,0),MATCH($B$3,daily_items,0)),NA())</f>
        <v>#N/A</v>
      </c>
      <c r="O59" s="1" t="str">
        <f t="array" ref="O59">IF(M59&lt;0,INDEX(big_daily_table,MATCH(DATE(O$5,$K59,$J59),daily_dates,0),MATCH($B$3,daily_items,0)),NA())</f>
        <v>#N/A</v>
      </c>
      <c r="P59" s="1" t="str">
        <f t="array" ref="P59">IF(ISBLANK(INDEX(big_daily_table,MATCH(DATE(P$5,$K59,$J59),daily_dates,0),MATCH($B$3,daily_items,0))),NA(),INDEX(big_daily_table,MATCH(DATE(P$5,$K59,$J59),daily_dates,0),MATCH($B$3,daily_items,0)))</f>
        <v>#N/A</v>
      </c>
      <c r="Q59" s="1" t="str">
        <f t="array" ref="Q59">IF(ISBLANK(INDEX(big_daily_table,MATCH(DATE(Q$5,$K59,$J59),daily_dates,0),MATCH($B$3,daily_items,0))),NA(),INDEX(big_daily_table,MATCH(DATE(Q$5,$K59,$J59),daily_dates,0),MATCH($B$3,daily_items,0)))</f>
        <v>#N/A</v>
      </c>
      <c r="R59" s="1" t="str">
        <f t="array" ref="R59">IF(ISBLANK(INDEX(big_daily_table,MATCH(DATE(R$5,$K59,$J59),daily_dates,0),MATCH($B$3,daily_items,0))),NA(),INDEX(big_daily_table,MATCH(DATE(R$5,$K59,$J59),daily_dates,0),MATCH($B$3,daily_items,0)))</f>
        <v>#N/A</v>
      </c>
      <c r="S59" s="1" t="str">
        <f t="array" ref="S59">IF(ISBLANK(INDEX(big_daily_table,MATCH(DATE(S$5,$K59,$J59),daily_dates,0),MATCH($B$3,daily_items,0))),NA(),INDEX(big_daily_table,MATCH(DATE(S$5,$K59,$J59),daily_dates,0),MATCH($B$3,daily_items,0)))</f>
        <v>#N/A</v>
      </c>
      <c r="T59" s="1" t="str">
        <f t="array" ref="T59">IF(ISBLANK(INDEX(big_daily_table,MATCH(DATE(T$5,$K59,$J59),daily_dates,0),MATCH($B$3,daily_items,0))),NA(),INDEX(big_daily_table,MATCH(DATE(T$5,$K59,$J59),daily_dates,0),MATCH($B$3,daily_items,0)))</f>
        <v>#N/A</v>
      </c>
      <c r="U59" s="1" t="str">
        <f t="array" ref="U59">IF(ISBLANK(INDEX(big_daily_table,MATCH(DATE(U$5,$K59,$J59),daily_dates,0),MATCH($B$3,daily_items,0))),NA(),INDEX(big_daily_table,MATCH(DATE(U$5,$K59,$J59),daily_dates,0),MATCH($B$3,daily_items,0)))</f>
        <v>#N/A</v>
      </c>
      <c r="V59" s="1" t="str">
        <f t="array" ref="V59">IF(ISBLANK(INDEX(big_daily_table,MATCH(DATE(V$5,$K59,$J59),daily_dates,0),MATCH($B$3,daily_items,0))),NA(),INDEX(big_daily_table,MATCH(DATE(V$5,$K59,$J59),daily_dates,0),MATCH($B$3,daily_items,0)))</f>
        <v>#N/A</v>
      </c>
      <c r="W59" s="1" t="str">
        <f t="array" ref="W59">IF(ISBLANK(INDEX(big_daily_table,MATCH(DATE(W$5,$K59,$J59),daily_dates,0),MATCH($B$3,daily_items,0))),NA(),INDEX(big_daily_table,MATCH(DATE(W$5,$K59,$J59),daily_dates,0),MATCH($B$3,daily_items,0)))</f>
        <v>#N/A</v>
      </c>
      <c r="X59" s="1" t="str">
        <f t="array" ref="X59">IF(ISBLANK(INDEX(big_daily_table,MATCH(DATE(X$5,$K59,$J59),daily_dates,0),MATCH($B$3,daily_items,0))),NA(),INDEX(big_daily_table,MATCH(DATE(X$5,$K59,$J59),daily_dates,0),MATCH($B$3,daily_items,0)))</f>
        <v>#N/A</v>
      </c>
      <c r="Y59" s="1" t="str">
        <f t="array" ref="Y59">IF(ISBLANK(INDEX(big_daily_table,MATCH(DATE(Y$5,$K59,$J59),daily_dates,0),MATCH($B$3,daily_items,0))),NA(),INDEX(big_daily_table,MATCH(DATE(Y$5,$K59,$J59),daily_dates,0),MATCH($B$3,daily_items,0)))</f>
        <v>#N/A</v>
      </c>
      <c r="Z59" s="1" t="str">
        <f t="array" ref="Z59">IF(ISBLANK(INDEX(big_daily_table,MATCH(DATE(Z$5,$K59,$J59),daily_dates,0),MATCH($B$3,daily_items,0))),NA(),INDEX(big_daily_table,MATCH(DATE(Z$5,$K59,$J59),daily_dates,0),MATCH($B$3,daily_items,0)))</f>
        <v>#N/A</v>
      </c>
      <c r="AA59" s="1" t="str">
        <f t="shared" si="5"/>
        <v>#NAME?</v>
      </c>
      <c r="AB59" s="1" t="str">
        <f t="shared" si="6"/>
        <v>#NAME?</v>
      </c>
      <c r="AC59" s="1" t="str">
        <f t="shared" si="7"/>
        <v>#NAME?</v>
      </c>
      <c r="AD59" s="1" t="str">
        <f t="shared" si="8"/>
        <v>#NAME?</v>
      </c>
    </row>
    <row r="60" ht="14.25" customHeight="1">
      <c r="H60" s="1">
        <f t="shared" si="9"/>
        <v>55</v>
      </c>
      <c r="I60" s="1">
        <f>WEEKDAY('daily graphs'!K60)</f>
        <v>5</v>
      </c>
      <c r="J60" s="1">
        <f t="shared" si="2"/>
        <v>19</v>
      </c>
      <c r="K60" s="1">
        <f t="shared" si="3"/>
        <v>2</v>
      </c>
      <c r="L60" s="23">
        <f>'daily graphs'!K60 - I60</f>
        <v>36575</v>
      </c>
      <c r="M60" s="24">
        <f t="shared" si="4"/>
        <v>-1000000</v>
      </c>
      <c r="N60" s="24" t="str">
        <f t="array" ref="N60">IF(M60&gt;0,INDEX(big_daily_table,MATCH(DATE(O$5,$K60,$J60),daily_dates,0),MATCH($B$3,daily_items,0)),NA())</f>
        <v>#N/A</v>
      </c>
      <c r="O60" s="1" t="str">
        <f t="array" ref="O60">IF(M60&lt;0,INDEX(big_daily_table,MATCH(DATE(O$5,$K60,$J60),daily_dates,0),MATCH($B$3,daily_items,0)),NA())</f>
        <v>#N/A</v>
      </c>
      <c r="P60" s="1" t="str">
        <f t="array" ref="P60">IF(ISBLANK(INDEX(big_daily_table,MATCH(DATE(P$5,$K60,$J60),daily_dates,0),MATCH($B$3,daily_items,0))),NA(),INDEX(big_daily_table,MATCH(DATE(P$5,$K60,$J60),daily_dates,0),MATCH($B$3,daily_items,0)))</f>
        <v>#N/A</v>
      </c>
      <c r="Q60" s="1" t="str">
        <f t="array" ref="Q60">IF(ISBLANK(INDEX(big_daily_table,MATCH(DATE(Q$5,$K60,$J60),daily_dates,0),MATCH($B$3,daily_items,0))),NA(),INDEX(big_daily_table,MATCH(DATE(Q$5,$K60,$J60),daily_dates,0),MATCH($B$3,daily_items,0)))</f>
        <v>#N/A</v>
      </c>
      <c r="R60" s="1" t="str">
        <f t="array" ref="R60">IF(ISBLANK(INDEX(big_daily_table,MATCH(DATE(R$5,$K60,$J60),daily_dates,0),MATCH($B$3,daily_items,0))),NA(),INDEX(big_daily_table,MATCH(DATE(R$5,$K60,$J60),daily_dates,0),MATCH($B$3,daily_items,0)))</f>
        <v>#N/A</v>
      </c>
      <c r="S60" s="1" t="str">
        <f t="array" ref="S60">IF(ISBLANK(INDEX(big_daily_table,MATCH(DATE(S$5,$K60,$J60),daily_dates,0),MATCH($B$3,daily_items,0))),NA(),INDEX(big_daily_table,MATCH(DATE(S$5,$K60,$J60),daily_dates,0),MATCH($B$3,daily_items,0)))</f>
        <v>#N/A</v>
      </c>
      <c r="T60" s="1" t="str">
        <f t="array" ref="T60">IF(ISBLANK(INDEX(big_daily_table,MATCH(DATE(T$5,$K60,$J60),daily_dates,0),MATCH($B$3,daily_items,0))),NA(),INDEX(big_daily_table,MATCH(DATE(T$5,$K60,$J60),daily_dates,0),MATCH($B$3,daily_items,0)))</f>
        <v>#N/A</v>
      </c>
      <c r="U60" s="1" t="str">
        <f t="array" ref="U60">IF(ISBLANK(INDEX(big_daily_table,MATCH(DATE(U$5,$K60,$J60),daily_dates,0),MATCH($B$3,daily_items,0))),NA(),INDEX(big_daily_table,MATCH(DATE(U$5,$K60,$J60),daily_dates,0),MATCH($B$3,daily_items,0)))</f>
        <v>#N/A</v>
      </c>
      <c r="V60" s="1" t="str">
        <f t="array" ref="V60">IF(ISBLANK(INDEX(big_daily_table,MATCH(DATE(V$5,$K60,$J60),daily_dates,0),MATCH($B$3,daily_items,0))),NA(),INDEX(big_daily_table,MATCH(DATE(V$5,$K60,$J60),daily_dates,0),MATCH($B$3,daily_items,0)))</f>
        <v>#N/A</v>
      </c>
      <c r="W60" s="1" t="str">
        <f t="array" ref="W60">IF(ISBLANK(INDEX(big_daily_table,MATCH(DATE(W$5,$K60,$J60),daily_dates,0),MATCH($B$3,daily_items,0))),NA(),INDEX(big_daily_table,MATCH(DATE(W$5,$K60,$J60),daily_dates,0),MATCH($B$3,daily_items,0)))</f>
        <v>#N/A</v>
      </c>
      <c r="X60" s="1" t="str">
        <f t="array" ref="X60">IF(ISBLANK(INDEX(big_daily_table,MATCH(DATE(X$5,$K60,$J60),daily_dates,0),MATCH($B$3,daily_items,0))),NA(),INDEX(big_daily_table,MATCH(DATE(X$5,$K60,$J60),daily_dates,0),MATCH($B$3,daily_items,0)))</f>
        <v>#N/A</v>
      </c>
      <c r="Y60" s="1" t="str">
        <f t="array" ref="Y60">IF(ISBLANK(INDEX(big_daily_table,MATCH(DATE(Y$5,$K60,$J60),daily_dates,0),MATCH($B$3,daily_items,0))),NA(),INDEX(big_daily_table,MATCH(DATE(Y$5,$K60,$J60),daily_dates,0),MATCH($B$3,daily_items,0)))</f>
        <v>#N/A</v>
      </c>
      <c r="Z60" s="1" t="str">
        <f t="array" ref="Z60">IF(ISBLANK(INDEX(big_daily_table,MATCH(DATE(Z$5,$K60,$J60),daily_dates,0),MATCH($B$3,daily_items,0))),NA(),INDEX(big_daily_table,MATCH(DATE(Z$5,$K60,$J60),daily_dates,0),MATCH($B$3,daily_items,0)))</f>
        <v>#N/A</v>
      </c>
      <c r="AA60" s="1" t="str">
        <f t="shared" si="5"/>
        <v>#NAME?</v>
      </c>
      <c r="AB60" s="1" t="str">
        <f t="shared" si="6"/>
        <v>#NAME?</v>
      </c>
      <c r="AC60" s="1" t="str">
        <f t="shared" si="7"/>
        <v>#NAME?</v>
      </c>
      <c r="AD60" s="1" t="str">
        <f t="shared" si="8"/>
        <v>#NAME?</v>
      </c>
    </row>
    <row r="61" ht="14.25" customHeight="1">
      <c r="H61" s="1">
        <f t="shared" si="9"/>
        <v>56</v>
      </c>
      <c r="I61" s="1">
        <f>WEEKDAY('daily graphs'!K61)</f>
        <v>6</v>
      </c>
      <c r="J61" s="1">
        <f t="shared" si="2"/>
        <v>19</v>
      </c>
      <c r="K61" s="1">
        <f t="shared" si="3"/>
        <v>2</v>
      </c>
      <c r="L61" s="23">
        <f>'daily graphs'!K61 - I61</f>
        <v>36575</v>
      </c>
      <c r="M61" s="24">
        <f t="shared" si="4"/>
        <v>-1000000</v>
      </c>
      <c r="N61" s="24" t="str">
        <f t="array" ref="N61">IF(M61&gt;0,INDEX(big_daily_table,MATCH(DATE(O$5,$K61,$J61),daily_dates,0),MATCH($B$3,daily_items,0)),NA())</f>
        <v>#N/A</v>
      </c>
      <c r="O61" s="1" t="str">
        <f t="array" ref="O61">IF(M61&lt;0,INDEX(big_daily_table,MATCH(DATE(O$5,$K61,$J61),daily_dates,0),MATCH($B$3,daily_items,0)),NA())</f>
        <v>#N/A</v>
      </c>
      <c r="P61" s="1" t="str">
        <f t="array" ref="P61">IF(ISBLANK(INDEX(big_daily_table,MATCH(DATE(P$5,$K61,$J61),daily_dates,0),MATCH($B$3,daily_items,0))),NA(),INDEX(big_daily_table,MATCH(DATE(P$5,$K61,$J61),daily_dates,0),MATCH($B$3,daily_items,0)))</f>
        <v>#N/A</v>
      </c>
      <c r="Q61" s="1" t="str">
        <f t="array" ref="Q61">IF(ISBLANK(INDEX(big_daily_table,MATCH(DATE(Q$5,$K61,$J61),daily_dates,0),MATCH($B$3,daily_items,0))),NA(),INDEX(big_daily_table,MATCH(DATE(Q$5,$K61,$J61),daily_dates,0),MATCH($B$3,daily_items,0)))</f>
        <v>#N/A</v>
      </c>
      <c r="R61" s="1" t="str">
        <f t="array" ref="R61">IF(ISBLANK(INDEX(big_daily_table,MATCH(DATE(R$5,$K61,$J61),daily_dates,0),MATCH($B$3,daily_items,0))),NA(),INDEX(big_daily_table,MATCH(DATE(R$5,$K61,$J61),daily_dates,0),MATCH($B$3,daily_items,0)))</f>
        <v>#N/A</v>
      </c>
      <c r="S61" s="1" t="str">
        <f t="array" ref="S61">IF(ISBLANK(INDEX(big_daily_table,MATCH(DATE(S$5,$K61,$J61),daily_dates,0),MATCH($B$3,daily_items,0))),NA(),INDEX(big_daily_table,MATCH(DATE(S$5,$K61,$J61),daily_dates,0),MATCH($B$3,daily_items,0)))</f>
        <v>#N/A</v>
      </c>
      <c r="T61" s="1" t="str">
        <f t="array" ref="T61">IF(ISBLANK(INDEX(big_daily_table,MATCH(DATE(T$5,$K61,$J61),daily_dates,0),MATCH($B$3,daily_items,0))),NA(),INDEX(big_daily_table,MATCH(DATE(T$5,$K61,$J61),daily_dates,0),MATCH($B$3,daily_items,0)))</f>
        <v>#N/A</v>
      </c>
      <c r="U61" s="1" t="str">
        <f t="array" ref="U61">IF(ISBLANK(INDEX(big_daily_table,MATCH(DATE(U$5,$K61,$J61),daily_dates,0),MATCH($B$3,daily_items,0))),NA(),INDEX(big_daily_table,MATCH(DATE(U$5,$K61,$J61),daily_dates,0),MATCH($B$3,daily_items,0)))</f>
        <v>#N/A</v>
      </c>
      <c r="V61" s="1" t="str">
        <f t="array" ref="V61">IF(ISBLANK(INDEX(big_daily_table,MATCH(DATE(V$5,$K61,$J61),daily_dates,0),MATCH($B$3,daily_items,0))),NA(),INDEX(big_daily_table,MATCH(DATE(V$5,$K61,$J61),daily_dates,0),MATCH($B$3,daily_items,0)))</f>
        <v>#N/A</v>
      </c>
      <c r="W61" s="1" t="str">
        <f t="array" ref="W61">IF(ISBLANK(INDEX(big_daily_table,MATCH(DATE(W$5,$K61,$J61),daily_dates,0),MATCH($B$3,daily_items,0))),NA(),INDEX(big_daily_table,MATCH(DATE(W$5,$K61,$J61),daily_dates,0),MATCH($B$3,daily_items,0)))</f>
        <v>#N/A</v>
      </c>
      <c r="X61" s="1" t="str">
        <f t="array" ref="X61">IF(ISBLANK(INDEX(big_daily_table,MATCH(DATE(X$5,$K61,$J61),daily_dates,0),MATCH($B$3,daily_items,0))),NA(),INDEX(big_daily_table,MATCH(DATE(X$5,$K61,$J61),daily_dates,0),MATCH($B$3,daily_items,0)))</f>
        <v>#N/A</v>
      </c>
      <c r="Y61" s="1" t="str">
        <f t="array" ref="Y61">IF(ISBLANK(INDEX(big_daily_table,MATCH(DATE(Y$5,$K61,$J61),daily_dates,0),MATCH($B$3,daily_items,0))),NA(),INDEX(big_daily_table,MATCH(DATE(Y$5,$K61,$J61),daily_dates,0),MATCH($B$3,daily_items,0)))</f>
        <v>#N/A</v>
      </c>
      <c r="Z61" s="1" t="str">
        <f t="array" ref="Z61">IF(ISBLANK(INDEX(big_daily_table,MATCH(DATE(Z$5,$K61,$J61),daily_dates,0),MATCH($B$3,daily_items,0))),NA(),INDEX(big_daily_table,MATCH(DATE(Z$5,$K61,$J61),daily_dates,0),MATCH($B$3,daily_items,0)))</f>
        <v>#N/A</v>
      </c>
      <c r="AA61" s="1" t="str">
        <f t="shared" si="5"/>
        <v>#NAME?</v>
      </c>
      <c r="AB61" s="1" t="str">
        <f t="shared" si="6"/>
        <v>#NAME?</v>
      </c>
      <c r="AC61" s="1" t="str">
        <f t="shared" si="7"/>
        <v>#NAME?</v>
      </c>
      <c r="AD61" s="1" t="str">
        <f t="shared" si="8"/>
        <v>#NAME?</v>
      </c>
    </row>
    <row r="62" ht="14.25" customHeight="1">
      <c r="H62" s="1">
        <f t="shared" si="9"/>
        <v>57</v>
      </c>
      <c r="I62" s="1">
        <f>WEEKDAY('daily graphs'!K62)</f>
        <v>7</v>
      </c>
      <c r="J62" s="1">
        <f t="shared" si="2"/>
        <v>19</v>
      </c>
      <c r="K62" s="1">
        <f t="shared" si="3"/>
        <v>2</v>
      </c>
      <c r="L62" s="23">
        <f>'daily graphs'!K62 - I62</f>
        <v>36575</v>
      </c>
      <c r="M62" s="24">
        <f t="shared" si="4"/>
        <v>-1000000</v>
      </c>
      <c r="N62" s="24" t="str">
        <f t="array" ref="N62">IF(M62&gt;0,INDEX(big_daily_table,MATCH(DATE(O$5,$K62,$J62),daily_dates,0),MATCH($B$3,daily_items,0)),NA())</f>
        <v>#N/A</v>
      </c>
      <c r="O62" s="1" t="str">
        <f t="array" ref="O62">IF(M62&lt;0,INDEX(big_daily_table,MATCH(DATE(O$5,$K62,$J62),daily_dates,0),MATCH($B$3,daily_items,0)),NA())</f>
        <v>#N/A</v>
      </c>
      <c r="P62" s="1" t="str">
        <f t="array" ref="P62">IF(ISBLANK(INDEX(big_daily_table,MATCH(DATE(P$5,$K62,$J62),daily_dates,0),MATCH($B$3,daily_items,0))),NA(),INDEX(big_daily_table,MATCH(DATE(P$5,$K62,$J62),daily_dates,0),MATCH($B$3,daily_items,0)))</f>
        <v>#N/A</v>
      </c>
      <c r="Q62" s="1" t="str">
        <f t="array" ref="Q62">IF(ISBLANK(INDEX(big_daily_table,MATCH(DATE(Q$5,$K62,$J62),daily_dates,0),MATCH($B$3,daily_items,0))),NA(),INDEX(big_daily_table,MATCH(DATE(Q$5,$K62,$J62),daily_dates,0),MATCH($B$3,daily_items,0)))</f>
        <v>#N/A</v>
      </c>
      <c r="R62" s="1" t="str">
        <f t="array" ref="R62">IF(ISBLANK(INDEX(big_daily_table,MATCH(DATE(R$5,$K62,$J62),daily_dates,0),MATCH($B$3,daily_items,0))),NA(),INDEX(big_daily_table,MATCH(DATE(R$5,$K62,$J62),daily_dates,0),MATCH($B$3,daily_items,0)))</f>
        <v>#N/A</v>
      </c>
      <c r="S62" s="1" t="str">
        <f t="array" ref="S62">IF(ISBLANK(INDEX(big_daily_table,MATCH(DATE(S$5,$K62,$J62),daily_dates,0),MATCH($B$3,daily_items,0))),NA(),INDEX(big_daily_table,MATCH(DATE(S$5,$K62,$J62),daily_dates,0),MATCH($B$3,daily_items,0)))</f>
        <v>#N/A</v>
      </c>
      <c r="T62" s="1" t="str">
        <f t="array" ref="T62">IF(ISBLANK(INDEX(big_daily_table,MATCH(DATE(T$5,$K62,$J62),daily_dates,0),MATCH($B$3,daily_items,0))),NA(),INDEX(big_daily_table,MATCH(DATE(T$5,$K62,$J62),daily_dates,0),MATCH($B$3,daily_items,0)))</f>
        <v>#N/A</v>
      </c>
      <c r="U62" s="1" t="str">
        <f t="array" ref="U62">IF(ISBLANK(INDEX(big_daily_table,MATCH(DATE(U$5,$K62,$J62),daily_dates,0),MATCH($B$3,daily_items,0))),NA(),INDEX(big_daily_table,MATCH(DATE(U$5,$K62,$J62),daily_dates,0),MATCH($B$3,daily_items,0)))</f>
        <v>#N/A</v>
      </c>
      <c r="V62" s="1" t="str">
        <f t="array" ref="V62">IF(ISBLANK(INDEX(big_daily_table,MATCH(DATE(V$5,$K62,$J62),daily_dates,0),MATCH($B$3,daily_items,0))),NA(),INDEX(big_daily_table,MATCH(DATE(V$5,$K62,$J62),daily_dates,0),MATCH($B$3,daily_items,0)))</f>
        <v>#N/A</v>
      </c>
      <c r="W62" s="1" t="str">
        <f t="array" ref="W62">IF(ISBLANK(INDEX(big_daily_table,MATCH(DATE(W$5,$K62,$J62),daily_dates,0),MATCH($B$3,daily_items,0))),NA(),INDEX(big_daily_table,MATCH(DATE(W$5,$K62,$J62),daily_dates,0),MATCH($B$3,daily_items,0)))</f>
        <v>#N/A</v>
      </c>
      <c r="X62" s="1" t="str">
        <f t="array" ref="X62">IF(ISBLANK(INDEX(big_daily_table,MATCH(DATE(X$5,$K62,$J62),daily_dates,0),MATCH($B$3,daily_items,0))),NA(),INDEX(big_daily_table,MATCH(DATE(X$5,$K62,$J62),daily_dates,0),MATCH($B$3,daily_items,0)))</f>
        <v>#N/A</v>
      </c>
      <c r="Y62" s="1" t="str">
        <f t="array" ref="Y62">IF(ISBLANK(INDEX(big_daily_table,MATCH(DATE(Y$5,$K62,$J62),daily_dates,0),MATCH($B$3,daily_items,0))),NA(),INDEX(big_daily_table,MATCH(DATE(Y$5,$K62,$J62),daily_dates,0),MATCH($B$3,daily_items,0)))</f>
        <v>#N/A</v>
      </c>
      <c r="Z62" s="1" t="str">
        <f t="array" ref="Z62">IF(ISBLANK(INDEX(big_daily_table,MATCH(DATE(Z$5,$K62,$J62),daily_dates,0),MATCH($B$3,daily_items,0))),NA(),INDEX(big_daily_table,MATCH(DATE(Z$5,$K62,$J62),daily_dates,0),MATCH($B$3,daily_items,0)))</f>
        <v>#N/A</v>
      </c>
      <c r="AA62" s="1" t="str">
        <f t="shared" si="5"/>
        <v>#NAME?</v>
      </c>
      <c r="AB62" s="1" t="str">
        <f t="shared" si="6"/>
        <v>#NAME?</v>
      </c>
      <c r="AC62" s="1" t="str">
        <f t="shared" si="7"/>
        <v>#NAME?</v>
      </c>
      <c r="AD62" s="1" t="str">
        <f t="shared" si="8"/>
        <v>#NAME?</v>
      </c>
    </row>
    <row r="63" ht="14.25" customHeight="1">
      <c r="H63" s="1">
        <f t="shared" si="9"/>
        <v>58</v>
      </c>
      <c r="I63" s="1">
        <f>WEEKDAY('daily graphs'!K63)</f>
        <v>1</v>
      </c>
      <c r="J63" s="1">
        <f t="shared" si="2"/>
        <v>26</v>
      </c>
      <c r="K63" s="1">
        <f t="shared" si="3"/>
        <v>2</v>
      </c>
      <c r="L63" s="23">
        <f>'daily graphs'!K63 - I63</f>
        <v>36582</v>
      </c>
      <c r="M63" s="24">
        <f t="shared" si="4"/>
        <v>-1000000</v>
      </c>
      <c r="N63" s="24" t="str">
        <f t="array" ref="N63">IF(M63&gt;0,INDEX(big_daily_table,MATCH(DATE(O$5,$K63,$J63),daily_dates,0),MATCH($B$3,daily_items,0)),NA())</f>
        <v>#N/A</v>
      </c>
      <c r="O63" s="1" t="str">
        <f t="array" ref="O63">IF(M63&lt;0,INDEX(big_daily_table,MATCH(DATE(O$5,$K63,$J63),daily_dates,0),MATCH($B$3,daily_items,0)),NA())</f>
        <v>#N/A</v>
      </c>
      <c r="P63" s="1" t="str">
        <f t="array" ref="P63">IF(ISBLANK(INDEX(big_daily_table,MATCH(DATE(P$5,$K63,$J63),daily_dates,0),MATCH($B$3,daily_items,0))),NA(),INDEX(big_daily_table,MATCH(DATE(P$5,$K63,$J63),daily_dates,0),MATCH($B$3,daily_items,0)))</f>
        <v>#N/A</v>
      </c>
      <c r="Q63" s="1" t="str">
        <f t="array" ref="Q63">IF(ISBLANK(INDEX(big_daily_table,MATCH(DATE(Q$5,$K63,$J63),daily_dates,0),MATCH($B$3,daily_items,0))),NA(),INDEX(big_daily_table,MATCH(DATE(Q$5,$K63,$J63),daily_dates,0),MATCH($B$3,daily_items,0)))</f>
        <v>#N/A</v>
      </c>
      <c r="R63" s="1" t="str">
        <f t="array" ref="R63">IF(ISBLANK(INDEX(big_daily_table,MATCH(DATE(R$5,$K63,$J63),daily_dates,0),MATCH($B$3,daily_items,0))),NA(),INDEX(big_daily_table,MATCH(DATE(R$5,$K63,$J63),daily_dates,0),MATCH($B$3,daily_items,0)))</f>
        <v>#N/A</v>
      </c>
      <c r="S63" s="1" t="str">
        <f t="array" ref="S63">IF(ISBLANK(INDEX(big_daily_table,MATCH(DATE(S$5,$K63,$J63),daily_dates,0),MATCH($B$3,daily_items,0))),NA(),INDEX(big_daily_table,MATCH(DATE(S$5,$K63,$J63),daily_dates,0),MATCH($B$3,daily_items,0)))</f>
        <v>#N/A</v>
      </c>
      <c r="T63" s="1" t="str">
        <f t="array" ref="T63">IF(ISBLANK(INDEX(big_daily_table,MATCH(DATE(T$5,$K63,$J63),daily_dates,0),MATCH($B$3,daily_items,0))),NA(),INDEX(big_daily_table,MATCH(DATE(T$5,$K63,$J63),daily_dates,0),MATCH($B$3,daily_items,0)))</f>
        <v>#N/A</v>
      </c>
      <c r="U63" s="1" t="str">
        <f t="array" ref="U63">IF(ISBLANK(INDEX(big_daily_table,MATCH(DATE(U$5,$K63,$J63),daily_dates,0),MATCH($B$3,daily_items,0))),NA(),INDEX(big_daily_table,MATCH(DATE(U$5,$K63,$J63),daily_dates,0),MATCH($B$3,daily_items,0)))</f>
        <v>#N/A</v>
      </c>
      <c r="V63" s="1" t="str">
        <f t="array" ref="V63">IF(ISBLANK(INDEX(big_daily_table,MATCH(DATE(V$5,$K63,$J63),daily_dates,0),MATCH($B$3,daily_items,0))),NA(),INDEX(big_daily_table,MATCH(DATE(V$5,$K63,$J63),daily_dates,0),MATCH($B$3,daily_items,0)))</f>
        <v>#N/A</v>
      </c>
      <c r="W63" s="1" t="str">
        <f t="array" ref="W63">IF(ISBLANK(INDEX(big_daily_table,MATCH(DATE(W$5,$K63,$J63),daily_dates,0),MATCH($B$3,daily_items,0))),NA(),INDEX(big_daily_table,MATCH(DATE(W$5,$K63,$J63),daily_dates,0),MATCH($B$3,daily_items,0)))</f>
        <v>#N/A</v>
      </c>
      <c r="X63" s="1" t="str">
        <f t="array" ref="X63">IF(ISBLANK(INDEX(big_daily_table,MATCH(DATE(X$5,$K63,$J63),daily_dates,0),MATCH($B$3,daily_items,0))),NA(),INDEX(big_daily_table,MATCH(DATE(X$5,$K63,$J63),daily_dates,0),MATCH($B$3,daily_items,0)))</f>
        <v>#N/A</v>
      </c>
      <c r="Y63" s="1" t="str">
        <f t="array" ref="Y63">IF(ISBLANK(INDEX(big_daily_table,MATCH(DATE(Y$5,$K63,$J63),daily_dates,0),MATCH($B$3,daily_items,0))),NA(),INDEX(big_daily_table,MATCH(DATE(Y$5,$K63,$J63),daily_dates,0),MATCH($B$3,daily_items,0)))</f>
        <v>#N/A</v>
      </c>
      <c r="Z63" s="1" t="str">
        <f t="array" ref="Z63">IF(ISBLANK(INDEX(big_daily_table,MATCH(DATE(Z$5,$K63,$J63),daily_dates,0),MATCH($B$3,daily_items,0))),NA(),INDEX(big_daily_table,MATCH(DATE(Z$5,$K63,$J63),daily_dates,0),MATCH($B$3,daily_items,0)))</f>
        <v>#N/A</v>
      </c>
      <c r="AA63" s="1" t="str">
        <f t="shared" si="5"/>
        <v>#NAME?</v>
      </c>
      <c r="AB63" s="1" t="str">
        <f t="shared" si="6"/>
        <v>#NAME?</v>
      </c>
      <c r="AC63" s="1" t="str">
        <f t="shared" si="7"/>
        <v>#NAME?</v>
      </c>
      <c r="AD63" s="1" t="str">
        <f t="shared" si="8"/>
        <v>#NAME?</v>
      </c>
    </row>
    <row r="64" ht="14.25" customHeight="1">
      <c r="H64" s="1">
        <f t="shared" si="9"/>
        <v>59</v>
      </c>
      <c r="I64" s="1">
        <f>WEEKDAY('daily graphs'!K64)</f>
        <v>2</v>
      </c>
      <c r="J64" s="1">
        <f t="shared" si="2"/>
        <v>26</v>
      </c>
      <c r="K64" s="1">
        <f t="shared" si="3"/>
        <v>2</v>
      </c>
      <c r="L64" s="23">
        <f>'daily graphs'!K64 - I64</f>
        <v>36582</v>
      </c>
      <c r="M64" s="24">
        <f t="shared" si="4"/>
        <v>-1000000</v>
      </c>
      <c r="N64" s="24" t="str">
        <f t="array" ref="N64">IF(M64&gt;0,INDEX(big_daily_table,MATCH(DATE(O$5,$K64,$J64),daily_dates,0),MATCH($B$3,daily_items,0)),NA())</f>
        <v>#N/A</v>
      </c>
      <c r="O64" s="1" t="str">
        <f t="array" ref="O64">IF(M64&lt;0,INDEX(big_daily_table,MATCH(DATE(O$5,$K64,$J64),daily_dates,0),MATCH($B$3,daily_items,0)),NA())</f>
        <v>#N/A</v>
      </c>
      <c r="P64" s="1" t="str">
        <f t="array" ref="P64">IF(ISBLANK(INDEX(big_daily_table,MATCH(DATE(P$5,$K64,$J64),daily_dates,0),MATCH($B$3,daily_items,0))),NA(),INDEX(big_daily_table,MATCH(DATE(P$5,$K64,$J64),daily_dates,0),MATCH($B$3,daily_items,0)))</f>
        <v>#N/A</v>
      </c>
      <c r="Q64" s="1" t="str">
        <f t="array" ref="Q64">IF(ISBLANK(INDEX(big_daily_table,MATCH(DATE(Q$5,$K64,$J64),daily_dates,0),MATCH($B$3,daily_items,0))),NA(),INDEX(big_daily_table,MATCH(DATE(Q$5,$K64,$J64),daily_dates,0),MATCH($B$3,daily_items,0)))</f>
        <v>#N/A</v>
      </c>
      <c r="R64" s="1" t="str">
        <f t="array" ref="R64">IF(ISBLANK(INDEX(big_daily_table,MATCH(DATE(R$5,$K64,$J64),daily_dates,0),MATCH($B$3,daily_items,0))),NA(),INDEX(big_daily_table,MATCH(DATE(R$5,$K64,$J64),daily_dates,0),MATCH($B$3,daily_items,0)))</f>
        <v>#N/A</v>
      </c>
      <c r="S64" s="1" t="str">
        <f t="array" ref="S64">IF(ISBLANK(INDEX(big_daily_table,MATCH(DATE(S$5,$K64,$J64),daily_dates,0),MATCH($B$3,daily_items,0))),NA(),INDEX(big_daily_table,MATCH(DATE(S$5,$K64,$J64),daily_dates,0),MATCH($B$3,daily_items,0)))</f>
        <v>#N/A</v>
      </c>
      <c r="T64" s="1" t="str">
        <f t="array" ref="T64">IF(ISBLANK(INDEX(big_daily_table,MATCH(DATE(T$5,$K64,$J64),daily_dates,0),MATCH($B$3,daily_items,0))),NA(),INDEX(big_daily_table,MATCH(DATE(T$5,$K64,$J64),daily_dates,0),MATCH($B$3,daily_items,0)))</f>
        <v>#N/A</v>
      </c>
      <c r="U64" s="1" t="str">
        <f t="array" ref="U64">IF(ISBLANK(INDEX(big_daily_table,MATCH(DATE(U$5,$K64,$J64),daily_dates,0),MATCH($B$3,daily_items,0))),NA(),INDEX(big_daily_table,MATCH(DATE(U$5,$K64,$J64),daily_dates,0),MATCH($B$3,daily_items,0)))</f>
        <v>#N/A</v>
      </c>
      <c r="V64" s="1" t="str">
        <f t="array" ref="V64">IF(ISBLANK(INDEX(big_daily_table,MATCH(DATE(V$5,$K64,$J64),daily_dates,0),MATCH($B$3,daily_items,0))),NA(),INDEX(big_daily_table,MATCH(DATE(V$5,$K64,$J64),daily_dates,0),MATCH($B$3,daily_items,0)))</f>
        <v>#N/A</v>
      </c>
      <c r="W64" s="1" t="str">
        <f t="array" ref="W64">IF(ISBLANK(INDEX(big_daily_table,MATCH(DATE(W$5,$K64,$J64),daily_dates,0),MATCH($B$3,daily_items,0))),NA(),INDEX(big_daily_table,MATCH(DATE(W$5,$K64,$J64),daily_dates,0),MATCH($B$3,daily_items,0)))</f>
        <v>#N/A</v>
      </c>
      <c r="X64" s="1" t="str">
        <f t="array" ref="X64">IF(ISBLANK(INDEX(big_daily_table,MATCH(DATE(X$5,$K64,$J64),daily_dates,0),MATCH($B$3,daily_items,0))),NA(),INDEX(big_daily_table,MATCH(DATE(X$5,$K64,$J64),daily_dates,0),MATCH($B$3,daily_items,0)))</f>
        <v>#N/A</v>
      </c>
      <c r="Y64" s="1" t="str">
        <f t="array" ref="Y64">IF(ISBLANK(INDEX(big_daily_table,MATCH(DATE(Y$5,$K64,$J64),daily_dates,0),MATCH($B$3,daily_items,0))),NA(),INDEX(big_daily_table,MATCH(DATE(Y$5,$K64,$J64),daily_dates,0),MATCH($B$3,daily_items,0)))</f>
        <v>#N/A</v>
      </c>
      <c r="Z64" s="1" t="str">
        <f t="array" ref="Z64">IF(ISBLANK(INDEX(big_daily_table,MATCH(DATE(Z$5,$K64,$J64),daily_dates,0),MATCH($B$3,daily_items,0))),NA(),INDEX(big_daily_table,MATCH(DATE(Z$5,$K64,$J64),daily_dates,0),MATCH($B$3,daily_items,0)))</f>
        <v>#N/A</v>
      </c>
      <c r="AA64" s="1" t="str">
        <f t="shared" si="5"/>
        <v>#NAME?</v>
      </c>
      <c r="AB64" s="1" t="str">
        <f t="shared" si="6"/>
        <v>#NAME?</v>
      </c>
      <c r="AC64" s="1" t="str">
        <f t="shared" si="7"/>
        <v>#NAME?</v>
      </c>
      <c r="AD64" s="1" t="str">
        <f t="shared" si="8"/>
        <v>#NAME?</v>
      </c>
    </row>
    <row r="65" ht="14.25" customHeight="1">
      <c r="H65" s="1">
        <f t="shared" si="9"/>
        <v>60</v>
      </c>
      <c r="I65" s="1">
        <f>WEEKDAY('daily graphs'!K65)</f>
        <v>3</v>
      </c>
      <c r="J65" s="1">
        <f t="shared" si="2"/>
        <v>26</v>
      </c>
      <c r="K65" s="1">
        <f t="shared" si="3"/>
        <v>2</v>
      </c>
      <c r="L65" s="23">
        <f>'daily graphs'!K65 - I65</f>
        <v>36582</v>
      </c>
      <c r="M65" s="24">
        <f t="shared" si="4"/>
        <v>-1000000</v>
      </c>
      <c r="N65" s="24" t="str">
        <f t="array" ref="N65">IF(M65&gt;0,INDEX(big_daily_table,MATCH(DATE(O$5,$K65,$J65),daily_dates,0),MATCH($B$3,daily_items,0)),NA())</f>
        <v>#N/A</v>
      </c>
      <c r="O65" s="1" t="str">
        <f t="array" ref="O65">IF(M65&lt;0,INDEX(big_daily_table,MATCH(DATE(O$5,$K65,$J65),daily_dates,0),MATCH($B$3,daily_items,0)),NA())</f>
        <v>#N/A</v>
      </c>
      <c r="P65" s="1" t="str">
        <f t="array" ref="P65">IF(ISBLANK(INDEX(big_daily_table,MATCH(DATE(P$5,$K65,$J65),daily_dates,0),MATCH($B$3,daily_items,0))),NA(),INDEX(big_daily_table,MATCH(DATE(P$5,$K65,$J65),daily_dates,0),MATCH($B$3,daily_items,0)))</f>
        <v>#N/A</v>
      </c>
      <c r="Q65" s="1" t="str">
        <f t="array" ref="Q65">IF(ISBLANK(INDEX(big_daily_table,MATCH(DATE(Q$5,$K65,$J65),daily_dates,0),MATCH($B$3,daily_items,0))),NA(),INDEX(big_daily_table,MATCH(DATE(Q$5,$K65,$J65),daily_dates,0),MATCH($B$3,daily_items,0)))</f>
        <v>#N/A</v>
      </c>
      <c r="R65" s="1" t="str">
        <f t="array" ref="R65">IF(ISBLANK(INDEX(big_daily_table,MATCH(DATE(R$5,$K65,$J65),daily_dates,0),MATCH($B$3,daily_items,0))),NA(),INDEX(big_daily_table,MATCH(DATE(R$5,$K65,$J65),daily_dates,0),MATCH($B$3,daily_items,0)))</f>
        <v>#N/A</v>
      </c>
      <c r="S65" s="1" t="str">
        <f t="array" ref="S65">IF(ISBLANK(INDEX(big_daily_table,MATCH(DATE(S$5,$K65,$J65),daily_dates,0),MATCH($B$3,daily_items,0))),NA(),INDEX(big_daily_table,MATCH(DATE(S$5,$K65,$J65),daily_dates,0),MATCH($B$3,daily_items,0)))</f>
        <v>#N/A</v>
      </c>
      <c r="T65" s="1" t="str">
        <f t="array" ref="T65">IF(ISBLANK(INDEX(big_daily_table,MATCH(DATE(T$5,$K65,$J65),daily_dates,0),MATCH($B$3,daily_items,0))),NA(),INDEX(big_daily_table,MATCH(DATE(T$5,$K65,$J65),daily_dates,0),MATCH($B$3,daily_items,0)))</f>
        <v>#N/A</v>
      </c>
      <c r="U65" s="1" t="str">
        <f t="array" ref="U65">IF(ISBLANK(INDEX(big_daily_table,MATCH(DATE(U$5,$K65,$J65),daily_dates,0),MATCH($B$3,daily_items,0))),NA(),INDEX(big_daily_table,MATCH(DATE(U$5,$K65,$J65),daily_dates,0),MATCH($B$3,daily_items,0)))</f>
        <v>#N/A</v>
      </c>
      <c r="V65" s="1" t="str">
        <f t="array" ref="V65">IF(ISBLANK(INDEX(big_daily_table,MATCH(DATE(V$5,$K65,$J65),daily_dates,0),MATCH($B$3,daily_items,0))),NA(),INDEX(big_daily_table,MATCH(DATE(V$5,$K65,$J65),daily_dates,0),MATCH($B$3,daily_items,0)))</f>
        <v>#N/A</v>
      </c>
      <c r="W65" s="1" t="str">
        <f t="array" ref="W65">IF(ISBLANK(INDEX(big_daily_table,MATCH(DATE(W$5,$K65,$J65),daily_dates,0),MATCH($B$3,daily_items,0))),NA(),INDEX(big_daily_table,MATCH(DATE(W$5,$K65,$J65),daily_dates,0),MATCH($B$3,daily_items,0)))</f>
        <v>#N/A</v>
      </c>
      <c r="X65" s="1" t="str">
        <f t="array" ref="X65">IF(ISBLANK(INDEX(big_daily_table,MATCH(DATE(X$5,$K65,$J65),daily_dates,0),MATCH($B$3,daily_items,0))),NA(),INDEX(big_daily_table,MATCH(DATE(X$5,$K65,$J65),daily_dates,0),MATCH($B$3,daily_items,0)))</f>
        <v>#N/A</v>
      </c>
      <c r="Y65" s="1" t="str">
        <f t="array" ref="Y65">IF(ISBLANK(INDEX(big_daily_table,MATCH(DATE(Y$5,$K65,$J65),daily_dates,0),MATCH($B$3,daily_items,0))),NA(),INDEX(big_daily_table,MATCH(DATE(Y$5,$K65,$J65),daily_dates,0),MATCH($B$3,daily_items,0)))</f>
        <v>#N/A</v>
      </c>
      <c r="Z65" s="1" t="str">
        <f t="array" ref="Z65">IF(ISBLANK(INDEX(big_daily_table,MATCH(DATE(Z$5,$K65,$J65),daily_dates,0),MATCH($B$3,daily_items,0))),NA(),INDEX(big_daily_table,MATCH(DATE(Z$5,$K65,$J65),daily_dates,0),MATCH($B$3,daily_items,0)))</f>
        <v>#N/A</v>
      </c>
      <c r="AA65" s="1" t="str">
        <f t="shared" si="5"/>
        <v>#NAME?</v>
      </c>
      <c r="AB65" s="1" t="str">
        <f t="shared" si="6"/>
        <v>#NAME?</v>
      </c>
      <c r="AC65" s="1" t="str">
        <f t="shared" si="7"/>
        <v>#NAME?</v>
      </c>
      <c r="AD65" s="1" t="str">
        <f t="shared" si="8"/>
        <v>#NAME?</v>
      </c>
    </row>
    <row r="66" ht="14.25" customHeight="1">
      <c r="H66" s="1">
        <f t="shared" si="9"/>
        <v>61</v>
      </c>
      <c r="I66" s="1">
        <f>WEEKDAY('daily graphs'!K66)</f>
        <v>4</v>
      </c>
      <c r="J66" s="1">
        <f t="shared" si="2"/>
        <v>26</v>
      </c>
      <c r="K66" s="1">
        <f t="shared" si="3"/>
        <v>2</v>
      </c>
      <c r="L66" s="23">
        <f>'daily graphs'!K66 - I66</f>
        <v>36582</v>
      </c>
      <c r="M66" s="24">
        <f t="shared" si="4"/>
        <v>-1000000</v>
      </c>
      <c r="N66" s="24" t="str">
        <f t="array" ref="N66">IF(M66&gt;0,INDEX(big_daily_table,MATCH(DATE(O$5,$K66,$J66),daily_dates,0),MATCH($B$3,daily_items,0)),NA())</f>
        <v>#N/A</v>
      </c>
      <c r="O66" s="1" t="str">
        <f t="array" ref="O66">IF(M66&lt;0,INDEX(big_daily_table,MATCH(DATE(O$5,$K66,$J66),daily_dates,0),MATCH($B$3,daily_items,0)),NA())</f>
        <v>#N/A</v>
      </c>
      <c r="P66" s="1" t="str">
        <f t="array" ref="P66">IF(ISBLANK(INDEX(big_daily_table,MATCH(DATE(P$5,$K66,$J66),daily_dates,0),MATCH($B$3,daily_items,0))),NA(),INDEX(big_daily_table,MATCH(DATE(P$5,$K66,$J66),daily_dates,0),MATCH($B$3,daily_items,0)))</f>
        <v>#N/A</v>
      </c>
      <c r="Q66" s="1" t="str">
        <f t="array" ref="Q66">IF(ISBLANK(INDEX(big_daily_table,MATCH(DATE(Q$5,$K66,$J66),daily_dates,0),MATCH($B$3,daily_items,0))),NA(),INDEX(big_daily_table,MATCH(DATE(Q$5,$K66,$J66),daily_dates,0),MATCH($B$3,daily_items,0)))</f>
        <v>#N/A</v>
      </c>
      <c r="R66" s="1" t="str">
        <f t="array" ref="R66">IF(ISBLANK(INDEX(big_daily_table,MATCH(DATE(R$5,$K66,$J66),daily_dates,0),MATCH($B$3,daily_items,0))),NA(),INDEX(big_daily_table,MATCH(DATE(R$5,$K66,$J66),daily_dates,0),MATCH($B$3,daily_items,0)))</f>
        <v>#N/A</v>
      </c>
      <c r="S66" s="1" t="str">
        <f t="array" ref="S66">IF(ISBLANK(INDEX(big_daily_table,MATCH(DATE(S$5,$K66,$J66),daily_dates,0),MATCH($B$3,daily_items,0))),NA(),INDEX(big_daily_table,MATCH(DATE(S$5,$K66,$J66),daily_dates,0),MATCH($B$3,daily_items,0)))</f>
        <v>#N/A</v>
      </c>
      <c r="T66" s="1" t="str">
        <f t="array" ref="T66">IF(ISBLANK(INDEX(big_daily_table,MATCH(DATE(T$5,$K66,$J66),daily_dates,0),MATCH($B$3,daily_items,0))),NA(),INDEX(big_daily_table,MATCH(DATE(T$5,$K66,$J66),daily_dates,0),MATCH($B$3,daily_items,0)))</f>
        <v>#N/A</v>
      </c>
      <c r="U66" s="1" t="str">
        <f t="array" ref="U66">IF(ISBLANK(INDEX(big_daily_table,MATCH(DATE(U$5,$K66,$J66),daily_dates,0),MATCH($B$3,daily_items,0))),NA(),INDEX(big_daily_table,MATCH(DATE(U$5,$K66,$J66),daily_dates,0),MATCH($B$3,daily_items,0)))</f>
        <v>#N/A</v>
      </c>
      <c r="V66" s="1" t="str">
        <f t="array" ref="V66">IF(ISBLANK(INDEX(big_daily_table,MATCH(DATE(V$5,$K66,$J66),daily_dates,0),MATCH($B$3,daily_items,0))),NA(),INDEX(big_daily_table,MATCH(DATE(V$5,$K66,$J66),daily_dates,0),MATCH($B$3,daily_items,0)))</f>
        <v>#N/A</v>
      </c>
      <c r="W66" s="1" t="str">
        <f t="array" ref="W66">IF(ISBLANK(INDEX(big_daily_table,MATCH(DATE(W$5,$K66,$J66),daily_dates,0),MATCH($B$3,daily_items,0))),NA(),INDEX(big_daily_table,MATCH(DATE(W$5,$K66,$J66),daily_dates,0),MATCH($B$3,daily_items,0)))</f>
        <v>#N/A</v>
      </c>
      <c r="X66" s="1" t="str">
        <f t="array" ref="X66">IF(ISBLANK(INDEX(big_daily_table,MATCH(DATE(X$5,$K66,$J66),daily_dates,0),MATCH($B$3,daily_items,0))),NA(),INDEX(big_daily_table,MATCH(DATE(X$5,$K66,$J66),daily_dates,0),MATCH($B$3,daily_items,0)))</f>
        <v>#N/A</v>
      </c>
      <c r="Y66" s="1" t="str">
        <f t="array" ref="Y66">IF(ISBLANK(INDEX(big_daily_table,MATCH(DATE(Y$5,$K66,$J66),daily_dates,0),MATCH($B$3,daily_items,0))),NA(),INDEX(big_daily_table,MATCH(DATE(Y$5,$K66,$J66),daily_dates,0),MATCH($B$3,daily_items,0)))</f>
        <v>#N/A</v>
      </c>
      <c r="Z66" s="1" t="str">
        <f t="array" ref="Z66">IF(ISBLANK(INDEX(big_daily_table,MATCH(DATE(Z$5,$K66,$J66),daily_dates,0),MATCH($B$3,daily_items,0))),NA(),INDEX(big_daily_table,MATCH(DATE(Z$5,$K66,$J66),daily_dates,0),MATCH($B$3,daily_items,0)))</f>
        <v>#N/A</v>
      </c>
      <c r="AA66" s="1" t="str">
        <f t="shared" si="5"/>
        <v>#NAME?</v>
      </c>
      <c r="AB66" s="1" t="str">
        <f t="shared" si="6"/>
        <v>#NAME?</v>
      </c>
      <c r="AC66" s="1" t="str">
        <f t="shared" si="7"/>
        <v>#NAME?</v>
      </c>
      <c r="AD66" s="1" t="str">
        <f t="shared" si="8"/>
        <v>#NAME?</v>
      </c>
    </row>
    <row r="67" ht="14.25" customHeight="1">
      <c r="H67" s="1">
        <f t="shared" si="9"/>
        <v>62</v>
      </c>
      <c r="I67" s="1">
        <f>WEEKDAY('daily graphs'!K67)</f>
        <v>5</v>
      </c>
      <c r="J67" s="1">
        <f t="shared" si="2"/>
        <v>26</v>
      </c>
      <c r="K67" s="1">
        <f t="shared" si="3"/>
        <v>2</v>
      </c>
      <c r="L67" s="23">
        <f>'daily graphs'!K67 - I67</f>
        <v>36582</v>
      </c>
      <c r="M67" s="24">
        <f t="shared" si="4"/>
        <v>-1000000</v>
      </c>
      <c r="N67" s="24" t="str">
        <f t="array" ref="N67">IF(M67&gt;0,INDEX(big_daily_table,MATCH(DATE(O$5,$K67,$J67),daily_dates,0),MATCH($B$3,daily_items,0)),NA())</f>
        <v>#N/A</v>
      </c>
      <c r="O67" s="1" t="str">
        <f t="array" ref="O67">IF(M67&lt;0,INDEX(big_daily_table,MATCH(DATE(O$5,$K67,$J67),daily_dates,0),MATCH($B$3,daily_items,0)),NA())</f>
        <v>#N/A</v>
      </c>
      <c r="P67" s="1" t="str">
        <f t="array" ref="P67">IF(ISBLANK(INDEX(big_daily_table,MATCH(DATE(P$5,$K67,$J67),daily_dates,0),MATCH($B$3,daily_items,0))),NA(),INDEX(big_daily_table,MATCH(DATE(P$5,$K67,$J67),daily_dates,0),MATCH($B$3,daily_items,0)))</f>
        <v>#N/A</v>
      </c>
      <c r="Q67" s="1" t="str">
        <f t="array" ref="Q67">IF(ISBLANK(INDEX(big_daily_table,MATCH(DATE(Q$5,$K67,$J67),daily_dates,0),MATCH($B$3,daily_items,0))),NA(),INDEX(big_daily_table,MATCH(DATE(Q$5,$K67,$J67),daily_dates,0),MATCH($B$3,daily_items,0)))</f>
        <v>#N/A</v>
      </c>
      <c r="R67" s="1" t="str">
        <f t="array" ref="R67">IF(ISBLANK(INDEX(big_daily_table,MATCH(DATE(R$5,$K67,$J67),daily_dates,0),MATCH($B$3,daily_items,0))),NA(),INDEX(big_daily_table,MATCH(DATE(R$5,$K67,$J67),daily_dates,0),MATCH($B$3,daily_items,0)))</f>
        <v>#N/A</v>
      </c>
      <c r="S67" s="1" t="str">
        <f t="array" ref="S67">IF(ISBLANK(INDEX(big_daily_table,MATCH(DATE(S$5,$K67,$J67),daily_dates,0),MATCH($B$3,daily_items,0))),NA(),INDEX(big_daily_table,MATCH(DATE(S$5,$K67,$J67),daily_dates,0),MATCH($B$3,daily_items,0)))</f>
        <v>#N/A</v>
      </c>
      <c r="T67" s="1" t="str">
        <f t="array" ref="T67">IF(ISBLANK(INDEX(big_daily_table,MATCH(DATE(T$5,$K67,$J67),daily_dates,0),MATCH($B$3,daily_items,0))),NA(),INDEX(big_daily_table,MATCH(DATE(T$5,$K67,$J67),daily_dates,0),MATCH($B$3,daily_items,0)))</f>
        <v>#N/A</v>
      </c>
      <c r="U67" s="1" t="str">
        <f t="array" ref="U67">IF(ISBLANK(INDEX(big_daily_table,MATCH(DATE(U$5,$K67,$J67),daily_dates,0),MATCH($B$3,daily_items,0))),NA(),INDEX(big_daily_table,MATCH(DATE(U$5,$K67,$J67),daily_dates,0),MATCH($B$3,daily_items,0)))</f>
        <v>#N/A</v>
      </c>
      <c r="V67" s="1" t="str">
        <f t="array" ref="V67">IF(ISBLANK(INDEX(big_daily_table,MATCH(DATE(V$5,$K67,$J67),daily_dates,0),MATCH($B$3,daily_items,0))),NA(),INDEX(big_daily_table,MATCH(DATE(V$5,$K67,$J67),daily_dates,0),MATCH($B$3,daily_items,0)))</f>
        <v>#N/A</v>
      </c>
      <c r="W67" s="1" t="str">
        <f t="array" ref="W67">IF(ISBLANK(INDEX(big_daily_table,MATCH(DATE(W$5,$K67,$J67),daily_dates,0),MATCH($B$3,daily_items,0))),NA(),INDEX(big_daily_table,MATCH(DATE(W$5,$K67,$J67),daily_dates,0),MATCH($B$3,daily_items,0)))</f>
        <v>#N/A</v>
      </c>
      <c r="X67" s="1" t="str">
        <f t="array" ref="X67">IF(ISBLANK(INDEX(big_daily_table,MATCH(DATE(X$5,$K67,$J67),daily_dates,0),MATCH($B$3,daily_items,0))),NA(),INDEX(big_daily_table,MATCH(DATE(X$5,$K67,$J67),daily_dates,0),MATCH($B$3,daily_items,0)))</f>
        <v>#N/A</v>
      </c>
      <c r="Y67" s="1" t="str">
        <f t="array" ref="Y67">IF(ISBLANK(INDEX(big_daily_table,MATCH(DATE(Y$5,$K67,$J67),daily_dates,0),MATCH($B$3,daily_items,0))),NA(),INDEX(big_daily_table,MATCH(DATE(Y$5,$K67,$J67),daily_dates,0),MATCH($B$3,daily_items,0)))</f>
        <v>#N/A</v>
      </c>
      <c r="Z67" s="1" t="str">
        <f t="array" ref="Z67">IF(ISBLANK(INDEX(big_daily_table,MATCH(DATE(Z$5,$K67,$J67),daily_dates,0),MATCH($B$3,daily_items,0))),NA(),INDEX(big_daily_table,MATCH(DATE(Z$5,$K67,$J67),daily_dates,0),MATCH($B$3,daily_items,0)))</f>
        <v>#N/A</v>
      </c>
      <c r="AA67" s="1" t="str">
        <f t="shared" si="5"/>
        <v>#NAME?</v>
      </c>
      <c r="AB67" s="1" t="str">
        <f t="shared" si="6"/>
        <v>#NAME?</v>
      </c>
      <c r="AC67" s="1" t="str">
        <f t="shared" si="7"/>
        <v>#NAME?</v>
      </c>
      <c r="AD67" s="1" t="str">
        <f t="shared" si="8"/>
        <v>#NAME?</v>
      </c>
    </row>
    <row r="68" ht="14.25" customHeight="1">
      <c r="H68" s="1">
        <f t="shared" si="9"/>
        <v>63</v>
      </c>
      <c r="I68" s="1">
        <f>WEEKDAY('daily graphs'!K68)</f>
        <v>6</v>
      </c>
      <c r="J68" s="1">
        <f t="shared" si="2"/>
        <v>26</v>
      </c>
      <c r="K68" s="1">
        <f t="shared" si="3"/>
        <v>2</v>
      </c>
      <c r="L68" s="23">
        <f>'daily graphs'!K68 - I68</f>
        <v>36582</v>
      </c>
      <c r="M68" s="24">
        <f t="shared" si="4"/>
        <v>-1000000</v>
      </c>
      <c r="N68" s="24" t="str">
        <f t="array" ref="N68">IF(M68&gt;0,INDEX(big_daily_table,MATCH(DATE(O$5,$K68,$J68),daily_dates,0),MATCH($B$3,daily_items,0)),NA())</f>
        <v>#N/A</v>
      </c>
      <c r="O68" s="1" t="str">
        <f t="array" ref="O68">IF(M68&lt;0,INDEX(big_daily_table,MATCH(DATE(O$5,$K68,$J68),daily_dates,0),MATCH($B$3,daily_items,0)),NA())</f>
        <v>#N/A</v>
      </c>
      <c r="P68" s="1" t="str">
        <f t="array" ref="P68">IF(ISBLANK(INDEX(big_daily_table,MATCH(DATE(P$5,$K68,$J68),daily_dates,0),MATCH($B$3,daily_items,0))),NA(),INDEX(big_daily_table,MATCH(DATE(P$5,$K68,$J68),daily_dates,0),MATCH($B$3,daily_items,0)))</f>
        <v>#N/A</v>
      </c>
      <c r="Q68" s="1" t="str">
        <f t="array" ref="Q68">IF(ISBLANK(INDEX(big_daily_table,MATCH(DATE(Q$5,$K68,$J68),daily_dates,0),MATCH($B$3,daily_items,0))),NA(),INDEX(big_daily_table,MATCH(DATE(Q$5,$K68,$J68),daily_dates,0),MATCH($B$3,daily_items,0)))</f>
        <v>#N/A</v>
      </c>
      <c r="R68" s="1" t="str">
        <f t="array" ref="R68">IF(ISBLANK(INDEX(big_daily_table,MATCH(DATE(R$5,$K68,$J68),daily_dates,0),MATCH($B$3,daily_items,0))),NA(),INDEX(big_daily_table,MATCH(DATE(R$5,$K68,$J68),daily_dates,0),MATCH($B$3,daily_items,0)))</f>
        <v>#N/A</v>
      </c>
      <c r="S68" s="1" t="str">
        <f t="array" ref="S68">IF(ISBLANK(INDEX(big_daily_table,MATCH(DATE(S$5,$K68,$J68),daily_dates,0),MATCH($B$3,daily_items,0))),NA(),INDEX(big_daily_table,MATCH(DATE(S$5,$K68,$J68),daily_dates,0),MATCH($B$3,daily_items,0)))</f>
        <v>#N/A</v>
      </c>
      <c r="T68" s="1" t="str">
        <f t="array" ref="T68">IF(ISBLANK(INDEX(big_daily_table,MATCH(DATE(T$5,$K68,$J68),daily_dates,0),MATCH($B$3,daily_items,0))),NA(),INDEX(big_daily_table,MATCH(DATE(T$5,$K68,$J68),daily_dates,0),MATCH($B$3,daily_items,0)))</f>
        <v>#N/A</v>
      </c>
      <c r="U68" s="1" t="str">
        <f t="array" ref="U68">IF(ISBLANK(INDEX(big_daily_table,MATCH(DATE(U$5,$K68,$J68),daily_dates,0),MATCH($B$3,daily_items,0))),NA(),INDEX(big_daily_table,MATCH(DATE(U$5,$K68,$J68),daily_dates,0),MATCH($B$3,daily_items,0)))</f>
        <v>#N/A</v>
      </c>
      <c r="V68" s="1" t="str">
        <f t="array" ref="V68">IF(ISBLANK(INDEX(big_daily_table,MATCH(DATE(V$5,$K68,$J68),daily_dates,0),MATCH($B$3,daily_items,0))),NA(),INDEX(big_daily_table,MATCH(DATE(V$5,$K68,$J68),daily_dates,0),MATCH($B$3,daily_items,0)))</f>
        <v>#N/A</v>
      </c>
      <c r="W68" s="1" t="str">
        <f t="array" ref="W68">IF(ISBLANK(INDEX(big_daily_table,MATCH(DATE(W$5,$K68,$J68),daily_dates,0),MATCH($B$3,daily_items,0))),NA(),INDEX(big_daily_table,MATCH(DATE(W$5,$K68,$J68),daily_dates,0),MATCH($B$3,daily_items,0)))</f>
        <v>#N/A</v>
      </c>
      <c r="X68" s="1" t="str">
        <f t="array" ref="X68">IF(ISBLANK(INDEX(big_daily_table,MATCH(DATE(X$5,$K68,$J68),daily_dates,0),MATCH($B$3,daily_items,0))),NA(),INDEX(big_daily_table,MATCH(DATE(X$5,$K68,$J68),daily_dates,0),MATCH($B$3,daily_items,0)))</f>
        <v>#N/A</v>
      </c>
      <c r="Y68" s="1" t="str">
        <f t="array" ref="Y68">IF(ISBLANK(INDEX(big_daily_table,MATCH(DATE(Y$5,$K68,$J68),daily_dates,0),MATCH($B$3,daily_items,0))),NA(),INDEX(big_daily_table,MATCH(DATE(Y$5,$K68,$J68),daily_dates,0),MATCH($B$3,daily_items,0)))</f>
        <v>#N/A</v>
      </c>
      <c r="Z68" s="1" t="str">
        <f t="array" ref="Z68">IF(ISBLANK(INDEX(big_daily_table,MATCH(DATE(Z$5,$K68,$J68),daily_dates,0),MATCH($B$3,daily_items,0))),NA(),INDEX(big_daily_table,MATCH(DATE(Z$5,$K68,$J68),daily_dates,0),MATCH($B$3,daily_items,0)))</f>
        <v>#N/A</v>
      </c>
      <c r="AA68" s="1" t="str">
        <f t="shared" si="5"/>
        <v>#NAME?</v>
      </c>
      <c r="AB68" s="1" t="str">
        <f t="shared" si="6"/>
        <v>#NAME?</v>
      </c>
      <c r="AC68" s="1" t="str">
        <f t="shared" si="7"/>
        <v>#NAME?</v>
      </c>
      <c r="AD68" s="1" t="str">
        <f t="shared" si="8"/>
        <v>#NAME?</v>
      </c>
    </row>
    <row r="69" ht="14.25" customHeight="1">
      <c r="H69" s="1">
        <f t="shared" si="9"/>
        <v>64</v>
      </c>
      <c r="I69" s="1">
        <f>WEEKDAY('daily graphs'!K69)</f>
        <v>7</v>
      </c>
      <c r="J69" s="1">
        <f t="shared" si="2"/>
        <v>26</v>
      </c>
      <c r="K69" s="1">
        <f t="shared" si="3"/>
        <v>2</v>
      </c>
      <c r="L69" s="23">
        <f>'daily graphs'!K69 - I69</f>
        <v>36582</v>
      </c>
      <c r="M69" s="24">
        <f t="shared" si="4"/>
        <v>-1000000</v>
      </c>
      <c r="N69" s="24" t="str">
        <f t="array" ref="N69">IF(M69&gt;0,INDEX(big_daily_table,MATCH(DATE(O$5,$K69,$J69),daily_dates,0),MATCH($B$3,daily_items,0)),NA())</f>
        <v>#N/A</v>
      </c>
      <c r="O69" s="1" t="str">
        <f t="array" ref="O69">IF(M69&lt;0,INDEX(big_daily_table,MATCH(DATE(O$5,$K69,$J69),daily_dates,0),MATCH($B$3,daily_items,0)),NA())</f>
        <v>#N/A</v>
      </c>
      <c r="P69" s="1" t="str">
        <f t="array" ref="P69">IF(ISBLANK(INDEX(big_daily_table,MATCH(DATE(P$5,$K69,$J69),daily_dates,0),MATCH($B$3,daily_items,0))),NA(),INDEX(big_daily_table,MATCH(DATE(P$5,$K69,$J69),daily_dates,0),MATCH($B$3,daily_items,0)))</f>
        <v>#N/A</v>
      </c>
      <c r="Q69" s="1" t="str">
        <f t="array" ref="Q69">IF(ISBLANK(INDEX(big_daily_table,MATCH(DATE(Q$5,$K69,$J69),daily_dates,0),MATCH($B$3,daily_items,0))),NA(),INDEX(big_daily_table,MATCH(DATE(Q$5,$K69,$J69),daily_dates,0),MATCH($B$3,daily_items,0)))</f>
        <v>#N/A</v>
      </c>
      <c r="R69" s="1" t="str">
        <f t="array" ref="R69">IF(ISBLANK(INDEX(big_daily_table,MATCH(DATE(R$5,$K69,$J69),daily_dates,0),MATCH($B$3,daily_items,0))),NA(),INDEX(big_daily_table,MATCH(DATE(R$5,$K69,$J69),daily_dates,0),MATCH($B$3,daily_items,0)))</f>
        <v>#N/A</v>
      </c>
      <c r="S69" s="1" t="str">
        <f t="array" ref="S69">IF(ISBLANK(INDEX(big_daily_table,MATCH(DATE(S$5,$K69,$J69),daily_dates,0),MATCH($B$3,daily_items,0))),NA(),INDEX(big_daily_table,MATCH(DATE(S$5,$K69,$J69),daily_dates,0),MATCH($B$3,daily_items,0)))</f>
        <v>#N/A</v>
      </c>
      <c r="T69" s="1" t="str">
        <f t="array" ref="T69">IF(ISBLANK(INDEX(big_daily_table,MATCH(DATE(T$5,$K69,$J69),daily_dates,0),MATCH($B$3,daily_items,0))),NA(),INDEX(big_daily_table,MATCH(DATE(T$5,$K69,$J69),daily_dates,0),MATCH($B$3,daily_items,0)))</f>
        <v>#N/A</v>
      </c>
      <c r="U69" s="1" t="str">
        <f t="array" ref="U69">IF(ISBLANK(INDEX(big_daily_table,MATCH(DATE(U$5,$K69,$J69),daily_dates,0),MATCH($B$3,daily_items,0))),NA(),INDEX(big_daily_table,MATCH(DATE(U$5,$K69,$J69),daily_dates,0),MATCH($B$3,daily_items,0)))</f>
        <v>#N/A</v>
      </c>
      <c r="V69" s="1" t="str">
        <f t="array" ref="V69">IF(ISBLANK(INDEX(big_daily_table,MATCH(DATE(V$5,$K69,$J69),daily_dates,0),MATCH($B$3,daily_items,0))),NA(),INDEX(big_daily_table,MATCH(DATE(V$5,$K69,$J69),daily_dates,0),MATCH($B$3,daily_items,0)))</f>
        <v>#N/A</v>
      </c>
      <c r="W69" s="1" t="str">
        <f t="array" ref="W69">IF(ISBLANK(INDEX(big_daily_table,MATCH(DATE(W$5,$K69,$J69),daily_dates,0),MATCH($B$3,daily_items,0))),NA(),INDEX(big_daily_table,MATCH(DATE(W$5,$K69,$J69),daily_dates,0),MATCH($B$3,daily_items,0)))</f>
        <v>#N/A</v>
      </c>
      <c r="X69" s="1" t="str">
        <f t="array" ref="X69">IF(ISBLANK(INDEX(big_daily_table,MATCH(DATE(X$5,$K69,$J69),daily_dates,0),MATCH($B$3,daily_items,0))),NA(),INDEX(big_daily_table,MATCH(DATE(X$5,$K69,$J69),daily_dates,0),MATCH($B$3,daily_items,0)))</f>
        <v>#N/A</v>
      </c>
      <c r="Y69" s="1" t="str">
        <f t="array" ref="Y69">IF(ISBLANK(INDEX(big_daily_table,MATCH(DATE(Y$5,$K69,$J69),daily_dates,0),MATCH($B$3,daily_items,0))),NA(),INDEX(big_daily_table,MATCH(DATE(Y$5,$K69,$J69),daily_dates,0),MATCH($B$3,daily_items,0)))</f>
        <v>#N/A</v>
      </c>
      <c r="Z69" s="1" t="str">
        <f t="array" ref="Z69">IF(ISBLANK(INDEX(big_daily_table,MATCH(DATE(Z$5,$K69,$J69),daily_dates,0),MATCH($B$3,daily_items,0))),NA(),INDEX(big_daily_table,MATCH(DATE(Z$5,$K69,$J69),daily_dates,0),MATCH($B$3,daily_items,0)))</f>
        <v>#N/A</v>
      </c>
      <c r="AA69" s="1" t="str">
        <f t="shared" si="5"/>
        <v>#NAME?</v>
      </c>
      <c r="AB69" s="1" t="str">
        <f t="shared" si="6"/>
        <v>#NAME?</v>
      </c>
      <c r="AC69" s="1" t="str">
        <f t="shared" si="7"/>
        <v>#NAME?</v>
      </c>
      <c r="AD69" s="1" t="str">
        <f t="shared" si="8"/>
        <v>#NAME?</v>
      </c>
    </row>
    <row r="70" ht="14.25" customHeight="1">
      <c r="H70" s="1">
        <f t="shared" si="9"/>
        <v>65</v>
      </c>
      <c r="I70" s="1">
        <f>WEEKDAY('daily graphs'!K70)</f>
        <v>1</v>
      </c>
      <c r="J70" s="1">
        <f t="shared" si="2"/>
        <v>4</v>
      </c>
      <c r="K70" s="1">
        <f t="shared" si="3"/>
        <v>3</v>
      </c>
      <c r="L70" s="23">
        <f>'daily graphs'!K70 - I70</f>
        <v>36589</v>
      </c>
      <c r="M70" s="24">
        <f t="shared" si="4"/>
        <v>-1000000</v>
      </c>
      <c r="N70" s="24" t="str">
        <f t="array" ref="N70">IF(M70&gt;0,INDEX(big_daily_table,MATCH(DATE(O$5,$K70,$J70),daily_dates,0),MATCH($B$3,daily_items,0)),NA())</f>
        <v>#N/A</v>
      </c>
      <c r="O70" s="1" t="str">
        <f t="array" ref="O70">IF(M70&lt;0,INDEX(big_daily_table,MATCH(DATE(O$5,$K70,$J70),daily_dates,0),MATCH($B$3,daily_items,0)),NA())</f>
        <v>#N/A</v>
      </c>
      <c r="P70" s="1" t="str">
        <f t="array" ref="P70">IF(ISBLANK(INDEX(big_daily_table,MATCH(DATE(P$5,$K70,$J70),daily_dates,0),MATCH($B$3,daily_items,0))),NA(),INDEX(big_daily_table,MATCH(DATE(P$5,$K70,$J70),daily_dates,0),MATCH($B$3,daily_items,0)))</f>
        <v>#N/A</v>
      </c>
      <c r="Q70" s="1" t="str">
        <f t="array" ref="Q70">IF(ISBLANK(INDEX(big_daily_table,MATCH(DATE(Q$5,$K70,$J70),daily_dates,0),MATCH($B$3,daily_items,0))),NA(),INDEX(big_daily_table,MATCH(DATE(Q$5,$K70,$J70),daily_dates,0),MATCH($B$3,daily_items,0)))</f>
        <v>#N/A</v>
      </c>
      <c r="R70" s="1" t="str">
        <f t="array" ref="R70">IF(ISBLANK(INDEX(big_daily_table,MATCH(DATE(R$5,$K70,$J70),daily_dates,0),MATCH($B$3,daily_items,0))),NA(),INDEX(big_daily_table,MATCH(DATE(R$5,$K70,$J70),daily_dates,0),MATCH($B$3,daily_items,0)))</f>
        <v>#N/A</v>
      </c>
      <c r="S70" s="1" t="str">
        <f t="array" ref="S70">IF(ISBLANK(INDEX(big_daily_table,MATCH(DATE(S$5,$K70,$J70),daily_dates,0),MATCH($B$3,daily_items,0))),NA(),INDEX(big_daily_table,MATCH(DATE(S$5,$K70,$J70),daily_dates,0),MATCH($B$3,daily_items,0)))</f>
        <v>#N/A</v>
      </c>
      <c r="T70" s="1" t="str">
        <f t="array" ref="T70">IF(ISBLANK(INDEX(big_daily_table,MATCH(DATE(T$5,$K70,$J70),daily_dates,0),MATCH($B$3,daily_items,0))),NA(),INDEX(big_daily_table,MATCH(DATE(T$5,$K70,$J70),daily_dates,0),MATCH($B$3,daily_items,0)))</f>
        <v>#N/A</v>
      </c>
      <c r="U70" s="1" t="str">
        <f t="array" ref="U70">IF(ISBLANK(INDEX(big_daily_table,MATCH(DATE(U$5,$K70,$J70),daily_dates,0),MATCH($B$3,daily_items,0))),NA(),INDEX(big_daily_table,MATCH(DATE(U$5,$K70,$J70),daily_dates,0),MATCH($B$3,daily_items,0)))</f>
        <v>#N/A</v>
      </c>
      <c r="V70" s="1" t="str">
        <f t="array" ref="V70">IF(ISBLANK(INDEX(big_daily_table,MATCH(DATE(V$5,$K70,$J70),daily_dates,0),MATCH($B$3,daily_items,0))),NA(),INDEX(big_daily_table,MATCH(DATE(V$5,$K70,$J70),daily_dates,0),MATCH($B$3,daily_items,0)))</f>
        <v>#N/A</v>
      </c>
      <c r="W70" s="1" t="str">
        <f t="array" ref="W70">IF(ISBLANK(INDEX(big_daily_table,MATCH(DATE(W$5,$K70,$J70),daily_dates,0),MATCH($B$3,daily_items,0))),NA(),INDEX(big_daily_table,MATCH(DATE(W$5,$K70,$J70),daily_dates,0),MATCH($B$3,daily_items,0)))</f>
        <v>#N/A</v>
      </c>
      <c r="X70" s="1" t="str">
        <f t="array" ref="X70">IF(ISBLANK(INDEX(big_daily_table,MATCH(DATE(X$5,$K70,$J70),daily_dates,0),MATCH($B$3,daily_items,0))),NA(),INDEX(big_daily_table,MATCH(DATE(X$5,$K70,$J70),daily_dates,0),MATCH($B$3,daily_items,0)))</f>
        <v>#N/A</v>
      </c>
      <c r="Y70" s="1" t="str">
        <f t="array" ref="Y70">IF(ISBLANK(INDEX(big_daily_table,MATCH(DATE(Y$5,$K70,$J70),daily_dates,0),MATCH($B$3,daily_items,0))),NA(),INDEX(big_daily_table,MATCH(DATE(Y$5,$K70,$J70),daily_dates,0),MATCH($B$3,daily_items,0)))</f>
        <v>#N/A</v>
      </c>
      <c r="Z70" s="1" t="str">
        <f t="array" ref="Z70">IF(ISBLANK(INDEX(big_daily_table,MATCH(DATE(Z$5,$K70,$J70),daily_dates,0),MATCH($B$3,daily_items,0))),NA(),INDEX(big_daily_table,MATCH(DATE(Z$5,$K70,$J70),daily_dates,0),MATCH($B$3,daily_items,0)))</f>
        <v>#N/A</v>
      </c>
      <c r="AA70" s="1" t="str">
        <f t="shared" si="5"/>
        <v>#NAME?</v>
      </c>
      <c r="AB70" s="1" t="str">
        <f t="shared" si="6"/>
        <v>#NAME?</v>
      </c>
      <c r="AC70" s="1" t="str">
        <f t="shared" si="7"/>
        <v>#NAME?</v>
      </c>
      <c r="AD70" s="1" t="str">
        <f t="shared" si="8"/>
        <v>#NAME?</v>
      </c>
    </row>
    <row r="71" ht="14.25" customHeight="1">
      <c r="H71" s="1">
        <f t="shared" si="9"/>
        <v>66</v>
      </c>
      <c r="I71" s="1">
        <f>WEEKDAY('daily graphs'!K71)</f>
        <v>2</v>
      </c>
      <c r="J71" s="1">
        <f t="shared" si="2"/>
        <v>4</v>
      </c>
      <c r="K71" s="1">
        <f t="shared" si="3"/>
        <v>3</v>
      </c>
      <c r="L71" s="23">
        <f>'daily graphs'!K71 - I71</f>
        <v>36589</v>
      </c>
      <c r="M71" s="24">
        <f t="shared" si="4"/>
        <v>-1000000</v>
      </c>
      <c r="N71" s="24" t="str">
        <f t="array" ref="N71">IF(M71&gt;0,INDEX(big_daily_table,MATCH(DATE(O$5,$K71,$J71),daily_dates,0),MATCH($B$3,daily_items,0)),NA())</f>
        <v>#N/A</v>
      </c>
      <c r="O71" s="1" t="str">
        <f t="array" ref="O71">IF(M71&lt;0,INDEX(big_daily_table,MATCH(DATE(O$5,$K71,$J71),daily_dates,0),MATCH($B$3,daily_items,0)),NA())</f>
        <v>#N/A</v>
      </c>
      <c r="P71" s="1" t="str">
        <f t="array" ref="P71">IF(ISBLANK(INDEX(big_daily_table,MATCH(DATE(P$5,$K71,$J71),daily_dates,0),MATCH($B$3,daily_items,0))),NA(),INDEX(big_daily_table,MATCH(DATE(P$5,$K71,$J71),daily_dates,0),MATCH($B$3,daily_items,0)))</f>
        <v>#N/A</v>
      </c>
      <c r="Q71" s="1" t="str">
        <f t="array" ref="Q71">IF(ISBLANK(INDEX(big_daily_table,MATCH(DATE(Q$5,$K71,$J71),daily_dates,0),MATCH($B$3,daily_items,0))),NA(),INDEX(big_daily_table,MATCH(DATE(Q$5,$K71,$J71),daily_dates,0),MATCH($B$3,daily_items,0)))</f>
        <v>#N/A</v>
      </c>
      <c r="R71" s="1" t="str">
        <f t="array" ref="R71">IF(ISBLANK(INDEX(big_daily_table,MATCH(DATE(R$5,$K71,$J71),daily_dates,0),MATCH($B$3,daily_items,0))),NA(),INDEX(big_daily_table,MATCH(DATE(R$5,$K71,$J71),daily_dates,0),MATCH($B$3,daily_items,0)))</f>
        <v>#N/A</v>
      </c>
      <c r="S71" s="1" t="str">
        <f t="array" ref="S71">IF(ISBLANK(INDEX(big_daily_table,MATCH(DATE(S$5,$K71,$J71),daily_dates,0),MATCH($B$3,daily_items,0))),NA(),INDEX(big_daily_table,MATCH(DATE(S$5,$K71,$J71),daily_dates,0),MATCH($B$3,daily_items,0)))</f>
        <v>#N/A</v>
      </c>
      <c r="T71" s="1" t="str">
        <f t="array" ref="T71">IF(ISBLANK(INDEX(big_daily_table,MATCH(DATE(T$5,$K71,$J71),daily_dates,0),MATCH($B$3,daily_items,0))),NA(),INDEX(big_daily_table,MATCH(DATE(T$5,$K71,$J71),daily_dates,0),MATCH($B$3,daily_items,0)))</f>
        <v>#N/A</v>
      </c>
      <c r="U71" s="1" t="str">
        <f t="array" ref="U71">IF(ISBLANK(INDEX(big_daily_table,MATCH(DATE(U$5,$K71,$J71),daily_dates,0),MATCH($B$3,daily_items,0))),NA(),INDEX(big_daily_table,MATCH(DATE(U$5,$K71,$J71),daily_dates,0),MATCH($B$3,daily_items,0)))</f>
        <v>#N/A</v>
      </c>
      <c r="V71" s="1" t="str">
        <f t="array" ref="V71">IF(ISBLANK(INDEX(big_daily_table,MATCH(DATE(V$5,$K71,$J71),daily_dates,0),MATCH($B$3,daily_items,0))),NA(),INDEX(big_daily_table,MATCH(DATE(V$5,$K71,$J71),daily_dates,0),MATCH($B$3,daily_items,0)))</f>
        <v>#N/A</v>
      </c>
      <c r="W71" s="1" t="str">
        <f t="array" ref="W71">IF(ISBLANK(INDEX(big_daily_table,MATCH(DATE(W$5,$K71,$J71),daily_dates,0),MATCH($B$3,daily_items,0))),NA(),INDEX(big_daily_table,MATCH(DATE(W$5,$K71,$J71),daily_dates,0),MATCH($B$3,daily_items,0)))</f>
        <v>#N/A</v>
      </c>
      <c r="X71" s="1" t="str">
        <f t="array" ref="X71">IF(ISBLANK(INDEX(big_daily_table,MATCH(DATE(X$5,$K71,$J71),daily_dates,0),MATCH($B$3,daily_items,0))),NA(),INDEX(big_daily_table,MATCH(DATE(X$5,$K71,$J71),daily_dates,0),MATCH($B$3,daily_items,0)))</f>
        <v>#N/A</v>
      </c>
      <c r="Y71" s="1" t="str">
        <f t="array" ref="Y71">IF(ISBLANK(INDEX(big_daily_table,MATCH(DATE(Y$5,$K71,$J71),daily_dates,0),MATCH($B$3,daily_items,0))),NA(),INDEX(big_daily_table,MATCH(DATE(Y$5,$K71,$J71),daily_dates,0),MATCH($B$3,daily_items,0)))</f>
        <v>#N/A</v>
      </c>
      <c r="Z71" s="1" t="str">
        <f t="array" ref="Z71">IF(ISBLANK(INDEX(big_daily_table,MATCH(DATE(Z$5,$K71,$J71),daily_dates,0),MATCH($B$3,daily_items,0))),NA(),INDEX(big_daily_table,MATCH(DATE(Z$5,$K71,$J71),daily_dates,0),MATCH($B$3,daily_items,0)))</f>
        <v>#N/A</v>
      </c>
      <c r="AA71" s="1" t="str">
        <f t="shared" si="5"/>
        <v>#NAME?</v>
      </c>
      <c r="AB71" s="1" t="str">
        <f t="shared" si="6"/>
        <v>#NAME?</v>
      </c>
      <c r="AC71" s="1" t="str">
        <f t="shared" si="7"/>
        <v>#NAME?</v>
      </c>
      <c r="AD71" s="1" t="str">
        <f t="shared" si="8"/>
        <v>#NAME?</v>
      </c>
    </row>
    <row r="72" ht="14.25" customHeight="1">
      <c r="H72" s="1">
        <f t="shared" si="9"/>
        <v>67</v>
      </c>
      <c r="I72" s="1">
        <f>WEEKDAY('daily graphs'!K72)</f>
        <v>3</v>
      </c>
      <c r="J72" s="1">
        <f t="shared" si="2"/>
        <v>4</v>
      </c>
      <c r="K72" s="1">
        <f t="shared" si="3"/>
        <v>3</v>
      </c>
      <c r="L72" s="23">
        <f>'daily graphs'!K72 - I72</f>
        <v>36589</v>
      </c>
      <c r="M72" s="24">
        <f t="shared" si="4"/>
        <v>-1000000</v>
      </c>
      <c r="N72" s="24" t="str">
        <f t="array" ref="N72">IF(M72&gt;0,INDEX(big_daily_table,MATCH(DATE(O$5,$K72,$J72),daily_dates,0),MATCH($B$3,daily_items,0)),NA())</f>
        <v>#N/A</v>
      </c>
      <c r="O72" s="1" t="str">
        <f t="array" ref="O72">IF(M72&lt;0,INDEX(big_daily_table,MATCH(DATE(O$5,$K72,$J72),daily_dates,0),MATCH($B$3,daily_items,0)),NA())</f>
        <v>#N/A</v>
      </c>
      <c r="P72" s="1" t="str">
        <f t="array" ref="P72">IF(ISBLANK(INDEX(big_daily_table,MATCH(DATE(P$5,$K72,$J72),daily_dates,0),MATCH($B$3,daily_items,0))),NA(),INDEX(big_daily_table,MATCH(DATE(P$5,$K72,$J72),daily_dates,0),MATCH($B$3,daily_items,0)))</f>
        <v>#N/A</v>
      </c>
      <c r="Q72" s="1" t="str">
        <f t="array" ref="Q72">IF(ISBLANK(INDEX(big_daily_table,MATCH(DATE(Q$5,$K72,$J72),daily_dates,0),MATCH($B$3,daily_items,0))),NA(),INDEX(big_daily_table,MATCH(DATE(Q$5,$K72,$J72),daily_dates,0),MATCH($B$3,daily_items,0)))</f>
        <v>#N/A</v>
      </c>
      <c r="R72" s="1" t="str">
        <f t="array" ref="R72">IF(ISBLANK(INDEX(big_daily_table,MATCH(DATE(R$5,$K72,$J72),daily_dates,0),MATCH($B$3,daily_items,0))),NA(),INDEX(big_daily_table,MATCH(DATE(R$5,$K72,$J72),daily_dates,0),MATCH($B$3,daily_items,0)))</f>
        <v>#N/A</v>
      </c>
      <c r="S72" s="1" t="str">
        <f t="array" ref="S72">IF(ISBLANK(INDEX(big_daily_table,MATCH(DATE(S$5,$K72,$J72),daily_dates,0),MATCH($B$3,daily_items,0))),NA(),INDEX(big_daily_table,MATCH(DATE(S$5,$K72,$J72),daily_dates,0),MATCH($B$3,daily_items,0)))</f>
        <v>#N/A</v>
      </c>
      <c r="T72" s="1" t="str">
        <f t="array" ref="T72">IF(ISBLANK(INDEX(big_daily_table,MATCH(DATE(T$5,$K72,$J72),daily_dates,0),MATCH($B$3,daily_items,0))),NA(),INDEX(big_daily_table,MATCH(DATE(T$5,$K72,$J72),daily_dates,0),MATCH($B$3,daily_items,0)))</f>
        <v>#N/A</v>
      </c>
      <c r="U72" s="1" t="str">
        <f t="array" ref="U72">IF(ISBLANK(INDEX(big_daily_table,MATCH(DATE(U$5,$K72,$J72),daily_dates,0),MATCH($B$3,daily_items,0))),NA(),INDEX(big_daily_table,MATCH(DATE(U$5,$K72,$J72),daily_dates,0),MATCH($B$3,daily_items,0)))</f>
        <v>#N/A</v>
      </c>
      <c r="V72" s="1" t="str">
        <f t="array" ref="V72">IF(ISBLANK(INDEX(big_daily_table,MATCH(DATE(V$5,$K72,$J72),daily_dates,0),MATCH($B$3,daily_items,0))),NA(),INDEX(big_daily_table,MATCH(DATE(V$5,$K72,$J72),daily_dates,0),MATCH($B$3,daily_items,0)))</f>
        <v>#N/A</v>
      </c>
      <c r="W72" s="1" t="str">
        <f t="array" ref="W72">IF(ISBLANK(INDEX(big_daily_table,MATCH(DATE(W$5,$K72,$J72),daily_dates,0),MATCH($B$3,daily_items,0))),NA(),INDEX(big_daily_table,MATCH(DATE(W$5,$K72,$J72),daily_dates,0),MATCH($B$3,daily_items,0)))</f>
        <v>#N/A</v>
      </c>
      <c r="X72" s="1" t="str">
        <f t="array" ref="X72">IF(ISBLANK(INDEX(big_daily_table,MATCH(DATE(X$5,$K72,$J72),daily_dates,0),MATCH($B$3,daily_items,0))),NA(),INDEX(big_daily_table,MATCH(DATE(X$5,$K72,$J72),daily_dates,0),MATCH($B$3,daily_items,0)))</f>
        <v>#N/A</v>
      </c>
      <c r="Y72" s="1" t="str">
        <f t="array" ref="Y72">IF(ISBLANK(INDEX(big_daily_table,MATCH(DATE(Y$5,$K72,$J72),daily_dates,0),MATCH($B$3,daily_items,0))),NA(),INDEX(big_daily_table,MATCH(DATE(Y$5,$K72,$J72),daily_dates,0),MATCH($B$3,daily_items,0)))</f>
        <v>#N/A</v>
      </c>
      <c r="Z72" s="1" t="str">
        <f t="array" ref="Z72">IF(ISBLANK(INDEX(big_daily_table,MATCH(DATE(Z$5,$K72,$J72),daily_dates,0),MATCH($B$3,daily_items,0))),NA(),INDEX(big_daily_table,MATCH(DATE(Z$5,$K72,$J72),daily_dates,0),MATCH($B$3,daily_items,0)))</f>
        <v>#N/A</v>
      </c>
      <c r="AA72" s="1" t="str">
        <f t="shared" si="5"/>
        <v>#NAME?</v>
      </c>
      <c r="AB72" s="1" t="str">
        <f t="shared" si="6"/>
        <v>#NAME?</v>
      </c>
      <c r="AC72" s="1" t="str">
        <f t="shared" si="7"/>
        <v>#NAME?</v>
      </c>
      <c r="AD72" s="1" t="str">
        <f t="shared" si="8"/>
        <v>#NAME?</v>
      </c>
    </row>
    <row r="73" ht="14.25" customHeight="1">
      <c r="H73" s="1">
        <f t="shared" si="9"/>
        <v>68</v>
      </c>
      <c r="I73" s="1">
        <f>WEEKDAY('daily graphs'!K73)</f>
        <v>4</v>
      </c>
      <c r="J73" s="1">
        <f t="shared" si="2"/>
        <v>4</v>
      </c>
      <c r="K73" s="1">
        <f t="shared" si="3"/>
        <v>3</v>
      </c>
      <c r="L73" s="23">
        <f>'daily graphs'!K73 - I73</f>
        <v>36589</v>
      </c>
      <c r="M73" s="24">
        <f t="shared" si="4"/>
        <v>-1000000</v>
      </c>
      <c r="N73" s="24" t="str">
        <f t="array" ref="N73">IF(M73&gt;0,INDEX(big_daily_table,MATCH(DATE(O$5,$K73,$J73),daily_dates,0),MATCH($B$3,daily_items,0)),NA())</f>
        <v>#N/A</v>
      </c>
      <c r="O73" s="1" t="str">
        <f t="array" ref="O73">IF(M73&lt;0,INDEX(big_daily_table,MATCH(DATE(O$5,$K73,$J73),daily_dates,0),MATCH($B$3,daily_items,0)),NA())</f>
        <v>#N/A</v>
      </c>
      <c r="P73" s="1" t="str">
        <f t="array" ref="P73">IF(ISBLANK(INDEX(big_daily_table,MATCH(DATE(P$5,$K73,$J73),daily_dates,0),MATCH($B$3,daily_items,0))),NA(),INDEX(big_daily_table,MATCH(DATE(P$5,$K73,$J73),daily_dates,0),MATCH($B$3,daily_items,0)))</f>
        <v>#N/A</v>
      </c>
      <c r="Q73" s="1" t="str">
        <f t="array" ref="Q73">IF(ISBLANK(INDEX(big_daily_table,MATCH(DATE(Q$5,$K73,$J73),daily_dates,0),MATCH($B$3,daily_items,0))),NA(),INDEX(big_daily_table,MATCH(DATE(Q$5,$K73,$J73),daily_dates,0),MATCH($B$3,daily_items,0)))</f>
        <v>#N/A</v>
      </c>
      <c r="R73" s="1" t="str">
        <f t="array" ref="R73">IF(ISBLANK(INDEX(big_daily_table,MATCH(DATE(R$5,$K73,$J73),daily_dates,0),MATCH($B$3,daily_items,0))),NA(),INDEX(big_daily_table,MATCH(DATE(R$5,$K73,$J73),daily_dates,0),MATCH($B$3,daily_items,0)))</f>
        <v>#N/A</v>
      </c>
      <c r="S73" s="1" t="str">
        <f t="array" ref="S73">IF(ISBLANK(INDEX(big_daily_table,MATCH(DATE(S$5,$K73,$J73),daily_dates,0),MATCH($B$3,daily_items,0))),NA(),INDEX(big_daily_table,MATCH(DATE(S$5,$K73,$J73),daily_dates,0),MATCH($B$3,daily_items,0)))</f>
        <v>#N/A</v>
      </c>
      <c r="T73" s="1" t="str">
        <f t="array" ref="T73">IF(ISBLANK(INDEX(big_daily_table,MATCH(DATE(T$5,$K73,$J73),daily_dates,0),MATCH($B$3,daily_items,0))),NA(),INDEX(big_daily_table,MATCH(DATE(T$5,$K73,$J73),daily_dates,0),MATCH($B$3,daily_items,0)))</f>
        <v>#N/A</v>
      </c>
      <c r="U73" s="1" t="str">
        <f t="array" ref="U73">IF(ISBLANK(INDEX(big_daily_table,MATCH(DATE(U$5,$K73,$J73),daily_dates,0),MATCH($B$3,daily_items,0))),NA(),INDEX(big_daily_table,MATCH(DATE(U$5,$K73,$J73),daily_dates,0),MATCH($B$3,daily_items,0)))</f>
        <v>#N/A</v>
      </c>
      <c r="V73" s="1" t="str">
        <f t="array" ref="V73">IF(ISBLANK(INDEX(big_daily_table,MATCH(DATE(V$5,$K73,$J73),daily_dates,0),MATCH($B$3,daily_items,0))),NA(),INDEX(big_daily_table,MATCH(DATE(V$5,$K73,$J73),daily_dates,0),MATCH($B$3,daily_items,0)))</f>
        <v>#N/A</v>
      </c>
      <c r="W73" s="1" t="str">
        <f t="array" ref="W73">IF(ISBLANK(INDEX(big_daily_table,MATCH(DATE(W$5,$K73,$J73),daily_dates,0),MATCH($B$3,daily_items,0))),NA(),INDEX(big_daily_table,MATCH(DATE(W$5,$K73,$J73),daily_dates,0),MATCH($B$3,daily_items,0)))</f>
        <v>#N/A</v>
      </c>
      <c r="X73" s="1" t="str">
        <f t="array" ref="X73">IF(ISBLANK(INDEX(big_daily_table,MATCH(DATE(X$5,$K73,$J73),daily_dates,0),MATCH($B$3,daily_items,0))),NA(),INDEX(big_daily_table,MATCH(DATE(X$5,$K73,$J73),daily_dates,0),MATCH($B$3,daily_items,0)))</f>
        <v>#N/A</v>
      </c>
      <c r="Y73" s="1" t="str">
        <f t="array" ref="Y73">IF(ISBLANK(INDEX(big_daily_table,MATCH(DATE(Y$5,$K73,$J73),daily_dates,0),MATCH($B$3,daily_items,0))),NA(),INDEX(big_daily_table,MATCH(DATE(Y$5,$K73,$J73),daily_dates,0),MATCH($B$3,daily_items,0)))</f>
        <v>#N/A</v>
      </c>
      <c r="Z73" s="1" t="str">
        <f t="array" ref="Z73">IF(ISBLANK(INDEX(big_daily_table,MATCH(DATE(Z$5,$K73,$J73),daily_dates,0),MATCH($B$3,daily_items,0))),NA(),INDEX(big_daily_table,MATCH(DATE(Z$5,$K73,$J73),daily_dates,0),MATCH($B$3,daily_items,0)))</f>
        <v>#N/A</v>
      </c>
      <c r="AA73" s="1" t="str">
        <f t="shared" si="5"/>
        <v>#NAME?</v>
      </c>
      <c r="AB73" s="1" t="str">
        <f t="shared" si="6"/>
        <v>#NAME?</v>
      </c>
      <c r="AC73" s="1" t="str">
        <f t="shared" si="7"/>
        <v>#NAME?</v>
      </c>
      <c r="AD73" s="1" t="str">
        <f t="shared" si="8"/>
        <v>#NAME?</v>
      </c>
    </row>
    <row r="74" ht="14.25" customHeight="1">
      <c r="H74" s="1">
        <f t="shared" si="9"/>
        <v>69</v>
      </c>
      <c r="I74" s="1">
        <f>WEEKDAY('daily graphs'!K74)</f>
        <v>5</v>
      </c>
      <c r="J74" s="1">
        <f t="shared" si="2"/>
        <v>4</v>
      </c>
      <c r="K74" s="1">
        <f t="shared" si="3"/>
        <v>3</v>
      </c>
      <c r="L74" s="23">
        <f>'daily graphs'!K74 - I74</f>
        <v>36589</v>
      </c>
      <c r="M74" s="24">
        <f t="shared" si="4"/>
        <v>-1000000</v>
      </c>
      <c r="N74" s="24" t="str">
        <f t="array" ref="N74">IF(M74&gt;0,INDEX(big_daily_table,MATCH(DATE(O$5,$K74,$J74),daily_dates,0),MATCH($B$3,daily_items,0)),NA())</f>
        <v>#N/A</v>
      </c>
      <c r="O74" s="1" t="str">
        <f t="array" ref="O74">IF(M74&lt;0,INDEX(big_daily_table,MATCH(DATE(O$5,$K74,$J74),daily_dates,0),MATCH($B$3,daily_items,0)),NA())</f>
        <v>#N/A</v>
      </c>
      <c r="P74" s="1" t="str">
        <f t="array" ref="P74">IF(ISBLANK(INDEX(big_daily_table,MATCH(DATE(P$5,$K74,$J74),daily_dates,0),MATCH($B$3,daily_items,0))),NA(),INDEX(big_daily_table,MATCH(DATE(P$5,$K74,$J74),daily_dates,0),MATCH($B$3,daily_items,0)))</f>
        <v>#N/A</v>
      </c>
      <c r="Q74" s="1" t="str">
        <f t="array" ref="Q74">IF(ISBLANK(INDEX(big_daily_table,MATCH(DATE(Q$5,$K74,$J74),daily_dates,0),MATCH($B$3,daily_items,0))),NA(),INDEX(big_daily_table,MATCH(DATE(Q$5,$K74,$J74),daily_dates,0),MATCH($B$3,daily_items,0)))</f>
        <v>#N/A</v>
      </c>
      <c r="R74" s="1" t="str">
        <f t="array" ref="R74">IF(ISBLANK(INDEX(big_daily_table,MATCH(DATE(R$5,$K74,$J74),daily_dates,0),MATCH($B$3,daily_items,0))),NA(),INDEX(big_daily_table,MATCH(DATE(R$5,$K74,$J74),daily_dates,0),MATCH($B$3,daily_items,0)))</f>
        <v>#N/A</v>
      </c>
      <c r="S74" s="1" t="str">
        <f t="array" ref="S74">IF(ISBLANK(INDEX(big_daily_table,MATCH(DATE(S$5,$K74,$J74),daily_dates,0),MATCH($B$3,daily_items,0))),NA(),INDEX(big_daily_table,MATCH(DATE(S$5,$K74,$J74),daily_dates,0),MATCH($B$3,daily_items,0)))</f>
        <v>#N/A</v>
      </c>
      <c r="T74" s="1" t="str">
        <f t="array" ref="T74">IF(ISBLANK(INDEX(big_daily_table,MATCH(DATE(T$5,$K74,$J74),daily_dates,0),MATCH($B$3,daily_items,0))),NA(),INDEX(big_daily_table,MATCH(DATE(T$5,$K74,$J74),daily_dates,0),MATCH($B$3,daily_items,0)))</f>
        <v>#N/A</v>
      </c>
      <c r="U74" s="1" t="str">
        <f t="array" ref="U74">IF(ISBLANK(INDEX(big_daily_table,MATCH(DATE(U$5,$K74,$J74),daily_dates,0),MATCH($B$3,daily_items,0))),NA(),INDEX(big_daily_table,MATCH(DATE(U$5,$K74,$J74),daily_dates,0),MATCH($B$3,daily_items,0)))</f>
        <v>#N/A</v>
      </c>
      <c r="V74" s="1" t="str">
        <f t="array" ref="V74">IF(ISBLANK(INDEX(big_daily_table,MATCH(DATE(V$5,$K74,$J74),daily_dates,0),MATCH($B$3,daily_items,0))),NA(),INDEX(big_daily_table,MATCH(DATE(V$5,$K74,$J74),daily_dates,0),MATCH($B$3,daily_items,0)))</f>
        <v>#N/A</v>
      </c>
      <c r="W74" s="1" t="str">
        <f t="array" ref="W74">IF(ISBLANK(INDEX(big_daily_table,MATCH(DATE(W$5,$K74,$J74),daily_dates,0),MATCH($B$3,daily_items,0))),NA(),INDEX(big_daily_table,MATCH(DATE(W$5,$K74,$J74),daily_dates,0),MATCH($B$3,daily_items,0)))</f>
        <v>#N/A</v>
      </c>
      <c r="X74" s="1" t="str">
        <f t="array" ref="X74">IF(ISBLANK(INDEX(big_daily_table,MATCH(DATE(X$5,$K74,$J74),daily_dates,0),MATCH($B$3,daily_items,0))),NA(),INDEX(big_daily_table,MATCH(DATE(X$5,$K74,$J74),daily_dates,0),MATCH($B$3,daily_items,0)))</f>
        <v>#N/A</v>
      </c>
      <c r="Y74" s="1" t="str">
        <f t="array" ref="Y74">IF(ISBLANK(INDEX(big_daily_table,MATCH(DATE(Y$5,$K74,$J74),daily_dates,0),MATCH($B$3,daily_items,0))),NA(),INDEX(big_daily_table,MATCH(DATE(Y$5,$K74,$J74),daily_dates,0),MATCH($B$3,daily_items,0)))</f>
        <v>#N/A</v>
      </c>
      <c r="Z74" s="1" t="str">
        <f t="array" ref="Z74">IF(ISBLANK(INDEX(big_daily_table,MATCH(DATE(Z$5,$K74,$J74),daily_dates,0),MATCH($B$3,daily_items,0))),NA(),INDEX(big_daily_table,MATCH(DATE(Z$5,$K74,$J74),daily_dates,0),MATCH($B$3,daily_items,0)))</f>
        <v>#N/A</v>
      </c>
      <c r="AA74" s="1" t="str">
        <f t="shared" si="5"/>
        <v>#NAME?</v>
      </c>
      <c r="AB74" s="1" t="str">
        <f t="shared" si="6"/>
        <v>#NAME?</v>
      </c>
      <c r="AC74" s="1" t="str">
        <f t="shared" si="7"/>
        <v>#NAME?</v>
      </c>
      <c r="AD74" s="1" t="str">
        <f t="shared" si="8"/>
        <v>#NAME?</v>
      </c>
    </row>
    <row r="75" ht="14.25" customHeight="1">
      <c r="H75" s="1">
        <f t="shared" si="9"/>
        <v>70</v>
      </c>
      <c r="I75" s="1">
        <f>WEEKDAY('daily graphs'!K75)</f>
        <v>6</v>
      </c>
      <c r="J75" s="1">
        <f t="shared" si="2"/>
        <v>4</v>
      </c>
      <c r="K75" s="1">
        <f t="shared" si="3"/>
        <v>3</v>
      </c>
      <c r="L75" s="23">
        <f>'daily graphs'!K75 - I75</f>
        <v>36589</v>
      </c>
      <c r="M75" s="24">
        <f t="shared" si="4"/>
        <v>-1000000</v>
      </c>
      <c r="N75" s="24" t="str">
        <f t="array" ref="N75">IF(M75&gt;0,INDEX(big_daily_table,MATCH(DATE(O$5,$K75,$J75),daily_dates,0),MATCH($B$3,daily_items,0)),NA())</f>
        <v>#N/A</v>
      </c>
      <c r="O75" s="1" t="str">
        <f t="array" ref="O75">IF(M75&lt;0,INDEX(big_daily_table,MATCH(DATE(O$5,$K75,$J75),daily_dates,0),MATCH($B$3,daily_items,0)),NA())</f>
        <v>#N/A</v>
      </c>
      <c r="P75" s="1" t="str">
        <f t="array" ref="P75">IF(ISBLANK(INDEX(big_daily_table,MATCH(DATE(P$5,$K75,$J75),daily_dates,0),MATCH($B$3,daily_items,0))),NA(),INDEX(big_daily_table,MATCH(DATE(P$5,$K75,$J75),daily_dates,0),MATCH($B$3,daily_items,0)))</f>
        <v>#N/A</v>
      </c>
      <c r="Q75" s="1" t="str">
        <f t="array" ref="Q75">IF(ISBLANK(INDEX(big_daily_table,MATCH(DATE(Q$5,$K75,$J75),daily_dates,0),MATCH($B$3,daily_items,0))),NA(),INDEX(big_daily_table,MATCH(DATE(Q$5,$K75,$J75),daily_dates,0),MATCH($B$3,daily_items,0)))</f>
        <v>#N/A</v>
      </c>
      <c r="R75" s="1" t="str">
        <f t="array" ref="R75">IF(ISBLANK(INDEX(big_daily_table,MATCH(DATE(R$5,$K75,$J75),daily_dates,0),MATCH($B$3,daily_items,0))),NA(),INDEX(big_daily_table,MATCH(DATE(R$5,$K75,$J75),daily_dates,0),MATCH($B$3,daily_items,0)))</f>
        <v>#N/A</v>
      </c>
      <c r="S75" s="1" t="str">
        <f t="array" ref="S75">IF(ISBLANK(INDEX(big_daily_table,MATCH(DATE(S$5,$K75,$J75),daily_dates,0),MATCH($B$3,daily_items,0))),NA(),INDEX(big_daily_table,MATCH(DATE(S$5,$K75,$J75),daily_dates,0),MATCH($B$3,daily_items,0)))</f>
        <v>#N/A</v>
      </c>
      <c r="T75" s="1" t="str">
        <f t="array" ref="T75">IF(ISBLANK(INDEX(big_daily_table,MATCH(DATE(T$5,$K75,$J75),daily_dates,0),MATCH($B$3,daily_items,0))),NA(),INDEX(big_daily_table,MATCH(DATE(T$5,$K75,$J75),daily_dates,0),MATCH($B$3,daily_items,0)))</f>
        <v>#N/A</v>
      </c>
      <c r="U75" s="1" t="str">
        <f t="array" ref="U75">IF(ISBLANK(INDEX(big_daily_table,MATCH(DATE(U$5,$K75,$J75),daily_dates,0),MATCH($B$3,daily_items,0))),NA(),INDEX(big_daily_table,MATCH(DATE(U$5,$K75,$J75),daily_dates,0),MATCH($B$3,daily_items,0)))</f>
        <v>#N/A</v>
      </c>
      <c r="V75" s="1" t="str">
        <f t="array" ref="V75">IF(ISBLANK(INDEX(big_daily_table,MATCH(DATE(V$5,$K75,$J75),daily_dates,0),MATCH($B$3,daily_items,0))),NA(),INDEX(big_daily_table,MATCH(DATE(V$5,$K75,$J75),daily_dates,0),MATCH($B$3,daily_items,0)))</f>
        <v>#N/A</v>
      </c>
      <c r="W75" s="1" t="str">
        <f t="array" ref="W75">IF(ISBLANK(INDEX(big_daily_table,MATCH(DATE(W$5,$K75,$J75),daily_dates,0),MATCH($B$3,daily_items,0))),NA(),INDEX(big_daily_table,MATCH(DATE(W$5,$K75,$J75),daily_dates,0),MATCH($B$3,daily_items,0)))</f>
        <v>#N/A</v>
      </c>
      <c r="X75" s="1" t="str">
        <f t="array" ref="X75">IF(ISBLANK(INDEX(big_daily_table,MATCH(DATE(X$5,$K75,$J75),daily_dates,0),MATCH($B$3,daily_items,0))),NA(),INDEX(big_daily_table,MATCH(DATE(X$5,$K75,$J75),daily_dates,0),MATCH($B$3,daily_items,0)))</f>
        <v>#N/A</v>
      </c>
      <c r="Y75" s="1" t="str">
        <f t="array" ref="Y75">IF(ISBLANK(INDEX(big_daily_table,MATCH(DATE(Y$5,$K75,$J75),daily_dates,0),MATCH($B$3,daily_items,0))),NA(),INDEX(big_daily_table,MATCH(DATE(Y$5,$K75,$J75),daily_dates,0),MATCH($B$3,daily_items,0)))</f>
        <v>#N/A</v>
      </c>
      <c r="Z75" s="1" t="str">
        <f t="array" ref="Z75">IF(ISBLANK(INDEX(big_daily_table,MATCH(DATE(Z$5,$K75,$J75),daily_dates,0),MATCH($B$3,daily_items,0))),NA(),INDEX(big_daily_table,MATCH(DATE(Z$5,$K75,$J75),daily_dates,0),MATCH($B$3,daily_items,0)))</f>
        <v>#N/A</v>
      </c>
      <c r="AA75" s="1" t="str">
        <f t="shared" si="5"/>
        <v>#NAME?</v>
      </c>
      <c r="AB75" s="1" t="str">
        <f t="shared" si="6"/>
        <v>#NAME?</v>
      </c>
      <c r="AC75" s="1" t="str">
        <f t="shared" si="7"/>
        <v>#NAME?</v>
      </c>
      <c r="AD75" s="1" t="str">
        <f t="shared" si="8"/>
        <v>#NAME?</v>
      </c>
    </row>
    <row r="76" ht="14.25" customHeight="1">
      <c r="H76" s="1">
        <f t="shared" si="9"/>
        <v>71</v>
      </c>
      <c r="I76" s="1">
        <f>WEEKDAY('daily graphs'!K76)</f>
        <v>7</v>
      </c>
      <c r="J76" s="1">
        <f t="shared" si="2"/>
        <v>4</v>
      </c>
      <c r="K76" s="1">
        <f t="shared" si="3"/>
        <v>3</v>
      </c>
      <c r="L76" s="23">
        <f>'daily graphs'!K76 - I76</f>
        <v>36589</v>
      </c>
      <c r="M76" s="24">
        <f t="shared" si="4"/>
        <v>-1000000</v>
      </c>
      <c r="N76" s="24" t="str">
        <f t="array" ref="N76">IF(M76&gt;0,INDEX(big_daily_table,MATCH(DATE(O$5,$K76,$J76),daily_dates,0),MATCH($B$3,daily_items,0)),NA())</f>
        <v>#N/A</v>
      </c>
      <c r="O76" s="1" t="str">
        <f t="array" ref="O76">IF(M76&lt;0,INDEX(big_daily_table,MATCH(DATE(O$5,$K76,$J76),daily_dates,0),MATCH($B$3,daily_items,0)),NA())</f>
        <v>#N/A</v>
      </c>
      <c r="P76" s="1" t="str">
        <f t="array" ref="P76">IF(ISBLANK(INDEX(big_daily_table,MATCH(DATE(P$5,$K76,$J76),daily_dates,0),MATCH($B$3,daily_items,0))),NA(),INDEX(big_daily_table,MATCH(DATE(P$5,$K76,$J76),daily_dates,0),MATCH($B$3,daily_items,0)))</f>
        <v>#N/A</v>
      </c>
      <c r="Q76" s="1" t="str">
        <f t="array" ref="Q76">IF(ISBLANK(INDEX(big_daily_table,MATCH(DATE(Q$5,$K76,$J76),daily_dates,0),MATCH($B$3,daily_items,0))),NA(),INDEX(big_daily_table,MATCH(DATE(Q$5,$K76,$J76),daily_dates,0),MATCH($B$3,daily_items,0)))</f>
        <v>#N/A</v>
      </c>
      <c r="R76" s="1" t="str">
        <f t="array" ref="R76">IF(ISBLANK(INDEX(big_daily_table,MATCH(DATE(R$5,$K76,$J76),daily_dates,0),MATCH($B$3,daily_items,0))),NA(),INDEX(big_daily_table,MATCH(DATE(R$5,$K76,$J76),daily_dates,0),MATCH($B$3,daily_items,0)))</f>
        <v>#N/A</v>
      </c>
      <c r="S76" s="1" t="str">
        <f t="array" ref="S76">IF(ISBLANK(INDEX(big_daily_table,MATCH(DATE(S$5,$K76,$J76),daily_dates,0),MATCH($B$3,daily_items,0))),NA(),INDEX(big_daily_table,MATCH(DATE(S$5,$K76,$J76),daily_dates,0),MATCH($B$3,daily_items,0)))</f>
        <v>#N/A</v>
      </c>
      <c r="T76" s="1" t="str">
        <f t="array" ref="T76">IF(ISBLANK(INDEX(big_daily_table,MATCH(DATE(T$5,$K76,$J76),daily_dates,0),MATCH($B$3,daily_items,0))),NA(),INDEX(big_daily_table,MATCH(DATE(T$5,$K76,$J76),daily_dates,0),MATCH($B$3,daily_items,0)))</f>
        <v>#N/A</v>
      </c>
      <c r="U76" s="1" t="str">
        <f t="array" ref="U76">IF(ISBLANK(INDEX(big_daily_table,MATCH(DATE(U$5,$K76,$J76),daily_dates,0),MATCH($B$3,daily_items,0))),NA(),INDEX(big_daily_table,MATCH(DATE(U$5,$K76,$J76),daily_dates,0),MATCH($B$3,daily_items,0)))</f>
        <v>#N/A</v>
      </c>
      <c r="V76" s="1" t="str">
        <f t="array" ref="V76">IF(ISBLANK(INDEX(big_daily_table,MATCH(DATE(V$5,$K76,$J76),daily_dates,0),MATCH($B$3,daily_items,0))),NA(),INDEX(big_daily_table,MATCH(DATE(V$5,$K76,$J76),daily_dates,0),MATCH($B$3,daily_items,0)))</f>
        <v>#N/A</v>
      </c>
      <c r="W76" s="1" t="str">
        <f t="array" ref="W76">IF(ISBLANK(INDEX(big_daily_table,MATCH(DATE(W$5,$K76,$J76),daily_dates,0),MATCH($B$3,daily_items,0))),NA(),INDEX(big_daily_table,MATCH(DATE(W$5,$K76,$J76),daily_dates,0),MATCH($B$3,daily_items,0)))</f>
        <v>#N/A</v>
      </c>
      <c r="X76" s="1" t="str">
        <f t="array" ref="X76">IF(ISBLANK(INDEX(big_daily_table,MATCH(DATE(X$5,$K76,$J76),daily_dates,0),MATCH($B$3,daily_items,0))),NA(),INDEX(big_daily_table,MATCH(DATE(X$5,$K76,$J76),daily_dates,0),MATCH($B$3,daily_items,0)))</f>
        <v>#N/A</v>
      </c>
      <c r="Y76" s="1" t="str">
        <f t="array" ref="Y76">IF(ISBLANK(INDEX(big_daily_table,MATCH(DATE(Y$5,$K76,$J76),daily_dates,0),MATCH($B$3,daily_items,0))),NA(),INDEX(big_daily_table,MATCH(DATE(Y$5,$K76,$J76),daily_dates,0),MATCH($B$3,daily_items,0)))</f>
        <v>#N/A</v>
      </c>
      <c r="Z76" s="1" t="str">
        <f t="array" ref="Z76">IF(ISBLANK(INDEX(big_daily_table,MATCH(DATE(Z$5,$K76,$J76),daily_dates,0),MATCH($B$3,daily_items,0))),NA(),INDEX(big_daily_table,MATCH(DATE(Z$5,$K76,$J76),daily_dates,0),MATCH($B$3,daily_items,0)))</f>
        <v>#N/A</v>
      </c>
      <c r="AA76" s="1" t="str">
        <f t="shared" si="5"/>
        <v>#NAME?</v>
      </c>
      <c r="AB76" s="1" t="str">
        <f t="shared" si="6"/>
        <v>#NAME?</v>
      </c>
      <c r="AC76" s="1" t="str">
        <f t="shared" si="7"/>
        <v>#NAME?</v>
      </c>
      <c r="AD76" s="1" t="str">
        <f t="shared" si="8"/>
        <v>#NAME?</v>
      </c>
    </row>
    <row r="77" ht="14.25" customHeight="1">
      <c r="H77" s="1">
        <f t="shared" si="9"/>
        <v>72</v>
      </c>
      <c r="I77" s="1">
        <f>WEEKDAY('daily graphs'!K77)</f>
        <v>1</v>
      </c>
      <c r="J77" s="1">
        <f t="shared" si="2"/>
        <v>11</v>
      </c>
      <c r="K77" s="1">
        <f t="shared" si="3"/>
        <v>3</v>
      </c>
      <c r="L77" s="23">
        <f>'daily graphs'!K77 - I77</f>
        <v>36596</v>
      </c>
      <c r="M77" s="24">
        <f t="shared" si="4"/>
        <v>-1000000</v>
      </c>
      <c r="N77" s="24" t="str">
        <f t="array" ref="N77">IF(M77&gt;0,INDEX(big_daily_table,MATCH(DATE(O$5,$K77,$J77),daily_dates,0),MATCH($B$3,daily_items,0)),NA())</f>
        <v>#N/A</v>
      </c>
      <c r="O77" s="1" t="str">
        <f t="array" ref="O77">IF(M77&lt;0,INDEX(big_daily_table,MATCH(DATE(O$5,$K77,$J77),daily_dates,0),MATCH($B$3,daily_items,0)),NA())</f>
        <v>#N/A</v>
      </c>
      <c r="P77" s="1" t="str">
        <f t="array" ref="P77">IF(ISBLANK(INDEX(big_daily_table,MATCH(DATE(P$5,$K77,$J77),daily_dates,0),MATCH($B$3,daily_items,0))),NA(),INDEX(big_daily_table,MATCH(DATE(P$5,$K77,$J77),daily_dates,0),MATCH($B$3,daily_items,0)))</f>
        <v>#N/A</v>
      </c>
      <c r="Q77" s="1" t="str">
        <f t="array" ref="Q77">IF(ISBLANK(INDEX(big_daily_table,MATCH(DATE(Q$5,$K77,$J77),daily_dates,0),MATCH($B$3,daily_items,0))),NA(),INDEX(big_daily_table,MATCH(DATE(Q$5,$K77,$J77),daily_dates,0),MATCH($B$3,daily_items,0)))</f>
        <v>#N/A</v>
      </c>
      <c r="R77" s="1" t="str">
        <f t="array" ref="R77">IF(ISBLANK(INDEX(big_daily_table,MATCH(DATE(R$5,$K77,$J77),daily_dates,0),MATCH($B$3,daily_items,0))),NA(),INDEX(big_daily_table,MATCH(DATE(R$5,$K77,$J77),daily_dates,0),MATCH($B$3,daily_items,0)))</f>
        <v>#N/A</v>
      </c>
      <c r="S77" s="1" t="str">
        <f t="array" ref="S77">IF(ISBLANK(INDEX(big_daily_table,MATCH(DATE(S$5,$K77,$J77),daily_dates,0),MATCH($B$3,daily_items,0))),NA(),INDEX(big_daily_table,MATCH(DATE(S$5,$K77,$J77),daily_dates,0),MATCH($B$3,daily_items,0)))</f>
        <v>#N/A</v>
      </c>
      <c r="T77" s="1" t="str">
        <f t="array" ref="T77">IF(ISBLANK(INDEX(big_daily_table,MATCH(DATE(T$5,$K77,$J77),daily_dates,0),MATCH($B$3,daily_items,0))),NA(),INDEX(big_daily_table,MATCH(DATE(T$5,$K77,$J77),daily_dates,0),MATCH($B$3,daily_items,0)))</f>
        <v>#N/A</v>
      </c>
      <c r="U77" s="1" t="str">
        <f t="array" ref="U77">IF(ISBLANK(INDEX(big_daily_table,MATCH(DATE(U$5,$K77,$J77),daily_dates,0),MATCH($B$3,daily_items,0))),NA(),INDEX(big_daily_table,MATCH(DATE(U$5,$K77,$J77),daily_dates,0),MATCH($B$3,daily_items,0)))</f>
        <v>#N/A</v>
      </c>
      <c r="V77" s="1" t="str">
        <f t="array" ref="V77">IF(ISBLANK(INDEX(big_daily_table,MATCH(DATE(V$5,$K77,$J77),daily_dates,0),MATCH($B$3,daily_items,0))),NA(),INDEX(big_daily_table,MATCH(DATE(V$5,$K77,$J77),daily_dates,0),MATCH($B$3,daily_items,0)))</f>
        <v>#N/A</v>
      </c>
      <c r="W77" s="1" t="str">
        <f t="array" ref="W77">IF(ISBLANK(INDEX(big_daily_table,MATCH(DATE(W$5,$K77,$J77),daily_dates,0),MATCH($B$3,daily_items,0))),NA(),INDEX(big_daily_table,MATCH(DATE(W$5,$K77,$J77),daily_dates,0),MATCH($B$3,daily_items,0)))</f>
        <v>#N/A</v>
      </c>
      <c r="X77" s="1" t="str">
        <f t="array" ref="X77">IF(ISBLANK(INDEX(big_daily_table,MATCH(DATE(X$5,$K77,$J77),daily_dates,0),MATCH($B$3,daily_items,0))),NA(),INDEX(big_daily_table,MATCH(DATE(X$5,$K77,$J77),daily_dates,0),MATCH($B$3,daily_items,0)))</f>
        <v>#N/A</v>
      </c>
      <c r="Y77" s="1" t="str">
        <f t="array" ref="Y77">IF(ISBLANK(INDEX(big_daily_table,MATCH(DATE(Y$5,$K77,$J77),daily_dates,0),MATCH($B$3,daily_items,0))),NA(),INDEX(big_daily_table,MATCH(DATE(Y$5,$K77,$J77),daily_dates,0),MATCH($B$3,daily_items,0)))</f>
        <v>#N/A</v>
      </c>
      <c r="Z77" s="1" t="str">
        <f t="array" ref="Z77">IF(ISBLANK(INDEX(big_daily_table,MATCH(DATE(Z$5,$K77,$J77),daily_dates,0),MATCH($B$3,daily_items,0))),NA(),INDEX(big_daily_table,MATCH(DATE(Z$5,$K77,$J77),daily_dates,0),MATCH($B$3,daily_items,0)))</f>
        <v>#N/A</v>
      </c>
      <c r="AA77" s="1" t="str">
        <f t="shared" si="5"/>
        <v>#NAME?</v>
      </c>
      <c r="AB77" s="1" t="str">
        <f t="shared" si="6"/>
        <v>#NAME?</v>
      </c>
      <c r="AC77" s="1" t="str">
        <f t="shared" si="7"/>
        <v>#NAME?</v>
      </c>
      <c r="AD77" s="1" t="str">
        <f t="shared" si="8"/>
        <v>#NAME?</v>
      </c>
    </row>
    <row r="78" ht="14.25" customHeight="1">
      <c r="H78" s="1">
        <f t="shared" si="9"/>
        <v>73</v>
      </c>
      <c r="I78" s="1">
        <f>WEEKDAY('daily graphs'!K78)</f>
        <v>2</v>
      </c>
      <c r="J78" s="1">
        <f t="shared" si="2"/>
        <v>11</v>
      </c>
      <c r="K78" s="1">
        <f t="shared" si="3"/>
        <v>3</v>
      </c>
      <c r="L78" s="23">
        <f>'daily graphs'!K78 - I78</f>
        <v>36596</v>
      </c>
      <c r="M78" s="24">
        <f t="shared" si="4"/>
        <v>-1000000</v>
      </c>
      <c r="N78" s="24" t="str">
        <f t="array" ref="N78">IF(M78&gt;0,INDEX(big_daily_table,MATCH(DATE(O$5,$K78,$J78),daily_dates,0),MATCH($B$3,daily_items,0)),NA())</f>
        <v>#N/A</v>
      </c>
      <c r="O78" s="1" t="str">
        <f t="array" ref="O78">IF(M78&lt;0,INDEX(big_daily_table,MATCH(DATE(O$5,$K78,$J78),daily_dates,0),MATCH($B$3,daily_items,0)),NA())</f>
        <v>#N/A</v>
      </c>
      <c r="P78" s="1" t="str">
        <f t="array" ref="P78">IF(ISBLANK(INDEX(big_daily_table,MATCH(DATE(P$5,$K78,$J78),daily_dates,0),MATCH($B$3,daily_items,0))),NA(),INDEX(big_daily_table,MATCH(DATE(P$5,$K78,$J78),daily_dates,0),MATCH($B$3,daily_items,0)))</f>
        <v>#N/A</v>
      </c>
      <c r="Q78" s="1" t="str">
        <f t="array" ref="Q78">IF(ISBLANK(INDEX(big_daily_table,MATCH(DATE(Q$5,$K78,$J78),daily_dates,0),MATCH($B$3,daily_items,0))),NA(),INDEX(big_daily_table,MATCH(DATE(Q$5,$K78,$J78),daily_dates,0),MATCH($B$3,daily_items,0)))</f>
        <v>#N/A</v>
      </c>
      <c r="R78" s="1" t="str">
        <f t="array" ref="R78">IF(ISBLANK(INDEX(big_daily_table,MATCH(DATE(R$5,$K78,$J78),daily_dates,0),MATCH($B$3,daily_items,0))),NA(),INDEX(big_daily_table,MATCH(DATE(R$5,$K78,$J78),daily_dates,0),MATCH($B$3,daily_items,0)))</f>
        <v>#N/A</v>
      </c>
      <c r="S78" s="1" t="str">
        <f t="array" ref="S78">IF(ISBLANK(INDEX(big_daily_table,MATCH(DATE(S$5,$K78,$J78),daily_dates,0),MATCH($B$3,daily_items,0))),NA(),INDEX(big_daily_table,MATCH(DATE(S$5,$K78,$J78),daily_dates,0),MATCH($B$3,daily_items,0)))</f>
        <v>#N/A</v>
      </c>
      <c r="T78" s="1" t="str">
        <f t="array" ref="T78">IF(ISBLANK(INDEX(big_daily_table,MATCH(DATE(T$5,$K78,$J78),daily_dates,0),MATCH($B$3,daily_items,0))),NA(),INDEX(big_daily_table,MATCH(DATE(T$5,$K78,$J78),daily_dates,0),MATCH($B$3,daily_items,0)))</f>
        <v>#N/A</v>
      </c>
      <c r="U78" s="1" t="str">
        <f t="array" ref="U78">IF(ISBLANK(INDEX(big_daily_table,MATCH(DATE(U$5,$K78,$J78),daily_dates,0),MATCH($B$3,daily_items,0))),NA(),INDEX(big_daily_table,MATCH(DATE(U$5,$K78,$J78),daily_dates,0),MATCH($B$3,daily_items,0)))</f>
        <v>#N/A</v>
      </c>
      <c r="V78" s="1" t="str">
        <f t="array" ref="V78">IF(ISBLANK(INDEX(big_daily_table,MATCH(DATE(V$5,$K78,$J78),daily_dates,0),MATCH($B$3,daily_items,0))),NA(),INDEX(big_daily_table,MATCH(DATE(V$5,$K78,$J78),daily_dates,0),MATCH($B$3,daily_items,0)))</f>
        <v>#N/A</v>
      </c>
      <c r="W78" s="1" t="str">
        <f t="array" ref="W78">IF(ISBLANK(INDEX(big_daily_table,MATCH(DATE(W$5,$K78,$J78),daily_dates,0),MATCH($B$3,daily_items,0))),NA(),INDEX(big_daily_table,MATCH(DATE(W$5,$K78,$J78),daily_dates,0),MATCH($B$3,daily_items,0)))</f>
        <v>#N/A</v>
      </c>
      <c r="X78" s="1" t="str">
        <f t="array" ref="X78">IF(ISBLANK(INDEX(big_daily_table,MATCH(DATE(X$5,$K78,$J78),daily_dates,0),MATCH($B$3,daily_items,0))),NA(),INDEX(big_daily_table,MATCH(DATE(X$5,$K78,$J78),daily_dates,0),MATCH($B$3,daily_items,0)))</f>
        <v>#N/A</v>
      </c>
      <c r="Y78" s="1" t="str">
        <f t="array" ref="Y78">IF(ISBLANK(INDEX(big_daily_table,MATCH(DATE(Y$5,$K78,$J78),daily_dates,0),MATCH($B$3,daily_items,0))),NA(),INDEX(big_daily_table,MATCH(DATE(Y$5,$K78,$J78),daily_dates,0),MATCH($B$3,daily_items,0)))</f>
        <v>#N/A</v>
      </c>
      <c r="Z78" s="1" t="str">
        <f t="array" ref="Z78">IF(ISBLANK(INDEX(big_daily_table,MATCH(DATE(Z$5,$K78,$J78),daily_dates,0),MATCH($B$3,daily_items,0))),NA(),INDEX(big_daily_table,MATCH(DATE(Z$5,$K78,$J78),daily_dates,0),MATCH($B$3,daily_items,0)))</f>
        <v>#N/A</v>
      </c>
      <c r="AA78" s="1" t="str">
        <f t="shared" si="5"/>
        <v>#NAME?</v>
      </c>
      <c r="AB78" s="1" t="str">
        <f t="shared" si="6"/>
        <v>#NAME?</v>
      </c>
      <c r="AC78" s="1" t="str">
        <f t="shared" si="7"/>
        <v>#NAME?</v>
      </c>
      <c r="AD78" s="1" t="str">
        <f t="shared" si="8"/>
        <v>#NAME?</v>
      </c>
    </row>
    <row r="79" ht="14.25" customHeight="1">
      <c r="H79" s="1">
        <f t="shared" si="9"/>
        <v>74</v>
      </c>
      <c r="I79" s="1">
        <f>WEEKDAY('daily graphs'!K79)</f>
        <v>3</v>
      </c>
      <c r="J79" s="1">
        <f t="shared" si="2"/>
        <v>11</v>
      </c>
      <c r="K79" s="1">
        <f t="shared" si="3"/>
        <v>3</v>
      </c>
      <c r="L79" s="23">
        <f>'daily graphs'!K79 - I79</f>
        <v>36596</v>
      </c>
      <c r="M79" s="24">
        <f t="shared" si="4"/>
        <v>-1000000</v>
      </c>
      <c r="N79" s="24" t="str">
        <f t="array" ref="N79">IF(M79&gt;0,INDEX(big_daily_table,MATCH(DATE(O$5,$K79,$J79),daily_dates,0),MATCH($B$3,daily_items,0)),NA())</f>
        <v>#N/A</v>
      </c>
      <c r="O79" s="1" t="str">
        <f t="array" ref="O79">IF(M79&lt;0,INDEX(big_daily_table,MATCH(DATE(O$5,$K79,$J79),daily_dates,0),MATCH($B$3,daily_items,0)),NA())</f>
        <v>#N/A</v>
      </c>
      <c r="P79" s="1" t="str">
        <f t="array" ref="P79">IF(ISBLANK(INDEX(big_daily_table,MATCH(DATE(P$5,$K79,$J79),daily_dates,0),MATCH($B$3,daily_items,0))),NA(),INDEX(big_daily_table,MATCH(DATE(P$5,$K79,$J79),daily_dates,0),MATCH($B$3,daily_items,0)))</f>
        <v>#N/A</v>
      </c>
      <c r="Q79" s="1" t="str">
        <f t="array" ref="Q79">IF(ISBLANK(INDEX(big_daily_table,MATCH(DATE(Q$5,$K79,$J79),daily_dates,0),MATCH($B$3,daily_items,0))),NA(),INDEX(big_daily_table,MATCH(DATE(Q$5,$K79,$J79),daily_dates,0),MATCH($B$3,daily_items,0)))</f>
        <v>#N/A</v>
      </c>
      <c r="R79" s="1" t="str">
        <f t="array" ref="R79">IF(ISBLANK(INDEX(big_daily_table,MATCH(DATE(R$5,$K79,$J79),daily_dates,0),MATCH($B$3,daily_items,0))),NA(),INDEX(big_daily_table,MATCH(DATE(R$5,$K79,$J79),daily_dates,0),MATCH($B$3,daily_items,0)))</f>
        <v>#N/A</v>
      </c>
      <c r="S79" s="1" t="str">
        <f t="array" ref="S79">IF(ISBLANK(INDEX(big_daily_table,MATCH(DATE(S$5,$K79,$J79),daily_dates,0),MATCH($B$3,daily_items,0))),NA(),INDEX(big_daily_table,MATCH(DATE(S$5,$K79,$J79),daily_dates,0),MATCH($B$3,daily_items,0)))</f>
        <v>#N/A</v>
      </c>
      <c r="T79" s="1" t="str">
        <f t="array" ref="T79">IF(ISBLANK(INDEX(big_daily_table,MATCH(DATE(T$5,$K79,$J79),daily_dates,0),MATCH($B$3,daily_items,0))),NA(),INDEX(big_daily_table,MATCH(DATE(T$5,$K79,$J79),daily_dates,0),MATCH($B$3,daily_items,0)))</f>
        <v>#N/A</v>
      </c>
      <c r="U79" s="1" t="str">
        <f t="array" ref="U79">IF(ISBLANK(INDEX(big_daily_table,MATCH(DATE(U$5,$K79,$J79),daily_dates,0),MATCH($B$3,daily_items,0))),NA(),INDEX(big_daily_table,MATCH(DATE(U$5,$K79,$J79),daily_dates,0),MATCH($B$3,daily_items,0)))</f>
        <v>#N/A</v>
      </c>
      <c r="V79" s="1" t="str">
        <f t="array" ref="V79">IF(ISBLANK(INDEX(big_daily_table,MATCH(DATE(V$5,$K79,$J79),daily_dates,0),MATCH($B$3,daily_items,0))),NA(),INDEX(big_daily_table,MATCH(DATE(V$5,$K79,$J79),daily_dates,0),MATCH($B$3,daily_items,0)))</f>
        <v>#N/A</v>
      </c>
      <c r="W79" s="1" t="str">
        <f t="array" ref="W79">IF(ISBLANK(INDEX(big_daily_table,MATCH(DATE(W$5,$K79,$J79),daily_dates,0),MATCH($B$3,daily_items,0))),NA(),INDEX(big_daily_table,MATCH(DATE(W$5,$K79,$J79),daily_dates,0),MATCH($B$3,daily_items,0)))</f>
        <v>#N/A</v>
      </c>
      <c r="X79" s="1" t="str">
        <f t="array" ref="X79">IF(ISBLANK(INDEX(big_daily_table,MATCH(DATE(X$5,$K79,$J79),daily_dates,0),MATCH($B$3,daily_items,0))),NA(),INDEX(big_daily_table,MATCH(DATE(X$5,$K79,$J79),daily_dates,0),MATCH($B$3,daily_items,0)))</f>
        <v>#N/A</v>
      </c>
      <c r="Y79" s="1" t="str">
        <f t="array" ref="Y79">IF(ISBLANK(INDEX(big_daily_table,MATCH(DATE(Y$5,$K79,$J79),daily_dates,0),MATCH($B$3,daily_items,0))),NA(),INDEX(big_daily_table,MATCH(DATE(Y$5,$K79,$J79),daily_dates,0),MATCH($B$3,daily_items,0)))</f>
        <v>#N/A</v>
      </c>
      <c r="Z79" s="1" t="str">
        <f t="array" ref="Z79">IF(ISBLANK(INDEX(big_daily_table,MATCH(DATE(Z$5,$K79,$J79),daily_dates,0),MATCH($B$3,daily_items,0))),NA(),INDEX(big_daily_table,MATCH(DATE(Z$5,$K79,$J79),daily_dates,0),MATCH($B$3,daily_items,0)))</f>
        <v>#N/A</v>
      </c>
      <c r="AA79" s="1" t="str">
        <f t="shared" si="5"/>
        <v>#NAME?</v>
      </c>
      <c r="AB79" s="1" t="str">
        <f t="shared" si="6"/>
        <v>#NAME?</v>
      </c>
      <c r="AC79" s="1" t="str">
        <f t="shared" si="7"/>
        <v>#NAME?</v>
      </c>
      <c r="AD79" s="1" t="str">
        <f t="shared" si="8"/>
        <v>#NAME?</v>
      </c>
    </row>
    <row r="80" ht="14.25" customHeight="1">
      <c r="H80" s="1">
        <f t="shared" si="9"/>
        <v>75</v>
      </c>
      <c r="I80" s="1">
        <f>WEEKDAY('daily graphs'!K80)</f>
        <v>4</v>
      </c>
      <c r="J80" s="1">
        <f t="shared" si="2"/>
        <v>11</v>
      </c>
      <c r="K80" s="1">
        <f t="shared" si="3"/>
        <v>3</v>
      </c>
      <c r="L80" s="23">
        <f>'daily graphs'!K80 - I80</f>
        <v>36596</v>
      </c>
      <c r="M80" s="24">
        <f t="shared" si="4"/>
        <v>-1000000</v>
      </c>
      <c r="N80" s="24" t="str">
        <f t="array" ref="N80">IF(M80&gt;0,INDEX(big_daily_table,MATCH(DATE(O$5,$K80,$J80),daily_dates,0),MATCH($B$3,daily_items,0)),NA())</f>
        <v>#N/A</v>
      </c>
      <c r="O80" s="1" t="str">
        <f t="array" ref="O80">IF(M80&lt;0,INDEX(big_daily_table,MATCH(DATE(O$5,$K80,$J80),daily_dates,0),MATCH($B$3,daily_items,0)),NA())</f>
        <v>#N/A</v>
      </c>
      <c r="P80" s="1" t="str">
        <f t="array" ref="P80">IF(ISBLANK(INDEX(big_daily_table,MATCH(DATE(P$5,$K80,$J80),daily_dates,0),MATCH($B$3,daily_items,0))),NA(),INDEX(big_daily_table,MATCH(DATE(P$5,$K80,$J80),daily_dates,0),MATCH($B$3,daily_items,0)))</f>
        <v>#N/A</v>
      </c>
      <c r="Q80" s="1" t="str">
        <f t="array" ref="Q80">IF(ISBLANK(INDEX(big_daily_table,MATCH(DATE(Q$5,$K80,$J80),daily_dates,0),MATCH($B$3,daily_items,0))),NA(),INDEX(big_daily_table,MATCH(DATE(Q$5,$K80,$J80),daily_dates,0),MATCH($B$3,daily_items,0)))</f>
        <v>#N/A</v>
      </c>
      <c r="R80" s="1" t="str">
        <f t="array" ref="R80">IF(ISBLANK(INDEX(big_daily_table,MATCH(DATE(R$5,$K80,$J80),daily_dates,0),MATCH($B$3,daily_items,0))),NA(),INDEX(big_daily_table,MATCH(DATE(R$5,$K80,$J80),daily_dates,0),MATCH($B$3,daily_items,0)))</f>
        <v>#N/A</v>
      </c>
      <c r="S80" s="1" t="str">
        <f t="array" ref="S80">IF(ISBLANK(INDEX(big_daily_table,MATCH(DATE(S$5,$K80,$J80),daily_dates,0),MATCH($B$3,daily_items,0))),NA(),INDEX(big_daily_table,MATCH(DATE(S$5,$K80,$J80),daily_dates,0),MATCH($B$3,daily_items,0)))</f>
        <v>#N/A</v>
      </c>
      <c r="T80" s="1" t="str">
        <f t="array" ref="T80">IF(ISBLANK(INDEX(big_daily_table,MATCH(DATE(T$5,$K80,$J80),daily_dates,0),MATCH($B$3,daily_items,0))),NA(),INDEX(big_daily_table,MATCH(DATE(T$5,$K80,$J80),daily_dates,0),MATCH($B$3,daily_items,0)))</f>
        <v>#N/A</v>
      </c>
      <c r="U80" s="1" t="str">
        <f t="array" ref="U80">IF(ISBLANK(INDEX(big_daily_table,MATCH(DATE(U$5,$K80,$J80),daily_dates,0),MATCH($B$3,daily_items,0))),NA(),INDEX(big_daily_table,MATCH(DATE(U$5,$K80,$J80),daily_dates,0),MATCH($B$3,daily_items,0)))</f>
        <v>#N/A</v>
      </c>
      <c r="V80" s="1" t="str">
        <f t="array" ref="V80">IF(ISBLANK(INDEX(big_daily_table,MATCH(DATE(V$5,$K80,$J80),daily_dates,0),MATCH($B$3,daily_items,0))),NA(),INDEX(big_daily_table,MATCH(DATE(V$5,$K80,$J80),daily_dates,0),MATCH($B$3,daily_items,0)))</f>
        <v>#N/A</v>
      </c>
      <c r="W80" s="1" t="str">
        <f t="array" ref="W80">IF(ISBLANK(INDEX(big_daily_table,MATCH(DATE(W$5,$K80,$J80),daily_dates,0),MATCH($B$3,daily_items,0))),NA(),INDEX(big_daily_table,MATCH(DATE(W$5,$K80,$J80),daily_dates,0),MATCH($B$3,daily_items,0)))</f>
        <v>#N/A</v>
      </c>
      <c r="X80" s="1" t="str">
        <f t="array" ref="X80">IF(ISBLANK(INDEX(big_daily_table,MATCH(DATE(X$5,$K80,$J80),daily_dates,0),MATCH($B$3,daily_items,0))),NA(),INDEX(big_daily_table,MATCH(DATE(X$5,$K80,$J80),daily_dates,0),MATCH($B$3,daily_items,0)))</f>
        <v>#N/A</v>
      </c>
      <c r="Y80" s="1" t="str">
        <f t="array" ref="Y80">IF(ISBLANK(INDEX(big_daily_table,MATCH(DATE(Y$5,$K80,$J80),daily_dates,0),MATCH($B$3,daily_items,0))),NA(),INDEX(big_daily_table,MATCH(DATE(Y$5,$K80,$J80),daily_dates,0),MATCH($B$3,daily_items,0)))</f>
        <v>#N/A</v>
      </c>
      <c r="Z80" s="1" t="str">
        <f t="array" ref="Z80">IF(ISBLANK(INDEX(big_daily_table,MATCH(DATE(Z$5,$K80,$J80),daily_dates,0),MATCH($B$3,daily_items,0))),NA(),INDEX(big_daily_table,MATCH(DATE(Z$5,$K80,$J80),daily_dates,0),MATCH($B$3,daily_items,0)))</f>
        <v>#N/A</v>
      </c>
      <c r="AA80" s="1" t="str">
        <f t="shared" si="5"/>
        <v>#NAME?</v>
      </c>
      <c r="AB80" s="1" t="str">
        <f t="shared" si="6"/>
        <v>#NAME?</v>
      </c>
      <c r="AC80" s="1" t="str">
        <f t="shared" si="7"/>
        <v>#NAME?</v>
      </c>
      <c r="AD80" s="1" t="str">
        <f t="shared" si="8"/>
        <v>#NAME?</v>
      </c>
    </row>
    <row r="81" ht="14.25" customHeight="1">
      <c r="H81" s="1">
        <f t="shared" si="9"/>
        <v>76</v>
      </c>
      <c r="I81" s="1">
        <f>WEEKDAY('daily graphs'!K81)</f>
        <v>5</v>
      </c>
      <c r="J81" s="1">
        <f t="shared" si="2"/>
        <v>11</v>
      </c>
      <c r="K81" s="1">
        <f t="shared" si="3"/>
        <v>3</v>
      </c>
      <c r="L81" s="23">
        <f>'daily graphs'!K81 - I81</f>
        <v>36596</v>
      </c>
      <c r="M81" s="24">
        <f t="shared" si="4"/>
        <v>-1000000</v>
      </c>
      <c r="N81" s="24" t="str">
        <f t="array" ref="N81">IF(M81&gt;0,INDEX(big_daily_table,MATCH(DATE(O$5,$K81,$J81),daily_dates,0),MATCH($B$3,daily_items,0)),NA())</f>
        <v>#N/A</v>
      </c>
      <c r="O81" s="1" t="str">
        <f t="array" ref="O81">IF(M81&lt;0,INDEX(big_daily_table,MATCH(DATE(O$5,$K81,$J81),daily_dates,0),MATCH($B$3,daily_items,0)),NA())</f>
        <v>#N/A</v>
      </c>
      <c r="P81" s="1" t="str">
        <f t="array" ref="P81">IF(ISBLANK(INDEX(big_daily_table,MATCH(DATE(P$5,$K81,$J81),daily_dates,0),MATCH($B$3,daily_items,0))),NA(),INDEX(big_daily_table,MATCH(DATE(P$5,$K81,$J81),daily_dates,0),MATCH($B$3,daily_items,0)))</f>
        <v>#N/A</v>
      </c>
      <c r="Q81" s="1" t="str">
        <f t="array" ref="Q81">IF(ISBLANK(INDEX(big_daily_table,MATCH(DATE(Q$5,$K81,$J81),daily_dates,0),MATCH($B$3,daily_items,0))),NA(),INDEX(big_daily_table,MATCH(DATE(Q$5,$K81,$J81),daily_dates,0),MATCH($B$3,daily_items,0)))</f>
        <v>#N/A</v>
      </c>
      <c r="R81" s="1" t="str">
        <f t="array" ref="R81">IF(ISBLANK(INDEX(big_daily_table,MATCH(DATE(R$5,$K81,$J81),daily_dates,0),MATCH($B$3,daily_items,0))),NA(),INDEX(big_daily_table,MATCH(DATE(R$5,$K81,$J81),daily_dates,0),MATCH($B$3,daily_items,0)))</f>
        <v>#N/A</v>
      </c>
      <c r="S81" s="1" t="str">
        <f t="array" ref="S81">IF(ISBLANK(INDEX(big_daily_table,MATCH(DATE(S$5,$K81,$J81),daily_dates,0),MATCH($B$3,daily_items,0))),NA(),INDEX(big_daily_table,MATCH(DATE(S$5,$K81,$J81),daily_dates,0),MATCH($B$3,daily_items,0)))</f>
        <v>#N/A</v>
      </c>
      <c r="T81" s="1" t="str">
        <f t="array" ref="T81">IF(ISBLANK(INDEX(big_daily_table,MATCH(DATE(T$5,$K81,$J81),daily_dates,0),MATCH($B$3,daily_items,0))),NA(),INDEX(big_daily_table,MATCH(DATE(T$5,$K81,$J81),daily_dates,0),MATCH($B$3,daily_items,0)))</f>
        <v>#N/A</v>
      </c>
      <c r="U81" s="1" t="str">
        <f t="array" ref="U81">IF(ISBLANK(INDEX(big_daily_table,MATCH(DATE(U$5,$K81,$J81),daily_dates,0),MATCH($B$3,daily_items,0))),NA(),INDEX(big_daily_table,MATCH(DATE(U$5,$K81,$J81),daily_dates,0),MATCH($B$3,daily_items,0)))</f>
        <v>#N/A</v>
      </c>
      <c r="V81" s="1" t="str">
        <f t="array" ref="V81">IF(ISBLANK(INDEX(big_daily_table,MATCH(DATE(V$5,$K81,$J81),daily_dates,0),MATCH($B$3,daily_items,0))),NA(),INDEX(big_daily_table,MATCH(DATE(V$5,$K81,$J81),daily_dates,0),MATCH($B$3,daily_items,0)))</f>
        <v>#N/A</v>
      </c>
      <c r="W81" s="1" t="str">
        <f t="array" ref="W81">IF(ISBLANK(INDEX(big_daily_table,MATCH(DATE(W$5,$K81,$J81),daily_dates,0),MATCH($B$3,daily_items,0))),NA(),INDEX(big_daily_table,MATCH(DATE(W$5,$K81,$J81),daily_dates,0),MATCH($B$3,daily_items,0)))</f>
        <v>#N/A</v>
      </c>
      <c r="X81" s="1" t="str">
        <f t="array" ref="X81">IF(ISBLANK(INDEX(big_daily_table,MATCH(DATE(X$5,$K81,$J81),daily_dates,0),MATCH($B$3,daily_items,0))),NA(),INDEX(big_daily_table,MATCH(DATE(X$5,$K81,$J81),daily_dates,0),MATCH($B$3,daily_items,0)))</f>
        <v>#N/A</v>
      </c>
      <c r="Y81" s="1" t="str">
        <f t="array" ref="Y81">IF(ISBLANK(INDEX(big_daily_table,MATCH(DATE(Y$5,$K81,$J81),daily_dates,0),MATCH($B$3,daily_items,0))),NA(),INDEX(big_daily_table,MATCH(DATE(Y$5,$K81,$J81),daily_dates,0),MATCH($B$3,daily_items,0)))</f>
        <v>#N/A</v>
      </c>
      <c r="Z81" s="1" t="str">
        <f t="array" ref="Z81">IF(ISBLANK(INDEX(big_daily_table,MATCH(DATE(Z$5,$K81,$J81),daily_dates,0),MATCH($B$3,daily_items,0))),NA(),INDEX(big_daily_table,MATCH(DATE(Z$5,$K81,$J81),daily_dates,0),MATCH($B$3,daily_items,0)))</f>
        <v>#N/A</v>
      </c>
      <c r="AA81" s="1" t="str">
        <f t="shared" si="5"/>
        <v>#NAME?</v>
      </c>
      <c r="AB81" s="1" t="str">
        <f t="shared" si="6"/>
        <v>#NAME?</v>
      </c>
      <c r="AC81" s="1" t="str">
        <f t="shared" si="7"/>
        <v>#NAME?</v>
      </c>
      <c r="AD81" s="1" t="str">
        <f t="shared" si="8"/>
        <v>#NAME?</v>
      </c>
    </row>
    <row r="82" ht="14.25" customHeight="1">
      <c r="H82" s="1">
        <f t="shared" si="9"/>
        <v>77</v>
      </c>
      <c r="I82" s="1">
        <f>WEEKDAY('daily graphs'!K82)</f>
        <v>6</v>
      </c>
      <c r="J82" s="1">
        <f t="shared" si="2"/>
        <v>11</v>
      </c>
      <c r="K82" s="1">
        <f t="shared" si="3"/>
        <v>3</v>
      </c>
      <c r="L82" s="23">
        <f>'daily graphs'!K82 - I82</f>
        <v>36596</v>
      </c>
      <c r="M82" s="24">
        <f t="shared" si="4"/>
        <v>-1000000</v>
      </c>
      <c r="N82" s="24" t="str">
        <f t="array" ref="N82">IF(M82&gt;0,INDEX(big_daily_table,MATCH(DATE(O$5,$K82,$J82),daily_dates,0),MATCH($B$3,daily_items,0)),NA())</f>
        <v>#N/A</v>
      </c>
      <c r="O82" s="1" t="str">
        <f t="array" ref="O82">IF(M82&lt;0,INDEX(big_daily_table,MATCH(DATE(O$5,$K82,$J82),daily_dates,0),MATCH($B$3,daily_items,0)),NA())</f>
        <v>#N/A</v>
      </c>
      <c r="P82" s="1" t="str">
        <f t="array" ref="P82">IF(ISBLANK(INDEX(big_daily_table,MATCH(DATE(P$5,$K82,$J82),daily_dates,0),MATCH($B$3,daily_items,0))),NA(),INDEX(big_daily_table,MATCH(DATE(P$5,$K82,$J82),daily_dates,0),MATCH($B$3,daily_items,0)))</f>
        <v>#N/A</v>
      </c>
      <c r="Q82" s="1" t="str">
        <f t="array" ref="Q82">IF(ISBLANK(INDEX(big_daily_table,MATCH(DATE(Q$5,$K82,$J82),daily_dates,0),MATCH($B$3,daily_items,0))),NA(),INDEX(big_daily_table,MATCH(DATE(Q$5,$K82,$J82),daily_dates,0),MATCH($B$3,daily_items,0)))</f>
        <v>#N/A</v>
      </c>
      <c r="R82" s="1" t="str">
        <f t="array" ref="R82">IF(ISBLANK(INDEX(big_daily_table,MATCH(DATE(R$5,$K82,$J82),daily_dates,0),MATCH($B$3,daily_items,0))),NA(),INDEX(big_daily_table,MATCH(DATE(R$5,$K82,$J82),daily_dates,0),MATCH($B$3,daily_items,0)))</f>
        <v>#N/A</v>
      </c>
      <c r="S82" s="1" t="str">
        <f t="array" ref="S82">IF(ISBLANK(INDEX(big_daily_table,MATCH(DATE(S$5,$K82,$J82),daily_dates,0),MATCH($B$3,daily_items,0))),NA(),INDEX(big_daily_table,MATCH(DATE(S$5,$K82,$J82),daily_dates,0),MATCH($B$3,daily_items,0)))</f>
        <v>#N/A</v>
      </c>
      <c r="T82" s="1" t="str">
        <f t="array" ref="T82">IF(ISBLANK(INDEX(big_daily_table,MATCH(DATE(T$5,$K82,$J82),daily_dates,0),MATCH($B$3,daily_items,0))),NA(),INDEX(big_daily_table,MATCH(DATE(T$5,$K82,$J82),daily_dates,0),MATCH($B$3,daily_items,0)))</f>
        <v>#N/A</v>
      </c>
      <c r="U82" s="1" t="str">
        <f t="array" ref="U82">IF(ISBLANK(INDEX(big_daily_table,MATCH(DATE(U$5,$K82,$J82),daily_dates,0),MATCH($B$3,daily_items,0))),NA(),INDEX(big_daily_table,MATCH(DATE(U$5,$K82,$J82),daily_dates,0),MATCH($B$3,daily_items,0)))</f>
        <v>#N/A</v>
      </c>
      <c r="V82" s="1" t="str">
        <f t="array" ref="V82">IF(ISBLANK(INDEX(big_daily_table,MATCH(DATE(V$5,$K82,$J82),daily_dates,0),MATCH($B$3,daily_items,0))),NA(),INDEX(big_daily_table,MATCH(DATE(V$5,$K82,$J82),daily_dates,0),MATCH($B$3,daily_items,0)))</f>
        <v>#N/A</v>
      </c>
      <c r="W82" s="1" t="str">
        <f t="array" ref="W82">IF(ISBLANK(INDEX(big_daily_table,MATCH(DATE(W$5,$K82,$J82),daily_dates,0),MATCH($B$3,daily_items,0))),NA(),INDEX(big_daily_table,MATCH(DATE(W$5,$K82,$J82),daily_dates,0),MATCH($B$3,daily_items,0)))</f>
        <v>#N/A</v>
      </c>
      <c r="X82" s="1" t="str">
        <f t="array" ref="X82">IF(ISBLANK(INDEX(big_daily_table,MATCH(DATE(X$5,$K82,$J82),daily_dates,0),MATCH($B$3,daily_items,0))),NA(),INDEX(big_daily_table,MATCH(DATE(X$5,$K82,$J82),daily_dates,0),MATCH($B$3,daily_items,0)))</f>
        <v>#N/A</v>
      </c>
      <c r="Y82" s="1" t="str">
        <f t="array" ref="Y82">IF(ISBLANK(INDEX(big_daily_table,MATCH(DATE(Y$5,$K82,$J82),daily_dates,0),MATCH($B$3,daily_items,0))),NA(),INDEX(big_daily_table,MATCH(DATE(Y$5,$K82,$J82),daily_dates,0),MATCH($B$3,daily_items,0)))</f>
        <v>#N/A</v>
      </c>
      <c r="Z82" s="1" t="str">
        <f t="array" ref="Z82">IF(ISBLANK(INDEX(big_daily_table,MATCH(DATE(Z$5,$K82,$J82),daily_dates,0),MATCH($B$3,daily_items,0))),NA(),INDEX(big_daily_table,MATCH(DATE(Z$5,$K82,$J82),daily_dates,0),MATCH($B$3,daily_items,0)))</f>
        <v>#N/A</v>
      </c>
      <c r="AA82" s="1" t="str">
        <f t="shared" si="5"/>
        <v>#NAME?</v>
      </c>
      <c r="AB82" s="1" t="str">
        <f t="shared" si="6"/>
        <v>#NAME?</v>
      </c>
      <c r="AC82" s="1" t="str">
        <f t="shared" si="7"/>
        <v>#NAME?</v>
      </c>
      <c r="AD82" s="1" t="str">
        <f t="shared" si="8"/>
        <v>#NAME?</v>
      </c>
    </row>
    <row r="83" ht="14.25" customHeight="1">
      <c r="H83" s="1">
        <f t="shared" si="9"/>
        <v>78</v>
      </c>
      <c r="I83" s="1">
        <f>WEEKDAY('daily graphs'!K83)</f>
        <v>7</v>
      </c>
      <c r="J83" s="1">
        <f t="shared" si="2"/>
        <v>11</v>
      </c>
      <c r="K83" s="1">
        <f t="shared" si="3"/>
        <v>3</v>
      </c>
      <c r="L83" s="23">
        <f>'daily graphs'!K83 - I83</f>
        <v>36596</v>
      </c>
      <c r="M83" s="24">
        <f t="shared" si="4"/>
        <v>-1000000</v>
      </c>
      <c r="N83" s="24" t="str">
        <f t="array" ref="N83">IF(M83&gt;0,INDEX(big_daily_table,MATCH(DATE(O$5,$K83,$J83),daily_dates,0),MATCH($B$3,daily_items,0)),NA())</f>
        <v>#N/A</v>
      </c>
      <c r="O83" s="1" t="str">
        <f t="array" ref="O83">IF(M83&lt;0,INDEX(big_daily_table,MATCH(DATE(O$5,$K83,$J83),daily_dates,0),MATCH($B$3,daily_items,0)),NA())</f>
        <v>#N/A</v>
      </c>
      <c r="P83" s="1" t="str">
        <f t="array" ref="P83">IF(ISBLANK(INDEX(big_daily_table,MATCH(DATE(P$5,$K83,$J83),daily_dates,0),MATCH($B$3,daily_items,0))),NA(),INDEX(big_daily_table,MATCH(DATE(P$5,$K83,$J83),daily_dates,0),MATCH($B$3,daily_items,0)))</f>
        <v>#N/A</v>
      </c>
      <c r="Q83" s="1" t="str">
        <f t="array" ref="Q83">IF(ISBLANK(INDEX(big_daily_table,MATCH(DATE(Q$5,$K83,$J83),daily_dates,0),MATCH($B$3,daily_items,0))),NA(),INDEX(big_daily_table,MATCH(DATE(Q$5,$K83,$J83),daily_dates,0),MATCH($B$3,daily_items,0)))</f>
        <v>#N/A</v>
      </c>
      <c r="R83" s="1" t="str">
        <f t="array" ref="R83">IF(ISBLANK(INDEX(big_daily_table,MATCH(DATE(R$5,$K83,$J83),daily_dates,0),MATCH($B$3,daily_items,0))),NA(),INDEX(big_daily_table,MATCH(DATE(R$5,$K83,$J83),daily_dates,0),MATCH($B$3,daily_items,0)))</f>
        <v>#N/A</v>
      </c>
      <c r="S83" s="1" t="str">
        <f t="array" ref="S83">IF(ISBLANK(INDEX(big_daily_table,MATCH(DATE(S$5,$K83,$J83),daily_dates,0),MATCH($B$3,daily_items,0))),NA(),INDEX(big_daily_table,MATCH(DATE(S$5,$K83,$J83),daily_dates,0),MATCH($B$3,daily_items,0)))</f>
        <v>#N/A</v>
      </c>
      <c r="T83" s="1" t="str">
        <f t="array" ref="T83">IF(ISBLANK(INDEX(big_daily_table,MATCH(DATE(T$5,$K83,$J83),daily_dates,0),MATCH($B$3,daily_items,0))),NA(),INDEX(big_daily_table,MATCH(DATE(T$5,$K83,$J83),daily_dates,0),MATCH($B$3,daily_items,0)))</f>
        <v>#N/A</v>
      </c>
      <c r="U83" s="1" t="str">
        <f t="array" ref="U83">IF(ISBLANK(INDEX(big_daily_table,MATCH(DATE(U$5,$K83,$J83),daily_dates,0),MATCH($B$3,daily_items,0))),NA(),INDEX(big_daily_table,MATCH(DATE(U$5,$K83,$J83),daily_dates,0),MATCH($B$3,daily_items,0)))</f>
        <v>#N/A</v>
      </c>
      <c r="V83" s="1" t="str">
        <f t="array" ref="V83">IF(ISBLANK(INDEX(big_daily_table,MATCH(DATE(V$5,$K83,$J83),daily_dates,0),MATCH($B$3,daily_items,0))),NA(),INDEX(big_daily_table,MATCH(DATE(V$5,$K83,$J83),daily_dates,0),MATCH($B$3,daily_items,0)))</f>
        <v>#N/A</v>
      </c>
      <c r="W83" s="1" t="str">
        <f t="array" ref="W83">IF(ISBLANK(INDEX(big_daily_table,MATCH(DATE(W$5,$K83,$J83),daily_dates,0),MATCH($B$3,daily_items,0))),NA(),INDEX(big_daily_table,MATCH(DATE(W$5,$K83,$J83),daily_dates,0),MATCH($B$3,daily_items,0)))</f>
        <v>#N/A</v>
      </c>
      <c r="X83" s="1" t="str">
        <f t="array" ref="X83">IF(ISBLANK(INDEX(big_daily_table,MATCH(DATE(X$5,$K83,$J83),daily_dates,0),MATCH($B$3,daily_items,0))),NA(),INDEX(big_daily_table,MATCH(DATE(X$5,$K83,$J83),daily_dates,0),MATCH($B$3,daily_items,0)))</f>
        <v>#N/A</v>
      </c>
      <c r="Y83" s="1" t="str">
        <f t="array" ref="Y83">IF(ISBLANK(INDEX(big_daily_table,MATCH(DATE(Y$5,$K83,$J83),daily_dates,0),MATCH($B$3,daily_items,0))),NA(),INDEX(big_daily_table,MATCH(DATE(Y$5,$K83,$J83),daily_dates,0),MATCH($B$3,daily_items,0)))</f>
        <v>#N/A</v>
      </c>
      <c r="Z83" s="1" t="str">
        <f t="array" ref="Z83">IF(ISBLANK(INDEX(big_daily_table,MATCH(DATE(Z$5,$K83,$J83),daily_dates,0),MATCH($B$3,daily_items,0))),NA(),INDEX(big_daily_table,MATCH(DATE(Z$5,$K83,$J83),daily_dates,0),MATCH($B$3,daily_items,0)))</f>
        <v>#N/A</v>
      </c>
      <c r="AA83" s="1" t="str">
        <f t="shared" si="5"/>
        <v>#NAME?</v>
      </c>
      <c r="AB83" s="1" t="str">
        <f t="shared" si="6"/>
        <v>#NAME?</v>
      </c>
      <c r="AC83" s="1" t="str">
        <f t="shared" si="7"/>
        <v>#NAME?</v>
      </c>
      <c r="AD83" s="1" t="str">
        <f t="shared" si="8"/>
        <v>#NAME?</v>
      </c>
    </row>
    <row r="84" ht="14.25" customHeight="1">
      <c r="H84" s="1">
        <f t="shared" si="9"/>
        <v>79</v>
      </c>
      <c r="I84" s="1">
        <f>WEEKDAY('daily graphs'!K84)</f>
        <v>1</v>
      </c>
      <c r="J84" s="1">
        <f t="shared" si="2"/>
        <v>18</v>
      </c>
      <c r="K84" s="1">
        <f t="shared" si="3"/>
        <v>3</v>
      </c>
      <c r="L84" s="23">
        <f>'daily graphs'!K84 - I84</f>
        <v>36603</v>
      </c>
      <c r="M84" s="24">
        <f t="shared" si="4"/>
        <v>-1000000</v>
      </c>
      <c r="N84" s="24" t="str">
        <f t="array" ref="N84">IF(M84&gt;0,INDEX(big_daily_table,MATCH(DATE(O$5,$K84,$J84),daily_dates,0),MATCH($B$3,daily_items,0)),NA())</f>
        <v>#N/A</v>
      </c>
      <c r="O84" s="1" t="str">
        <f t="array" ref="O84">IF(M84&lt;0,INDEX(big_daily_table,MATCH(DATE(O$5,$K84,$J84),daily_dates,0),MATCH($B$3,daily_items,0)),NA())</f>
        <v>#N/A</v>
      </c>
      <c r="P84" s="1" t="str">
        <f t="array" ref="P84">IF(ISBLANK(INDEX(big_daily_table,MATCH(DATE(P$5,$K84,$J84),daily_dates,0),MATCH($B$3,daily_items,0))),NA(),INDEX(big_daily_table,MATCH(DATE(P$5,$K84,$J84),daily_dates,0),MATCH($B$3,daily_items,0)))</f>
        <v>#N/A</v>
      </c>
      <c r="Q84" s="1" t="str">
        <f t="array" ref="Q84">IF(ISBLANK(INDEX(big_daily_table,MATCH(DATE(Q$5,$K84,$J84),daily_dates,0),MATCH($B$3,daily_items,0))),NA(),INDEX(big_daily_table,MATCH(DATE(Q$5,$K84,$J84),daily_dates,0),MATCH($B$3,daily_items,0)))</f>
        <v>#N/A</v>
      </c>
      <c r="R84" s="1" t="str">
        <f t="array" ref="R84">IF(ISBLANK(INDEX(big_daily_table,MATCH(DATE(R$5,$K84,$J84),daily_dates,0),MATCH($B$3,daily_items,0))),NA(),INDEX(big_daily_table,MATCH(DATE(R$5,$K84,$J84),daily_dates,0),MATCH($B$3,daily_items,0)))</f>
        <v>#N/A</v>
      </c>
      <c r="S84" s="1" t="str">
        <f t="array" ref="S84">IF(ISBLANK(INDEX(big_daily_table,MATCH(DATE(S$5,$K84,$J84),daily_dates,0),MATCH($B$3,daily_items,0))),NA(),INDEX(big_daily_table,MATCH(DATE(S$5,$K84,$J84),daily_dates,0),MATCH($B$3,daily_items,0)))</f>
        <v>#N/A</v>
      </c>
      <c r="T84" s="1" t="str">
        <f t="array" ref="T84">IF(ISBLANK(INDEX(big_daily_table,MATCH(DATE(T$5,$K84,$J84),daily_dates,0),MATCH($B$3,daily_items,0))),NA(),INDEX(big_daily_table,MATCH(DATE(T$5,$K84,$J84),daily_dates,0),MATCH($B$3,daily_items,0)))</f>
        <v>#N/A</v>
      </c>
      <c r="U84" s="1" t="str">
        <f t="array" ref="U84">IF(ISBLANK(INDEX(big_daily_table,MATCH(DATE(U$5,$K84,$J84),daily_dates,0),MATCH($B$3,daily_items,0))),NA(),INDEX(big_daily_table,MATCH(DATE(U$5,$K84,$J84),daily_dates,0),MATCH($B$3,daily_items,0)))</f>
        <v>#N/A</v>
      </c>
      <c r="V84" s="1" t="str">
        <f t="array" ref="V84">IF(ISBLANK(INDEX(big_daily_table,MATCH(DATE(V$5,$K84,$J84),daily_dates,0),MATCH($B$3,daily_items,0))),NA(),INDEX(big_daily_table,MATCH(DATE(V$5,$K84,$J84),daily_dates,0),MATCH($B$3,daily_items,0)))</f>
        <v>#N/A</v>
      </c>
      <c r="W84" s="1" t="str">
        <f t="array" ref="W84">IF(ISBLANK(INDEX(big_daily_table,MATCH(DATE(W$5,$K84,$J84),daily_dates,0),MATCH($B$3,daily_items,0))),NA(),INDEX(big_daily_table,MATCH(DATE(W$5,$K84,$J84),daily_dates,0),MATCH($B$3,daily_items,0)))</f>
        <v>#N/A</v>
      </c>
      <c r="X84" s="1" t="str">
        <f t="array" ref="X84">IF(ISBLANK(INDEX(big_daily_table,MATCH(DATE(X$5,$K84,$J84),daily_dates,0),MATCH($B$3,daily_items,0))),NA(),INDEX(big_daily_table,MATCH(DATE(X$5,$K84,$J84),daily_dates,0),MATCH($B$3,daily_items,0)))</f>
        <v>#N/A</v>
      </c>
      <c r="Y84" s="1" t="str">
        <f t="array" ref="Y84">IF(ISBLANK(INDEX(big_daily_table,MATCH(DATE(Y$5,$K84,$J84),daily_dates,0),MATCH($B$3,daily_items,0))),NA(),INDEX(big_daily_table,MATCH(DATE(Y$5,$K84,$J84),daily_dates,0),MATCH($B$3,daily_items,0)))</f>
        <v>#N/A</v>
      </c>
      <c r="Z84" s="1" t="str">
        <f t="array" ref="Z84">IF(ISBLANK(INDEX(big_daily_table,MATCH(DATE(Z$5,$K84,$J84),daily_dates,0),MATCH($B$3,daily_items,0))),NA(),INDEX(big_daily_table,MATCH(DATE(Z$5,$K84,$J84),daily_dates,0),MATCH($B$3,daily_items,0)))</f>
        <v>#N/A</v>
      </c>
      <c r="AA84" s="1" t="str">
        <f t="shared" si="5"/>
        <v>#NAME?</v>
      </c>
      <c r="AB84" s="1" t="str">
        <f t="shared" si="6"/>
        <v>#NAME?</v>
      </c>
      <c r="AC84" s="1" t="str">
        <f t="shared" si="7"/>
        <v>#NAME?</v>
      </c>
      <c r="AD84" s="1" t="str">
        <f t="shared" si="8"/>
        <v>#NAME?</v>
      </c>
    </row>
    <row r="85" ht="14.25" customHeight="1">
      <c r="H85" s="1">
        <f t="shared" si="9"/>
        <v>80</v>
      </c>
      <c r="I85" s="1">
        <f>WEEKDAY('daily graphs'!K85)</f>
        <v>2</v>
      </c>
      <c r="J85" s="1">
        <f t="shared" si="2"/>
        <v>18</v>
      </c>
      <c r="K85" s="1">
        <f t="shared" si="3"/>
        <v>3</v>
      </c>
      <c r="L85" s="23">
        <f>'daily graphs'!K85 - I85</f>
        <v>36603</v>
      </c>
      <c r="M85" s="24">
        <f t="shared" si="4"/>
        <v>-1000000</v>
      </c>
      <c r="N85" s="24" t="str">
        <f t="array" ref="N85">IF(M85&gt;0,INDEX(big_daily_table,MATCH(DATE(O$5,$K85,$J85),daily_dates,0),MATCH($B$3,daily_items,0)),NA())</f>
        <v>#N/A</v>
      </c>
      <c r="O85" s="1" t="str">
        <f t="array" ref="O85">IF(M85&lt;0,INDEX(big_daily_table,MATCH(DATE(O$5,$K85,$J85),daily_dates,0),MATCH($B$3,daily_items,0)),NA())</f>
        <v>#N/A</v>
      </c>
      <c r="P85" s="1" t="str">
        <f t="array" ref="P85">IF(ISBLANK(INDEX(big_daily_table,MATCH(DATE(P$5,$K85,$J85),daily_dates,0),MATCH($B$3,daily_items,0))),NA(),INDEX(big_daily_table,MATCH(DATE(P$5,$K85,$J85),daily_dates,0),MATCH($B$3,daily_items,0)))</f>
        <v>#N/A</v>
      </c>
      <c r="Q85" s="1" t="str">
        <f t="array" ref="Q85">IF(ISBLANK(INDEX(big_daily_table,MATCH(DATE(Q$5,$K85,$J85),daily_dates,0),MATCH($B$3,daily_items,0))),NA(),INDEX(big_daily_table,MATCH(DATE(Q$5,$K85,$J85),daily_dates,0),MATCH($B$3,daily_items,0)))</f>
        <v>#N/A</v>
      </c>
      <c r="R85" s="1" t="str">
        <f t="array" ref="R85">IF(ISBLANK(INDEX(big_daily_table,MATCH(DATE(R$5,$K85,$J85),daily_dates,0),MATCH($B$3,daily_items,0))),NA(),INDEX(big_daily_table,MATCH(DATE(R$5,$K85,$J85),daily_dates,0),MATCH($B$3,daily_items,0)))</f>
        <v>#N/A</v>
      </c>
      <c r="S85" s="1" t="str">
        <f t="array" ref="S85">IF(ISBLANK(INDEX(big_daily_table,MATCH(DATE(S$5,$K85,$J85),daily_dates,0),MATCH($B$3,daily_items,0))),NA(),INDEX(big_daily_table,MATCH(DATE(S$5,$K85,$J85),daily_dates,0),MATCH($B$3,daily_items,0)))</f>
        <v>#N/A</v>
      </c>
      <c r="T85" s="1" t="str">
        <f t="array" ref="T85">IF(ISBLANK(INDEX(big_daily_table,MATCH(DATE(T$5,$K85,$J85),daily_dates,0),MATCH($B$3,daily_items,0))),NA(),INDEX(big_daily_table,MATCH(DATE(T$5,$K85,$J85),daily_dates,0),MATCH($B$3,daily_items,0)))</f>
        <v>#N/A</v>
      </c>
      <c r="U85" s="1" t="str">
        <f t="array" ref="U85">IF(ISBLANK(INDEX(big_daily_table,MATCH(DATE(U$5,$K85,$J85),daily_dates,0),MATCH($B$3,daily_items,0))),NA(),INDEX(big_daily_table,MATCH(DATE(U$5,$K85,$J85),daily_dates,0),MATCH($B$3,daily_items,0)))</f>
        <v>#N/A</v>
      </c>
      <c r="V85" s="1" t="str">
        <f t="array" ref="V85">IF(ISBLANK(INDEX(big_daily_table,MATCH(DATE(V$5,$K85,$J85),daily_dates,0),MATCH($B$3,daily_items,0))),NA(),INDEX(big_daily_table,MATCH(DATE(V$5,$K85,$J85),daily_dates,0),MATCH($B$3,daily_items,0)))</f>
        <v>#N/A</v>
      </c>
      <c r="W85" s="1" t="str">
        <f t="array" ref="W85">IF(ISBLANK(INDEX(big_daily_table,MATCH(DATE(W$5,$K85,$J85),daily_dates,0),MATCH($B$3,daily_items,0))),NA(),INDEX(big_daily_table,MATCH(DATE(W$5,$K85,$J85),daily_dates,0),MATCH($B$3,daily_items,0)))</f>
        <v>#N/A</v>
      </c>
      <c r="X85" s="1" t="str">
        <f t="array" ref="X85">IF(ISBLANK(INDEX(big_daily_table,MATCH(DATE(X$5,$K85,$J85),daily_dates,0),MATCH($B$3,daily_items,0))),NA(),INDEX(big_daily_table,MATCH(DATE(X$5,$K85,$J85),daily_dates,0),MATCH($B$3,daily_items,0)))</f>
        <v>#N/A</v>
      </c>
      <c r="Y85" s="1" t="str">
        <f t="array" ref="Y85">IF(ISBLANK(INDEX(big_daily_table,MATCH(DATE(Y$5,$K85,$J85),daily_dates,0),MATCH($B$3,daily_items,0))),NA(),INDEX(big_daily_table,MATCH(DATE(Y$5,$K85,$J85),daily_dates,0),MATCH($B$3,daily_items,0)))</f>
        <v>#N/A</v>
      </c>
      <c r="Z85" s="1" t="str">
        <f t="array" ref="Z85">IF(ISBLANK(INDEX(big_daily_table,MATCH(DATE(Z$5,$K85,$J85),daily_dates,0),MATCH($B$3,daily_items,0))),NA(),INDEX(big_daily_table,MATCH(DATE(Z$5,$K85,$J85),daily_dates,0),MATCH($B$3,daily_items,0)))</f>
        <v>#N/A</v>
      </c>
      <c r="AA85" s="1" t="str">
        <f t="shared" si="5"/>
        <v>#NAME?</v>
      </c>
      <c r="AB85" s="1" t="str">
        <f t="shared" si="6"/>
        <v>#NAME?</v>
      </c>
      <c r="AC85" s="1" t="str">
        <f t="shared" si="7"/>
        <v>#NAME?</v>
      </c>
      <c r="AD85" s="1" t="str">
        <f t="shared" si="8"/>
        <v>#NAME?</v>
      </c>
    </row>
    <row r="86" ht="14.25" customHeight="1">
      <c r="H86" s="1">
        <f t="shared" si="9"/>
        <v>81</v>
      </c>
      <c r="I86" s="1">
        <f>WEEKDAY('daily graphs'!K86)</f>
        <v>3</v>
      </c>
      <c r="J86" s="1">
        <f t="shared" si="2"/>
        <v>18</v>
      </c>
      <c r="K86" s="1">
        <f t="shared" si="3"/>
        <v>3</v>
      </c>
      <c r="L86" s="23">
        <f>'daily graphs'!K86 - I86</f>
        <v>36603</v>
      </c>
      <c r="M86" s="24">
        <f t="shared" si="4"/>
        <v>-1000000</v>
      </c>
      <c r="N86" s="24" t="str">
        <f t="array" ref="N86">IF(M86&gt;0,INDEX(big_daily_table,MATCH(DATE(O$5,$K86,$J86),daily_dates,0),MATCH($B$3,daily_items,0)),NA())</f>
        <v>#N/A</v>
      </c>
      <c r="O86" s="1" t="str">
        <f t="array" ref="O86">IF(M86&lt;0,INDEX(big_daily_table,MATCH(DATE(O$5,$K86,$J86),daily_dates,0),MATCH($B$3,daily_items,0)),NA())</f>
        <v>#N/A</v>
      </c>
      <c r="P86" s="1" t="str">
        <f t="array" ref="P86">IF(ISBLANK(INDEX(big_daily_table,MATCH(DATE(P$5,$K86,$J86),daily_dates,0),MATCH($B$3,daily_items,0))),NA(),INDEX(big_daily_table,MATCH(DATE(P$5,$K86,$J86),daily_dates,0),MATCH($B$3,daily_items,0)))</f>
        <v>#N/A</v>
      </c>
      <c r="Q86" s="1" t="str">
        <f t="array" ref="Q86">IF(ISBLANK(INDEX(big_daily_table,MATCH(DATE(Q$5,$K86,$J86),daily_dates,0),MATCH($B$3,daily_items,0))),NA(),INDEX(big_daily_table,MATCH(DATE(Q$5,$K86,$J86),daily_dates,0),MATCH($B$3,daily_items,0)))</f>
        <v>#N/A</v>
      </c>
      <c r="R86" s="1" t="str">
        <f t="array" ref="R86">IF(ISBLANK(INDEX(big_daily_table,MATCH(DATE(R$5,$K86,$J86),daily_dates,0),MATCH($B$3,daily_items,0))),NA(),INDEX(big_daily_table,MATCH(DATE(R$5,$K86,$J86),daily_dates,0),MATCH($B$3,daily_items,0)))</f>
        <v>#N/A</v>
      </c>
      <c r="S86" s="1" t="str">
        <f t="array" ref="S86">IF(ISBLANK(INDEX(big_daily_table,MATCH(DATE(S$5,$K86,$J86),daily_dates,0),MATCH($B$3,daily_items,0))),NA(),INDEX(big_daily_table,MATCH(DATE(S$5,$K86,$J86),daily_dates,0),MATCH($B$3,daily_items,0)))</f>
        <v>#N/A</v>
      </c>
      <c r="T86" s="1" t="str">
        <f t="array" ref="T86">IF(ISBLANK(INDEX(big_daily_table,MATCH(DATE(T$5,$K86,$J86),daily_dates,0),MATCH($B$3,daily_items,0))),NA(),INDEX(big_daily_table,MATCH(DATE(T$5,$K86,$J86),daily_dates,0),MATCH($B$3,daily_items,0)))</f>
        <v>#N/A</v>
      </c>
      <c r="U86" s="1" t="str">
        <f t="array" ref="U86">IF(ISBLANK(INDEX(big_daily_table,MATCH(DATE(U$5,$K86,$J86),daily_dates,0),MATCH($B$3,daily_items,0))),NA(),INDEX(big_daily_table,MATCH(DATE(U$5,$K86,$J86),daily_dates,0),MATCH($B$3,daily_items,0)))</f>
        <v>#N/A</v>
      </c>
      <c r="V86" s="1" t="str">
        <f t="array" ref="V86">IF(ISBLANK(INDEX(big_daily_table,MATCH(DATE(V$5,$K86,$J86),daily_dates,0),MATCH($B$3,daily_items,0))),NA(),INDEX(big_daily_table,MATCH(DATE(V$5,$K86,$J86),daily_dates,0),MATCH($B$3,daily_items,0)))</f>
        <v>#N/A</v>
      </c>
      <c r="W86" s="1" t="str">
        <f t="array" ref="W86">IF(ISBLANK(INDEX(big_daily_table,MATCH(DATE(W$5,$K86,$J86),daily_dates,0),MATCH($B$3,daily_items,0))),NA(),INDEX(big_daily_table,MATCH(DATE(W$5,$K86,$J86),daily_dates,0),MATCH($B$3,daily_items,0)))</f>
        <v>#N/A</v>
      </c>
      <c r="X86" s="1" t="str">
        <f t="array" ref="X86">IF(ISBLANK(INDEX(big_daily_table,MATCH(DATE(X$5,$K86,$J86),daily_dates,0),MATCH($B$3,daily_items,0))),NA(),INDEX(big_daily_table,MATCH(DATE(X$5,$K86,$J86),daily_dates,0),MATCH($B$3,daily_items,0)))</f>
        <v>#N/A</v>
      </c>
      <c r="Y86" s="1" t="str">
        <f t="array" ref="Y86">IF(ISBLANK(INDEX(big_daily_table,MATCH(DATE(Y$5,$K86,$J86),daily_dates,0),MATCH($B$3,daily_items,0))),NA(),INDEX(big_daily_table,MATCH(DATE(Y$5,$K86,$J86),daily_dates,0),MATCH($B$3,daily_items,0)))</f>
        <v>#N/A</v>
      </c>
      <c r="Z86" s="1" t="str">
        <f t="array" ref="Z86">IF(ISBLANK(INDEX(big_daily_table,MATCH(DATE(Z$5,$K86,$J86),daily_dates,0),MATCH($B$3,daily_items,0))),NA(),INDEX(big_daily_table,MATCH(DATE(Z$5,$K86,$J86),daily_dates,0),MATCH($B$3,daily_items,0)))</f>
        <v>#N/A</v>
      </c>
      <c r="AA86" s="1" t="str">
        <f t="shared" si="5"/>
        <v>#NAME?</v>
      </c>
      <c r="AB86" s="1" t="str">
        <f t="shared" si="6"/>
        <v>#NAME?</v>
      </c>
      <c r="AC86" s="1" t="str">
        <f t="shared" si="7"/>
        <v>#NAME?</v>
      </c>
      <c r="AD86" s="1" t="str">
        <f t="shared" si="8"/>
        <v>#NAME?</v>
      </c>
    </row>
    <row r="87" ht="14.25" customHeight="1">
      <c r="H87" s="1">
        <f t="shared" si="9"/>
        <v>82</v>
      </c>
      <c r="I87" s="1">
        <f>WEEKDAY('daily graphs'!K87)</f>
        <v>4</v>
      </c>
      <c r="J87" s="1">
        <f t="shared" si="2"/>
        <v>18</v>
      </c>
      <c r="K87" s="1">
        <f t="shared" si="3"/>
        <v>3</v>
      </c>
      <c r="L87" s="23">
        <f>'daily graphs'!K87 - I87</f>
        <v>36603</v>
      </c>
      <c r="M87" s="24">
        <f t="shared" si="4"/>
        <v>-1000000</v>
      </c>
      <c r="N87" s="24" t="str">
        <f t="array" ref="N87">IF(M87&gt;0,INDEX(big_daily_table,MATCH(DATE(O$5,$K87,$J87),daily_dates,0),MATCH($B$3,daily_items,0)),NA())</f>
        <v>#N/A</v>
      </c>
      <c r="O87" s="1" t="str">
        <f t="array" ref="O87">IF(M87&lt;0,INDEX(big_daily_table,MATCH(DATE(O$5,$K87,$J87),daily_dates,0),MATCH($B$3,daily_items,0)),NA())</f>
        <v>#N/A</v>
      </c>
      <c r="P87" s="1" t="str">
        <f t="array" ref="P87">IF(ISBLANK(INDEX(big_daily_table,MATCH(DATE(P$5,$K87,$J87),daily_dates,0),MATCH($B$3,daily_items,0))),NA(),INDEX(big_daily_table,MATCH(DATE(P$5,$K87,$J87),daily_dates,0),MATCH($B$3,daily_items,0)))</f>
        <v>#N/A</v>
      </c>
      <c r="Q87" s="1" t="str">
        <f t="array" ref="Q87">IF(ISBLANK(INDEX(big_daily_table,MATCH(DATE(Q$5,$K87,$J87),daily_dates,0),MATCH($B$3,daily_items,0))),NA(),INDEX(big_daily_table,MATCH(DATE(Q$5,$K87,$J87),daily_dates,0),MATCH($B$3,daily_items,0)))</f>
        <v>#N/A</v>
      </c>
      <c r="R87" s="1" t="str">
        <f t="array" ref="R87">IF(ISBLANK(INDEX(big_daily_table,MATCH(DATE(R$5,$K87,$J87),daily_dates,0),MATCH($B$3,daily_items,0))),NA(),INDEX(big_daily_table,MATCH(DATE(R$5,$K87,$J87),daily_dates,0),MATCH($B$3,daily_items,0)))</f>
        <v>#N/A</v>
      </c>
      <c r="S87" s="1" t="str">
        <f t="array" ref="S87">IF(ISBLANK(INDEX(big_daily_table,MATCH(DATE(S$5,$K87,$J87),daily_dates,0),MATCH($B$3,daily_items,0))),NA(),INDEX(big_daily_table,MATCH(DATE(S$5,$K87,$J87),daily_dates,0),MATCH($B$3,daily_items,0)))</f>
        <v>#N/A</v>
      </c>
      <c r="T87" s="1" t="str">
        <f t="array" ref="T87">IF(ISBLANK(INDEX(big_daily_table,MATCH(DATE(T$5,$K87,$J87),daily_dates,0),MATCH($B$3,daily_items,0))),NA(),INDEX(big_daily_table,MATCH(DATE(T$5,$K87,$J87),daily_dates,0),MATCH($B$3,daily_items,0)))</f>
        <v>#N/A</v>
      </c>
      <c r="U87" s="1" t="str">
        <f t="array" ref="U87">IF(ISBLANK(INDEX(big_daily_table,MATCH(DATE(U$5,$K87,$J87),daily_dates,0),MATCH($B$3,daily_items,0))),NA(),INDEX(big_daily_table,MATCH(DATE(U$5,$K87,$J87),daily_dates,0),MATCH($B$3,daily_items,0)))</f>
        <v>#N/A</v>
      </c>
      <c r="V87" s="1" t="str">
        <f t="array" ref="V87">IF(ISBLANK(INDEX(big_daily_table,MATCH(DATE(V$5,$K87,$J87),daily_dates,0),MATCH($B$3,daily_items,0))),NA(),INDEX(big_daily_table,MATCH(DATE(V$5,$K87,$J87),daily_dates,0),MATCH($B$3,daily_items,0)))</f>
        <v>#N/A</v>
      </c>
      <c r="W87" s="1" t="str">
        <f t="array" ref="W87">IF(ISBLANK(INDEX(big_daily_table,MATCH(DATE(W$5,$K87,$J87),daily_dates,0),MATCH($B$3,daily_items,0))),NA(),INDEX(big_daily_table,MATCH(DATE(W$5,$K87,$J87),daily_dates,0),MATCH($B$3,daily_items,0)))</f>
        <v>#N/A</v>
      </c>
      <c r="X87" s="1" t="str">
        <f t="array" ref="X87">IF(ISBLANK(INDEX(big_daily_table,MATCH(DATE(X$5,$K87,$J87),daily_dates,0),MATCH($B$3,daily_items,0))),NA(),INDEX(big_daily_table,MATCH(DATE(X$5,$K87,$J87),daily_dates,0),MATCH($B$3,daily_items,0)))</f>
        <v>#N/A</v>
      </c>
      <c r="Y87" s="1" t="str">
        <f t="array" ref="Y87">IF(ISBLANK(INDEX(big_daily_table,MATCH(DATE(Y$5,$K87,$J87),daily_dates,0),MATCH($B$3,daily_items,0))),NA(),INDEX(big_daily_table,MATCH(DATE(Y$5,$K87,$J87),daily_dates,0),MATCH($B$3,daily_items,0)))</f>
        <v>#N/A</v>
      </c>
      <c r="Z87" s="1" t="str">
        <f t="array" ref="Z87">IF(ISBLANK(INDEX(big_daily_table,MATCH(DATE(Z$5,$K87,$J87),daily_dates,0),MATCH($B$3,daily_items,0))),NA(),INDEX(big_daily_table,MATCH(DATE(Z$5,$K87,$J87),daily_dates,0),MATCH($B$3,daily_items,0)))</f>
        <v>#N/A</v>
      </c>
      <c r="AA87" s="1" t="str">
        <f t="shared" si="5"/>
        <v>#NAME?</v>
      </c>
      <c r="AB87" s="1" t="str">
        <f t="shared" si="6"/>
        <v>#NAME?</v>
      </c>
      <c r="AC87" s="1" t="str">
        <f t="shared" si="7"/>
        <v>#NAME?</v>
      </c>
      <c r="AD87" s="1" t="str">
        <f t="shared" si="8"/>
        <v>#NAME?</v>
      </c>
    </row>
    <row r="88" ht="14.25" customHeight="1">
      <c r="H88" s="1">
        <f t="shared" si="9"/>
        <v>83</v>
      </c>
      <c r="I88" s="1">
        <f>WEEKDAY('daily graphs'!K88)</f>
        <v>5</v>
      </c>
      <c r="J88" s="1">
        <f t="shared" si="2"/>
        <v>18</v>
      </c>
      <c r="K88" s="1">
        <f t="shared" si="3"/>
        <v>3</v>
      </c>
      <c r="L88" s="23">
        <f>'daily graphs'!K88 - I88</f>
        <v>36603</v>
      </c>
      <c r="M88" s="24">
        <f t="shared" si="4"/>
        <v>-1000000</v>
      </c>
      <c r="N88" s="24" t="str">
        <f t="array" ref="N88">IF(M88&gt;0,INDEX(big_daily_table,MATCH(DATE(O$5,$K88,$J88),daily_dates,0),MATCH($B$3,daily_items,0)),NA())</f>
        <v>#N/A</v>
      </c>
      <c r="O88" s="1" t="str">
        <f t="array" ref="O88">IF(M88&lt;0,INDEX(big_daily_table,MATCH(DATE(O$5,$K88,$J88),daily_dates,0),MATCH($B$3,daily_items,0)),NA())</f>
        <v>#N/A</v>
      </c>
      <c r="P88" s="1" t="str">
        <f t="array" ref="P88">IF(ISBLANK(INDEX(big_daily_table,MATCH(DATE(P$5,$K88,$J88),daily_dates,0),MATCH($B$3,daily_items,0))),NA(),INDEX(big_daily_table,MATCH(DATE(P$5,$K88,$J88),daily_dates,0),MATCH($B$3,daily_items,0)))</f>
        <v>#N/A</v>
      </c>
      <c r="Q88" s="1" t="str">
        <f t="array" ref="Q88">IF(ISBLANK(INDEX(big_daily_table,MATCH(DATE(Q$5,$K88,$J88),daily_dates,0),MATCH($B$3,daily_items,0))),NA(),INDEX(big_daily_table,MATCH(DATE(Q$5,$K88,$J88),daily_dates,0),MATCH($B$3,daily_items,0)))</f>
        <v>#N/A</v>
      </c>
      <c r="R88" s="1" t="str">
        <f t="array" ref="R88">IF(ISBLANK(INDEX(big_daily_table,MATCH(DATE(R$5,$K88,$J88),daily_dates,0),MATCH($B$3,daily_items,0))),NA(),INDEX(big_daily_table,MATCH(DATE(R$5,$K88,$J88),daily_dates,0),MATCH($B$3,daily_items,0)))</f>
        <v>#N/A</v>
      </c>
      <c r="S88" s="1" t="str">
        <f t="array" ref="S88">IF(ISBLANK(INDEX(big_daily_table,MATCH(DATE(S$5,$K88,$J88),daily_dates,0),MATCH($B$3,daily_items,0))),NA(),INDEX(big_daily_table,MATCH(DATE(S$5,$K88,$J88),daily_dates,0),MATCH($B$3,daily_items,0)))</f>
        <v>#N/A</v>
      </c>
      <c r="T88" s="1" t="str">
        <f t="array" ref="T88">IF(ISBLANK(INDEX(big_daily_table,MATCH(DATE(T$5,$K88,$J88),daily_dates,0),MATCH($B$3,daily_items,0))),NA(),INDEX(big_daily_table,MATCH(DATE(T$5,$K88,$J88),daily_dates,0),MATCH($B$3,daily_items,0)))</f>
        <v>#N/A</v>
      </c>
      <c r="U88" s="1" t="str">
        <f t="array" ref="U88">IF(ISBLANK(INDEX(big_daily_table,MATCH(DATE(U$5,$K88,$J88),daily_dates,0),MATCH($B$3,daily_items,0))),NA(),INDEX(big_daily_table,MATCH(DATE(U$5,$K88,$J88),daily_dates,0),MATCH($B$3,daily_items,0)))</f>
        <v>#N/A</v>
      </c>
      <c r="V88" s="1" t="str">
        <f t="array" ref="V88">IF(ISBLANK(INDEX(big_daily_table,MATCH(DATE(V$5,$K88,$J88),daily_dates,0),MATCH($B$3,daily_items,0))),NA(),INDEX(big_daily_table,MATCH(DATE(V$5,$K88,$J88),daily_dates,0),MATCH($B$3,daily_items,0)))</f>
        <v>#N/A</v>
      </c>
      <c r="W88" s="1" t="str">
        <f t="array" ref="W88">IF(ISBLANK(INDEX(big_daily_table,MATCH(DATE(W$5,$K88,$J88),daily_dates,0),MATCH($B$3,daily_items,0))),NA(),INDEX(big_daily_table,MATCH(DATE(W$5,$K88,$J88),daily_dates,0),MATCH($B$3,daily_items,0)))</f>
        <v>#N/A</v>
      </c>
      <c r="X88" s="1" t="str">
        <f t="array" ref="X88">IF(ISBLANK(INDEX(big_daily_table,MATCH(DATE(X$5,$K88,$J88),daily_dates,0),MATCH($B$3,daily_items,0))),NA(),INDEX(big_daily_table,MATCH(DATE(X$5,$K88,$J88),daily_dates,0),MATCH($B$3,daily_items,0)))</f>
        <v>#N/A</v>
      </c>
      <c r="Y88" s="1" t="str">
        <f t="array" ref="Y88">IF(ISBLANK(INDEX(big_daily_table,MATCH(DATE(Y$5,$K88,$J88),daily_dates,0),MATCH($B$3,daily_items,0))),NA(),INDEX(big_daily_table,MATCH(DATE(Y$5,$K88,$J88),daily_dates,0),MATCH($B$3,daily_items,0)))</f>
        <v>#N/A</v>
      </c>
      <c r="Z88" s="1" t="str">
        <f t="array" ref="Z88">IF(ISBLANK(INDEX(big_daily_table,MATCH(DATE(Z$5,$K88,$J88),daily_dates,0),MATCH($B$3,daily_items,0))),NA(),INDEX(big_daily_table,MATCH(DATE(Z$5,$K88,$J88),daily_dates,0),MATCH($B$3,daily_items,0)))</f>
        <v>#N/A</v>
      </c>
      <c r="AA88" s="1" t="str">
        <f t="shared" si="5"/>
        <v>#NAME?</v>
      </c>
      <c r="AB88" s="1" t="str">
        <f t="shared" si="6"/>
        <v>#NAME?</v>
      </c>
      <c r="AC88" s="1" t="str">
        <f t="shared" si="7"/>
        <v>#NAME?</v>
      </c>
      <c r="AD88" s="1" t="str">
        <f t="shared" si="8"/>
        <v>#NAME?</v>
      </c>
    </row>
    <row r="89" ht="14.25" customHeight="1">
      <c r="H89" s="1">
        <f t="shared" si="9"/>
        <v>84</v>
      </c>
      <c r="I89" s="1">
        <f>WEEKDAY('daily graphs'!K89)</f>
        <v>6</v>
      </c>
      <c r="J89" s="1">
        <f t="shared" si="2"/>
        <v>18</v>
      </c>
      <c r="K89" s="1">
        <f t="shared" si="3"/>
        <v>3</v>
      </c>
      <c r="L89" s="23">
        <f>'daily graphs'!K89 - I89</f>
        <v>36603</v>
      </c>
      <c r="M89" s="24">
        <f t="shared" si="4"/>
        <v>-1000000</v>
      </c>
      <c r="N89" s="24" t="str">
        <f t="array" ref="N89">IF(M89&gt;0,INDEX(big_daily_table,MATCH(DATE(O$5,$K89,$J89),daily_dates,0),MATCH($B$3,daily_items,0)),NA())</f>
        <v>#N/A</v>
      </c>
      <c r="O89" s="1" t="str">
        <f t="array" ref="O89">IF(M89&lt;0,INDEX(big_daily_table,MATCH(DATE(O$5,$K89,$J89),daily_dates,0),MATCH($B$3,daily_items,0)),NA())</f>
        <v>#N/A</v>
      </c>
      <c r="P89" s="1" t="str">
        <f t="array" ref="P89">IF(ISBLANK(INDEX(big_daily_table,MATCH(DATE(P$5,$K89,$J89),daily_dates,0),MATCH($B$3,daily_items,0))),NA(),INDEX(big_daily_table,MATCH(DATE(P$5,$K89,$J89),daily_dates,0),MATCH($B$3,daily_items,0)))</f>
        <v>#N/A</v>
      </c>
      <c r="Q89" s="1" t="str">
        <f t="array" ref="Q89">IF(ISBLANK(INDEX(big_daily_table,MATCH(DATE(Q$5,$K89,$J89),daily_dates,0),MATCH($B$3,daily_items,0))),NA(),INDEX(big_daily_table,MATCH(DATE(Q$5,$K89,$J89),daily_dates,0),MATCH($B$3,daily_items,0)))</f>
        <v>#N/A</v>
      </c>
      <c r="R89" s="1" t="str">
        <f t="array" ref="R89">IF(ISBLANK(INDEX(big_daily_table,MATCH(DATE(R$5,$K89,$J89),daily_dates,0),MATCH($B$3,daily_items,0))),NA(),INDEX(big_daily_table,MATCH(DATE(R$5,$K89,$J89),daily_dates,0),MATCH($B$3,daily_items,0)))</f>
        <v>#N/A</v>
      </c>
      <c r="S89" s="1" t="str">
        <f t="array" ref="S89">IF(ISBLANK(INDEX(big_daily_table,MATCH(DATE(S$5,$K89,$J89),daily_dates,0),MATCH($B$3,daily_items,0))),NA(),INDEX(big_daily_table,MATCH(DATE(S$5,$K89,$J89),daily_dates,0),MATCH($B$3,daily_items,0)))</f>
        <v>#N/A</v>
      </c>
      <c r="T89" s="1" t="str">
        <f t="array" ref="T89">IF(ISBLANK(INDEX(big_daily_table,MATCH(DATE(T$5,$K89,$J89),daily_dates,0),MATCH($B$3,daily_items,0))),NA(),INDEX(big_daily_table,MATCH(DATE(T$5,$K89,$J89),daily_dates,0),MATCH($B$3,daily_items,0)))</f>
        <v>#N/A</v>
      </c>
      <c r="U89" s="1" t="str">
        <f t="array" ref="U89">IF(ISBLANK(INDEX(big_daily_table,MATCH(DATE(U$5,$K89,$J89),daily_dates,0),MATCH($B$3,daily_items,0))),NA(),INDEX(big_daily_table,MATCH(DATE(U$5,$K89,$J89),daily_dates,0),MATCH($B$3,daily_items,0)))</f>
        <v>#N/A</v>
      </c>
      <c r="V89" s="1" t="str">
        <f t="array" ref="V89">IF(ISBLANK(INDEX(big_daily_table,MATCH(DATE(V$5,$K89,$J89),daily_dates,0),MATCH($B$3,daily_items,0))),NA(),INDEX(big_daily_table,MATCH(DATE(V$5,$K89,$J89),daily_dates,0),MATCH($B$3,daily_items,0)))</f>
        <v>#N/A</v>
      </c>
      <c r="W89" s="1" t="str">
        <f t="array" ref="W89">IF(ISBLANK(INDEX(big_daily_table,MATCH(DATE(W$5,$K89,$J89),daily_dates,0),MATCH($B$3,daily_items,0))),NA(),INDEX(big_daily_table,MATCH(DATE(W$5,$K89,$J89),daily_dates,0),MATCH($B$3,daily_items,0)))</f>
        <v>#N/A</v>
      </c>
      <c r="X89" s="1" t="str">
        <f t="array" ref="X89">IF(ISBLANK(INDEX(big_daily_table,MATCH(DATE(X$5,$K89,$J89),daily_dates,0),MATCH($B$3,daily_items,0))),NA(),INDEX(big_daily_table,MATCH(DATE(X$5,$K89,$J89),daily_dates,0),MATCH($B$3,daily_items,0)))</f>
        <v>#N/A</v>
      </c>
      <c r="Y89" s="1" t="str">
        <f t="array" ref="Y89">IF(ISBLANK(INDEX(big_daily_table,MATCH(DATE(Y$5,$K89,$J89),daily_dates,0),MATCH($B$3,daily_items,0))),NA(),INDEX(big_daily_table,MATCH(DATE(Y$5,$K89,$J89),daily_dates,0),MATCH($B$3,daily_items,0)))</f>
        <v>#N/A</v>
      </c>
      <c r="Z89" s="1" t="str">
        <f t="array" ref="Z89">IF(ISBLANK(INDEX(big_daily_table,MATCH(DATE(Z$5,$K89,$J89),daily_dates,0),MATCH($B$3,daily_items,0))),NA(),INDEX(big_daily_table,MATCH(DATE(Z$5,$K89,$J89),daily_dates,0),MATCH($B$3,daily_items,0)))</f>
        <v>#N/A</v>
      </c>
      <c r="AA89" s="1" t="str">
        <f t="shared" si="5"/>
        <v>#NAME?</v>
      </c>
      <c r="AB89" s="1" t="str">
        <f t="shared" si="6"/>
        <v>#NAME?</v>
      </c>
      <c r="AC89" s="1" t="str">
        <f t="shared" si="7"/>
        <v>#NAME?</v>
      </c>
      <c r="AD89" s="1" t="str">
        <f t="shared" si="8"/>
        <v>#NAME?</v>
      </c>
    </row>
    <row r="90" ht="14.25" customHeight="1">
      <c r="H90" s="1">
        <f t="shared" si="9"/>
        <v>85</v>
      </c>
      <c r="I90" s="1">
        <f>WEEKDAY('daily graphs'!K90)</f>
        <v>7</v>
      </c>
      <c r="J90" s="1">
        <f t="shared" si="2"/>
        <v>18</v>
      </c>
      <c r="K90" s="1">
        <f t="shared" si="3"/>
        <v>3</v>
      </c>
      <c r="L90" s="23">
        <f>'daily graphs'!K90 - I90</f>
        <v>36603</v>
      </c>
      <c r="M90" s="24">
        <f t="shared" si="4"/>
        <v>-1000000</v>
      </c>
      <c r="N90" s="24" t="str">
        <f t="array" ref="N90">IF(M90&gt;0,INDEX(big_daily_table,MATCH(DATE(O$5,$K90,$J90),daily_dates,0),MATCH($B$3,daily_items,0)),NA())</f>
        <v>#N/A</v>
      </c>
      <c r="O90" s="1" t="str">
        <f t="array" ref="O90">IF(M90&lt;0,INDEX(big_daily_table,MATCH(DATE(O$5,$K90,$J90),daily_dates,0),MATCH($B$3,daily_items,0)),NA())</f>
        <v>#N/A</v>
      </c>
      <c r="P90" s="1" t="str">
        <f t="array" ref="P90">IF(ISBLANK(INDEX(big_daily_table,MATCH(DATE(P$5,$K90,$J90),daily_dates,0),MATCH($B$3,daily_items,0))),NA(),INDEX(big_daily_table,MATCH(DATE(P$5,$K90,$J90),daily_dates,0),MATCH($B$3,daily_items,0)))</f>
        <v>#N/A</v>
      </c>
      <c r="Q90" s="1" t="str">
        <f t="array" ref="Q90">IF(ISBLANK(INDEX(big_daily_table,MATCH(DATE(Q$5,$K90,$J90),daily_dates,0),MATCH($B$3,daily_items,0))),NA(),INDEX(big_daily_table,MATCH(DATE(Q$5,$K90,$J90),daily_dates,0),MATCH($B$3,daily_items,0)))</f>
        <v>#N/A</v>
      </c>
      <c r="R90" s="1" t="str">
        <f t="array" ref="R90">IF(ISBLANK(INDEX(big_daily_table,MATCH(DATE(R$5,$K90,$J90),daily_dates,0),MATCH($B$3,daily_items,0))),NA(),INDEX(big_daily_table,MATCH(DATE(R$5,$K90,$J90),daily_dates,0),MATCH($B$3,daily_items,0)))</f>
        <v>#N/A</v>
      </c>
      <c r="S90" s="1" t="str">
        <f t="array" ref="S90">IF(ISBLANK(INDEX(big_daily_table,MATCH(DATE(S$5,$K90,$J90),daily_dates,0),MATCH($B$3,daily_items,0))),NA(),INDEX(big_daily_table,MATCH(DATE(S$5,$K90,$J90),daily_dates,0),MATCH($B$3,daily_items,0)))</f>
        <v>#N/A</v>
      </c>
      <c r="T90" s="1" t="str">
        <f t="array" ref="T90">IF(ISBLANK(INDEX(big_daily_table,MATCH(DATE(T$5,$K90,$J90),daily_dates,0),MATCH($B$3,daily_items,0))),NA(),INDEX(big_daily_table,MATCH(DATE(T$5,$K90,$J90),daily_dates,0),MATCH($B$3,daily_items,0)))</f>
        <v>#N/A</v>
      </c>
      <c r="U90" s="1" t="str">
        <f t="array" ref="U90">IF(ISBLANK(INDEX(big_daily_table,MATCH(DATE(U$5,$K90,$J90),daily_dates,0),MATCH($B$3,daily_items,0))),NA(),INDEX(big_daily_table,MATCH(DATE(U$5,$K90,$J90),daily_dates,0),MATCH($B$3,daily_items,0)))</f>
        <v>#N/A</v>
      </c>
      <c r="V90" s="1" t="str">
        <f t="array" ref="V90">IF(ISBLANK(INDEX(big_daily_table,MATCH(DATE(V$5,$K90,$J90),daily_dates,0),MATCH($B$3,daily_items,0))),NA(),INDEX(big_daily_table,MATCH(DATE(V$5,$K90,$J90),daily_dates,0),MATCH($B$3,daily_items,0)))</f>
        <v>#N/A</v>
      </c>
      <c r="W90" s="1" t="str">
        <f t="array" ref="W90">IF(ISBLANK(INDEX(big_daily_table,MATCH(DATE(W$5,$K90,$J90),daily_dates,0),MATCH($B$3,daily_items,0))),NA(),INDEX(big_daily_table,MATCH(DATE(W$5,$K90,$J90),daily_dates,0),MATCH($B$3,daily_items,0)))</f>
        <v>#N/A</v>
      </c>
      <c r="X90" s="1" t="str">
        <f t="array" ref="X90">IF(ISBLANK(INDEX(big_daily_table,MATCH(DATE(X$5,$K90,$J90),daily_dates,0),MATCH($B$3,daily_items,0))),NA(),INDEX(big_daily_table,MATCH(DATE(X$5,$K90,$J90),daily_dates,0),MATCH($B$3,daily_items,0)))</f>
        <v>#N/A</v>
      </c>
      <c r="Y90" s="1" t="str">
        <f t="array" ref="Y90">IF(ISBLANK(INDEX(big_daily_table,MATCH(DATE(Y$5,$K90,$J90),daily_dates,0),MATCH($B$3,daily_items,0))),NA(),INDEX(big_daily_table,MATCH(DATE(Y$5,$K90,$J90),daily_dates,0),MATCH($B$3,daily_items,0)))</f>
        <v>#N/A</v>
      </c>
      <c r="Z90" s="1" t="str">
        <f t="array" ref="Z90">IF(ISBLANK(INDEX(big_daily_table,MATCH(DATE(Z$5,$K90,$J90),daily_dates,0),MATCH($B$3,daily_items,0))),NA(),INDEX(big_daily_table,MATCH(DATE(Z$5,$K90,$J90),daily_dates,0),MATCH($B$3,daily_items,0)))</f>
        <v>#N/A</v>
      </c>
      <c r="AA90" s="1" t="str">
        <f t="shared" si="5"/>
        <v>#NAME?</v>
      </c>
      <c r="AB90" s="1" t="str">
        <f t="shared" si="6"/>
        <v>#NAME?</v>
      </c>
      <c r="AC90" s="1" t="str">
        <f t="shared" si="7"/>
        <v>#NAME?</v>
      </c>
      <c r="AD90" s="1" t="str">
        <f t="shared" si="8"/>
        <v>#NAME?</v>
      </c>
    </row>
    <row r="91" ht="14.25" customHeight="1">
      <c r="H91" s="1">
        <f t="shared" si="9"/>
        <v>86</v>
      </c>
      <c r="I91" s="1">
        <f>WEEKDAY('daily graphs'!K91)</f>
        <v>1</v>
      </c>
      <c r="J91" s="1">
        <f t="shared" si="2"/>
        <v>25</v>
      </c>
      <c r="K91" s="1">
        <f t="shared" si="3"/>
        <v>3</v>
      </c>
      <c r="L91" s="23">
        <f>'daily graphs'!K91 - I91</f>
        <v>36610</v>
      </c>
      <c r="M91" s="24">
        <f t="shared" si="4"/>
        <v>-1000000</v>
      </c>
      <c r="N91" s="24" t="str">
        <f t="array" ref="N91">IF(M91&gt;0,INDEX(big_daily_table,MATCH(DATE(O$5,$K91,$J91),daily_dates,0),MATCH($B$3,daily_items,0)),NA())</f>
        <v>#N/A</v>
      </c>
      <c r="O91" s="1" t="str">
        <f t="array" ref="O91">IF(M91&lt;0,INDEX(big_daily_table,MATCH(DATE(O$5,$K91,$J91),daily_dates,0),MATCH($B$3,daily_items,0)),NA())</f>
        <v>#N/A</v>
      </c>
      <c r="P91" s="1" t="str">
        <f t="array" ref="P91">IF(ISBLANK(INDEX(big_daily_table,MATCH(DATE(P$5,$K91,$J91),daily_dates,0),MATCH($B$3,daily_items,0))),NA(),INDEX(big_daily_table,MATCH(DATE(P$5,$K91,$J91),daily_dates,0),MATCH($B$3,daily_items,0)))</f>
        <v>#N/A</v>
      </c>
      <c r="Q91" s="1" t="str">
        <f t="array" ref="Q91">IF(ISBLANK(INDEX(big_daily_table,MATCH(DATE(Q$5,$K91,$J91),daily_dates,0),MATCH($B$3,daily_items,0))),NA(),INDEX(big_daily_table,MATCH(DATE(Q$5,$K91,$J91),daily_dates,0),MATCH($B$3,daily_items,0)))</f>
        <v>#N/A</v>
      </c>
      <c r="R91" s="1" t="str">
        <f t="array" ref="R91">IF(ISBLANK(INDEX(big_daily_table,MATCH(DATE(R$5,$K91,$J91),daily_dates,0),MATCH($B$3,daily_items,0))),NA(),INDEX(big_daily_table,MATCH(DATE(R$5,$K91,$J91),daily_dates,0),MATCH($B$3,daily_items,0)))</f>
        <v>#N/A</v>
      </c>
      <c r="S91" s="1" t="str">
        <f t="array" ref="S91">IF(ISBLANK(INDEX(big_daily_table,MATCH(DATE(S$5,$K91,$J91),daily_dates,0),MATCH($B$3,daily_items,0))),NA(),INDEX(big_daily_table,MATCH(DATE(S$5,$K91,$J91),daily_dates,0),MATCH($B$3,daily_items,0)))</f>
        <v>#N/A</v>
      </c>
      <c r="T91" s="1" t="str">
        <f t="array" ref="T91">IF(ISBLANK(INDEX(big_daily_table,MATCH(DATE(T$5,$K91,$J91),daily_dates,0),MATCH($B$3,daily_items,0))),NA(),INDEX(big_daily_table,MATCH(DATE(T$5,$K91,$J91),daily_dates,0),MATCH($B$3,daily_items,0)))</f>
        <v>#N/A</v>
      </c>
      <c r="U91" s="1" t="str">
        <f t="array" ref="U91">IF(ISBLANK(INDEX(big_daily_table,MATCH(DATE(U$5,$K91,$J91),daily_dates,0),MATCH($B$3,daily_items,0))),NA(),INDEX(big_daily_table,MATCH(DATE(U$5,$K91,$J91),daily_dates,0),MATCH($B$3,daily_items,0)))</f>
        <v>#N/A</v>
      </c>
      <c r="V91" s="1" t="str">
        <f t="array" ref="V91">IF(ISBLANK(INDEX(big_daily_table,MATCH(DATE(V$5,$K91,$J91),daily_dates,0),MATCH($B$3,daily_items,0))),NA(),INDEX(big_daily_table,MATCH(DATE(V$5,$K91,$J91),daily_dates,0),MATCH($B$3,daily_items,0)))</f>
        <v>#N/A</v>
      </c>
      <c r="W91" s="1" t="str">
        <f t="array" ref="W91">IF(ISBLANK(INDEX(big_daily_table,MATCH(DATE(W$5,$K91,$J91),daily_dates,0),MATCH($B$3,daily_items,0))),NA(),INDEX(big_daily_table,MATCH(DATE(W$5,$K91,$J91),daily_dates,0),MATCH($B$3,daily_items,0)))</f>
        <v>#N/A</v>
      </c>
      <c r="X91" s="1" t="str">
        <f t="array" ref="X91">IF(ISBLANK(INDEX(big_daily_table,MATCH(DATE(X$5,$K91,$J91),daily_dates,0),MATCH($B$3,daily_items,0))),NA(),INDEX(big_daily_table,MATCH(DATE(X$5,$K91,$J91),daily_dates,0),MATCH($B$3,daily_items,0)))</f>
        <v>#N/A</v>
      </c>
      <c r="Y91" s="1" t="str">
        <f t="array" ref="Y91">IF(ISBLANK(INDEX(big_daily_table,MATCH(DATE(Y$5,$K91,$J91),daily_dates,0),MATCH($B$3,daily_items,0))),NA(),INDEX(big_daily_table,MATCH(DATE(Y$5,$K91,$J91),daily_dates,0),MATCH($B$3,daily_items,0)))</f>
        <v>#N/A</v>
      </c>
      <c r="Z91" s="1" t="str">
        <f t="array" ref="Z91">IF(ISBLANK(INDEX(big_daily_table,MATCH(DATE(Z$5,$K91,$J91),daily_dates,0),MATCH($B$3,daily_items,0))),NA(),INDEX(big_daily_table,MATCH(DATE(Z$5,$K91,$J91),daily_dates,0),MATCH($B$3,daily_items,0)))</f>
        <v>#N/A</v>
      </c>
      <c r="AA91" s="1" t="str">
        <f t="shared" si="5"/>
        <v>#NAME?</v>
      </c>
      <c r="AB91" s="1" t="str">
        <f t="shared" si="6"/>
        <v>#NAME?</v>
      </c>
      <c r="AC91" s="1" t="str">
        <f t="shared" si="7"/>
        <v>#NAME?</v>
      </c>
      <c r="AD91" s="1" t="str">
        <f t="shared" si="8"/>
        <v>#NAME?</v>
      </c>
    </row>
    <row r="92" ht="14.25" customHeight="1">
      <c r="H92" s="1">
        <f t="shared" si="9"/>
        <v>87</v>
      </c>
      <c r="I92" s="1">
        <f>WEEKDAY('daily graphs'!K92)</f>
        <v>2</v>
      </c>
      <c r="J92" s="1">
        <f t="shared" si="2"/>
        <v>25</v>
      </c>
      <c r="K92" s="1">
        <f t="shared" si="3"/>
        <v>3</v>
      </c>
      <c r="L92" s="23">
        <f>'daily graphs'!K92 - I92</f>
        <v>36610</v>
      </c>
      <c r="M92" s="24">
        <f t="shared" si="4"/>
        <v>-1000000</v>
      </c>
      <c r="N92" s="24" t="str">
        <f t="array" ref="N92">IF(M92&gt;0,INDEX(big_daily_table,MATCH(DATE(O$5,$K92,$J92),daily_dates,0),MATCH($B$3,daily_items,0)),NA())</f>
        <v>#N/A</v>
      </c>
      <c r="O92" s="1" t="str">
        <f t="array" ref="O92">IF(M92&lt;0,INDEX(big_daily_table,MATCH(DATE(O$5,$K92,$J92),daily_dates,0),MATCH($B$3,daily_items,0)),NA())</f>
        <v>#N/A</v>
      </c>
      <c r="P92" s="1" t="str">
        <f t="array" ref="P92">IF(ISBLANK(INDEX(big_daily_table,MATCH(DATE(P$5,$K92,$J92),daily_dates,0),MATCH($B$3,daily_items,0))),NA(),INDEX(big_daily_table,MATCH(DATE(P$5,$K92,$J92),daily_dates,0),MATCH($B$3,daily_items,0)))</f>
        <v>#N/A</v>
      </c>
      <c r="Q92" s="1" t="str">
        <f t="array" ref="Q92">IF(ISBLANK(INDEX(big_daily_table,MATCH(DATE(Q$5,$K92,$J92),daily_dates,0),MATCH($B$3,daily_items,0))),NA(),INDEX(big_daily_table,MATCH(DATE(Q$5,$K92,$J92),daily_dates,0),MATCH($B$3,daily_items,0)))</f>
        <v>#N/A</v>
      </c>
      <c r="R92" s="1" t="str">
        <f t="array" ref="R92">IF(ISBLANK(INDEX(big_daily_table,MATCH(DATE(R$5,$K92,$J92),daily_dates,0),MATCH($B$3,daily_items,0))),NA(),INDEX(big_daily_table,MATCH(DATE(R$5,$K92,$J92),daily_dates,0),MATCH($B$3,daily_items,0)))</f>
        <v>#N/A</v>
      </c>
      <c r="S92" s="1" t="str">
        <f t="array" ref="S92">IF(ISBLANK(INDEX(big_daily_table,MATCH(DATE(S$5,$K92,$J92),daily_dates,0),MATCH($B$3,daily_items,0))),NA(),INDEX(big_daily_table,MATCH(DATE(S$5,$K92,$J92),daily_dates,0),MATCH($B$3,daily_items,0)))</f>
        <v>#N/A</v>
      </c>
      <c r="T92" s="1" t="str">
        <f t="array" ref="T92">IF(ISBLANK(INDEX(big_daily_table,MATCH(DATE(T$5,$K92,$J92),daily_dates,0),MATCH($B$3,daily_items,0))),NA(),INDEX(big_daily_table,MATCH(DATE(T$5,$K92,$J92),daily_dates,0),MATCH($B$3,daily_items,0)))</f>
        <v>#N/A</v>
      </c>
      <c r="U92" s="1" t="str">
        <f t="array" ref="U92">IF(ISBLANK(INDEX(big_daily_table,MATCH(DATE(U$5,$K92,$J92),daily_dates,0),MATCH($B$3,daily_items,0))),NA(),INDEX(big_daily_table,MATCH(DATE(U$5,$K92,$J92),daily_dates,0),MATCH($B$3,daily_items,0)))</f>
        <v>#N/A</v>
      </c>
      <c r="V92" s="1" t="str">
        <f t="array" ref="V92">IF(ISBLANK(INDEX(big_daily_table,MATCH(DATE(V$5,$K92,$J92),daily_dates,0),MATCH($B$3,daily_items,0))),NA(),INDEX(big_daily_table,MATCH(DATE(V$5,$K92,$J92),daily_dates,0),MATCH($B$3,daily_items,0)))</f>
        <v>#N/A</v>
      </c>
      <c r="W92" s="1" t="str">
        <f t="array" ref="W92">IF(ISBLANK(INDEX(big_daily_table,MATCH(DATE(W$5,$K92,$J92),daily_dates,0),MATCH($B$3,daily_items,0))),NA(),INDEX(big_daily_table,MATCH(DATE(W$5,$K92,$J92),daily_dates,0),MATCH($B$3,daily_items,0)))</f>
        <v>#N/A</v>
      </c>
      <c r="X92" s="1" t="str">
        <f t="array" ref="X92">IF(ISBLANK(INDEX(big_daily_table,MATCH(DATE(X$5,$K92,$J92),daily_dates,0),MATCH($B$3,daily_items,0))),NA(),INDEX(big_daily_table,MATCH(DATE(X$5,$K92,$J92),daily_dates,0),MATCH($B$3,daily_items,0)))</f>
        <v>#N/A</v>
      </c>
      <c r="Y92" s="1" t="str">
        <f t="array" ref="Y92">IF(ISBLANK(INDEX(big_daily_table,MATCH(DATE(Y$5,$K92,$J92),daily_dates,0),MATCH($B$3,daily_items,0))),NA(),INDEX(big_daily_table,MATCH(DATE(Y$5,$K92,$J92),daily_dates,0),MATCH($B$3,daily_items,0)))</f>
        <v>#N/A</v>
      </c>
      <c r="Z92" s="1" t="str">
        <f t="array" ref="Z92">IF(ISBLANK(INDEX(big_daily_table,MATCH(DATE(Z$5,$K92,$J92),daily_dates,0),MATCH($B$3,daily_items,0))),NA(),INDEX(big_daily_table,MATCH(DATE(Z$5,$K92,$J92),daily_dates,0),MATCH($B$3,daily_items,0)))</f>
        <v>#N/A</v>
      </c>
      <c r="AA92" s="1" t="str">
        <f t="shared" si="5"/>
        <v>#NAME?</v>
      </c>
      <c r="AB92" s="1" t="str">
        <f t="shared" si="6"/>
        <v>#NAME?</v>
      </c>
      <c r="AC92" s="1" t="str">
        <f t="shared" si="7"/>
        <v>#NAME?</v>
      </c>
      <c r="AD92" s="1" t="str">
        <f t="shared" si="8"/>
        <v>#NAME?</v>
      </c>
    </row>
    <row r="93" ht="14.25" customHeight="1">
      <c r="H93" s="1">
        <f t="shared" si="9"/>
        <v>88</v>
      </c>
      <c r="I93" s="1">
        <f>WEEKDAY('daily graphs'!K93)</f>
        <v>3</v>
      </c>
      <c r="J93" s="1">
        <f t="shared" si="2"/>
        <v>25</v>
      </c>
      <c r="K93" s="1">
        <f t="shared" si="3"/>
        <v>3</v>
      </c>
      <c r="L93" s="23">
        <f>'daily graphs'!K93 - I93</f>
        <v>36610</v>
      </c>
      <c r="M93" s="24">
        <f t="shared" si="4"/>
        <v>-1000000</v>
      </c>
      <c r="N93" s="24" t="str">
        <f t="array" ref="N93">IF(M93&gt;0,INDEX(big_daily_table,MATCH(DATE(O$5,$K93,$J93),daily_dates,0),MATCH($B$3,daily_items,0)),NA())</f>
        <v>#N/A</v>
      </c>
      <c r="O93" s="1" t="str">
        <f t="array" ref="O93">IF(M93&lt;0,INDEX(big_daily_table,MATCH(DATE(O$5,$K93,$J93),daily_dates,0),MATCH($B$3,daily_items,0)),NA())</f>
        <v>#N/A</v>
      </c>
      <c r="P93" s="1" t="str">
        <f t="array" ref="P93">IF(ISBLANK(INDEX(big_daily_table,MATCH(DATE(P$5,$K93,$J93),daily_dates,0),MATCH($B$3,daily_items,0))),NA(),INDEX(big_daily_table,MATCH(DATE(P$5,$K93,$J93),daily_dates,0),MATCH($B$3,daily_items,0)))</f>
        <v>#N/A</v>
      </c>
      <c r="Q93" s="1" t="str">
        <f t="array" ref="Q93">IF(ISBLANK(INDEX(big_daily_table,MATCH(DATE(Q$5,$K93,$J93),daily_dates,0),MATCH($B$3,daily_items,0))),NA(),INDEX(big_daily_table,MATCH(DATE(Q$5,$K93,$J93),daily_dates,0),MATCH($B$3,daily_items,0)))</f>
        <v>#N/A</v>
      </c>
      <c r="R93" s="1" t="str">
        <f t="array" ref="R93">IF(ISBLANK(INDEX(big_daily_table,MATCH(DATE(R$5,$K93,$J93),daily_dates,0),MATCH($B$3,daily_items,0))),NA(),INDEX(big_daily_table,MATCH(DATE(R$5,$K93,$J93),daily_dates,0),MATCH($B$3,daily_items,0)))</f>
        <v>#N/A</v>
      </c>
      <c r="S93" s="1" t="str">
        <f t="array" ref="S93">IF(ISBLANK(INDEX(big_daily_table,MATCH(DATE(S$5,$K93,$J93),daily_dates,0),MATCH($B$3,daily_items,0))),NA(),INDEX(big_daily_table,MATCH(DATE(S$5,$K93,$J93),daily_dates,0),MATCH($B$3,daily_items,0)))</f>
        <v>#N/A</v>
      </c>
      <c r="T93" s="1" t="str">
        <f t="array" ref="T93">IF(ISBLANK(INDEX(big_daily_table,MATCH(DATE(T$5,$K93,$J93),daily_dates,0),MATCH($B$3,daily_items,0))),NA(),INDEX(big_daily_table,MATCH(DATE(T$5,$K93,$J93),daily_dates,0),MATCH($B$3,daily_items,0)))</f>
        <v>#N/A</v>
      </c>
      <c r="U93" s="1" t="str">
        <f t="array" ref="U93">IF(ISBLANK(INDEX(big_daily_table,MATCH(DATE(U$5,$K93,$J93),daily_dates,0),MATCH($B$3,daily_items,0))),NA(),INDEX(big_daily_table,MATCH(DATE(U$5,$K93,$J93),daily_dates,0),MATCH($B$3,daily_items,0)))</f>
        <v>#N/A</v>
      </c>
      <c r="V93" s="1" t="str">
        <f t="array" ref="V93">IF(ISBLANK(INDEX(big_daily_table,MATCH(DATE(V$5,$K93,$J93),daily_dates,0),MATCH($B$3,daily_items,0))),NA(),INDEX(big_daily_table,MATCH(DATE(V$5,$K93,$J93),daily_dates,0),MATCH($B$3,daily_items,0)))</f>
        <v>#N/A</v>
      </c>
      <c r="W93" s="1" t="str">
        <f t="array" ref="W93">IF(ISBLANK(INDEX(big_daily_table,MATCH(DATE(W$5,$K93,$J93),daily_dates,0),MATCH($B$3,daily_items,0))),NA(),INDEX(big_daily_table,MATCH(DATE(W$5,$K93,$J93),daily_dates,0),MATCH($B$3,daily_items,0)))</f>
        <v>#N/A</v>
      </c>
      <c r="X93" s="1" t="str">
        <f t="array" ref="X93">IF(ISBLANK(INDEX(big_daily_table,MATCH(DATE(X$5,$K93,$J93),daily_dates,0),MATCH($B$3,daily_items,0))),NA(),INDEX(big_daily_table,MATCH(DATE(X$5,$K93,$J93),daily_dates,0),MATCH($B$3,daily_items,0)))</f>
        <v>#N/A</v>
      </c>
      <c r="Y93" s="1" t="str">
        <f t="array" ref="Y93">IF(ISBLANK(INDEX(big_daily_table,MATCH(DATE(Y$5,$K93,$J93),daily_dates,0),MATCH($B$3,daily_items,0))),NA(),INDEX(big_daily_table,MATCH(DATE(Y$5,$K93,$J93),daily_dates,0),MATCH($B$3,daily_items,0)))</f>
        <v>#N/A</v>
      </c>
      <c r="Z93" s="1" t="str">
        <f t="array" ref="Z93">IF(ISBLANK(INDEX(big_daily_table,MATCH(DATE(Z$5,$K93,$J93),daily_dates,0),MATCH($B$3,daily_items,0))),NA(),INDEX(big_daily_table,MATCH(DATE(Z$5,$K93,$J93),daily_dates,0),MATCH($B$3,daily_items,0)))</f>
        <v>#N/A</v>
      </c>
      <c r="AA93" s="1" t="str">
        <f t="shared" si="5"/>
        <v>#NAME?</v>
      </c>
      <c r="AB93" s="1" t="str">
        <f t="shared" si="6"/>
        <v>#NAME?</v>
      </c>
      <c r="AC93" s="1" t="str">
        <f t="shared" si="7"/>
        <v>#NAME?</v>
      </c>
      <c r="AD93" s="1" t="str">
        <f t="shared" si="8"/>
        <v>#NAME?</v>
      </c>
    </row>
    <row r="94" ht="14.25" customHeight="1">
      <c r="H94" s="1">
        <f t="shared" si="9"/>
        <v>89</v>
      </c>
      <c r="I94" s="1">
        <f>WEEKDAY('daily graphs'!K94)</f>
        <v>4</v>
      </c>
      <c r="J94" s="1">
        <f t="shared" si="2"/>
        <v>25</v>
      </c>
      <c r="K94" s="1">
        <f t="shared" si="3"/>
        <v>3</v>
      </c>
      <c r="L94" s="23">
        <f>'daily graphs'!K94 - I94</f>
        <v>36610</v>
      </c>
      <c r="M94" s="24">
        <f t="shared" si="4"/>
        <v>-1000000</v>
      </c>
      <c r="N94" s="24" t="str">
        <f t="array" ref="N94">IF(M94&gt;0,INDEX(big_daily_table,MATCH(DATE(O$5,$K94,$J94),daily_dates,0),MATCH($B$3,daily_items,0)),NA())</f>
        <v>#N/A</v>
      </c>
      <c r="O94" s="1" t="str">
        <f t="array" ref="O94">IF(M94&lt;0,INDEX(big_daily_table,MATCH(DATE(O$5,$K94,$J94),daily_dates,0),MATCH($B$3,daily_items,0)),NA())</f>
        <v>#N/A</v>
      </c>
      <c r="P94" s="1" t="str">
        <f t="array" ref="P94">IF(ISBLANK(INDEX(big_daily_table,MATCH(DATE(P$5,$K94,$J94),daily_dates,0),MATCH($B$3,daily_items,0))),NA(),INDEX(big_daily_table,MATCH(DATE(P$5,$K94,$J94),daily_dates,0),MATCH($B$3,daily_items,0)))</f>
        <v>#N/A</v>
      </c>
      <c r="Q94" s="1" t="str">
        <f t="array" ref="Q94">IF(ISBLANK(INDEX(big_daily_table,MATCH(DATE(Q$5,$K94,$J94),daily_dates,0),MATCH($B$3,daily_items,0))),NA(),INDEX(big_daily_table,MATCH(DATE(Q$5,$K94,$J94),daily_dates,0),MATCH($B$3,daily_items,0)))</f>
        <v>#N/A</v>
      </c>
      <c r="R94" s="1" t="str">
        <f t="array" ref="R94">IF(ISBLANK(INDEX(big_daily_table,MATCH(DATE(R$5,$K94,$J94),daily_dates,0),MATCH($B$3,daily_items,0))),NA(),INDEX(big_daily_table,MATCH(DATE(R$5,$K94,$J94),daily_dates,0),MATCH($B$3,daily_items,0)))</f>
        <v>#N/A</v>
      </c>
      <c r="S94" s="1" t="str">
        <f t="array" ref="S94">IF(ISBLANK(INDEX(big_daily_table,MATCH(DATE(S$5,$K94,$J94),daily_dates,0),MATCH($B$3,daily_items,0))),NA(),INDEX(big_daily_table,MATCH(DATE(S$5,$K94,$J94),daily_dates,0),MATCH($B$3,daily_items,0)))</f>
        <v>#N/A</v>
      </c>
      <c r="T94" s="1" t="str">
        <f t="array" ref="T94">IF(ISBLANK(INDEX(big_daily_table,MATCH(DATE(T$5,$K94,$J94),daily_dates,0),MATCH($B$3,daily_items,0))),NA(),INDEX(big_daily_table,MATCH(DATE(T$5,$K94,$J94),daily_dates,0),MATCH($B$3,daily_items,0)))</f>
        <v>#N/A</v>
      </c>
      <c r="U94" s="1" t="str">
        <f t="array" ref="U94">IF(ISBLANK(INDEX(big_daily_table,MATCH(DATE(U$5,$K94,$J94),daily_dates,0),MATCH($B$3,daily_items,0))),NA(),INDEX(big_daily_table,MATCH(DATE(U$5,$K94,$J94),daily_dates,0),MATCH($B$3,daily_items,0)))</f>
        <v>#N/A</v>
      </c>
      <c r="V94" s="1" t="str">
        <f t="array" ref="V94">IF(ISBLANK(INDEX(big_daily_table,MATCH(DATE(V$5,$K94,$J94),daily_dates,0),MATCH($B$3,daily_items,0))),NA(),INDEX(big_daily_table,MATCH(DATE(V$5,$K94,$J94),daily_dates,0),MATCH($B$3,daily_items,0)))</f>
        <v>#N/A</v>
      </c>
      <c r="W94" s="1" t="str">
        <f t="array" ref="W94">IF(ISBLANK(INDEX(big_daily_table,MATCH(DATE(W$5,$K94,$J94),daily_dates,0),MATCH($B$3,daily_items,0))),NA(),INDEX(big_daily_table,MATCH(DATE(W$5,$K94,$J94),daily_dates,0),MATCH($B$3,daily_items,0)))</f>
        <v>#N/A</v>
      </c>
      <c r="X94" s="1" t="str">
        <f t="array" ref="X94">IF(ISBLANK(INDEX(big_daily_table,MATCH(DATE(X$5,$K94,$J94),daily_dates,0),MATCH($B$3,daily_items,0))),NA(),INDEX(big_daily_table,MATCH(DATE(X$5,$K94,$J94),daily_dates,0),MATCH($B$3,daily_items,0)))</f>
        <v>#N/A</v>
      </c>
      <c r="Y94" s="1" t="str">
        <f t="array" ref="Y94">IF(ISBLANK(INDEX(big_daily_table,MATCH(DATE(Y$5,$K94,$J94),daily_dates,0),MATCH($B$3,daily_items,0))),NA(),INDEX(big_daily_table,MATCH(DATE(Y$5,$K94,$J94),daily_dates,0),MATCH($B$3,daily_items,0)))</f>
        <v>#N/A</v>
      </c>
      <c r="Z94" s="1" t="str">
        <f t="array" ref="Z94">IF(ISBLANK(INDEX(big_daily_table,MATCH(DATE(Z$5,$K94,$J94),daily_dates,0),MATCH($B$3,daily_items,0))),NA(),INDEX(big_daily_table,MATCH(DATE(Z$5,$K94,$J94),daily_dates,0),MATCH($B$3,daily_items,0)))</f>
        <v>#N/A</v>
      </c>
      <c r="AA94" s="1" t="str">
        <f t="shared" si="5"/>
        <v>#NAME?</v>
      </c>
      <c r="AB94" s="1" t="str">
        <f t="shared" si="6"/>
        <v>#NAME?</v>
      </c>
      <c r="AC94" s="1" t="str">
        <f t="shared" si="7"/>
        <v>#NAME?</v>
      </c>
      <c r="AD94" s="1" t="str">
        <f t="shared" si="8"/>
        <v>#NAME?</v>
      </c>
    </row>
    <row r="95" ht="14.25" customHeight="1">
      <c r="H95" s="1">
        <f t="shared" si="9"/>
        <v>90</v>
      </c>
      <c r="I95" s="1">
        <f>WEEKDAY('daily graphs'!K95)</f>
        <v>5</v>
      </c>
      <c r="J95" s="1">
        <f t="shared" si="2"/>
        <v>25</v>
      </c>
      <c r="K95" s="1">
        <f t="shared" si="3"/>
        <v>3</v>
      </c>
      <c r="L95" s="23">
        <f>'daily graphs'!K95 - I95</f>
        <v>36610</v>
      </c>
      <c r="M95" s="24">
        <f t="shared" si="4"/>
        <v>-1000000</v>
      </c>
      <c r="N95" s="24" t="str">
        <f t="array" ref="N95">IF(M95&gt;0,INDEX(big_daily_table,MATCH(DATE(O$5,$K95,$J95),daily_dates,0),MATCH($B$3,daily_items,0)),NA())</f>
        <v>#N/A</v>
      </c>
      <c r="O95" s="1" t="str">
        <f t="array" ref="O95">IF(M95&lt;0,INDEX(big_daily_table,MATCH(DATE(O$5,$K95,$J95),daily_dates,0),MATCH($B$3,daily_items,0)),NA())</f>
        <v>#N/A</v>
      </c>
      <c r="P95" s="1" t="str">
        <f t="array" ref="P95">IF(ISBLANK(INDEX(big_daily_table,MATCH(DATE(P$5,$K95,$J95),daily_dates,0),MATCH($B$3,daily_items,0))),NA(),INDEX(big_daily_table,MATCH(DATE(P$5,$K95,$J95),daily_dates,0),MATCH($B$3,daily_items,0)))</f>
        <v>#N/A</v>
      </c>
      <c r="Q95" s="1" t="str">
        <f t="array" ref="Q95">IF(ISBLANK(INDEX(big_daily_table,MATCH(DATE(Q$5,$K95,$J95),daily_dates,0),MATCH($B$3,daily_items,0))),NA(),INDEX(big_daily_table,MATCH(DATE(Q$5,$K95,$J95),daily_dates,0),MATCH($B$3,daily_items,0)))</f>
        <v>#N/A</v>
      </c>
      <c r="R95" s="1" t="str">
        <f t="array" ref="R95">IF(ISBLANK(INDEX(big_daily_table,MATCH(DATE(R$5,$K95,$J95),daily_dates,0),MATCH($B$3,daily_items,0))),NA(),INDEX(big_daily_table,MATCH(DATE(R$5,$K95,$J95),daily_dates,0),MATCH($B$3,daily_items,0)))</f>
        <v>#N/A</v>
      </c>
      <c r="S95" s="1" t="str">
        <f t="array" ref="S95">IF(ISBLANK(INDEX(big_daily_table,MATCH(DATE(S$5,$K95,$J95),daily_dates,0),MATCH($B$3,daily_items,0))),NA(),INDEX(big_daily_table,MATCH(DATE(S$5,$K95,$J95),daily_dates,0),MATCH($B$3,daily_items,0)))</f>
        <v>#N/A</v>
      </c>
      <c r="T95" s="1" t="str">
        <f t="array" ref="T95">IF(ISBLANK(INDEX(big_daily_table,MATCH(DATE(T$5,$K95,$J95),daily_dates,0),MATCH($B$3,daily_items,0))),NA(),INDEX(big_daily_table,MATCH(DATE(T$5,$K95,$J95),daily_dates,0),MATCH($B$3,daily_items,0)))</f>
        <v>#N/A</v>
      </c>
      <c r="U95" s="1" t="str">
        <f t="array" ref="U95">IF(ISBLANK(INDEX(big_daily_table,MATCH(DATE(U$5,$K95,$J95),daily_dates,0),MATCH($B$3,daily_items,0))),NA(),INDEX(big_daily_table,MATCH(DATE(U$5,$K95,$J95),daily_dates,0),MATCH($B$3,daily_items,0)))</f>
        <v>#N/A</v>
      </c>
      <c r="V95" s="1" t="str">
        <f t="array" ref="V95">IF(ISBLANK(INDEX(big_daily_table,MATCH(DATE(V$5,$K95,$J95),daily_dates,0),MATCH($B$3,daily_items,0))),NA(),INDEX(big_daily_table,MATCH(DATE(V$5,$K95,$J95),daily_dates,0),MATCH($B$3,daily_items,0)))</f>
        <v>#N/A</v>
      </c>
      <c r="W95" s="1" t="str">
        <f t="array" ref="W95">IF(ISBLANK(INDEX(big_daily_table,MATCH(DATE(W$5,$K95,$J95),daily_dates,0),MATCH($B$3,daily_items,0))),NA(),INDEX(big_daily_table,MATCH(DATE(W$5,$K95,$J95),daily_dates,0),MATCH($B$3,daily_items,0)))</f>
        <v>#N/A</v>
      </c>
      <c r="X95" s="1" t="str">
        <f t="array" ref="X95">IF(ISBLANK(INDEX(big_daily_table,MATCH(DATE(X$5,$K95,$J95),daily_dates,0),MATCH($B$3,daily_items,0))),NA(),INDEX(big_daily_table,MATCH(DATE(X$5,$K95,$J95),daily_dates,0),MATCH($B$3,daily_items,0)))</f>
        <v>#N/A</v>
      </c>
      <c r="Y95" s="1" t="str">
        <f t="array" ref="Y95">IF(ISBLANK(INDEX(big_daily_table,MATCH(DATE(Y$5,$K95,$J95),daily_dates,0),MATCH($B$3,daily_items,0))),NA(),INDEX(big_daily_table,MATCH(DATE(Y$5,$K95,$J95),daily_dates,0),MATCH($B$3,daily_items,0)))</f>
        <v>#N/A</v>
      </c>
      <c r="Z95" s="1" t="str">
        <f t="array" ref="Z95">IF(ISBLANK(INDEX(big_daily_table,MATCH(DATE(Z$5,$K95,$J95),daily_dates,0),MATCH($B$3,daily_items,0))),NA(),INDEX(big_daily_table,MATCH(DATE(Z$5,$K95,$J95),daily_dates,0),MATCH($B$3,daily_items,0)))</f>
        <v>#N/A</v>
      </c>
      <c r="AA95" s="1" t="str">
        <f t="shared" si="5"/>
        <v>#NAME?</v>
      </c>
      <c r="AB95" s="1" t="str">
        <f t="shared" si="6"/>
        <v>#NAME?</v>
      </c>
      <c r="AC95" s="1" t="str">
        <f t="shared" si="7"/>
        <v>#NAME?</v>
      </c>
      <c r="AD95" s="1" t="str">
        <f t="shared" si="8"/>
        <v>#NAME?</v>
      </c>
    </row>
    <row r="96" ht="14.25" customHeight="1">
      <c r="H96" s="1">
        <f t="shared" si="9"/>
        <v>91</v>
      </c>
      <c r="I96" s="1">
        <f>WEEKDAY('daily graphs'!K96)</f>
        <v>6</v>
      </c>
      <c r="J96" s="1">
        <f t="shared" si="2"/>
        <v>25</v>
      </c>
      <c r="K96" s="1">
        <f t="shared" si="3"/>
        <v>3</v>
      </c>
      <c r="L96" s="23">
        <f>'daily graphs'!K96 - I96</f>
        <v>36610</v>
      </c>
      <c r="M96" s="24">
        <f t="shared" si="4"/>
        <v>-1000000</v>
      </c>
      <c r="N96" s="24" t="str">
        <f t="array" ref="N96">IF(M96&gt;0,INDEX(big_daily_table,MATCH(DATE(O$5,$K96,$J96),daily_dates,0),MATCH($B$3,daily_items,0)),NA())</f>
        <v>#N/A</v>
      </c>
      <c r="O96" s="1" t="str">
        <f t="array" ref="O96">IF(M96&lt;0,INDEX(big_daily_table,MATCH(DATE(O$5,$K96,$J96),daily_dates,0),MATCH($B$3,daily_items,0)),NA())</f>
        <v>#N/A</v>
      </c>
      <c r="P96" s="1" t="str">
        <f t="array" ref="P96">IF(ISBLANK(INDEX(big_daily_table,MATCH(DATE(P$5,$K96,$J96),daily_dates,0),MATCH($B$3,daily_items,0))),NA(),INDEX(big_daily_table,MATCH(DATE(P$5,$K96,$J96),daily_dates,0),MATCH($B$3,daily_items,0)))</f>
        <v>#N/A</v>
      </c>
      <c r="Q96" s="1" t="str">
        <f t="array" ref="Q96">IF(ISBLANK(INDEX(big_daily_table,MATCH(DATE(Q$5,$K96,$J96),daily_dates,0),MATCH($B$3,daily_items,0))),NA(),INDEX(big_daily_table,MATCH(DATE(Q$5,$K96,$J96),daily_dates,0),MATCH($B$3,daily_items,0)))</f>
        <v>#N/A</v>
      </c>
      <c r="R96" s="1" t="str">
        <f t="array" ref="R96">IF(ISBLANK(INDEX(big_daily_table,MATCH(DATE(R$5,$K96,$J96),daily_dates,0),MATCH($B$3,daily_items,0))),NA(),INDEX(big_daily_table,MATCH(DATE(R$5,$K96,$J96),daily_dates,0),MATCH($B$3,daily_items,0)))</f>
        <v>#N/A</v>
      </c>
      <c r="S96" s="1" t="str">
        <f t="array" ref="S96">IF(ISBLANK(INDEX(big_daily_table,MATCH(DATE(S$5,$K96,$J96),daily_dates,0),MATCH($B$3,daily_items,0))),NA(),INDEX(big_daily_table,MATCH(DATE(S$5,$K96,$J96),daily_dates,0),MATCH($B$3,daily_items,0)))</f>
        <v>#N/A</v>
      </c>
      <c r="T96" s="1" t="str">
        <f t="array" ref="T96">IF(ISBLANK(INDEX(big_daily_table,MATCH(DATE(T$5,$K96,$J96),daily_dates,0),MATCH($B$3,daily_items,0))),NA(),INDEX(big_daily_table,MATCH(DATE(T$5,$K96,$J96),daily_dates,0),MATCH($B$3,daily_items,0)))</f>
        <v>#N/A</v>
      </c>
      <c r="U96" s="1" t="str">
        <f t="array" ref="U96">IF(ISBLANK(INDEX(big_daily_table,MATCH(DATE(U$5,$K96,$J96),daily_dates,0),MATCH($B$3,daily_items,0))),NA(),INDEX(big_daily_table,MATCH(DATE(U$5,$K96,$J96),daily_dates,0),MATCH($B$3,daily_items,0)))</f>
        <v>#N/A</v>
      </c>
      <c r="V96" s="1" t="str">
        <f t="array" ref="V96">IF(ISBLANK(INDEX(big_daily_table,MATCH(DATE(V$5,$K96,$J96),daily_dates,0),MATCH($B$3,daily_items,0))),NA(),INDEX(big_daily_table,MATCH(DATE(V$5,$K96,$J96),daily_dates,0),MATCH($B$3,daily_items,0)))</f>
        <v>#N/A</v>
      </c>
      <c r="W96" s="1" t="str">
        <f t="array" ref="W96">IF(ISBLANK(INDEX(big_daily_table,MATCH(DATE(W$5,$K96,$J96),daily_dates,0),MATCH($B$3,daily_items,0))),NA(),INDEX(big_daily_table,MATCH(DATE(W$5,$K96,$J96),daily_dates,0),MATCH($B$3,daily_items,0)))</f>
        <v>#N/A</v>
      </c>
      <c r="X96" s="1" t="str">
        <f t="array" ref="X96">IF(ISBLANK(INDEX(big_daily_table,MATCH(DATE(X$5,$K96,$J96),daily_dates,0),MATCH($B$3,daily_items,0))),NA(),INDEX(big_daily_table,MATCH(DATE(X$5,$K96,$J96),daily_dates,0),MATCH($B$3,daily_items,0)))</f>
        <v>#N/A</v>
      </c>
      <c r="Y96" s="1" t="str">
        <f t="array" ref="Y96">IF(ISBLANK(INDEX(big_daily_table,MATCH(DATE(Y$5,$K96,$J96),daily_dates,0),MATCH($B$3,daily_items,0))),NA(),INDEX(big_daily_table,MATCH(DATE(Y$5,$K96,$J96),daily_dates,0),MATCH($B$3,daily_items,0)))</f>
        <v>#N/A</v>
      </c>
      <c r="Z96" s="1" t="str">
        <f t="array" ref="Z96">IF(ISBLANK(INDEX(big_daily_table,MATCH(DATE(Z$5,$K96,$J96),daily_dates,0),MATCH($B$3,daily_items,0))),NA(),INDEX(big_daily_table,MATCH(DATE(Z$5,$K96,$J96),daily_dates,0),MATCH($B$3,daily_items,0)))</f>
        <v>#N/A</v>
      </c>
      <c r="AA96" s="1" t="str">
        <f t="shared" si="5"/>
        <v>#NAME?</v>
      </c>
      <c r="AB96" s="1" t="str">
        <f t="shared" si="6"/>
        <v>#NAME?</v>
      </c>
      <c r="AC96" s="1" t="str">
        <f t="shared" si="7"/>
        <v>#NAME?</v>
      </c>
      <c r="AD96" s="1" t="str">
        <f t="shared" si="8"/>
        <v>#NAME?</v>
      </c>
    </row>
    <row r="97" ht="14.25" customHeight="1">
      <c r="H97" s="1">
        <f t="shared" si="9"/>
        <v>92</v>
      </c>
      <c r="I97" s="1">
        <f>WEEKDAY('daily graphs'!K97)</f>
        <v>7</v>
      </c>
      <c r="J97" s="1">
        <f t="shared" si="2"/>
        <v>25</v>
      </c>
      <c r="K97" s="1">
        <f t="shared" si="3"/>
        <v>3</v>
      </c>
      <c r="L97" s="23">
        <f>'daily graphs'!K97 - I97</f>
        <v>36610</v>
      </c>
      <c r="M97" s="24">
        <f t="shared" si="4"/>
        <v>-1000000</v>
      </c>
      <c r="N97" s="24" t="str">
        <f t="array" ref="N97">IF(M97&gt;0,INDEX(big_daily_table,MATCH(DATE(O$5,$K97,$J97),daily_dates,0),MATCH($B$3,daily_items,0)),NA())</f>
        <v>#N/A</v>
      </c>
      <c r="O97" s="1" t="str">
        <f t="array" ref="O97">IF(M97&lt;0,INDEX(big_daily_table,MATCH(DATE(O$5,$K97,$J97),daily_dates,0),MATCH($B$3,daily_items,0)),NA())</f>
        <v>#N/A</v>
      </c>
      <c r="P97" s="1" t="str">
        <f t="array" ref="P97">IF(ISBLANK(INDEX(big_daily_table,MATCH(DATE(P$5,$K97,$J97),daily_dates,0),MATCH($B$3,daily_items,0))),NA(),INDEX(big_daily_table,MATCH(DATE(P$5,$K97,$J97),daily_dates,0),MATCH($B$3,daily_items,0)))</f>
        <v>#N/A</v>
      </c>
      <c r="Q97" s="1" t="str">
        <f t="array" ref="Q97">IF(ISBLANK(INDEX(big_daily_table,MATCH(DATE(Q$5,$K97,$J97),daily_dates,0),MATCH($B$3,daily_items,0))),NA(),INDEX(big_daily_table,MATCH(DATE(Q$5,$K97,$J97),daily_dates,0),MATCH($B$3,daily_items,0)))</f>
        <v>#N/A</v>
      </c>
      <c r="R97" s="1" t="str">
        <f t="array" ref="R97">IF(ISBLANK(INDEX(big_daily_table,MATCH(DATE(R$5,$K97,$J97),daily_dates,0),MATCH($B$3,daily_items,0))),NA(),INDEX(big_daily_table,MATCH(DATE(R$5,$K97,$J97),daily_dates,0),MATCH($B$3,daily_items,0)))</f>
        <v>#N/A</v>
      </c>
      <c r="S97" s="1" t="str">
        <f t="array" ref="S97">IF(ISBLANK(INDEX(big_daily_table,MATCH(DATE(S$5,$K97,$J97),daily_dates,0),MATCH($B$3,daily_items,0))),NA(),INDEX(big_daily_table,MATCH(DATE(S$5,$K97,$J97),daily_dates,0),MATCH($B$3,daily_items,0)))</f>
        <v>#N/A</v>
      </c>
      <c r="T97" s="1" t="str">
        <f t="array" ref="T97">IF(ISBLANK(INDEX(big_daily_table,MATCH(DATE(T$5,$K97,$J97),daily_dates,0),MATCH($B$3,daily_items,0))),NA(),INDEX(big_daily_table,MATCH(DATE(T$5,$K97,$J97),daily_dates,0),MATCH($B$3,daily_items,0)))</f>
        <v>#N/A</v>
      </c>
      <c r="U97" s="1" t="str">
        <f t="array" ref="U97">IF(ISBLANK(INDEX(big_daily_table,MATCH(DATE(U$5,$K97,$J97),daily_dates,0),MATCH($B$3,daily_items,0))),NA(),INDEX(big_daily_table,MATCH(DATE(U$5,$K97,$J97),daily_dates,0),MATCH($B$3,daily_items,0)))</f>
        <v>#N/A</v>
      </c>
      <c r="V97" s="1" t="str">
        <f t="array" ref="V97">IF(ISBLANK(INDEX(big_daily_table,MATCH(DATE(V$5,$K97,$J97),daily_dates,0),MATCH($B$3,daily_items,0))),NA(),INDEX(big_daily_table,MATCH(DATE(V$5,$K97,$J97),daily_dates,0),MATCH($B$3,daily_items,0)))</f>
        <v>#N/A</v>
      </c>
      <c r="W97" s="1" t="str">
        <f t="array" ref="W97">IF(ISBLANK(INDEX(big_daily_table,MATCH(DATE(W$5,$K97,$J97),daily_dates,0),MATCH($B$3,daily_items,0))),NA(),INDEX(big_daily_table,MATCH(DATE(W$5,$K97,$J97),daily_dates,0),MATCH($B$3,daily_items,0)))</f>
        <v>#N/A</v>
      </c>
      <c r="X97" s="1" t="str">
        <f t="array" ref="X97">IF(ISBLANK(INDEX(big_daily_table,MATCH(DATE(X$5,$K97,$J97),daily_dates,0),MATCH($B$3,daily_items,0))),NA(),INDEX(big_daily_table,MATCH(DATE(X$5,$K97,$J97),daily_dates,0),MATCH($B$3,daily_items,0)))</f>
        <v>#N/A</v>
      </c>
      <c r="Y97" s="1" t="str">
        <f t="array" ref="Y97">IF(ISBLANK(INDEX(big_daily_table,MATCH(DATE(Y$5,$K97,$J97),daily_dates,0),MATCH($B$3,daily_items,0))),NA(),INDEX(big_daily_table,MATCH(DATE(Y$5,$K97,$J97),daily_dates,0),MATCH($B$3,daily_items,0)))</f>
        <v>#N/A</v>
      </c>
      <c r="Z97" s="1" t="str">
        <f t="array" ref="Z97">IF(ISBLANK(INDEX(big_daily_table,MATCH(DATE(Z$5,$K97,$J97),daily_dates,0),MATCH($B$3,daily_items,0))),NA(),INDEX(big_daily_table,MATCH(DATE(Z$5,$K97,$J97),daily_dates,0),MATCH($B$3,daily_items,0)))</f>
        <v>#N/A</v>
      </c>
      <c r="AA97" s="1" t="str">
        <f t="shared" si="5"/>
        <v>#NAME?</v>
      </c>
      <c r="AB97" s="1" t="str">
        <f t="shared" si="6"/>
        <v>#NAME?</v>
      </c>
      <c r="AC97" s="1" t="str">
        <f t="shared" si="7"/>
        <v>#NAME?</v>
      </c>
      <c r="AD97" s="1" t="str">
        <f t="shared" si="8"/>
        <v>#NAME?</v>
      </c>
    </row>
    <row r="98" ht="14.25" customHeight="1">
      <c r="H98" s="1">
        <f t="shared" si="9"/>
        <v>93</v>
      </c>
      <c r="I98" s="1">
        <f>WEEKDAY('daily graphs'!K98)</f>
        <v>1</v>
      </c>
      <c r="J98" s="1">
        <f t="shared" si="2"/>
        <v>1</v>
      </c>
      <c r="K98" s="1">
        <f t="shared" si="3"/>
        <v>4</v>
      </c>
      <c r="L98" s="23">
        <f>'daily graphs'!K98 - I98</f>
        <v>36617</v>
      </c>
      <c r="M98" s="24">
        <f t="shared" si="4"/>
        <v>-1000000</v>
      </c>
      <c r="N98" s="24" t="str">
        <f t="array" ref="N98">IF(M98&gt;0,INDEX(big_daily_table,MATCH(DATE(O$5,$K98,$J98),daily_dates,0),MATCH($B$3,daily_items,0)),NA())</f>
        <v>#N/A</v>
      </c>
      <c r="O98" s="1" t="str">
        <f t="array" ref="O98">IF(M98&lt;0,INDEX(big_daily_table,MATCH(DATE(O$5,$K98,$J98),daily_dates,0),MATCH($B$3,daily_items,0)),NA())</f>
        <v>#N/A</v>
      </c>
      <c r="P98" s="1" t="str">
        <f t="array" ref="P98">IF(ISBLANK(INDEX(big_daily_table,MATCH(DATE(P$5,$K98,$J98),daily_dates,0),MATCH($B$3,daily_items,0))),NA(),INDEX(big_daily_table,MATCH(DATE(P$5,$K98,$J98),daily_dates,0),MATCH($B$3,daily_items,0)))</f>
        <v>#N/A</v>
      </c>
      <c r="Q98" s="1" t="str">
        <f t="array" ref="Q98">IF(ISBLANK(INDEX(big_daily_table,MATCH(DATE(Q$5,$K98,$J98),daily_dates,0),MATCH($B$3,daily_items,0))),NA(),INDEX(big_daily_table,MATCH(DATE(Q$5,$K98,$J98),daily_dates,0),MATCH($B$3,daily_items,0)))</f>
        <v>#N/A</v>
      </c>
      <c r="R98" s="1" t="str">
        <f t="array" ref="R98">IF(ISBLANK(INDEX(big_daily_table,MATCH(DATE(R$5,$K98,$J98),daily_dates,0),MATCH($B$3,daily_items,0))),NA(),INDEX(big_daily_table,MATCH(DATE(R$5,$K98,$J98),daily_dates,0),MATCH($B$3,daily_items,0)))</f>
        <v>#N/A</v>
      </c>
      <c r="S98" s="1" t="str">
        <f t="array" ref="S98">IF(ISBLANK(INDEX(big_daily_table,MATCH(DATE(S$5,$K98,$J98),daily_dates,0),MATCH($B$3,daily_items,0))),NA(),INDEX(big_daily_table,MATCH(DATE(S$5,$K98,$J98),daily_dates,0),MATCH($B$3,daily_items,0)))</f>
        <v>#N/A</v>
      </c>
      <c r="T98" s="1" t="str">
        <f t="array" ref="T98">IF(ISBLANK(INDEX(big_daily_table,MATCH(DATE(T$5,$K98,$J98),daily_dates,0),MATCH($B$3,daily_items,0))),NA(),INDEX(big_daily_table,MATCH(DATE(T$5,$K98,$J98),daily_dates,0),MATCH($B$3,daily_items,0)))</f>
        <v>#N/A</v>
      </c>
      <c r="U98" s="1" t="str">
        <f t="array" ref="U98">IF(ISBLANK(INDEX(big_daily_table,MATCH(DATE(U$5,$K98,$J98),daily_dates,0),MATCH($B$3,daily_items,0))),NA(),INDEX(big_daily_table,MATCH(DATE(U$5,$K98,$J98),daily_dates,0),MATCH($B$3,daily_items,0)))</f>
        <v>#N/A</v>
      </c>
      <c r="V98" s="1" t="str">
        <f t="array" ref="V98">IF(ISBLANK(INDEX(big_daily_table,MATCH(DATE(V$5,$K98,$J98),daily_dates,0),MATCH($B$3,daily_items,0))),NA(),INDEX(big_daily_table,MATCH(DATE(V$5,$K98,$J98),daily_dates,0),MATCH($B$3,daily_items,0)))</f>
        <v>#N/A</v>
      </c>
      <c r="W98" s="1" t="str">
        <f t="array" ref="W98">IF(ISBLANK(INDEX(big_daily_table,MATCH(DATE(W$5,$K98,$J98),daily_dates,0),MATCH($B$3,daily_items,0))),NA(),INDEX(big_daily_table,MATCH(DATE(W$5,$K98,$J98),daily_dates,0),MATCH($B$3,daily_items,0)))</f>
        <v>#N/A</v>
      </c>
      <c r="X98" s="1" t="str">
        <f t="array" ref="X98">IF(ISBLANK(INDEX(big_daily_table,MATCH(DATE(X$5,$K98,$J98),daily_dates,0),MATCH($B$3,daily_items,0))),NA(),INDEX(big_daily_table,MATCH(DATE(X$5,$K98,$J98),daily_dates,0),MATCH($B$3,daily_items,0)))</f>
        <v>#N/A</v>
      </c>
      <c r="Y98" s="1" t="str">
        <f t="array" ref="Y98">IF(ISBLANK(INDEX(big_daily_table,MATCH(DATE(Y$5,$K98,$J98),daily_dates,0),MATCH($B$3,daily_items,0))),NA(),INDEX(big_daily_table,MATCH(DATE(Y$5,$K98,$J98),daily_dates,0),MATCH($B$3,daily_items,0)))</f>
        <v>#N/A</v>
      </c>
      <c r="Z98" s="1" t="str">
        <f t="array" ref="Z98">IF(ISBLANK(INDEX(big_daily_table,MATCH(DATE(Z$5,$K98,$J98),daily_dates,0),MATCH($B$3,daily_items,0))),NA(),INDEX(big_daily_table,MATCH(DATE(Z$5,$K98,$J98),daily_dates,0),MATCH($B$3,daily_items,0)))</f>
        <v>#N/A</v>
      </c>
      <c r="AA98" s="1" t="str">
        <f t="shared" si="5"/>
        <v>#NAME?</v>
      </c>
      <c r="AB98" s="1" t="str">
        <f t="shared" si="6"/>
        <v>#NAME?</v>
      </c>
      <c r="AC98" s="1" t="str">
        <f t="shared" si="7"/>
        <v>#NAME?</v>
      </c>
      <c r="AD98" s="1" t="str">
        <f t="shared" si="8"/>
        <v>#NAME?</v>
      </c>
    </row>
    <row r="99" ht="14.25" customHeight="1">
      <c r="H99" s="1">
        <f t="shared" si="9"/>
        <v>94</v>
      </c>
      <c r="I99" s="1">
        <f>WEEKDAY('daily graphs'!K99)</f>
        <v>2</v>
      </c>
      <c r="J99" s="1">
        <f t="shared" si="2"/>
        <v>1</v>
      </c>
      <c r="K99" s="1">
        <f t="shared" si="3"/>
        <v>4</v>
      </c>
      <c r="L99" s="23">
        <f>'daily graphs'!K99 - I99</f>
        <v>36617</v>
      </c>
      <c r="M99" s="24">
        <f t="shared" si="4"/>
        <v>-1000000</v>
      </c>
      <c r="N99" s="24" t="str">
        <f t="array" ref="N99">IF(M99&gt;0,INDEX(big_daily_table,MATCH(DATE(O$5,$K99,$J99),daily_dates,0),MATCH($B$3,daily_items,0)),NA())</f>
        <v>#N/A</v>
      </c>
      <c r="O99" s="1" t="str">
        <f t="array" ref="O99">IF(M99&lt;0,INDEX(big_daily_table,MATCH(DATE(O$5,$K99,$J99),daily_dates,0),MATCH($B$3,daily_items,0)),NA())</f>
        <v>#N/A</v>
      </c>
      <c r="P99" s="1" t="str">
        <f t="array" ref="P99">IF(ISBLANK(INDEX(big_daily_table,MATCH(DATE(P$5,$K99,$J99),daily_dates,0),MATCH($B$3,daily_items,0))),NA(),INDEX(big_daily_table,MATCH(DATE(P$5,$K99,$J99),daily_dates,0),MATCH($B$3,daily_items,0)))</f>
        <v>#N/A</v>
      </c>
      <c r="Q99" s="1" t="str">
        <f t="array" ref="Q99">IF(ISBLANK(INDEX(big_daily_table,MATCH(DATE(Q$5,$K99,$J99),daily_dates,0),MATCH($B$3,daily_items,0))),NA(),INDEX(big_daily_table,MATCH(DATE(Q$5,$K99,$J99),daily_dates,0),MATCH($B$3,daily_items,0)))</f>
        <v>#N/A</v>
      </c>
      <c r="R99" s="1" t="str">
        <f t="array" ref="R99">IF(ISBLANK(INDEX(big_daily_table,MATCH(DATE(R$5,$K99,$J99),daily_dates,0),MATCH($B$3,daily_items,0))),NA(),INDEX(big_daily_table,MATCH(DATE(R$5,$K99,$J99),daily_dates,0),MATCH($B$3,daily_items,0)))</f>
        <v>#N/A</v>
      </c>
      <c r="S99" s="1" t="str">
        <f t="array" ref="S99">IF(ISBLANK(INDEX(big_daily_table,MATCH(DATE(S$5,$K99,$J99),daily_dates,0),MATCH($B$3,daily_items,0))),NA(),INDEX(big_daily_table,MATCH(DATE(S$5,$K99,$J99),daily_dates,0),MATCH($B$3,daily_items,0)))</f>
        <v>#N/A</v>
      </c>
      <c r="T99" s="1" t="str">
        <f t="array" ref="T99">IF(ISBLANK(INDEX(big_daily_table,MATCH(DATE(T$5,$K99,$J99),daily_dates,0),MATCH($B$3,daily_items,0))),NA(),INDEX(big_daily_table,MATCH(DATE(T$5,$K99,$J99),daily_dates,0),MATCH($B$3,daily_items,0)))</f>
        <v>#N/A</v>
      </c>
      <c r="U99" s="1" t="str">
        <f t="array" ref="U99">IF(ISBLANK(INDEX(big_daily_table,MATCH(DATE(U$5,$K99,$J99),daily_dates,0),MATCH($B$3,daily_items,0))),NA(),INDEX(big_daily_table,MATCH(DATE(U$5,$K99,$J99),daily_dates,0),MATCH($B$3,daily_items,0)))</f>
        <v>#N/A</v>
      </c>
      <c r="V99" s="1" t="str">
        <f t="array" ref="V99">IF(ISBLANK(INDEX(big_daily_table,MATCH(DATE(V$5,$K99,$J99),daily_dates,0),MATCH($B$3,daily_items,0))),NA(),INDEX(big_daily_table,MATCH(DATE(V$5,$K99,$J99),daily_dates,0),MATCH($B$3,daily_items,0)))</f>
        <v>#N/A</v>
      </c>
      <c r="W99" s="1" t="str">
        <f t="array" ref="W99">IF(ISBLANK(INDEX(big_daily_table,MATCH(DATE(W$5,$K99,$J99),daily_dates,0),MATCH($B$3,daily_items,0))),NA(),INDEX(big_daily_table,MATCH(DATE(W$5,$K99,$J99),daily_dates,0),MATCH($B$3,daily_items,0)))</f>
        <v>#N/A</v>
      </c>
      <c r="X99" s="1" t="str">
        <f t="array" ref="X99">IF(ISBLANK(INDEX(big_daily_table,MATCH(DATE(X$5,$K99,$J99),daily_dates,0),MATCH($B$3,daily_items,0))),NA(),INDEX(big_daily_table,MATCH(DATE(X$5,$K99,$J99),daily_dates,0),MATCH($B$3,daily_items,0)))</f>
        <v>#N/A</v>
      </c>
      <c r="Y99" s="1" t="str">
        <f t="array" ref="Y99">IF(ISBLANK(INDEX(big_daily_table,MATCH(DATE(Y$5,$K99,$J99),daily_dates,0),MATCH($B$3,daily_items,0))),NA(),INDEX(big_daily_table,MATCH(DATE(Y$5,$K99,$J99),daily_dates,0),MATCH($B$3,daily_items,0)))</f>
        <v>#N/A</v>
      </c>
      <c r="Z99" s="1" t="str">
        <f t="array" ref="Z99">IF(ISBLANK(INDEX(big_daily_table,MATCH(DATE(Z$5,$K99,$J99),daily_dates,0),MATCH($B$3,daily_items,0))),NA(),INDEX(big_daily_table,MATCH(DATE(Z$5,$K99,$J99),daily_dates,0),MATCH($B$3,daily_items,0)))</f>
        <v>#N/A</v>
      </c>
      <c r="AA99" s="1" t="str">
        <f t="shared" si="5"/>
        <v>#NAME?</v>
      </c>
      <c r="AB99" s="1" t="str">
        <f t="shared" si="6"/>
        <v>#NAME?</v>
      </c>
      <c r="AC99" s="1" t="str">
        <f t="shared" si="7"/>
        <v>#NAME?</v>
      </c>
      <c r="AD99" s="1" t="str">
        <f t="shared" si="8"/>
        <v>#NAME?</v>
      </c>
    </row>
    <row r="100" ht="14.25" customHeight="1">
      <c r="H100" s="1">
        <f t="shared" si="9"/>
        <v>95</v>
      </c>
      <c r="I100" s="1">
        <f>WEEKDAY('daily graphs'!K100)</f>
        <v>3</v>
      </c>
      <c r="J100" s="1">
        <f t="shared" si="2"/>
        <v>1</v>
      </c>
      <c r="K100" s="1">
        <f t="shared" si="3"/>
        <v>4</v>
      </c>
      <c r="L100" s="23">
        <f>'daily graphs'!K100 - I100</f>
        <v>36617</v>
      </c>
      <c r="M100" s="24">
        <f t="shared" si="4"/>
        <v>-1000000</v>
      </c>
      <c r="N100" s="24" t="str">
        <f t="array" ref="N100">IF(M100&gt;0,INDEX(big_daily_table,MATCH(DATE(O$5,$K100,$J100),daily_dates,0),MATCH($B$3,daily_items,0)),NA())</f>
        <v>#N/A</v>
      </c>
      <c r="O100" s="1" t="str">
        <f t="array" ref="O100">IF(M100&lt;0,INDEX(big_daily_table,MATCH(DATE(O$5,$K100,$J100),daily_dates,0),MATCH($B$3,daily_items,0)),NA())</f>
        <v>#N/A</v>
      </c>
      <c r="P100" s="1" t="str">
        <f t="array" ref="P100">IF(ISBLANK(INDEX(big_daily_table,MATCH(DATE(P$5,$K100,$J100),daily_dates,0),MATCH($B$3,daily_items,0))),NA(),INDEX(big_daily_table,MATCH(DATE(P$5,$K100,$J100),daily_dates,0),MATCH($B$3,daily_items,0)))</f>
        <v>#N/A</v>
      </c>
      <c r="Q100" s="1" t="str">
        <f t="array" ref="Q100">IF(ISBLANK(INDEX(big_daily_table,MATCH(DATE(Q$5,$K100,$J100),daily_dates,0),MATCH($B$3,daily_items,0))),NA(),INDEX(big_daily_table,MATCH(DATE(Q$5,$K100,$J100),daily_dates,0),MATCH($B$3,daily_items,0)))</f>
        <v>#N/A</v>
      </c>
      <c r="R100" s="1" t="str">
        <f t="array" ref="R100">IF(ISBLANK(INDEX(big_daily_table,MATCH(DATE(R$5,$K100,$J100),daily_dates,0),MATCH($B$3,daily_items,0))),NA(),INDEX(big_daily_table,MATCH(DATE(R$5,$K100,$J100),daily_dates,0),MATCH($B$3,daily_items,0)))</f>
        <v>#N/A</v>
      </c>
      <c r="S100" s="1" t="str">
        <f t="array" ref="S100">IF(ISBLANK(INDEX(big_daily_table,MATCH(DATE(S$5,$K100,$J100),daily_dates,0),MATCH($B$3,daily_items,0))),NA(),INDEX(big_daily_table,MATCH(DATE(S$5,$K100,$J100),daily_dates,0),MATCH($B$3,daily_items,0)))</f>
        <v>#N/A</v>
      </c>
      <c r="T100" s="1" t="str">
        <f t="array" ref="T100">IF(ISBLANK(INDEX(big_daily_table,MATCH(DATE(T$5,$K100,$J100),daily_dates,0),MATCH($B$3,daily_items,0))),NA(),INDEX(big_daily_table,MATCH(DATE(T$5,$K100,$J100),daily_dates,0),MATCH($B$3,daily_items,0)))</f>
        <v>#N/A</v>
      </c>
      <c r="U100" s="1" t="str">
        <f t="array" ref="U100">IF(ISBLANK(INDEX(big_daily_table,MATCH(DATE(U$5,$K100,$J100),daily_dates,0),MATCH($B$3,daily_items,0))),NA(),INDEX(big_daily_table,MATCH(DATE(U$5,$K100,$J100),daily_dates,0),MATCH($B$3,daily_items,0)))</f>
        <v>#N/A</v>
      </c>
      <c r="V100" s="1" t="str">
        <f t="array" ref="V100">IF(ISBLANK(INDEX(big_daily_table,MATCH(DATE(V$5,$K100,$J100),daily_dates,0),MATCH($B$3,daily_items,0))),NA(),INDEX(big_daily_table,MATCH(DATE(V$5,$K100,$J100),daily_dates,0),MATCH($B$3,daily_items,0)))</f>
        <v>#N/A</v>
      </c>
      <c r="W100" s="1" t="str">
        <f t="array" ref="W100">IF(ISBLANK(INDEX(big_daily_table,MATCH(DATE(W$5,$K100,$J100),daily_dates,0),MATCH($B$3,daily_items,0))),NA(),INDEX(big_daily_table,MATCH(DATE(W$5,$K100,$J100),daily_dates,0),MATCH($B$3,daily_items,0)))</f>
        <v>#N/A</v>
      </c>
      <c r="X100" s="1" t="str">
        <f t="array" ref="X100">IF(ISBLANK(INDEX(big_daily_table,MATCH(DATE(X$5,$K100,$J100),daily_dates,0),MATCH($B$3,daily_items,0))),NA(),INDEX(big_daily_table,MATCH(DATE(X$5,$K100,$J100),daily_dates,0),MATCH($B$3,daily_items,0)))</f>
        <v>#N/A</v>
      </c>
      <c r="Y100" s="1" t="str">
        <f t="array" ref="Y100">IF(ISBLANK(INDEX(big_daily_table,MATCH(DATE(Y$5,$K100,$J100),daily_dates,0),MATCH($B$3,daily_items,0))),NA(),INDEX(big_daily_table,MATCH(DATE(Y$5,$K100,$J100),daily_dates,0),MATCH($B$3,daily_items,0)))</f>
        <v>#N/A</v>
      </c>
      <c r="Z100" s="1" t="str">
        <f t="array" ref="Z100">IF(ISBLANK(INDEX(big_daily_table,MATCH(DATE(Z$5,$K100,$J100),daily_dates,0),MATCH($B$3,daily_items,0))),NA(),INDEX(big_daily_table,MATCH(DATE(Z$5,$K100,$J100),daily_dates,0),MATCH($B$3,daily_items,0)))</f>
        <v>#N/A</v>
      </c>
      <c r="AA100" s="1" t="str">
        <f t="shared" si="5"/>
        <v>#NAME?</v>
      </c>
      <c r="AB100" s="1" t="str">
        <f t="shared" si="6"/>
        <v>#NAME?</v>
      </c>
      <c r="AC100" s="1" t="str">
        <f t="shared" si="7"/>
        <v>#NAME?</v>
      </c>
      <c r="AD100" s="1" t="str">
        <f t="shared" si="8"/>
        <v>#NAME?</v>
      </c>
    </row>
    <row r="101" ht="14.25" customHeight="1">
      <c r="H101" s="1">
        <f t="shared" si="9"/>
        <v>96</v>
      </c>
      <c r="I101" s="1">
        <f>WEEKDAY('daily graphs'!K101)</f>
        <v>4</v>
      </c>
      <c r="J101" s="1">
        <f t="shared" si="2"/>
        <v>1</v>
      </c>
      <c r="K101" s="1">
        <f t="shared" si="3"/>
        <v>4</v>
      </c>
      <c r="L101" s="23">
        <f>'daily graphs'!K101 - I101</f>
        <v>36617</v>
      </c>
      <c r="M101" s="24">
        <f t="shared" si="4"/>
        <v>-1000000</v>
      </c>
      <c r="N101" s="24" t="str">
        <f t="array" ref="N101">IF(M101&gt;0,INDEX(big_daily_table,MATCH(DATE(O$5,$K101,$J101),daily_dates,0),MATCH($B$3,daily_items,0)),NA())</f>
        <v>#N/A</v>
      </c>
      <c r="O101" s="1" t="str">
        <f t="array" ref="O101">IF(M101&lt;0,INDEX(big_daily_table,MATCH(DATE(O$5,$K101,$J101),daily_dates,0),MATCH($B$3,daily_items,0)),NA())</f>
        <v>#N/A</v>
      </c>
      <c r="P101" s="1" t="str">
        <f t="array" ref="P101">IF(ISBLANK(INDEX(big_daily_table,MATCH(DATE(P$5,$K101,$J101),daily_dates,0),MATCH($B$3,daily_items,0))),NA(),INDEX(big_daily_table,MATCH(DATE(P$5,$K101,$J101),daily_dates,0),MATCH($B$3,daily_items,0)))</f>
        <v>#N/A</v>
      </c>
      <c r="Q101" s="1" t="str">
        <f t="array" ref="Q101">IF(ISBLANK(INDEX(big_daily_table,MATCH(DATE(Q$5,$K101,$J101),daily_dates,0),MATCH($B$3,daily_items,0))),NA(),INDEX(big_daily_table,MATCH(DATE(Q$5,$K101,$J101),daily_dates,0),MATCH($B$3,daily_items,0)))</f>
        <v>#N/A</v>
      </c>
      <c r="R101" s="1" t="str">
        <f t="array" ref="R101">IF(ISBLANK(INDEX(big_daily_table,MATCH(DATE(R$5,$K101,$J101),daily_dates,0),MATCH($B$3,daily_items,0))),NA(),INDEX(big_daily_table,MATCH(DATE(R$5,$K101,$J101),daily_dates,0),MATCH($B$3,daily_items,0)))</f>
        <v>#N/A</v>
      </c>
      <c r="S101" s="1" t="str">
        <f t="array" ref="S101">IF(ISBLANK(INDEX(big_daily_table,MATCH(DATE(S$5,$K101,$J101),daily_dates,0),MATCH($B$3,daily_items,0))),NA(),INDEX(big_daily_table,MATCH(DATE(S$5,$K101,$J101),daily_dates,0),MATCH($B$3,daily_items,0)))</f>
        <v>#N/A</v>
      </c>
      <c r="T101" s="1" t="str">
        <f t="array" ref="T101">IF(ISBLANK(INDEX(big_daily_table,MATCH(DATE(T$5,$K101,$J101),daily_dates,0),MATCH($B$3,daily_items,0))),NA(),INDEX(big_daily_table,MATCH(DATE(T$5,$K101,$J101),daily_dates,0),MATCH($B$3,daily_items,0)))</f>
        <v>#N/A</v>
      </c>
      <c r="U101" s="1" t="str">
        <f t="array" ref="U101">IF(ISBLANK(INDEX(big_daily_table,MATCH(DATE(U$5,$K101,$J101),daily_dates,0),MATCH($B$3,daily_items,0))),NA(),INDEX(big_daily_table,MATCH(DATE(U$5,$K101,$J101),daily_dates,0),MATCH($B$3,daily_items,0)))</f>
        <v>#N/A</v>
      </c>
      <c r="V101" s="1" t="str">
        <f t="array" ref="V101">IF(ISBLANK(INDEX(big_daily_table,MATCH(DATE(V$5,$K101,$J101),daily_dates,0),MATCH($B$3,daily_items,0))),NA(),INDEX(big_daily_table,MATCH(DATE(V$5,$K101,$J101),daily_dates,0),MATCH($B$3,daily_items,0)))</f>
        <v>#N/A</v>
      </c>
      <c r="W101" s="1" t="str">
        <f t="array" ref="W101">IF(ISBLANK(INDEX(big_daily_table,MATCH(DATE(W$5,$K101,$J101),daily_dates,0),MATCH($B$3,daily_items,0))),NA(),INDEX(big_daily_table,MATCH(DATE(W$5,$K101,$J101),daily_dates,0),MATCH($B$3,daily_items,0)))</f>
        <v>#N/A</v>
      </c>
      <c r="X101" s="1" t="str">
        <f t="array" ref="X101">IF(ISBLANK(INDEX(big_daily_table,MATCH(DATE(X$5,$K101,$J101),daily_dates,0),MATCH($B$3,daily_items,0))),NA(),INDEX(big_daily_table,MATCH(DATE(X$5,$K101,$J101),daily_dates,0),MATCH($B$3,daily_items,0)))</f>
        <v>#N/A</v>
      </c>
      <c r="Y101" s="1" t="str">
        <f t="array" ref="Y101">IF(ISBLANK(INDEX(big_daily_table,MATCH(DATE(Y$5,$K101,$J101),daily_dates,0),MATCH($B$3,daily_items,0))),NA(),INDEX(big_daily_table,MATCH(DATE(Y$5,$K101,$J101),daily_dates,0),MATCH($B$3,daily_items,0)))</f>
        <v>#N/A</v>
      </c>
      <c r="Z101" s="1" t="str">
        <f t="array" ref="Z101">IF(ISBLANK(INDEX(big_daily_table,MATCH(DATE(Z$5,$K101,$J101),daily_dates,0),MATCH($B$3,daily_items,0))),NA(),INDEX(big_daily_table,MATCH(DATE(Z$5,$K101,$J101),daily_dates,0),MATCH($B$3,daily_items,0)))</f>
        <v>#N/A</v>
      </c>
      <c r="AA101" s="1" t="str">
        <f t="shared" si="5"/>
        <v>#NAME?</v>
      </c>
      <c r="AB101" s="1" t="str">
        <f t="shared" si="6"/>
        <v>#NAME?</v>
      </c>
      <c r="AC101" s="1" t="str">
        <f t="shared" si="7"/>
        <v>#NAME?</v>
      </c>
      <c r="AD101" s="1" t="str">
        <f t="shared" si="8"/>
        <v>#NAME?</v>
      </c>
    </row>
    <row r="102" ht="14.25" customHeight="1">
      <c r="H102" s="1">
        <f t="shared" si="9"/>
        <v>97</v>
      </c>
      <c r="I102" s="1">
        <f>WEEKDAY('daily graphs'!K102)</f>
        <v>5</v>
      </c>
      <c r="J102" s="1">
        <f t="shared" si="2"/>
        <v>1</v>
      </c>
      <c r="K102" s="1">
        <f t="shared" si="3"/>
        <v>4</v>
      </c>
      <c r="L102" s="23">
        <f>'daily graphs'!K102 - I102</f>
        <v>36617</v>
      </c>
      <c r="M102" s="24">
        <f t="shared" si="4"/>
        <v>-1000000</v>
      </c>
      <c r="N102" s="24" t="str">
        <f t="array" ref="N102">IF(M102&gt;0,INDEX(big_daily_table,MATCH(DATE(O$5,$K102,$J102),daily_dates,0),MATCH($B$3,daily_items,0)),NA())</f>
        <v>#N/A</v>
      </c>
      <c r="O102" s="1" t="str">
        <f t="array" ref="O102">IF(M102&lt;0,INDEX(big_daily_table,MATCH(DATE(O$5,$K102,$J102),daily_dates,0),MATCH($B$3,daily_items,0)),NA())</f>
        <v>#N/A</v>
      </c>
      <c r="P102" s="1" t="str">
        <f t="array" ref="P102">IF(ISBLANK(INDEX(big_daily_table,MATCH(DATE(P$5,$K102,$J102),daily_dates,0),MATCH($B$3,daily_items,0))),NA(),INDEX(big_daily_table,MATCH(DATE(P$5,$K102,$J102),daily_dates,0),MATCH($B$3,daily_items,0)))</f>
        <v>#N/A</v>
      </c>
      <c r="Q102" s="1" t="str">
        <f t="array" ref="Q102">IF(ISBLANK(INDEX(big_daily_table,MATCH(DATE(Q$5,$K102,$J102),daily_dates,0),MATCH($B$3,daily_items,0))),NA(),INDEX(big_daily_table,MATCH(DATE(Q$5,$K102,$J102),daily_dates,0),MATCH($B$3,daily_items,0)))</f>
        <v>#N/A</v>
      </c>
      <c r="R102" s="1" t="str">
        <f t="array" ref="R102">IF(ISBLANK(INDEX(big_daily_table,MATCH(DATE(R$5,$K102,$J102),daily_dates,0),MATCH($B$3,daily_items,0))),NA(),INDEX(big_daily_table,MATCH(DATE(R$5,$K102,$J102),daily_dates,0),MATCH($B$3,daily_items,0)))</f>
        <v>#N/A</v>
      </c>
      <c r="S102" s="1" t="str">
        <f t="array" ref="S102">IF(ISBLANK(INDEX(big_daily_table,MATCH(DATE(S$5,$K102,$J102),daily_dates,0),MATCH($B$3,daily_items,0))),NA(),INDEX(big_daily_table,MATCH(DATE(S$5,$K102,$J102),daily_dates,0),MATCH($B$3,daily_items,0)))</f>
        <v>#N/A</v>
      </c>
      <c r="T102" s="1" t="str">
        <f t="array" ref="T102">IF(ISBLANK(INDEX(big_daily_table,MATCH(DATE(T$5,$K102,$J102),daily_dates,0),MATCH($B$3,daily_items,0))),NA(),INDEX(big_daily_table,MATCH(DATE(T$5,$K102,$J102),daily_dates,0),MATCH($B$3,daily_items,0)))</f>
        <v>#N/A</v>
      </c>
      <c r="U102" s="1" t="str">
        <f t="array" ref="U102">IF(ISBLANK(INDEX(big_daily_table,MATCH(DATE(U$5,$K102,$J102),daily_dates,0),MATCH($B$3,daily_items,0))),NA(),INDEX(big_daily_table,MATCH(DATE(U$5,$K102,$J102),daily_dates,0),MATCH($B$3,daily_items,0)))</f>
        <v>#N/A</v>
      </c>
      <c r="V102" s="1" t="str">
        <f t="array" ref="V102">IF(ISBLANK(INDEX(big_daily_table,MATCH(DATE(V$5,$K102,$J102),daily_dates,0),MATCH($B$3,daily_items,0))),NA(),INDEX(big_daily_table,MATCH(DATE(V$5,$K102,$J102),daily_dates,0),MATCH($B$3,daily_items,0)))</f>
        <v>#N/A</v>
      </c>
      <c r="W102" s="1" t="str">
        <f t="array" ref="W102">IF(ISBLANK(INDEX(big_daily_table,MATCH(DATE(W$5,$K102,$J102),daily_dates,0),MATCH($B$3,daily_items,0))),NA(),INDEX(big_daily_table,MATCH(DATE(W$5,$K102,$J102),daily_dates,0),MATCH($B$3,daily_items,0)))</f>
        <v>#N/A</v>
      </c>
      <c r="X102" s="1" t="str">
        <f t="array" ref="X102">IF(ISBLANK(INDEX(big_daily_table,MATCH(DATE(X$5,$K102,$J102),daily_dates,0),MATCH($B$3,daily_items,0))),NA(),INDEX(big_daily_table,MATCH(DATE(X$5,$K102,$J102),daily_dates,0),MATCH($B$3,daily_items,0)))</f>
        <v>#N/A</v>
      </c>
      <c r="Y102" s="1" t="str">
        <f t="array" ref="Y102">IF(ISBLANK(INDEX(big_daily_table,MATCH(DATE(Y$5,$K102,$J102),daily_dates,0),MATCH($B$3,daily_items,0))),NA(),INDEX(big_daily_table,MATCH(DATE(Y$5,$K102,$J102),daily_dates,0),MATCH($B$3,daily_items,0)))</f>
        <v>#N/A</v>
      </c>
      <c r="Z102" s="1" t="str">
        <f t="array" ref="Z102">IF(ISBLANK(INDEX(big_daily_table,MATCH(DATE(Z$5,$K102,$J102),daily_dates,0),MATCH($B$3,daily_items,0))),NA(),INDEX(big_daily_table,MATCH(DATE(Z$5,$K102,$J102),daily_dates,0),MATCH($B$3,daily_items,0)))</f>
        <v>#N/A</v>
      </c>
      <c r="AA102" s="1" t="str">
        <f t="shared" si="5"/>
        <v>#NAME?</v>
      </c>
      <c r="AB102" s="1" t="str">
        <f t="shared" si="6"/>
        <v>#NAME?</v>
      </c>
      <c r="AC102" s="1" t="str">
        <f t="shared" si="7"/>
        <v>#NAME?</v>
      </c>
      <c r="AD102" s="1" t="str">
        <f t="shared" si="8"/>
        <v>#NAME?</v>
      </c>
    </row>
    <row r="103" ht="14.25" customHeight="1">
      <c r="H103" s="1">
        <f t="shared" si="9"/>
        <v>98</v>
      </c>
      <c r="I103" s="1">
        <f>WEEKDAY('daily graphs'!K103)</f>
        <v>6</v>
      </c>
      <c r="J103" s="1">
        <f t="shared" si="2"/>
        <v>1</v>
      </c>
      <c r="K103" s="1">
        <f t="shared" si="3"/>
        <v>4</v>
      </c>
      <c r="L103" s="23">
        <f>'daily graphs'!K103 - I103</f>
        <v>36617</v>
      </c>
      <c r="M103" s="24">
        <f t="shared" si="4"/>
        <v>-1000000</v>
      </c>
      <c r="N103" s="24" t="str">
        <f t="array" ref="N103">IF(M103&gt;0,INDEX(big_daily_table,MATCH(DATE(O$5,$K103,$J103),daily_dates,0),MATCH($B$3,daily_items,0)),NA())</f>
        <v>#N/A</v>
      </c>
      <c r="O103" s="1" t="str">
        <f t="array" ref="O103">IF(M103&lt;0,INDEX(big_daily_table,MATCH(DATE(O$5,$K103,$J103),daily_dates,0),MATCH($B$3,daily_items,0)),NA())</f>
        <v>#N/A</v>
      </c>
      <c r="P103" s="1" t="str">
        <f t="array" ref="P103">IF(ISBLANK(INDEX(big_daily_table,MATCH(DATE(P$5,$K103,$J103),daily_dates,0),MATCH($B$3,daily_items,0))),NA(),INDEX(big_daily_table,MATCH(DATE(P$5,$K103,$J103),daily_dates,0),MATCH($B$3,daily_items,0)))</f>
        <v>#N/A</v>
      </c>
      <c r="Q103" s="1" t="str">
        <f t="array" ref="Q103">IF(ISBLANK(INDEX(big_daily_table,MATCH(DATE(Q$5,$K103,$J103),daily_dates,0),MATCH($B$3,daily_items,0))),NA(),INDEX(big_daily_table,MATCH(DATE(Q$5,$K103,$J103),daily_dates,0),MATCH($B$3,daily_items,0)))</f>
        <v>#N/A</v>
      </c>
      <c r="R103" s="1" t="str">
        <f t="array" ref="R103">IF(ISBLANK(INDEX(big_daily_table,MATCH(DATE(R$5,$K103,$J103),daily_dates,0),MATCH($B$3,daily_items,0))),NA(),INDEX(big_daily_table,MATCH(DATE(R$5,$K103,$J103),daily_dates,0),MATCH($B$3,daily_items,0)))</f>
        <v>#N/A</v>
      </c>
      <c r="S103" s="1" t="str">
        <f t="array" ref="S103">IF(ISBLANK(INDEX(big_daily_table,MATCH(DATE(S$5,$K103,$J103),daily_dates,0),MATCH($B$3,daily_items,0))),NA(),INDEX(big_daily_table,MATCH(DATE(S$5,$K103,$J103),daily_dates,0),MATCH($B$3,daily_items,0)))</f>
        <v>#N/A</v>
      </c>
      <c r="T103" s="1" t="str">
        <f t="array" ref="T103">IF(ISBLANK(INDEX(big_daily_table,MATCH(DATE(T$5,$K103,$J103),daily_dates,0),MATCH($B$3,daily_items,0))),NA(),INDEX(big_daily_table,MATCH(DATE(T$5,$K103,$J103),daily_dates,0),MATCH($B$3,daily_items,0)))</f>
        <v>#N/A</v>
      </c>
      <c r="U103" s="1" t="str">
        <f t="array" ref="U103">IF(ISBLANK(INDEX(big_daily_table,MATCH(DATE(U$5,$K103,$J103),daily_dates,0),MATCH($B$3,daily_items,0))),NA(),INDEX(big_daily_table,MATCH(DATE(U$5,$K103,$J103),daily_dates,0),MATCH($B$3,daily_items,0)))</f>
        <v>#N/A</v>
      </c>
      <c r="V103" s="1" t="str">
        <f t="array" ref="V103">IF(ISBLANK(INDEX(big_daily_table,MATCH(DATE(V$5,$K103,$J103),daily_dates,0),MATCH($B$3,daily_items,0))),NA(),INDEX(big_daily_table,MATCH(DATE(V$5,$K103,$J103),daily_dates,0),MATCH($B$3,daily_items,0)))</f>
        <v>#N/A</v>
      </c>
      <c r="W103" s="1" t="str">
        <f t="array" ref="W103">IF(ISBLANK(INDEX(big_daily_table,MATCH(DATE(W$5,$K103,$J103),daily_dates,0),MATCH($B$3,daily_items,0))),NA(),INDEX(big_daily_table,MATCH(DATE(W$5,$K103,$J103),daily_dates,0),MATCH($B$3,daily_items,0)))</f>
        <v>#N/A</v>
      </c>
      <c r="X103" s="1" t="str">
        <f t="array" ref="X103">IF(ISBLANK(INDEX(big_daily_table,MATCH(DATE(X$5,$K103,$J103),daily_dates,0),MATCH($B$3,daily_items,0))),NA(),INDEX(big_daily_table,MATCH(DATE(X$5,$K103,$J103),daily_dates,0),MATCH($B$3,daily_items,0)))</f>
        <v>#N/A</v>
      </c>
      <c r="Y103" s="1" t="str">
        <f t="array" ref="Y103">IF(ISBLANK(INDEX(big_daily_table,MATCH(DATE(Y$5,$K103,$J103),daily_dates,0),MATCH($B$3,daily_items,0))),NA(),INDEX(big_daily_table,MATCH(DATE(Y$5,$K103,$J103),daily_dates,0),MATCH($B$3,daily_items,0)))</f>
        <v>#N/A</v>
      </c>
      <c r="Z103" s="1" t="str">
        <f t="array" ref="Z103">IF(ISBLANK(INDEX(big_daily_table,MATCH(DATE(Z$5,$K103,$J103),daily_dates,0),MATCH($B$3,daily_items,0))),NA(),INDEX(big_daily_table,MATCH(DATE(Z$5,$K103,$J103),daily_dates,0),MATCH($B$3,daily_items,0)))</f>
        <v>#N/A</v>
      </c>
      <c r="AA103" s="1" t="str">
        <f t="shared" si="5"/>
        <v>#NAME?</v>
      </c>
      <c r="AB103" s="1" t="str">
        <f t="shared" si="6"/>
        <v>#NAME?</v>
      </c>
      <c r="AC103" s="1" t="str">
        <f t="shared" si="7"/>
        <v>#NAME?</v>
      </c>
      <c r="AD103" s="1" t="str">
        <f t="shared" si="8"/>
        <v>#NAME?</v>
      </c>
    </row>
    <row r="104" ht="14.25" customHeight="1">
      <c r="H104" s="1">
        <f t="shared" si="9"/>
        <v>99</v>
      </c>
      <c r="I104" s="1">
        <f>WEEKDAY('daily graphs'!K104)</f>
        <v>7</v>
      </c>
      <c r="J104" s="1">
        <f t="shared" si="2"/>
        <v>1</v>
      </c>
      <c r="K104" s="1">
        <f t="shared" si="3"/>
        <v>4</v>
      </c>
      <c r="L104" s="23">
        <f>'daily graphs'!K104 - I104</f>
        <v>36617</v>
      </c>
      <c r="M104" s="24">
        <f t="shared" si="4"/>
        <v>-1000000</v>
      </c>
      <c r="N104" s="24" t="str">
        <f t="array" ref="N104">IF(M104&gt;0,INDEX(big_daily_table,MATCH(DATE(O$5,$K104,$J104),daily_dates,0),MATCH($B$3,daily_items,0)),NA())</f>
        <v>#N/A</v>
      </c>
      <c r="O104" s="1" t="str">
        <f t="array" ref="O104">IF(M104&lt;0,INDEX(big_daily_table,MATCH(DATE(O$5,$K104,$J104),daily_dates,0),MATCH($B$3,daily_items,0)),NA())</f>
        <v>#N/A</v>
      </c>
      <c r="P104" s="1" t="str">
        <f t="array" ref="P104">IF(ISBLANK(INDEX(big_daily_table,MATCH(DATE(P$5,$K104,$J104),daily_dates,0),MATCH($B$3,daily_items,0))),NA(),INDEX(big_daily_table,MATCH(DATE(P$5,$K104,$J104),daily_dates,0),MATCH($B$3,daily_items,0)))</f>
        <v>#N/A</v>
      </c>
      <c r="Q104" s="1" t="str">
        <f t="array" ref="Q104">IF(ISBLANK(INDEX(big_daily_table,MATCH(DATE(Q$5,$K104,$J104),daily_dates,0),MATCH($B$3,daily_items,0))),NA(),INDEX(big_daily_table,MATCH(DATE(Q$5,$K104,$J104),daily_dates,0),MATCH($B$3,daily_items,0)))</f>
        <v>#N/A</v>
      </c>
      <c r="R104" s="1" t="str">
        <f t="array" ref="R104">IF(ISBLANK(INDEX(big_daily_table,MATCH(DATE(R$5,$K104,$J104),daily_dates,0),MATCH($B$3,daily_items,0))),NA(),INDEX(big_daily_table,MATCH(DATE(R$5,$K104,$J104),daily_dates,0),MATCH($B$3,daily_items,0)))</f>
        <v>#N/A</v>
      </c>
      <c r="S104" s="1" t="str">
        <f t="array" ref="S104">IF(ISBLANK(INDEX(big_daily_table,MATCH(DATE(S$5,$K104,$J104),daily_dates,0),MATCH($B$3,daily_items,0))),NA(),INDEX(big_daily_table,MATCH(DATE(S$5,$K104,$J104),daily_dates,0),MATCH($B$3,daily_items,0)))</f>
        <v>#N/A</v>
      </c>
      <c r="T104" s="1" t="str">
        <f t="array" ref="T104">IF(ISBLANK(INDEX(big_daily_table,MATCH(DATE(T$5,$K104,$J104),daily_dates,0),MATCH($B$3,daily_items,0))),NA(),INDEX(big_daily_table,MATCH(DATE(T$5,$K104,$J104),daily_dates,0),MATCH($B$3,daily_items,0)))</f>
        <v>#N/A</v>
      </c>
      <c r="U104" s="1" t="str">
        <f t="array" ref="U104">IF(ISBLANK(INDEX(big_daily_table,MATCH(DATE(U$5,$K104,$J104),daily_dates,0),MATCH($B$3,daily_items,0))),NA(),INDEX(big_daily_table,MATCH(DATE(U$5,$K104,$J104),daily_dates,0),MATCH($B$3,daily_items,0)))</f>
        <v>#N/A</v>
      </c>
      <c r="V104" s="1" t="str">
        <f t="array" ref="V104">IF(ISBLANK(INDEX(big_daily_table,MATCH(DATE(V$5,$K104,$J104),daily_dates,0),MATCH($B$3,daily_items,0))),NA(),INDEX(big_daily_table,MATCH(DATE(V$5,$K104,$J104),daily_dates,0),MATCH($B$3,daily_items,0)))</f>
        <v>#N/A</v>
      </c>
      <c r="W104" s="1" t="str">
        <f t="array" ref="W104">IF(ISBLANK(INDEX(big_daily_table,MATCH(DATE(W$5,$K104,$J104),daily_dates,0),MATCH($B$3,daily_items,0))),NA(),INDEX(big_daily_table,MATCH(DATE(W$5,$K104,$J104),daily_dates,0),MATCH($B$3,daily_items,0)))</f>
        <v>#N/A</v>
      </c>
      <c r="X104" s="1" t="str">
        <f t="array" ref="X104">IF(ISBLANK(INDEX(big_daily_table,MATCH(DATE(X$5,$K104,$J104),daily_dates,0),MATCH($B$3,daily_items,0))),NA(),INDEX(big_daily_table,MATCH(DATE(X$5,$K104,$J104),daily_dates,0),MATCH($B$3,daily_items,0)))</f>
        <v>#N/A</v>
      </c>
      <c r="Y104" s="1" t="str">
        <f t="array" ref="Y104">IF(ISBLANK(INDEX(big_daily_table,MATCH(DATE(Y$5,$K104,$J104),daily_dates,0),MATCH($B$3,daily_items,0))),NA(),INDEX(big_daily_table,MATCH(DATE(Y$5,$K104,$J104),daily_dates,0),MATCH($B$3,daily_items,0)))</f>
        <v>#N/A</v>
      </c>
      <c r="Z104" s="1" t="str">
        <f t="array" ref="Z104">IF(ISBLANK(INDEX(big_daily_table,MATCH(DATE(Z$5,$K104,$J104),daily_dates,0),MATCH($B$3,daily_items,0))),NA(),INDEX(big_daily_table,MATCH(DATE(Z$5,$K104,$J104),daily_dates,0),MATCH($B$3,daily_items,0)))</f>
        <v>#N/A</v>
      </c>
      <c r="AA104" s="1" t="str">
        <f t="shared" si="5"/>
        <v>#NAME?</v>
      </c>
      <c r="AB104" s="1" t="str">
        <f t="shared" si="6"/>
        <v>#NAME?</v>
      </c>
      <c r="AC104" s="1" t="str">
        <f t="shared" si="7"/>
        <v>#NAME?</v>
      </c>
      <c r="AD104" s="1" t="str">
        <f t="shared" si="8"/>
        <v>#NAME?</v>
      </c>
    </row>
    <row r="105" ht="14.25" customHeight="1">
      <c r="H105" s="1">
        <f t="shared" si="9"/>
        <v>100</v>
      </c>
      <c r="I105" s="1">
        <f>WEEKDAY('daily graphs'!K105)</f>
        <v>1</v>
      </c>
      <c r="J105" s="1">
        <f t="shared" si="2"/>
        <v>8</v>
      </c>
      <c r="K105" s="1">
        <f t="shared" si="3"/>
        <v>4</v>
      </c>
      <c r="L105" s="23">
        <f>'daily graphs'!K105 - I105</f>
        <v>36624</v>
      </c>
      <c r="M105" s="24">
        <f t="shared" si="4"/>
        <v>-1000000</v>
      </c>
      <c r="N105" s="24" t="str">
        <f t="array" ref="N105">IF(M105&gt;0,INDEX(big_daily_table,MATCH(DATE(O$5,$K105,$J105),daily_dates,0),MATCH($B$3,daily_items,0)),NA())</f>
        <v>#N/A</v>
      </c>
      <c r="O105" s="1" t="str">
        <f t="array" ref="O105">IF(M105&lt;0,INDEX(big_daily_table,MATCH(DATE(O$5,$K105,$J105),daily_dates,0),MATCH($B$3,daily_items,0)),NA())</f>
        <v>#N/A</v>
      </c>
      <c r="P105" s="1" t="str">
        <f t="array" ref="P105">IF(ISBLANK(INDEX(big_daily_table,MATCH(DATE(P$5,$K105,$J105),daily_dates,0),MATCH($B$3,daily_items,0))),NA(),INDEX(big_daily_table,MATCH(DATE(P$5,$K105,$J105),daily_dates,0),MATCH($B$3,daily_items,0)))</f>
        <v>#N/A</v>
      </c>
      <c r="Q105" s="1" t="str">
        <f t="array" ref="Q105">IF(ISBLANK(INDEX(big_daily_table,MATCH(DATE(Q$5,$K105,$J105),daily_dates,0),MATCH($B$3,daily_items,0))),NA(),INDEX(big_daily_table,MATCH(DATE(Q$5,$K105,$J105),daily_dates,0),MATCH($B$3,daily_items,0)))</f>
        <v>#N/A</v>
      </c>
      <c r="R105" s="1" t="str">
        <f t="array" ref="R105">IF(ISBLANK(INDEX(big_daily_table,MATCH(DATE(R$5,$K105,$J105),daily_dates,0),MATCH($B$3,daily_items,0))),NA(),INDEX(big_daily_table,MATCH(DATE(R$5,$K105,$J105),daily_dates,0),MATCH($B$3,daily_items,0)))</f>
        <v>#N/A</v>
      </c>
      <c r="S105" s="1" t="str">
        <f t="array" ref="S105">IF(ISBLANK(INDEX(big_daily_table,MATCH(DATE(S$5,$K105,$J105),daily_dates,0),MATCH($B$3,daily_items,0))),NA(),INDEX(big_daily_table,MATCH(DATE(S$5,$K105,$J105),daily_dates,0),MATCH($B$3,daily_items,0)))</f>
        <v>#N/A</v>
      </c>
      <c r="T105" s="1" t="str">
        <f t="array" ref="T105">IF(ISBLANK(INDEX(big_daily_table,MATCH(DATE(T$5,$K105,$J105),daily_dates,0),MATCH($B$3,daily_items,0))),NA(),INDEX(big_daily_table,MATCH(DATE(T$5,$K105,$J105),daily_dates,0),MATCH($B$3,daily_items,0)))</f>
        <v>#N/A</v>
      </c>
      <c r="U105" s="1" t="str">
        <f t="array" ref="U105">IF(ISBLANK(INDEX(big_daily_table,MATCH(DATE(U$5,$K105,$J105),daily_dates,0),MATCH($B$3,daily_items,0))),NA(),INDEX(big_daily_table,MATCH(DATE(U$5,$K105,$J105),daily_dates,0),MATCH($B$3,daily_items,0)))</f>
        <v>#N/A</v>
      </c>
      <c r="V105" s="1" t="str">
        <f t="array" ref="V105">IF(ISBLANK(INDEX(big_daily_table,MATCH(DATE(V$5,$K105,$J105),daily_dates,0),MATCH($B$3,daily_items,0))),NA(),INDEX(big_daily_table,MATCH(DATE(V$5,$K105,$J105),daily_dates,0),MATCH($B$3,daily_items,0)))</f>
        <v>#N/A</v>
      </c>
      <c r="W105" s="1" t="str">
        <f t="array" ref="W105">IF(ISBLANK(INDEX(big_daily_table,MATCH(DATE(W$5,$K105,$J105),daily_dates,0),MATCH($B$3,daily_items,0))),NA(),INDEX(big_daily_table,MATCH(DATE(W$5,$K105,$J105),daily_dates,0),MATCH($B$3,daily_items,0)))</f>
        <v>#N/A</v>
      </c>
      <c r="X105" s="1" t="str">
        <f t="array" ref="X105">IF(ISBLANK(INDEX(big_daily_table,MATCH(DATE(X$5,$K105,$J105),daily_dates,0),MATCH($B$3,daily_items,0))),NA(),INDEX(big_daily_table,MATCH(DATE(X$5,$K105,$J105),daily_dates,0),MATCH($B$3,daily_items,0)))</f>
        <v>#N/A</v>
      </c>
      <c r="Y105" s="1" t="str">
        <f t="array" ref="Y105">IF(ISBLANK(INDEX(big_daily_table,MATCH(DATE(Y$5,$K105,$J105),daily_dates,0),MATCH($B$3,daily_items,0))),NA(),INDEX(big_daily_table,MATCH(DATE(Y$5,$K105,$J105),daily_dates,0),MATCH($B$3,daily_items,0)))</f>
        <v>#N/A</v>
      </c>
      <c r="Z105" s="1" t="str">
        <f t="array" ref="Z105">IF(ISBLANK(INDEX(big_daily_table,MATCH(DATE(Z$5,$K105,$J105),daily_dates,0),MATCH($B$3,daily_items,0))),NA(),INDEX(big_daily_table,MATCH(DATE(Z$5,$K105,$J105),daily_dates,0),MATCH($B$3,daily_items,0)))</f>
        <v>#N/A</v>
      </c>
      <c r="AA105" s="1" t="str">
        <f t="shared" si="5"/>
        <v>#NAME?</v>
      </c>
      <c r="AB105" s="1" t="str">
        <f t="shared" si="6"/>
        <v>#NAME?</v>
      </c>
      <c r="AC105" s="1" t="str">
        <f t="shared" si="7"/>
        <v>#NAME?</v>
      </c>
      <c r="AD105" s="1" t="str">
        <f t="shared" si="8"/>
        <v>#NAME?</v>
      </c>
    </row>
    <row r="106" ht="14.25" customHeight="1">
      <c r="H106" s="1">
        <f t="shared" si="9"/>
        <v>101</v>
      </c>
      <c r="I106" s="1">
        <f>WEEKDAY('daily graphs'!K106)</f>
        <v>2</v>
      </c>
      <c r="J106" s="1">
        <f t="shared" si="2"/>
        <v>8</v>
      </c>
      <c r="K106" s="1">
        <f t="shared" si="3"/>
        <v>4</v>
      </c>
      <c r="L106" s="23">
        <f>'daily graphs'!K106 - I106</f>
        <v>36624</v>
      </c>
      <c r="M106" s="24">
        <f t="shared" si="4"/>
        <v>-1000000</v>
      </c>
      <c r="N106" s="24" t="str">
        <f t="array" ref="N106">IF(M106&gt;0,INDEX(big_daily_table,MATCH(DATE(O$5,$K106,$J106),daily_dates,0),MATCH($B$3,daily_items,0)),NA())</f>
        <v>#N/A</v>
      </c>
      <c r="O106" s="1" t="str">
        <f t="array" ref="O106">IF(M106&lt;0,INDEX(big_daily_table,MATCH(DATE(O$5,$K106,$J106),daily_dates,0),MATCH($B$3,daily_items,0)),NA())</f>
        <v>#N/A</v>
      </c>
      <c r="P106" s="1" t="str">
        <f t="array" ref="P106">IF(ISBLANK(INDEX(big_daily_table,MATCH(DATE(P$5,$K106,$J106),daily_dates,0),MATCH($B$3,daily_items,0))),NA(),INDEX(big_daily_table,MATCH(DATE(P$5,$K106,$J106),daily_dates,0),MATCH($B$3,daily_items,0)))</f>
        <v>#N/A</v>
      </c>
      <c r="Q106" s="1" t="str">
        <f t="array" ref="Q106">IF(ISBLANK(INDEX(big_daily_table,MATCH(DATE(Q$5,$K106,$J106),daily_dates,0),MATCH($B$3,daily_items,0))),NA(),INDEX(big_daily_table,MATCH(DATE(Q$5,$K106,$J106),daily_dates,0),MATCH($B$3,daily_items,0)))</f>
        <v>#N/A</v>
      </c>
      <c r="R106" s="1" t="str">
        <f t="array" ref="R106">IF(ISBLANK(INDEX(big_daily_table,MATCH(DATE(R$5,$K106,$J106),daily_dates,0),MATCH($B$3,daily_items,0))),NA(),INDEX(big_daily_table,MATCH(DATE(R$5,$K106,$J106),daily_dates,0),MATCH($B$3,daily_items,0)))</f>
        <v>#N/A</v>
      </c>
      <c r="S106" s="1" t="str">
        <f t="array" ref="S106">IF(ISBLANK(INDEX(big_daily_table,MATCH(DATE(S$5,$K106,$J106),daily_dates,0),MATCH($B$3,daily_items,0))),NA(),INDEX(big_daily_table,MATCH(DATE(S$5,$K106,$J106),daily_dates,0),MATCH($B$3,daily_items,0)))</f>
        <v>#N/A</v>
      </c>
      <c r="T106" s="1" t="str">
        <f t="array" ref="T106">IF(ISBLANK(INDEX(big_daily_table,MATCH(DATE(T$5,$K106,$J106),daily_dates,0),MATCH($B$3,daily_items,0))),NA(),INDEX(big_daily_table,MATCH(DATE(T$5,$K106,$J106),daily_dates,0),MATCH($B$3,daily_items,0)))</f>
        <v>#N/A</v>
      </c>
      <c r="U106" s="1" t="str">
        <f t="array" ref="U106">IF(ISBLANK(INDEX(big_daily_table,MATCH(DATE(U$5,$K106,$J106),daily_dates,0),MATCH($B$3,daily_items,0))),NA(),INDEX(big_daily_table,MATCH(DATE(U$5,$K106,$J106),daily_dates,0),MATCH($B$3,daily_items,0)))</f>
        <v>#N/A</v>
      </c>
      <c r="V106" s="1" t="str">
        <f t="array" ref="V106">IF(ISBLANK(INDEX(big_daily_table,MATCH(DATE(V$5,$K106,$J106),daily_dates,0),MATCH($B$3,daily_items,0))),NA(),INDEX(big_daily_table,MATCH(DATE(V$5,$K106,$J106),daily_dates,0),MATCH($B$3,daily_items,0)))</f>
        <v>#N/A</v>
      </c>
      <c r="W106" s="1" t="str">
        <f t="array" ref="W106">IF(ISBLANK(INDEX(big_daily_table,MATCH(DATE(W$5,$K106,$J106),daily_dates,0),MATCH($B$3,daily_items,0))),NA(),INDEX(big_daily_table,MATCH(DATE(W$5,$K106,$J106),daily_dates,0),MATCH($B$3,daily_items,0)))</f>
        <v>#N/A</v>
      </c>
      <c r="X106" s="1" t="str">
        <f t="array" ref="X106">IF(ISBLANK(INDEX(big_daily_table,MATCH(DATE(X$5,$K106,$J106),daily_dates,0),MATCH($B$3,daily_items,0))),NA(),INDEX(big_daily_table,MATCH(DATE(X$5,$K106,$J106),daily_dates,0),MATCH($B$3,daily_items,0)))</f>
        <v>#N/A</v>
      </c>
      <c r="Y106" s="1" t="str">
        <f t="array" ref="Y106">IF(ISBLANK(INDEX(big_daily_table,MATCH(DATE(Y$5,$K106,$J106),daily_dates,0),MATCH($B$3,daily_items,0))),NA(),INDEX(big_daily_table,MATCH(DATE(Y$5,$K106,$J106),daily_dates,0),MATCH($B$3,daily_items,0)))</f>
        <v>#N/A</v>
      </c>
      <c r="Z106" s="1" t="str">
        <f t="array" ref="Z106">IF(ISBLANK(INDEX(big_daily_table,MATCH(DATE(Z$5,$K106,$J106),daily_dates,0),MATCH($B$3,daily_items,0))),NA(),INDEX(big_daily_table,MATCH(DATE(Z$5,$K106,$J106),daily_dates,0),MATCH($B$3,daily_items,0)))</f>
        <v>#N/A</v>
      </c>
      <c r="AA106" s="1" t="str">
        <f t="shared" si="5"/>
        <v>#NAME?</v>
      </c>
      <c r="AB106" s="1" t="str">
        <f t="shared" si="6"/>
        <v>#NAME?</v>
      </c>
      <c r="AC106" s="1" t="str">
        <f t="shared" si="7"/>
        <v>#NAME?</v>
      </c>
      <c r="AD106" s="1" t="str">
        <f t="shared" si="8"/>
        <v>#NAME?</v>
      </c>
    </row>
    <row r="107" ht="14.25" customHeight="1">
      <c r="H107" s="1">
        <f t="shared" si="9"/>
        <v>102</v>
      </c>
      <c r="I107" s="1">
        <f>WEEKDAY('daily graphs'!K107)</f>
        <v>3</v>
      </c>
      <c r="J107" s="1">
        <f t="shared" si="2"/>
        <v>8</v>
      </c>
      <c r="K107" s="1">
        <f t="shared" si="3"/>
        <v>4</v>
      </c>
      <c r="L107" s="23">
        <f>'daily graphs'!K107 - I107</f>
        <v>36624</v>
      </c>
      <c r="M107" s="24">
        <f t="shared" si="4"/>
        <v>-1000000</v>
      </c>
      <c r="N107" s="24" t="str">
        <f t="array" ref="N107">IF(M107&gt;0,INDEX(big_daily_table,MATCH(DATE(O$5,$K107,$J107),daily_dates,0),MATCH($B$3,daily_items,0)),NA())</f>
        <v>#N/A</v>
      </c>
      <c r="O107" s="1" t="str">
        <f t="array" ref="O107">IF(M107&lt;0,INDEX(big_daily_table,MATCH(DATE(O$5,$K107,$J107),daily_dates,0),MATCH($B$3,daily_items,0)),NA())</f>
        <v>#N/A</v>
      </c>
      <c r="P107" s="1" t="str">
        <f t="array" ref="P107">IF(ISBLANK(INDEX(big_daily_table,MATCH(DATE(P$5,$K107,$J107),daily_dates,0),MATCH($B$3,daily_items,0))),NA(),INDEX(big_daily_table,MATCH(DATE(P$5,$K107,$J107),daily_dates,0),MATCH($B$3,daily_items,0)))</f>
        <v>#N/A</v>
      </c>
      <c r="Q107" s="1" t="str">
        <f t="array" ref="Q107">IF(ISBLANK(INDEX(big_daily_table,MATCH(DATE(Q$5,$K107,$J107),daily_dates,0),MATCH($B$3,daily_items,0))),NA(),INDEX(big_daily_table,MATCH(DATE(Q$5,$K107,$J107),daily_dates,0),MATCH($B$3,daily_items,0)))</f>
        <v>#N/A</v>
      </c>
      <c r="R107" s="1" t="str">
        <f t="array" ref="R107">IF(ISBLANK(INDEX(big_daily_table,MATCH(DATE(R$5,$K107,$J107),daily_dates,0),MATCH($B$3,daily_items,0))),NA(),INDEX(big_daily_table,MATCH(DATE(R$5,$K107,$J107),daily_dates,0),MATCH($B$3,daily_items,0)))</f>
        <v>#N/A</v>
      </c>
      <c r="S107" s="1" t="str">
        <f t="array" ref="S107">IF(ISBLANK(INDEX(big_daily_table,MATCH(DATE(S$5,$K107,$J107),daily_dates,0),MATCH($B$3,daily_items,0))),NA(),INDEX(big_daily_table,MATCH(DATE(S$5,$K107,$J107),daily_dates,0),MATCH($B$3,daily_items,0)))</f>
        <v>#N/A</v>
      </c>
      <c r="T107" s="1" t="str">
        <f t="array" ref="T107">IF(ISBLANK(INDEX(big_daily_table,MATCH(DATE(T$5,$K107,$J107),daily_dates,0),MATCH($B$3,daily_items,0))),NA(),INDEX(big_daily_table,MATCH(DATE(T$5,$K107,$J107),daily_dates,0),MATCH($B$3,daily_items,0)))</f>
        <v>#N/A</v>
      </c>
      <c r="U107" s="1" t="str">
        <f t="array" ref="U107">IF(ISBLANK(INDEX(big_daily_table,MATCH(DATE(U$5,$K107,$J107),daily_dates,0),MATCH($B$3,daily_items,0))),NA(),INDEX(big_daily_table,MATCH(DATE(U$5,$K107,$J107),daily_dates,0),MATCH($B$3,daily_items,0)))</f>
        <v>#N/A</v>
      </c>
      <c r="V107" s="1" t="str">
        <f t="array" ref="V107">IF(ISBLANK(INDEX(big_daily_table,MATCH(DATE(V$5,$K107,$J107),daily_dates,0),MATCH($B$3,daily_items,0))),NA(),INDEX(big_daily_table,MATCH(DATE(V$5,$K107,$J107),daily_dates,0),MATCH($B$3,daily_items,0)))</f>
        <v>#N/A</v>
      </c>
      <c r="W107" s="1" t="str">
        <f t="array" ref="W107">IF(ISBLANK(INDEX(big_daily_table,MATCH(DATE(W$5,$K107,$J107),daily_dates,0),MATCH($B$3,daily_items,0))),NA(),INDEX(big_daily_table,MATCH(DATE(W$5,$K107,$J107),daily_dates,0),MATCH($B$3,daily_items,0)))</f>
        <v>#N/A</v>
      </c>
      <c r="X107" s="1" t="str">
        <f t="array" ref="X107">IF(ISBLANK(INDEX(big_daily_table,MATCH(DATE(X$5,$K107,$J107),daily_dates,0),MATCH($B$3,daily_items,0))),NA(),INDEX(big_daily_table,MATCH(DATE(X$5,$K107,$J107),daily_dates,0),MATCH($B$3,daily_items,0)))</f>
        <v>#N/A</v>
      </c>
      <c r="Y107" s="1" t="str">
        <f t="array" ref="Y107">IF(ISBLANK(INDEX(big_daily_table,MATCH(DATE(Y$5,$K107,$J107),daily_dates,0),MATCH($B$3,daily_items,0))),NA(),INDEX(big_daily_table,MATCH(DATE(Y$5,$K107,$J107),daily_dates,0),MATCH($B$3,daily_items,0)))</f>
        <v>#N/A</v>
      </c>
      <c r="Z107" s="1" t="str">
        <f t="array" ref="Z107">IF(ISBLANK(INDEX(big_daily_table,MATCH(DATE(Z$5,$K107,$J107),daily_dates,0),MATCH($B$3,daily_items,0))),NA(),INDEX(big_daily_table,MATCH(DATE(Z$5,$K107,$J107),daily_dates,0),MATCH($B$3,daily_items,0)))</f>
        <v>#N/A</v>
      </c>
      <c r="AA107" s="1" t="str">
        <f t="shared" si="5"/>
        <v>#NAME?</v>
      </c>
      <c r="AB107" s="1" t="str">
        <f t="shared" si="6"/>
        <v>#NAME?</v>
      </c>
      <c r="AC107" s="1" t="str">
        <f t="shared" si="7"/>
        <v>#NAME?</v>
      </c>
      <c r="AD107" s="1" t="str">
        <f t="shared" si="8"/>
        <v>#NAME?</v>
      </c>
    </row>
    <row r="108" ht="14.25" customHeight="1">
      <c r="H108" s="1">
        <f t="shared" si="9"/>
        <v>103</v>
      </c>
      <c r="I108" s="1">
        <f>WEEKDAY('daily graphs'!K108)</f>
        <v>4</v>
      </c>
      <c r="J108" s="1">
        <f t="shared" si="2"/>
        <v>8</v>
      </c>
      <c r="K108" s="1">
        <f t="shared" si="3"/>
        <v>4</v>
      </c>
      <c r="L108" s="23">
        <f>'daily graphs'!K108 - I108</f>
        <v>36624</v>
      </c>
      <c r="M108" s="24">
        <f t="shared" si="4"/>
        <v>-1000000</v>
      </c>
      <c r="N108" s="24" t="str">
        <f t="array" ref="N108">IF(M108&gt;0,INDEX(big_daily_table,MATCH(DATE(O$5,$K108,$J108),daily_dates,0),MATCH($B$3,daily_items,0)),NA())</f>
        <v>#N/A</v>
      </c>
      <c r="O108" s="1" t="str">
        <f t="array" ref="O108">IF(M108&lt;0,INDEX(big_daily_table,MATCH(DATE(O$5,$K108,$J108),daily_dates,0),MATCH($B$3,daily_items,0)),NA())</f>
        <v>#N/A</v>
      </c>
      <c r="P108" s="1" t="str">
        <f t="array" ref="P108">IF(ISBLANK(INDEX(big_daily_table,MATCH(DATE(P$5,$K108,$J108),daily_dates,0),MATCH($B$3,daily_items,0))),NA(),INDEX(big_daily_table,MATCH(DATE(P$5,$K108,$J108),daily_dates,0),MATCH($B$3,daily_items,0)))</f>
        <v>#N/A</v>
      </c>
      <c r="Q108" s="1" t="str">
        <f t="array" ref="Q108">IF(ISBLANK(INDEX(big_daily_table,MATCH(DATE(Q$5,$K108,$J108),daily_dates,0),MATCH($B$3,daily_items,0))),NA(),INDEX(big_daily_table,MATCH(DATE(Q$5,$K108,$J108),daily_dates,0),MATCH($B$3,daily_items,0)))</f>
        <v>#N/A</v>
      </c>
      <c r="R108" s="1" t="str">
        <f t="array" ref="R108">IF(ISBLANK(INDEX(big_daily_table,MATCH(DATE(R$5,$K108,$J108),daily_dates,0),MATCH($B$3,daily_items,0))),NA(),INDEX(big_daily_table,MATCH(DATE(R$5,$K108,$J108),daily_dates,0),MATCH($B$3,daily_items,0)))</f>
        <v>#N/A</v>
      </c>
      <c r="S108" s="1" t="str">
        <f t="array" ref="S108">IF(ISBLANK(INDEX(big_daily_table,MATCH(DATE(S$5,$K108,$J108),daily_dates,0),MATCH($B$3,daily_items,0))),NA(),INDEX(big_daily_table,MATCH(DATE(S$5,$K108,$J108),daily_dates,0),MATCH($B$3,daily_items,0)))</f>
        <v>#N/A</v>
      </c>
      <c r="T108" s="1" t="str">
        <f t="array" ref="T108">IF(ISBLANK(INDEX(big_daily_table,MATCH(DATE(T$5,$K108,$J108),daily_dates,0),MATCH($B$3,daily_items,0))),NA(),INDEX(big_daily_table,MATCH(DATE(T$5,$K108,$J108),daily_dates,0),MATCH($B$3,daily_items,0)))</f>
        <v>#N/A</v>
      </c>
      <c r="U108" s="1" t="str">
        <f t="array" ref="U108">IF(ISBLANK(INDEX(big_daily_table,MATCH(DATE(U$5,$K108,$J108),daily_dates,0),MATCH($B$3,daily_items,0))),NA(),INDEX(big_daily_table,MATCH(DATE(U$5,$K108,$J108),daily_dates,0),MATCH($B$3,daily_items,0)))</f>
        <v>#N/A</v>
      </c>
      <c r="V108" s="1" t="str">
        <f t="array" ref="V108">IF(ISBLANK(INDEX(big_daily_table,MATCH(DATE(V$5,$K108,$J108),daily_dates,0),MATCH($B$3,daily_items,0))),NA(),INDEX(big_daily_table,MATCH(DATE(V$5,$K108,$J108),daily_dates,0),MATCH($B$3,daily_items,0)))</f>
        <v>#N/A</v>
      </c>
      <c r="W108" s="1" t="str">
        <f t="array" ref="W108">IF(ISBLANK(INDEX(big_daily_table,MATCH(DATE(W$5,$K108,$J108),daily_dates,0),MATCH($B$3,daily_items,0))),NA(),INDEX(big_daily_table,MATCH(DATE(W$5,$K108,$J108),daily_dates,0),MATCH($B$3,daily_items,0)))</f>
        <v>#N/A</v>
      </c>
      <c r="X108" s="1" t="str">
        <f t="array" ref="X108">IF(ISBLANK(INDEX(big_daily_table,MATCH(DATE(X$5,$K108,$J108),daily_dates,0),MATCH($B$3,daily_items,0))),NA(),INDEX(big_daily_table,MATCH(DATE(X$5,$K108,$J108),daily_dates,0),MATCH($B$3,daily_items,0)))</f>
        <v>#N/A</v>
      </c>
      <c r="Y108" s="1" t="str">
        <f t="array" ref="Y108">IF(ISBLANK(INDEX(big_daily_table,MATCH(DATE(Y$5,$K108,$J108),daily_dates,0),MATCH($B$3,daily_items,0))),NA(),INDEX(big_daily_table,MATCH(DATE(Y$5,$K108,$J108),daily_dates,0),MATCH($B$3,daily_items,0)))</f>
        <v>#N/A</v>
      </c>
      <c r="Z108" s="1" t="str">
        <f t="array" ref="Z108">IF(ISBLANK(INDEX(big_daily_table,MATCH(DATE(Z$5,$K108,$J108),daily_dates,0),MATCH($B$3,daily_items,0))),NA(),INDEX(big_daily_table,MATCH(DATE(Z$5,$K108,$J108),daily_dates,0),MATCH($B$3,daily_items,0)))</f>
        <v>#N/A</v>
      </c>
      <c r="AA108" s="1" t="str">
        <f t="shared" si="5"/>
        <v>#NAME?</v>
      </c>
      <c r="AB108" s="1" t="str">
        <f t="shared" si="6"/>
        <v>#NAME?</v>
      </c>
      <c r="AC108" s="1" t="str">
        <f t="shared" si="7"/>
        <v>#NAME?</v>
      </c>
      <c r="AD108" s="1" t="str">
        <f t="shared" si="8"/>
        <v>#NAME?</v>
      </c>
    </row>
    <row r="109" ht="14.25" customHeight="1">
      <c r="H109" s="1">
        <f t="shared" si="9"/>
        <v>104</v>
      </c>
      <c r="I109" s="1">
        <f>WEEKDAY('daily graphs'!K109)</f>
        <v>5</v>
      </c>
      <c r="J109" s="1">
        <f t="shared" si="2"/>
        <v>8</v>
      </c>
      <c r="K109" s="1">
        <f t="shared" si="3"/>
        <v>4</v>
      </c>
      <c r="L109" s="23">
        <f>'daily graphs'!K109 - I109</f>
        <v>36624</v>
      </c>
      <c r="M109" s="24">
        <f t="shared" si="4"/>
        <v>-1000000</v>
      </c>
      <c r="N109" s="24" t="str">
        <f t="array" ref="N109">IF(M109&gt;0,INDEX(big_daily_table,MATCH(DATE(O$5,$K109,$J109),daily_dates,0),MATCH($B$3,daily_items,0)),NA())</f>
        <v>#N/A</v>
      </c>
      <c r="O109" s="1" t="str">
        <f t="array" ref="O109">IF(M109&lt;0,INDEX(big_daily_table,MATCH(DATE(O$5,$K109,$J109),daily_dates,0),MATCH($B$3,daily_items,0)),NA())</f>
        <v>#N/A</v>
      </c>
      <c r="P109" s="1" t="str">
        <f t="array" ref="P109">IF(ISBLANK(INDEX(big_daily_table,MATCH(DATE(P$5,$K109,$J109),daily_dates,0),MATCH($B$3,daily_items,0))),NA(),INDEX(big_daily_table,MATCH(DATE(P$5,$K109,$J109),daily_dates,0),MATCH($B$3,daily_items,0)))</f>
        <v>#N/A</v>
      </c>
      <c r="Q109" s="1" t="str">
        <f t="array" ref="Q109">IF(ISBLANK(INDEX(big_daily_table,MATCH(DATE(Q$5,$K109,$J109),daily_dates,0),MATCH($B$3,daily_items,0))),NA(),INDEX(big_daily_table,MATCH(DATE(Q$5,$K109,$J109),daily_dates,0),MATCH($B$3,daily_items,0)))</f>
        <v>#N/A</v>
      </c>
      <c r="R109" s="1" t="str">
        <f t="array" ref="R109">IF(ISBLANK(INDEX(big_daily_table,MATCH(DATE(R$5,$K109,$J109),daily_dates,0),MATCH($B$3,daily_items,0))),NA(),INDEX(big_daily_table,MATCH(DATE(R$5,$K109,$J109),daily_dates,0),MATCH($B$3,daily_items,0)))</f>
        <v>#N/A</v>
      </c>
      <c r="S109" s="1" t="str">
        <f t="array" ref="S109">IF(ISBLANK(INDEX(big_daily_table,MATCH(DATE(S$5,$K109,$J109),daily_dates,0),MATCH($B$3,daily_items,0))),NA(),INDEX(big_daily_table,MATCH(DATE(S$5,$K109,$J109),daily_dates,0),MATCH($B$3,daily_items,0)))</f>
        <v>#N/A</v>
      </c>
      <c r="T109" s="1" t="str">
        <f t="array" ref="T109">IF(ISBLANK(INDEX(big_daily_table,MATCH(DATE(T$5,$K109,$J109),daily_dates,0),MATCH($B$3,daily_items,0))),NA(),INDEX(big_daily_table,MATCH(DATE(T$5,$K109,$J109),daily_dates,0),MATCH($B$3,daily_items,0)))</f>
        <v>#N/A</v>
      </c>
      <c r="U109" s="1" t="str">
        <f t="array" ref="U109">IF(ISBLANK(INDEX(big_daily_table,MATCH(DATE(U$5,$K109,$J109),daily_dates,0),MATCH($B$3,daily_items,0))),NA(),INDEX(big_daily_table,MATCH(DATE(U$5,$K109,$J109),daily_dates,0),MATCH($B$3,daily_items,0)))</f>
        <v>#N/A</v>
      </c>
      <c r="V109" s="1" t="str">
        <f t="array" ref="V109">IF(ISBLANK(INDEX(big_daily_table,MATCH(DATE(V$5,$K109,$J109),daily_dates,0),MATCH($B$3,daily_items,0))),NA(),INDEX(big_daily_table,MATCH(DATE(V$5,$K109,$J109),daily_dates,0),MATCH($B$3,daily_items,0)))</f>
        <v>#N/A</v>
      </c>
      <c r="W109" s="1" t="str">
        <f t="array" ref="W109">IF(ISBLANK(INDEX(big_daily_table,MATCH(DATE(W$5,$K109,$J109),daily_dates,0),MATCH($B$3,daily_items,0))),NA(),INDEX(big_daily_table,MATCH(DATE(W$5,$K109,$J109),daily_dates,0),MATCH($B$3,daily_items,0)))</f>
        <v>#N/A</v>
      </c>
      <c r="X109" s="1" t="str">
        <f t="array" ref="X109">IF(ISBLANK(INDEX(big_daily_table,MATCH(DATE(X$5,$K109,$J109),daily_dates,0),MATCH($B$3,daily_items,0))),NA(),INDEX(big_daily_table,MATCH(DATE(X$5,$K109,$J109),daily_dates,0),MATCH($B$3,daily_items,0)))</f>
        <v>#N/A</v>
      </c>
      <c r="Y109" s="1" t="str">
        <f t="array" ref="Y109">IF(ISBLANK(INDEX(big_daily_table,MATCH(DATE(Y$5,$K109,$J109),daily_dates,0),MATCH($B$3,daily_items,0))),NA(),INDEX(big_daily_table,MATCH(DATE(Y$5,$K109,$J109),daily_dates,0),MATCH($B$3,daily_items,0)))</f>
        <v>#N/A</v>
      </c>
      <c r="Z109" s="1" t="str">
        <f t="array" ref="Z109">IF(ISBLANK(INDEX(big_daily_table,MATCH(DATE(Z$5,$K109,$J109),daily_dates,0),MATCH($B$3,daily_items,0))),NA(),INDEX(big_daily_table,MATCH(DATE(Z$5,$K109,$J109),daily_dates,0),MATCH($B$3,daily_items,0)))</f>
        <v>#N/A</v>
      </c>
      <c r="AA109" s="1" t="str">
        <f t="shared" si="5"/>
        <v>#NAME?</v>
      </c>
      <c r="AB109" s="1" t="str">
        <f t="shared" si="6"/>
        <v>#NAME?</v>
      </c>
      <c r="AC109" s="1" t="str">
        <f t="shared" si="7"/>
        <v>#NAME?</v>
      </c>
      <c r="AD109" s="1" t="str">
        <f t="shared" si="8"/>
        <v>#NAME?</v>
      </c>
    </row>
    <row r="110" ht="14.25" customHeight="1">
      <c r="H110" s="1">
        <f t="shared" si="9"/>
        <v>105</v>
      </c>
      <c r="I110" s="1">
        <f>WEEKDAY('daily graphs'!K110)</f>
        <v>6</v>
      </c>
      <c r="J110" s="1">
        <f t="shared" si="2"/>
        <v>8</v>
      </c>
      <c r="K110" s="1">
        <f t="shared" si="3"/>
        <v>4</v>
      </c>
      <c r="L110" s="23">
        <f>'daily graphs'!K110 - I110</f>
        <v>36624</v>
      </c>
      <c r="M110" s="24">
        <f t="shared" si="4"/>
        <v>-1000000</v>
      </c>
      <c r="N110" s="24" t="str">
        <f t="array" ref="N110">IF(M110&gt;0,INDEX(big_daily_table,MATCH(DATE(O$5,$K110,$J110),daily_dates,0),MATCH($B$3,daily_items,0)),NA())</f>
        <v>#N/A</v>
      </c>
      <c r="O110" s="1" t="str">
        <f t="array" ref="O110">IF(M110&lt;0,INDEX(big_daily_table,MATCH(DATE(O$5,$K110,$J110),daily_dates,0),MATCH($B$3,daily_items,0)),NA())</f>
        <v>#N/A</v>
      </c>
      <c r="P110" s="1" t="str">
        <f t="array" ref="P110">IF(ISBLANK(INDEX(big_daily_table,MATCH(DATE(P$5,$K110,$J110),daily_dates,0),MATCH($B$3,daily_items,0))),NA(),INDEX(big_daily_table,MATCH(DATE(P$5,$K110,$J110),daily_dates,0),MATCH($B$3,daily_items,0)))</f>
        <v>#N/A</v>
      </c>
      <c r="Q110" s="1" t="str">
        <f t="array" ref="Q110">IF(ISBLANK(INDEX(big_daily_table,MATCH(DATE(Q$5,$K110,$J110),daily_dates,0),MATCH($B$3,daily_items,0))),NA(),INDEX(big_daily_table,MATCH(DATE(Q$5,$K110,$J110),daily_dates,0),MATCH($B$3,daily_items,0)))</f>
        <v>#N/A</v>
      </c>
      <c r="R110" s="1" t="str">
        <f t="array" ref="R110">IF(ISBLANK(INDEX(big_daily_table,MATCH(DATE(R$5,$K110,$J110),daily_dates,0),MATCH($B$3,daily_items,0))),NA(),INDEX(big_daily_table,MATCH(DATE(R$5,$K110,$J110),daily_dates,0),MATCH($B$3,daily_items,0)))</f>
        <v>#N/A</v>
      </c>
      <c r="S110" s="1" t="str">
        <f t="array" ref="S110">IF(ISBLANK(INDEX(big_daily_table,MATCH(DATE(S$5,$K110,$J110),daily_dates,0),MATCH($B$3,daily_items,0))),NA(),INDEX(big_daily_table,MATCH(DATE(S$5,$K110,$J110),daily_dates,0),MATCH($B$3,daily_items,0)))</f>
        <v>#N/A</v>
      </c>
      <c r="T110" s="1" t="str">
        <f t="array" ref="T110">IF(ISBLANK(INDEX(big_daily_table,MATCH(DATE(T$5,$K110,$J110),daily_dates,0),MATCH($B$3,daily_items,0))),NA(),INDEX(big_daily_table,MATCH(DATE(T$5,$K110,$J110),daily_dates,0),MATCH($B$3,daily_items,0)))</f>
        <v>#N/A</v>
      </c>
      <c r="U110" s="1" t="str">
        <f t="array" ref="U110">IF(ISBLANK(INDEX(big_daily_table,MATCH(DATE(U$5,$K110,$J110),daily_dates,0),MATCH($B$3,daily_items,0))),NA(),INDEX(big_daily_table,MATCH(DATE(U$5,$K110,$J110),daily_dates,0),MATCH($B$3,daily_items,0)))</f>
        <v>#N/A</v>
      </c>
      <c r="V110" s="1" t="str">
        <f t="array" ref="V110">IF(ISBLANK(INDEX(big_daily_table,MATCH(DATE(V$5,$K110,$J110),daily_dates,0),MATCH($B$3,daily_items,0))),NA(),INDEX(big_daily_table,MATCH(DATE(V$5,$K110,$J110),daily_dates,0),MATCH($B$3,daily_items,0)))</f>
        <v>#N/A</v>
      </c>
      <c r="W110" s="1" t="str">
        <f t="array" ref="W110">IF(ISBLANK(INDEX(big_daily_table,MATCH(DATE(W$5,$K110,$J110),daily_dates,0),MATCH($B$3,daily_items,0))),NA(),INDEX(big_daily_table,MATCH(DATE(W$5,$K110,$J110),daily_dates,0),MATCH($B$3,daily_items,0)))</f>
        <v>#N/A</v>
      </c>
      <c r="X110" s="1" t="str">
        <f t="array" ref="X110">IF(ISBLANK(INDEX(big_daily_table,MATCH(DATE(X$5,$K110,$J110),daily_dates,0),MATCH($B$3,daily_items,0))),NA(),INDEX(big_daily_table,MATCH(DATE(X$5,$K110,$J110),daily_dates,0),MATCH($B$3,daily_items,0)))</f>
        <v>#N/A</v>
      </c>
      <c r="Y110" s="1" t="str">
        <f t="array" ref="Y110">IF(ISBLANK(INDEX(big_daily_table,MATCH(DATE(Y$5,$K110,$J110),daily_dates,0),MATCH($B$3,daily_items,0))),NA(),INDEX(big_daily_table,MATCH(DATE(Y$5,$K110,$J110),daily_dates,0),MATCH($B$3,daily_items,0)))</f>
        <v>#N/A</v>
      </c>
      <c r="Z110" s="1" t="str">
        <f t="array" ref="Z110">IF(ISBLANK(INDEX(big_daily_table,MATCH(DATE(Z$5,$K110,$J110),daily_dates,0),MATCH($B$3,daily_items,0))),NA(),INDEX(big_daily_table,MATCH(DATE(Z$5,$K110,$J110),daily_dates,0),MATCH($B$3,daily_items,0)))</f>
        <v>#N/A</v>
      </c>
      <c r="AA110" s="1" t="str">
        <f t="shared" si="5"/>
        <v>#NAME?</v>
      </c>
      <c r="AB110" s="1" t="str">
        <f t="shared" si="6"/>
        <v>#NAME?</v>
      </c>
      <c r="AC110" s="1" t="str">
        <f t="shared" si="7"/>
        <v>#NAME?</v>
      </c>
      <c r="AD110" s="1" t="str">
        <f t="shared" si="8"/>
        <v>#NAME?</v>
      </c>
    </row>
    <row r="111" ht="14.25" customHeight="1">
      <c r="H111" s="1">
        <f t="shared" si="9"/>
        <v>106</v>
      </c>
      <c r="I111" s="1">
        <f>WEEKDAY('daily graphs'!K111)</f>
        <v>7</v>
      </c>
      <c r="J111" s="1">
        <f t="shared" si="2"/>
        <v>8</v>
      </c>
      <c r="K111" s="1">
        <f t="shared" si="3"/>
        <v>4</v>
      </c>
      <c r="L111" s="23">
        <f>'daily graphs'!K111 - I111</f>
        <v>36624</v>
      </c>
      <c r="M111" s="24">
        <f t="shared" si="4"/>
        <v>-1000000</v>
      </c>
      <c r="N111" s="24" t="str">
        <f t="array" ref="N111">IF(M111&gt;0,INDEX(big_daily_table,MATCH(DATE(O$5,$K111,$J111),daily_dates,0),MATCH($B$3,daily_items,0)),NA())</f>
        <v>#N/A</v>
      </c>
      <c r="O111" s="1" t="str">
        <f t="array" ref="O111">IF(M111&lt;0,INDEX(big_daily_table,MATCH(DATE(O$5,$K111,$J111),daily_dates,0),MATCH($B$3,daily_items,0)),NA())</f>
        <v>#N/A</v>
      </c>
      <c r="P111" s="1" t="str">
        <f t="array" ref="P111">IF(ISBLANK(INDEX(big_daily_table,MATCH(DATE(P$5,$K111,$J111),daily_dates,0),MATCH($B$3,daily_items,0))),NA(),INDEX(big_daily_table,MATCH(DATE(P$5,$K111,$J111),daily_dates,0),MATCH($B$3,daily_items,0)))</f>
        <v>#N/A</v>
      </c>
      <c r="Q111" s="1" t="str">
        <f t="array" ref="Q111">IF(ISBLANK(INDEX(big_daily_table,MATCH(DATE(Q$5,$K111,$J111),daily_dates,0),MATCH($B$3,daily_items,0))),NA(),INDEX(big_daily_table,MATCH(DATE(Q$5,$K111,$J111),daily_dates,0),MATCH($B$3,daily_items,0)))</f>
        <v>#N/A</v>
      </c>
      <c r="R111" s="1" t="str">
        <f t="array" ref="R111">IF(ISBLANK(INDEX(big_daily_table,MATCH(DATE(R$5,$K111,$J111),daily_dates,0),MATCH($B$3,daily_items,0))),NA(),INDEX(big_daily_table,MATCH(DATE(R$5,$K111,$J111),daily_dates,0),MATCH($B$3,daily_items,0)))</f>
        <v>#N/A</v>
      </c>
      <c r="S111" s="1" t="str">
        <f t="array" ref="S111">IF(ISBLANK(INDEX(big_daily_table,MATCH(DATE(S$5,$K111,$J111),daily_dates,0),MATCH($B$3,daily_items,0))),NA(),INDEX(big_daily_table,MATCH(DATE(S$5,$K111,$J111),daily_dates,0),MATCH($B$3,daily_items,0)))</f>
        <v>#N/A</v>
      </c>
      <c r="T111" s="1" t="str">
        <f t="array" ref="T111">IF(ISBLANK(INDEX(big_daily_table,MATCH(DATE(T$5,$K111,$J111),daily_dates,0),MATCH($B$3,daily_items,0))),NA(),INDEX(big_daily_table,MATCH(DATE(T$5,$K111,$J111),daily_dates,0),MATCH($B$3,daily_items,0)))</f>
        <v>#N/A</v>
      </c>
      <c r="U111" s="1" t="str">
        <f t="array" ref="U111">IF(ISBLANK(INDEX(big_daily_table,MATCH(DATE(U$5,$K111,$J111),daily_dates,0),MATCH($B$3,daily_items,0))),NA(),INDEX(big_daily_table,MATCH(DATE(U$5,$K111,$J111),daily_dates,0),MATCH($B$3,daily_items,0)))</f>
        <v>#N/A</v>
      </c>
      <c r="V111" s="1" t="str">
        <f t="array" ref="V111">IF(ISBLANK(INDEX(big_daily_table,MATCH(DATE(V$5,$K111,$J111),daily_dates,0),MATCH($B$3,daily_items,0))),NA(),INDEX(big_daily_table,MATCH(DATE(V$5,$K111,$J111),daily_dates,0),MATCH($B$3,daily_items,0)))</f>
        <v>#N/A</v>
      </c>
      <c r="W111" s="1" t="str">
        <f t="array" ref="W111">IF(ISBLANK(INDEX(big_daily_table,MATCH(DATE(W$5,$K111,$J111),daily_dates,0),MATCH($B$3,daily_items,0))),NA(),INDEX(big_daily_table,MATCH(DATE(W$5,$K111,$J111),daily_dates,0),MATCH($B$3,daily_items,0)))</f>
        <v>#N/A</v>
      </c>
      <c r="X111" s="1" t="str">
        <f t="array" ref="X111">IF(ISBLANK(INDEX(big_daily_table,MATCH(DATE(X$5,$K111,$J111),daily_dates,0),MATCH($B$3,daily_items,0))),NA(),INDEX(big_daily_table,MATCH(DATE(X$5,$K111,$J111),daily_dates,0),MATCH($B$3,daily_items,0)))</f>
        <v>#N/A</v>
      </c>
      <c r="Y111" s="1" t="str">
        <f t="array" ref="Y111">IF(ISBLANK(INDEX(big_daily_table,MATCH(DATE(Y$5,$K111,$J111),daily_dates,0),MATCH($B$3,daily_items,0))),NA(),INDEX(big_daily_table,MATCH(DATE(Y$5,$K111,$J111),daily_dates,0),MATCH($B$3,daily_items,0)))</f>
        <v>#N/A</v>
      </c>
      <c r="Z111" s="1" t="str">
        <f t="array" ref="Z111">IF(ISBLANK(INDEX(big_daily_table,MATCH(DATE(Z$5,$K111,$J111),daily_dates,0),MATCH($B$3,daily_items,0))),NA(),INDEX(big_daily_table,MATCH(DATE(Z$5,$K111,$J111),daily_dates,0),MATCH($B$3,daily_items,0)))</f>
        <v>#N/A</v>
      </c>
      <c r="AA111" s="1" t="str">
        <f t="shared" si="5"/>
        <v>#NAME?</v>
      </c>
      <c r="AB111" s="1" t="str">
        <f t="shared" si="6"/>
        <v>#NAME?</v>
      </c>
      <c r="AC111" s="1" t="str">
        <f t="shared" si="7"/>
        <v>#NAME?</v>
      </c>
      <c r="AD111" s="1" t="str">
        <f t="shared" si="8"/>
        <v>#NAME?</v>
      </c>
    </row>
    <row r="112" ht="14.25" customHeight="1">
      <c r="H112" s="1">
        <f t="shared" si="9"/>
        <v>107</v>
      </c>
      <c r="I112" s="1">
        <f>WEEKDAY('daily graphs'!K112)</f>
        <v>1</v>
      </c>
      <c r="J112" s="1">
        <f t="shared" si="2"/>
        <v>15</v>
      </c>
      <c r="K112" s="1">
        <f t="shared" si="3"/>
        <v>4</v>
      </c>
      <c r="L112" s="23">
        <f>'daily graphs'!K112 - I112</f>
        <v>36631</v>
      </c>
      <c r="M112" s="24">
        <f t="shared" si="4"/>
        <v>-1000000</v>
      </c>
      <c r="N112" s="24" t="str">
        <f t="array" ref="N112">IF(M112&gt;0,INDEX(big_daily_table,MATCH(DATE(O$5,$K112,$J112),daily_dates,0),MATCH($B$3,daily_items,0)),NA())</f>
        <v>#N/A</v>
      </c>
      <c r="O112" s="1" t="str">
        <f t="array" ref="O112">IF(M112&lt;0,INDEX(big_daily_table,MATCH(DATE(O$5,$K112,$J112),daily_dates,0),MATCH($B$3,daily_items,0)),NA())</f>
        <v>#N/A</v>
      </c>
      <c r="P112" s="1" t="str">
        <f t="array" ref="P112">IF(ISBLANK(INDEX(big_daily_table,MATCH(DATE(P$5,$K112,$J112),daily_dates,0),MATCH($B$3,daily_items,0))),NA(),INDEX(big_daily_table,MATCH(DATE(P$5,$K112,$J112),daily_dates,0),MATCH($B$3,daily_items,0)))</f>
        <v>#N/A</v>
      </c>
      <c r="Q112" s="1" t="str">
        <f t="array" ref="Q112">IF(ISBLANK(INDEX(big_daily_table,MATCH(DATE(Q$5,$K112,$J112),daily_dates,0),MATCH($B$3,daily_items,0))),NA(),INDEX(big_daily_table,MATCH(DATE(Q$5,$K112,$J112),daily_dates,0),MATCH($B$3,daily_items,0)))</f>
        <v>#N/A</v>
      </c>
      <c r="R112" s="1" t="str">
        <f t="array" ref="R112">IF(ISBLANK(INDEX(big_daily_table,MATCH(DATE(R$5,$K112,$J112),daily_dates,0),MATCH($B$3,daily_items,0))),NA(),INDEX(big_daily_table,MATCH(DATE(R$5,$K112,$J112),daily_dates,0),MATCH($B$3,daily_items,0)))</f>
        <v>#N/A</v>
      </c>
      <c r="S112" s="1" t="str">
        <f t="array" ref="S112">IF(ISBLANK(INDEX(big_daily_table,MATCH(DATE(S$5,$K112,$J112),daily_dates,0),MATCH($B$3,daily_items,0))),NA(),INDEX(big_daily_table,MATCH(DATE(S$5,$K112,$J112),daily_dates,0),MATCH($B$3,daily_items,0)))</f>
        <v>#N/A</v>
      </c>
      <c r="T112" s="1" t="str">
        <f t="array" ref="T112">IF(ISBLANK(INDEX(big_daily_table,MATCH(DATE(T$5,$K112,$J112),daily_dates,0),MATCH($B$3,daily_items,0))),NA(),INDEX(big_daily_table,MATCH(DATE(T$5,$K112,$J112),daily_dates,0),MATCH($B$3,daily_items,0)))</f>
        <v>#N/A</v>
      </c>
      <c r="U112" s="1" t="str">
        <f t="array" ref="U112">IF(ISBLANK(INDEX(big_daily_table,MATCH(DATE(U$5,$K112,$J112),daily_dates,0),MATCH($B$3,daily_items,0))),NA(),INDEX(big_daily_table,MATCH(DATE(U$5,$K112,$J112),daily_dates,0),MATCH($B$3,daily_items,0)))</f>
        <v>#N/A</v>
      </c>
      <c r="V112" s="1" t="str">
        <f t="array" ref="V112">IF(ISBLANK(INDEX(big_daily_table,MATCH(DATE(V$5,$K112,$J112),daily_dates,0),MATCH($B$3,daily_items,0))),NA(),INDEX(big_daily_table,MATCH(DATE(V$5,$K112,$J112),daily_dates,0),MATCH($B$3,daily_items,0)))</f>
        <v>#N/A</v>
      </c>
      <c r="W112" s="1" t="str">
        <f t="array" ref="W112">IF(ISBLANK(INDEX(big_daily_table,MATCH(DATE(W$5,$K112,$J112),daily_dates,0),MATCH($B$3,daily_items,0))),NA(),INDEX(big_daily_table,MATCH(DATE(W$5,$K112,$J112),daily_dates,0),MATCH($B$3,daily_items,0)))</f>
        <v>#N/A</v>
      </c>
      <c r="X112" s="1" t="str">
        <f t="array" ref="X112">IF(ISBLANK(INDEX(big_daily_table,MATCH(DATE(X$5,$K112,$J112),daily_dates,0),MATCH($B$3,daily_items,0))),NA(),INDEX(big_daily_table,MATCH(DATE(X$5,$K112,$J112),daily_dates,0),MATCH($B$3,daily_items,0)))</f>
        <v>#N/A</v>
      </c>
      <c r="Y112" s="1" t="str">
        <f t="array" ref="Y112">IF(ISBLANK(INDEX(big_daily_table,MATCH(DATE(Y$5,$K112,$J112),daily_dates,0),MATCH($B$3,daily_items,0))),NA(),INDEX(big_daily_table,MATCH(DATE(Y$5,$K112,$J112),daily_dates,0),MATCH($B$3,daily_items,0)))</f>
        <v>#N/A</v>
      </c>
      <c r="Z112" s="1" t="str">
        <f t="array" ref="Z112">IF(ISBLANK(INDEX(big_daily_table,MATCH(DATE(Z$5,$K112,$J112),daily_dates,0),MATCH($B$3,daily_items,0))),NA(),INDEX(big_daily_table,MATCH(DATE(Z$5,$K112,$J112),daily_dates,0),MATCH($B$3,daily_items,0)))</f>
        <v>#N/A</v>
      </c>
      <c r="AA112" s="1" t="str">
        <f t="shared" si="5"/>
        <v>#NAME?</v>
      </c>
      <c r="AB112" s="1" t="str">
        <f t="shared" si="6"/>
        <v>#NAME?</v>
      </c>
      <c r="AC112" s="1" t="str">
        <f t="shared" si="7"/>
        <v>#NAME?</v>
      </c>
      <c r="AD112" s="1" t="str">
        <f t="shared" si="8"/>
        <v>#NAME?</v>
      </c>
    </row>
    <row r="113" ht="14.25" customHeight="1">
      <c r="H113" s="1">
        <f t="shared" si="9"/>
        <v>108</v>
      </c>
      <c r="I113" s="1">
        <f>WEEKDAY('daily graphs'!K113)</f>
        <v>2</v>
      </c>
      <c r="J113" s="1">
        <f t="shared" si="2"/>
        <v>15</v>
      </c>
      <c r="K113" s="1">
        <f t="shared" si="3"/>
        <v>4</v>
      </c>
      <c r="L113" s="23">
        <f>'daily graphs'!K113 - I113</f>
        <v>36631</v>
      </c>
      <c r="M113" s="24">
        <f t="shared" si="4"/>
        <v>-1000000</v>
      </c>
      <c r="N113" s="24" t="str">
        <f t="array" ref="N113">IF(M113&gt;0,INDEX(big_daily_table,MATCH(DATE(O$5,$K113,$J113),daily_dates,0),MATCH($B$3,daily_items,0)),NA())</f>
        <v>#N/A</v>
      </c>
      <c r="O113" s="1" t="str">
        <f t="array" ref="O113">IF(M113&lt;0,INDEX(big_daily_table,MATCH(DATE(O$5,$K113,$J113),daily_dates,0),MATCH($B$3,daily_items,0)),NA())</f>
        <v>#N/A</v>
      </c>
      <c r="P113" s="1" t="str">
        <f t="array" ref="P113">IF(ISBLANK(INDEX(big_daily_table,MATCH(DATE(P$5,$K113,$J113),daily_dates,0),MATCH($B$3,daily_items,0))),NA(),INDEX(big_daily_table,MATCH(DATE(P$5,$K113,$J113),daily_dates,0),MATCH($B$3,daily_items,0)))</f>
        <v>#N/A</v>
      </c>
      <c r="Q113" s="1" t="str">
        <f t="array" ref="Q113">IF(ISBLANK(INDEX(big_daily_table,MATCH(DATE(Q$5,$K113,$J113),daily_dates,0),MATCH($B$3,daily_items,0))),NA(),INDEX(big_daily_table,MATCH(DATE(Q$5,$K113,$J113),daily_dates,0),MATCH($B$3,daily_items,0)))</f>
        <v>#N/A</v>
      </c>
      <c r="R113" s="1" t="str">
        <f t="array" ref="R113">IF(ISBLANK(INDEX(big_daily_table,MATCH(DATE(R$5,$K113,$J113),daily_dates,0),MATCH($B$3,daily_items,0))),NA(),INDEX(big_daily_table,MATCH(DATE(R$5,$K113,$J113),daily_dates,0),MATCH($B$3,daily_items,0)))</f>
        <v>#N/A</v>
      </c>
      <c r="S113" s="1" t="str">
        <f t="array" ref="S113">IF(ISBLANK(INDEX(big_daily_table,MATCH(DATE(S$5,$K113,$J113),daily_dates,0),MATCH($B$3,daily_items,0))),NA(),INDEX(big_daily_table,MATCH(DATE(S$5,$K113,$J113),daily_dates,0),MATCH($B$3,daily_items,0)))</f>
        <v>#N/A</v>
      </c>
      <c r="T113" s="1" t="str">
        <f t="array" ref="T113">IF(ISBLANK(INDEX(big_daily_table,MATCH(DATE(T$5,$K113,$J113),daily_dates,0),MATCH($B$3,daily_items,0))),NA(),INDEX(big_daily_table,MATCH(DATE(T$5,$K113,$J113),daily_dates,0),MATCH($B$3,daily_items,0)))</f>
        <v>#N/A</v>
      </c>
      <c r="U113" s="1" t="str">
        <f t="array" ref="U113">IF(ISBLANK(INDEX(big_daily_table,MATCH(DATE(U$5,$K113,$J113),daily_dates,0),MATCH($B$3,daily_items,0))),NA(),INDEX(big_daily_table,MATCH(DATE(U$5,$K113,$J113),daily_dates,0),MATCH($B$3,daily_items,0)))</f>
        <v>#N/A</v>
      </c>
      <c r="V113" s="1" t="str">
        <f t="array" ref="V113">IF(ISBLANK(INDEX(big_daily_table,MATCH(DATE(V$5,$K113,$J113),daily_dates,0),MATCH($B$3,daily_items,0))),NA(),INDEX(big_daily_table,MATCH(DATE(V$5,$K113,$J113),daily_dates,0),MATCH($B$3,daily_items,0)))</f>
        <v>#N/A</v>
      </c>
      <c r="W113" s="1" t="str">
        <f t="array" ref="W113">IF(ISBLANK(INDEX(big_daily_table,MATCH(DATE(W$5,$K113,$J113),daily_dates,0),MATCH($B$3,daily_items,0))),NA(),INDEX(big_daily_table,MATCH(DATE(W$5,$K113,$J113),daily_dates,0),MATCH($B$3,daily_items,0)))</f>
        <v>#N/A</v>
      </c>
      <c r="X113" s="1" t="str">
        <f t="array" ref="X113">IF(ISBLANK(INDEX(big_daily_table,MATCH(DATE(X$5,$K113,$J113),daily_dates,0),MATCH($B$3,daily_items,0))),NA(),INDEX(big_daily_table,MATCH(DATE(X$5,$K113,$J113),daily_dates,0),MATCH($B$3,daily_items,0)))</f>
        <v>#N/A</v>
      </c>
      <c r="Y113" s="1" t="str">
        <f t="array" ref="Y113">IF(ISBLANK(INDEX(big_daily_table,MATCH(DATE(Y$5,$K113,$J113),daily_dates,0),MATCH($B$3,daily_items,0))),NA(),INDEX(big_daily_table,MATCH(DATE(Y$5,$K113,$J113),daily_dates,0),MATCH($B$3,daily_items,0)))</f>
        <v>#N/A</v>
      </c>
      <c r="Z113" s="1" t="str">
        <f t="array" ref="Z113">IF(ISBLANK(INDEX(big_daily_table,MATCH(DATE(Z$5,$K113,$J113),daily_dates,0),MATCH($B$3,daily_items,0))),NA(),INDEX(big_daily_table,MATCH(DATE(Z$5,$K113,$J113),daily_dates,0),MATCH($B$3,daily_items,0)))</f>
        <v>#N/A</v>
      </c>
      <c r="AA113" s="1" t="str">
        <f t="shared" si="5"/>
        <v>#NAME?</v>
      </c>
      <c r="AB113" s="1" t="str">
        <f t="shared" si="6"/>
        <v>#NAME?</v>
      </c>
      <c r="AC113" s="1" t="str">
        <f t="shared" si="7"/>
        <v>#NAME?</v>
      </c>
      <c r="AD113" s="1" t="str">
        <f t="shared" si="8"/>
        <v>#NAME?</v>
      </c>
    </row>
    <row r="114" ht="14.25" customHeight="1">
      <c r="H114" s="1">
        <f t="shared" si="9"/>
        <v>109</v>
      </c>
      <c r="I114" s="1">
        <f>WEEKDAY('daily graphs'!K114)</f>
        <v>3</v>
      </c>
      <c r="J114" s="1">
        <f t="shared" si="2"/>
        <v>15</v>
      </c>
      <c r="K114" s="1">
        <f t="shared" si="3"/>
        <v>4</v>
      </c>
      <c r="L114" s="23">
        <f>'daily graphs'!K114 - I114</f>
        <v>36631</v>
      </c>
      <c r="M114" s="24">
        <f t="shared" si="4"/>
        <v>-1000000</v>
      </c>
      <c r="N114" s="24" t="str">
        <f t="array" ref="N114">IF(M114&gt;0,INDEX(big_daily_table,MATCH(DATE(O$5,$K114,$J114),daily_dates,0),MATCH($B$3,daily_items,0)),NA())</f>
        <v>#N/A</v>
      </c>
      <c r="O114" s="1" t="str">
        <f t="array" ref="O114">IF(M114&lt;0,INDEX(big_daily_table,MATCH(DATE(O$5,$K114,$J114),daily_dates,0),MATCH($B$3,daily_items,0)),NA())</f>
        <v>#N/A</v>
      </c>
      <c r="P114" s="1" t="str">
        <f t="array" ref="P114">IF(ISBLANK(INDEX(big_daily_table,MATCH(DATE(P$5,$K114,$J114),daily_dates,0),MATCH($B$3,daily_items,0))),NA(),INDEX(big_daily_table,MATCH(DATE(P$5,$K114,$J114),daily_dates,0),MATCH($B$3,daily_items,0)))</f>
        <v>#N/A</v>
      </c>
      <c r="Q114" s="1" t="str">
        <f t="array" ref="Q114">IF(ISBLANK(INDEX(big_daily_table,MATCH(DATE(Q$5,$K114,$J114),daily_dates,0),MATCH($B$3,daily_items,0))),NA(),INDEX(big_daily_table,MATCH(DATE(Q$5,$K114,$J114),daily_dates,0),MATCH($B$3,daily_items,0)))</f>
        <v>#N/A</v>
      </c>
      <c r="R114" s="1" t="str">
        <f t="array" ref="R114">IF(ISBLANK(INDEX(big_daily_table,MATCH(DATE(R$5,$K114,$J114),daily_dates,0),MATCH($B$3,daily_items,0))),NA(),INDEX(big_daily_table,MATCH(DATE(R$5,$K114,$J114),daily_dates,0),MATCH($B$3,daily_items,0)))</f>
        <v>#N/A</v>
      </c>
      <c r="S114" s="1" t="str">
        <f t="array" ref="S114">IF(ISBLANK(INDEX(big_daily_table,MATCH(DATE(S$5,$K114,$J114),daily_dates,0),MATCH($B$3,daily_items,0))),NA(),INDEX(big_daily_table,MATCH(DATE(S$5,$K114,$J114),daily_dates,0),MATCH($B$3,daily_items,0)))</f>
        <v>#N/A</v>
      </c>
      <c r="T114" s="1" t="str">
        <f t="array" ref="T114">IF(ISBLANK(INDEX(big_daily_table,MATCH(DATE(T$5,$K114,$J114),daily_dates,0),MATCH($B$3,daily_items,0))),NA(),INDEX(big_daily_table,MATCH(DATE(T$5,$K114,$J114),daily_dates,0),MATCH($B$3,daily_items,0)))</f>
        <v>#N/A</v>
      </c>
      <c r="U114" s="1" t="str">
        <f t="array" ref="U114">IF(ISBLANK(INDEX(big_daily_table,MATCH(DATE(U$5,$K114,$J114),daily_dates,0),MATCH($B$3,daily_items,0))),NA(),INDEX(big_daily_table,MATCH(DATE(U$5,$K114,$J114),daily_dates,0),MATCH($B$3,daily_items,0)))</f>
        <v>#N/A</v>
      </c>
      <c r="V114" s="1" t="str">
        <f t="array" ref="V114">IF(ISBLANK(INDEX(big_daily_table,MATCH(DATE(V$5,$K114,$J114),daily_dates,0),MATCH($B$3,daily_items,0))),NA(),INDEX(big_daily_table,MATCH(DATE(V$5,$K114,$J114),daily_dates,0),MATCH($B$3,daily_items,0)))</f>
        <v>#N/A</v>
      </c>
      <c r="W114" s="1" t="str">
        <f t="array" ref="W114">IF(ISBLANK(INDEX(big_daily_table,MATCH(DATE(W$5,$K114,$J114),daily_dates,0),MATCH($B$3,daily_items,0))),NA(),INDEX(big_daily_table,MATCH(DATE(W$5,$K114,$J114),daily_dates,0),MATCH($B$3,daily_items,0)))</f>
        <v>#N/A</v>
      </c>
      <c r="X114" s="1" t="str">
        <f t="array" ref="X114">IF(ISBLANK(INDEX(big_daily_table,MATCH(DATE(X$5,$K114,$J114),daily_dates,0),MATCH($B$3,daily_items,0))),NA(),INDEX(big_daily_table,MATCH(DATE(X$5,$K114,$J114),daily_dates,0),MATCH($B$3,daily_items,0)))</f>
        <v>#N/A</v>
      </c>
      <c r="Y114" s="1" t="str">
        <f t="array" ref="Y114">IF(ISBLANK(INDEX(big_daily_table,MATCH(DATE(Y$5,$K114,$J114),daily_dates,0),MATCH($B$3,daily_items,0))),NA(),INDEX(big_daily_table,MATCH(DATE(Y$5,$K114,$J114),daily_dates,0),MATCH($B$3,daily_items,0)))</f>
        <v>#N/A</v>
      </c>
      <c r="Z114" s="1" t="str">
        <f t="array" ref="Z114">IF(ISBLANK(INDEX(big_daily_table,MATCH(DATE(Z$5,$K114,$J114),daily_dates,0),MATCH($B$3,daily_items,0))),NA(),INDEX(big_daily_table,MATCH(DATE(Z$5,$K114,$J114),daily_dates,0),MATCH($B$3,daily_items,0)))</f>
        <v>#N/A</v>
      </c>
      <c r="AA114" s="1" t="str">
        <f t="shared" si="5"/>
        <v>#NAME?</v>
      </c>
      <c r="AB114" s="1" t="str">
        <f t="shared" si="6"/>
        <v>#NAME?</v>
      </c>
      <c r="AC114" s="1" t="str">
        <f t="shared" si="7"/>
        <v>#NAME?</v>
      </c>
      <c r="AD114" s="1" t="str">
        <f t="shared" si="8"/>
        <v>#NAME?</v>
      </c>
    </row>
    <row r="115" ht="14.25" customHeight="1">
      <c r="H115" s="1">
        <f t="shared" si="9"/>
        <v>110</v>
      </c>
      <c r="I115" s="1">
        <f>WEEKDAY('daily graphs'!K115)</f>
        <v>4</v>
      </c>
      <c r="J115" s="1">
        <f t="shared" si="2"/>
        <v>15</v>
      </c>
      <c r="K115" s="1">
        <f t="shared" si="3"/>
        <v>4</v>
      </c>
      <c r="L115" s="23">
        <f>'daily graphs'!K115 - I115</f>
        <v>36631</v>
      </c>
      <c r="M115" s="24">
        <f t="shared" si="4"/>
        <v>-1000000</v>
      </c>
      <c r="N115" s="24" t="str">
        <f t="array" ref="N115">IF(M115&gt;0,INDEX(big_daily_table,MATCH(DATE(O$5,$K115,$J115),daily_dates,0),MATCH($B$3,daily_items,0)),NA())</f>
        <v>#N/A</v>
      </c>
      <c r="O115" s="1" t="str">
        <f t="array" ref="O115">IF(M115&lt;0,INDEX(big_daily_table,MATCH(DATE(O$5,$K115,$J115),daily_dates,0),MATCH($B$3,daily_items,0)),NA())</f>
        <v>#N/A</v>
      </c>
      <c r="P115" s="1" t="str">
        <f t="array" ref="P115">IF(ISBLANK(INDEX(big_daily_table,MATCH(DATE(P$5,$K115,$J115),daily_dates,0),MATCH($B$3,daily_items,0))),NA(),INDEX(big_daily_table,MATCH(DATE(P$5,$K115,$J115),daily_dates,0),MATCH($B$3,daily_items,0)))</f>
        <v>#N/A</v>
      </c>
      <c r="Q115" s="1" t="str">
        <f t="array" ref="Q115">IF(ISBLANK(INDEX(big_daily_table,MATCH(DATE(Q$5,$K115,$J115),daily_dates,0),MATCH($B$3,daily_items,0))),NA(),INDEX(big_daily_table,MATCH(DATE(Q$5,$K115,$J115),daily_dates,0),MATCH($B$3,daily_items,0)))</f>
        <v>#N/A</v>
      </c>
      <c r="R115" s="1" t="str">
        <f t="array" ref="R115">IF(ISBLANK(INDEX(big_daily_table,MATCH(DATE(R$5,$K115,$J115),daily_dates,0),MATCH($B$3,daily_items,0))),NA(),INDEX(big_daily_table,MATCH(DATE(R$5,$K115,$J115),daily_dates,0),MATCH($B$3,daily_items,0)))</f>
        <v>#N/A</v>
      </c>
      <c r="S115" s="1" t="str">
        <f t="array" ref="S115">IF(ISBLANK(INDEX(big_daily_table,MATCH(DATE(S$5,$K115,$J115),daily_dates,0),MATCH($B$3,daily_items,0))),NA(),INDEX(big_daily_table,MATCH(DATE(S$5,$K115,$J115),daily_dates,0),MATCH($B$3,daily_items,0)))</f>
        <v>#N/A</v>
      </c>
      <c r="T115" s="1" t="str">
        <f t="array" ref="T115">IF(ISBLANK(INDEX(big_daily_table,MATCH(DATE(T$5,$K115,$J115),daily_dates,0),MATCH($B$3,daily_items,0))),NA(),INDEX(big_daily_table,MATCH(DATE(T$5,$K115,$J115),daily_dates,0),MATCH($B$3,daily_items,0)))</f>
        <v>#N/A</v>
      </c>
      <c r="U115" s="1" t="str">
        <f t="array" ref="U115">IF(ISBLANK(INDEX(big_daily_table,MATCH(DATE(U$5,$K115,$J115),daily_dates,0),MATCH($B$3,daily_items,0))),NA(),INDEX(big_daily_table,MATCH(DATE(U$5,$K115,$J115),daily_dates,0),MATCH($B$3,daily_items,0)))</f>
        <v>#N/A</v>
      </c>
      <c r="V115" s="1" t="str">
        <f t="array" ref="V115">IF(ISBLANK(INDEX(big_daily_table,MATCH(DATE(V$5,$K115,$J115),daily_dates,0),MATCH($B$3,daily_items,0))),NA(),INDEX(big_daily_table,MATCH(DATE(V$5,$K115,$J115),daily_dates,0),MATCH($B$3,daily_items,0)))</f>
        <v>#N/A</v>
      </c>
      <c r="W115" s="1" t="str">
        <f t="array" ref="W115">IF(ISBLANK(INDEX(big_daily_table,MATCH(DATE(W$5,$K115,$J115),daily_dates,0),MATCH($B$3,daily_items,0))),NA(),INDEX(big_daily_table,MATCH(DATE(W$5,$K115,$J115),daily_dates,0),MATCH($B$3,daily_items,0)))</f>
        <v>#N/A</v>
      </c>
      <c r="X115" s="1" t="str">
        <f t="array" ref="X115">IF(ISBLANK(INDEX(big_daily_table,MATCH(DATE(X$5,$K115,$J115),daily_dates,0),MATCH($B$3,daily_items,0))),NA(),INDEX(big_daily_table,MATCH(DATE(X$5,$K115,$J115),daily_dates,0),MATCH($B$3,daily_items,0)))</f>
        <v>#N/A</v>
      </c>
      <c r="Y115" s="1" t="str">
        <f t="array" ref="Y115">IF(ISBLANK(INDEX(big_daily_table,MATCH(DATE(Y$5,$K115,$J115),daily_dates,0),MATCH($B$3,daily_items,0))),NA(),INDEX(big_daily_table,MATCH(DATE(Y$5,$K115,$J115),daily_dates,0),MATCH($B$3,daily_items,0)))</f>
        <v>#N/A</v>
      </c>
      <c r="Z115" s="1" t="str">
        <f t="array" ref="Z115">IF(ISBLANK(INDEX(big_daily_table,MATCH(DATE(Z$5,$K115,$J115),daily_dates,0),MATCH($B$3,daily_items,0))),NA(),INDEX(big_daily_table,MATCH(DATE(Z$5,$K115,$J115),daily_dates,0),MATCH($B$3,daily_items,0)))</f>
        <v>#N/A</v>
      </c>
      <c r="AA115" s="1" t="str">
        <f t="shared" si="5"/>
        <v>#NAME?</v>
      </c>
      <c r="AB115" s="1" t="str">
        <f t="shared" si="6"/>
        <v>#NAME?</v>
      </c>
      <c r="AC115" s="1" t="str">
        <f t="shared" si="7"/>
        <v>#NAME?</v>
      </c>
      <c r="AD115" s="1" t="str">
        <f t="shared" si="8"/>
        <v>#NAME?</v>
      </c>
    </row>
    <row r="116" ht="14.25" customHeight="1">
      <c r="H116" s="1">
        <f t="shared" si="9"/>
        <v>111</v>
      </c>
      <c r="I116" s="1">
        <f>WEEKDAY('daily graphs'!K116)</f>
        <v>5</v>
      </c>
      <c r="J116" s="1">
        <f t="shared" si="2"/>
        <v>15</v>
      </c>
      <c r="K116" s="1">
        <f t="shared" si="3"/>
        <v>4</v>
      </c>
      <c r="L116" s="23">
        <f>'daily graphs'!K116 - I116</f>
        <v>36631</v>
      </c>
      <c r="M116" s="24">
        <f t="shared" si="4"/>
        <v>-1000000</v>
      </c>
      <c r="N116" s="24" t="str">
        <f t="array" ref="N116">IF(M116&gt;0,INDEX(big_daily_table,MATCH(DATE(O$5,$K116,$J116),daily_dates,0),MATCH($B$3,daily_items,0)),NA())</f>
        <v>#N/A</v>
      </c>
      <c r="O116" s="1" t="str">
        <f t="array" ref="O116">IF(M116&lt;0,INDEX(big_daily_table,MATCH(DATE(O$5,$K116,$J116),daily_dates,0),MATCH($B$3,daily_items,0)),NA())</f>
        <v>#N/A</v>
      </c>
      <c r="P116" s="1" t="str">
        <f t="array" ref="P116">IF(ISBLANK(INDEX(big_daily_table,MATCH(DATE(P$5,$K116,$J116),daily_dates,0),MATCH($B$3,daily_items,0))),NA(),INDEX(big_daily_table,MATCH(DATE(P$5,$K116,$J116),daily_dates,0),MATCH($B$3,daily_items,0)))</f>
        <v>#N/A</v>
      </c>
      <c r="Q116" s="1" t="str">
        <f t="array" ref="Q116">IF(ISBLANK(INDEX(big_daily_table,MATCH(DATE(Q$5,$K116,$J116),daily_dates,0),MATCH($B$3,daily_items,0))),NA(),INDEX(big_daily_table,MATCH(DATE(Q$5,$K116,$J116),daily_dates,0),MATCH($B$3,daily_items,0)))</f>
        <v>#N/A</v>
      </c>
      <c r="R116" s="1" t="str">
        <f t="array" ref="R116">IF(ISBLANK(INDEX(big_daily_table,MATCH(DATE(R$5,$K116,$J116),daily_dates,0),MATCH($B$3,daily_items,0))),NA(),INDEX(big_daily_table,MATCH(DATE(R$5,$K116,$J116),daily_dates,0),MATCH($B$3,daily_items,0)))</f>
        <v>#N/A</v>
      </c>
      <c r="S116" s="1" t="str">
        <f t="array" ref="S116">IF(ISBLANK(INDEX(big_daily_table,MATCH(DATE(S$5,$K116,$J116),daily_dates,0),MATCH($B$3,daily_items,0))),NA(),INDEX(big_daily_table,MATCH(DATE(S$5,$K116,$J116),daily_dates,0),MATCH($B$3,daily_items,0)))</f>
        <v>#N/A</v>
      </c>
      <c r="T116" s="1" t="str">
        <f t="array" ref="T116">IF(ISBLANK(INDEX(big_daily_table,MATCH(DATE(T$5,$K116,$J116),daily_dates,0),MATCH($B$3,daily_items,0))),NA(),INDEX(big_daily_table,MATCH(DATE(T$5,$K116,$J116),daily_dates,0),MATCH($B$3,daily_items,0)))</f>
        <v>#N/A</v>
      </c>
      <c r="U116" s="1" t="str">
        <f t="array" ref="U116">IF(ISBLANK(INDEX(big_daily_table,MATCH(DATE(U$5,$K116,$J116),daily_dates,0),MATCH($B$3,daily_items,0))),NA(),INDEX(big_daily_table,MATCH(DATE(U$5,$K116,$J116),daily_dates,0),MATCH($B$3,daily_items,0)))</f>
        <v>#N/A</v>
      </c>
      <c r="V116" s="1" t="str">
        <f t="array" ref="V116">IF(ISBLANK(INDEX(big_daily_table,MATCH(DATE(V$5,$K116,$J116),daily_dates,0),MATCH($B$3,daily_items,0))),NA(),INDEX(big_daily_table,MATCH(DATE(V$5,$K116,$J116),daily_dates,0),MATCH($B$3,daily_items,0)))</f>
        <v>#N/A</v>
      </c>
      <c r="W116" s="1" t="str">
        <f t="array" ref="W116">IF(ISBLANK(INDEX(big_daily_table,MATCH(DATE(W$5,$K116,$J116),daily_dates,0),MATCH($B$3,daily_items,0))),NA(),INDEX(big_daily_table,MATCH(DATE(W$5,$K116,$J116),daily_dates,0),MATCH($B$3,daily_items,0)))</f>
        <v>#N/A</v>
      </c>
      <c r="X116" s="1" t="str">
        <f t="array" ref="X116">IF(ISBLANK(INDEX(big_daily_table,MATCH(DATE(X$5,$K116,$J116),daily_dates,0),MATCH($B$3,daily_items,0))),NA(),INDEX(big_daily_table,MATCH(DATE(X$5,$K116,$J116),daily_dates,0),MATCH($B$3,daily_items,0)))</f>
        <v>#N/A</v>
      </c>
      <c r="Y116" s="1" t="str">
        <f t="array" ref="Y116">IF(ISBLANK(INDEX(big_daily_table,MATCH(DATE(Y$5,$K116,$J116),daily_dates,0),MATCH($B$3,daily_items,0))),NA(),INDEX(big_daily_table,MATCH(DATE(Y$5,$K116,$J116),daily_dates,0),MATCH($B$3,daily_items,0)))</f>
        <v>#N/A</v>
      </c>
      <c r="Z116" s="1" t="str">
        <f t="array" ref="Z116">IF(ISBLANK(INDEX(big_daily_table,MATCH(DATE(Z$5,$K116,$J116),daily_dates,0),MATCH($B$3,daily_items,0))),NA(),INDEX(big_daily_table,MATCH(DATE(Z$5,$K116,$J116),daily_dates,0),MATCH($B$3,daily_items,0)))</f>
        <v>#N/A</v>
      </c>
      <c r="AA116" s="1" t="str">
        <f t="shared" si="5"/>
        <v>#NAME?</v>
      </c>
      <c r="AB116" s="1" t="str">
        <f t="shared" si="6"/>
        <v>#NAME?</v>
      </c>
      <c r="AC116" s="1" t="str">
        <f t="shared" si="7"/>
        <v>#NAME?</v>
      </c>
      <c r="AD116" s="1" t="str">
        <f t="shared" si="8"/>
        <v>#NAME?</v>
      </c>
    </row>
    <row r="117" ht="14.25" customHeight="1">
      <c r="H117" s="1">
        <f t="shared" si="9"/>
        <v>112</v>
      </c>
      <c r="I117" s="1">
        <f>WEEKDAY('daily graphs'!K117)</f>
        <v>6</v>
      </c>
      <c r="J117" s="1">
        <f t="shared" si="2"/>
        <v>15</v>
      </c>
      <c r="K117" s="1">
        <f t="shared" si="3"/>
        <v>4</v>
      </c>
      <c r="L117" s="23">
        <f>'daily graphs'!K117 - I117</f>
        <v>36631</v>
      </c>
      <c r="M117" s="24">
        <f t="shared" si="4"/>
        <v>-1000000</v>
      </c>
      <c r="N117" s="24" t="str">
        <f t="array" ref="N117">IF(M117&gt;0,INDEX(big_daily_table,MATCH(DATE(O$5,$K117,$J117),daily_dates,0),MATCH($B$3,daily_items,0)),NA())</f>
        <v>#N/A</v>
      </c>
      <c r="O117" s="1" t="str">
        <f t="array" ref="O117">IF(M117&lt;0,INDEX(big_daily_table,MATCH(DATE(O$5,$K117,$J117),daily_dates,0),MATCH($B$3,daily_items,0)),NA())</f>
        <v>#N/A</v>
      </c>
      <c r="P117" s="1" t="str">
        <f t="array" ref="P117">IF(ISBLANK(INDEX(big_daily_table,MATCH(DATE(P$5,$K117,$J117),daily_dates,0),MATCH($B$3,daily_items,0))),NA(),INDEX(big_daily_table,MATCH(DATE(P$5,$K117,$J117),daily_dates,0),MATCH($B$3,daily_items,0)))</f>
        <v>#N/A</v>
      </c>
      <c r="Q117" s="1" t="str">
        <f t="array" ref="Q117">IF(ISBLANK(INDEX(big_daily_table,MATCH(DATE(Q$5,$K117,$J117),daily_dates,0),MATCH($B$3,daily_items,0))),NA(),INDEX(big_daily_table,MATCH(DATE(Q$5,$K117,$J117),daily_dates,0),MATCH($B$3,daily_items,0)))</f>
        <v>#N/A</v>
      </c>
      <c r="R117" s="1" t="str">
        <f t="array" ref="R117">IF(ISBLANK(INDEX(big_daily_table,MATCH(DATE(R$5,$K117,$J117),daily_dates,0),MATCH($B$3,daily_items,0))),NA(),INDEX(big_daily_table,MATCH(DATE(R$5,$K117,$J117),daily_dates,0),MATCH($B$3,daily_items,0)))</f>
        <v>#N/A</v>
      </c>
      <c r="S117" s="1" t="str">
        <f t="array" ref="S117">IF(ISBLANK(INDEX(big_daily_table,MATCH(DATE(S$5,$K117,$J117),daily_dates,0),MATCH($B$3,daily_items,0))),NA(),INDEX(big_daily_table,MATCH(DATE(S$5,$K117,$J117),daily_dates,0),MATCH($B$3,daily_items,0)))</f>
        <v>#N/A</v>
      </c>
      <c r="T117" s="1" t="str">
        <f t="array" ref="T117">IF(ISBLANK(INDEX(big_daily_table,MATCH(DATE(T$5,$K117,$J117),daily_dates,0),MATCH($B$3,daily_items,0))),NA(),INDEX(big_daily_table,MATCH(DATE(T$5,$K117,$J117),daily_dates,0),MATCH($B$3,daily_items,0)))</f>
        <v>#N/A</v>
      </c>
      <c r="U117" s="1" t="str">
        <f t="array" ref="U117">IF(ISBLANK(INDEX(big_daily_table,MATCH(DATE(U$5,$K117,$J117),daily_dates,0),MATCH($B$3,daily_items,0))),NA(),INDEX(big_daily_table,MATCH(DATE(U$5,$K117,$J117),daily_dates,0),MATCH($B$3,daily_items,0)))</f>
        <v>#N/A</v>
      </c>
      <c r="V117" s="1" t="str">
        <f t="array" ref="V117">IF(ISBLANK(INDEX(big_daily_table,MATCH(DATE(V$5,$K117,$J117),daily_dates,0),MATCH($B$3,daily_items,0))),NA(),INDEX(big_daily_table,MATCH(DATE(V$5,$K117,$J117),daily_dates,0),MATCH($B$3,daily_items,0)))</f>
        <v>#N/A</v>
      </c>
      <c r="W117" s="1" t="str">
        <f t="array" ref="W117">IF(ISBLANK(INDEX(big_daily_table,MATCH(DATE(W$5,$K117,$J117),daily_dates,0),MATCH($B$3,daily_items,0))),NA(),INDEX(big_daily_table,MATCH(DATE(W$5,$K117,$J117),daily_dates,0),MATCH($B$3,daily_items,0)))</f>
        <v>#N/A</v>
      </c>
      <c r="X117" s="1" t="str">
        <f t="array" ref="X117">IF(ISBLANK(INDEX(big_daily_table,MATCH(DATE(X$5,$K117,$J117),daily_dates,0),MATCH($B$3,daily_items,0))),NA(),INDEX(big_daily_table,MATCH(DATE(X$5,$K117,$J117),daily_dates,0),MATCH($B$3,daily_items,0)))</f>
        <v>#N/A</v>
      </c>
      <c r="Y117" s="1" t="str">
        <f t="array" ref="Y117">IF(ISBLANK(INDEX(big_daily_table,MATCH(DATE(Y$5,$K117,$J117),daily_dates,0),MATCH($B$3,daily_items,0))),NA(),INDEX(big_daily_table,MATCH(DATE(Y$5,$K117,$J117),daily_dates,0),MATCH($B$3,daily_items,0)))</f>
        <v>#N/A</v>
      </c>
      <c r="Z117" s="1" t="str">
        <f t="array" ref="Z117">IF(ISBLANK(INDEX(big_daily_table,MATCH(DATE(Z$5,$K117,$J117),daily_dates,0),MATCH($B$3,daily_items,0))),NA(),INDEX(big_daily_table,MATCH(DATE(Z$5,$K117,$J117),daily_dates,0),MATCH($B$3,daily_items,0)))</f>
        <v>#N/A</v>
      </c>
      <c r="AA117" s="1" t="str">
        <f t="shared" si="5"/>
        <v>#NAME?</v>
      </c>
      <c r="AB117" s="1" t="str">
        <f t="shared" si="6"/>
        <v>#NAME?</v>
      </c>
      <c r="AC117" s="1" t="str">
        <f t="shared" si="7"/>
        <v>#NAME?</v>
      </c>
      <c r="AD117" s="1" t="str">
        <f t="shared" si="8"/>
        <v>#NAME?</v>
      </c>
    </row>
    <row r="118" ht="14.25" customHeight="1">
      <c r="H118" s="1">
        <f t="shared" si="9"/>
        <v>113</v>
      </c>
      <c r="I118" s="1">
        <f>WEEKDAY('daily graphs'!K118)</f>
        <v>7</v>
      </c>
      <c r="J118" s="1">
        <f t="shared" si="2"/>
        <v>15</v>
      </c>
      <c r="K118" s="1">
        <f t="shared" si="3"/>
        <v>4</v>
      </c>
      <c r="L118" s="23">
        <f>'daily graphs'!K118 - I118</f>
        <v>36631</v>
      </c>
      <c r="M118" s="24">
        <f t="shared" si="4"/>
        <v>-1000000</v>
      </c>
      <c r="N118" s="24" t="str">
        <f t="array" ref="N118">IF(M118&gt;0,INDEX(big_daily_table,MATCH(DATE(O$5,$K118,$J118),daily_dates,0),MATCH($B$3,daily_items,0)),NA())</f>
        <v>#N/A</v>
      </c>
      <c r="O118" s="1" t="str">
        <f t="array" ref="O118">IF(M118&lt;0,INDEX(big_daily_table,MATCH(DATE(O$5,$K118,$J118),daily_dates,0),MATCH($B$3,daily_items,0)),NA())</f>
        <v>#N/A</v>
      </c>
      <c r="P118" s="1" t="str">
        <f t="array" ref="P118">IF(ISBLANK(INDEX(big_daily_table,MATCH(DATE(P$5,$K118,$J118),daily_dates,0),MATCH($B$3,daily_items,0))),NA(),INDEX(big_daily_table,MATCH(DATE(P$5,$K118,$J118),daily_dates,0),MATCH($B$3,daily_items,0)))</f>
        <v>#N/A</v>
      </c>
      <c r="Q118" s="1" t="str">
        <f t="array" ref="Q118">IF(ISBLANK(INDEX(big_daily_table,MATCH(DATE(Q$5,$K118,$J118),daily_dates,0),MATCH($B$3,daily_items,0))),NA(),INDEX(big_daily_table,MATCH(DATE(Q$5,$K118,$J118),daily_dates,0),MATCH($B$3,daily_items,0)))</f>
        <v>#N/A</v>
      </c>
      <c r="R118" s="1" t="str">
        <f t="array" ref="R118">IF(ISBLANK(INDEX(big_daily_table,MATCH(DATE(R$5,$K118,$J118),daily_dates,0),MATCH($B$3,daily_items,0))),NA(),INDEX(big_daily_table,MATCH(DATE(R$5,$K118,$J118),daily_dates,0),MATCH($B$3,daily_items,0)))</f>
        <v>#N/A</v>
      </c>
      <c r="S118" s="1" t="str">
        <f t="array" ref="S118">IF(ISBLANK(INDEX(big_daily_table,MATCH(DATE(S$5,$K118,$J118),daily_dates,0),MATCH($B$3,daily_items,0))),NA(),INDEX(big_daily_table,MATCH(DATE(S$5,$K118,$J118),daily_dates,0),MATCH($B$3,daily_items,0)))</f>
        <v>#N/A</v>
      </c>
      <c r="T118" s="1" t="str">
        <f t="array" ref="T118">IF(ISBLANK(INDEX(big_daily_table,MATCH(DATE(T$5,$K118,$J118),daily_dates,0),MATCH($B$3,daily_items,0))),NA(),INDEX(big_daily_table,MATCH(DATE(T$5,$K118,$J118),daily_dates,0),MATCH($B$3,daily_items,0)))</f>
        <v>#N/A</v>
      </c>
      <c r="U118" s="1" t="str">
        <f t="array" ref="U118">IF(ISBLANK(INDEX(big_daily_table,MATCH(DATE(U$5,$K118,$J118),daily_dates,0),MATCH($B$3,daily_items,0))),NA(),INDEX(big_daily_table,MATCH(DATE(U$5,$K118,$J118),daily_dates,0),MATCH($B$3,daily_items,0)))</f>
        <v>#N/A</v>
      </c>
      <c r="V118" s="1" t="str">
        <f t="array" ref="V118">IF(ISBLANK(INDEX(big_daily_table,MATCH(DATE(V$5,$K118,$J118),daily_dates,0),MATCH($B$3,daily_items,0))),NA(),INDEX(big_daily_table,MATCH(DATE(V$5,$K118,$J118),daily_dates,0),MATCH($B$3,daily_items,0)))</f>
        <v>#N/A</v>
      </c>
      <c r="W118" s="1" t="str">
        <f t="array" ref="W118">IF(ISBLANK(INDEX(big_daily_table,MATCH(DATE(W$5,$K118,$J118),daily_dates,0),MATCH($B$3,daily_items,0))),NA(),INDEX(big_daily_table,MATCH(DATE(W$5,$K118,$J118),daily_dates,0),MATCH($B$3,daily_items,0)))</f>
        <v>#N/A</v>
      </c>
      <c r="X118" s="1" t="str">
        <f t="array" ref="X118">IF(ISBLANK(INDEX(big_daily_table,MATCH(DATE(X$5,$K118,$J118),daily_dates,0),MATCH($B$3,daily_items,0))),NA(),INDEX(big_daily_table,MATCH(DATE(X$5,$K118,$J118),daily_dates,0),MATCH($B$3,daily_items,0)))</f>
        <v>#N/A</v>
      </c>
      <c r="Y118" s="1" t="str">
        <f t="array" ref="Y118">IF(ISBLANK(INDEX(big_daily_table,MATCH(DATE(Y$5,$K118,$J118),daily_dates,0),MATCH($B$3,daily_items,0))),NA(),INDEX(big_daily_table,MATCH(DATE(Y$5,$K118,$J118),daily_dates,0),MATCH($B$3,daily_items,0)))</f>
        <v>#N/A</v>
      </c>
      <c r="Z118" s="1" t="str">
        <f t="array" ref="Z118">IF(ISBLANK(INDEX(big_daily_table,MATCH(DATE(Z$5,$K118,$J118),daily_dates,0),MATCH($B$3,daily_items,0))),NA(),INDEX(big_daily_table,MATCH(DATE(Z$5,$K118,$J118),daily_dates,0),MATCH($B$3,daily_items,0)))</f>
        <v>#N/A</v>
      </c>
      <c r="AA118" s="1" t="str">
        <f t="shared" si="5"/>
        <v>#NAME?</v>
      </c>
      <c r="AB118" s="1" t="str">
        <f t="shared" si="6"/>
        <v>#NAME?</v>
      </c>
      <c r="AC118" s="1" t="str">
        <f t="shared" si="7"/>
        <v>#NAME?</v>
      </c>
      <c r="AD118" s="1" t="str">
        <f t="shared" si="8"/>
        <v>#NAME?</v>
      </c>
    </row>
    <row r="119" ht="14.25" customHeight="1">
      <c r="H119" s="1">
        <f t="shared" si="9"/>
        <v>114</v>
      </c>
      <c r="I119" s="1">
        <f>WEEKDAY('daily graphs'!K119)</f>
        <v>1</v>
      </c>
      <c r="J119" s="1">
        <f t="shared" si="2"/>
        <v>22</v>
      </c>
      <c r="K119" s="1">
        <f t="shared" si="3"/>
        <v>4</v>
      </c>
      <c r="L119" s="23">
        <f>'daily graphs'!K119 - I119</f>
        <v>36638</v>
      </c>
      <c r="M119" s="24">
        <f t="shared" si="4"/>
        <v>-1000000</v>
      </c>
      <c r="N119" s="24" t="str">
        <f t="array" ref="N119">IF(M119&gt;0,INDEX(big_daily_table,MATCH(DATE(O$5,$K119,$J119),daily_dates,0),MATCH($B$3,daily_items,0)),NA())</f>
        <v>#N/A</v>
      </c>
      <c r="O119" s="1" t="str">
        <f t="array" ref="O119">IF(M119&lt;0,INDEX(big_daily_table,MATCH(DATE(O$5,$K119,$J119),daily_dates,0),MATCH($B$3,daily_items,0)),NA())</f>
        <v>#N/A</v>
      </c>
      <c r="P119" s="1" t="str">
        <f t="array" ref="P119">IF(ISBLANK(INDEX(big_daily_table,MATCH(DATE(P$5,$K119,$J119),daily_dates,0),MATCH($B$3,daily_items,0))),NA(),INDEX(big_daily_table,MATCH(DATE(P$5,$K119,$J119),daily_dates,0),MATCH($B$3,daily_items,0)))</f>
        <v>#N/A</v>
      </c>
      <c r="Q119" s="1" t="str">
        <f t="array" ref="Q119">IF(ISBLANK(INDEX(big_daily_table,MATCH(DATE(Q$5,$K119,$J119),daily_dates,0),MATCH($B$3,daily_items,0))),NA(),INDEX(big_daily_table,MATCH(DATE(Q$5,$K119,$J119),daily_dates,0),MATCH($B$3,daily_items,0)))</f>
        <v>#N/A</v>
      </c>
      <c r="R119" s="1" t="str">
        <f t="array" ref="R119">IF(ISBLANK(INDEX(big_daily_table,MATCH(DATE(R$5,$K119,$J119),daily_dates,0),MATCH($B$3,daily_items,0))),NA(),INDEX(big_daily_table,MATCH(DATE(R$5,$K119,$J119),daily_dates,0),MATCH($B$3,daily_items,0)))</f>
        <v>#N/A</v>
      </c>
      <c r="S119" s="1" t="str">
        <f t="array" ref="S119">IF(ISBLANK(INDEX(big_daily_table,MATCH(DATE(S$5,$K119,$J119),daily_dates,0),MATCH($B$3,daily_items,0))),NA(),INDEX(big_daily_table,MATCH(DATE(S$5,$K119,$J119),daily_dates,0),MATCH($B$3,daily_items,0)))</f>
        <v>#N/A</v>
      </c>
      <c r="T119" s="1" t="str">
        <f t="array" ref="T119">IF(ISBLANK(INDEX(big_daily_table,MATCH(DATE(T$5,$K119,$J119),daily_dates,0),MATCH($B$3,daily_items,0))),NA(),INDEX(big_daily_table,MATCH(DATE(T$5,$K119,$J119),daily_dates,0),MATCH($B$3,daily_items,0)))</f>
        <v>#N/A</v>
      </c>
      <c r="U119" s="1" t="str">
        <f t="array" ref="U119">IF(ISBLANK(INDEX(big_daily_table,MATCH(DATE(U$5,$K119,$J119),daily_dates,0),MATCH($B$3,daily_items,0))),NA(),INDEX(big_daily_table,MATCH(DATE(U$5,$K119,$J119),daily_dates,0),MATCH($B$3,daily_items,0)))</f>
        <v>#N/A</v>
      </c>
      <c r="V119" s="1" t="str">
        <f t="array" ref="V119">IF(ISBLANK(INDEX(big_daily_table,MATCH(DATE(V$5,$K119,$J119),daily_dates,0),MATCH($B$3,daily_items,0))),NA(),INDEX(big_daily_table,MATCH(DATE(V$5,$K119,$J119),daily_dates,0),MATCH($B$3,daily_items,0)))</f>
        <v>#N/A</v>
      </c>
      <c r="W119" s="1" t="str">
        <f t="array" ref="W119">IF(ISBLANK(INDEX(big_daily_table,MATCH(DATE(W$5,$K119,$J119),daily_dates,0),MATCH($B$3,daily_items,0))),NA(),INDEX(big_daily_table,MATCH(DATE(W$5,$K119,$J119),daily_dates,0),MATCH($B$3,daily_items,0)))</f>
        <v>#N/A</v>
      </c>
      <c r="X119" s="1" t="str">
        <f t="array" ref="X119">IF(ISBLANK(INDEX(big_daily_table,MATCH(DATE(X$5,$K119,$J119),daily_dates,0),MATCH($B$3,daily_items,0))),NA(),INDEX(big_daily_table,MATCH(DATE(X$5,$K119,$J119),daily_dates,0),MATCH($B$3,daily_items,0)))</f>
        <v>#N/A</v>
      </c>
      <c r="Y119" s="1" t="str">
        <f t="array" ref="Y119">IF(ISBLANK(INDEX(big_daily_table,MATCH(DATE(Y$5,$K119,$J119),daily_dates,0),MATCH($B$3,daily_items,0))),NA(),INDEX(big_daily_table,MATCH(DATE(Y$5,$K119,$J119),daily_dates,0),MATCH($B$3,daily_items,0)))</f>
        <v>#N/A</v>
      </c>
      <c r="Z119" s="1" t="str">
        <f t="array" ref="Z119">IF(ISBLANK(INDEX(big_daily_table,MATCH(DATE(Z$5,$K119,$J119),daily_dates,0),MATCH($B$3,daily_items,0))),NA(),INDEX(big_daily_table,MATCH(DATE(Z$5,$K119,$J119),daily_dates,0),MATCH($B$3,daily_items,0)))</f>
        <v>#N/A</v>
      </c>
      <c r="AA119" s="1" t="str">
        <f t="shared" si="5"/>
        <v>#NAME?</v>
      </c>
      <c r="AB119" s="1" t="str">
        <f t="shared" si="6"/>
        <v>#NAME?</v>
      </c>
      <c r="AC119" s="1" t="str">
        <f t="shared" si="7"/>
        <v>#NAME?</v>
      </c>
      <c r="AD119" s="1" t="str">
        <f t="shared" si="8"/>
        <v>#NAME?</v>
      </c>
    </row>
    <row r="120" ht="14.25" customHeight="1">
      <c r="H120" s="1">
        <f t="shared" si="9"/>
        <v>115</v>
      </c>
      <c r="I120" s="1">
        <f>WEEKDAY('daily graphs'!K120)</f>
        <v>2</v>
      </c>
      <c r="J120" s="1">
        <f t="shared" si="2"/>
        <v>22</v>
      </c>
      <c r="K120" s="1">
        <f t="shared" si="3"/>
        <v>4</v>
      </c>
      <c r="L120" s="23">
        <f>'daily graphs'!K120 - I120</f>
        <v>36638</v>
      </c>
      <c r="M120" s="24">
        <f t="shared" si="4"/>
        <v>-1000000</v>
      </c>
      <c r="N120" s="24" t="str">
        <f t="array" ref="N120">IF(M120&gt;0,INDEX(big_daily_table,MATCH(DATE(O$5,$K120,$J120),daily_dates,0),MATCH($B$3,daily_items,0)),NA())</f>
        <v>#N/A</v>
      </c>
      <c r="O120" s="1" t="str">
        <f t="array" ref="O120">IF(M120&lt;0,INDEX(big_daily_table,MATCH(DATE(O$5,$K120,$J120),daily_dates,0),MATCH($B$3,daily_items,0)),NA())</f>
        <v>#N/A</v>
      </c>
      <c r="P120" s="1" t="str">
        <f t="array" ref="P120">IF(ISBLANK(INDEX(big_daily_table,MATCH(DATE(P$5,$K120,$J120),daily_dates,0),MATCH($B$3,daily_items,0))),NA(),INDEX(big_daily_table,MATCH(DATE(P$5,$K120,$J120),daily_dates,0),MATCH($B$3,daily_items,0)))</f>
        <v>#N/A</v>
      </c>
      <c r="Q120" s="1" t="str">
        <f t="array" ref="Q120">IF(ISBLANK(INDEX(big_daily_table,MATCH(DATE(Q$5,$K120,$J120),daily_dates,0),MATCH($B$3,daily_items,0))),NA(),INDEX(big_daily_table,MATCH(DATE(Q$5,$K120,$J120),daily_dates,0),MATCH($B$3,daily_items,0)))</f>
        <v>#N/A</v>
      </c>
      <c r="R120" s="1" t="str">
        <f t="array" ref="R120">IF(ISBLANK(INDEX(big_daily_table,MATCH(DATE(R$5,$K120,$J120),daily_dates,0),MATCH($B$3,daily_items,0))),NA(),INDEX(big_daily_table,MATCH(DATE(R$5,$K120,$J120),daily_dates,0),MATCH($B$3,daily_items,0)))</f>
        <v>#N/A</v>
      </c>
      <c r="S120" s="1" t="str">
        <f t="array" ref="S120">IF(ISBLANK(INDEX(big_daily_table,MATCH(DATE(S$5,$K120,$J120),daily_dates,0),MATCH($B$3,daily_items,0))),NA(),INDEX(big_daily_table,MATCH(DATE(S$5,$K120,$J120),daily_dates,0),MATCH($B$3,daily_items,0)))</f>
        <v>#N/A</v>
      </c>
      <c r="T120" s="1" t="str">
        <f t="array" ref="T120">IF(ISBLANK(INDEX(big_daily_table,MATCH(DATE(T$5,$K120,$J120),daily_dates,0),MATCH($B$3,daily_items,0))),NA(),INDEX(big_daily_table,MATCH(DATE(T$5,$K120,$J120),daily_dates,0),MATCH($B$3,daily_items,0)))</f>
        <v>#N/A</v>
      </c>
      <c r="U120" s="1" t="str">
        <f t="array" ref="U120">IF(ISBLANK(INDEX(big_daily_table,MATCH(DATE(U$5,$K120,$J120),daily_dates,0),MATCH($B$3,daily_items,0))),NA(),INDEX(big_daily_table,MATCH(DATE(U$5,$K120,$J120),daily_dates,0),MATCH($B$3,daily_items,0)))</f>
        <v>#N/A</v>
      </c>
      <c r="V120" s="1" t="str">
        <f t="array" ref="V120">IF(ISBLANK(INDEX(big_daily_table,MATCH(DATE(V$5,$K120,$J120),daily_dates,0),MATCH($B$3,daily_items,0))),NA(),INDEX(big_daily_table,MATCH(DATE(V$5,$K120,$J120),daily_dates,0),MATCH($B$3,daily_items,0)))</f>
        <v>#N/A</v>
      </c>
      <c r="W120" s="1" t="str">
        <f t="array" ref="W120">IF(ISBLANK(INDEX(big_daily_table,MATCH(DATE(W$5,$K120,$J120),daily_dates,0),MATCH($B$3,daily_items,0))),NA(),INDEX(big_daily_table,MATCH(DATE(W$5,$K120,$J120),daily_dates,0),MATCH($B$3,daily_items,0)))</f>
        <v>#N/A</v>
      </c>
      <c r="X120" s="1" t="str">
        <f t="array" ref="X120">IF(ISBLANK(INDEX(big_daily_table,MATCH(DATE(X$5,$K120,$J120),daily_dates,0),MATCH($B$3,daily_items,0))),NA(),INDEX(big_daily_table,MATCH(DATE(X$5,$K120,$J120),daily_dates,0),MATCH($B$3,daily_items,0)))</f>
        <v>#N/A</v>
      </c>
      <c r="Y120" s="1" t="str">
        <f t="array" ref="Y120">IF(ISBLANK(INDEX(big_daily_table,MATCH(DATE(Y$5,$K120,$J120),daily_dates,0),MATCH($B$3,daily_items,0))),NA(),INDEX(big_daily_table,MATCH(DATE(Y$5,$K120,$J120),daily_dates,0),MATCH($B$3,daily_items,0)))</f>
        <v>#N/A</v>
      </c>
      <c r="Z120" s="1" t="str">
        <f t="array" ref="Z120">IF(ISBLANK(INDEX(big_daily_table,MATCH(DATE(Z$5,$K120,$J120),daily_dates,0),MATCH($B$3,daily_items,0))),NA(),INDEX(big_daily_table,MATCH(DATE(Z$5,$K120,$J120),daily_dates,0),MATCH($B$3,daily_items,0)))</f>
        <v>#N/A</v>
      </c>
      <c r="AA120" s="1" t="str">
        <f t="shared" si="5"/>
        <v>#NAME?</v>
      </c>
      <c r="AB120" s="1" t="str">
        <f t="shared" si="6"/>
        <v>#NAME?</v>
      </c>
      <c r="AC120" s="1" t="str">
        <f t="shared" si="7"/>
        <v>#NAME?</v>
      </c>
      <c r="AD120" s="1" t="str">
        <f t="shared" si="8"/>
        <v>#NAME?</v>
      </c>
    </row>
    <row r="121" ht="14.25" customHeight="1">
      <c r="H121" s="1">
        <f t="shared" si="9"/>
        <v>116</v>
      </c>
      <c r="I121" s="1">
        <f>WEEKDAY('daily graphs'!K121)</f>
        <v>3</v>
      </c>
      <c r="J121" s="1">
        <f t="shared" si="2"/>
        <v>22</v>
      </c>
      <c r="K121" s="1">
        <f t="shared" si="3"/>
        <v>4</v>
      </c>
      <c r="L121" s="23">
        <f>'daily graphs'!K121 - I121</f>
        <v>36638</v>
      </c>
      <c r="M121" s="24">
        <f t="shared" si="4"/>
        <v>-1000000</v>
      </c>
      <c r="N121" s="24" t="str">
        <f t="array" ref="N121">IF(M121&gt;0,INDEX(big_daily_table,MATCH(DATE(O$5,$K121,$J121),daily_dates,0),MATCH($B$3,daily_items,0)),NA())</f>
        <v>#N/A</v>
      </c>
      <c r="O121" s="1" t="str">
        <f t="array" ref="O121">IF(M121&lt;0,INDEX(big_daily_table,MATCH(DATE(O$5,$K121,$J121),daily_dates,0),MATCH($B$3,daily_items,0)),NA())</f>
        <v>#N/A</v>
      </c>
      <c r="P121" s="1" t="str">
        <f t="array" ref="P121">IF(ISBLANK(INDEX(big_daily_table,MATCH(DATE(P$5,$K121,$J121),daily_dates,0),MATCH($B$3,daily_items,0))),NA(),INDEX(big_daily_table,MATCH(DATE(P$5,$K121,$J121),daily_dates,0),MATCH($B$3,daily_items,0)))</f>
        <v>#N/A</v>
      </c>
      <c r="Q121" s="1" t="str">
        <f t="array" ref="Q121">IF(ISBLANK(INDEX(big_daily_table,MATCH(DATE(Q$5,$K121,$J121),daily_dates,0),MATCH($B$3,daily_items,0))),NA(),INDEX(big_daily_table,MATCH(DATE(Q$5,$K121,$J121),daily_dates,0),MATCH($B$3,daily_items,0)))</f>
        <v>#N/A</v>
      </c>
      <c r="R121" s="1" t="str">
        <f t="array" ref="R121">IF(ISBLANK(INDEX(big_daily_table,MATCH(DATE(R$5,$K121,$J121),daily_dates,0),MATCH($B$3,daily_items,0))),NA(),INDEX(big_daily_table,MATCH(DATE(R$5,$K121,$J121),daily_dates,0),MATCH($B$3,daily_items,0)))</f>
        <v>#N/A</v>
      </c>
      <c r="S121" s="1" t="str">
        <f t="array" ref="S121">IF(ISBLANK(INDEX(big_daily_table,MATCH(DATE(S$5,$K121,$J121),daily_dates,0),MATCH($B$3,daily_items,0))),NA(),INDEX(big_daily_table,MATCH(DATE(S$5,$K121,$J121),daily_dates,0),MATCH($B$3,daily_items,0)))</f>
        <v>#N/A</v>
      </c>
      <c r="T121" s="1" t="str">
        <f t="array" ref="T121">IF(ISBLANK(INDEX(big_daily_table,MATCH(DATE(T$5,$K121,$J121),daily_dates,0),MATCH($B$3,daily_items,0))),NA(),INDEX(big_daily_table,MATCH(DATE(T$5,$K121,$J121),daily_dates,0),MATCH($B$3,daily_items,0)))</f>
        <v>#N/A</v>
      </c>
      <c r="U121" s="1" t="str">
        <f t="array" ref="U121">IF(ISBLANK(INDEX(big_daily_table,MATCH(DATE(U$5,$K121,$J121),daily_dates,0),MATCH($B$3,daily_items,0))),NA(),INDEX(big_daily_table,MATCH(DATE(U$5,$K121,$J121),daily_dates,0),MATCH($B$3,daily_items,0)))</f>
        <v>#N/A</v>
      </c>
      <c r="V121" s="1" t="str">
        <f t="array" ref="V121">IF(ISBLANK(INDEX(big_daily_table,MATCH(DATE(V$5,$K121,$J121),daily_dates,0),MATCH($B$3,daily_items,0))),NA(),INDEX(big_daily_table,MATCH(DATE(V$5,$K121,$J121),daily_dates,0),MATCH($B$3,daily_items,0)))</f>
        <v>#N/A</v>
      </c>
      <c r="W121" s="1" t="str">
        <f t="array" ref="W121">IF(ISBLANK(INDEX(big_daily_table,MATCH(DATE(W$5,$K121,$J121),daily_dates,0),MATCH($B$3,daily_items,0))),NA(),INDEX(big_daily_table,MATCH(DATE(W$5,$K121,$J121),daily_dates,0),MATCH($B$3,daily_items,0)))</f>
        <v>#N/A</v>
      </c>
      <c r="X121" s="1" t="str">
        <f t="array" ref="X121">IF(ISBLANK(INDEX(big_daily_table,MATCH(DATE(X$5,$K121,$J121),daily_dates,0),MATCH($B$3,daily_items,0))),NA(),INDEX(big_daily_table,MATCH(DATE(X$5,$K121,$J121),daily_dates,0),MATCH($B$3,daily_items,0)))</f>
        <v>#N/A</v>
      </c>
      <c r="Y121" s="1" t="str">
        <f t="array" ref="Y121">IF(ISBLANK(INDEX(big_daily_table,MATCH(DATE(Y$5,$K121,$J121),daily_dates,0),MATCH($B$3,daily_items,0))),NA(),INDEX(big_daily_table,MATCH(DATE(Y$5,$K121,$J121),daily_dates,0),MATCH($B$3,daily_items,0)))</f>
        <v>#N/A</v>
      </c>
      <c r="Z121" s="1" t="str">
        <f t="array" ref="Z121">IF(ISBLANK(INDEX(big_daily_table,MATCH(DATE(Z$5,$K121,$J121),daily_dates,0),MATCH($B$3,daily_items,0))),NA(),INDEX(big_daily_table,MATCH(DATE(Z$5,$K121,$J121),daily_dates,0),MATCH($B$3,daily_items,0)))</f>
        <v>#N/A</v>
      </c>
      <c r="AA121" s="1" t="str">
        <f t="shared" si="5"/>
        <v>#NAME?</v>
      </c>
      <c r="AB121" s="1" t="str">
        <f t="shared" si="6"/>
        <v>#NAME?</v>
      </c>
      <c r="AC121" s="1" t="str">
        <f t="shared" si="7"/>
        <v>#NAME?</v>
      </c>
      <c r="AD121" s="1" t="str">
        <f t="shared" si="8"/>
        <v>#NAME?</v>
      </c>
    </row>
    <row r="122" ht="14.25" customHeight="1">
      <c r="H122" s="1">
        <f t="shared" si="9"/>
        <v>117</v>
      </c>
      <c r="I122" s="1">
        <f>WEEKDAY('daily graphs'!K122)</f>
        <v>4</v>
      </c>
      <c r="J122" s="1">
        <f t="shared" si="2"/>
        <v>22</v>
      </c>
      <c r="K122" s="1">
        <f t="shared" si="3"/>
        <v>4</v>
      </c>
      <c r="L122" s="23">
        <f>'daily graphs'!K122 - I122</f>
        <v>36638</v>
      </c>
      <c r="M122" s="24">
        <f t="shared" si="4"/>
        <v>-1000000</v>
      </c>
      <c r="N122" s="24" t="str">
        <f t="array" ref="N122">IF(M122&gt;0,INDEX(big_daily_table,MATCH(DATE(O$5,$K122,$J122),daily_dates,0),MATCH($B$3,daily_items,0)),NA())</f>
        <v>#N/A</v>
      </c>
      <c r="O122" s="1" t="str">
        <f t="array" ref="O122">IF(M122&lt;0,INDEX(big_daily_table,MATCH(DATE(O$5,$K122,$J122),daily_dates,0),MATCH($B$3,daily_items,0)),NA())</f>
        <v>#N/A</v>
      </c>
      <c r="P122" s="1" t="str">
        <f t="array" ref="P122">IF(ISBLANK(INDEX(big_daily_table,MATCH(DATE(P$5,$K122,$J122),daily_dates,0),MATCH($B$3,daily_items,0))),NA(),INDEX(big_daily_table,MATCH(DATE(P$5,$K122,$J122),daily_dates,0),MATCH($B$3,daily_items,0)))</f>
        <v>#N/A</v>
      </c>
      <c r="Q122" s="1" t="str">
        <f t="array" ref="Q122">IF(ISBLANK(INDEX(big_daily_table,MATCH(DATE(Q$5,$K122,$J122),daily_dates,0),MATCH($B$3,daily_items,0))),NA(),INDEX(big_daily_table,MATCH(DATE(Q$5,$K122,$J122),daily_dates,0),MATCH($B$3,daily_items,0)))</f>
        <v>#N/A</v>
      </c>
      <c r="R122" s="1" t="str">
        <f t="array" ref="R122">IF(ISBLANK(INDEX(big_daily_table,MATCH(DATE(R$5,$K122,$J122),daily_dates,0),MATCH($B$3,daily_items,0))),NA(),INDEX(big_daily_table,MATCH(DATE(R$5,$K122,$J122),daily_dates,0),MATCH($B$3,daily_items,0)))</f>
        <v>#N/A</v>
      </c>
      <c r="S122" s="1" t="str">
        <f t="array" ref="S122">IF(ISBLANK(INDEX(big_daily_table,MATCH(DATE(S$5,$K122,$J122),daily_dates,0),MATCH($B$3,daily_items,0))),NA(),INDEX(big_daily_table,MATCH(DATE(S$5,$K122,$J122),daily_dates,0),MATCH($B$3,daily_items,0)))</f>
        <v>#N/A</v>
      </c>
      <c r="T122" s="1" t="str">
        <f t="array" ref="T122">IF(ISBLANK(INDEX(big_daily_table,MATCH(DATE(T$5,$K122,$J122),daily_dates,0),MATCH($B$3,daily_items,0))),NA(),INDEX(big_daily_table,MATCH(DATE(T$5,$K122,$J122),daily_dates,0),MATCH($B$3,daily_items,0)))</f>
        <v>#N/A</v>
      </c>
      <c r="U122" s="1" t="str">
        <f t="array" ref="U122">IF(ISBLANK(INDEX(big_daily_table,MATCH(DATE(U$5,$K122,$J122),daily_dates,0),MATCH($B$3,daily_items,0))),NA(),INDEX(big_daily_table,MATCH(DATE(U$5,$K122,$J122),daily_dates,0),MATCH($B$3,daily_items,0)))</f>
        <v>#N/A</v>
      </c>
      <c r="V122" s="1" t="str">
        <f t="array" ref="V122">IF(ISBLANK(INDEX(big_daily_table,MATCH(DATE(V$5,$K122,$J122),daily_dates,0),MATCH($B$3,daily_items,0))),NA(),INDEX(big_daily_table,MATCH(DATE(V$5,$K122,$J122),daily_dates,0),MATCH($B$3,daily_items,0)))</f>
        <v>#N/A</v>
      </c>
      <c r="W122" s="1" t="str">
        <f t="array" ref="W122">IF(ISBLANK(INDEX(big_daily_table,MATCH(DATE(W$5,$K122,$J122),daily_dates,0),MATCH($B$3,daily_items,0))),NA(),INDEX(big_daily_table,MATCH(DATE(W$5,$K122,$J122),daily_dates,0),MATCH($B$3,daily_items,0)))</f>
        <v>#N/A</v>
      </c>
      <c r="X122" s="1" t="str">
        <f t="array" ref="X122">IF(ISBLANK(INDEX(big_daily_table,MATCH(DATE(X$5,$K122,$J122),daily_dates,0),MATCH($B$3,daily_items,0))),NA(),INDEX(big_daily_table,MATCH(DATE(X$5,$K122,$J122),daily_dates,0),MATCH($B$3,daily_items,0)))</f>
        <v>#N/A</v>
      </c>
      <c r="Y122" s="1" t="str">
        <f t="array" ref="Y122">IF(ISBLANK(INDEX(big_daily_table,MATCH(DATE(Y$5,$K122,$J122),daily_dates,0),MATCH($B$3,daily_items,0))),NA(),INDEX(big_daily_table,MATCH(DATE(Y$5,$K122,$J122),daily_dates,0),MATCH($B$3,daily_items,0)))</f>
        <v>#N/A</v>
      </c>
      <c r="Z122" s="1" t="str">
        <f t="array" ref="Z122">IF(ISBLANK(INDEX(big_daily_table,MATCH(DATE(Z$5,$K122,$J122),daily_dates,0),MATCH($B$3,daily_items,0))),NA(),INDEX(big_daily_table,MATCH(DATE(Z$5,$K122,$J122),daily_dates,0),MATCH($B$3,daily_items,0)))</f>
        <v>#N/A</v>
      </c>
      <c r="AA122" s="1" t="str">
        <f t="shared" si="5"/>
        <v>#NAME?</v>
      </c>
      <c r="AB122" s="1" t="str">
        <f t="shared" si="6"/>
        <v>#NAME?</v>
      </c>
      <c r="AC122" s="1" t="str">
        <f t="shared" si="7"/>
        <v>#NAME?</v>
      </c>
      <c r="AD122" s="1" t="str">
        <f t="shared" si="8"/>
        <v>#NAME?</v>
      </c>
    </row>
    <row r="123" ht="14.25" customHeight="1">
      <c r="H123" s="1">
        <f t="shared" si="9"/>
        <v>118</v>
      </c>
      <c r="I123" s="1">
        <f>WEEKDAY('daily graphs'!K123)</f>
        <v>5</v>
      </c>
      <c r="J123" s="1">
        <f t="shared" si="2"/>
        <v>22</v>
      </c>
      <c r="K123" s="1">
        <f t="shared" si="3"/>
        <v>4</v>
      </c>
      <c r="L123" s="23">
        <f>'daily graphs'!K123 - I123</f>
        <v>36638</v>
      </c>
      <c r="M123" s="24">
        <f t="shared" si="4"/>
        <v>-1000000</v>
      </c>
      <c r="N123" s="24" t="str">
        <f t="array" ref="N123">IF(M123&gt;0,INDEX(big_daily_table,MATCH(DATE(O$5,$K123,$J123),daily_dates,0),MATCH($B$3,daily_items,0)),NA())</f>
        <v>#N/A</v>
      </c>
      <c r="O123" s="1" t="str">
        <f t="array" ref="O123">IF(M123&lt;0,INDEX(big_daily_table,MATCH(DATE(O$5,$K123,$J123),daily_dates,0),MATCH($B$3,daily_items,0)),NA())</f>
        <v>#N/A</v>
      </c>
      <c r="P123" s="1" t="str">
        <f t="array" ref="P123">IF(ISBLANK(INDEX(big_daily_table,MATCH(DATE(P$5,$K123,$J123),daily_dates,0),MATCH($B$3,daily_items,0))),NA(),INDEX(big_daily_table,MATCH(DATE(P$5,$K123,$J123),daily_dates,0),MATCH($B$3,daily_items,0)))</f>
        <v>#N/A</v>
      </c>
      <c r="Q123" s="1" t="str">
        <f t="array" ref="Q123">IF(ISBLANK(INDEX(big_daily_table,MATCH(DATE(Q$5,$K123,$J123),daily_dates,0),MATCH($B$3,daily_items,0))),NA(),INDEX(big_daily_table,MATCH(DATE(Q$5,$K123,$J123),daily_dates,0),MATCH($B$3,daily_items,0)))</f>
        <v>#N/A</v>
      </c>
      <c r="R123" s="1" t="str">
        <f t="array" ref="R123">IF(ISBLANK(INDEX(big_daily_table,MATCH(DATE(R$5,$K123,$J123),daily_dates,0),MATCH($B$3,daily_items,0))),NA(),INDEX(big_daily_table,MATCH(DATE(R$5,$K123,$J123),daily_dates,0),MATCH($B$3,daily_items,0)))</f>
        <v>#N/A</v>
      </c>
      <c r="S123" s="1" t="str">
        <f t="array" ref="S123">IF(ISBLANK(INDEX(big_daily_table,MATCH(DATE(S$5,$K123,$J123),daily_dates,0),MATCH($B$3,daily_items,0))),NA(),INDEX(big_daily_table,MATCH(DATE(S$5,$K123,$J123),daily_dates,0),MATCH($B$3,daily_items,0)))</f>
        <v>#N/A</v>
      </c>
      <c r="T123" s="1" t="str">
        <f t="array" ref="T123">IF(ISBLANK(INDEX(big_daily_table,MATCH(DATE(T$5,$K123,$J123),daily_dates,0),MATCH($B$3,daily_items,0))),NA(),INDEX(big_daily_table,MATCH(DATE(T$5,$K123,$J123),daily_dates,0),MATCH($B$3,daily_items,0)))</f>
        <v>#N/A</v>
      </c>
      <c r="U123" s="1" t="str">
        <f t="array" ref="U123">IF(ISBLANK(INDEX(big_daily_table,MATCH(DATE(U$5,$K123,$J123),daily_dates,0),MATCH($B$3,daily_items,0))),NA(),INDEX(big_daily_table,MATCH(DATE(U$5,$K123,$J123),daily_dates,0),MATCH($B$3,daily_items,0)))</f>
        <v>#N/A</v>
      </c>
      <c r="V123" s="1" t="str">
        <f t="array" ref="V123">IF(ISBLANK(INDEX(big_daily_table,MATCH(DATE(V$5,$K123,$J123),daily_dates,0),MATCH($B$3,daily_items,0))),NA(),INDEX(big_daily_table,MATCH(DATE(V$5,$K123,$J123),daily_dates,0),MATCH($B$3,daily_items,0)))</f>
        <v>#N/A</v>
      </c>
      <c r="W123" s="1" t="str">
        <f t="array" ref="W123">IF(ISBLANK(INDEX(big_daily_table,MATCH(DATE(W$5,$K123,$J123),daily_dates,0),MATCH($B$3,daily_items,0))),NA(),INDEX(big_daily_table,MATCH(DATE(W$5,$K123,$J123),daily_dates,0),MATCH($B$3,daily_items,0)))</f>
        <v>#N/A</v>
      </c>
      <c r="X123" s="1" t="str">
        <f t="array" ref="X123">IF(ISBLANK(INDEX(big_daily_table,MATCH(DATE(X$5,$K123,$J123),daily_dates,0),MATCH($B$3,daily_items,0))),NA(),INDEX(big_daily_table,MATCH(DATE(X$5,$K123,$J123),daily_dates,0),MATCH($B$3,daily_items,0)))</f>
        <v>#N/A</v>
      </c>
      <c r="Y123" s="1" t="str">
        <f t="array" ref="Y123">IF(ISBLANK(INDEX(big_daily_table,MATCH(DATE(Y$5,$K123,$J123),daily_dates,0),MATCH($B$3,daily_items,0))),NA(),INDEX(big_daily_table,MATCH(DATE(Y$5,$K123,$J123),daily_dates,0),MATCH($B$3,daily_items,0)))</f>
        <v>#N/A</v>
      </c>
      <c r="Z123" s="1" t="str">
        <f t="array" ref="Z123">IF(ISBLANK(INDEX(big_daily_table,MATCH(DATE(Z$5,$K123,$J123),daily_dates,0),MATCH($B$3,daily_items,0))),NA(),INDEX(big_daily_table,MATCH(DATE(Z$5,$K123,$J123),daily_dates,0),MATCH($B$3,daily_items,0)))</f>
        <v>#N/A</v>
      </c>
      <c r="AA123" s="1" t="str">
        <f t="shared" si="5"/>
        <v>#NAME?</v>
      </c>
      <c r="AB123" s="1" t="str">
        <f t="shared" si="6"/>
        <v>#NAME?</v>
      </c>
      <c r="AC123" s="1" t="str">
        <f t="shared" si="7"/>
        <v>#NAME?</v>
      </c>
      <c r="AD123" s="1" t="str">
        <f t="shared" si="8"/>
        <v>#NAME?</v>
      </c>
    </row>
    <row r="124" ht="14.25" customHeight="1">
      <c r="H124" s="1">
        <f t="shared" si="9"/>
        <v>119</v>
      </c>
      <c r="I124" s="1">
        <f>WEEKDAY('daily graphs'!K124)</f>
        <v>6</v>
      </c>
      <c r="J124" s="1">
        <f t="shared" si="2"/>
        <v>22</v>
      </c>
      <c r="K124" s="1">
        <f t="shared" si="3"/>
        <v>4</v>
      </c>
      <c r="L124" s="23">
        <f>'daily graphs'!K124 - I124</f>
        <v>36638</v>
      </c>
      <c r="M124" s="24">
        <f t="shared" si="4"/>
        <v>-1000000</v>
      </c>
      <c r="N124" s="24" t="str">
        <f t="array" ref="N124">IF(M124&gt;0,INDEX(big_daily_table,MATCH(DATE(O$5,$K124,$J124),daily_dates,0),MATCH($B$3,daily_items,0)),NA())</f>
        <v>#N/A</v>
      </c>
      <c r="O124" s="1" t="str">
        <f t="array" ref="O124">IF(M124&lt;0,INDEX(big_daily_table,MATCH(DATE(O$5,$K124,$J124),daily_dates,0),MATCH($B$3,daily_items,0)),NA())</f>
        <v>#N/A</v>
      </c>
      <c r="P124" s="1" t="str">
        <f t="array" ref="P124">IF(ISBLANK(INDEX(big_daily_table,MATCH(DATE(P$5,$K124,$J124),daily_dates,0),MATCH($B$3,daily_items,0))),NA(),INDEX(big_daily_table,MATCH(DATE(P$5,$K124,$J124),daily_dates,0),MATCH($B$3,daily_items,0)))</f>
        <v>#N/A</v>
      </c>
      <c r="Q124" s="1" t="str">
        <f t="array" ref="Q124">IF(ISBLANK(INDEX(big_daily_table,MATCH(DATE(Q$5,$K124,$J124),daily_dates,0),MATCH($B$3,daily_items,0))),NA(),INDEX(big_daily_table,MATCH(DATE(Q$5,$K124,$J124),daily_dates,0),MATCH($B$3,daily_items,0)))</f>
        <v>#N/A</v>
      </c>
      <c r="R124" s="1" t="str">
        <f t="array" ref="R124">IF(ISBLANK(INDEX(big_daily_table,MATCH(DATE(R$5,$K124,$J124),daily_dates,0),MATCH($B$3,daily_items,0))),NA(),INDEX(big_daily_table,MATCH(DATE(R$5,$K124,$J124),daily_dates,0),MATCH($B$3,daily_items,0)))</f>
        <v>#N/A</v>
      </c>
      <c r="S124" s="1" t="str">
        <f t="array" ref="S124">IF(ISBLANK(INDEX(big_daily_table,MATCH(DATE(S$5,$K124,$J124),daily_dates,0),MATCH($B$3,daily_items,0))),NA(),INDEX(big_daily_table,MATCH(DATE(S$5,$K124,$J124),daily_dates,0),MATCH($B$3,daily_items,0)))</f>
        <v>#N/A</v>
      </c>
      <c r="T124" s="1" t="str">
        <f t="array" ref="T124">IF(ISBLANK(INDEX(big_daily_table,MATCH(DATE(T$5,$K124,$J124),daily_dates,0),MATCH($B$3,daily_items,0))),NA(),INDEX(big_daily_table,MATCH(DATE(T$5,$K124,$J124),daily_dates,0),MATCH($B$3,daily_items,0)))</f>
        <v>#N/A</v>
      </c>
      <c r="U124" s="1" t="str">
        <f t="array" ref="U124">IF(ISBLANK(INDEX(big_daily_table,MATCH(DATE(U$5,$K124,$J124),daily_dates,0),MATCH($B$3,daily_items,0))),NA(),INDEX(big_daily_table,MATCH(DATE(U$5,$K124,$J124),daily_dates,0),MATCH($B$3,daily_items,0)))</f>
        <v>#N/A</v>
      </c>
      <c r="V124" s="1" t="str">
        <f t="array" ref="V124">IF(ISBLANK(INDEX(big_daily_table,MATCH(DATE(V$5,$K124,$J124),daily_dates,0),MATCH($B$3,daily_items,0))),NA(),INDEX(big_daily_table,MATCH(DATE(V$5,$K124,$J124),daily_dates,0),MATCH($B$3,daily_items,0)))</f>
        <v>#N/A</v>
      </c>
      <c r="W124" s="1" t="str">
        <f t="array" ref="W124">IF(ISBLANK(INDEX(big_daily_table,MATCH(DATE(W$5,$K124,$J124),daily_dates,0),MATCH($B$3,daily_items,0))),NA(),INDEX(big_daily_table,MATCH(DATE(W$5,$K124,$J124),daily_dates,0),MATCH($B$3,daily_items,0)))</f>
        <v>#N/A</v>
      </c>
      <c r="X124" s="1" t="str">
        <f t="array" ref="X124">IF(ISBLANK(INDEX(big_daily_table,MATCH(DATE(X$5,$K124,$J124),daily_dates,0),MATCH($B$3,daily_items,0))),NA(),INDEX(big_daily_table,MATCH(DATE(X$5,$K124,$J124),daily_dates,0),MATCH($B$3,daily_items,0)))</f>
        <v>#N/A</v>
      </c>
      <c r="Y124" s="1" t="str">
        <f t="array" ref="Y124">IF(ISBLANK(INDEX(big_daily_table,MATCH(DATE(Y$5,$K124,$J124),daily_dates,0),MATCH($B$3,daily_items,0))),NA(),INDEX(big_daily_table,MATCH(DATE(Y$5,$K124,$J124),daily_dates,0),MATCH($B$3,daily_items,0)))</f>
        <v>#N/A</v>
      </c>
      <c r="Z124" s="1" t="str">
        <f t="array" ref="Z124">IF(ISBLANK(INDEX(big_daily_table,MATCH(DATE(Z$5,$K124,$J124),daily_dates,0),MATCH($B$3,daily_items,0))),NA(),INDEX(big_daily_table,MATCH(DATE(Z$5,$K124,$J124),daily_dates,0),MATCH($B$3,daily_items,0)))</f>
        <v>#N/A</v>
      </c>
      <c r="AA124" s="1" t="str">
        <f t="shared" si="5"/>
        <v>#NAME?</v>
      </c>
      <c r="AB124" s="1" t="str">
        <f t="shared" si="6"/>
        <v>#NAME?</v>
      </c>
      <c r="AC124" s="1" t="str">
        <f t="shared" si="7"/>
        <v>#NAME?</v>
      </c>
      <c r="AD124" s="1" t="str">
        <f t="shared" si="8"/>
        <v>#NAME?</v>
      </c>
    </row>
    <row r="125" ht="14.25" customHeight="1">
      <c r="H125" s="1">
        <f t="shared" si="9"/>
        <v>120</v>
      </c>
      <c r="I125" s="1">
        <f>WEEKDAY('daily graphs'!K125)</f>
        <v>7</v>
      </c>
      <c r="J125" s="1">
        <f t="shared" si="2"/>
        <v>22</v>
      </c>
      <c r="K125" s="1">
        <f t="shared" si="3"/>
        <v>4</v>
      </c>
      <c r="L125" s="23">
        <f>'daily graphs'!K125 - I125</f>
        <v>36638</v>
      </c>
      <c r="M125" s="24">
        <f t="shared" si="4"/>
        <v>-1000000</v>
      </c>
      <c r="N125" s="24" t="str">
        <f t="array" ref="N125">IF(M125&gt;0,INDEX(big_daily_table,MATCH(DATE(O$5,$K125,$J125),daily_dates,0),MATCH($B$3,daily_items,0)),NA())</f>
        <v>#N/A</v>
      </c>
      <c r="O125" s="1" t="str">
        <f t="array" ref="O125">IF(M125&lt;0,INDEX(big_daily_table,MATCH(DATE(O$5,$K125,$J125),daily_dates,0),MATCH($B$3,daily_items,0)),NA())</f>
        <v>#N/A</v>
      </c>
      <c r="P125" s="1" t="str">
        <f t="array" ref="P125">IF(ISBLANK(INDEX(big_daily_table,MATCH(DATE(P$5,$K125,$J125),daily_dates,0),MATCH($B$3,daily_items,0))),NA(),INDEX(big_daily_table,MATCH(DATE(P$5,$K125,$J125),daily_dates,0),MATCH($B$3,daily_items,0)))</f>
        <v>#N/A</v>
      </c>
      <c r="Q125" s="1" t="str">
        <f t="array" ref="Q125">IF(ISBLANK(INDEX(big_daily_table,MATCH(DATE(Q$5,$K125,$J125),daily_dates,0),MATCH($B$3,daily_items,0))),NA(),INDEX(big_daily_table,MATCH(DATE(Q$5,$K125,$J125),daily_dates,0),MATCH($B$3,daily_items,0)))</f>
        <v>#N/A</v>
      </c>
      <c r="R125" s="1" t="str">
        <f t="array" ref="R125">IF(ISBLANK(INDEX(big_daily_table,MATCH(DATE(R$5,$K125,$J125),daily_dates,0),MATCH($B$3,daily_items,0))),NA(),INDEX(big_daily_table,MATCH(DATE(R$5,$K125,$J125),daily_dates,0),MATCH($B$3,daily_items,0)))</f>
        <v>#N/A</v>
      </c>
      <c r="S125" s="1" t="str">
        <f t="array" ref="S125">IF(ISBLANK(INDEX(big_daily_table,MATCH(DATE(S$5,$K125,$J125),daily_dates,0),MATCH($B$3,daily_items,0))),NA(),INDEX(big_daily_table,MATCH(DATE(S$5,$K125,$J125),daily_dates,0),MATCH($B$3,daily_items,0)))</f>
        <v>#N/A</v>
      </c>
      <c r="T125" s="1" t="str">
        <f t="array" ref="T125">IF(ISBLANK(INDEX(big_daily_table,MATCH(DATE(T$5,$K125,$J125),daily_dates,0),MATCH($B$3,daily_items,0))),NA(),INDEX(big_daily_table,MATCH(DATE(T$5,$K125,$J125),daily_dates,0),MATCH($B$3,daily_items,0)))</f>
        <v>#N/A</v>
      </c>
      <c r="U125" s="1" t="str">
        <f t="array" ref="U125">IF(ISBLANK(INDEX(big_daily_table,MATCH(DATE(U$5,$K125,$J125),daily_dates,0),MATCH($B$3,daily_items,0))),NA(),INDEX(big_daily_table,MATCH(DATE(U$5,$K125,$J125),daily_dates,0),MATCH($B$3,daily_items,0)))</f>
        <v>#N/A</v>
      </c>
      <c r="V125" s="1" t="str">
        <f t="array" ref="V125">IF(ISBLANK(INDEX(big_daily_table,MATCH(DATE(V$5,$K125,$J125),daily_dates,0),MATCH($B$3,daily_items,0))),NA(),INDEX(big_daily_table,MATCH(DATE(V$5,$K125,$J125),daily_dates,0),MATCH($B$3,daily_items,0)))</f>
        <v>#N/A</v>
      </c>
      <c r="W125" s="1" t="str">
        <f t="array" ref="W125">IF(ISBLANK(INDEX(big_daily_table,MATCH(DATE(W$5,$K125,$J125),daily_dates,0),MATCH($B$3,daily_items,0))),NA(),INDEX(big_daily_table,MATCH(DATE(W$5,$K125,$J125),daily_dates,0),MATCH($B$3,daily_items,0)))</f>
        <v>#N/A</v>
      </c>
      <c r="X125" s="1" t="str">
        <f t="array" ref="X125">IF(ISBLANK(INDEX(big_daily_table,MATCH(DATE(X$5,$K125,$J125),daily_dates,0),MATCH($B$3,daily_items,0))),NA(),INDEX(big_daily_table,MATCH(DATE(X$5,$K125,$J125),daily_dates,0),MATCH($B$3,daily_items,0)))</f>
        <v>#N/A</v>
      </c>
      <c r="Y125" s="1" t="str">
        <f t="array" ref="Y125">IF(ISBLANK(INDEX(big_daily_table,MATCH(DATE(Y$5,$K125,$J125),daily_dates,0),MATCH($B$3,daily_items,0))),NA(),INDEX(big_daily_table,MATCH(DATE(Y$5,$K125,$J125),daily_dates,0),MATCH($B$3,daily_items,0)))</f>
        <v>#N/A</v>
      </c>
      <c r="Z125" s="1" t="str">
        <f t="array" ref="Z125">IF(ISBLANK(INDEX(big_daily_table,MATCH(DATE(Z$5,$K125,$J125),daily_dates,0),MATCH($B$3,daily_items,0))),NA(),INDEX(big_daily_table,MATCH(DATE(Z$5,$K125,$J125),daily_dates,0),MATCH($B$3,daily_items,0)))</f>
        <v>#N/A</v>
      </c>
      <c r="AA125" s="1" t="str">
        <f t="shared" si="5"/>
        <v>#NAME?</v>
      </c>
      <c r="AB125" s="1" t="str">
        <f t="shared" si="6"/>
        <v>#NAME?</v>
      </c>
      <c r="AC125" s="1" t="str">
        <f t="shared" si="7"/>
        <v>#NAME?</v>
      </c>
      <c r="AD125" s="1" t="str">
        <f t="shared" si="8"/>
        <v>#NAME?</v>
      </c>
    </row>
    <row r="126" ht="14.25" customHeight="1">
      <c r="H126" s="1">
        <f t="shared" si="9"/>
        <v>121</v>
      </c>
      <c r="I126" s="1">
        <f>WEEKDAY('daily graphs'!K126)</f>
        <v>1</v>
      </c>
      <c r="J126" s="1">
        <f t="shared" si="2"/>
        <v>29</v>
      </c>
      <c r="K126" s="1">
        <f t="shared" si="3"/>
        <v>4</v>
      </c>
      <c r="L126" s="23">
        <f>'daily graphs'!K126 - I126</f>
        <v>36645</v>
      </c>
      <c r="M126" s="24">
        <f t="shared" si="4"/>
        <v>-1000000</v>
      </c>
      <c r="N126" s="24" t="str">
        <f t="array" ref="N126">IF(M126&gt;0,INDEX(big_daily_table,MATCH(DATE(O$5,$K126,$J126),daily_dates,0),MATCH($B$3,daily_items,0)),NA())</f>
        <v>#N/A</v>
      </c>
      <c r="O126" s="1" t="str">
        <f t="array" ref="O126">IF(M126&lt;0,INDEX(big_daily_table,MATCH(DATE(O$5,$K126,$J126),daily_dates,0),MATCH($B$3,daily_items,0)),NA())</f>
        <v>#N/A</v>
      </c>
      <c r="P126" s="1" t="str">
        <f t="array" ref="P126">IF(ISBLANK(INDEX(big_daily_table,MATCH(DATE(P$5,$K126,$J126),daily_dates,0),MATCH($B$3,daily_items,0))),NA(),INDEX(big_daily_table,MATCH(DATE(P$5,$K126,$J126),daily_dates,0),MATCH($B$3,daily_items,0)))</f>
        <v>#N/A</v>
      </c>
      <c r="Q126" s="1" t="str">
        <f t="array" ref="Q126">IF(ISBLANK(INDEX(big_daily_table,MATCH(DATE(Q$5,$K126,$J126),daily_dates,0),MATCH($B$3,daily_items,0))),NA(),INDEX(big_daily_table,MATCH(DATE(Q$5,$K126,$J126),daily_dates,0),MATCH($B$3,daily_items,0)))</f>
        <v>#N/A</v>
      </c>
      <c r="R126" s="1" t="str">
        <f t="array" ref="R126">IF(ISBLANK(INDEX(big_daily_table,MATCH(DATE(R$5,$K126,$J126),daily_dates,0),MATCH($B$3,daily_items,0))),NA(),INDEX(big_daily_table,MATCH(DATE(R$5,$K126,$J126),daily_dates,0),MATCH($B$3,daily_items,0)))</f>
        <v>#N/A</v>
      </c>
      <c r="S126" s="1" t="str">
        <f t="array" ref="S126">IF(ISBLANK(INDEX(big_daily_table,MATCH(DATE(S$5,$K126,$J126),daily_dates,0),MATCH($B$3,daily_items,0))),NA(),INDEX(big_daily_table,MATCH(DATE(S$5,$K126,$J126),daily_dates,0),MATCH($B$3,daily_items,0)))</f>
        <v>#N/A</v>
      </c>
      <c r="T126" s="1" t="str">
        <f t="array" ref="T126">IF(ISBLANK(INDEX(big_daily_table,MATCH(DATE(T$5,$K126,$J126),daily_dates,0),MATCH($B$3,daily_items,0))),NA(),INDEX(big_daily_table,MATCH(DATE(T$5,$K126,$J126),daily_dates,0),MATCH($B$3,daily_items,0)))</f>
        <v>#N/A</v>
      </c>
      <c r="U126" s="1" t="str">
        <f t="array" ref="U126">IF(ISBLANK(INDEX(big_daily_table,MATCH(DATE(U$5,$K126,$J126),daily_dates,0),MATCH($B$3,daily_items,0))),NA(),INDEX(big_daily_table,MATCH(DATE(U$5,$K126,$J126),daily_dates,0),MATCH($B$3,daily_items,0)))</f>
        <v>#N/A</v>
      </c>
      <c r="V126" s="1" t="str">
        <f t="array" ref="V126">IF(ISBLANK(INDEX(big_daily_table,MATCH(DATE(V$5,$K126,$J126),daily_dates,0),MATCH($B$3,daily_items,0))),NA(),INDEX(big_daily_table,MATCH(DATE(V$5,$K126,$J126),daily_dates,0),MATCH($B$3,daily_items,0)))</f>
        <v>#N/A</v>
      </c>
      <c r="W126" s="1" t="str">
        <f t="array" ref="W126">IF(ISBLANK(INDEX(big_daily_table,MATCH(DATE(W$5,$K126,$J126),daily_dates,0),MATCH($B$3,daily_items,0))),NA(),INDEX(big_daily_table,MATCH(DATE(W$5,$K126,$J126),daily_dates,0),MATCH($B$3,daily_items,0)))</f>
        <v>#N/A</v>
      </c>
      <c r="X126" s="1" t="str">
        <f t="array" ref="X126">IF(ISBLANK(INDEX(big_daily_table,MATCH(DATE(X$5,$K126,$J126),daily_dates,0),MATCH($B$3,daily_items,0))),NA(),INDEX(big_daily_table,MATCH(DATE(X$5,$K126,$J126),daily_dates,0),MATCH($B$3,daily_items,0)))</f>
        <v>#N/A</v>
      </c>
      <c r="Y126" s="1" t="str">
        <f t="array" ref="Y126">IF(ISBLANK(INDEX(big_daily_table,MATCH(DATE(Y$5,$K126,$J126),daily_dates,0),MATCH($B$3,daily_items,0))),NA(),INDEX(big_daily_table,MATCH(DATE(Y$5,$K126,$J126),daily_dates,0),MATCH($B$3,daily_items,0)))</f>
        <v>#N/A</v>
      </c>
      <c r="Z126" s="1" t="str">
        <f t="array" ref="Z126">IF(ISBLANK(INDEX(big_daily_table,MATCH(DATE(Z$5,$K126,$J126),daily_dates,0),MATCH($B$3,daily_items,0))),NA(),INDEX(big_daily_table,MATCH(DATE(Z$5,$K126,$J126),daily_dates,0),MATCH($B$3,daily_items,0)))</f>
        <v>#N/A</v>
      </c>
      <c r="AA126" s="1" t="str">
        <f t="shared" si="5"/>
        <v>#NAME?</v>
      </c>
      <c r="AB126" s="1" t="str">
        <f t="shared" si="6"/>
        <v>#NAME?</v>
      </c>
      <c r="AC126" s="1" t="str">
        <f t="shared" si="7"/>
        <v>#NAME?</v>
      </c>
      <c r="AD126" s="1" t="str">
        <f t="shared" si="8"/>
        <v>#NAME?</v>
      </c>
    </row>
    <row r="127" ht="14.25" customHeight="1">
      <c r="H127" s="1">
        <f t="shared" si="9"/>
        <v>122</v>
      </c>
      <c r="I127" s="1">
        <f>WEEKDAY('daily graphs'!K127)</f>
        <v>2</v>
      </c>
      <c r="J127" s="1">
        <f t="shared" si="2"/>
        <v>29</v>
      </c>
      <c r="K127" s="1">
        <f t="shared" si="3"/>
        <v>4</v>
      </c>
      <c r="L127" s="23">
        <f>'daily graphs'!K127 - I127</f>
        <v>36645</v>
      </c>
      <c r="M127" s="24">
        <f t="shared" si="4"/>
        <v>-1000000</v>
      </c>
      <c r="N127" s="24" t="str">
        <f t="array" ref="N127">IF(M127&gt;0,INDEX(big_daily_table,MATCH(DATE(O$5,$K127,$J127),daily_dates,0),MATCH($B$3,daily_items,0)),NA())</f>
        <v>#N/A</v>
      </c>
      <c r="O127" s="1" t="str">
        <f t="array" ref="O127">IF(M127&lt;0,INDEX(big_daily_table,MATCH(DATE(O$5,$K127,$J127),daily_dates,0),MATCH($B$3,daily_items,0)),NA())</f>
        <v>#N/A</v>
      </c>
      <c r="P127" s="1" t="str">
        <f t="array" ref="P127">IF(ISBLANK(INDEX(big_daily_table,MATCH(DATE(P$5,$K127,$J127),daily_dates,0),MATCH($B$3,daily_items,0))),NA(),INDEX(big_daily_table,MATCH(DATE(P$5,$K127,$J127),daily_dates,0),MATCH($B$3,daily_items,0)))</f>
        <v>#N/A</v>
      </c>
      <c r="Q127" s="1" t="str">
        <f t="array" ref="Q127">IF(ISBLANK(INDEX(big_daily_table,MATCH(DATE(Q$5,$K127,$J127),daily_dates,0),MATCH($B$3,daily_items,0))),NA(),INDEX(big_daily_table,MATCH(DATE(Q$5,$K127,$J127),daily_dates,0),MATCH($B$3,daily_items,0)))</f>
        <v>#N/A</v>
      </c>
      <c r="R127" s="1" t="str">
        <f t="array" ref="R127">IF(ISBLANK(INDEX(big_daily_table,MATCH(DATE(R$5,$K127,$J127),daily_dates,0),MATCH($B$3,daily_items,0))),NA(),INDEX(big_daily_table,MATCH(DATE(R$5,$K127,$J127),daily_dates,0),MATCH($B$3,daily_items,0)))</f>
        <v>#N/A</v>
      </c>
      <c r="S127" s="1" t="str">
        <f t="array" ref="S127">IF(ISBLANK(INDEX(big_daily_table,MATCH(DATE(S$5,$K127,$J127),daily_dates,0),MATCH($B$3,daily_items,0))),NA(),INDEX(big_daily_table,MATCH(DATE(S$5,$K127,$J127),daily_dates,0),MATCH($B$3,daily_items,0)))</f>
        <v>#N/A</v>
      </c>
      <c r="T127" s="1" t="str">
        <f t="array" ref="T127">IF(ISBLANK(INDEX(big_daily_table,MATCH(DATE(T$5,$K127,$J127),daily_dates,0),MATCH($B$3,daily_items,0))),NA(),INDEX(big_daily_table,MATCH(DATE(T$5,$K127,$J127),daily_dates,0),MATCH($B$3,daily_items,0)))</f>
        <v>#N/A</v>
      </c>
      <c r="U127" s="1" t="str">
        <f t="array" ref="U127">IF(ISBLANK(INDEX(big_daily_table,MATCH(DATE(U$5,$K127,$J127),daily_dates,0),MATCH($B$3,daily_items,0))),NA(),INDEX(big_daily_table,MATCH(DATE(U$5,$K127,$J127),daily_dates,0),MATCH($B$3,daily_items,0)))</f>
        <v>#N/A</v>
      </c>
      <c r="V127" s="1" t="str">
        <f t="array" ref="V127">IF(ISBLANK(INDEX(big_daily_table,MATCH(DATE(V$5,$K127,$J127),daily_dates,0),MATCH($B$3,daily_items,0))),NA(),INDEX(big_daily_table,MATCH(DATE(V$5,$K127,$J127),daily_dates,0),MATCH($B$3,daily_items,0)))</f>
        <v>#N/A</v>
      </c>
      <c r="W127" s="1" t="str">
        <f t="array" ref="W127">IF(ISBLANK(INDEX(big_daily_table,MATCH(DATE(W$5,$K127,$J127),daily_dates,0),MATCH($B$3,daily_items,0))),NA(),INDEX(big_daily_table,MATCH(DATE(W$5,$K127,$J127),daily_dates,0),MATCH($B$3,daily_items,0)))</f>
        <v>#N/A</v>
      </c>
      <c r="X127" s="1" t="str">
        <f t="array" ref="X127">IF(ISBLANK(INDEX(big_daily_table,MATCH(DATE(X$5,$K127,$J127),daily_dates,0),MATCH($B$3,daily_items,0))),NA(),INDEX(big_daily_table,MATCH(DATE(X$5,$K127,$J127),daily_dates,0),MATCH($B$3,daily_items,0)))</f>
        <v>#N/A</v>
      </c>
      <c r="Y127" s="1" t="str">
        <f t="array" ref="Y127">IF(ISBLANK(INDEX(big_daily_table,MATCH(DATE(Y$5,$K127,$J127),daily_dates,0),MATCH($B$3,daily_items,0))),NA(),INDEX(big_daily_table,MATCH(DATE(Y$5,$K127,$J127),daily_dates,0),MATCH($B$3,daily_items,0)))</f>
        <v>#N/A</v>
      </c>
      <c r="Z127" s="1" t="str">
        <f t="array" ref="Z127">IF(ISBLANK(INDEX(big_daily_table,MATCH(DATE(Z$5,$K127,$J127),daily_dates,0),MATCH($B$3,daily_items,0))),NA(),INDEX(big_daily_table,MATCH(DATE(Z$5,$K127,$J127),daily_dates,0),MATCH($B$3,daily_items,0)))</f>
        <v>#N/A</v>
      </c>
      <c r="AA127" s="1" t="str">
        <f t="shared" si="5"/>
        <v>#NAME?</v>
      </c>
      <c r="AB127" s="1" t="str">
        <f t="shared" si="6"/>
        <v>#NAME?</v>
      </c>
      <c r="AC127" s="1" t="str">
        <f t="shared" si="7"/>
        <v>#NAME?</v>
      </c>
      <c r="AD127" s="1" t="str">
        <f t="shared" si="8"/>
        <v>#NAME?</v>
      </c>
    </row>
    <row r="128" ht="14.25" customHeight="1">
      <c r="H128" s="1">
        <f t="shared" si="9"/>
        <v>123</v>
      </c>
      <c r="I128" s="1">
        <f>WEEKDAY('daily graphs'!K128)</f>
        <v>3</v>
      </c>
      <c r="J128" s="1">
        <f t="shared" si="2"/>
        <v>29</v>
      </c>
      <c r="K128" s="1">
        <f t="shared" si="3"/>
        <v>4</v>
      </c>
      <c r="L128" s="23">
        <f>'daily graphs'!K128 - I128</f>
        <v>36645</v>
      </c>
      <c r="M128" s="24">
        <f t="shared" si="4"/>
        <v>-1000000</v>
      </c>
      <c r="N128" s="24" t="str">
        <f t="array" ref="N128">IF(M128&gt;0,INDEX(big_daily_table,MATCH(DATE(O$5,$K128,$J128),daily_dates,0),MATCH($B$3,daily_items,0)),NA())</f>
        <v>#N/A</v>
      </c>
      <c r="O128" s="1" t="str">
        <f t="array" ref="O128">IF(M128&lt;0,INDEX(big_daily_table,MATCH(DATE(O$5,$K128,$J128),daily_dates,0),MATCH($B$3,daily_items,0)),NA())</f>
        <v>#N/A</v>
      </c>
      <c r="P128" s="1" t="str">
        <f t="array" ref="P128">IF(ISBLANK(INDEX(big_daily_table,MATCH(DATE(P$5,$K128,$J128),daily_dates,0),MATCH($B$3,daily_items,0))),NA(),INDEX(big_daily_table,MATCH(DATE(P$5,$K128,$J128),daily_dates,0),MATCH($B$3,daily_items,0)))</f>
        <v>#N/A</v>
      </c>
      <c r="Q128" s="1" t="str">
        <f t="array" ref="Q128">IF(ISBLANK(INDEX(big_daily_table,MATCH(DATE(Q$5,$K128,$J128),daily_dates,0),MATCH($B$3,daily_items,0))),NA(),INDEX(big_daily_table,MATCH(DATE(Q$5,$K128,$J128),daily_dates,0),MATCH($B$3,daily_items,0)))</f>
        <v>#N/A</v>
      </c>
      <c r="R128" s="1" t="str">
        <f t="array" ref="R128">IF(ISBLANK(INDEX(big_daily_table,MATCH(DATE(R$5,$K128,$J128),daily_dates,0),MATCH($B$3,daily_items,0))),NA(),INDEX(big_daily_table,MATCH(DATE(R$5,$K128,$J128),daily_dates,0),MATCH($B$3,daily_items,0)))</f>
        <v>#N/A</v>
      </c>
      <c r="S128" s="1" t="str">
        <f t="array" ref="S128">IF(ISBLANK(INDEX(big_daily_table,MATCH(DATE(S$5,$K128,$J128),daily_dates,0),MATCH($B$3,daily_items,0))),NA(),INDEX(big_daily_table,MATCH(DATE(S$5,$K128,$J128),daily_dates,0),MATCH($B$3,daily_items,0)))</f>
        <v>#N/A</v>
      </c>
      <c r="T128" s="1" t="str">
        <f t="array" ref="T128">IF(ISBLANK(INDEX(big_daily_table,MATCH(DATE(T$5,$K128,$J128),daily_dates,0),MATCH($B$3,daily_items,0))),NA(),INDEX(big_daily_table,MATCH(DATE(T$5,$K128,$J128),daily_dates,0),MATCH($B$3,daily_items,0)))</f>
        <v>#N/A</v>
      </c>
      <c r="U128" s="1" t="str">
        <f t="array" ref="U128">IF(ISBLANK(INDEX(big_daily_table,MATCH(DATE(U$5,$K128,$J128),daily_dates,0),MATCH($B$3,daily_items,0))),NA(),INDEX(big_daily_table,MATCH(DATE(U$5,$K128,$J128),daily_dates,0),MATCH($B$3,daily_items,0)))</f>
        <v>#N/A</v>
      </c>
      <c r="V128" s="1" t="str">
        <f t="array" ref="V128">IF(ISBLANK(INDEX(big_daily_table,MATCH(DATE(V$5,$K128,$J128),daily_dates,0),MATCH($B$3,daily_items,0))),NA(),INDEX(big_daily_table,MATCH(DATE(V$5,$K128,$J128),daily_dates,0),MATCH($B$3,daily_items,0)))</f>
        <v>#N/A</v>
      </c>
      <c r="W128" s="1" t="str">
        <f t="array" ref="W128">IF(ISBLANK(INDEX(big_daily_table,MATCH(DATE(W$5,$K128,$J128),daily_dates,0),MATCH($B$3,daily_items,0))),NA(),INDEX(big_daily_table,MATCH(DATE(W$5,$K128,$J128),daily_dates,0),MATCH($B$3,daily_items,0)))</f>
        <v>#N/A</v>
      </c>
      <c r="X128" s="1" t="str">
        <f t="array" ref="X128">IF(ISBLANK(INDEX(big_daily_table,MATCH(DATE(X$5,$K128,$J128),daily_dates,0),MATCH($B$3,daily_items,0))),NA(),INDEX(big_daily_table,MATCH(DATE(X$5,$K128,$J128),daily_dates,0),MATCH($B$3,daily_items,0)))</f>
        <v>#N/A</v>
      </c>
      <c r="Y128" s="1" t="str">
        <f t="array" ref="Y128">IF(ISBLANK(INDEX(big_daily_table,MATCH(DATE(Y$5,$K128,$J128),daily_dates,0),MATCH($B$3,daily_items,0))),NA(),INDEX(big_daily_table,MATCH(DATE(Y$5,$K128,$J128),daily_dates,0),MATCH($B$3,daily_items,0)))</f>
        <v>#N/A</v>
      </c>
      <c r="Z128" s="1" t="str">
        <f t="array" ref="Z128">IF(ISBLANK(INDEX(big_daily_table,MATCH(DATE(Z$5,$K128,$J128),daily_dates,0),MATCH($B$3,daily_items,0))),NA(),INDEX(big_daily_table,MATCH(DATE(Z$5,$K128,$J128),daily_dates,0),MATCH($B$3,daily_items,0)))</f>
        <v>#N/A</v>
      </c>
      <c r="AA128" s="1" t="str">
        <f t="shared" si="5"/>
        <v>#NAME?</v>
      </c>
      <c r="AB128" s="1" t="str">
        <f t="shared" si="6"/>
        <v>#NAME?</v>
      </c>
      <c r="AC128" s="1" t="str">
        <f t="shared" si="7"/>
        <v>#NAME?</v>
      </c>
      <c r="AD128" s="1" t="str">
        <f t="shared" si="8"/>
        <v>#NAME?</v>
      </c>
    </row>
    <row r="129" ht="14.25" customHeight="1">
      <c r="H129" s="1">
        <f t="shared" si="9"/>
        <v>124</v>
      </c>
      <c r="I129" s="1">
        <f>WEEKDAY('daily graphs'!K129)</f>
        <v>4</v>
      </c>
      <c r="J129" s="1">
        <f t="shared" si="2"/>
        <v>29</v>
      </c>
      <c r="K129" s="1">
        <f t="shared" si="3"/>
        <v>4</v>
      </c>
      <c r="L129" s="23">
        <f>'daily graphs'!K129 - I129</f>
        <v>36645</v>
      </c>
      <c r="M129" s="24">
        <f t="shared" si="4"/>
        <v>-1000000</v>
      </c>
      <c r="N129" s="24" t="str">
        <f t="array" ref="N129">IF(M129&gt;0,INDEX(big_daily_table,MATCH(DATE(O$5,$K129,$J129),daily_dates,0),MATCH($B$3,daily_items,0)),NA())</f>
        <v>#N/A</v>
      </c>
      <c r="O129" s="1" t="str">
        <f t="array" ref="O129">IF(M129&lt;0,INDEX(big_daily_table,MATCH(DATE(O$5,$K129,$J129),daily_dates,0),MATCH($B$3,daily_items,0)),NA())</f>
        <v>#N/A</v>
      </c>
      <c r="P129" s="1" t="str">
        <f t="array" ref="P129">IF(ISBLANK(INDEX(big_daily_table,MATCH(DATE(P$5,$K129,$J129),daily_dates,0),MATCH($B$3,daily_items,0))),NA(),INDEX(big_daily_table,MATCH(DATE(P$5,$K129,$J129),daily_dates,0),MATCH($B$3,daily_items,0)))</f>
        <v>#N/A</v>
      </c>
      <c r="Q129" s="1" t="str">
        <f t="array" ref="Q129">IF(ISBLANK(INDEX(big_daily_table,MATCH(DATE(Q$5,$K129,$J129),daily_dates,0),MATCH($B$3,daily_items,0))),NA(),INDEX(big_daily_table,MATCH(DATE(Q$5,$K129,$J129),daily_dates,0),MATCH($B$3,daily_items,0)))</f>
        <v>#N/A</v>
      </c>
      <c r="R129" s="1" t="str">
        <f t="array" ref="R129">IF(ISBLANK(INDEX(big_daily_table,MATCH(DATE(R$5,$K129,$J129),daily_dates,0),MATCH($B$3,daily_items,0))),NA(),INDEX(big_daily_table,MATCH(DATE(R$5,$K129,$J129),daily_dates,0),MATCH($B$3,daily_items,0)))</f>
        <v>#N/A</v>
      </c>
      <c r="S129" s="1" t="str">
        <f t="array" ref="S129">IF(ISBLANK(INDEX(big_daily_table,MATCH(DATE(S$5,$K129,$J129),daily_dates,0),MATCH($B$3,daily_items,0))),NA(),INDEX(big_daily_table,MATCH(DATE(S$5,$K129,$J129),daily_dates,0),MATCH($B$3,daily_items,0)))</f>
        <v>#N/A</v>
      </c>
      <c r="T129" s="1" t="str">
        <f t="array" ref="T129">IF(ISBLANK(INDEX(big_daily_table,MATCH(DATE(T$5,$K129,$J129),daily_dates,0),MATCH($B$3,daily_items,0))),NA(),INDEX(big_daily_table,MATCH(DATE(T$5,$K129,$J129),daily_dates,0),MATCH($B$3,daily_items,0)))</f>
        <v>#N/A</v>
      </c>
      <c r="U129" s="1" t="str">
        <f t="array" ref="U129">IF(ISBLANK(INDEX(big_daily_table,MATCH(DATE(U$5,$K129,$J129),daily_dates,0),MATCH($B$3,daily_items,0))),NA(),INDEX(big_daily_table,MATCH(DATE(U$5,$K129,$J129),daily_dates,0),MATCH($B$3,daily_items,0)))</f>
        <v>#N/A</v>
      </c>
      <c r="V129" s="1" t="str">
        <f t="array" ref="V129">IF(ISBLANK(INDEX(big_daily_table,MATCH(DATE(V$5,$K129,$J129),daily_dates,0),MATCH($B$3,daily_items,0))),NA(),INDEX(big_daily_table,MATCH(DATE(V$5,$K129,$J129),daily_dates,0),MATCH($B$3,daily_items,0)))</f>
        <v>#N/A</v>
      </c>
      <c r="W129" s="1" t="str">
        <f t="array" ref="W129">IF(ISBLANK(INDEX(big_daily_table,MATCH(DATE(W$5,$K129,$J129),daily_dates,0),MATCH($B$3,daily_items,0))),NA(),INDEX(big_daily_table,MATCH(DATE(W$5,$K129,$J129),daily_dates,0),MATCH($B$3,daily_items,0)))</f>
        <v>#N/A</v>
      </c>
      <c r="X129" s="1" t="str">
        <f t="array" ref="X129">IF(ISBLANK(INDEX(big_daily_table,MATCH(DATE(X$5,$K129,$J129),daily_dates,0),MATCH($B$3,daily_items,0))),NA(),INDEX(big_daily_table,MATCH(DATE(X$5,$K129,$J129),daily_dates,0),MATCH($B$3,daily_items,0)))</f>
        <v>#N/A</v>
      </c>
      <c r="Y129" s="1" t="str">
        <f t="array" ref="Y129">IF(ISBLANK(INDEX(big_daily_table,MATCH(DATE(Y$5,$K129,$J129),daily_dates,0),MATCH($B$3,daily_items,0))),NA(),INDEX(big_daily_table,MATCH(DATE(Y$5,$K129,$J129),daily_dates,0),MATCH($B$3,daily_items,0)))</f>
        <v>#N/A</v>
      </c>
      <c r="Z129" s="1" t="str">
        <f t="array" ref="Z129">IF(ISBLANK(INDEX(big_daily_table,MATCH(DATE(Z$5,$K129,$J129),daily_dates,0),MATCH($B$3,daily_items,0))),NA(),INDEX(big_daily_table,MATCH(DATE(Z$5,$K129,$J129),daily_dates,0),MATCH($B$3,daily_items,0)))</f>
        <v>#N/A</v>
      </c>
      <c r="AA129" s="1" t="str">
        <f t="shared" si="5"/>
        <v>#NAME?</v>
      </c>
      <c r="AB129" s="1" t="str">
        <f t="shared" si="6"/>
        <v>#NAME?</v>
      </c>
      <c r="AC129" s="1" t="str">
        <f t="shared" si="7"/>
        <v>#NAME?</v>
      </c>
      <c r="AD129" s="1" t="str">
        <f t="shared" si="8"/>
        <v>#NAME?</v>
      </c>
    </row>
    <row r="130" ht="14.25" customHeight="1">
      <c r="H130" s="1">
        <f t="shared" si="9"/>
        <v>125</v>
      </c>
      <c r="I130" s="1">
        <f>WEEKDAY('daily graphs'!K130)</f>
        <v>5</v>
      </c>
      <c r="J130" s="1">
        <f t="shared" si="2"/>
        <v>29</v>
      </c>
      <c r="K130" s="1">
        <f t="shared" si="3"/>
        <v>4</v>
      </c>
      <c r="L130" s="23">
        <f>'daily graphs'!K130 - I130</f>
        <v>36645</v>
      </c>
      <c r="M130" s="24">
        <f t="shared" si="4"/>
        <v>-1000000</v>
      </c>
      <c r="N130" s="24" t="str">
        <f t="array" ref="N130">IF(M130&gt;0,INDEX(big_daily_table,MATCH(DATE(O$5,$K130,$J130),daily_dates,0),MATCH($B$3,daily_items,0)),NA())</f>
        <v>#N/A</v>
      </c>
      <c r="O130" s="1" t="str">
        <f t="array" ref="O130">IF(M130&lt;0,INDEX(big_daily_table,MATCH(DATE(O$5,$K130,$J130),daily_dates,0),MATCH($B$3,daily_items,0)),NA())</f>
        <v>#N/A</v>
      </c>
      <c r="P130" s="1" t="str">
        <f t="array" ref="P130">IF(ISBLANK(INDEX(big_daily_table,MATCH(DATE(P$5,$K130,$J130),daily_dates,0),MATCH($B$3,daily_items,0))),NA(),INDEX(big_daily_table,MATCH(DATE(P$5,$K130,$J130),daily_dates,0),MATCH($B$3,daily_items,0)))</f>
        <v>#N/A</v>
      </c>
      <c r="Q130" s="1" t="str">
        <f t="array" ref="Q130">IF(ISBLANK(INDEX(big_daily_table,MATCH(DATE(Q$5,$K130,$J130),daily_dates,0),MATCH($B$3,daily_items,0))),NA(),INDEX(big_daily_table,MATCH(DATE(Q$5,$K130,$J130),daily_dates,0),MATCH($B$3,daily_items,0)))</f>
        <v>#N/A</v>
      </c>
      <c r="R130" s="1" t="str">
        <f t="array" ref="R130">IF(ISBLANK(INDEX(big_daily_table,MATCH(DATE(R$5,$K130,$J130),daily_dates,0),MATCH($B$3,daily_items,0))),NA(),INDEX(big_daily_table,MATCH(DATE(R$5,$K130,$J130),daily_dates,0),MATCH($B$3,daily_items,0)))</f>
        <v>#N/A</v>
      </c>
      <c r="S130" s="1" t="str">
        <f t="array" ref="S130">IF(ISBLANK(INDEX(big_daily_table,MATCH(DATE(S$5,$K130,$J130),daily_dates,0),MATCH($B$3,daily_items,0))),NA(),INDEX(big_daily_table,MATCH(DATE(S$5,$K130,$J130),daily_dates,0),MATCH($B$3,daily_items,0)))</f>
        <v>#N/A</v>
      </c>
      <c r="T130" s="1" t="str">
        <f t="array" ref="T130">IF(ISBLANK(INDEX(big_daily_table,MATCH(DATE(T$5,$K130,$J130),daily_dates,0),MATCH($B$3,daily_items,0))),NA(),INDEX(big_daily_table,MATCH(DATE(T$5,$K130,$J130),daily_dates,0),MATCH($B$3,daily_items,0)))</f>
        <v>#N/A</v>
      </c>
      <c r="U130" s="1" t="str">
        <f t="array" ref="U130">IF(ISBLANK(INDEX(big_daily_table,MATCH(DATE(U$5,$K130,$J130),daily_dates,0),MATCH($B$3,daily_items,0))),NA(),INDEX(big_daily_table,MATCH(DATE(U$5,$K130,$J130),daily_dates,0),MATCH($B$3,daily_items,0)))</f>
        <v>#N/A</v>
      </c>
      <c r="V130" s="1" t="str">
        <f t="array" ref="V130">IF(ISBLANK(INDEX(big_daily_table,MATCH(DATE(V$5,$K130,$J130),daily_dates,0),MATCH($B$3,daily_items,0))),NA(),INDEX(big_daily_table,MATCH(DATE(V$5,$K130,$J130),daily_dates,0),MATCH($B$3,daily_items,0)))</f>
        <v>#N/A</v>
      </c>
      <c r="W130" s="1" t="str">
        <f t="array" ref="W130">IF(ISBLANK(INDEX(big_daily_table,MATCH(DATE(W$5,$K130,$J130),daily_dates,0),MATCH($B$3,daily_items,0))),NA(),INDEX(big_daily_table,MATCH(DATE(W$5,$K130,$J130),daily_dates,0),MATCH($B$3,daily_items,0)))</f>
        <v>#N/A</v>
      </c>
      <c r="X130" s="1" t="str">
        <f t="array" ref="X130">IF(ISBLANK(INDEX(big_daily_table,MATCH(DATE(X$5,$K130,$J130),daily_dates,0),MATCH($B$3,daily_items,0))),NA(),INDEX(big_daily_table,MATCH(DATE(X$5,$K130,$J130),daily_dates,0),MATCH($B$3,daily_items,0)))</f>
        <v>#N/A</v>
      </c>
      <c r="Y130" s="1" t="str">
        <f t="array" ref="Y130">IF(ISBLANK(INDEX(big_daily_table,MATCH(DATE(Y$5,$K130,$J130),daily_dates,0),MATCH($B$3,daily_items,0))),NA(),INDEX(big_daily_table,MATCH(DATE(Y$5,$K130,$J130),daily_dates,0),MATCH($B$3,daily_items,0)))</f>
        <v>#N/A</v>
      </c>
      <c r="Z130" s="1" t="str">
        <f t="array" ref="Z130">IF(ISBLANK(INDEX(big_daily_table,MATCH(DATE(Z$5,$K130,$J130),daily_dates,0),MATCH($B$3,daily_items,0))),NA(),INDEX(big_daily_table,MATCH(DATE(Z$5,$K130,$J130),daily_dates,0),MATCH($B$3,daily_items,0)))</f>
        <v>#N/A</v>
      </c>
      <c r="AA130" s="1" t="str">
        <f t="shared" si="5"/>
        <v>#NAME?</v>
      </c>
      <c r="AB130" s="1" t="str">
        <f t="shared" si="6"/>
        <v>#NAME?</v>
      </c>
      <c r="AC130" s="1" t="str">
        <f t="shared" si="7"/>
        <v>#NAME?</v>
      </c>
      <c r="AD130" s="1" t="str">
        <f t="shared" si="8"/>
        <v>#NAME?</v>
      </c>
    </row>
    <row r="131" ht="14.25" customHeight="1">
      <c r="H131" s="1">
        <f t="shared" si="9"/>
        <v>126</v>
      </c>
      <c r="I131" s="1">
        <f>WEEKDAY('daily graphs'!K131)</f>
        <v>6</v>
      </c>
      <c r="J131" s="1">
        <f t="shared" si="2"/>
        <v>29</v>
      </c>
      <c r="K131" s="1">
        <f t="shared" si="3"/>
        <v>4</v>
      </c>
      <c r="L131" s="23">
        <f>'daily graphs'!K131 - I131</f>
        <v>36645</v>
      </c>
      <c r="M131" s="24">
        <f t="shared" si="4"/>
        <v>-1000000</v>
      </c>
      <c r="N131" s="24" t="str">
        <f t="array" ref="N131">IF(M131&gt;0,INDEX(big_daily_table,MATCH(DATE(O$5,$K131,$J131),daily_dates,0),MATCH($B$3,daily_items,0)),NA())</f>
        <v>#N/A</v>
      </c>
      <c r="O131" s="1" t="str">
        <f t="array" ref="O131">IF(M131&lt;0,INDEX(big_daily_table,MATCH(DATE(O$5,$K131,$J131),daily_dates,0),MATCH($B$3,daily_items,0)),NA())</f>
        <v>#N/A</v>
      </c>
      <c r="P131" s="1" t="str">
        <f t="array" ref="P131">IF(ISBLANK(INDEX(big_daily_table,MATCH(DATE(P$5,$K131,$J131),daily_dates,0),MATCH($B$3,daily_items,0))),NA(),INDEX(big_daily_table,MATCH(DATE(P$5,$K131,$J131),daily_dates,0),MATCH($B$3,daily_items,0)))</f>
        <v>#N/A</v>
      </c>
      <c r="Q131" s="1" t="str">
        <f t="array" ref="Q131">IF(ISBLANK(INDEX(big_daily_table,MATCH(DATE(Q$5,$K131,$J131),daily_dates,0),MATCH($B$3,daily_items,0))),NA(),INDEX(big_daily_table,MATCH(DATE(Q$5,$K131,$J131),daily_dates,0),MATCH($B$3,daily_items,0)))</f>
        <v>#N/A</v>
      </c>
      <c r="R131" s="1" t="str">
        <f t="array" ref="R131">IF(ISBLANK(INDEX(big_daily_table,MATCH(DATE(R$5,$K131,$J131),daily_dates,0),MATCH($B$3,daily_items,0))),NA(),INDEX(big_daily_table,MATCH(DATE(R$5,$K131,$J131),daily_dates,0),MATCH($B$3,daily_items,0)))</f>
        <v>#N/A</v>
      </c>
      <c r="S131" s="1" t="str">
        <f t="array" ref="S131">IF(ISBLANK(INDEX(big_daily_table,MATCH(DATE(S$5,$K131,$J131),daily_dates,0),MATCH($B$3,daily_items,0))),NA(),INDEX(big_daily_table,MATCH(DATE(S$5,$K131,$J131),daily_dates,0),MATCH($B$3,daily_items,0)))</f>
        <v>#N/A</v>
      </c>
      <c r="T131" s="1" t="str">
        <f t="array" ref="T131">IF(ISBLANK(INDEX(big_daily_table,MATCH(DATE(T$5,$K131,$J131),daily_dates,0),MATCH($B$3,daily_items,0))),NA(),INDEX(big_daily_table,MATCH(DATE(T$5,$K131,$J131),daily_dates,0),MATCH($B$3,daily_items,0)))</f>
        <v>#N/A</v>
      </c>
      <c r="U131" s="1" t="str">
        <f t="array" ref="U131">IF(ISBLANK(INDEX(big_daily_table,MATCH(DATE(U$5,$K131,$J131),daily_dates,0),MATCH($B$3,daily_items,0))),NA(),INDEX(big_daily_table,MATCH(DATE(U$5,$K131,$J131),daily_dates,0),MATCH($B$3,daily_items,0)))</f>
        <v>#N/A</v>
      </c>
      <c r="V131" s="1" t="str">
        <f t="array" ref="V131">IF(ISBLANK(INDEX(big_daily_table,MATCH(DATE(V$5,$K131,$J131),daily_dates,0),MATCH($B$3,daily_items,0))),NA(),INDEX(big_daily_table,MATCH(DATE(V$5,$K131,$J131),daily_dates,0),MATCH($B$3,daily_items,0)))</f>
        <v>#N/A</v>
      </c>
      <c r="W131" s="1" t="str">
        <f t="array" ref="W131">IF(ISBLANK(INDEX(big_daily_table,MATCH(DATE(W$5,$K131,$J131),daily_dates,0),MATCH($B$3,daily_items,0))),NA(),INDEX(big_daily_table,MATCH(DATE(W$5,$K131,$J131),daily_dates,0),MATCH($B$3,daily_items,0)))</f>
        <v>#N/A</v>
      </c>
      <c r="X131" s="1" t="str">
        <f t="array" ref="X131">IF(ISBLANK(INDEX(big_daily_table,MATCH(DATE(X$5,$K131,$J131),daily_dates,0),MATCH($B$3,daily_items,0))),NA(),INDEX(big_daily_table,MATCH(DATE(X$5,$K131,$J131),daily_dates,0),MATCH($B$3,daily_items,0)))</f>
        <v>#N/A</v>
      </c>
      <c r="Y131" s="1" t="str">
        <f t="array" ref="Y131">IF(ISBLANK(INDEX(big_daily_table,MATCH(DATE(Y$5,$K131,$J131),daily_dates,0),MATCH($B$3,daily_items,0))),NA(),INDEX(big_daily_table,MATCH(DATE(Y$5,$K131,$J131),daily_dates,0),MATCH($B$3,daily_items,0)))</f>
        <v>#N/A</v>
      </c>
      <c r="Z131" s="1" t="str">
        <f t="array" ref="Z131">IF(ISBLANK(INDEX(big_daily_table,MATCH(DATE(Z$5,$K131,$J131),daily_dates,0),MATCH($B$3,daily_items,0))),NA(),INDEX(big_daily_table,MATCH(DATE(Z$5,$K131,$J131),daily_dates,0),MATCH($B$3,daily_items,0)))</f>
        <v>#N/A</v>
      </c>
      <c r="AA131" s="1" t="str">
        <f t="shared" si="5"/>
        <v>#NAME?</v>
      </c>
      <c r="AB131" s="1" t="str">
        <f t="shared" si="6"/>
        <v>#NAME?</v>
      </c>
      <c r="AC131" s="1" t="str">
        <f t="shared" si="7"/>
        <v>#NAME?</v>
      </c>
      <c r="AD131" s="1" t="str">
        <f t="shared" si="8"/>
        <v>#NAME?</v>
      </c>
    </row>
    <row r="132" ht="14.25" customHeight="1">
      <c r="H132" s="1">
        <f t="shared" si="9"/>
        <v>127</v>
      </c>
      <c r="I132" s="1">
        <f>WEEKDAY('daily graphs'!K132)</f>
        <v>7</v>
      </c>
      <c r="J132" s="1">
        <f t="shared" si="2"/>
        <v>29</v>
      </c>
      <c r="K132" s="1">
        <f t="shared" si="3"/>
        <v>4</v>
      </c>
      <c r="L132" s="23">
        <f>'daily graphs'!K132 - I132</f>
        <v>36645</v>
      </c>
      <c r="M132" s="24">
        <f t="shared" si="4"/>
        <v>-1000000</v>
      </c>
      <c r="N132" s="24" t="str">
        <f t="array" ref="N132">IF(M132&gt;0,INDEX(big_daily_table,MATCH(DATE(O$5,$K132,$J132),daily_dates,0),MATCH($B$3,daily_items,0)),NA())</f>
        <v>#N/A</v>
      </c>
      <c r="O132" s="1" t="str">
        <f t="array" ref="O132">IF(M132&lt;0,INDEX(big_daily_table,MATCH(DATE(O$5,$K132,$J132),daily_dates,0),MATCH($B$3,daily_items,0)),NA())</f>
        <v>#N/A</v>
      </c>
      <c r="P132" s="1" t="str">
        <f t="array" ref="P132">IF(ISBLANK(INDEX(big_daily_table,MATCH(DATE(P$5,$K132,$J132),daily_dates,0),MATCH($B$3,daily_items,0))),NA(),INDEX(big_daily_table,MATCH(DATE(P$5,$K132,$J132),daily_dates,0),MATCH($B$3,daily_items,0)))</f>
        <v>#N/A</v>
      </c>
      <c r="Q132" s="1" t="str">
        <f t="array" ref="Q132">IF(ISBLANK(INDEX(big_daily_table,MATCH(DATE(Q$5,$K132,$J132),daily_dates,0),MATCH($B$3,daily_items,0))),NA(),INDEX(big_daily_table,MATCH(DATE(Q$5,$K132,$J132),daily_dates,0),MATCH($B$3,daily_items,0)))</f>
        <v>#N/A</v>
      </c>
      <c r="R132" s="1" t="str">
        <f t="array" ref="R132">IF(ISBLANK(INDEX(big_daily_table,MATCH(DATE(R$5,$K132,$J132),daily_dates,0),MATCH($B$3,daily_items,0))),NA(),INDEX(big_daily_table,MATCH(DATE(R$5,$K132,$J132),daily_dates,0),MATCH($B$3,daily_items,0)))</f>
        <v>#N/A</v>
      </c>
      <c r="S132" s="1" t="str">
        <f t="array" ref="S132">IF(ISBLANK(INDEX(big_daily_table,MATCH(DATE(S$5,$K132,$J132),daily_dates,0),MATCH($B$3,daily_items,0))),NA(),INDEX(big_daily_table,MATCH(DATE(S$5,$K132,$J132),daily_dates,0),MATCH($B$3,daily_items,0)))</f>
        <v>#N/A</v>
      </c>
      <c r="T132" s="1" t="str">
        <f t="array" ref="T132">IF(ISBLANK(INDEX(big_daily_table,MATCH(DATE(T$5,$K132,$J132),daily_dates,0),MATCH($B$3,daily_items,0))),NA(),INDEX(big_daily_table,MATCH(DATE(T$5,$K132,$J132),daily_dates,0),MATCH($B$3,daily_items,0)))</f>
        <v>#N/A</v>
      </c>
      <c r="U132" s="1" t="str">
        <f t="array" ref="U132">IF(ISBLANK(INDEX(big_daily_table,MATCH(DATE(U$5,$K132,$J132),daily_dates,0),MATCH($B$3,daily_items,0))),NA(),INDEX(big_daily_table,MATCH(DATE(U$5,$K132,$J132),daily_dates,0),MATCH($B$3,daily_items,0)))</f>
        <v>#N/A</v>
      </c>
      <c r="V132" s="1" t="str">
        <f t="array" ref="V132">IF(ISBLANK(INDEX(big_daily_table,MATCH(DATE(V$5,$K132,$J132),daily_dates,0),MATCH($B$3,daily_items,0))),NA(),INDEX(big_daily_table,MATCH(DATE(V$5,$K132,$J132),daily_dates,0),MATCH($B$3,daily_items,0)))</f>
        <v>#N/A</v>
      </c>
      <c r="W132" s="1" t="str">
        <f t="array" ref="W132">IF(ISBLANK(INDEX(big_daily_table,MATCH(DATE(W$5,$K132,$J132),daily_dates,0),MATCH($B$3,daily_items,0))),NA(),INDEX(big_daily_table,MATCH(DATE(W$5,$K132,$J132),daily_dates,0),MATCH($B$3,daily_items,0)))</f>
        <v>#N/A</v>
      </c>
      <c r="X132" s="1" t="str">
        <f t="array" ref="X132">IF(ISBLANK(INDEX(big_daily_table,MATCH(DATE(X$5,$K132,$J132),daily_dates,0),MATCH($B$3,daily_items,0))),NA(),INDEX(big_daily_table,MATCH(DATE(X$5,$K132,$J132),daily_dates,0),MATCH($B$3,daily_items,0)))</f>
        <v>#N/A</v>
      </c>
      <c r="Y132" s="1" t="str">
        <f t="array" ref="Y132">IF(ISBLANK(INDEX(big_daily_table,MATCH(DATE(Y$5,$K132,$J132),daily_dates,0),MATCH($B$3,daily_items,0))),NA(),INDEX(big_daily_table,MATCH(DATE(Y$5,$K132,$J132),daily_dates,0),MATCH($B$3,daily_items,0)))</f>
        <v>#N/A</v>
      </c>
      <c r="Z132" s="1" t="str">
        <f t="array" ref="Z132">IF(ISBLANK(INDEX(big_daily_table,MATCH(DATE(Z$5,$K132,$J132),daily_dates,0),MATCH($B$3,daily_items,0))),NA(),INDEX(big_daily_table,MATCH(DATE(Z$5,$K132,$J132),daily_dates,0),MATCH($B$3,daily_items,0)))</f>
        <v>#N/A</v>
      </c>
      <c r="AA132" s="1" t="str">
        <f t="shared" si="5"/>
        <v>#NAME?</v>
      </c>
      <c r="AB132" s="1" t="str">
        <f t="shared" si="6"/>
        <v>#NAME?</v>
      </c>
      <c r="AC132" s="1" t="str">
        <f t="shared" si="7"/>
        <v>#NAME?</v>
      </c>
      <c r="AD132" s="1" t="str">
        <f t="shared" si="8"/>
        <v>#NAME?</v>
      </c>
    </row>
    <row r="133" ht="14.25" customHeight="1">
      <c r="H133" s="1">
        <f t="shared" si="9"/>
        <v>128</v>
      </c>
      <c r="I133" s="1">
        <f>WEEKDAY('daily graphs'!K133)</f>
        <v>1</v>
      </c>
      <c r="J133" s="1">
        <f t="shared" si="2"/>
        <v>6</v>
      </c>
      <c r="K133" s="1">
        <f t="shared" si="3"/>
        <v>5</v>
      </c>
      <c r="L133" s="23">
        <f>'daily graphs'!K133 - I133</f>
        <v>36652</v>
      </c>
      <c r="M133" s="24">
        <f t="shared" si="4"/>
        <v>-1000000</v>
      </c>
      <c r="N133" s="24" t="str">
        <f t="array" ref="N133">IF(M133&gt;0,INDEX(big_daily_table,MATCH(DATE(O$5,$K133,$J133),daily_dates,0),MATCH($B$3,daily_items,0)),NA())</f>
        <v>#N/A</v>
      </c>
      <c r="O133" s="1" t="str">
        <f t="array" ref="O133">IF(M133&lt;0,INDEX(big_daily_table,MATCH(DATE(O$5,$K133,$J133),daily_dates,0),MATCH($B$3,daily_items,0)),NA())</f>
        <v>#N/A</v>
      </c>
      <c r="P133" s="1" t="str">
        <f t="array" ref="P133">IF(ISBLANK(INDEX(big_daily_table,MATCH(DATE(P$5,$K133,$J133),daily_dates,0),MATCH($B$3,daily_items,0))),NA(),INDEX(big_daily_table,MATCH(DATE(P$5,$K133,$J133),daily_dates,0),MATCH($B$3,daily_items,0)))</f>
        <v>#N/A</v>
      </c>
      <c r="Q133" s="1" t="str">
        <f t="array" ref="Q133">IF(ISBLANK(INDEX(big_daily_table,MATCH(DATE(Q$5,$K133,$J133),daily_dates,0),MATCH($B$3,daily_items,0))),NA(),INDEX(big_daily_table,MATCH(DATE(Q$5,$K133,$J133),daily_dates,0),MATCH($B$3,daily_items,0)))</f>
        <v>#N/A</v>
      </c>
      <c r="R133" s="1" t="str">
        <f t="array" ref="R133">IF(ISBLANK(INDEX(big_daily_table,MATCH(DATE(R$5,$K133,$J133),daily_dates,0),MATCH($B$3,daily_items,0))),NA(),INDEX(big_daily_table,MATCH(DATE(R$5,$K133,$J133),daily_dates,0),MATCH($B$3,daily_items,0)))</f>
        <v>#N/A</v>
      </c>
      <c r="S133" s="1" t="str">
        <f t="array" ref="S133">IF(ISBLANK(INDEX(big_daily_table,MATCH(DATE(S$5,$K133,$J133),daily_dates,0),MATCH($B$3,daily_items,0))),NA(),INDEX(big_daily_table,MATCH(DATE(S$5,$K133,$J133),daily_dates,0),MATCH($B$3,daily_items,0)))</f>
        <v>#N/A</v>
      </c>
      <c r="T133" s="1" t="str">
        <f t="array" ref="T133">IF(ISBLANK(INDEX(big_daily_table,MATCH(DATE(T$5,$K133,$J133),daily_dates,0),MATCH($B$3,daily_items,0))),NA(),INDEX(big_daily_table,MATCH(DATE(T$5,$K133,$J133),daily_dates,0),MATCH($B$3,daily_items,0)))</f>
        <v>#N/A</v>
      </c>
      <c r="U133" s="1" t="str">
        <f t="array" ref="U133">IF(ISBLANK(INDEX(big_daily_table,MATCH(DATE(U$5,$K133,$J133),daily_dates,0),MATCH($B$3,daily_items,0))),NA(),INDEX(big_daily_table,MATCH(DATE(U$5,$K133,$J133),daily_dates,0),MATCH($B$3,daily_items,0)))</f>
        <v>#N/A</v>
      </c>
      <c r="V133" s="1" t="str">
        <f t="array" ref="V133">IF(ISBLANK(INDEX(big_daily_table,MATCH(DATE(V$5,$K133,$J133),daily_dates,0),MATCH($B$3,daily_items,0))),NA(),INDEX(big_daily_table,MATCH(DATE(V$5,$K133,$J133),daily_dates,0),MATCH($B$3,daily_items,0)))</f>
        <v>#N/A</v>
      </c>
      <c r="W133" s="1" t="str">
        <f t="array" ref="W133">IF(ISBLANK(INDEX(big_daily_table,MATCH(DATE(W$5,$K133,$J133),daily_dates,0),MATCH($B$3,daily_items,0))),NA(),INDEX(big_daily_table,MATCH(DATE(W$5,$K133,$J133),daily_dates,0),MATCH($B$3,daily_items,0)))</f>
        <v>#N/A</v>
      </c>
      <c r="X133" s="1" t="str">
        <f t="array" ref="X133">IF(ISBLANK(INDEX(big_daily_table,MATCH(DATE(X$5,$K133,$J133),daily_dates,0),MATCH($B$3,daily_items,0))),NA(),INDEX(big_daily_table,MATCH(DATE(X$5,$K133,$J133),daily_dates,0),MATCH($B$3,daily_items,0)))</f>
        <v>#N/A</v>
      </c>
      <c r="Y133" s="1" t="str">
        <f t="array" ref="Y133">IF(ISBLANK(INDEX(big_daily_table,MATCH(DATE(Y$5,$K133,$J133),daily_dates,0),MATCH($B$3,daily_items,0))),NA(),INDEX(big_daily_table,MATCH(DATE(Y$5,$K133,$J133),daily_dates,0),MATCH($B$3,daily_items,0)))</f>
        <v>#N/A</v>
      </c>
      <c r="Z133" s="1" t="str">
        <f t="array" ref="Z133">IF(ISBLANK(INDEX(big_daily_table,MATCH(DATE(Z$5,$K133,$J133),daily_dates,0),MATCH($B$3,daily_items,0))),NA(),INDEX(big_daily_table,MATCH(DATE(Z$5,$K133,$J133),daily_dates,0),MATCH($B$3,daily_items,0)))</f>
        <v>#N/A</v>
      </c>
      <c r="AA133" s="1" t="str">
        <f t="shared" si="5"/>
        <v>#NAME?</v>
      </c>
      <c r="AB133" s="1" t="str">
        <f t="shared" si="6"/>
        <v>#NAME?</v>
      </c>
      <c r="AC133" s="1" t="str">
        <f t="shared" si="7"/>
        <v>#NAME?</v>
      </c>
      <c r="AD133" s="1" t="str">
        <f t="shared" si="8"/>
        <v>#NAME?</v>
      </c>
    </row>
    <row r="134" ht="14.25" customHeight="1">
      <c r="H134" s="1">
        <f t="shared" si="9"/>
        <v>129</v>
      </c>
      <c r="I134" s="1">
        <f>WEEKDAY('daily graphs'!K134)</f>
        <v>2</v>
      </c>
      <c r="J134" s="1">
        <f t="shared" si="2"/>
        <v>6</v>
      </c>
      <c r="K134" s="1">
        <f t="shared" si="3"/>
        <v>5</v>
      </c>
      <c r="L134" s="23">
        <f>'daily graphs'!K134 - I134</f>
        <v>36652</v>
      </c>
      <c r="M134" s="24">
        <f t="shared" si="4"/>
        <v>-1000000</v>
      </c>
      <c r="N134" s="24" t="str">
        <f t="array" ref="N134">IF(M134&gt;0,INDEX(big_daily_table,MATCH(DATE(O$5,$K134,$J134),daily_dates,0),MATCH($B$3,daily_items,0)),NA())</f>
        <v>#N/A</v>
      </c>
      <c r="O134" s="1" t="str">
        <f t="array" ref="O134">IF(M134&lt;0,INDEX(big_daily_table,MATCH(DATE(O$5,$K134,$J134),daily_dates,0),MATCH($B$3,daily_items,0)),NA())</f>
        <v>#N/A</v>
      </c>
      <c r="P134" s="1" t="str">
        <f t="array" ref="P134">IF(ISBLANK(INDEX(big_daily_table,MATCH(DATE(P$5,$K134,$J134),daily_dates,0),MATCH($B$3,daily_items,0))),NA(),INDEX(big_daily_table,MATCH(DATE(P$5,$K134,$J134),daily_dates,0),MATCH($B$3,daily_items,0)))</f>
        <v>#N/A</v>
      </c>
      <c r="Q134" s="1" t="str">
        <f t="array" ref="Q134">IF(ISBLANK(INDEX(big_daily_table,MATCH(DATE(Q$5,$K134,$J134),daily_dates,0),MATCH($B$3,daily_items,0))),NA(),INDEX(big_daily_table,MATCH(DATE(Q$5,$K134,$J134),daily_dates,0),MATCH($B$3,daily_items,0)))</f>
        <v>#N/A</v>
      </c>
      <c r="R134" s="1" t="str">
        <f t="array" ref="R134">IF(ISBLANK(INDEX(big_daily_table,MATCH(DATE(R$5,$K134,$J134),daily_dates,0),MATCH($B$3,daily_items,0))),NA(),INDEX(big_daily_table,MATCH(DATE(R$5,$K134,$J134),daily_dates,0),MATCH($B$3,daily_items,0)))</f>
        <v>#N/A</v>
      </c>
      <c r="S134" s="1" t="str">
        <f t="array" ref="S134">IF(ISBLANK(INDEX(big_daily_table,MATCH(DATE(S$5,$K134,$J134),daily_dates,0),MATCH($B$3,daily_items,0))),NA(),INDEX(big_daily_table,MATCH(DATE(S$5,$K134,$J134),daily_dates,0),MATCH($B$3,daily_items,0)))</f>
        <v>#N/A</v>
      </c>
      <c r="T134" s="1" t="str">
        <f t="array" ref="T134">IF(ISBLANK(INDEX(big_daily_table,MATCH(DATE(T$5,$K134,$J134),daily_dates,0),MATCH($B$3,daily_items,0))),NA(),INDEX(big_daily_table,MATCH(DATE(T$5,$K134,$J134),daily_dates,0),MATCH($B$3,daily_items,0)))</f>
        <v>#N/A</v>
      </c>
      <c r="U134" s="1" t="str">
        <f t="array" ref="U134">IF(ISBLANK(INDEX(big_daily_table,MATCH(DATE(U$5,$K134,$J134),daily_dates,0),MATCH($B$3,daily_items,0))),NA(),INDEX(big_daily_table,MATCH(DATE(U$5,$K134,$J134),daily_dates,0),MATCH($B$3,daily_items,0)))</f>
        <v>#N/A</v>
      </c>
      <c r="V134" s="1" t="str">
        <f t="array" ref="V134">IF(ISBLANK(INDEX(big_daily_table,MATCH(DATE(V$5,$K134,$J134),daily_dates,0),MATCH($B$3,daily_items,0))),NA(),INDEX(big_daily_table,MATCH(DATE(V$5,$K134,$J134),daily_dates,0),MATCH($B$3,daily_items,0)))</f>
        <v>#N/A</v>
      </c>
      <c r="W134" s="1" t="str">
        <f t="array" ref="W134">IF(ISBLANK(INDEX(big_daily_table,MATCH(DATE(W$5,$K134,$J134),daily_dates,0),MATCH($B$3,daily_items,0))),NA(),INDEX(big_daily_table,MATCH(DATE(W$5,$K134,$J134),daily_dates,0),MATCH($B$3,daily_items,0)))</f>
        <v>#N/A</v>
      </c>
      <c r="X134" s="1" t="str">
        <f t="array" ref="X134">IF(ISBLANK(INDEX(big_daily_table,MATCH(DATE(X$5,$K134,$J134),daily_dates,0),MATCH($B$3,daily_items,0))),NA(),INDEX(big_daily_table,MATCH(DATE(X$5,$K134,$J134),daily_dates,0),MATCH($B$3,daily_items,0)))</f>
        <v>#N/A</v>
      </c>
      <c r="Y134" s="1" t="str">
        <f t="array" ref="Y134">IF(ISBLANK(INDEX(big_daily_table,MATCH(DATE(Y$5,$K134,$J134),daily_dates,0),MATCH($B$3,daily_items,0))),NA(),INDEX(big_daily_table,MATCH(DATE(Y$5,$K134,$J134),daily_dates,0),MATCH($B$3,daily_items,0)))</f>
        <v>#N/A</v>
      </c>
      <c r="Z134" s="1" t="str">
        <f t="array" ref="Z134">IF(ISBLANK(INDEX(big_daily_table,MATCH(DATE(Z$5,$K134,$J134),daily_dates,0),MATCH($B$3,daily_items,0))),NA(),INDEX(big_daily_table,MATCH(DATE(Z$5,$K134,$J134),daily_dates,0),MATCH($B$3,daily_items,0)))</f>
        <v>#N/A</v>
      </c>
      <c r="AA134" s="1" t="str">
        <f t="shared" si="5"/>
        <v>#NAME?</v>
      </c>
      <c r="AB134" s="1" t="str">
        <f t="shared" si="6"/>
        <v>#NAME?</v>
      </c>
      <c r="AC134" s="1" t="str">
        <f t="shared" si="7"/>
        <v>#NAME?</v>
      </c>
      <c r="AD134" s="1" t="str">
        <f t="shared" si="8"/>
        <v>#NAME?</v>
      </c>
    </row>
    <row r="135" ht="14.25" customHeight="1">
      <c r="H135" s="1">
        <f t="shared" si="9"/>
        <v>130</v>
      </c>
      <c r="I135" s="1">
        <f>WEEKDAY('daily graphs'!K135)</f>
        <v>3</v>
      </c>
      <c r="J135" s="1">
        <f t="shared" si="2"/>
        <v>6</v>
      </c>
      <c r="K135" s="1">
        <f t="shared" si="3"/>
        <v>5</v>
      </c>
      <c r="L135" s="23">
        <f>'daily graphs'!K135 - I135</f>
        <v>36652</v>
      </c>
      <c r="M135" s="24">
        <f t="shared" si="4"/>
        <v>-1000000</v>
      </c>
      <c r="N135" s="24" t="str">
        <f t="array" ref="N135">IF(M135&gt;0,INDEX(big_daily_table,MATCH(DATE(O$5,$K135,$J135),daily_dates,0),MATCH($B$3,daily_items,0)),NA())</f>
        <v>#N/A</v>
      </c>
      <c r="O135" s="1" t="str">
        <f t="array" ref="O135">IF(M135&lt;0,INDEX(big_daily_table,MATCH(DATE(O$5,$K135,$J135),daily_dates,0),MATCH($B$3,daily_items,0)),NA())</f>
        <v>#N/A</v>
      </c>
      <c r="P135" s="1" t="str">
        <f t="array" ref="P135">IF(ISBLANK(INDEX(big_daily_table,MATCH(DATE(P$5,$K135,$J135),daily_dates,0),MATCH($B$3,daily_items,0))),NA(),INDEX(big_daily_table,MATCH(DATE(P$5,$K135,$J135),daily_dates,0),MATCH($B$3,daily_items,0)))</f>
        <v>#N/A</v>
      </c>
      <c r="Q135" s="1" t="str">
        <f t="array" ref="Q135">IF(ISBLANK(INDEX(big_daily_table,MATCH(DATE(Q$5,$K135,$J135),daily_dates,0),MATCH($B$3,daily_items,0))),NA(),INDEX(big_daily_table,MATCH(DATE(Q$5,$K135,$J135),daily_dates,0),MATCH($B$3,daily_items,0)))</f>
        <v>#N/A</v>
      </c>
      <c r="R135" s="1" t="str">
        <f t="array" ref="R135">IF(ISBLANK(INDEX(big_daily_table,MATCH(DATE(R$5,$K135,$J135),daily_dates,0),MATCH($B$3,daily_items,0))),NA(),INDEX(big_daily_table,MATCH(DATE(R$5,$K135,$J135),daily_dates,0),MATCH($B$3,daily_items,0)))</f>
        <v>#N/A</v>
      </c>
      <c r="S135" s="1" t="str">
        <f t="array" ref="S135">IF(ISBLANK(INDEX(big_daily_table,MATCH(DATE(S$5,$K135,$J135),daily_dates,0),MATCH($B$3,daily_items,0))),NA(),INDEX(big_daily_table,MATCH(DATE(S$5,$K135,$J135),daily_dates,0),MATCH($B$3,daily_items,0)))</f>
        <v>#N/A</v>
      </c>
      <c r="T135" s="1" t="str">
        <f t="array" ref="T135">IF(ISBLANK(INDEX(big_daily_table,MATCH(DATE(T$5,$K135,$J135),daily_dates,0),MATCH($B$3,daily_items,0))),NA(),INDEX(big_daily_table,MATCH(DATE(T$5,$K135,$J135),daily_dates,0),MATCH($B$3,daily_items,0)))</f>
        <v>#N/A</v>
      </c>
      <c r="U135" s="1" t="str">
        <f t="array" ref="U135">IF(ISBLANK(INDEX(big_daily_table,MATCH(DATE(U$5,$K135,$J135),daily_dates,0),MATCH($B$3,daily_items,0))),NA(),INDEX(big_daily_table,MATCH(DATE(U$5,$K135,$J135),daily_dates,0),MATCH($B$3,daily_items,0)))</f>
        <v>#N/A</v>
      </c>
      <c r="V135" s="1" t="str">
        <f t="array" ref="V135">IF(ISBLANK(INDEX(big_daily_table,MATCH(DATE(V$5,$K135,$J135),daily_dates,0),MATCH($B$3,daily_items,0))),NA(),INDEX(big_daily_table,MATCH(DATE(V$5,$K135,$J135),daily_dates,0),MATCH($B$3,daily_items,0)))</f>
        <v>#N/A</v>
      </c>
      <c r="W135" s="1" t="str">
        <f t="array" ref="W135">IF(ISBLANK(INDEX(big_daily_table,MATCH(DATE(W$5,$K135,$J135),daily_dates,0),MATCH($B$3,daily_items,0))),NA(),INDEX(big_daily_table,MATCH(DATE(W$5,$K135,$J135),daily_dates,0),MATCH($B$3,daily_items,0)))</f>
        <v>#N/A</v>
      </c>
      <c r="X135" s="1" t="str">
        <f t="array" ref="X135">IF(ISBLANK(INDEX(big_daily_table,MATCH(DATE(X$5,$K135,$J135),daily_dates,0),MATCH($B$3,daily_items,0))),NA(),INDEX(big_daily_table,MATCH(DATE(X$5,$K135,$J135),daily_dates,0),MATCH($B$3,daily_items,0)))</f>
        <v>#N/A</v>
      </c>
      <c r="Y135" s="1" t="str">
        <f t="array" ref="Y135">IF(ISBLANK(INDEX(big_daily_table,MATCH(DATE(Y$5,$K135,$J135),daily_dates,0),MATCH($B$3,daily_items,0))),NA(),INDEX(big_daily_table,MATCH(DATE(Y$5,$K135,$J135),daily_dates,0),MATCH($B$3,daily_items,0)))</f>
        <v>#N/A</v>
      </c>
      <c r="Z135" s="1" t="str">
        <f t="array" ref="Z135">IF(ISBLANK(INDEX(big_daily_table,MATCH(DATE(Z$5,$K135,$J135),daily_dates,0),MATCH($B$3,daily_items,0))),NA(),INDEX(big_daily_table,MATCH(DATE(Z$5,$K135,$J135),daily_dates,0),MATCH($B$3,daily_items,0)))</f>
        <v>#N/A</v>
      </c>
      <c r="AA135" s="1" t="str">
        <f t="shared" si="5"/>
        <v>#NAME?</v>
      </c>
      <c r="AB135" s="1" t="str">
        <f t="shared" si="6"/>
        <v>#NAME?</v>
      </c>
      <c r="AC135" s="1" t="str">
        <f t="shared" si="7"/>
        <v>#NAME?</v>
      </c>
      <c r="AD135" s="1" t="str">
        <f t="shared" si="8"/>
        <v>#NAME?</v>
      </c>
    </row>
    <row r="136" ht="14.25" customHeight="1">
      <c r="H136" s="1">
        <f t="shared" si="9"/>
        <v>131</v>
      </c>
      <c r="I136" s="1">
        <f>WEEKDAY('daily graphs'!K136)</f>
        <v>4</v>
      </c>
      <c r="J136" s="1">
        <f t="shared" si="2"/>
        <v>6</v>
      </c>
      <c r="K136" s="1">
        <f t="shared" si="3"/>
        <v>5</v>
      </c>
      <c r="L136" s="23">
        <f>'daily graphs'!K136 - I136</f>
        <v>36652</v>
      </c>
      <c r="M136" s="24">
        <f t="shared" si="4"/>
        <v>-1000000</v>
      </c>
      <c r="N136" s="24" t="str">
        <f t="array" ref="N136">IF(M136&gt;0,INDEX(big_daily_table,MATCH(DATE(O$5,$K136,$J136),daily_dates,0),MATCH($B$3,daily_items,0)),NA())</f>
        <v>#N/A</v>
      </c>
      <c r="O136" s="1" t="str">
        <f t="array" ref="O136">IF(M136&lt;0,INDEX(big_daily_table,MATCH(DATE(O$5,$K136,$J136),daily_dates,0),MATCH($B$3,daily_items,0)),NA())</f>
        <v>#N/A</v>
      </c>
      <c r="P136" s="1" t="str">
        <f t="array" ref="P136">IF(ISBLANK(INDEX(big_daily_table,MATCH(DATE(P$5,$K136,$J136),daily_dates,0),MATCH($B$3,daily_items,0))),NA(),INDEX(big_daily_table,MATCH(DATE(P$5,$K136,$J136),daily_dates,0),MATCH($B$3,daily_items,0)))</f>
        <v>#N/A</v>
      </c>
      <c r="Q136" s="1" t="str">
        <f t="array" ref="Q136">IF(ISBLANK(INDEX(big_daily_table,MATCH(DATE(Q$5,$K136,$J136),daily_dates,0),MATCH($B$3,daily_items,0))),NA(),INDEX(big_daily_table,MATCH(DATE(Q$5,$K136,$J136),daily_dates,0),MATCH($B$3,daily_items,0)))</f>
        <v>#N/A</v>
      </c>
      <c r="R136" s="1" t="str">
        <f t="array" ref="R136">IF(ISBLANK(INDEX(big_daily_table,MATCH(DATE(R$5,$K136,$J136),daily_dates,0),MATCH($B$3,daily_items,0))),NA(),INDEX(big_daily_table,MATCH(DATE(R$5,$K136,$J136),daily_dates,0),MATCH($B$3,daily_items,0)))</f>
        <v>#N/A</v>
      </c>
      <c r="S136" s="1" t="str">
        <f t="array" ref="S136">IF(ISBLANK(INDEX(big_daily_table,MATCH(DATE(S$5,$K136,$J136),daily_dates,0),MATCH($B$3,daily_items,0))),NA(),INDEX(big_daily_table,MATCH(DATE(S$5,$K136,$J136),daily_dates,0),MATCH($B$3,daily_items,0)))</f>
        <v>#N/A</v>
      </c>
      <c r="T136" s="1" t="str">
        <f t="array" ref="T136">IF(ISBLANK(INDEX(big_daily_table,MATCH(DATE(T$5,$K136,$J136),daily_dates,0),MATCH($B$3,daily_items,0))),NA(),INDEX(big_daily_table,MATCH(DATE(T$5,$K136,$J136),daily_dates,0),MATCH($B$3,daily_items,0)))</f>
        <v>#N/A</v>
      </c>
      <c r="U136" s="1" t="str">
        <f t="array" ref="U136">IF(ISBLANK(INDEX(big_daily_table,MATCH(DATE(U$5,$K136,$J136),daily_dates,0),MATCH($B$3,daily_items,0))),NA(),INDEX(big_daily_table,MATCH(DATE(U$5,$K136,$J136),daily_dates,0),MATCH($B$3,daily_items,0)))</f>
        <v>#N/A</v>
      </c>
      <c r="V136" s="1" t="str">
        <f t="array" ref="V136">IF(ISBLANK(INDEX(big_daily_table,MATCH(DATE(V$5,$K136,$J136),daily_dates,0),MATCH($B$3,daily_items,0))),NA(),INDEX(big_daily_table,MATCH(DATE(V$5,$K136,$J136),daily_dates,0),MATCH($B$3,daily_items,0)))</f>
        <v>#N/A</v>
      </c>
      <c r="W136" s="1" t="str">
        <f t="array" ref="W136">IF(ISBLANK(INDEX(big_daily_table,MATCH(DATE(W$5,$K136,$J136),daily_dates,0),MATCH($B$3,daily_items,0))),NA(),INDEX(big_daily_table,MATCH(DATE(W$5,$K136,$J136),daily_dates,0),MATCH($B$3,daily_items,0)))</f>
        <v>#N/A</v>
      </c>
      <c r="X136" s="1" t="str">
        <f t="array" ref="X136">IF(ISBLANK(INDEX(big_daily_table,MATCH(DATE(X$5,$K136,$J136),daily_dates,0),MATCH($B$3,daily_items,0))),NA(),INDEX(big_daily_table,MATCH(DATE(X$5,$K136,$J136),daily_dates,0),MATCH($B$3,daily_items,0)))</f>
        <v>#N/A</v>
      </c>
      <c r="Y136" s="1" t="str">
        <f t="array" ref="Y136">IF(ISBLANK(INDEX(big_daily_table,MATCH(DATE(Y$5,$K136,$J136),daily_dates,0),MATCH($B$3,daily_items,0))),NA(),INDEX(big_daily_table,MATCH(DATE(Y$5,$K136,$J136),daily_dates,0),MATCH($B$3,daily_items,0)))</f>
        <v>#N/A</v>
      </c>
      <c r="Z136" s="1" t="str">
        <f t="array" ref="Z136">IF(ISBLANK(INDEX(big_daily_table,MATCH(DATE(Z$5,$K136,$J136),daily_dates,0),MATCH($B$3,daily_items,0))),NA(),INDEX(big_daily_table,MATCH(DATE(Z$5,$K136,$J136),daily_dates,0),MATCH($B$3,daily_items,0)))</f>
        <v>#N/A</v>
      </c>
      <c r="AA136" s="1" t="str">
        <f t="shared" si="5"/>
        <v>#NAME?</v>
      </c>
      <c r="AB136" s="1" t="str">
        <f t="shared" si="6"/>
        <v>#NAME?</v>
      </c>
      <c r="AC136" s="1" t="str">
        <f t="shared" si="7"/>
        <v>#NAME?</v>
      </c>
      <c r="AD136" s="1" t="str">
        <f t="shared" si="8"/>
        <v>#NAME?</v>
      </c>
    </row>
    <row r="137" ht="14.25" customHeight="1">
      <c r="H137" s="1">
        <f t="shared" si="9"/>
        <v>132</v>
      </c>
      <c r="I137" s="1">
        <f>WEEKDAY('daily graphs'!K137)</f>
        <v>5</v>
      </c>
      <c r="J137" s="1">
        <f t="shared" si="2"/>
        <v>6</v>
      </c>
      <c r="K137" s="1">
        <f t="shared" si="3"/>
        <v>5</v>
      </c>
      <c r="L137" s="23">
        <f>'daily graphs'!K137 - I137</f>
        <v>36652</v>
      </c>
      <c r="M137" s="24">
        <f t="shared" si="4"/>
        <v>-1000000</v>
      </c>
      <c r="N137" s="24" t="str">
        <f t="array" ref="N137">IF(M137&gt;0,INDEX(big_daily_table,MATCH(DATE(O$5,$K137,$J137),daily_dates,0),MATCH($B$3,daily_items,0)),NA())</f>
        <v>#N/A</v>
      </c>
      <c r="O137" s="1" t="str">
        <f t="array" ref="O137">IF(M137&lt;0,INDEX(big_daily_table,MATCH(DATE(O$5,$K137,$J137),daily_dates,0),MATCH($B$3,daily_items,0)),NA())</f>
        <v>#N/A</v>
      </c>
      <c r="P137" s="1" t="str">
        <f t="array" ref="P137">IF(ISBLANK(INDEX(big_daily_table,MATCH(DATE(P$5,$K137,$J137),daily_dates,0),MATCH($B$3,daily_items,0))),NA(),INDEX(big_daily_table,MATCH(DATE(P$5,$K137,$J137),daily_dates,0),MATCH($B$3,daily_items,0)))</f>
        <v>#N/A</v>
      </c>
      <c r="Q137" s="1" t="str">
        <f t="array" ref="Q137">IF(ISBLANK(INDEX(big_daily_table,MATCH(DATE(Q$5,$K137,$J137),daily_dates,0),MATCH($B$3,daily_items,0))),NA(),INDEX(big_daily_table,MATCH(DATE(Q$5,$K137,$J137),daily_dates,0),MATCH($B$3,daily_items,0)))</f>
        <v>#N/A</v>
      </c>
      <c r="R137" s="1" t="str">
        <f t="array" ref="R137">IF(ISBLANK(INDEX(big_daily_table,MATCH(DATE(R$5,$K137,$J137),daily_dates,0),MATCH($B$3,daily_items,0))),NA(),INDEX(big_daily_table,MATCH(DATE(R$5,$K137,$J137),daily_dates,0),MATCH($B$3,daily_items,0)))</f>
        <v>#N/A</v>
      </c>
      <c r="S137" s="1" t="str">
        <f t="array" ref="S137">IF(ISBLANK(INDEX(big_daily_table,MATCH(DATE(S$5,$K137,$J137),daily_dates,0),MATCH($B$3,daily_items,0))),NA(),INDEX(big_daily_table,MATCH(DATE(S$5,$K137,$J137),daily_dates,0),MATCH($B$3,daily_items,0)))</f>
        <v>#N/A</v>
      </c>
      <c r="T137" s="1" t="str">
        <f t="array" ref="T137">IF(ISBLANK(INDEX(big_daily_table,MATCH(DATE(T$5,$K137,$J137),daily_dates,0),MATCH($B$3,daily_items,0))),NA(),INDEX(big_daily_table,MATCH(DATE(T$5,$K137,$J137),daily_dates,0),MATCH($B$3,daily_items,0)))</f>
        <v>#N/A</v>
      </c>
      <c r="U137" s="1" t="str">
        <f t="array" ref="U137">IF(ISBLANK(INDEX(big_daily_table,MATCH(DATE(U$5,$K137,$J137),daily_dates,0),MATCH($B$3,daily_items,0))),NA(),INDEX(big_daily_table,MATCH(DATE(U$5,$K137,$J137),daily_dates,0),MATCH($B$3,daily_items,0)))</f>
        <v>#N/A</v>
      </c>
      <c r="V137" s="1" t="str">
        <f t="array" ref="V137">IF(ISBLANK(INDEX(big_daily_table,MATCH(DATE(V$5,$K137,$J137),daily_dates,0),MATCH($B$3,daily_items,0))),NA(),INDEX(big_daily_table,MATCH(DATE(V$5,$K137,$J137),daily_dates,0),MATCH($B$3,daily_items,0)))</f>
        <v>#N/A</v>
      </c>
      <c r="W137" s="1" t="str">
        <f t="array" ref="W137">IF(ISBLANK(INDEX(big_daily_table,MATCH(DATE(W$5,$K137,$J137),daily_dates,0),MATCH($B$3,daily_items,0))),NA(),INDEX(big_daily_table,MATCH(DATE(W$5,$K137,$J137),daily_dates,0),MATCH($B$3,daily_items,0)))</f>
        <v>#N/A</v>
      </c>
      <c r="X137" s="1" t="str">
        <f t="array" ref="X137">IF(ISBLANK(INDEX(big_daily_table,MATCH(DATE(X$5,$K137,$J137),daily_dates,0),MATCH($B$3,daily_items,0))),NA(),INDEX(big_daily_table,MATCH(DATE(X$5,$K137,$J137),daily_dates,0),MATCH($B$3,daily_items,0)))</f>
        <v>#N/A</v>
      </c>
      <c r="Y137" s="1" t="str">
        <f t="array" ref="Y137">IF(ISBLANK(INDEX(big_daily_table,MATCH(DATE(Y$5,$K137,$J137),daily_dates,0),MATCH($B$3,daily_items,0))),NA(),INDEX(big_daily_table,MATCH(DATE(Y$5,$K137,$J137),daily_dates,0),MATCH($B$3,daily_items,0)))</f>
        <v>#N/A</v>
      </c>
      <c r="Z137" s="1" t="str">
        <f t="array" ref="Z137">IF(ISBLANK(INDEX(big_daily_table,MATCH(DATE(Z$5,$K137,$J137),daily_dates,0),MATCH($B$3,daily_items,0))),NA(),INDEX(big_daily_table,MATCH(DATE(Z$5,$K137,$J137),daily_dates,0),MATCH($B$3,daily_items,0)))</f>
        <v>#N/A</v>
      </c>
      <c r="AA137" s="1" t="str">
        <f t="shared" si="5"/>
        <v>#NAME?</v>
      </c>
      <c r="AB137" s="1" t="str">
        <f t="shared" si="6"/>
        <v>#NAME?</v>
      </c>
      <c r="AC137" s="1" t="str">
        <f t="shared" si="7"/>
        <v>#NAME?</v>
      </c>
      <c r="AD137" s="1" t="str">
        <f t="shared" si="8"/>
        <v>#NAME?</v>
      </c>
    </row>
    <row r="138" ht="14.25" customHeight="1">
      <c r="H138" s="1">
        <f t="shared" si="9"/>
        <v>133</v>
      </c>
      <c r="I138" s="1">
        <f>WEEKDAY('daily graphs'!K138)</f>
        <v>6</v>
      </c>
      <c r="J138" s="1">
        <f t="shared" si="2"/>
        <v>6</v>
      </c>
      <c r="K138" s="1">
        <f t="shared" si="3"/>
        <v>5</v>
      </c>
      <c r="L138" s="23">
        <f>'daily graphs'!K138 - I138</f>
        <v>36652</v>
      </c>
      <c r="M138" s="24">
        <f t="shared" si="4"/>
        <v>-1000000</v>
      </c>
      <c r="N138" s="24" t="str">
        <f t="array" ref="N138">IF(M138&gt;0,INDEX(big_daily_table,MATCH(DATE(O$5,$K138,$J138),daily_dates,0),MATCH($B$3,daily_items,0)),NA())</f>
        <v>#N/A</v>
      </c>
      <c r="O138" s="1" t="str">
        <f t="array" ref="O138">IF(M138&lt;0,INDEX(big_daily_table,MATCH(DATE(O$5,$K138,$J138),daily_dates,0),MATCH($B$3,daily_items,0)),NA())</f>
        <v>#N/A</v>
      </c>
      <c r="P138" s="1" t="str">
        <f t="array" ref="P138">IF(ISBLANK(INDEX(big_daily_table,MATCH(DATE(P$5,$K138,$J138),daily_dates,0),MATCH($B$3,daily_items,0))),NA(),INDEX(big_daily_table,MATCH(DATE(P$5,$K138,$J138),daily_dates,0),MATCH($B$3,daily_items,0)))</f>
        <v>#N/A</v>
      </c>
      <c r="Q138" s="1" t="str">
        <f t="array" ref="Q138">IF(ISBLANK(INDEX(big_daily_table,MATCH(DATE(Q$5,$K138,$J138),daily_dates,0),MATCH($B$3,daily_items,0))),NA(),INDEX(big_daily_table,MATCH(DATE(Q$5,$K138,$J138),daily_dates,0),MATCH($B$3,daily_items,0)))</f>
        <v>#N/A</v>
      </c>
      <c r="R138" s="1" t="str">
        <f t="array" ref="R138">IF(ISBLANK(INDEX(big_daily_table,MATCH(DATE(R$5,$K138,$J138),daily_dates,0),MATCH($B$3,daily_items,0))),NA(),INDEX(big_daily_table,MATCH(DATE(R$5,$K138,$J138),daily_dates,0),MATCH($B$3,daily_items,0)))</f>
        <v>#N/A</v>
      </c>
      <c r="S138" s="1" t="str">
        <f t="array" ref="S138">IF(ISBLANK(INDEX(big_daily_table,MATCH(DATE(S$5,$K138,$J138),daily_dates,0),MATCH($B$3,daily_items,0))),NA(),INDEX(big_daily_table,MATCH(DATE(S$5,$K138,$J138),daily_dates,0),MATCH($B$3,daily_items,0)))</f>
        <v>#N/A</v>
      </c>
      <c r="T138" s="1" t="str">
        <f t="array" ref="T138">IF(ISBLANK(INDEX(big_daily_table,MATCH(DATE(T$5,$K138,$J138),daily_dates,0),MATCH($B$3,daily_items,0))),NA(),INDEX(big_daily_table,MATCH(DATE(T$5,$K138,$J138),daily_dates,0),MATCH($B$3,daily_items,0)))</f>
        <v>#N/A</v>
      </c>
      <c r="U138" s="1" t="str">
        <f t="array" ref="U138">IF(ISBLANK(INDEX(big_daily_table,MATCH(DATE(U$5,$K138,$J138),daily_dates,0),MATCH($B$3,daily_items,0))),NA(),INDEX(big_daily_table,MATCH(DATE(U$5,$K138,$J138),daily_dates,0),MATCH($B$3,daily_items,0)))</f>
        <v>#N/A</v>
      </c>
      <c r="V138" s="1" t="str">
        <f t="array" ref="V138">IF(ISBLANK(INDEX(big_daily_table,MATCH(DATE(V$5,$K138,$J138),daily_dates,0),MATCH($B$3,daily_items,0))),NA(),INDEX(big_daily_table,MATCH(DATE(V$5,$K138,$J138),daily_dates,0),MATCH($B$3,daily_items,0)))</f>
        <v>#N/A</v>
      </c>
      <c r="W138" s="1" t="str">
        <f t="array" ref="W138">IF(ISBLANK(INDEX(big_daily_table,MATCH(DATE(W$5,$K138,$J138),daily_dates,0),MATCH($B$3,daily_items,0))),NA(),INDEX(big_daily_table,MATCH(DATE(W$5,$K138,$J138),daily_dates,0),MATCH($B$3,daily_items,0)))</f>
        <v>#N/A</v>
      </c>
      <c r="X138" s="1" t="str">
        <f t="array" ref="X138">IF(ISBLANK(INDEX(big_daily_table,MATCH(DATE(X$5,$K138,$J138),daily_dates,0),MATCH($B$3,daily_items,0))),NA(),INDEX(big_daily_table,MATCH(DATE(X$5,$K138,$J138),daily_dates,0),MATCH($B$3,daily_items,0)))</f>
        <v>#N/A</v>
      </c>
      <c r="Y138" s="1" t="str">
        <f t="array" ref="Y138">IF(ISBLANK(INDEX(big_daily_table,MATCH(DATE(Y$5,$K138,$J138),daily_dates,0),MATCH($B$3,daily_items,0))),NA(),INDEX(big_daily_table,MATCH(DATE(Y$5,$K138,$J138),daily_dates,0),MATCH($B$3,daily_items,0)))</f>
        <v>#N/A</v>
      </c>
      <c r="Z138" s="1" t="str">
        <f t="array" ref="Z138">IF(ISBLANK(INDEX(big_daily_table,MATCH(DATE(Z$5,$K138,$J138),daily_dates,0),MATCH($B$3,daily_items,0))),NA(),INDEX(big_daily_table,MATCH(DATE(Z$5,$K138,$J138),daily_dates,0),MATCH($B$3,daily_items,0)))</f>
        <v>#N/A</v>
      </c>
      <c r="AA138" s="1" t="str">
        <f t="shared" si="5"/>
        <v>#NAME?</v>
      </c>
      <c r="AB138" s="1" t="str">
        <f t="shared" si="6"/>
        <v>#NAME?</v>
      </c>
      <c r="AC138" s="1" t="str">
        <f t="shared" si="7"/>
        <v>#NAME?</v>
      </c>
      <c r="AD138" s="1" t="str">
        <f t="shared" si="8"/>
        <v>#NAME?</v>
      </c>
    </row>
    <row r="139" ht="14.25" customHeight="1">
      <c r="H139" s="1">
        <f t="shared" si="9"/>
        <v>134</v>
      </c>
      <c r="I139" s="1">
        <f>WEEKDAY('daily graphs'!K139)</f>
        <v>7</v>
      </c>
      <c r="J139" s="1">
        <f t="shared" si="2"/>
        <v>6</v>
      </c>
      <c r="K139" s="1">
        <f t="shared" si="3"/>
        <v>5</v>
      </c>
      <c r="L139" s="23">
        <f>'daily graphs'!K139 - I139</f>
        <v>36652</v>
      </c>
      <c r="M139" s="24">
        <f t="shared" si="4"/>
        <v>-1000000</v>
      </c>
      <c r="N139" s="24" t="str">
        <f t="array" ref="N139">IF(M139&gt;0,INDEX(big_daily_table,MATCH(DATE(O$5,$K139,$J139),daily_dates,0),MATCH($B$3,daily_items,0)),NA())</f>
        <v>#N/A</v>
      </c>
      <c r="O139" s="1" t="str">
        <f t="array" ref="O139">IF(M139&lt;0,INDEX(big_daily_table,MATCH(DATE(O$5,$K139,$J139),daily_dates,0),MATCH($B$3,daily_items,0)),NA())</f>
        <v>#N/A</v>
      </c>
      <c r="P139" s="1" t="str">
        <f t="array" ref="P139">IF(ISBLANK(INDEX(big_daily_table,MATCH(DATE(P$5,$K139,$J139),daily_dates,0),MATCH($B$3,daily_items,0))),NA(),INDEX(big_daily_table,MATCH(DATE(P$5,$K139,$J139),daily_dates,0),MATCH($B$3,daily_items,0)))</f>
        <v>#N/A</v>
      </c>
      <c r="Q139" s="1" t="str">
        <f t="array" ref="Q139">IF(ISBLANK(INDEX(big_daily_table,MATCH(DATE(Q$5,$K139,$J139),daily_dates,0),MATCH($B$3,daily_items,0))),NA(),INDEX(big_daily_table,MATCH(DATE(Q$5,$K139,$J139),daily_dates,0),MATCH($B$3,daily_items,0)))</f>
        <v>#N/A</v>
      </c>
      <c r="R139" s="1" t="str">
        <f t="array" ref="R139">IF(ISBLANK(INDEX(big_daily_table,MATCH(DATE(R$5,$K139,$J139),daily_dates,0),MATCH($B$3,daily_items,0))),NA(),INDEX(big_daily_table,MATCH(DATE(R$5,$K139,$J139),daily_dates,0),MATCH($B$3,daily_items,0)))</f>
        <v>#N/A</v>
      </c>
      <c r="S139" s="1" t="str">
        <f t="array" ref="S139">IF(ISBLANK(INDEX(big_daily_table,MATCH(DATE(S$5,$K139,$J139),daily_dates,0),MATCH($B$3,daily_items,0))),NA(),INDEX(big_daily_table,MATCH(DATE(S$5,$K139,$J139),daily_dates,0),MATCH($B$3,daily_items,0)))</f>
        <v>#N/A</v>
      </c>
      <c r="T139" s="1" t="str">
        <f t="array" ref="T139">IF(ISBLANK(INDEX(big_daily_table,MATCH(DATE(T$5,$K139,$J139),daily_dates,0),MATCH($B$3,daily_items,0))),NA(),INDEX(big_daily_table,MATCH(DATE(T$5,$K139,$J139),daily_dates,0),MATCH($B$3,daily_items,0)))</f>
        <v>#N/A</v>
      </c>
      <c r="U139" s="1" t="str">
        <f t="array" ref="U139">IF(ISBLANK(INDEX(big_daily_table,MATCH(DATE(U$5,$K139,$J139),daily_dates,0),MATCH($B$3,daily_items,0))),NA(),INDEX(big_daily_table,MATCH(DATE(U$5,$K139,$J139),daily_dates,0),MATCH($B$3,daily_items,0)))</f>
        <v>#N/A</v>
      </c>
      <c r="V139" s="1" t="str">
        <f t="array" ref="V139">IF(ISBLANK(INDEX(big_daily_table,MATCH(DATE(V$5,$K139,$J139),daily_dates,0),MATCH($B$3,daily_items,0))),NA(),INDEX(big_daily_table,MATCH(DATE(V$5,$K139,$J139),daily_dates,0),MATCH($B$3,daily_items,0)))</f>
        <v>#N/A</v>
      </c>
      <c r="W139" s="1" t="str">
        <f t="array" ref="W139">IF(ISBLANK(INDEX(big_daily_table,MATCH(DATE(W$5,$K139,$J139),daily_dates,0),MATCH($B$3,daily_items,0))),NA(),INDEX(big_daily_table,MATCH(DATE(W$5,$K139,$J139),daily_dates,0),MATCH($B$3,daily_items,0)))</f>
        <v>#N/A</v>
      </c>
      <c r="X139" s="1" t="str">
        <f t="array" ref="X139">IF(ISBLANK(INDEX(big_daily_table,MATCH(DATE(X$5,$K139,$J139),daily_dates,0),MATCH($B$3,daily_items,0))),NA(),INDEX(big_daily_table,MATCH(DATE(X$5,$K139,$J139),daily_dates,0),MATCH($B$3,daily_items,0)))</f>
        <v>#N/A</v>
      </c>
      <c r="Y139" s="1" t="str">
        <f t="array" ref="Y139">IF(ISBLANK(INDEX(big_daily_table,MATCH(DATE(Y$5,$K139,$J139),daily_dates,0),MATCH($B$3,daily_items,0))),NA(),INDEX(big_daily_table,MATCH(DATE(Y$5,$K139,$J139),daily_dates,0),MATCH($B$3,daily_items,0)))</f>
        <v>#N/A</v>
      </c>
      <c r="Z139" s="1" t="str">
        <f t="array" ref="Z139">IF(ISBLANK(INDEX(big_daily_table,MATCH(DATE(Z$5,$K139,$J139),daily_dates,0),MATCH($B$3,daily_items,0))),NA(),INDEX(big_daily_table,MATCH(DATE(Z$5,$K139,$J139),daily_dates,0),MATCH($B$3,daily_items,0)))</f>
        <v>#N/A</v>
      </c>
      <c r="AA139" s="1" t="str">
        <f t="shared" si="5"/>
        <v>#NAME?</v>
      </c>
      <c r="AB139" s="1" t="str">
        <f t="shared" si="6"/>
        <v>#NAME?</v>
      </c>
      <c r="AC139" s="1" t="str">
        <f t="shared" si="7"/>
        <v>#NAME?</v>
      </c>
      <c r="AD139" s="1" t="str">
        <f t="shared" si="8"/>
        <v>#NAME?</v>
      </c>
    </row>
    <row r="140" ht="14.25" customHeight="1">
      <c r="H140" s="1">
        <f t="shared" si="9"/>
        <v>135</v>
      </c>
      <c r="I140" s="1">
        <f>WEEKDAY('daily graphs'!K140)</f>
        <v>1</v>
      </c>
      <c r="J140" s="1">
        <f t="shared" si="2"/>
        <v>13</v>
      </c>
      <c r="K140" s="1">
        <f t="shared" si="3"/>
        <v>5</v>
      </c>
      <c r="L140" s="23">
        <f>'daily graphs'!K140 - I140</f>
        <v>36659</v>
      </c>
      <c r="M140" s="24">
        <f t="shared" si="4"/>
        <v>-1000000</v>
      </c>
      <c r="N140" s="24" t="str">
        <f t="array" ref="N140">IF(M140&gt;0,INDEX(big_daily_table,MATCH(DATE(O$5,$K140,$J140),daily_dates,0),MATCH($B$3,daily_items,0)),NA())</f>
        <v>#N/A</v>
      </c>
      <c r="O140" s="1" t="str">
        <f t="array" ref="O140">IF(M140&lt;0,INDEX(big_daily_table,MATCH(DATE(O$5,$K140,$J140),daily_dates,0),MATCH($B$3,daily_items,0)),NA())</f>
        <v>#N/A</v>
      </c>
      <c r="P140" s="1" t="str">
        <f t="array" ref="P140">IF(ISBLANK(INDEX(big_daily_table,MATCH(DATE(P$5,$K140,$J140),daily_dates,0),MATCH($B$3,daily_items,0))),NA(),INDEX(big_daily_table,MATCH(DATE(P$5,$K140,$J140),daily_dates,0),MATCH($B$3,daily_items,0)))</f>
        <v>#N/A</v>
      </c>
      <c r="Q140" s="1" t="str">
        <f t="array" ref="Q140">IF(ISBLANK(INDEX(big_daily_table,MATCH(DATE(Q$5,$K140,$J140),daily_dates,0),MATCH($B$3,daily_items,0))),NA(),INDEX(big_daily_table,MATCH(DATE(Q$5,$K140,$J140),daily_dates,0),MATCH($B$3,daily_items,0)))</f>
        <v>#N/A</v>
      </c>
      <c r="R140" s="1" t="str">
        <f t="array" ref="R140">IF(ISBLANK(INDEX(big_daily_table,MATCH(DATE(R$5,$K140,$J140),daily_dates,0),MATCH($B$3,daily_items,0))),NA(),INDEX(big_daily_table,MATCH(DATE(R$5,$K140,$J140),daily_dates,0),MATCH($B$3,daily_items,0)))</f>
        <v>#N/A</v>
      </c>
      <c r="S140" s="1" t="str">
        <f t="array" ref="S140">IF(ISBLANK(INDEX(big_daily_table,MATCH(DATE(S$5,$K140,$J140),daily_dates,0),MATCH($B$3,daily_items,0))),NA(),INDEX(big_daily_table,MATCH(DATE(S$5,$K140,$J140),daily_dates,0),MATCH($B$3,daily_items,0)))</f>
        <v>#N/A</v>
      </c>
      <c r="T140" s="1" t="str">
        <f t="array" ref="T140">IF(ISBLANK(INDEX(big_daily_table,MATCH(DATE(T$5,$K140,$J140),daily_dates,0),MATCH($B$3,daily_items,0))),NA(),INDEX(big_daily_table,MATCH(DATE(T$5,$K140,$J140),daily_dates,0),MATCH($B$3,daily_items,0)))</f>
        <v>#N/A</v>
      </c>
      <c r="U140" s="1" t="str">
        <f t="array" ref="U140">IF(ISBLANK(INDEX(big_daily_table,MATCH(DATE(U$5,$K140,$J140),daily_dates,0),MATCH($B$3,daily_items,0))),NA(),INDEX(big_daily_table,MATCH(DATE(U$5,$K140,$J140),daily_dates,0),MATCH($B$3,daily_items,0)))</f>
        <v>#N/A</v>
      </c>
      <c r="V140" s="1" t="str">
        <f t="array" ref="V140">IF(ISBLANK(INDEX(big_daily_table,MATCH(DATE(V$5,$K140,$J140),daily_dates,0),MATCH($B$3,daily_items,0))),NA(),INDEX(big_daily_table,MATCH(DATE(V$5,$K140,$J140),daily_dates,0),MATCH($B$3,daily_items,0)))</f>
        <v>#N/A</v>
      </c>
      <c r="W140" s="1" t="str">
        <f t="array" ref="W140">IF(ISBLANK(INDEX(big_daily_table,MATCH(DATE(W$5,$K140,$J140),daily_dates,0),MATCH($B$3,daily_items,0))),NA(),INDEX(big_daily_table,MATCH(DATE(W$5,$K140,$J140),daily_dates,0),MATCH($B$3,daily_items,0)))</f>
        <v>#N/A</v>
      </c>
      <c r="X140" s="1" t="str">
        <f t="array" ref="X140">IF(ISBLANK(INDEX(big_daily_table,MATCH(DATE(X$5,$K140,$J140),daily_dates,0),MATCH($B$3,daily_items,0))),NA(),INDEX(big_daily_table,MATCH(DATE(X$5,$K140,$J140),daily_dates,0),MATCH($B$3,daily_items,0)))</f>
        <v>#N/A</v>
      </c>
      <c r="Y140" s="1" t="str">
        <f t="array" ref="Y140">IF(ISBLANK(INDEX(big_daily_table,MATCH(DATE(Y$5,$K140,$J140),daily_dates,0),MATCH($B$3,daily_items,0))),NA(),INDEX(big_daily_table,MATCH(DATE(Y$5,$K140,$J140),daily_dates,0),MATCH($B$3,daily_items,0)))</f>
        <v>#N/A</v>
      </c>
      <c r="Z140" s="1" t="str">
        <f t="array" ref="Z140">IF(ISBLANK(INDEX(big_daily_table,MATCH(DATE(Z$5,$K140,$J140),daily_dates,0),MATCH($B$3,daily_items,0))),NA(),INDEX(big_daily_table,MATCH(DATE(Z$5,$K140,$J140),daily_dates,0),MATCH($B$3,daily_items,0)))</f>
        <v>#N/A</v>
      </c>
      <c r="AA140" s="1" t="str">
        <f t="shared" si="5"/>
        <v>#NAME?</v>
      </c>
      <c r="AB140" s="1" t="str">
        <f t="shared" si="6"/>
        <v>#NAME?</v>
      </c>
      <c r="AC140" s="1" t="str">
        <f t="shared" si="7"/>
        <v>#NAME?</v>
      </c>
      <c r="AD140" s="1" t="str">
        <f t="shared" si="8"/>
        <v>#NAME?</v>
      </c>
    </row>
    <row r="141" ht="14.25" customHeight="1">
      <c r="H141" s="1">
        <f t="shared" si="9"/>
        <v>136</v>
      </c>
      <c r="I141" s="1">
        <f>WEEKDAY('daily graphs'!K141)</f>
        <v>2</v>
      </c>
      <c r="J141" s="1">
        <f t="shared" si="2"/>
        <v>13</v>
      </c>
      <c r="K141" s="1">
        <f t="shared" si="3"/>
        <v>5</v>
      </c>
      <c r="L141" s="23">
        <f>'daily graphs'!K141 - I141</f>
        <v>36659</v>
      </c>
      <c r="M141" s="24">
        <f t="shared" si="4"/>
        <v>-1000000</v>
      </c>
      <c r="N141" s="24" t="str">
        <f t="array" ref="N141">IF(M141&gt;0,INDEX(big_daily_table,MATCH(DATE(O$5,$K141,$J141),daily_dates,0),MATCH($B$3,daily_items,0)),NA())</f>
        <v>#N/A</v>
      </c>
      <c r="O141" s="1" t="str">
        <f t="array" ref="O141">IF(M141&lt;0,INDEX(big_daily_table,MATCH(DATE(O$5,$K141,$J141),daily_dates,0),MATCH($B$3,daily_items,0)),NA())</f>
        <v>#N/A</v>
      </c>
      <c r="P141" s="1" t="str">
        <f t="array" ref="P141">IF(ISBLANK(INDEX(big_daily_table,MATCH(DATE(P$5,$K141,$J141),daily_dates,0),MATCH($B$3,daily_items,0))),NA(),INDEX(big_daily_table,MATCH(DATE(P$5,$K141,$J141),daily_dates,0),MATCH($B$3,daily_items,0)))</f>
        <v>#N/A</v>
      </c>
      <c r="Q141" s="1" t="str">
        <f t="array" ref="Q141">IF(ISBLANK(INDEX(big_daily_table,MATCH(DATE(Q$5,$K141,$J141),daily_dates,0),MATCH($B$3,daily_items,0))),NA(),INDEX(big_daily_table,MATCH(DATE(Q$5,$K141,$J141),daily_dates,0),MATCH($B$3,daily_items,0)))</f>
        <v>#N/A</v>
      </c>
      <c r="R141" s="1" t="str">
        <f t="array" ref="R141">IF(ISBLANK(INDEX(big_daily_table,MATCH(DATE(R$5,$K141,$J141),daily_dates,0),MATCH($B$3,daily_items,0))),NA(),INDEX(big_daily_table,MATCH(DATE(R$5,$K141,$J141),daily_dates,0),MATCH($B$3,daily_items,0)))</f>
        <v>#N/A</v>
      </c>
      <c r="S141" s="1" t="str">
        <f t="array" ref="S141">IF(ISBLANK(INDEX(big_daily_table,MATCH(DATE(S$5,$K141,$J141),daily_dates,0),MATCH($B$3,daily_items,0))),NA(),INDEX(big_daily_table,MATCH(DATE(S$5,$K141,$J141),daily_dates,0),MATCH($B$3,daily_items,0)))</f>
        <v>#N/A</v>
      </c>
      <c r="T141" s="1" t="str">
        <f t="array" ref="T141">IF(ISBLANK(INDEX(big_daily_table,MATCH(DATE(T$5,$K141,$J141),daily_dates,0),MATCH($B$3,daily_items,0))),NA(),INDEX(big_daily_table,MATCH(DATE(T$5,$K141,$J141),daily_dates,0),MATCH($B$3,daily_items,0)))</f>
        <v>#N/A</v>
      </c>
      <c r="U141" s="1" t="str">
        <f t="array" ref="U141">IF(ISBLANK(INDEX(big_daily_table,MATCH(DATE(U$5,$K141,$J141),daily_dates,0),MATCH($B$3,daily_items,0))),NA(),INDEX(big_daily_table,MATCH(DATE(U$5,$K141,$J141),daily_dates,0),MATCH($B$3,daily_items,0)))</f>
        <v>#N/A</v>
      </c>
      <c r="V141" s="1" t="str">
        <f t="array" ref="V141">IF(ISBLANK(INDEX(big_daily_table,MATCH(DATE(V$5,$K141,$J141),daily_dates,0),MATCH($B$3,daily_items,0))),NA(),INDEX(big_daily_table,MATCH(DATE(V$5,$K141,$J141),daily_dates,0),MATCH($B$3,daily_items,0)))</f>
        <v>#N/A</v>
      </c>
      <c r="W141" s="1" t="str">
        <f t="array" ref="W141">IF(ISBLANK(INDEX(big_daily_table,MATCH(DATE(W$5,$K141,$J141),daily_dates,0),MATCH($B$3,daily_items,0))),NA(),INDEX(big_daily_table,MATCH(DATE(W$5,$K141,$J141),daily_dates,0),MATCH($B$3,daily_items,0)))</f>
        <v>#N/A</v>
      </c>
      <c r="X141" s="1" t="str">
        <f t="array" ref="X141">IF(ISBLANK(INDEX(big_daily_table,MATCH(DATE(X$5,$K141,$J141),daily_dates,0),MATCH($B$3,daily_items,0))),NA(),INDEX(big_daily_table,MATCH(DATE(X$5,$K141,$J141),daily_dates,0),MATCH($B$3,daily_items,0)))</f>
        <v>#N/A</v>
      </c>
      <c r="Y141" s="1" t="str">
        <f t="array" ref="Y141">IF(ISBLANK(INDEX(big_daily_table,MATCH(DATE(Y$5,$K141,$J141),daily_dates,0),MATCH($B$3,daily_items,0))),NA(),INDEX(big_daily_table,MATCH(DATE(Y$5,$K141,$J141),daily_dates,0),MATCH($B$3,daily_items,0)))</f>
        <v>#N/A</v>
      </c>
      <c r="Z141" s="1" t="str">
        <f t="array" ref="Z141">IF(ISBLANK(INDEX(big_daily_table,MATCH(DATE(Z$5,$K141,$J141),daily_dates,0),MATCH($B$3,daily_items,0))),NA(),INDEX(big_daily_table,MATCH(DATE(Z$5,$K141,$J141),daily_dates,0),MATCH($B$3,daily_items,0)))</f>
        <v>#N/A</v>
      </c>
      <c r="AA141" s="1" t="str">
        <f t="shared" si="5"/>
        <v>#NAME?</v>
      </c>
      <c r="AB141" s="1" t="str">
        <f t="shared" si="6"/>
        <v>#NAME?</v>
      </c>
      <c r="AC141" s="1" t="str">
        <f t="shared" si="7"/>
        <v>#NAME?</v>
      </c>
      <c r="AD141" s="1" t="str">
        <f t="shared" si="8"/>
        <v>#NAME?</v>
      </c>
    </row>
    <row r="142" ht="14.25" customHeight="1">
      <c r="H142" s="1">
        <f t="shared" si="9"/>
        <v>137</v>
      </c>
      <c r="I142" s="1">
        <f>WEEKDAY('daily graphs'!K142)</f>
        <v>3</v>
      </c>
      <c r="J142" s="1">
        <f t="shared" si="2"/>
        <v>13</v>
      </c>
      <c r="K142" s="1">
        <f t="shared" si="3"/>
        <v>5</v>
      </c>
      <c r="L142" s="23">
        <f>'daily graphs'!K142 - I142</f>
        <v>36659</v>
      </c>
      <c r="M142" s="24">
        <f t="shared" si="4"/>
        <v>-1000000</v>
      </c>
      <c r="N142" s="24" t="str">
        <f t="array" ref="N142">IF(M142&gt;0,INDEX(big_daily_table,MATCH(DATE(O$5,$K142,$J142),daily_dates,0),MATCH($B$3,daily_items,0)),NA())</f>
        <v>#N/A</v>
      </c>
      <c r="O142" s="1" t="str">
        <f t="array" ref="O142">IF(M142&lt;0,INDEX(big_daily_table,MATCH(DATE(O$5,$K142,$J142),daily_dates,0),MATCH($B$3,daily_items,0)),NA())</f>
        <v>#N/A</v>
      </c>
      <c r="P142" s="1" t="str">
        <f t="array" ref="P142">IF(ISBLANK(INDEX(big_daily_table,MATCH(DATE(P$5,$K142,$J142),daily_dates,0),MATCH($B$3,daily_items,0))),NA(),INDEX(big_daily_table,MATCH(DATE(P$5,$K142,$J142),daily_dates,0),MATCH($B$3,daily_items,0)))</f>
        <v>#N/A</v>
      </c>
      <c r="Q142" s="1" t="str">
        <f t="array" ref="Q142">IF(ISBLANK(INDEX(big_daily_table,MATCH(DATE(Q$5,$K142,$J142),daily_dates,0),MATCH($B$3,daily_items,0))),NA(),INDEX(big_daily_table,MATCH(DATE(Q$5,$K142,$J142),daily_dates,0),MATCH($B$3,daily_items,0)))</f>
        <v>#N/A</v>
      </c>
      <c r="R142" s="1" t="str">
        <f t="array" ref="R142">IF(ISBLANK(INDEX(big_daily_table,MATCH(DATE(R$5,$K142,$J142),daily_dates,0),MATCH($B$3,daily_items,0))),NA(),INDEX(big_daily_table,MATCH(DATE(R$5,$K142,$J142),daily_dates,0),MATCH($B$3,daily_items,0)))</f>
        <v>#N/A</v>
      </c>
      <c r="S142" s="1" t="str">
        <f t="array" ref="S142">IF(ISBLANK(INDEX(big_daily_table,MATCH(DATE(S$5,$K142,$J142),daily_dates,0),MATCH($B$3,daily_items,0))),NA(),INDEX(big_daily_table,MATCH(DATE(S$5,$K142,$J142),daily_dates,0),MATCH($B$3,daily_items,0)))</f>
        <v>#N/A</v>
      </c>
      <c r="T142" s="1" t="str">
        <f t="array" ref="T142">IF(ISBLANK(INDEX(big_daily_table,MATCH(DATE(T$5,$K142,$J142),daily_dates,0),MATCH($B$3,daily_items,0))),NA(),INDEX(big_daily_table,MATCH(DATE(T$5,$K142,$J142),daily_dates,0),MATCH($B$3,daily_items,0)))</f>
        <v>#N/A</v>
      </c>
      <c r="U142" s="1" t="str">
        <f t="array" ref="U142">IF(ISBLANK(INDEX(big_daily_table,MATCH(DATE(U$5,$K142,$J142),daily_dates,0),MATCH($B$3,daily_items,0))),NA(),INDEX(big_daily_table,MATCH(DATE(U$5,$K142,$J142),daily_dates,0),MATCH($B$3,daily_items,0)))</f>
        <v>#N/A</v>
      </c>
      <c r="V142" s="1" t="str">
        <f t="array" ref="V142">IF(ISBLANK(INDEX(big_daily_table,MATCH(DATE(V$5,$K142,$J142),daily_dates,0),MATCH($B$3,daily_items,0))),NA(),INDEX(big_daily_table,MATCH(DATE(V$5,$K142,$J142),daily_dates,0),MATCH($B$3,daily_items,0)))</f>
        <v>#N/A</v>
      </c>
      <c r="W142" s="1" t="str">
        <f t="array" ref="W142">IF(ISBLANK(INDEX(big_daily_table,MATCH(DATE(W$5,$K142,$J142),daily_dates,0),MATCH($B$3,daily_items,0))),NA(),INDEX(big_daily_table,MATCH(DATE(W$5,$K142,$J142),daily_dates,0),MATCH($B$3,daily_items,0)))</f>
        <v>#N/A</v>
      </c>
      <c r="X142" s="1" t="str">
        <f t="array" ref="X142">IF(ISBLANK(INDEX(big_daily_table,MATCH(DATE(X$5,$K142,$J142),daily_dates,0),MATCH($B$3,daily_items,0))),NA(),INDEX(big_daily_table,MATCH(DATE(X$5,$K142,$J142),daily_dates,0),MATCH($B$3,daily_items,0)))</f>
        <v>#N/A</v>
      </c>
      <c r="Y142" s="1" t="str">
        <f t="array" ref="Y142">IF(ISBLANK(INDEX(big_daily_table,MATCH(DATE(Y$5,$K142,$J142),daily_dates,0),MATCH($B$3,daily_items,0))),NA(),INDEX(big_daily_table,MATCH(DATE(Y$5,$K142,$J142),daily_dates,0),MATCH($B$3,daily_items,0)))</f>
        <v>#N/A</v>
      </c>
      <c r="Z142" s="1" t="str">
        <f t="array" ref="Z142">IF(ISBLANK(INDEX(big_daily_table,MATCH(DATE(Z$5,$K142,$J142),daily_dates,0),MATCH($B$3,daily_items,0))),NA(),INDEX(big_daily_table,MATCH(DATE(Z$5,$K142,$J142),daily_dates,0),MATCH($B$3,daily_items,0)))</f>
        <v>#N/A</v>
      </c>
      <c r="AA142" s="1" t="str">
        <f t="shared" si="5"/>
        <v>#NAME?</v>
      </c>
      <c r="AB142" s="1" t="str">
        <f t="shared" si="6"/>
        <v>#NAME?</v>
      </c>
      <c r="AC142" s="1" t="str">
        <f t="shared" si="7"/>
        <v>#NAME?</v>
      </c>
      <c r="AD142" s="1" t="str">
        <f t="shared" si="8"/>
        <v>#NAME?</v>
      </c>
    </row>
    <row r="143" ht="14.25" customHeight="1">
      <c r="H143" s="1">
        <f t="shared" si="9"/>
        <v>138</v>
      </c>
      <c r="I143" s="1">
        <f>WEEKDAY('daily graphs'!K143)</f>
        <v>4</v>
      </c>
      <c r="J143" s="1">
        <f t="shared" si="2"/>
        <v>13</v>
      </c>
      <c r="K143" s="1">
        <f t="shared" si="3"/>
        <v>5</v>
      </c>
      <c r="L143" s="23">
        <f>'daily graphs'!K143 - I143</f>
        <v>36659</v>
      </c>
      <c r="M143" s="24">
        <f t="shared" si="4"/>
        <v>-1000000</v>
      </c>
      <c r="N143" s="24" t="str">
        <f t="array" ref="N143">IF(M143&gt;0,INDEX(big_daily_table,MATCH(DATE(O$5,$K143,$J143),daily_dates,0),MATCH($B$3,daily_items,0)),NA())</f>
        <v>#N/A</v>
      </c>
      <c r="O143" s="1" t="str">
        <f t="array" ref="O143">IF(M143&lt;0,INDEX(big_daily_table,MATCH(DATE(O$5,$K143,$J143),daily_dates,0),MATCH($B$3,daily_items,0)),NA())</f>
        <v>#N/A</v>
      </c>
      <c r="P143" s="1" t="str">
        <f t="array" ref="P143">IF(ISBLANK(INDEX(big_daily_table,MATCH(DATE(P$5,$K143,$J143),daily_dates,0),MATCH($B$3,daily_items,0))),NA(),INDEX(big_daily_table,MATCH(DATE(P$5,$K143,$J143),daily_dates,0),MATCH($B$3,daily_items,0)))</f>
        <v>#N/A</v>
      </c>
      <c r="Q143" s="1" t="str">
        <f t="array" ref="Q143">IF(ISBLANK(INDEX(big_daily_table,MATCH(DATE(Q$5,$K143,$J143),daily_dates,0),MATCH($B$3,daily_items,0))),NA(),INDEX(big_daily_table,MATCH(DATE(Q$5,$K143,$J143),daily_dates,0),MATCH($B$3,daily_items,0)))</f>
        <v>#N/A</v>
      </c>
      <c r="R143" s="1" t="str">
        <f t="array" ref="R143">IF(ISBLANK(INDEX(big_daily_table,MATCH(DATE(R$5,$K143,$J143),daily_dates,0),MATCH($B$3,daily_items,0))),NA(),INDEX(big_daily_table,MATCH(DATE(R$5,$K143,$J143),daily_dates,0),MATCH($B$3,daily_items,0)))</f>
        <v>#N/A</v>
      </c>
      <c r="S143" s="1" t="str">
        <f t="array" ref="S143">IF(ISBLANK(INDEX(big_daily_table,MATCH(DATE(S$5,$K143,$J143),daily_dates,0),MATCH($B$3,daily_items,0))),NA(),INDEX(big_daily_table,MATCH(DATE(S$5,$K143,$J143),daily_dates,0),MATCH($B$3,daily_items,0)))</f>
        <v>#N/A</v>
      </c>
      <c r="T143" s="1" t="str">
        <f t="array" ref="T143">IF(ISBLANK(INDEX(big_daily_table,MATCH(DATE(T$5,$K143,$J143),daily_dates,0),MATCH($B$3,daily_items,0))),NA(),INDEX(big_daily_table,MATCH(DATE(T$5,$K143,$J143),daily_dates,0),MATCH($B$3,daily_items,0)))</f>
        <v>#N/A</v>
      </c>
      <c r="U143" s="1" t="str">
        <f t="array" ref="U143">IF(ISBLANK(INDEX(big_daily_table,MATCH(DATE(U$5,$K143,$J143),daily_dates,0),MATCH($B$3,daily_items,0))),NA(),INDEX(big_daily_table,MATCH(DATE(U$5,$K143,$J143),daily_dates,0),MATCH($B$3,daily_items,0)))</f>
        <v>#N/A</v>
      </c>
      <c r="V143" s="1" t="str">
        <f t="array" ref="V143">IF(ISBLANK(INDEX(big_daily_table,MATCH(DATE(V$5,$K143,$J143),daily_dates,0),MATCH($B$3,daily_items,0))),NA(),INDEX(big_daily_table,MATCH(DATE(V$5,$K143,$J143),daily_dates,0),MATCH($B$3,daily_items,0)))</f>
        <v>#N/A</v>
      </c>
      <c r="W143" s="1" t="str">
        <f t="array" ref="W143">IF(ISBLANK(INDEX(big_daily_table,MATCH(DATE(W$5,$K143,$J143),daily_dates,0),MATCH($B$3,daily_items,0))),NA(),INDEX(big_daily_table,MATCH(DATE(W$5,$K143,$J143),daily_dates,0),MATCH($B$3,daily_items,0)))</f>
        <v>#N/A</v>
      </c>
      <c r="X143" s="1" t="str">
        <f t="array" ref="X143">IF(ISBLANK(INDEX(big_daily_table,MATCH(DATE(X$5,$K143,$J143),daily_dates,0),MATCH($B$3,daily_items,0))),NA(),INDEX(big_daily_table,MATCH(DATE(X$5,$K143,$J143),daily_dates,0),MATCH($B$3,daily_items,0)))</f>
        <v>#N/A</v>
      </c>
      <c r="Y143" s="1" t="str">
        <f t="array" ref="Y143">IF(ISBLANK(INDEX(big_daily_table,MATCH(DATE(Y$5,$K143,$J143),daily_dates,0),MATCH($B$3,daily_items,0))),NA(),INDEX(big_daily_table,MATCH(DATE(Y$5,$K143,$J143),daily_dates,0),MATCH($B$3,daily_items,0)))</f>
        <v>#N/A</v>
      </c>
      <c r="Z143" s="1" t="str">
        <f t="array" ref="Z143">IF(ISBLANK(INDEX(big_daily_table,MATCH(DATE(Z$5,$K143,$J143),daily_dates,0),MATCH($B$3,daily_items,0))),NA(),INDEX(big_daily_table,MATCH(DATE(Z$5,$K143,$J143),daily_dates,0),MATCH($B$3,daily_items,0)))</f>
        <v>#N/A</v>
      </c>
      <c r="AA143" s="1" t="str">
        <f t="shared" si="5"/>
        <v>#NAME?</v>
      </c>
      <c r="AB143" s="1" t="str">
        <f t="shared" si="6"/>
        <v>#NAME?</v>
      </c>
      <c r="AC143" s="1" t="str">
        <f t="shared" si="7"/>
        <v>#NAME?</v>
      </c>
      <c r="AD143" s="1" t="str">
        <f t="shared" si="8"/>
        <v>#NAME?</v>
      </c>
    </row>
    <row r="144" ht="14.25" customHeight="1">
      <c r="H144" s="1">
        <f t="shared" si="9"/>
        <v>139</v>
      </c>
      <c r="I144" s="1">
        <f>WEEKDAY('daily graphs'!K144)</f>
        <v>5</v>
      </c>
      <c r="J144" s="1">
        <f t="shared" si="2"/>
        <v>13</v>
      </c>
      <c r="K144" s="1">
        <f t="shared" si="3"/>
        <v>5</v>
      </c>
      <c r="L144" s="23">
        <f>'daily graphs'!K144 - I144</f>
        <v>36659</v>
      </c>
      <c r="M144" s="24">
        <f t="shared" si="4"/>
        <v>-1000000</v>
      </c>
      <c r="N144" s="24" t="str">
        <f t="array" ref="N144">IF(M144&gt;0,INDEX(big_daily_table,MATCH(DATE(O$5,$K144,$J144),daily_dates,0),MATCH($B$3,daily_items,0)),NA())</f>
        <v>#N/A</v>
      </c>
      <c r="O144" s="1" t="str">
        <f t="array" ref="O144">IF(M144&lt;0,INDEX(big_daily_table,MATCH(DATE(O$5,$K144,$J144),daily_dates,0),MATCH($B$3,daily_items,0)),NA())</f>
        <v>#N/A</v>
      </c>
      <c r="P144" s="1" t="str">
        <f t="array" ref="P144">IF(ISBLANK(INDEX(big_daily_table,MATCH(DATE(P$5,$K144,$J144),daily_dates,0),MATCH($B$3,daily_items,0))),NA(),INDEX(big_daily_table,MATCH(DATE(P$5,$K144,$J144),daily_dates,0),MATCH($B$3,daily_items,0)))</f>
        <v>#N/A</v>
      </c>
      <c r="Q144" s="1" t="str">
        <f t="array" ref="Q144">IF(ISBLANK(INDEX(big_daily_table,MATCH(DATE(Q$5,$K144,$J144),daily_dates,0),MATCH($B$3,daily_items,0))),NA(),INDEX(big_daily_table,MATCH(DATE(Q$5,$K144,$J144),daily_dates,0),MATCH($B$3,daily_items,0)))</f>
        <v>#N/A</v>
      </c>
      <c r="R144" s="1" t="str">
        <f t="array" ref="R144">IF(ISBLANK(INDEX(big_daily_table,MATCH(DATE(R$5,$K144,$J144),daily_dates,0),MATCH($B$3,daily_items,0))),NA(),INDEX(big_daily_table,MATCH(DATE(R$5,$K144,$J144),daily_dates,0),MATCH($B$3,daily_items,0)))</f>
        <v>#N/A</v>
      </c>
      <c r="S144" s="1" t="str">
        <f t="array" ref="S144">IF(ISBLANK(INDEX(big_daily_table,MATCH(DATE(S$5,$K144,$J144),daily_dates,0),MATCH($B$3,daily_items,0))),NA(),INDEX(big_daily_table,MATCH(DATE(S$5,$K144,$J144),daily_dates,0),MATCH($B$3,daily_items,0)))</f>
        <v>#N/A</v>
      </c>
      <c r="T144" s="1" t="str">
        <f t="array" ref="T144">IF(ISBLANK(INDEX(big_daily_table,MATCH(DATE(T$5,$K144,$J144),daily_dates,0),MATCH($B$3,daily_items,0))),NA(),INDEX(big_daily_table,MATCH(DATE(T$5,$K144,$J144),daily_dates,0),MATCH($B$3,daily_items,0)))</f>
        <v>#N/A</v>
      </c>
      <c r="U144" s="1" t="str">
        <f t="array" ref="U144">IF(ISBLANK(INDEX(big_daily_table,MATCH(DATE(U$5,$K144,$J144),daily_dates,0),MATCH($B$3,daily_items,0))),NA(),INDEX(big_daily_table,MATCH(DATE(U$5,$K144,$J144),daily_dates,0),MATCH($B$3,daily_items,0)))</f>
        <v>#N/A</v>
      </c>
      <c r="V144" s="1" t="str">
        <f t="array" ref="V144">IF(ISBLANK(INDEX(big_daily_table,MATCH(DATE(V$5,$K144,$J144),daily_dates,0),MATCH($B$3,daily_items,0))),NA(),INDEX(big_daily_table,MATCH(DATE(V$5,$K144,$J144),daily_dates,0),MATCH($B$3,daily_items,0)))</f>
        <v>#N/A</v>
      </c>
      <c r="W144" s="1" t="str">
        <f t="array" ref="W144">IF(ISBLANK(INDEX(big_daily_table,MATCH(DATE(W$5,$K144,$J144),daily_dates,0),MATCH($B$3,daily_items,0))),NA(),INDEX(big_daily_table,MATCH(DATE(W$5,$K144,$J144),daily_dates,0),MATCH($B$3,daily_items,0)))</f>
        <v>#N/A</v>
      </c>
      <c r="X144" s="1" t="str">
        <f t="array" ref="X144">IF(ISBLANK(INDEX(big_daily_table,MATCH(DATE(X$5,$K144,$J144),daily_dates,0),MATCH($B$3,daily_items,0))),NA(),INDEX(big_daily_table,MATCH(DATE(X$5,$K144,$J144),daily_dates,0),MATCH($B$3,daily_items,0)))</f>
        <v>#N/A</v>
      </c>
      <c r="Y144" s="1" t="str">
        <f t="array" ref="Y144">IF(ISBLANK(INDEX(big_daily_table,MATCH(DATE(Y$5,$K144,$J144),daily_dates,0),MATCH($B$3,daily_items,0))),NA(),INDEX(big_daily_table,MATCH(DATE(Y$5,$K144,$J144),daily_dates,0),MATCH($B$3,daily_items,0)))</f>
        <v>#N/A</v>
      </c>
      <c r="Z144" s="1" t="str">
        <f t="array" ref="Z144">IF(ISBLANK(INDEX(big_daily_table,MATCH(DATE(Z$5,$K144,$J144),daily_dates,0),MATCH($B$3,daily_items,0))),NA(),INDEX(big_daily_table,MATCH(DATE(Z$5,$K144,$J144),daily_dates,0),MATCH($B$3,daily_items,0)))</f>
        <v>#N/A</v>
      </c>
      <c r="AA144" s="1" t="str">
        <f t="shared" si="5"/>
        <v>#NAME?</v>
      </c>
      <c r="AB144" s="1" t="str">
        <f t="shared" si="6"/>
        <v>#NAME?</v>
      </c>
      <c r="AC144" s="1" t="str">
        <f t="shared" si="7"/>
        <v>#NAME?</v>
      </c>
      <c r="AD144" s="1" t="str">
        <f t="shared" si="8"/>
        <v>#NAME?</v>
      </c>
    </row>
    <row r="145" ht="14.25" customHeight="1">
      <c r="H145" s="1">
        <f t="shared" si="9"/>
        <v>140</v>
      </c>
      <c r="I145" s="1">
        <f>WEEKDAY('daily graphs'!K145)</f>
        <v>6</v>
      </c>
      <c r="J145" s="1">
        <f t="shared" si="2"/>
        <v>13</v>
      </c>
      <c r="K145" s="1">
        <f t="shared" si="3"/>
        <v>5</v>
      </c>
      <c r="L145" s="23">
        <f>'daily graphs'!K145 - I145</f>
        <v>36659</v>
      </c>
      <c r="M145" s="24">
        <f t="shared" si="4"/>
        <v>-1000000</v>
      </c>
      <c r="N145" s="24" t="str">
        <f t="array" ref="N145">IF(M145&gt;0,INDEX(big_daily_table,MATCH(DATE(O$5,$K145,$J145),daily_dates,0),MATCH($B$3,daily_items,0)),NA())</f>
        <v>#N/A</v>
      </c>
      <c r="O145" s="1" t="str">
        <f t="array" ref="O145">IF(M145&lt;0,INDEX(big_daily_table,MATCH(DATE(O$5,$K145,$J145),daily_dates,0),MATCH($B$3,daily_items,0)),NA())</f>
        <v>#N/A</v>
      </c>
      <c r="P145" s="1" t="str">
        <f t="array" ref="P145">IF(ISBLANK(INDEX(big_daily_table,MATCH(DATE(P$5,$K145,$J145),daily_dates,0),MATCH($B$3,daily_items,0))),NA(),INDEX(big_daily_table,MATCH(DATE(P$5,$K145,$J145),daily_dates,0),MATCH($B$3,daily_items,0)))</f>
        <v>#N/A</v>
      </c>
      <c r="Q145" s="1" t="str">
        <f t="array" ref="Q145">IF(ISBLANK(INDEX(big_daily_table,MATCH(DATE(Q$5,$K145,$J145),daily_dates,0),MATCH($B$3,daily_items,0))),NA(),INDEX(big_daily_table,MATCH(DATE(Q$5,$K145,$J145),daily_dates,0),MATCH($B$3,daily_items,0)))</f>
        <v>#N/A</v>
      </c>
      <c r="R145" s="1" t="str">
        <f t="array" ref="R145">IF(ISBLANK(INDEX(big_daily_table,MATCH(DATE(R$5,$K145,$J145),daily_dates,0),MATCH($B$3,daily_items,0))),NA(),INDEX(big_daily_table,MATCH(DATE(R$5,$K145,$J145),daily_dates,0),MATCH($B$3,daily_items,0)))</f>
        <v>#N/A</v>
      </c>
      <c r="S145" s="1" t="str">
        <f t="array" ref="S145">IF(ISBLANK(INDEX(big_daily_table,MATCH(DATE(S$5,$K145,$J145),daily_dates,0),MATCH($B$3,daily_items,0))),NA(),INDEX(big_daily_table,MATCH(DATE(S$5,$K145,$J145),daily_dates,0),MATCH($B$3,daily_items,0)))</f>
        <v>#N/A</v>
      </c>
      <c r="T145" s="1" t="str">
        <f t="array" ref="T145">IF(ISBLANK(INDEX(big_daily_table,MATCH(DATE(T$5,$K145,$J145),daily_dates,0),MATCH($B$3,daily_items,0))),NA(),INDEX(big_daily_table,MATCH(DATE(T$5,$K145,$J145),daily_dates,0),MATCH($B$3,daily_items,0)))</f>
        <v>#N/A</v>
      </c>
      <c r="U145" s="1" t="str">
        <f t="array" ref="U145">IF(ISBLANK(INDEX(big_daily_table,MATCH(DATE(U$5,$K145,$J145),daily_dates,0),MATCH($B$3,daily_items,0))),NA(),INDEX(big_daily_table,MATCH(DATE(U$5,$K145,$J145),daily_dates,0),MATCH($B$3,daily_items,0)))</f>
        <v>#N/A</v>
      </c>
      <c r="V145" s="1" t="str">
        <f t="array" ref="V145">IF(ISBLANK(INDEX(big_daily_table,MATCH(DATE(V$5,$K145,$J145),daily_dates,0),MATCH($B$3,daily_items,0))),NA(),INDEX(big_daily_table,MATCH(DATE(V$5,$K145,$J145),daily_dates,0),MATCH($B$3,daily_items,0)))</f>
        <v>#N/A</v>
      </c>
      <c r="W145" s="1" t="str">
        <f t="array" ref="W145">IF(ISBLANK(INDEX(big_daily_table,MATCH(DATE(W$5,$K145,$J145),daily_dates,0),MATCH($B$3,daily_items,0))),NA(),INDEX(big_daily_table,MATCH(DATE(W$5,$K145,$J145),daily_dates,0),MATCH($B$3,daily_items,0)))</f>
        <v>#N/A</v>
      </c>
      <c r="X145" s="1" t="str">
        <f t="array" ref="X145">IF(ISBLANK(INDEX(big_daily_table,MATCH(DATE(X$5,$K145,$J145),daily_dates,0),MATCH($B$3,daily_items,0))),NA(),INDEX(big_daily_table,MATCH(DATE(X$5,$K145,$J145),daily_dates,0),MATCH($B$3,daily_items,0)))</f>
        <v>#N/A</v>
      </c>
      <c r="Y145" s="1" t="str">
        <f t="array" ref="Y145">IF(ISBLANK(INDEX(big_daily_table,MATCH(DATE(Y$5,$K145,$J145),daily_dates,0),MATCH($B$3,daily_items,0))),NA(),INDEX(big_daily_table,MATCH(DATE(Y$5,$K145,$J145),daily_dates,0),MATCH($B$3,daily_items,0)))</f>
        <v>#N/A</v>
      </c>
      <c r="Z145" s="1" t="str">
        <f t="array" ref="Z145">IF(ISBLANK(INDEX(big_daily_table,MATCH(DATE(Z$5,$K145,$J145),daily_dates,0),MATCH($B$3,daily_items,0))),NA(),INDEX(big_daily_table,MATCH(DATE(Z$5,$K145,$J145),daily_dates,0),MATCH($B$3,daily_items,0)))</f>
        <v>#N/A</v>
      </c>
      <c r="AA145" s="1" t="str">
        <f t="shared" si="5"/>
        <v>#NAME?</v>
      </c>
      <c r="AB145" s="1" t="str">
        <f t="shared" si="6"/>
        <v>#NAME?</v>
      </c>
      <c r="AC145" s="1" t="str">
        <f t="shared" si="7"/>
        <v>#NAME?</v>
      </c>
      <c r="AD145" s="1" t="str">
        <f t="shared" si="8"/>
        <v>#NAME?</v>
      </c>
    </row>
    <row r="146" ht="14.25" customHeight="1">
      <c r="H146" s="1">
        <f t="shared" si="9"/>
        <v>141</v>
      </c>
      <c r="I146" s="1">
        <f>WEEKDAY('daily graphs'!K146)</f>
        <v>7</v>
      </c>
      <c r="J146" s="1">
        <f t="shared" si="2"/>
        <v>13</v>
      </c>
      <c r="K146" s="1">
        <f t="shared" si="3"/>
        <v>5</v>
      </c>
      <c r="L146" s="23">
        <f>'daily graphs'!K146 - I146</f>
        <v>36659</v>
      </c>
      <c r="M146" s="24">
        <f t="shared" si="4"/>
        <v>-1000000</v>
      </c>
      <c r="N146" s="24" t="str">
        <f t="array" ref="N146">IF(M146&gt;0,INDEX(big_daily_table,MATCH(DATE(O$5,$K146,$J146),daily_dates,0),MATCH($B$3,daily_items,0)),NA())</f>
        <v>#N/A</v>
      </c>
      <c r="O146" s="1" t="str">
        <f t="array" ref="O146">IF(M146&lt;0,INDEX(big_daily_table,MATCH(DATE(O$5,$K146,$J146),daily_dates,0),MATCH($B$3,daily_items,0)),NA())</f>
        <v>#N/A</v>
      </c>
      <c r="P146" s="1" t="str">
        <f t="array" ref="P146">IF(ISBLANK(INDEX(big_daily_table,MATCH(DATE(P$5,$K146,$J146),daily_dates,0),MATCH($B$3,daily_items,0))),NA(),INDEX(big_daily_table,MATCH(DATE(P$5,$K146,$J146),daily_dates,0),MATCH($B$3,daily_items,0)))</f>
        <v>#N/A</v>
      </c>
      <c r="Q146" s="1" t="str">
        <f t="array" ref="Q146">IF(ISBLANK(INDEX(big_daily_table,MATCH(DATE(Q$5,$K146,$J146),daily_dates,0),MATCH($B$3,daily_items,0))),NA(),INDEX(big_daily_table,MATCH(DATE(Q$5,$K146,$J146),daily_dates,0),MATCH($B$3,daily_items,0)))</f>
        <v>#N/A</v>
      </c>
      <c r="R146" s="1" t="str">
        <f t="array" ref="R146">IF(ISBLANK(INDEX(big_daily_table,MATCH(DATE(R$5,$K146,$J146),daily_dates,0),MATCH($B$3,daily_items,0))),NA(),INDEX(big_daily_table,MATCH(DATE(R$5,$K146,$J146),daily_dates,0),MATCH($B$3,daily_items,0)))</f>
        <v>#N/A</v>
      </c>
      <c r="S146" s="1" t="str">
        <f t="array" ref="S146">IF(ISBLANK(INDEX(big_daily_table,MATCH(DATE(S$5,$K146,$J146),daily_dates,0),MATCH($B$3,daily_items,0))),NA(),INDEX(big_daily_table,MATCH(DATE(S$5,$K146,$J146),daily_dates,0),MATCH($B$3,daily_items,0)))</f>
        <v>#N/A</v>
      </c>
      <c r="T146" s="1" t="str">
        <f t="array" ref="T146">IF(ISBLANK(INDEX(big_daily_table,MATCH(DATE(T$5,$K146,$J146),daily_dates,0),MATCH($B$3,daily_items,0))),NA(),INDEX(big_daily_table,MATCH(DATE(T$5,$K146,$J146),daily_dates,0),MATCH($B$3,daily_items,0)))</f>
        <v>#N/A</v>
      </c>
      <c r="U146" s="1" t="str">
        <f t="array" ref="U146">IF(ISBLANK(INDEX(big_daily_table,MATCH(DATE(U$5,$K146,$J146),daily_dates,0),MATCH($B$3,daily_items,0))),NA(),INDEX(big_daily_table,MATCH(DATE(U$5,$K146,$J146),daily_dates,0),MATCH($B$3,daily_items,0)))</f>
        <v>#N/A</v>
      </c>
      <c r="V146" s="1" t="str">
        <f t="array" ref="V146">IF(ISBLANK(INDEX(big_daily_table,MATCH(DATE(V$5,$K146,$J146),daily_dates,0),MATCH($B$3,daily_items,0))),NA(),INDEX(big_daily_table,MATCH(DATE(V$5,$K146,$J146),daily_dates,0),MATCH($B$3,daily_items,0)))</f>
        <v>#N/A</v>
      </c>
      <c r="W146" s="1" t="str">
        <f t="array" ref="W146">IF(ISBLANK(INDEX(big_daily_table,MATCH(DATE(W$5,$K146,$J146),daily_dates,0),MATCH($B$3,daily_items,0))),NA(),INDEX(big_daily_table,MATCH(DATE(W$5,$K146,$J146),daily_dates,0),MATCH($B$3,daily_items,0)))</f>
        <v>#N/A</v>
      </c>
      <c r="X146" s="1" t="str">
        <f t="array" ref="X146">IF(ISBLANK(INDEX(big_daily_table,MATCH(DATE(X$5,$K146,$J146),daily_dates,0),MATCH($B$3,daily_items,0))),NA(),INDEX(big_daily_table,MATCH(DATE(X$5,$K146,$J146),daily_dates,0),MATCH($B$3,daily_items,0)))</f>
        <v>#N/A</v>
      </c>
      <c r="Y146" s="1" t="str">
        <f t="array" ref="Y146">IF(ISBLANK(INDEX(big_daily_table,MATCH(DATE(Y$5,$K146,$J146),daily_dates,0),MATCH($B$3,daily_items,0))),NA(),INDEX(big_daily_table,MATCH(DATE(Y$5,$K146,$J146),daily_dates,0),MATCH($B$3,daily_items,0)))</f>
        <v>#N/A</v>
      </c>
      <c r="Z146" s="1" t="str">
        <f t="array" ref="Z146">IF(ISBLANK(INDEX(big_daily_table,MATCH(DATE(Z$5,$K146,$J146),daily_dates,0),MATCH($B$3,daily_items,0))),NA(),INDEX(big_daily_table,MATCH(DATE(Z$5,$K146,$J146),daily_dates,0),MATCH($B$3,daily_items,0)))</f>
        <v>#N/A</v>
      </c>
      <c r="AA146" s="1" t="str">
        <f t="shared" si="5"/>
        <v>#NAME?</v>
      </c>
      <c r="AB146" s="1" t="str">
        <f t="shared" si="6"/>
        <v>#NAME?</v>
      </c>
      <c r="AC146" s="1" t="str">
        <f t="shared" si="7"/>
        <v>#NAME?</v>
      </c>
      <c r="AD146" s="1" t="str">
        <f t="shared" si="8"/>
        <v>#NAME?</v>
      </c>
    </row>
    <row r="147" ht="14.25" customHeight="1">
      <c r="H147" s="1">
        <f t="shared" si="9"/>
        <v>142</v>
      </c>
      <c r="I147" s="1">
        <f>WEEKDAY('daily graphs'!K147)</f>
        <v>1</v>
      </c>
      <c r="J147" s="1">
        <f t="shared" si="2"/>
        <v>20</v>
      </c>
      <c r="K147" s="1">
        <f t="shared" si="3"/>
        <v>5</v>
      </c>
      <c r="L147" s="23">
        <f>'daily graphs'!K147 - I147</f>
        <v>36666</v>
      </c>
      <c r="M147" s="24">
        <f t="shared" si="4"/>
        <v>-1000000</v>
      </c>
      <c r="N147" s="24" t="str">
        <f t="array" ref="N147">IF(M147&gt;0,INDEX(big_daily_table,MATCH(DATE(O$5,$K147,$J147),daily_dates,0),MATCH($B$3,daily_items,0)),NA())</f>
        <v>#N/A</v>
      </c>
      <c r="O147" s="1" t="str">
        <f t="array" ref="O147">IF(M147&lt;0,INDEX(big_daily_table,MATCH(DATE(O$5,$K147,$J147),daily_dates,0),MATCH($B$3,daily_items,0)),NA())</f>
        <v>#N/A</v>
      </c>
      <c r="P147" s="1" t="str">
        <f t="array" ref="P147">IF(ISBLANK(INDEX(big_daily_table,MATCH(DATE(P$5,$K147,$J147),daily_dates,0),MATCH($B$3,daily_items,0))),NA(),INDEX(big_daily_table,MATCH(DATE(P$5,$K147,$J147),daily_dates,0),MATCH($B$3,daily_items,0)))</f>
        <v>#N/A</v>
      </c>
      <c r="Q147" s="1" t="str">
        <f t="array" ref="Q147">IF(ISBLANK(INDEX(big_daily_table,MATCH(DATE(Q$5,$K147,$J147),daily_dates,0),MATCH($B$3,daily_items,0))),NA(),INDEX(big_daily_table,MATCH(DATE(Q$5,$K147,$J147),daily_dates,0),MATCH($B$3,daily_items,0)))</f>
        <v>#N/A</v>
      </c>
      <c r="R147" s="1" t="str">
        <f t="array" ref="R147">IF(ISBLANK(INDEX(big_daily_table,MATCH(DATE(R$5,$K147,$J147),daily_dates,0),MATCH($B$3,daily_items,0))),NA(),INDEX(big_daily_table,MATCH(DATE(R$5,$K147,$J147),daily_dates,0),MATCH($B$3,daily_items,0)))</f>
        <v>#N/A</v>
      </c>
      <c r="S147" s="1" t="str">
        <f t="array" ref="S147">IF(ISBLANK(INDEX(big_daily_table,MATCH(DATE(S$5,$K147,$J147),daily_dates,0),MATCH($B$3,daily_items,0))),NA(),INDEX(big_daily_table,MATCH(DATE(S$5,$K147,$J147),daily_dates,0),MATCH($B$3,daily_items,0)))</f>
        <v>#N/A</v>
      </c>
      <c r="T147" s="1" t="str">
        <f t="array" ref="T147">IF(ISBLANK(INDEX(big_daily_table,MATCH(DATE(T$5,$K147,$J147),daily_dates,0),MATCH($B$3,daily_items,0))),NA(),INDEX(big_daily_table,MATCH(DATE(T$5,$K147,$J147),daily_dates,0),MATCH($B$3,daily_items,0)))</f>
        <v>#N/A</v>
      </c>
      <c r="U147" s="1" t="str">
        <f t="array" ref="U147">IF(ISBLANK(INDEX(big_daily_table,MATCH(DATE(U$5,$K147,$J147),daily_dates,0),MATCH($B$3,daily_items,0))),NA(),INDEX(big_daily_table,MATCH(DATE(U$5,$K147,$J147),daily_dates,0),MATCH($B$3,daily_items,0)))</f>
        <v>#N/A</v>
      </c>
      <c r="V147" s="1" t="str">
        <f t="array" ref="V147">IF(ISBLANK(INDEX(big_daily_table,MATCH(DATE(V$5,$K147,$J147),daily_dates,0),MATCH($B$3,daily_items,0))),NA(),INDEX(big_daily_table,MATCH(DATE(V$5,$K147,$J147),daily_dates,0),MATCH($B$3,daily_items,0)))</f>
        <v>#N/A</v>
      </c>
      <c r="W147" s="1" t="str">
        <f t="array" ref="W147">IF(ISBLANK(INDEX(big_daily_table,MATCH(DATE(W$5,$K147,$J147),daily_dates,0),MATCH($B$3,daily_items,0))),NA(),INDEX(big_daily_table,MATCH(DATE(W$5,$K147,$J147),daily_dates,0),MATCH($B$3,daily_items,0)))</f>
        <v>#N/A</v>
      </c>
      <c r="X147" s="1" t="str">
        <f t="array" ref="X147">IF(ISBLANK(INDEX(big_daily_table,MATCH(DATE(X$5,$K147,$J147),daily_dates,0),MATCH($B$3,daily_items,0))),NA(),INDEX(big_daily_table,MATCH(DATE(X$5,$K147,$J147),daily_dates,0),MATCH($B$3,daily_items,0)))</f>
        <v>#N/A</v>
      </c>
      <c r="Y147" s="1" t="str">
        <f t="array" ref="Y147">IF(ISBLANK(INDEX(big_daily_table,MATCH(DATE(Y$5,$K147,$J147),daily_dates,0),MATCH($B$3,daily_items,0))),NA(),INDEX(big_daily_table,MATCH(DATE(Y$5,$K147,$J147),daily_dates,0),MATCH($B$3,daily_items,0)))</f>
        <v>#N/A</v>
      </c>
      <c r="Z147" s="1" t="str">
        <f t="array" ref="Z147">IF(ISBLANK(INDEX(big_daily_table,MATCH(DATE(Z$5,$K147,$J147),daily_dates,0),MATCH($B$3,daily_items,0))),NA(),INDEX(big_daily_table,MATCH(DATE(Z$5,$K147,$J147),daily_dates,0),MATCH($B$3,daily_items,0)))</f>
        <v>#N/A</v>
      </c>
      <c r="AA147" s="1" t="str">
        <f t="shared" si="5"/>
        <v>#NAME?</v>
      </c>
      <c r="AB147" s="1" t="str">
        <f t="shared" si="6"/>
        <v>#NAME?</v>
      </c>
      <c r="AC147" s="1" t="str">
        <f t="shared" si="7"/>
        <v>#NAME?</v>
      </c>
      <c r="AD147" s="1" t="str">
        <f t="shared" si="8"/>
        <v>#NAME?</v>
      </c>
    </row>
    <row r="148" ht="14.25" customHeight="1">
      <c r="H148" s="1">
        <f t="shared" si="9"/>
        <v>143</v>
      </c>
      <c r="I148" s="1">
        <f>WEEKDAY('daily graphs'!K148)</f>
        <v>2</v>
      </c>
      <c r="J148" s="1">
        <f t="shared" si="2"/>
        <v>20</v>
      </c>
      <c r="K148" s="1">
        <f t="shared" si="3"/>
        <v>5</v>
      </c>
      <c r="L148" s="23">
        <f>'daily graphs'!K148 - I148</f>
        <v>36666</v>
      </c>
      <c r="M148" s="24">
        <f t="shared" si="4"/>
        <v>-1000000</v>
      </c>
      <c r="N148" s="24" t="str">
        <f t="array" ref="N148">IF(M148&gt;0,INDEX(big_daily_table,MATCH(DATE(O$5,$K148,$J148),daily_dates,0),MATCH($B$3,daily_items,0)),NA())</f>
        <v>#N/A</v>
      </c>
      <c r="O148" s="1" t="str">
        <f t="array" ref="O148">IF(M148&lt;0,INDEX(big_daily_table,MATCH(DATE(O$5,$K148,$J148),daily_dates,0),MATCH($B$3,daily_items,0)),NA())</f>
        <v>#N/A</v>
      </c>
      <c r="P148" s="1" t="str">
        <f t="array" ref="P148">IF(ISBLANK(INDEX(big_daily_table,MATCH(DATE(P$5,$K148,$J148),daily_dates,0),MATCH($B$3,daily_items,0))),NA(),INDEX(big_daily_table,MATCH(DATE(P$5,$K148,$J148),daily_dates,0),MATCH($B$3,daily_items,0)))</f>
        <v>#N/A</v>
      </c>
      <c r="Q148" s="1" t="str">
        <f t="array" ref="Q148">IF(ISBLANK(INDEX(big_daily_table,MATCH(DATE(Q$5,$K148,$J148),daily_dates,0),MATCH($B$3,daily_items,0))),NA(),INDEX(big_daily_table,MATCH(DATE(Q$5,$K148,$J148),daily_dates,0),MATCH($B$3,daily_items,0)))</f>
        <v>#N/A</v>
      </c>
      <c r="R148" s="1" t="str">
        <f t="array" ref="R148">IF(ISBLANK(INDEX(big_daily_table,MATCH(DATE(R$5,$K148,$J148),daily_dates,0),MATCH($B$3,daily_items,0))),NA(),INDEX(big_daily_table,MATCH(DATE(R$5,$K148,$J148),daily_dates,0),MATCH($B$3,daily_items,0)))</f>
        <v>#N/A</v>
      </c>
      <c r="S148" s="1" t="str">
        <f t="array" ref="S148">IF(ISBLANK(INDEX(big_daily_table,MATCH(DATE(S$5,$K148,$J148),daily_dates,0),MATCH($B$3,daily_items,0))),NA(),INDEX(big_daily_table,MATCH(DATE(S$5,$K148,$J148),daily_dates,0),MATCH($B$3,daily_items,0)))</f>
        <v>#N/A</v>
      </c>
      <c r="T148" s="1" t="str">
        <f t="array" ref="T148">IF(ISBLANK(INDEX(big_daily_table,MATCH(DATE(T$5,$K148,$J148),daily_dates,0),MATCH($B$3,daily_items,0))),NA(),INDEX(big_daily_table,MATCH(DATE(T$5,$K148,$J148),daily_dates,0),MATCH($B$3,daily_items,0)))</f>
        <v>#N/A</v>
      </c>
      <c r="U148" s="1" t="str">
        <f t="array" ref="U148">IF(ISBLANK(INDEX(big_daily_table,MATCH(DATE(U$5,$K148,$J148),daily_dates,0),MATCH($B$3,daily_items,0))),NA(),INDEX(big_daily_table,MATCH(DATE(U$5,$K148,$J148),daily_dates,0),MATCH($B$3,daily_items,0)))</f>
        <v>#N/A</v>
      </c>
      <c r="V148" s="1" t="str">
        <f t="array" ref="V148">IF(ISBLANK(INDEX(big_daily_table,MATCH(DATE(V$5,$K148,$J148),daily_dates,0),MATCH($B$3,daily_items,0))),NA(),INDEX(big_daily_table,MATCH(DATE(V$5,$K148,$J148),daily_dates,0),MATCH($B$3,daily_items,0)))</f>
        <v>#N/A</v>
      </c>
      <c r="W148" s="1" t="str">
        <f t="array" ref="W148">IF(ISBLANK(INDEX(big_daily_table,MATCH(DATE(W$5,$K148,$J148),daily_dates,0),MATCH($B$3,daily_items,0))),NA(),INDEX(big_daily_table,MATCH(DATE(W$5,$K148,$J148),daily_dates,0),MATCH($B$3,daily_items,0)))</f>
        <v>#N/A</v>
      </c>
      <c r="X148" s="1" t="str">
        <f t="array" ref="X148">IF(ISBLANK(INDEX(big_daily_table,MATCH(DATE(X$5,$K148,$J148),daily_dates,0),MATCH($B$3,daily_items,0))),NA(),INDEX(big_daily_table,MATCH(DATE(X$5,$K148,$J148),daily_dates,0),MATCH($B$3,daily_items,0)))</f>
        <v>#N/A</v>
      </c>
      <c r="Y148" s="1" t="str">
        <f t="array" ref="Y148">IF(ISBLANK(INDEX(big_daily_table,MATCH(DATE(Y$5,$K148,$J148),daily_dates,0),MATCH($B$3,daily_items,0))),NA(),INDEX(big_daily_table,MATCH(DATE(Y$5,$K148,$J148),daily_dates,0),MATCH($B$3,daily_items,0)))</f>
        <v>#N/A</v>
      </c>
      <c r="Z148" s="1" t="str">
        <f t="array" ref="Z148">IF(ISBLANK(INDEX(big_daily_table,MATCH(DATE(Z$5,$K148,$J148),daily_dates,0),MATCH($B$3,daily_items,0))),NA(),INDEX(big_daily_table,MATCH(DATE(Z$5,$K148,$J148),daily_dates,0),MATCH($B$3,daily_items,0)))</f>
        <v>#N/A</v>
      </c>
      <c r="AA148" s="1" t="str">
        <f t="shared" si="5"/>
        <v>#NAME?</v>
      </c>
      <c r="AB148" s="1" t="str">
        <f t="shared" si="6"/>
        <v>#NAME?</v>
      </c>
      <c r="AC148" s="1" t="str">
        <f t="shared" si="7"/>
        <v>#NAME?</v>
      </c>
      <c r="AD148" s="1" t="str">
        <f t="shared" si="8"/>
        <v>#NAME?</v>
      </c>
    </row>
    <row r="149" ht="14.25" customHeight="1">
      <c r="H149" s="1">
        <f t="shared" si="9"/>
        <v>144</v>
      </c>
      <c r="I149" s="1">
        <f>WEEKDAY('daily graphs'!K149)</f>
        <v>3</v>
      </c>
      <c r="J149" s="1">
        <f t="shared" si="2"/>
        <v>20</v>
      </c>
      <c r="K149" s="1">
        <f t="shared" si="3"/>
        <v>5</v>
      </c>
      <c r="L149" s="23">
        <f>'daily graphs'!K149 - I149</f>
        <v>36666</v>
      </c>
      <c r="M149" s="24">
        <f t="shared" si="4"/>
        <v>-1000000</v>
      </c>
      <c r="N149" s="24" t="str">
        <f t="array" ref="N149">IF(M149&gt;0,INDEX(big_daily_table,MATCH(DATE(O$5,$K149,$J149),daily_dates,0),MATCH($B$3,daily_items,0)),NA())</f>
        <v>#N/A</v>
      </c>
      <c r="O149" s="1" t="str">
        <f t="array" ref="O149">IF(M149&lt;0,INDEX(big_daily_table,MATCH(DATE(O$5,$K149,$J149),daily_dates,0),MATCH($B$3,daily_items,0)),NA())</f>
        <v>#N/A</v>
      </c>
      <c r="P149" s="1" t="str">
        <f t="array" ref="P149">IF(ISBLANK(INDEX(big_daily_table,MATCH(DATE(P$5,$K149,$J149),daily_dates,0),MATCH($B$3,daily_items,0))),NA(),INDEX(big_daily_table,MATCH(DATE(P$5,$K149,$J149),daily_dates,0),MATCH($B$3,daily_items,0)))</f>
        <v>#N/A</v>
      </c>
      <c r="Q149" s="1" t="str">
        <f t="array" ref="Q149">IF(ISBLANK(INDEX(big_daily_table,MATCH(DATE(Q$5,$K149,$J149),daily_dates,0),MATCH($B$3,daily_items,0))),NA(),INDEX(big_daily_table,MATCH(DATE(Q$5,$K149,$J149),daily_dates,0),MATCH($B$3,daily_items,0)))</f>
        <v>#N/A</v>
      </c>
      <c r="R149" s="1" t="str">
        <f t="array" ref="R149">IF(ISBLANK(INDEX(big_daily_table,MATCH(DATE(R$5,$K149,$J149),daily_dates,0),MATCH($B$3,daily_items,0))),NA(),INDEX(big_daily_table,MATCH(DATE(R$5,$K149,$J149),daily_dates,0),MATCH($B$3,daily_items,0)))</f>
        <v>#N/A</v>
      </c>
      <c r="S149" s="1" t="str">
        <f t="array" ref="S149">IF(ISBLANK(INDEX(big_daily_table,MATCH(DATE(S$5,$K149,$J149),daily_dates,0),MATCH($B$3,daily_items,0))),NA(),INDEX(big_daily_table,MATCH(DATE(S$5,$K149,$J149),daily_dates,0),MATCH($B$3,daily_items,0)))</f>
        <v>#N/A</v>
      </c>
      <c r="T149" s="1" t="str">
        <f t="array" ref="T149">IF(ISBLANK(INDEX(big_daily_table,MATCH(DATE(T$5,$K149,$J149),daily_dates,0),MATCH($B$3,daily_items,0))),NA(),INDEX(big_daily_table,MATCH(DATE(T$5,$K149,$J149),daily_dates,0),MATCH($B$3,daily_items,0)))</f>
        <v>#N/A</v>
      </c>
      <c r="U149" s="1" t="str">
        <f t="array" ref="U149">IF(ISBLANK(INDEX(big_daily_table,MATCH(DATE(U$5,$K149,$J149),daily_dates,0),MATCH($B$3,daily_items,0))),NA(),INDEX(big_daily_table,MATCH(DATE(U$5,$K149,$J149),daily_dates,0),MATCH($B$3,daily_items,0)))</f>
        <v>#N/A</v>
      </c>
      <c r="V149" s="1" t="str">
        <f t="array" ref="V149">IF(ISBLANK(INDEX(big_daily_table,MATCH(DATE(V$5,$K149,$J149),daily_dates,0),MATCH($B$3,daily_items,0))),NA(),INDEX(big_daily_table,MATCH(DATE(V$5,$K149,$J149),daily_dates,0),MATCH($B$3,daily_items,0)))</f>
        <v>#N/A</v>
      </c>
      <c r="W149" s="1" t="str">
        <f t="array" ref="W149">IF(ISBLANK(INDEX(big_daily_table,MATCH(DATE(W$5,$K149,$J149),daily_dates,0),MATCH($B$3,daily_items,0))),NA(),INDEX(big_daily_table,MATCH(DATE(W$5,$K149,$J149),daily_dates,0),MATCH($B$3,daily_items,0)))</f>
        <v>#N/A</v>
      </c>
      <c r="X149" s="1" t="str">
        <f t="array" ref="X149">IF(ISBLANK(INDEX(big_daily_table,MATCH(DATE(X$5,$K149,$J149),daily_dates,0),MATCH($B$3,daily_items,0))),NA(),INDEX(big_daily_table,MATCH(DATE(X$5,$K149,$J149),daily_dates,0),MATCH($B$3,daily_items,0)))</f>
        <v>#N/A</v>
      </c>
      <c r="Y149" s="1" t="str">
        <f t="array" ref="Y149">IF(ISBLANK(INDEX(big_daily_table,MATCH(DATE(Y$5,$K149,$J149),daily_dates,0),MATCH($B$3,daily_items,0))),NA(),INDEX(big_daily_table,MATCH(DATE(Y$5,$K149,$J149),daily_dates,0),MATCH($B$3,daily_items,0)))</f>
        <v>#N/A</v>
      </c>
      <c r="Z149" s="1" t="str">
        <f t="array" ref="Z149">IF(ISBLANK(INDEX(big_daily_table,MATCH(DATE(Z$5,$K149,$J149),daily_dates,0),MATCH($B$3,daily_items,0))),NA(),INDEX(big_daily_table,MATCH(DATE(Z$5,$K149,$J149),daily_dates,0),MATCH($B$3,daily_items,0)))</f>
        <v>#N/A</v>
      </c>
      <c r="AA149" s="1" t="str">
        <f t="shared" si="5"/>
        <v>#NAME?</v>
      </c>
      <c r="AB149" s="1" t="str">
        <f t="shared" si="6"/>
        <v>#NAME?</v>
      </c>
      <c r="AC149" s="1" t="str">
        <f t="shared" si="7"/>
        <v>#NAME?</v>
      </c>
      <c r="AD149" s="1" t="str">
        <f t="shared" si="8"/>
        <v>#NAME?</v>
      </c>
    </row>
    <row r="150" ht="14.25" customHeight="1">
      <c r="H150" s="1">
        <f t="shared" si="9"/>
        <v>145</v>
      </c>
      <c r="I150" s="1">
        <f>WEEKDAY('daily graphs'!K150)</f>
        <v>4</v>
      </c>
      <c r="J150" s="1">
        <f t="shared" si="2"/>
        <v>20</v>
      </c>
      <c r="K150" s="1">
        <f t="shared" si="3"/>
        <v>5</v>
      </c>
      <c r="L150" s="23">
        <f>'daily graphs'!K150 - I150</f>
        <v>36666</v>
      </c>
      <c r="M150" s="24">
        <f t="shared" si="4"/>
        <v>-1000000</v>
      </c>
      <c r="N150" s="24" t="str">
        <f t="array" ref="N150">IF(M150&gt;0,INDEX(big_daily_table,MATCH(DATE(O$5,$K150,$J150),daily_dates,0),MATCH($B$3,daily_items,0)),NA())</f>
        <v>#N/A</v>
      </c>
      <c r="O150" s="1" t="str">
        <f t="array" ref="O150">IF(M150&lt;0,INDEX(big_daily_table,MATCH(DATE(O$5,$K150,$J150),daily_dates,0),MATCH($B$3,daily_items,0)),NA())</f>
        <v>#N/A</v>
      </c>
      <c r="P150" s="1" t="str">
        <f t="array" ref="P150">IF(ISBLANK(INDEX(big_daily_table,MATCH(DATE(P$5,$K150,$J150),daily_dates,0),MATCH($B$3,daily_items,0))),NA(),INDEX(big_daily_table,MATCH(DATE(P$5,$K150,$J150),daily_dates,0),MATCH($B$3,daily_items,0)))</f>
        <v>#N/A</v>
      </c>
      <c r="Q150" s="1" t="str">
        <f t="array" ref="Q150">IF(ISBLANK(INDEX(big_daily_table,MATCH(DATE(Q$5,$K150,$J150),daily_dates,0),MATCH($B$3,daily_items,0))),NA(),INDEX(big_daily_table,MATCH(DATE(Q$5,$K150,$J150),daily_dates,0),MATCH($B$3,daily_items,0)))</f>
        <v>#N/A</v>
      </c>
      <c r="R150" s="1" t="str">
        <f t="array" ref="R150">IF(ISBLANK(INDEX(big_daily_table,MATCH(DATE(R$5,$K150,$J150),daily_dates,0),MATCH($B$3,daily_items,0))),NA(),INDEX(big_daily_table,MATCH(DATE(R$5,$K150,$J150),daily_dates,0),MATCH($B$3,daily_items,0)))</f>
        <v>#N/A</v>
      </c>
      <c r="S150" s="1" t="str">
        <f t="array" ref="S150">IF(ISBLANK(INDEX(big_daily_table,MATCH(DATE(S$5,$K150,$J150),daily_dates,0),MATCH($B$3,daily_items,0))),NA(),INDEX(big_daily_table,MATCH(DATE(S$5,$K150,$J150),daily_dates,0),MATCH($B$3,daily_items,0)))</f>
        <v>#N/A</v>
      </c>
      <c r="T150" s="1" t="str">
        <f t="array" ref="T150">IF(ISBLANK(INDEX(big_daily_table,MATCH(DATE(T$5,$K150,$J150),daily_dates,0),MATCH($B$3,daily_items,0))),NA(),INDEX(big_daily_table,MATCH(DATE(T$5,$K150,$J150),daily_dates,0),MATCH($B$3,daily_items,0)))</f>
        <v>#N/A</v>
      </c>
      <c r="U150" s="1" t="str">
        <f t="array" ref="U150">IF(ISBLANK(INDEX(big_daily_table,MATCH(DATE(U$5,$K150,$J150),daily_dates,0),MATCH($B$3,daily_items,0))),NA(),INDEX(big_daily_table,MATCH(DATE(U$5,$K150,$J150),daily_dates,0),MATCH($B$3,daily_items,0)))</f>
        <v>#N/A</v>
      </c>
      <c r="V150" s="1" t="str">
        <f t="array" ref="V150">IF(ISBLANK(INDEX(big_daily_table,MATCH(DATE(V$5,$K150,$J150),daily_dates,0),MATCH($B$3,daily_items,0))),NA(),INDEX(big_daily_table,MATCH(DATE(V$5,$K150,$J150),daily_dates,0),MATCH($B$3,daily_items,0)))</f>
        <v>#N/A</v>
      </c>
      <c r="W150" s="1" t="str">
        <f t="array" ref="W150">IF(ISBLANK(INDEX(big_daily_table,MATCH(DATE(W$5,$K150,$J150),daily_dates,0),MATCH($B$3,daily_items,0))),NA(),INDEX(big_daily_table,MATCH(DATE(W$5,$K150,$J150),daily_dates,0),MATCH($B$3,daily_items,0)))</f>
        <v>#N/A</v>
      </c>
      <c r="X150" s="1" t="str">
        <f t="array" ref="X150">IF(ISBLANK(INDEX(big_daily_table,MATCH(DATE(X$5,$K150,$J150),daily_dates,0),MATCH($B$3,daily_items,0))),NA(),INDEX(big_daily_table,MATCH(DATE(X$5,$K150,$J150),daily_dates,0),MATCH($B$3,daily_items,0)))</f>
        <v>#N/A</v>
      </c>
      <c r="Y150" s="1" t="str">
        <f t="array" ref="Y150">IF(ISBLANK(INDEX(big_daily_table,MATCH(DATE(Y$5,$K150,$J150),daily_dates,0),MATCH($B$3,daily_items,0))),NA(),INDEX(big_daily_table,MATCH(DATE(Y$5,$K150,$J150),daily_dates,0),MATCH($B$3,daily_items,0)))</f>
        <v>#N/A</v>
      </c>
      <c r="Z150" s="1" t="str">
        <f t="array" ref="Z150">IF(ISBLANK(INDEX(big_daily_table,MATCH(DATE(Z$5,$K150,$J150),daily_dates,0),MATCH($B$3,daily_items,0))),NA(),INDEX(big_daily_table,MATCH(DATE(Z$5,$K150,$J150),daily_dates,0),MATCH($B$3,daily_items,0)))</f>
        <v>#N/A</v>
      </c>
      <c r="AA150" s="1" t="str">
        <f t="shared" si="5"/>
        <v>#NAME?</v>
      </c>
      <c r="AB150" s="1" t="str">
        <f t="shared" si="6"/>
        <v>#NAME?</v>
      </c>
      <c r="AC150" s="1" t="str">
        <f t="shared" si="7"/>
        <v>#NAME?</v>
      </c>
      <c r="AD150" s="1" t="str">
        <f t="shared" si="8"/>
        <v>#NAME?</v>
      </c>
    </row>
    <row r="151" ht="14.25" customHeight="1">
      <c r="H151" s="1">
        <f t="shared" si="9"/>
        <v>146</v>
      </c>
      <c r="I151" s="1">
        <f>WEEKDAY('daily graphs'!K151)</f>
        <v>5</v>
      </c>
      <c r="J151" s="1">
        <f t="shared" si="2"/>
        <v>20</v>
      </c>
      <c r="K151" s="1">
        <f t="shared" si="3"/>
        <v>5</v>
      </c>
      <c r="L151" s="23">
        <f>'daily graphs'!K151 - I151</f>
        <v>36666</v>
      </c>
      <c r="M151" s="24">
        <f t="shared" si="4"/>
        <v>-1000000</v>
      </c>
      <c r="N151" s="24" t="str">
        <f t="array" ref="N151">IF(M151&gt;0,INDEX(big_daily_table,MATCH(DATE(O$5,$K151,$J151),daily_dates,0),MATCH($B$3,daily_items,0)),NA())</f>
        <v>#N/A</v>
      </c>
      <c r="O151" s="1" t="str">
        <f t="array" ref="O151">IF(M151&lt;0,INDEX(big_daily_table,MATCH(DATE(O$5,$K151,$J151),daily_dates,0),MATCH($B$3,daily_items,0)),NA())</f>
        <v>#N/A</v>
      </c>
      <c r="P151" s="1" t="str">
        <f t="array" ref="P151">IF(ISBLANK(INDEX(big_daily_table,MATCH(DATE(P$5,$K151,$J151),daily_dates,0),MATCH($B$3,daily_items,0))),NA(),INDEX(big_daily_table,MATCH(DATE(P$5,$K151,$J151),daily_dates,0),MATCH($B$3,daily_items,0)))</f>
        <v>#N/A</v>
      </c>
      <c r="Q151" s="1" t="str">
        <f t="array" ref="Q151">IF(ISBLANK(INDEX(big_daily_table,MATCH(DATE(Q$5,$K151,$J151),daily_dates,0),MATCH($B$3,daily_items,0))),NA(),INDEX(big_daily_table,MATCH(DATE(Q$5,$K151,$J151),daily_dates,0),MATCH($B$3,daily_items,0)))</f>
        <v>#N/A</v>
      </c>
      <c r="R151" s="1" t="str">
        <f t="array" ref="R151">IF(ISBLANK(INDEX(big_daily_table,MATCH(DATE(R$5,$K151,$J151),daily_dates,0),MATCH($B$3,daily_items,0))),NA(),INDEX(big_daily_table,MATCH(DATE(R$5,$K151,$J151),daily_dates,0),MATCH($B$3,daily_items,0)))</f>
        <v>#N/A</v>
      </c>
      <c r="S151" s="1" t="str">
        <f t="array" ref="S151">IF(ISBLANK(INDEX(big_daily_table,MATCH(DATE(S$5,$K151,$J151),daily_dates,0),MATCH($B$3,daily_items,0))),NA(),INDEX(big_daily_table,MATCH(DATE(S$5,$K151,$J151),daily_dates,0),MATCH($B$3,daily_items,0)))</f>
        <v>#N/A</v>
      </c>
      <c r="T151" s="1" t="str">
        <f t="array" ref="T151">IF(ISBLANK(INDEX(big_daily_table,MATCH(DATE(T$5,$K151,$J151),daily_dates,0),MATCH($B$3,daily_items,0))),NA(),INDEX(big_daily_table,MATCH(DATE(T$5,$K151,$J151),daily_dates,0),MATCH($B$3,daily_items,0)))</f>
        <v>#N/A</v>
      </c>
      <c r="U151" s="1" t="str">
        <f t="array" ref="U151">IF(ISBLANK(INDEX(big_daily_table,MATCH(DATE(U$5,$K151,$J151),daily_dates,0),MATCH($B$3,daily_items,0))),NA(),INDEX(big_daily_table,MATCH(DATE(U$5,$K151,$J151),daily_dates,0),MATCH($B$3,daily_items,0)))</f>
        <v>#N/A</v>
      </c>
      <c r="V151" s="1" t="str">
        <f t="array" ref="V151">IF(ISBLANK(INDEX(big_daily_table,MATCH(DATE(V$5,$K151,$J151),daily_dates,0),MATCH($B$3,daily_items,0))),NA(),INDEX(big_daily_table,MATCH(DATE(V$5,$K151,$J151),daily_dates,0),MATCH($B$3,daily_items,0)))</f>
        <v>#N/A</v>
      </c>
      <c r="W151" s="1" t="str">
        <f t="array" ref="W151">IF(ISBLANK(INDEX(big_daily_table,MATCH(DATE(W$5,$K151,$J151),daily_dates,0),MATCH($B$3,daily_items,0))),NA(),INDEX(big_daily_table,MATCH(DATE(W$5,$K151,$J151),daily_dates,0),MATCH($B$3,daily_items,0)))</f>
        <v>#N/A</v>
      </c>
      <c r="X151" s="1" t="str">
        <f t="array" ref="X151">IF(ISBLANK(INDEX(big_daily_table,MATCH(DATE(X$5,$K151,$J151),daily_dates,0),MATCH($B$3,daily_items,0))),NA(),INDEX(big_daily_table,MATCH(DATE(X$5,$K151,$J151),daily_dates,0),MATCH($B$3,daily_items,0)))</f>
        <v>#N/A</v>
      </c>
      <c r="Y151" s="1" t="str">
        <f t="array" ref="Y151">IF(ISBLANK(INDEX(big_daily_table,MATCH(DATE(Y$5,$K151,$J151),daily_dates,0),MATCH($B$3,daily_items,0))),NA(),INDEX(big_daily_table,MATCH(DATE(Y$5,$K151,$J151),daily_dates,0),MATCH($B$3,daily_items,0)))</f>
        <v>#N/A</v>
      </c>
      <c r="Z151" s="1" t="str">
        <f t="array" ref="Z151">IF(ISBLANK(INDEX(big_daily_table,MATCH(DATE(Z$5,$K151,$J151),daily_dates,0),MATCH($B$3,daily_items,0))),NA(),INDEX(big_daily_table,MATCH(DATE(Z$5,$K151,$J151),daily_dates,0),MATCH($B$3,daily_items,0)))</f>
        <v>#N/A</v>
      </c>
      <c r="AA151" s="1" t="str">
        <f t="shared" si="5"/>
        <v>#NAME?</v>
      </c>
      <c r="AB151" s="1" t="str">
        <f t="shared" si="6"/>
        <v>#NAME?</v>
      </c>
      <c r="AC151" s="1" t="str">
        <f t="shared" si="7"/>
        <v>#NAME?</v>
      </c>
      <c r="AD151" s="1" t="str">
        <f t="shared" si="8"/>
        <v>#NAME?</v>
      </c>
    </row>
    <row r="152" ht="14.25" customHeight="1">
      <c r="H152" s="1">
        <f t="shared" si="9"/>
        <v>147</v>
      </c>
      <c r="I152" s="1">
        <f>WEEKDAY('daily graphs'!K152)</f>
        <v>6</v>
      </c>
      <c r="J152" s="1">
        <f t="shared" si="2"/>
        <v>20</v>
      </c>
      <c r="K152" s="1">
        <f t="shared" si="3"/>
        <v>5</v>
      </c>
      <c r="L152" s="23">
        <f>'daily graphs'!K152 - I152</f>
        <v>36666</v>
      </c>
      <c r="M152" s="24">
        <f t="shared" si="4"/>
        <v>-1000000</v>
      </c>
      <c r="N152" s="24" t="str">
        <f t="array" ref="N152">IF(M152&gt;0,INDEX(big_daily_table,MATCH(DATE(O$5,$K152,$J152),daily_dates,0),MATCH($B$3,daily_items,0)),NA())</f>
        <v>#N/A</v>
      </c>
      <c r="O152" s="1" t="str">
        <f t="array" ref="O152">IF(M152&lt;0,INDEX(big_daily_table,MATCH(DATE(O$5,$K152,$J152),daily_dates,0),MATCH($B$3,daily_items,0)),NA())</f>
        <v>#N/A</v>
      </c>
      <c r="P152" s="1" t="str">
        <f t="array" ref="P152">IF(ISBLANK(INDEX(big_daily_table,MATCH(DATE(P$5,$K152,$J152),daily_dates,0),MATCH($B$3,daily_items,0))),NA(),INDEX(big_daily_table,MATCH(DATE(P$5,$K152,$J152),daily_dates,0),MATCH($B$3,daily_items,0)))</f>
        <v>#N/A</v>
      </c>
      <c r="Q152" s="1" t="str">
        <f t="array" ref="Q152">IF(ISBLANK(INDEX(big_daily_table,MATCH(DATE(Q$5,$K152,$J152),daily_dates,0),MATCH($B$3,daily_items,0))),NA(),INDEX(big_daily_table,MATCH(DATE(Q$5,$K152,$J152),daily_dates,0),MATCH($B$3,daily_items,0)))</f>
        <v>#N/A</v>
      </c>
      <c r="R152" s="1" t="str">
        <f t="array" ref="R152">IF(ISBLANK(INDEX(big_daily_table,MATCH(DATE(R$5,$K152,$J152),daily_dates,0),MATCH($B$3,daily_items,0))),NA(),INDEX(big_daily_table,MATCH(DATE(R$5,$K152,$J152),daily_dates,0),MATCH($B$3,daily_items,0)))</f>
        <v>#N/A</v>
      </c>
      <c r="S152" s="1" t="str">
        <f t="array" ref="S152">IF(ISBLANK(INDEX(big_daily_table,MATCH(DATE(S$5,$K152,$J152),daily_dates,0),MATCH($B$3,daily_items,0))),NA(),INDEX(big_daily_table,MATCH(DATE(S$5,$K152,$J152),daily_dates,0),MATCH($B$3,daily_items,0)))</f>
        <v>#N/A</v>
      </c>
      <c r="T152" s="1" t="str">
        <f t="array" ref="T152">IF(ISBLANK(INDEX(big_daily_table,MATCH(DATE(T$5,$K152,$J152),daily_dates,0),MATCH($B$3,daily_items,0))),NA(),INDEX(big_daily_table,MATCH(DATE(T$5,$K152,$J152),daily_dates,0),MATCH($B$3,daily_items,0)))</f>
        <v>#N/A</v>
      </c>
      <c r="U152" s="1" t="str">
        <f t="array" ref="U152">IF(ISBLANK(INDEX(big_daily_table,MATCH(DATE(U$5,$K152,$J152),daily_dates,0),MATCH($B$3,daily_items,0))),NA(),INDEX(big_daily_table,MATCH(DATE(U$5,$K152,$J152),daily_dates,0),MATCH($B$3,daily_items,0)))</f>
        <v>#N/A</v>
      </c>
      <c r="V152" s="1" t="str">
        <f t="array" ref="V152">IF(ISBLANK(INDEX(big_daily_table,MATCH(DATE(V$5,$K152,$J152),daily_dates,0),MATCH($B$3,daily_items,0))),NA(),INDEX(big_daily_table,MATCH(DATE(V$5,$K152,$J152),daily_dates,0),MATCH($B$3,daily_items,0)))</f>
        <v>#N/A</v>
      </c>
      <c r="W152" s="1" t="str">
        <f t="array" ref="W152">IF(ISBLANK(INDEX(big_daily_table,MATCH(DATE(W$5,$K152,$J152),daily_dates,0),MATCH($B$3,daily_items,0))),NA(),INDEX(big_daily_table,MATCH(DATE(W$5,$K152,$J152),daily_dates,0),MATCH($B$3,daily_items,0)))</f>
        <v>#N/A</v>
      </c>
      <c r="X152" s="1" t="str">
        <f t="array" ref="X152">IF(ISBLANK(INDEX(big_daily_table,MATCH(DATE(X$5,$K152,$J152),daily_dates,0),MATCH($B$3,daily_items,0))),NA(),INDEX(big_daily_table,MATCH(DATE(X$5,$K152,$J152),daily_dates,0),MATCH($B$3,daily_items,0)))</f>
        <v>#N/A</v>
      </c>
      <c r="Y152" s="1" t="str">
        <f t="array" ref="Y152">IF(ISBLANK(INDEX(big_daily_table,MATCH(DATE(Y$5,$K152,$J152),daily_dates,0),MATCH($B$3,daily_items,0))),NA(),INDEX(big_daily_table,MATCH(DATE(Y$5,$K152,$J152),daily_dates,0),MATCH($B$3,daily_items,0)))</f>
        <v>#N/A</v>
      </c>
      <c r="Z152" s="1" t="str">
        <f t="array" ref="Z152">IF(ISBLANK(INDEX(big_daily_table,MATCH(DATE(Z$5,$K152,$J152),daily_dates,0),MATCH($B$3,daily_items,0))),NA(),INDEX(big_daily_table,MATCH(DATE(Z$5,$K152,$J152),daily_dates,0),MATCH($B$3,daily_items,0)))</f>
        <v>#N/A</v>
      </c>
      <c r="AA152" s="1" t="str">
        <f t="shared" si="5"/>
        <v>#NAME?</v>
      </c>
      <c r="AB152" s="1" t="str">
        <f t="shared" si="6"/>
        <v>#NAME?</v>
      </c>
      <c r="AC152" s="1" t="str">
        <f t="shared" si="7"/>
        <v>#NAME?</v>
      </c>
      <c r="AD152" s="1" t="str">
        <f t="shared" si="8"/>
        <v>#NAME?</v>
      </c>
    </row>
    <row r="153" ht="14.25" customHeight="1">
      <c r="H153" s="1">
        <f t="shared" si="9"/>
        <v>148</v>
      </c>
      <c r="I153" s="1">
        <f>WEEKDAY('daily graphs'!K153)</f>
        <v>7</v>
      </c>
      <c r="J153" s="1">
        <f t="shared" si="2"/>
        <v>20</v>
      </c>
      <c r="K153" s="1">
        <f t="shared" si="3"/>
        <v>5</v>
      </c>
      <c r="L153" s="23">
        <f>'daily graphs'!K153 - I153</f>
        <v>36666</v>
      </c>
      <c r="M153" s="24">
        <f t="shared" si="4"/>
        <v>-1000000</v>
      </c>
      <c r="N153" s="24" t="str">
        <f t="array" ref="N153">IF(M153&gt;0,INDEX(big_daily_table,MATCH(DATE(O$5,$K153,$J153),daily_dates,0),MATCH($B$3,daily_items,0)),NA())</f>
        <v>#N/A</v>
      </c>
      <c r="O153" s="1" t="str">
        <f t="array" ref="O153">IF(M153&lt;0,INDEX(big_daily_table,MATCH(DATE(O$5,$K153,$J153),daily_dates,0),MATCH($B$3,daily_items,0)),NA())</f>
        <v>#N/A</v>
      </c>
      <c r="P153" s="1" t="str">
        <f t="array" ref="P153">IF(ISBLANK(INDEX(big_daily_table,MATCH(DATE(P$5,$K153,$J153),daily_dates,0),MATCH($B$3,daily_items,0))),NA(),INDEX(big_daily_table,MATCH(DATE(P$5,$K153,$J153),daily_dates,0),MATCH($B$3,daily_items,0)))</f>
        <v>#N/A</v>
      </c>
      <c r="Q153" s="1" t="str">
        <f t="array" ref="Q153">IF(ISBLANK(INDEX(big_daily_table,MATCH(DATE(Q$5,$K153,$J153),daily_dates,0),MATCH($B$3,daily_items,0))),NA(),INDEX(big_daily_table,MATCH(DATE(Q$5,$K153,$J153),daily_dates,0),MATCH($B$3,daily_items,0)))</f>
        <v>#N/A</v>
      </c>
      <c r="R153" s="1" t="str">
        <f t="array" ref="R153">IF(ISBLANK(INDEX(big_daily_table,MATCH(DATE(R$5,$K153,$J153),daily_dates,0),MATCH($B$3,daily_items,0))),NA(),INDEX(big_daily_table,MATCH(DATE(R$5,$K153,$J153),daily_dates,0),MATCH($B$3,daily_items,0)))</f>
        <v>#N/A</v>
      </c>
      <c r="S153" s="1" t="str">
        <f t="array" ref="S153">IF(ISBLANK(INDEX(big_daily_table,MATCH(DATE(S$5,$K153,$J153),daily_dates,0),MATCH($B$3,daily_items,0))),NA(),INDEX(big_daily_table,MATCH(DATE(S$5,$K153,$J153),daily_dates,0),MATCH($B$3,daily_items,0)))</f>
        <v>#N/A</v>
      </c>
      <c r="T153" s="1" t="str">
        <f t="array" ref="T153">IF(ISBLANK(INDEX(big_daily_table,MATCH(DATE(T$5,$K153,$J153),daily_dates,0),MATCH($B$3,daily_items,0))),NA(),INDEX(big_daily_table,MATCH(DATE(T$5,$K153,$J153),daily_dates,0),MATCH($B$3,daily_items,0)))</f>
        <v>#N/A</v>
      </c>
      <c r="U153" s="1" t="str">
        <f t="array" ref="U153">IF(ISBLANK(INDEX(big_daily_table,MATCH(DATE(U$5,$K153,$J153),daily_dates,0),MATCH($B$3,daily_items,0))),NA(),INDEX(big_daily_table,MATCH(DATE(U$5,$K153,$J153),daily_dates,0),MATCH($B$3,daily_items,0)))</f>
        <v>#N/A</v>
      </c>
      <c r="V153" s="1" t="str">
        <f t="array" ref="V153">IF(ISBLANK(INDEX(big_daily_table,MATCH(DATE(V$5,$K153,$J153),daily_dates,0),MATCH($B$3,daily_items,0))),NA(),INDEX(big_daily_table,MATCH(DATE(V$5,$K153,$J153),daily_dates,0),MATCH($B$3,daily_items,0)))</f>
        <v>#N/A</v>
      </c>
      <c r="W153" s="1" t="str">
        <f t="array" ref="W153">IF(ISBLANK(INDEX(big_daily_table,MATCH(DATE(W$5,$K153,$J153),daily_dates,0),MATCH($B$3,daily_items,0))),NA(),INDEX(big_daily_table,MATCH(DATE(W$5,$K153,$J153),daily_dates,0),MATCH($B$3,daily_items,0)))</f>
        <v>#N/A</v>
      </c>
      <c r="X153" s="1" t="str">
        <f t="array" ref="X153">IF(ISBLANK(INDEX(big_daily_table,MATCH(DATE(X$5,$K153,$J153),daily_dates,0),MATCH($B$3,daily_items,0))),NA(),INDEX(big_daily_table,MATCH(DATE(X$5,$K153,$J153),daily_dates,0),MATCH($B$3,daily_items,0)))</f>
        <v>#N/A</v>
      </c>
      <c r="Y153" s="1" t="str">
        <f t="array" ref="Y153">IF(ISBLANK(INDEX(big_daily_table,MATCH(DATE(Y$5,$K153,$J153),daily_dates,0),MATCH($B$3,daily_items,0))),NA(),INDEX(big_daily_table,MATCH(DATE(Y$5,$K153,$J153),daily_dates,0),MATCH($B$3,daily_items,0)))</f>
        <v>#N/A</v>
      </c>
      <c r="Z153" s="1" t="str">
        <f t="array" ref="Z153">IF(ISBLANK(INDEX(big_daily_table,MATCH(DATE(Z$5,$K153,$J153),daily_dates,0),MATCH($B$3,daily_items,0))),NA(),INDEX(big_daily_table,MATCH(DATE(Z$5,$K153,$J153),daily_dates,0),MATCH($B$3,daily_items,0)))</f>
        <v>#N/A</v>
      </c>
      <c r="AA153" s="1" t="str">
        <f t="shared" si="5"/>
        <v>#NAME?</v>
      </c>
      <c r="AB153" s="1" t="str">
        <f t="shared" si="6"/>
        <v>#NAME?</v>
      </c>
      <c r="AC153" s="1" t="str">
        <f t="shared" si="7"/>
        <v>#NAME?</v>
      </c>
      <c r="AD153" s="1" t="str">
        <f t="shared" si="8"/>
        <v>#NAME?</v>
      </c>
    </row>
    <row r="154" ht="14.25" customHeight="1">
      <c r="H154" s="1">
        <f t="shared" si="9"/>
        <v>149</v>
      </c>
      <c r="I154" s="1">
        <f>WEEKDAY('daily graphs'!K154)</f>
        <v>1</v>
      </c>
      <c r="J154" s="1">
        <f t="shared" si="2"/>
        <v>27</v>
      </c>
      <c r="K154" s="1">
        <f t="shared" si="3"/>
        <v>5</v>
      </c>
      <c r="L154" s="23">
        <f>'daily graphs'!K154 - I154</f>
        <v>36673</v>
      </c>
      <c r="M154" s="24">
        <f t="shared" si="4"/>
        <v>-1000000</v>
      </c>
      <c r="N154" s="24" t="str">
        <f t="array" ref="N154">IF(M154&gt;0,INDEX(big_daily_table,MATCH(DATE(O$5,$K154,$J154),daily_dates,0),MATCH($B$3,daily_items,0)),NA())</f>
        <v>#N/A</v>
      </c>
      <c r="O154" s="1" t="str">
        <f t="array" ref="O154">IF(M154&lt;0,INDEX(big_daily_table,MATCH(DATE(O$5,$K154,$J154),daily_dates,0),MATCH($B$3,daily_items,0)),NA())</f>
        <v>#N/A</v>
      </c>
      <c r="P154" s="1" t="str">
        <f t="array" ref="P154">IF(ISBLANK(INDEX(big_daily_table,MATCH(DATE(P$5,$K154,$J154),daily_dates,0),MATCH($B$3,daily_items,0))),NA(),INDEX(big_daily_table,MATCH(DATE(P$5,$K154,$J154),daily_dates,0),MATCH($B$3,daily_items,0)))</f>
        <v>#N/A</v>
      </c>
      <c r="Q154" s="1" t="str">
        <f t="array" ref="Q154">IF(ISBLANK(INDEX(big_daily_table,MATCH(DATE(Q$5,$K154,$J154),daily_dates,0),MATCH($B$3,daily_items,0))),NA(),INDEX(big_daily_table,MATCH(DATE(Q$5,$K154,$J154),daily_dates,0),MATCH($B$3,daily_items,0)))</f>
        <v>#N/A</v>
      </c>
      <c r="R154" s="1" t="str">
        <f t="array" ref="R154">IF(ISBLANK(INDEX(big_daily_table,MATCH(DATE(R$5,$K154,$J154),daily_dates,0),MATCH($B$3,daily_items,0))),NA(),INDEX(big_daily_table,MATCH(DATE(R$5,$K154,$J154),daily_dates,0),MATCH($B$3,daily_items,0)))</f>
        <v>#N/A</v>
      </c>
      <c r="S154" s="1" t="str">
        <f t="array" ref="S154">IF(ISBLANK(INDEX(big_daily_table,MATCH(DATE(S$5,$K154,$J154),daily_dates,0),MATCH($B$3,daily_items,0))),NA(),INDEX(big_daily_table,MATCH(DATE(S$5,$K154,$J154),daily_dates,0),MATCH($B$3,daily_items,0)))</f>
        <v>#N/A</v>
      </c>
      <c r="T154" s="1" t="str">
        <f t="array" ref="T154">IF(ISBLANK(INDEX(big_daily_table,MATCH(DATE(T$5,$K154,$J154),daily_dates,0),MATCH($B$3,daily_items,0))),NA(),INDEX(big_daily_table,MATCH(DATE(T$5,$K154,$J154),daily_dates,0),MATCH($B$3,daily_items,0)))</f>
        <v>#N/A</v>
      </c>
      <c r="U154" s="1" t="str">
        <f t="array" ref="U154">IF(ISBLANK(INDEX(big_daily_table,MATCH(DATE(U$5,$K154,$J154),daily_dates,0),MATCH($B$3,daily_items,0))),NA(),INDEX(big_daily_table,MATCH(DATE(U$5,$K154,$J154),daily_dates,0),MATCH($B$3,daily_items,0)))</f>
        <v>#N/A</v>
      </c>
      <c r="V154" s="1" t="str">
        <f t="array" ref="V154">IF(ISBLANK(INDEX(big_daily_table,MATCH(DATE(V$5,$K154,$J154),daily_dates,0),MATCH($B$3,daily_items,0))),NA(),INDEX(big_daily_table,MATCH(DATE(V$5,$K154,$J154),daily_dates,0),MATCH($B$3,daily_items,0)))</f>
        <v>#N/A</v>
      </c>
      <c r="W154" s="1" t="str">
        <f t="array" ref="W154">IF(ISBLANK(INDEX(big_daily_table,MATCH(DATE(W$5,$K154,$J154),daily_dates,0),MATCH($B$3,daily_items,0))),NA(),INDEX(big_daily_table,MATCH(DATE(W$5,$K154,$J154),daily_dates,0),MATCH($B$3,daily_items,0)))</f>
        <v>#N/A</v>
      </c>
      <c r="X154" s="1" t="str">
        <f t="array" ref="X154">IF(ISBLANK(INDEX(big_daily_table,MATCH(DATE(X$5,$K154,$J154),daily_dates,0),MATCH($B$3,daily_items,0))),NA(),INDEX(big_daily_table,MATCH(DATE(X$5,$K154,$J154),daily_dates,0),MATCH($B$3,daily_items,0)))</f>
        <v>#N/A</v>
      </c>
      <c r="Y154" s="1" t="str">
        <f t="array" ref="Y154">IF(ISBLANK(INDEX(big_daily_table,MATCH(DATE(Y$5,$K154,$J154),daily_dates,0),MATCH($B$3,daily_items,0))),NA(),INDEX(big_daily_table,MATCH(DATE(Y$5,$K154,$J154),daily_dates,0),MATCH($B$3,daily_items,0)))</f>
        <v>#N/A</v>
      </c>
      <c r="Z154" s="1" t="str">
        <f t="array" ref="Z154">IF(ISBLANK(INDEX(big_daily_table,MATCH(DATE(Z$5,$K154,$J154),daily_dates,0),MATCH($B$3,daily_items,0))),NA(),INDEX(big_daily_table,MATCH(DATE(Z$5,$K154,$J154),daily_dates,0),MATCH($B$3,daily_items,0)))</f>
        <v>#N/A</v>
      </c>
      <c r="AA154" s="1" t="str">
        <f t="shared" si="5"/>
        <v>#NAME?</v>
      </c>
      <c r="AB154" s="1" t="str">
        <f t="shared" si="6"/>
        <v>#NAME?</v>
      </c>
      <c r="AC154" s="1" t="str">
        <f t="shared" si="7"/>
        <v>#NAME?</v>
      </c>
      <c r="AD154" s="1" t="str">
        <f t="shared" si="8"/>
        <v>#NAME?</v>
      </c>
    </row>
    <row r="155" ht="14.25" customHeight="1">
      <c r="H155" s="1">
        <f t="shared" si="9"/>
        <v>150</v>
      </c>
      <c r="I155" s="1">
        <f>WEEKDAY('daily graphs'!K155)</f>
        <v>2</v>
      </c>
      <c r="J155" s="1">
        <f t="shared" si="2"/>
        <v>27</v>
      </c>
      <c r="K155" s="1">
        <f t="shared" si="3"/>
        <v>5</v>
      </c>
      <c r="L155" s="23">
        <f>'daily graphs'!K155 - I155</f>
        <v>36673</v>
      </c>
      <c r="M155" s="24">
        <f t="shared" si="4"/>
        <v>-1000000</v>
      </c>
      <c r="N155" s="24" t="str">
        <f t="array" ref="N155">IF(M155&gt;0,INDEX(big_daily_table,MATCH(DATE(O$5,$K155,$J155),daily_dates,0),MATCH($B$3,daily_items,0)),NA())</f>
        <v>#N/A</v>
      </c>
      <c r="O155" s="1" t="str">
        <f t="array" ref="O155">IF(M155&lt;0,INDEX(big_daily_table,MATCH(DATE(O$5,$K155,$J155),daily_dates,0),MATCH($B$3,daily_items,0)),NA())</f>
        <v>#N/A</v>
      </c>
      <c r="P155" s="1" t="str">
        <f t="array" ref="P155">IF(ISBLANK(INDEX(big_daily_table,MATCH(DATE(P$5,$K155,$J155),daily_dates,0),MATCH($B$3,daily_items,0))),NA(),INDEX(big_daily_table,MATCH(DATE(P$5,$K155,$J155),daily_dates,0),MATCH($B$3,daily_items,0)))</f>
        <v>#N/A</v>
      </c>
      <c r="Q155" s="1" t="str">
        <f t="array" ref="Q155">IF(ISBLANK(INDEX(big_daily_table,MATCH(DATE(Q$5,$K155,$J155),daily_dates,0),MATCH($B$3,daily_items,0))),NA(),INDEX(big_daily_table,MATCH(DATE(Q$5,$K155,$J155),daily_dates,0),MATCH($B$3,daily_items,0)))</f>
        <v>#N/A</v>
      </c>
      <c r="R155" s="1" t="str">
        <f t="array" ref="R155">IF(ISBLANK(INDEX(big_daily_table,MATCH(DATE(R$5,$K155,$J155),daily_dates,0),MATCH($B$3,daily_items,0))),NA(),INDEX(big_daily_table,MATCH(DATE(R$5,$K155,$J155),daily_dates,0),MATCH($B$3,daily_items,0)))</f>
        <v>#N/A</v>
      </c>
      <c r="S155" s="1" t="str">
        <f t="array" ref="S155">IF(ISBLANK(INDEX(big_daily_table,MATCH(DATE(S$5,$K155,$J155),daily_dates,0),MATCH($B$3,daily_items,0))),NA(),INDEX(big_daily_table,MATCH(DATE(S$5,$K155,$J155),daily_dates,0),MATCH($B$3,daily_items,0)))</f>
        <v>#N/A</v>
      </c>
      <c r="T155" s="1" t="str">
        <f t="array" ref="T155">IF(ISBLANK(INDEX(big_daily_table,MATCH(DATE(T$5,$K155,$J155),daily_dates,0),MATCH($B$3,daily_items,0))),NA(),INDEX(big_daily_table,MATCH(DATE(T$5,$K155,$J155),daily_dates,0),MATCH($B$3,daily_items,0)))</f>
        <v>#N/A</v>
      </c>
      <c r="U155" s="1" t="str">
        <f t="array" ref="U155">IF(ISBLANK(INDEX(big_daily_table,MATCH(DATE(U$5,$K155,$J155),daily_dates,0),MATCH($B$3,daily_items,0))),NA(),INDEX(big_daily_table,MATCH(DATE(U$5,$K155,$J155),daily_dates,0),MATCH($B$3,daily_items,0)))</f>
        <v>#N/A</v>
      </c>
      <c r="V155" s="1" t="str">
        <f t="array" ref="V155">IF(ISBLANK(INDEX(big_daily_table,MATCH(DATE(V$5,$K155,$J155),daily_dates,0),MATCH($B$3,daily_items,0))),NA(),INDEX(big_daily_table,MATCH(DATE(V$5,$K155,$J155),daily_dates,0),MATCH($B$3,daily_items,0)))</f>
        <v>#N/A</v>
      </c>
      <c r="W155" s="1" t="str">
        <f t="array" ref="W155">IF(ISBLANK(INDEX(big_daily_table,MATCH(DATE(W$5,$K155,$J155),daily_dates,0),MATCH($B$3,daily_items,0))),NA(),INDEX(big_daily_table,MATCH(DATE(W$5,$K155,$J155),daily_dates,0),MATCH($B$3,daily_items,0)))</f>
        <v>#N/A</v>
      </c>
      <c r="X155" s="1" t="str">
        <f t="array" ref="X155">IF(ISBLANK(INDEX(big_daily_table,MATCH(DATE(X$5,$K155,$J155),daily_dates,0),MATCH($B$3,daily_items,0))),NA(),INDEX(big_daily_table,MATCH(DATE(X$5,$K155,$J155),daily_dates,0),MATCH($B$3,daily_items,0)))</f>
        <v>#N/A</v>
      </c>
      <c r="Y155" s="1" t="str">
        <f t="array" ref="Y155">IF(ISBLANK(INDEX(big_daily_table,MATCH(DATE(Y$5,$K155,$J155),daily_dates,0),MATCH($B$3,daily_items,0))),NA(),INDEX(big_daily_table,MATCH(DATE(Y$5,$K155,$J155),daily_dates,0),MATCH($B$3,daily_items,0)))</f>
        <v>#N/A</v>
      </c>
      <c r="Z155" s="1" t="str">
        <f t="array" ref="Z155">IF(ISBLANK(INDEX(big_daily_table,MATCH(DATE(Z$5,$K155,$J155),daily_dates,0),MATCH($B$3,daily_items,0))),NA(),INDEX(big_daily_table,MATCH(DATE(Z$5,$K155,$J155),daily_dates,0),MATCH($B$3,daily_items,0)))</f>
        <v>#N/A</v>
      </c>
      <c r="AA155" s="1" t="str">
        <f t="shared" si="5"/>
        <v>#NAME?</v>
      </c>
      <c r="AB155" s="1" t="str">
        <f t="shared" si="6"/>
        <v>#NAME?</v>
      </c>
      <c r="AC155" s="1" t="str">
        <f t="shared" si="7"/>
        <v>#NAME?</v>
      </c>
      <c r="AD155" s="1" t="str">
        <f t="shared" si="8"/>
        <v>#NAME?</v>
      </c>
    </row>
    <row r="156" ht="14.25" customHeight="1">
      <c r="H156" s="1">
        <f t="shared" si="9"/>
        <v>151</v>
      </c>
      <c r="I156" s="1">
        <f>WEEKDAY('daily graphs'!K156)</f>
        <v>3</v>
      </c>
      <c r="J156" s="1">
        <f t="shared" si="2"/>
        <v>27</v>
      </c>
      <c r="K156" s="1">
        <f t="shared" si="3"/>
        <v>5</v>
      </c>
      <c r="L156" s="23">
        <f>'daily graphs'!K156 - I156</f>
        <v>36673</v>
      </c>
      <c r="M156" s="24">
        <f t="shared" si="4"/>
        <v>-1000000</v>
      </c>
      <c r="N156" s="24" t="str">
        <f t="array" ref="N156">IF(M156&gt;0,INDEX(big_daily_table,MATCH(DATE(O$5,$K156,$J156),daily_dates,0),MATCH($B$3,daily_items,0)),NA())</f>
        <v>#N/A</v>
      </c>
      <c r="O156" s="1" t="str">
        <f t="array" ref="O156">IF(M156&lt;0,INDEX(big_daily_table,MATCH(DATE(O$5,$K156,$J156),daily_dates,0),MATCH($B$3,daily_items,0)),NA())</f>
        <v>#N/A</v>
      </c>
      <c r="P156" s="1" t="str">
        <f t="array" ref="P156">IF(ISBLANK(INDEX(big_daily_table,MATCH(DATE(P$5,$K156,$J156),daily_dates,0),MATCH($B$3,daily_items,0))),NA(),INDEX(big_daily_table,MATCH(DATE(P$5,$K156,$J156),daily_dates,0),MATCH($B$3,daily_items,0)))</f>
        <v>#N/A</v>
      </c>
      <c r="Q156" s="1" t="str">
        <f t="array" ref="Q156">IF(ISBLANK(INDEX(big_daily_table,MATCH(DATE(Q$5,$K156,$J156),daily_dates,0),MATCH($B$3,daily_items,0))),NA(),INDEX(big_daily_table,MATCH(DATE(Q$5,$K156,$J156),daily_dates,0),MATCH($B$3,daily_items,0)))</f>
        <v>#N/A</v>
      </c>
      <c r="R156" s="1" t="str">
        <f t="array" ref="R156">IF(ISBLANK(INDEX(big_daily_table,MATCH(DATE(R$5,$K156,$J156),daily_dates,0),MATCH($B$3,daily_items,0))),NA(),INDEX(big_daily_table,MATCH(DATE(R$5,$K156,$J156),daily_dates,0),MATCH($B$3,daily_items,0)))</f>
        <v>#N/A</v>
      </c>
      <c r="S156" s="1" t="str">
        <f t="array" ref="S156">IF(ISBLANK(INDEX(big_daily_table,MATCH(DATE(S$5,$K156,$J156),daily_dates,0),MATCH($B$3,daily_items,0))),NA(),INDEX(big_daily_table,MATCH(DATE(S$5,$K156,$J156),daily_dates,0),MATCH($B$3,daily_items,0)))</f>
        <v>#N/A</v>
      </c>
      <c r="T156" s="1" t="str">
        <f t="array" ref="T156">IF(ISBLANK(INDEX(big_daily_table,MATCH(DATE(T$5,$K156,$J156),daily_dates,0),MATCH($B$3,daily_items,0))),NA(),INDEX(big_daily_table,MATCH(DATE(T$5,$K156,$J156),daily_dates,0),MATCH($B$3,daily_items,0)))</f>
        <v>#N/A</v>
      </c>
      <c r="U156" s="1" t="str">
        <f t="array" ref="U156">IF(ISBLANK(INDEX(big_daily_table,MATCH(DATE(U$5,$K156,$J156),daily_dates,0),MATCH($B$3,daily_items,0))),NA(),INDEX(big_daily_table,MATCH(DATE(U$5,$K156,$J156),daily_dates,0),MATCH($B$3,daily_items,0)))</f>
        <v>#N/A</v>
      </c>
      <c r="V156" s="1" t="str">
        <f t="array" ref="V156">IF(ISBLANK(INDEX(big_daily_table,MATCH(DATE(V$5,$K156,$J156),daily_dates,0),MATCH($B$3,daily_items,0))),NA(),INDEX(big_daily_table,MATCH(DATE(V$5,$K156,$J156),daily_dates,0),MATCH($B$3,daily_items,0)))</f>
        <v>#N/A</v>
      </c>
      <c r="W156" s="1" t="str">
        <f t="array" ref="W156">IF(ISBLANK(INDEX(big_daily_table,MATCH(DATE(W$5,$K156,$J156),daily_dates,0),MATCH($B$3,daily_items,0))),NA(),INDEX(big_daily_table,MATCH(DATE(W$5,$K156,$J156),daily_dates,0),MATCH($B$3,daily_items,0)))</f>
        <v>#N/A</v>
      </c>
      <c r="X156" s="1" t="str">
        <f t="array" ref="X156">IF(ISBLANK(INDEX(big_daily_table,MATCH(DATE(X$5,$K156,$J156),daily_dates,0),MATCH($B$3,daily_items,0))),NA(),INDEX(big_daily_table,MATCH(DATE(X$5,$K156,$J156),daily_dates,0),MATCH($B$3,daily_items,0)))</f>
        <v>#N/A</v>
      </c>
      <c r="Y156" s="1" t="str">
        <f t="array" ref="Y156">IF(ISBLANK(INDEX(big_daily_table,MATCH(DATE(Y$5,$K156,$J156),daily_dates,0),MATCH($B$3,daily_items,0))),NA(),INDEX(big_daily_table,MATCH(DATE(Y$5,$K156,$J156),daily_dates,0),MATCH($B$3,daily_items,0)))</f>
        <v>#N/A</v>
      </c>
      <c r="Z156" s="1" t="str">
        <f t="array" ref="Z156">IF(ISBLANK(INDEX(big_daily_table,MATCH(DATE(Z$5,$K156,$J156),daily_dates,0),MATCH($B$3,daily_items,0))),NA(),INDEX(big_daily_table,MATCH(DATE(Z$5,$K156,$J156),daily_dates,0),MATCH($B$3,daily_items,0)))</f>
        <v>#N/A</v>
      </c>
      <c r="AA156" s="1" t="str">
        <f t="shared" si="5"/>
        <v>#NAME?</v>
      </c>
      <c r="AB156" s="1" t="str">
        <f t="shared" si="6"/>
        <v>#NAME?</v>
      </c>
      <c r="AC156" s="1" t="str">
        <f t="shared" si="7"/>
        <v>#NAME?</v>
      </c>
      <c r="AD156" s="1" t="str">
        <f t="shared" si="8"/>
        <v>#NAME?</v>
      </c>
    </row>
    <row r="157" ht="14.25" customHeight="1">
      <c r="H157" s="1">
        <f t="shared" si="9"/>
        <v>152</v>
      </c>
      <c r="I157" s="1">
        <f>WEEKDAY('daily graphs'!K157)</f>
        <v>4</v>
      </c>
      <c r="J157" s="1">
        <f t="shared" si="2"/>
        <v>27</v>
      </c>
      <c r="K157" s="1">
        <f t="shared" si="3"/>
        <v>5</v>
      </c>
      <c r="L157" s="23">
        <f>'daily graphs'!K157 - I157</f>
        <v>36673</v>
      </c>
      <c r="M157" s="24">
        <f t="shared" si="4"/>
        <v>-1000000</v>
      </c>
      <c r="N157" s="24" t="str">
        <f t="array" ref="N157">IF(M157&gt;0,INDEX(big_daily_table,MATCH(DATE(O$5,$K157,$J157),daily_dates,0),MATCH($B$3,daily_items,0)),NA())</f>
        <v>#N/A</v>
      </c>
      <c r="O157" s="1" t="str">
        <f t="array" ref="O157">IF(M157&lt;0,INDEX(big_daily_table,MATCH(DATE(O$5,$K157,$J157),daily_dates,0),MATCH($B$3,daily_items,0)),NA())</f>
        <v>#N/A</v>
      </c>
      <c r="P157" s="1" t="str">
        <f t="array" ref="P157">IF(ISBLANK(INDEX(big_daily_table,MATCH(DATE(P$5,$K157,$J157),daily_dates,0),MATCH($B$3,daily_items,0))),NA(),INDEX(big_daily_table,MATCH(DATE(P$5,$K157,$J157),daily_dates,0),MATCH($B$3,daily_items,0)))</f>
        <v>#N/A</v>
      </c>
      <c r="Q157" s="1" t="str">
        <f t="array" ref="Q157">IF(ISBLANK(INDEX(big_daily_table,MATCH(DATE(Q$5,$K157,$J157),daily_dates,0),MATCH($B$3,daily_items,0))),NA(),INDEX(big_daily_table,MATCH(DATE(Q$5,$K157,$J157),daily_dates,0),MATCH($B$3,daily_items,0)))</f>
        <v>#N/A</v>
      </c>
      <c r="R157" s="1" t="str">
        <f t="array" ref="R157">IF(ISBLANK(INDEX(big_daily_table,MATCH(DATE(R$5,$K157,$J157),daily_dates,0),MATCH($B$3,daily_items,0))),NA(),INDEX(big_daily_table,MATCH(DATE(R$5,$K157,$J157),daily_dates,0),MATCH($B$3,daily_items,0)))</f>
        <v>#N/A</v>
      </c>
      <c r="S157" s="1" t="str">
        <f t="array" ref="S157">IF(ISBLANK(INDEX(big_daily_table,MATCH(DATE(S$5,$K157,$J157),daily_dates,0),MATCH($B$3,daily_items,0))),NA(),INDEX(big_daily_table,MATCH(DATE(S$5,$K157,$J157),daily_dates,0),MATCH($B$3,daily_items,0)))</f>
        <v>#N/A</v>
      </c>
      <c r="T157" s="1" t="str">
        <f t="array" ref="T157">IF(ISBLANK(INDEX(big_daily_table,MATCH(DATE(T$5,$K157,$J157),daily_dates,0),MATCH($B$3,daily_items,0))),NA(),INDEX(big_daily_table,MATCH(DATE(T$5,$K157,$J157),daily_dates,0),MATCH($B$3,daily_items,0)))</f>
        <v>#N/A</v>
      </c>
      <c r="U157" s="1" t="str">
        <f t="array" ref="U157">IF(ISBLANK(INDEX(big_daily_table,MATCH(DATE(U$5,$K157,$J157),daily_dates,0),MATCH($B$3,daily_items,0))),NA(),INDEX(big_daily_table,MATCH(DATE(U$5,$K157,$J157),daily_dates,0),MATCH($B$3,daily_items,0)))</f>
        <v>#N/A</v>
      </c>
      <c r="V157" s="1" t="str">
        <f t="array" ref="V157">IF(ISBLANK(INDEX(big_daily_table,MATCH(DATE(V$5,$K157,$J157),daily_dates,0),MATCH($B$3,daily_items,0))),NA(),INDEX(big_daily_table,MATCH(DATE(V$5,$K157,$J157),daily_dates,0),MATCH($B$3,daily_items,0)))</f>
        <v>#N/A</v>
      </c>
      <c r="W157" s="1" t="str">
        <f t="array" ref="W157">IF(ISBLANK(INDEX(big_daily_table,MATCH(DATE(W$5,$K157,$J157),daily_dates,0),MATCH($B$3,daily_items,0))),NA(),INDEX(big_daily_table,MATCH(DATE(W$5,$K157,$J157),daily_dates,0),MATCH($B$3,daily_items,0)))</f>
        <v>#N/A</v>
      </c>
      <c r="X157" s="1" t="str">
        <f t="array" ref="X157">IF(ISBLANK(INDEX(big_daily_table,MATCH(DATE(X$5,$K157,$J157),daily_dates,0),MATCH($B$3,daily_items,0))),NA(),INDEX(big_daily_table,MATCH(DATE(X$5,$K157,$J157),daily_dates,0),MATCH($B$3,daily_items,0)))</f>
        <v>#N/A</v>
      </c>
      <c r="Y157" s="1" t="str">
        <f t="array" ref="Y157">IF(ISBLANK(INDEX(big_daily_table,MATCH(DATE(Y$5,$K157,$J157),daily_dates,0),MATCH($B$3,daily_items,0))),NA(),INDEX(big_daily_table,MATCH(DATE(Y$5,$K157,$J157),daily_dates,0),MATCH($B$3,daily_items,0)))</f>
        <v>#N/A</v>
      </c>
      <c r="Z157" s="1" t="str">
        <f t="array" ref="Z157">IF(ISBLANK(INDEX(big_daily_table,MATCH(DATE(Z$5,$K157,$J157),daily_dates,0),MATCH($B$3,daily_items,0))),NA(),INDEX(big_daily_table,MATCH(DATE(Z$5,$K157,$J157),daily_dates,0),MATCH($B$3,daily_items,0)))</f>
        <v>#N/A</v>
      </c>
      <c r="AA157" s="1" t="str">
        <f t="shared" si="5"/>
        <v>#NAME?</v>
      </c>
      <c r="AB157" s="1" t="str">
        <f t="shared" si="6"/>
        <v>#NAME?</v>
      </c>
      <c r="AC157" s="1" t="str">
        <f t="shared" si="7"/>
        <v>#NAME?</v>
      </c>
      <c r="AD157" s="1" t="str">
        <f t="shared" si="8"/>
        <v>#NAME?</v>
      </c>
    </row>
    <row r="158" ht="14.25" customHeight="1">
      <c r="H158" s="1">
        <f t="shared" si="9"/>
        <v>153</v>
      </c>
      <c r="I158" s="1">
        <f>WEEKDAY('daily graphs'!K158)</f>
        <v>5</v>
      </c>
      <c r="J158" s="1">
        <f t="shared" si="2"/>
        <v>27</v>
      </c>
      <c r="K158" s="1">
        <f t="shared" si="3"/>
        <v>5</v>
      </c>
      <c r="L158" s="23">
        <f>'daily graphs'!K158 - I158</f>
        <v>36673</v>
      </c>
      <c r="M158" s="24">
        <f t="shared" si="4"/>
        <v>-1000000</v>
      </c>
      <c r="N158" s="24" t="str">
        <f t="array" ref="N158">IF(M158&gt;0,INDEX(big_daily_table,MATCH(DATE(O$5,$K158,$J158),daily_dates,0),MATCH($B$3,daily_items,0)),NA())</f>
        <v>#N/A</v>
      </c>
      <c r="O158" s="1" t="str">
        <f t="array" ref="O158">IF(M158&lt;0,INDEX(big_daily_table,MATCH(DATE(O$5,$K158,$J158),daily_dates,0),MATCH($B$3,daily_items,0)),NA())</f>
        <v>#N/A</v>
      </c>
      <c r="P158" s="1" t="str">
        <f t="array" ref="P158">IF(ISBLANK(INDEX(big_daily_table,MATCH(DATE(P$5,$K158,$J158),daily_dates,0),MATCH($B$3,daily_items,0))),NA(),INDEX(big_daily_table,MATCH(DATE(P$5,$K158,$J158),daily_dates,0),MATCH($B$3,daily_items,0)))</f>
        <v>#N/A</v>
      </c>
      <c r="Q158" s="1" t="str">
        <f t="array" ref="Q158">IF(ISBLANK(INDEX(big_daily_table,MATCH(DATE(Q$5,$K158,$J158),daily_dates,0),MATCH($B$3,daily_items,0))),NA(),INDEX(big_daily_table,MATCH(DATE(Q$5,$K158,$J158),daily_dates,0),MATCH($B$3,daily_items,0)))</f>
        <v>#N/A</v>
      </c>
      <c r="R158" s="1" t="str">
        <f t="array" ref="R158">IF(ISBLANK(INDEX(big_daily_table,MATCH(DATE(R$5,$K158,$J158),daily_dates,0),MATCH($B$3,daily_items,0))),NA(),INDEX(big_daily_table,MATCH(DATE(R$5,$K158,$J158),daily_dates,0),MATCH($B$3,daily_items,0)))</f>
        <v>#N/A</v>
      </c>
      <c r="S158" s="1" t="str">
        <f t="array" ref="S158">IF(ISBLANK(INDEX(big_daily_table,MATCH(DATE(S$5,$K158,$J158),daily_dates,0),MATCH($B$3,daily_items,0))),NA(),INDEX(big_daily_table,MATCH(DATE(S$5,$K158,$J158),daily_dates,0),MATCH($B$3,daily_items,0)))</f>
        <v>#N/A</v>
      </c>
      <c r="T158" s="1" t="str">
        <f t="array" ref="T158">IF(ISBLANK(INDEX(big_daily_table,MATCH(DATE(T$5,$K158,$J158),daily_dates,0),MATCH($B$3,daily_items,0))),NA(),INDEX(big_daily_table,MATCH(DATE(T$5,$K158,$J158),daily_dates,0),MATCH($B$3,daily_items,0)))</f>
        <v>#N/A</v>
      </c>
      <c r="U158" s="1" t="str">
        <f t="array" ref="U158">IF(ISBLANK(INDEX(big_daily_table,MATCH(DATE(U$5,$K158,$J158),daily_dates,0),MATCH($B$3,daily_items,0))),NA(),INDEX(big_daily_table,MATCH(DATE(U$5,$K158,$J158),daily_dates,0),MATCH($B$3,daily_items,0)))</f>
        <v>#N/A</v>
      </c>
      <c r="V158" s="1" t="str">
        <f t="array" ref="V158">IF(ISBLANK(INDEX(big_daily_table,MATCH(DATE(V$5,$K158,$J158),daily_dates,0),MATCH($B$3,daily_items,0))),NA(),INDEX(big_daily_table,MATCH(DATE(V$5,$K158,$J158),daily_dates,0),MATCH($B$3,daily_items,0)))</f>
        <v>#N/A</v>
      </c>
      <c r="W158" s="1" t="str">
        <f t="array" ref="W158">IF(ISBLANK(INDEX(big_daily_table,MATCH(DATE(W$5,$K158,$J158),daily_dates,0),MATCH($B$3,daily_items,0))),NA(),INDEX(big_daily_table,MATCH(DATE(W$5,$K158,$J158),daily_dates,0),MATCH($B$3,daily_items,0)))</f>
        <v>#N/A</v>
      </c>
      <c r="X158" s="1" t="str">
        <f t="array" ref="X158">IF(ISBLANK(INDEX(big_daily_table,MATCH(DATE(X$5,$K158,$J158),daily_dates,0),MATCH($B$3,daily_items,0))),NA(),INDEX(big_daily_table,MATCH(DATE(X$5,$K158,$J158),daily_dates,0),MATCH($B$3,daily_items,0)))</f>
        <v>#N/A</v>
      </c>
      <c r="Y158" s="1" t="str">
        <f t="array" ref="Y158">IF(ISBLANK(INDEX(big_daily_table,MATCH(DATE(Y$5,$K158,$J158),daily_dates,0),MATCH($B$3,daily_items,0))),NA(),INDEX(big_daily_table,MATCH(DATE(Y$5,$K158,$J158),daily_dates,0),MATCH($B$3,daily_items,0)))</f>
        <v>#N/A</v>
      </c>
      <c r="Z158" s="1" t="str">
        <f t="array" ref="Z158">IF(ISBLANK(INDEX(big_daily_table,MATCH(DATE(Z$5,$K158,$J158),daily_dates,0),MATCH($B$3,daily_items,0))),NA(),INDEX(big_daily_table,MATCH(DATE(Z$5,$K158,$J158),daily_dates,0),MATCH($B$3,daily_items,0)))</f>
        <v>#N/A</v>
      </c>
      <c r="AA158" s="1" t="str">
        <f t="shared" si="5"/>
        <v>#NAME?</v>
      </c>
      <c r="AB158" s="1" t="str">
        <f t="shared" si="6"/>
        <v>#NAME?</v>
      </c>
      <c r="AC158" s="1" t="str">
        <f t="shared" si="7"/>
        <v>#NAME?</v>
      </c>
      <c r="AD158" s="1" t="str">
        <f t="shared" si="8"/>
        <v>#NAME?</v>
      </c>
    </row>
    <row r="159" ht="14.25" customHeight="1">
      <c r="H159" s="1">
        <f t="shared" si="9"/>
        <v>154</v>
      </c>
      <c r="I159" s="1">
        <f>WEEKDAY('daily graphs'!K159)</f>
        <v>6</v>
      </c>
      <c r="J159" s="1">
        <f t="shared" si="2"/>
        <v>27</v>
      </c>
      <c r="K159" s="1">
        <f t="shared" si="3"/>
        <v>5</v>
      </c>
      <c r="L159" s="23">
        <f>'daily graphs'!K159 - I159</f>
        <v>36673</v>
      </c>
      <c r="M159" s="24">
        <f t="shared" si="4"/>
        <v>-1000000</v>
      </c>
      <c r="N159" s="24" t="str">
        <f t="array" ref="N159">IF(M159&gt;0,INDEX(big_daily_table,MATCH(DATE(O$5,$K159,$J159),daily_dates,0),MATCH($B$3,daily_items,0)),NA())</f>
        <v>#N/A</v>
      </c>
      <c r="O159" s="1" t="str">
        <f t="array" ref="O159">IF(M159&lt;0,INDEX(big_daily_table,MATCH(DATE(O$5,$K159,$J159),daily_dates,0),MATCH($B$3,daily_items,0)),NA())</f>
        <v>#N/A</v>
      </c>
      <c r="P159" s="1" t="str">
        <f t="array" ref="P159">IF(ISBLANK(INDEX(big_daily_table,MATCH(DATE(P$5,$K159,$J159),daily_dates,0),MATCH($B$3,daily_items,0))),NA(),INDEX(big_daily_table,MATCH(DATE(P$5,$K159,$J159),daily_dates,0),MATCH($B$3,daily_items,0)))</f>
        <v>#N/A</v>
      </c>
      <c r="Q159" s="1" t="str">
        <f t="array" ref="Q159">IF(ISBLANK(INDEX(big_daily_table,MATCH(DATE(Q$5,$K159,$J159),daily_dates,0),MATCH($B$3,daily_items,0))),NA(),INDEX(big_daily_table,MATCH(DATE(Q$5,$K159,$J159),daily_dates,0),MATCH($B$3,daily_items,0)))</f>
        <v>#N/A</v>
      </c>
      <c r="R159" s="1" t="str">
        <f t="array" ref="R159">IF(ISBLANK(INDEX(big_daily_table,MATCH(DATE(R$5,$K159,$J159),daily_dates,0),MATCH($B$3,daily_items,0))),NA(),INDEX(big_daily_table,MATCH(DATE(R$5,$K159,$J159),daily_dates,0),MATCH($B$3,daily_items,0)))</f>
        <v>#N/A</v>
      </c>
      <c r="S159" s="1" t="str">
        <f t="array" ref="S159">IF(ISBLANK(INDEX(big_daily_table,MATCH(DATE(S$5,$K159,$J159),daily_dates,0),MATCH($B$3,daily_items,0))),NA(),INDEX(big_daily_table,MATCH(DATE(S$5,$K159,$J159),daily_dates,0),MATCH($B$3,daily_items,0)))</f>
        <v>#N/A</v>
      </c>
      <c r="T159" s="1" t="str">
        <f t="array" ref="T159">IF(ISBLANK(INDEX(big_daily_table,MATCH(DATE(T$5,$K159,$J159),daily_dates,0),MATCH($B$3,daily_items,0))),NA(),INDEX(big_daily_table,MATCH(DATE(T$5,$K159,$J159),daily_dates,0),MATCH($B$3,daily_items,0)))</f>
        <v>#N/A</v>
      </c>
      <c r="U159" s="1" t="str">
        <f t="array" ref="U159">IF(ISBLANK(INDEX(big_daily_table,MATCH(DATE(U$5,$K159,$J159),daily_dates,0),MATCH($B$3,daily_items,0))),NA(),INDEX(big_daily_table,MATCH(DATE(U$5,$K159,$J159),daily_dates,0),MATCH($B$3,daily_items,0)))</f>
        <v>#N/A</v>
      </c>
      <c r="V159" s="1" t="str">
        <f t="array" ref="V159">IF(ISBLANK(INDEX(big_daily_table,MATCH(DATE(V$5,$K159,$J159),daily_dates,0),MATCH($B$3,daily_items,0))),NA(),INDEX(big_daily_table,MATCH(DATE(V$5,$K159,$J159),daily_dates,0),MATCH($B$3,daily_items,0)))</f>
        <v>#N/A</v>
      </c>
      <c r="W159" s="1" t="str">
        <f t="array" ref="W159">IF(ISBLANK(INDEX(big_daily_table,MATCH(DATE(W$5,$K159,$J159),daily_dates,0),MATCH($B$3,daily_items,0))),NA(),INDEX(big_daily_table,MATCH(DATE(W$5,$K159,$J159),daily_dates,0),MATCH($B$3,daily_items,0)))</f>
        <v>#N/A</v>
      </c>
      <c r="X159" s="1" t="str">
        <f t="array" ref="X159">IF(ISBLANK(INDEX(big_daily_table,MATCH(DATE(X$5,$K159,$J159),daily_dates,0),MATCH($B$3,daily_items,0))),NA(),INDEX(big_daily_table,MATCH(DATE(X$5,$K159,$J159),daily_dates,0),MATCH($B$3,daily_items,0)))</f>
        <v>#N/A</v>
      </c>
      <c r="Y159" s="1" t="str">
        <f t="array" ref="Y159">IF(ISBLANK(INDEX(big_daily_table,MATCH(DATE(Y$5,$K159,$J159),daily_dates,0),MATCH($B$3,daily_items,0))),NA(),INDEX(big_daily_table,MATCH(DATE(Y$5,$K159,$J159),daily_dates,0),MATCH($B$3,daily_items,0)))</f>
        <v>#N/A</v>
      </c>
      <c r="Z159" s="1" t="str">
        <f t="array" ref="Z159">IF(ISBLANK(INDEX(big_daily_table,MATCH(DATE(Z$5,$K159,$J159),daily_dates,0),MATCH($B$3,daily_items,0))),NA(),INDEX(big_daily_table,MATCH(DATE(Z$5,$K159,$J159),daily_dates,0),MATCH($B$3,daily_items,0)))</f>
        <v>#N/A</v>
      </c>
      <c r="AA159" s="1" t="str">
        <f t="shared" si="5"/>
        <v>#NAME?</v>
      </c>
      <c r="AB159" s="1" t="str">
        <f t="shared" si="6"/>
        <v>#NAME?</v>
      </c>
      <c r="AC159" s="1" t="str">
        <f t="shared" si="7"/>
        <v>#NAME?</v>
      </c>
      <c r="AD159" s="1" t="str">
        <f t="shared" si="8"/>
        <v>#NAME?</v>
      </c>
    </row>
    <row r="160" ht="14.25" customHeight="1">
      <c r="H160" s="1">
        <f t="shared" si="9"/>
        <v>155</v>
      </c>
      <c r="I160" s="1">
        <f>WEEKDAY('daily graphs'!K160)</f>
        <v>7</v>
      </c>
      <c r="J160" s="1">
        <f t="shared" si="2"/>
        <v>27</v>
      </c>
      <c r="K160" s="1">
        <f t="shared" si="3"/>
        <v>5</v>
      </c>
      <c r="L160" s="23">
        <f>'daily graphs'!K160 - I160</f>
        <v>36673</v>
      </c>
      <c r="M160" s="24">
        <f t="shared" si="4"/>
        <v>-1000000</v>
      </c>
      <c r="N160" s="24" t="str">
        <f t="array" ref="N160">IF(M160&gt;0,INDEX(big_daily_table,MATCH(DATE(O$5,$K160,$J160),daily_dates,0),MATCH($B$3,daily_items,0)),NA())</f>
        <v>#N/A</v>
      </c>
      <c r="O160" s="1" t="str">
        <f t="array" ref="O160">IF(M160&lt;0,INDEX(big_daily_table,MATCH(DATE(O$5,$K160,$J160),daily_dates,0),MATCH($B$3,daily_items,0)),NA())</f>
        <v>#N/A</v>
      </c>
      <c r="P160" s="1" t="str">
        <f t="array" ref="P160">IF(ISBLANK(INDEX(big_daily_table,MATCH(DATE(P$5,$K160,$J160),daily_dates,0),MATCH($B$3,daily_items,0))),NA(),INDEX(big_daily_table,MATCH(DATE(P$5,$K160,$J160),daily_dates,0),MATCH($B$3,daily_items,0)))</f>
        <v>#N/A</v>
      </c>
      <c r="Q160" s="1" t="str">
        <f t="array" ref="Q160">IF(ISBLANK(INDEX(big_daily_table,MATCH(DATE(Q$5,$K160,$J160),daily_dates,0),MATCH($B$3,daily_items,0))),NA(),INDEX(big_daily_table,MATCH(DATE(Q$5,$K160,$J160),daily_dates,0),MATCH($B$3,daily_items,0)))</f>
        <v>#N/A</v>
      </c>
      <c r="R160" s="1" t="str">
        <f t="array" ref="R160">IF(ISBLANK(INDEX(big_daily_table,MATCH(DATE(R$5,$K160,$J160),daily_dates,0),MATCH($B$3,daily_items,0))),NA(),INDEX(big_daily_table,MATCH(DATE(R$5,$K160,$J160),daily_dates,0),MATCH($B$3,daily_items,0)))</f>
        <v>#N/A</v>
      </c>
      <c r="S160" s="1" t="str">
        <f t="array" ref="S160">IF(ISBLANK(INDEX(big_daily_table,MATCH(DATE(S$5,$K160,$J160),daily_dates,0),MATCH($B$3,daily_items,0))),NA(),INDEX(big_daily_table,MATCH(DATE(S$5,$K160,$J160),daily_dates,0),MATCH($B$3,daily_items,0)))</f>
        <v>#N/A</v>
      </c>
      <c r="T160" s="1" t="str">
        <f t="array" ref="T160">IF(ISBLANK(INDEX(big_daily_table,MATCH(DATE(T$5,$K160,$J160),daily_dates,0),MATCH($B$3,daily_items,0))),NA(),INDEX(big_daily_table,MATCH(DATE(T$5,$K160,$J160),daily_dates,0),MATCH($B$3,daily_items,0)))</f>
        <v>#N/A</v>
      </c>
      <c r="U160" s="1" t="str">
        <f t="array" ref="U160">IF(ISBLANK(INDEX(big_daily_table,MATCH(DATE(U$5,$K160,$J160),daily_dates,0),MATCH($B$3,daily_items,0))),NA(),INDEX(big_daily_table,MATCH(DATE(U$5,$K160,$J160),daily_dates,0),MATCH($B$3,daily_items,0)))</f>
        <v>#N/A</v>
      </c>
      <c r="V160" s="1" t="str">
        <f t="array" ref="V160">IF(ISBLANK(INDEX(big_daily_table,MATCH(DATE(V$5,$K160,$J160),daily_dates,0),MATCH($B$3,daily_items,0))),NA(),INDEX(big_daily_table,MATCH(DATE(V$5,$K160,$J160),daily_dates,0),MATCH($B$3,daily_items,0)))</f>
        <v>#N/A</v>
      </c>
      <c r="W160" s="1" t="str">
        <f t="array" ref="W160">IF(ISBLANK(INDEX(big_daily_table,MATCH(DATE(W$5,$K160,$J160),daily_dates,0),MATCH($B$3,daily_items,0))),NA(),INDEX(big_daily_table,MATCH(DATE(W$5,$K160,$J160),daily_dates,0),MATCH($B$3,daily_items,0)))</f>
        <v>#N/A</v>
      </c>
      <c r="X160" s="1" t="str">
        <f t="array" ref="X160">IF(ISBLANK(INDEX(big_daily_table,MATCH(DATE(X$5,$K160,$J160),daily_dates,0),MATCH($B$3,daily_items,0))),NA(),INDEX(big_daily_table,MATCH(DATE(X$5,$K160,$J160),daily_dates,0),MATCH($B$3,daily_items,0)))</f>
        <v>#N/A</v>
      </c>
      <c r="Y160" s="1" t="str">
        <f t="array" ref="Y160">IF(ISBLANK(INDEX(big_daily_table,MATCH(DATE(Y$5,$K160,$J160),daily_dates,0),MATCH($B$3,daily_items,0))),NA(),INDEX(big_daily_table,MATCH(DATE(Y$5,$K160,$J160),daily_dates,0),MATCH($B$3,daily_items,0)))</f>
        <v>#N/A</v>
      </c>
      <c r="Z160" s="1" t="str">
        <f t="array" ref="Z160">IF(ISBLANK(INDEX(big_daily_table,MATCH(DATE(Z$5,$K160,$J160),daily_dates,0),MATCH($B$3,daily_items,0))),NA(),INDEX(big_daily_table,MATCH(DATE(Z$5,$K160,$J160),daily_dates,0),MATCH($B$3,daily_items,0)))</f>
        <v>#N/A</v>
      </c>
      <c r="AA160" s="1" t="str">
        <f t="shared" si="5"/>
        <v>#NAME?</v>
      </c>
      <c r="AB160" s="1" t="str">
        <f t="shared" si="6"/>
        <v>#NAME?</v>
      </c>
      <c r="AC160" s="1" t="str">
        <f t="shared" si="7"/>
        <v>#NAME?</v>
      </c>
      <c r="AD160" s="1" t="str">
        <f t="shared" si="8"/>
        <v>#NAME?</v>
      </c>
    </row>
    <row r="161" ht="14.25" customHeight="1">
      <c r="H161" s="1">
        <f t="shared" si="9"/>
        <v>156</v>
      </c>
      <c r="I161" s="1">
        <f>WEEKDAY('daily graphs'!K161)</f>
        <v>1</v>
      </c>
      <c r="J161" s="1">
        <f t="shared" si="2"/>
        <v>3</v>
      </c>
      <c r="K161" s="1">
        <f t="shared" si="3"/>
        <v>6</v>
      </c>
      <c r="L161" s="23">
        <f>'daily graphs'!K161 - I161</f>
        <v>36680</v>
      </c>
      <c r="M161" s="24">
        <f t="shared" si="4"/>
        <v>-1000000</v>
      </c>
      <c r="N161" s="24" t="str">
        <f t="array" ref="N161">IF(M161&gt;0,INDEX(big_daily_table,MATCH(DATE(O$5,$K161,$J161),daily_dates,0),MATCH($B$3,daily_items,0)),NA())</f>
        <v>#N/A</v>
      </c>
      <c r="O161" s="1" t="str">
        <f t="array" ref="O161">IF(M161&lt;0,INDEX(big_daily_table,MATCH(DATE(O$5,$K161,$J161),daily_dates,0),MATCH($B$3,daily_items,0)),NA())</f>
        <v>#N/A</v>
      </c>
      <c r="P161" s="1" t="str">
        <f t="array" ref="P161">IF(ISBLANK(INDEX(big_daily_table,MATCH(DATE(P$5,$K161,$J161),daily_dates,0),MATCH($B$3,daily_items,0))),NA(),INDEX(big_daily_table,MATCH(DATE(P$5,$K161,$J161),daily_dates,0),MATCH($B$3,daily_items,0)))</f>
        <v>#N/A</v>
      </c>
      <c r="Q161" s="1" t="str">
        <f t="array" ref="Q161">IF(ISBLANK(INDEX(big_daily_table,MATCH(DATE(Q$5,$K161,$J161),daily_dates,0),MATCH($B$3,daily_items,0))),NA(),INDEX(big_daily_table,MATCH(DATE(Q$5,$K161,$J161),daily_dates,0),MATCH($B$3,daily_items,0)))</f>
        <v>#N/A</v>
      </c>
      <c r="R161" s="1" t="str">
        <f t="array" ref="R161">IF(ISBLANK(INDEX(big_daily_table,MATCH(DATE(R$5,$K161,$J161),daily_dates,0),MATCH($B$3,daily_items,0))),NA(),INDEX(big_daily_table,MATCH(DATE(R$5,$K161,$J161),daily_dates,0),MATCH($B$3,daily_items,0)))</f>
        <v>#N/A</v>
      </c>
      <c r="S161" s="1" t="str">
        <f t="array" ref="S161">IF(ISBLANK(INDEX(big_daily_table,MATCH(DATE(S$5,$K161,$J161),daily_dates,0),MATCH($B$3,daily_items,0))),NA(),INDEX(big_daily_table,MATCH(DATE(S$5,$K161,$J161),daily_dates,0),MATCH($B$3,daily_items,0)))</f>
        <v>#N/A</v>
      </c>
      <c r="T161" s="1" t="str">
        <f t="array" ref="T161">IF(ISBLANK(INDEX(big_daily_table,MATCH(DATE(T$5,$K161,$J161),daily_dates,0),MATCH($B$3,daily_items,0))),NA(),INDEX(big_daily_table,MATCH(DATE(T$5,$K161,$J161),daily_dates,0),MATCH($B$3,daily_items,0)))</f>
        <v>#N/A</v>
      </c>
      <c r="U161" s="1" t="str">
        <f t="array" ref="U161">IF(ISBLANK(INDEX(big_daily_table,MATCH(DATE(U$5,$K161,$J161),daily_dates,0),MATCH($B$3,daily_items,0))),NA(),INDEX(big_daily_table,MATCH(DATE(U$5,$K161,$J161),daily_dates,0),MATCH($B$3,daily_items,0)))</f>
        <v>#N/A</v>
      </c>
      <c r="V161" s="1" t="str">
        <f t="array" ref="V161">IF(ISBLANK(INDEX(big_daily_table,MATCH(DATE(V$5,$K161,$J161),daily_dates,0),MATCH($B$3,daily_items,0))),NA(),INDEX(big_daily_table,MATCH(DATE(V$5,$K161,$J161),daily_dates,0),MATCH($B$3,daily_items,0)))</f>
        <v>#N/A</v>
      </c>
      <c r="W161" s="1" t="str">
        <f t="array" ref="W161">IF(ISBLANK(INDEX(big_daily_table,MATCH(DATE(W$5,$K161,$J161),daily_dates,0),MATCH($B$3,daily_items,0))),NA(),INDEX(big_daily_table,MATCH(DATE(W$5,$K161,$J161),daily_dates,0),MATCH($B$3,daily_items,0)))</f>
        <v>#N/A</v>
      </c>
      <c r="X161" s="1" t="str">
        <f t="array" ref="X161">IF(ISBLANK(INDEX(big_daily_table,MATCH(DATE(X$5,$K161,$J161),daily_dates,0),MATCH($B$3,daily_items,0))),NA(),INDEX(big_daily_table,MATCH(DATE(X$5,$K161,$J161),daily_dates,0),MATCH($B$3,daily_items,0)))</f>
        <v>#N/A</v>
      </c>
      <c r="Y161" s="1" t="str">
        <f t="array" ref="Y161">IF(ISBLANK(INDEX(big_daily_table,MATCH(DATE(Y$5,$K161,$J161),daily_dates,0),MATCH($B$3,daily_items,0))),NA(),INDEX(big_daily_table,MATCH(DATE(Y$5,$K161,$J161),daily_dates,0),MATCH($B$3,daily_items,0)))</f>
        <v>#N/A</v>
      </c>
      <c r="Z161" s="1" t="str">
        <f t="array" ref="Z161">IF(ISBLANK(INDEX(big_daily_table,MATCH(DATE(Z$5,$K161,$J161),daily_dates,0),MATCH($B$3,daily_items,0))),NA(),INDEX(big_daily_table,MATCH(DATE(Z$5,$K161,$J161),daily_dates,0),MATCH($B$3,daily_items,0)))</f>
        <v>#N/A</v>
      </c>
      <c r="AA161" s="1" t="str">
        <f t="shared" si="5"/>
        <v>#NAME?</v>
      </c>
      <c r="AB161" s="1" t="str">
        <f t="shared" si="6"/>
        <v>#NAME?</v>
      </c>
      <c r="AC161" s="1" t="str">
        <f t="shared" si="7"/>
        <v>#NAME?</v>
      </c>
      <c r="AD161" s="1" t="str">
        <f t="shared" si="8"/>
        <v>#NAME?</v>
      </c>
    </row>
    <row r="162" ht="14.25" customHeight="1">
      <c r="H162" s="1">
        <f t="shared" si="9"/>
        <v>157</v>
      </c>
      <c r="I162" s="1">
        <f>WEEKDAY('daily graphs'!K162)</f>
        <v>2</v>
      </c>
      <c r="J162" s="1">
        <f t="shared" si="2"/>
        <v>3</v>
      </c>
      <c r="K162" s="1">
        <f t="shared" si="3"/>
        <v>6</v>
      </c>
      <c r="L162" s="23">
        <f>'daily graphs'!K162 - I162</f>
        <v>36680</v>
      </c>
      <c r="M162" s="24">
        <f t="shared" si="4"/>
        <v>-1000000</v>
      </c>
      <c r="N162" s="24" t="str">
        <f t="array" ref="N162">IF(M162&gt;0,INDEX(big_daily_table,MATCH(DATE(O$5,$K162,$J162),daily_dates,0),MATCH($B$3,daily_items,0)),NA())</f>
        <v>#N/A</v>
      </c>
      <c r="O162" s="1" t="str">
        <f t="array" ref="O162">IF(M162&lt;0,INDEX(big_daily_table,MATCH(DATE(O$5,$K162,$J162),daily_dates,0),MATCH($B$3,daily_items,0)),NA())</f>
        <v>#N/A</v>
      </c>
      <c r="P162" s="1" t="str">
        <f t="array" ref="P162">IF(ISBLANK(INDEX(big_daily_table,MATCH(DATE(P$5,$K162,$J162),daily_dates,0),MATCH($B$3,daily_items,0))),NA(),INDEX(big_daily_table,MATCH(DATE(P$5,$K162,$J162),daily_dates,0),MATCH($B$3,daily_items,0)))</f>
        <v>#N/A</v>
      </c>
      <c r="Q162" s="1" t="str">
        <f t="array" ref="Q162">IF(ISBLANK(INDEX(big_daily_table,MATCH(DATE(Q$5,$K162,$J162),daily_dates,0),MATCH($B$3,daily_items,0))),NA(),INDEX(big_daily_table,MATCH(DATE(Q$5,$K162,$J162),daily_dates,0),MATCH($B$3,daily_items,0)))</f>
        <v>#N/A</v>
      </c>
      <c r="R162" s="1" t="str">
        <f t="array" ref="R162">IF(ISBLANK(INDEX(big_daily_table,MATCH(DATE(R$5,$K162,$J162),daily_dates,0),MATCH($B$3,daily_items,0))),NA(),INDEX(big_daily_table,MATCH(DATE(R$5,$K162,$J162),daily_dates,0),MATCH($B$3,daily_items,0)))</f>
        <v>#N/A</v>
      </c>
      <c r="S162" s="1" t="str">
        <f t="array" ref="S162">IF(ISBLANK(INDEX(big_daily_table,MATCH(DATE(S$5,$K162,$J162),daily_dates,0),MATCH($B$3,daily_items,0))),NA(),INDEX(big_daily_table,MATCH(DATE(S$5,$K162,$J162),daily_dates,0),MATCH($B$3,daily_items,0)))</f>
        <v>#N/A</v>
      </c>
      <c r="T162" s="1" t="str">
        <f t="array" ref="T162">IF(ISBLANK(INDEX(big_daily_table,MATCH(DATE(T$5,$K162,$J162),daily_dates,0),MATCH($B$3,daily_items,0))),NA(),INDEX(big_daily_table,MATCH(DATE(T$5,$K162,$J162),daily_dates,0),MATCH($B$3,daily_items,0)))</f>
        <v>#N/A</v>
      </c>
      <c r="U162" s="1" t="str">
        <f t="array" ref="U162">IF(ISBLANK(INDEX(big_daily_table,MATCH(DATE(U$5,$K162,$J162),daily_dates,0),MATCH($B$3,daily_items,0))),NA(),INDEX(big_daily_table,MATCH(DATE(U$5,$K162,$J162),daily_dates,0),MATCH($B$3,daily_items,0)))</f>
        <v>#N/A</v>
      </c>
      <c r="V162" s="1" t="str">
        <f t="array" ref="V162">IF(ISBLANK(INDEX(big_daily_table,MATCH(DATE(V$5,$K162,$J162),daily_dates,0),MATCH($B$3,daily_items,0))),NA(),INDEX(big_daily_table,MATCH(DATE(V$5,$K162,$J162),daily_dates,0),MATCH($B$3,daily_items,0)))</f>
        <v>#N/A</v>
      </c>
      <c r="W162" s="1" t="str">
        <f t="array" ref="W162">IF(ISBLANK(INDEX(big_daily_table,MATCH(DATE(W$5,$K162,$J162),daily_dates,0),MATCH($B$3,daily_items,0))),NA(),INDEX(big_daily_table,MATCH(DATE(W$5,$K162,$J162),daily_dates,0),MATCH($B$3,daily_items,0)))</f>
        <v>#N/A</v>
      </c>
      <c r="X162" s="1" t="str">
        <f t="array" ref="X162">IF(ISBLANK(INDEX(big_daily_table,MATCH(DATE(X$5,$K162,$J162),daily_dates,0),MATCH($B$3,daily_items,0))),NA(),INDEX(big_daily_table,MATCH(DATE(X$5,$K162,$J162),daily_dates,0),MATCH($B$3,daily_items,0)))</f>
        <v>#N/A</v>
      </c>
      <c r="Y162" s="1" t="str">
        <f t="array" ref="Y162">IF(ISBLANK(INDEX(big_daily_table,MATCH(DATE(Y$5,$K162,$J162),daily_dates,0),MATCH($B$3,daily_items,0))),NA(),INDEX(big_daily_table,MATCH(DATE(Y$5,$K162,$J162),daily_dates,0),MATCH($B$3,daily_items,0)))</f>
        <v>#N/A</v>
      </c>
      <c r="Z162" s="1" t="str">
        <f t="array" ref="Z162">IF(ISBLANK(INDEX(big_daily_table,MATCH(DATE(Z$5,$K162,$J162),daily_dates,0),MATCH($B$3,daily_items,0))),NA(),INDEX(big_daily_table,MATCH(DATE(Z$5,$K162,$J162),daily_dates,0),MATCH($B$3,daily_items,0)))</f>
        <v>#N/A</v>
      </c>
      <c r="AA162" s="1" t="str">
        <f t="shared" si="5"/>
        <v>#NAME?</v>
      </c>
      <c r="AB162" s="1" t="str">
        <f t="shared" si="6"/>
        <v>#NAME?</v>
      </c>
      <c r="AC162" s="1" t="str">
        <f t="shared" si="7"/>
        <v>#NAME?</v>
      </c>
      <c r="AD162" s="1" t="str">
        <f t="shared" si="8"/>
        <v>#NAME?</v>
      </c>
    </row>
    <row r="163" ht="14.25" customHeight="1">
      <c r="H163" s="1">
        <f t="shared" si="9"/>
        <v>158</v>
      </c>
      <c r="I163" s="1">
        <f>WEEKDAY('daily graphs'!K163)</f>
        <v>3</v>
      </c>
      <c r="J163" s="1">
        <f t="shared" si="2"/>
        <v>3</v>
      </c>
      <c r="K163" s="1">
        <f t="shared" si="3"/>
        <v>6</v>
      </c>
      <c r="L163" s="23">
        <f>'daily graphs'!K163 - I163</f>
        <v>36680</v>
      </c>
      <c r="M163" s="24">
        <f t="shared" si="4"/>
        <v>-1000000</v>
      </c>
      <c r="N163" s="24" t="str">
        <f t="array" ref="N163">IF(M163&gt;0,INDEX(big_daily_table,MATCH(DATE(O$5,$K163,$J163),daily_dates,0),MATCH($B$3,daily_items,0)),NA())</f>
        <v>#N/A</v>
      </c>
      <c r="O163" s="1" t="str">
        <f t="array" ref="O163">IF(M163&lt;0,INDEX(big_daily_table,MATCH(DATE(O$5,$K163,$J163),daily_dates,0),MATCH($B$3,daily_items,0)),NA())</f>
        <v>#N/A</v>
      </c>
      <c r="P163" s="1" t="str">
        <f t="array" ref="P163">IF(ISBLANK(INDEX(big_daily_table,MATCH(DATE(P$5,$K163,$J163),daily_dates,0),MATCH($B$3,daily_items,0))),NA(),INDEX(big_daily_table,MATCH(DATE(P$5,$K163,$J163),daily_dates,0),MATCH($B$3,daily_items,0)))</f>
        <v>#N/A</v>
      </c>
      <c r="Q163" s="1" t="str">
        <f t="array" ref="Q163">IF(ISBLANK(INDEX(big_daily_table,MATCH(DATE(Q$5,$K163,$J163),daily_dates,0),MATCH($B$3,daily_items,0))),NA(),INDEX(big_daily_table,MATCH(DATE(Q$5,$K163,$J163),daily_dates,0),MATCH($B$3,daily_items,0)))</f>
        <v>#N/A</v>
      </c>
      <c r="R163" s="1" t="str">
        <f t="array" ref="R163">IF(ISBLANK(INDEX(big_daily_table,MATCH(DATE(R$5,$K163,$J163),daily_dates,0),MATCH($B$3,daily_items,0))),NA(),INDEX(big_daily_table,MATCH(DATE(R$5,$K163,$J163),daily_dates,0),MATCH($B$3,daily_items,0)))</f>
        <v>#N/A</v>
      </c>
      <c r="S163" s="1" t="str">
        <f t="array" ref="S163">IF(ISBLANK(INDEX(big_daily_table,MATCH(DATE(S$5,$K163,$J163),daily_dates,0),MATCH($B$3,daily_items,0))),NA(),INDEX(big_daily_table,MATCH(DATE(S$5,$K163,$J163),daily_dates,0),MATCH($B$3,daily_items,0)))</f>
        <v>#N/A</v>
      </c>
      <c r="T163" s="1" t="str">
        <f t="array" ref="T163">IF(ISBLANK(INDEX(big_daily_table,MATCH(DATE(T$5,$K163,$J163),daily_dates,0),MATCH($B$3,daily_items,0))),NA(),INDEX(big_daily_table,MATCH(DATE(T$5,$K163,$J163),daily_dates,0),MATCH($B$3,daily_items,0)))</f>
        <v>#N/A</v>
      </c>
      <c r="U163" s="1" t="str">
        <f t="array" ref="U163">IF(ISBLANK(INDEX(big_daily_table,MATCH(DATE(U$5,$K163,$J163),daily_dates,0),MATCH($B$3,daily_items,0))),NA(),INDEX(big_daily_table,MATCH(DATE(U$5,$K163,$J163),daily_dates,0),MATCH($B$3,daily_items,0)))</f>
        <v>#N/A</v>
      </c>
      <c r="V163" s="1" t="str">
        <f t="array" ref="V163">IF(ISBLANK(INDEX(big_daily_table,MATCH(DATE(V$5,$K163,$J163),daily_dates,0),MATCH($B$3,daily_items,0))),NA(),INDEX(big_daily_table,MATCH(DATE(V$5,$K163,$J163),daily_dates,0),MATCH($B$3,daily_items,0)))</f>
        <v>#N/A</v>
      </c>
      <c r="W163" s="1" t="str">
        <f t="array" ref="W163">IF(ISBLANK(INDEX(big_daily_table,MATCH(DATE(W$5,$K163,$J163),daily_dates,0),MATCH($B$3,daily_items,0))),NA(),INDEX(big_daily_table,MATCH(DATE(W$5,$K163,$J163),daily_dates,0),MATCH($B$3,daily_items,0)))</f>
        <v>#N/A</v>
      </c>
      <c r="X163" s="1" t="str">
        <f t="array" ref="X163">IF(ISBLANK(INDEX(big_daily_table,MATCH(DATE(X$5,$K163,$J163),daily_dates,0),MATCH($B$3,daily_items,0))),NA(),INDEX(big_daily_table,MATCH(DATE(X$5,$K163,$J163),daily_dates,0),MATCH($B$3,daily_items,0)))</f>
        <v>#N/A</v>
      </c>
      <c r="Y163" s="1" t="str">
        <f t="array" ref="Y163">IF(ISBLANK(INDEX(big_daily_table,MATCH(DATE(Y$5,$K163,$J163),daily_dates,0),MATCH($B$3,daily_items,0))),NA(),INDEX(big_daily_table,MATCH(DATE(Y$5,$K163,$J163),daily_dates,0),MATCH($B$3,daily_items,0)))</f>
        <v>#N/A</v>
      </c>
      <c r="Z163" s="1" t="str">
        <f t="array" ref="Z163">IF(ISBLANK(INDEX(big_daily_table,MATCH(DATE(Z$5,$K163,$J163),daily_dates,0),MATCH($B$3,daily_items,0))),NA(),INDEX(big_daily_table,MATCH(DATE(Z$5,$K163,$J163),daily_dates,0),MATCH($B$3,daily_items,0)))</f>
        <v>#N/A</v>
      </c>
      <c r="AA163" s="1" t="str">
        <f t="shared" si="5"/>
        <v>#NAME?</v>
      </c>
      <c r="AB163" s="1" t="str">
        <f t="shared" si="6"/>
        <v>#NAME?</v>
      </c>
      <c r="AC163" s="1" t="str">
        <f t="shared" si="7"/>
        <v>#NAME?</v>
      </c>
      <c r="AD163" s="1" t="str">
        <f t="shared" si="8"/>
        <v>#NAME?</v>
      </c>
    </row>
    <row r="164" ht="14.25" customHeight="1">
      <c r="H164" s="1">
        <f t="shared" si="9"/>
        <v>159</v>
      </c>
      <c r="I164" s="1">
        <f>WEEKDAY('daily graphs'!K164)</f>
        <v>4</v>
      </c>
      <c r="J164" s="1">
        <f t="shared" si="2"/>
        <v>3</v>
      </c>
      <c r="K164" s="1">
        <f t="shared" si="3"/>
        <v>6</v>
      </c>
      <c r="L164" s="23">
        <f>'daily graphs'!K164 - I164</f>
        <v>36680</v>
      </c>
      <c r="M164" s="24">
        <f t="shared" si="4"/>
        <v>-1000000</v>
      </c>
      <c r="N164" s="24" t="str">
        <f t="array" ref="N164">IF(M164&gt;0,INDEX(big_daily_table,MATCH(DATE(O$5,$K164,$J164),daily_dates,0),MATCH($B$3,daily_items,0)),NA())</f>
        <v>#N/A</v>
      </c>
      <c r="O164" s="1" t="str">
        <f t="array" ref="O164">IF(M164&lt;0,INDEX(big_daily_table,MATCH(DATE(O$5,$K164,$J164),daily_dates,0),MATCH($B$3,daily_items,0)),NA())</f>
        <v>#N/A</v>
      </c>
      <c r="P164" s="1" t="str">
        <f t="array" ref="P164">IF(ISBLANK(INDEX(big_daily_table,MATCH(DATE(P$5,$K164,$J164),daily_dates,0),MATCH($B$3,daily_items,0))),NA(),INDEX(big_daily_table,MATCH(DATE(P$5,$K164,$J164),daily_dates,0),MATCH($B$3,daily_items,0)))</f>
        <v>#N/A</v>
      </c>
      <c r="Q164" s="1" t="str">
        <f t="array" ref="Q164">IF(ISBLANK(INDEX(big_daily_table,MATCH(DATE(Q$5,$K164,$J164),daily_dates,0),MATCH($B$3,daily_items,0))),NA(),INDEX(big_daily_table,MATCH(DATE(Q$5,$K164,$J164),daily_dates,0),MATCH($B$3,daily_items,0)))</f>
        <v>#N/A</v>
      </c>
      <c r="R164" s="1" t="str">
        <f t="array" ref="R164">IF(ISBLANK(INDEX(big_daily_table,MATCH(DATE(R$5,$K164,$J164),daily_dates,0),MATCH($B$3,daily_items,0))),NA(),INDEX(big_daily_table,MATCH(DATE(R$5,$K164,$J164),daily_dates,0),MATCH($B$3,daily_items,0)))</f>
        <v>#N/A</v>
      </c>
      <c r="S164" s="1" t="str">
        <f t="array" ref="S164">IF(ISBLANK(INDEX(big_daily_table,MATCH(DATE(S$5,$K164,$J164),daily_dates,0),MATCH($B$3,daily_items,0))),NA(),INDEX(big_daily_table,MATCH(DATE(S$5,$K164,$J164),daily_dates,0),MATCH($B$3,daily_items,0)))</f>
        <v>#N/A</v>
      </c>
      <c r="T164" s="1" t="str">
        <f t="array" ref="T164">IF(ISBLANK(INDEX(big_daily_table,MATCH(DATE(T$5,$K164,$J164),daily_dates,0),MATCH($B$3,daily_items,0))),NA(),INDEX(big_daily_table,MATCH(DATE(T$5,$K164,$J164),daily_dates,0),MATCH($B$3,daily_items,0)))</f>
        <v>#N/A</v>
      </c>
      <c r="U164" s="1" t="str">
        <f t="array" ref="U164">IF(ISBLANK(INDEX(big_daily_table,MATCH(DATE(U$5,$K164,$J164),daily_dates,0),MATCH($B$3,daily_items,0))),NA(),INDEX(big_daily_table,MATCH(DATE(U$5,$K164,$J164),daily_dates,0),MATCH($B$3,daily_items,0)))</f>
        <v>#N/A</v>
      </c>
      <c r="V164" s="1" t="str">
        <f t="array" ref="V164">IF(ISBLANK(INDEX(big_daily_table,MATCH(DATE(V$5,$K164,$J164),daily_dates,0),MATCH($B$3,daily_items,0))),NA(),INDEX(big_daily_table,MATCH(DATE(V$5,$K164,$J164),daily_dates,0),MATCH($B$3,daily_items,0)))</f>
        <v>#N/A</v>
      </c>
      <c r="W164" s="1" t="str">
        <f t="array" ref="W164">IF(ISBLANK(INDEX(big_daily_table,MATCH(DATE(W$5,$K164,$J164),daily_dates,0),MATCH($B$3,daily_items,0))),NA(),INDEX(big_daily_table,MATCH(DATE(W$5,$K164,$J164),daily_dates,0),MATCH($B$3,daily_items,0)))</f>
        <v>#N/A</v>
      </c>
      <c r="X164" s="1" t="str">
        <f t="array" ref="X164">IF(ISBLANK(INDEX(big_daily_table,MATCH(DATE(X$5,$K164,$J164),daily_dates,0),MATCH($B$3,daily_items,0))),NA(),INDEX(big_daily_table,MATCH(DATE(X$5,$K164,$J164),daily_dates,0),MATCH($B$3,daily_items,0)))</f>
        <v>#N/A</v>
      </c>
      <c r="Y164" s="1" t="str">
        <f t="array" ref="Y164">IF(ISBLANK(INDEX(big_daily_table,MATCH(DATE(Y$5,$K164,$J164),daily_dates,0),MATCH($B$3,daily_items,0))),NA(),INDEX(big_daily_table,MATCH(DATE(Y$5,$K164,$J164),daily_dates,0),MATCH($B$3,daily_items,0)))</f>
        <v>#N/A</v>
      </c>
      <c r="Z164" s="1" t="str">
        <f t="array" ref="Z164">IF(ISBLANK(INDEX(big_daily_table,MATCH(DATE(Z$5,$K164,$J164),daily_dates,0),MATCH($B$3,daily_items,0))),NA(),INDEX(big_daily_table,MATCH(DATE(Z$5,$K164,$J164),daily_dates,0),MATCH($B$3,daily_items,0)))</f>
        <v>#N/A</v>
      </c>
      <c r="AA164" s="1" t="str">
        <f t="shared" si="5"/>
        <v>#NAME?</v>
      </c>
      <c r="AB164" s="1" t="str">
        <f t="shared" si="6"/>
        <v>#NAME?</v>
      </c>
      <c r="AC164" s="1" t="str">
        <f t="shared" si="7"/>
        <v>#NAME?</v>
      </c>
      <c r="AD164" s="1" t="str">
        <f t="shared" si="8"/>
        <v>#NAME?</v>
      </c>
    </row>
    <row r="165" ht="14.25" customHeight="1">
      <c r="H165" s="1">
        <f t="shared" si="9"/>
        <v>160</v>
      </c>
      <c r="I165" s="1">
        <f>WEEKDAY('daily graphs'!K165)</f>
        <v>5</v>
      </c>
      <c r="J165" s="1">
        <f t="shared" si="2"/>
        <v>3</v>
      </c>
      <c r="K165" s="1">
        <f t="shared" si="3"/>
        <v>6</v>
      </c>
      <c r="L165" s="23">
        <f>'daily graphs'!K165 - I165</f>
        <v>36680</v>
      </c>
      <c r="M165" s="24">
        <f t="shared" si="4"/>
        <v>-1000000</v>
      </c>
      <c r="N165" s="24" t="str">
        <f t="array" ref="N165">IF(M165&gt;0,INDEX(big_daily_table,MATCH(DATE(O$5,$K165,$J165),daily_dates,0),MATCH($B$3,daily_items,0)),NA())</f>
        <v>#N/A</v>
      </c>
      <c r="O165" s="1" t="str">
        <f t="array" ref="O165">IF(M165&lt;0,INDEX(big_daily_table,MATCH(DATE(O$5,$K165,$J165),daily_dates,0),MATCH($B$3,daily_items,0)),NA())</f>
        <v>#N/A</v>
      </c>
      <c r="P165" s="1" t="str">
        <f t="array" ref="P165">IF(ISBLANK(INDEX(big_daily_table,MATCH(DATE(P$5,$K165,$J165),daily_dates,0),MATCH($B$3,daily_items,0))),NA(),INDEX(big_daily_table,MATCH(DATE(P$5,$K165,$J165),daily_dates,0),MATCH($B$3,daily_items,0)))</f>
        <v>#N/A</v>
      </c>
      <c r="Q165" s="1" t="str">
        <f t="array" ref="Q165">IF(ISBLANK(INDEX(big_daily_table,MATCH(DATE(Q$5,$K165,$J165),daily_dates,0),MATCH($B$3,daily_items,0))),NA(),INDEX(big_daily_table,MATCH(DATE(Q$5,$K165,$J165),daily_dates,0),MATCH($B$3,daily_items,0)))</f>
        <v>#N/A</v>
      </c>
      <c r="R165" s="1" t="str">
        <f t="array" ref="R165">IF(ISBLANK(INDEX(big_daily_table,MATCH(DATE(R$5,$K165,$J165),daily_dates,0),MATCH($B$3,daily_items,0))),NA(),INDEX(big_daily_table,MATCH(DATE(R$5,$K165,$J165),daily_dates,0),MATCH($B$3,daily_items,0)))</f>
        <v>#N/A</v>
      </c>
      <c r="S165" s="1" t="str">
        <f t="array" ref="S165">IF(ISBLANK(INDEX(big_daily_table,MATCH(DATE(S$5,$K165,$J165),daily_dates,0),MATCH($B$3,daily_items,0))),NA(),INDEX(big_daily_table,MATCH(DATE(S$5,$K165,$J165),daily_dates,0),MATCH($B$3,daily_items,0)))</f>
        <v>#N/A</v>
      </c>
      <c r="T165" s="1" t="str">
        <f t="array" ref="T165">IF(ISBLANK(INDEX(big_daily_table,MATCH(DATE(T$5,$K165,$J165),daily_dates,0),MATCH($B$3,daily_items,0))),NA(),INDEX(big_daily_table,MATCH(DATE(T$5,$K165,$J165),daily_dates,0),MATCH($B$3,daily_items,0)))</f>
        <v>#N/A</v>
      </c>
      <c r="U165" s="1" t="str">
        <f t="array" ref="U165">IF(ISBLANK(INDEX(big_daily_table,MATCH(DATE(U$5,$K165,$J165),daily_dates,0),MATCH($B$3,daily_items,0))),NA(),INDEX(big_daily_table,MATCH(DATE(U$5,$K165,$J165),daily_dates,0),MATCH($B$3,daily_items,0)))</f>
        <v>#N/A</v>
      </c>
      <c r="V165" s="1" t="str">
        <f t="array" ref="V165">IF(ISBLANK(INDEX(big_daily_table,MATCH(DATE(V$5,$K165,$J165),daily_dates,0),MATCH($B$3,daily_items,0))),NA(),INDEX(big_daily_table,MATCH(DATE(V$5,$K165,$J165),daily_dates,0),MATCH($B$3,daily_items,0)))</f>
        <v>#N/A</v>
      </c>
      <c r="W165" s="1" t="str">
        <f t="array" ref="W165">IF(ISBLANK(INDEX(big_daily_table,MATCH(DATE(W$5,$K165,$J165),daily_dates,0),MATCH($B$3,daily_items,0))),NA(),INDEX(big_daily_table,MATCH(DATE(W$5,$K165,$J165),daily_dates,0),MATCH($B$3,daily_items,0)))</f>
        <v>#N/A</v>
      </c>
      <c r="X165" s="1" t="str">
        <f t="array" ref="X165">IF(ISBLANK(INDEX(big_daily_table,MATCH(DATE(X$5,$K165,$J165),daily_dates,0),MATCH($B$3,daily_items,0))),NA(),INDEX(big_daily_table,MATCH(DATE(X$5,$K165,$J165),daily_dates,0),MATCH($B$3,daily_items,0)))</f>
        <v>#N/A</v>
      </c>
      <c r="Y165" s="1" t="str">
        <f t="array" ref="Y165">IF(ISBLANK(INDEX(big_daily_table,MATCH(DATE(Y$5,$K165,$J165),daily_dates,0),MATCH($B$3,daily_items,0))),NA(),INDEX(big_daily_table,MATCH(DATE(Y$5,$K165,$J165),daily_dates,0),MATCH($B$3,daily_items,0)))</f>
        <v>#N/A</v>
      </c>
      <c r="Z165" s="1" t="str">
        <f t="array" ref="Z165">IF(ISBLANK(INDEX(big_daily_table,MATCH(DATE(Z$5,$K165,$J165),daily_dates,0),MATCH($B$3,daily_items,0))),NA(),INDEX(big_daily_table,MATCH(DATE(Z$5,$K165,$J165),daily_dates,0),MATCH($B$3,daily_items,0)))</f>
        <v>#N/A</v>
      </c>
      <c r="AA165" s="1" t="str">
        <f t="shared" si="5"/>
        <v>#NAME?</v>
      </c>
      <c r="AB165" s="1" t="str">
        <f t="shared" si="6"/>
        <v>#NAME?</v>
      </c>
      <c r="AC165" s="1" t="str">
        <f t="shared" si="7"/>
        <v>#NAME?</v>
      </c>
      <c r="AD165" s="1" t="str">
        <f t="shared" si="8"/>
        <v>#NAME?</v>
      </c>
    </row>
    <row r="166" ht="14.25" customHeight="1">
      <c r="H166" s="1">
        <f t="shared" si="9"/>
        <v>161</v>
      </c>
      <c r="I166" s="1">
        <f>WEEKDAY('daily graphs'!K166)</f>
        <v>6</v>
      </c>
      <c r="J166" s="1">
        <f t="shared" si="2"/>
        <v>3</v>
      </c>
      <c r="K166" s="1">
        <f t="shared" si="3"/>
        <v>6</v>
      </c>
      <c r="L166" s="23">
        <f>'daily graphs'!K166 - I166</f>
        <v>36680</v>
      </c>
      <c r="M166" s="24">
        <f t="shared" si="4"/>
        <v>-1000000</v>
      </c>
      <c r="N166" s="24" t="str">
        <f t="array" ref="N166">IF(M166&gt;0,INDEX(big_daily_table,MATCH(DATE(O$5,$K166,$J166),daily_dates,0),MATCH($B$3,daily_items,0)),NA())</f>
        <v>#N/A</v>
      </c>
      <c r="O166" s="1" t="str">
        <f t="array" ref="O166">IF(M166&lt;0,INDEX(big_daily_table,MATCH(DATE(O$5,$K166,$J166),daily_dates,0),MATCH($B$3,daily_items,0)),NA())</f>
        <v>#N/A</v>
      </c>
      <c r="P166" s="1" t="str">
        <f t="array" ref="P166">IF(ISBLANK(INDEX(big_daily_table,MATCH(DATE(P$5,$K166,$J166),daily_dates,0),MATCH($B$3,daily_items,0))),NA(),INDEX(big_daily_table,MATCH(DATE(P$5,$K166,$J166),daily_dates,0),MATCH($B$3,daily_items,0)))</f>
        <v>#N/A</v>
      </c>
      <c r="Q166" s="1" t="str">
        <f t="array" ref="Q166">IF(ISBLANK(INDEX(big_daily_table,MATCH(DATE(Q$5,$K166,$J166),daily_dates,0),MATCH($B$3,daily_items,0))),NA(),INDEX(big_daily_table,MATCH(DATE(Q$5,$K166,$J166),daily_dates,0),MATCH($B$3,daily_items,0)))</f>
        <v>#N/A</v>
      </c>
      <c r="R166" s="1" t="str">
        <f t="array" ref="R166">IF(ISBLANK(INDEX(big_daily_table,MATCH(DATE(R$5,$K166,$J166),daily_dates,0),MATCH($B$3,daily_items,0))),NA(),INDEX(big_daily_table,MATCH(DATE(R$5,$K166,$J166),daily_dates,0),MATCH($B$3,daily_items,0)))</f>
        <v>#N/A</v>
      </c>
      <c r="S166" s="1" t="str">
        <f t="array" ref="S166">IF(ISBLANK(INDEX(big_daily_table,MATCH(DATE(S$5,$K166,$J166),daily_dates,0),MATCH($B$3,daily_items,0))),NA(),INDEX(big_daily_table,MATCH(DATE(S$5,$K166,$J166),daily_dates,0),MATCH($B$3,daily_items,0)))</f>
        <v>#N/A</v>
      </c>
      <c r="T166" s="1" t="str">
        <f t="array" ref="T166">IF(ISBLANK(INDEX(big_daily_table,MATCH(DATE(T$5,$K166,$J166),daily_dates,0),MATCH($B$3,daily_items,0))),NA(),INDEX(big_daily_table,MATCH(DATE(T$5,$K166,$J166),daily_dates,0),MATCH($B$3,daily_items,0)))</f>
        <v>#N/A</v>
      </c>
      <c r="U166" s="1" t="str">
        <f t="array" ref="U166">IF(ISBLANK(INDEX(big_daily_table,MATCH(DATE(U$5,$K166,$J166),daily_dates,0),MATCH($B$3,daily_items,0))),NA(),INDEX(big_daily_table,MATCH(DATE(U$5,$K166,$J166),daily_dates,0),MATCH($B$3,daily_items,0)))</f>
        <v>#N/A</v>
      </c>
      <c r="V166" s="1" t="str">
        <f t="array" ref="V166">IF(ISBLANK(INDEX(big_daily_table,MATCH(DATE(V$5,$K166,$J166),daily_dates,0),MATCH($B$3,daily_items,0))),NA(),INDEX(big_daily_table,MATCH(DATE(V$5,$K166,$J166),daily_dates,0),MATCH($B$3,daily_items,0)))</f>
        <v>#N/A</v>
      </c>
      <c r="W166" s="1" t="str">
        <f t="array" ref="W166">IF(ISBLANK(INDEX(big_daily_table,MATCH(DATE(W$5,$K166,$J166),daily_dates,0),MATCH($B$3,daily_items,0))),NA(),INDEX(big_daily_table,MATCH(DATE(W$5,$K166,$J166),daily_dates,0),MATCH($B$3,daily_items,0)))</f>
        <v>#N/A</v>
      </c>
      <c r="X166" s="1" t="str">
        <f t="array" ref="X166">IF(ISBLANK(INDEX(big_daily_table,MATCH(DATE(X$5,$K166,$J166),daily_dates,0),MATCH($B$3,daily_items,0))),NA(),INDEX(big_daily_table,MATCH(DATE(X$5,$K166,$J166),daily_dates,0),MATCH($B$3,daily_items,0)))</f>
        <v>#N/A</v>
      </c>
      <c r="Y166" s="1" t="str">
        <f t="array" ref="Y166">IF(ISBLANK(INDEX(big_daily_table,MATCH(DATE(Y$5,$K166,$J166),daily_dates,0),MATCH($B$3,daily_items,0))),NA(),INDEX(big_daily_table,MATCH(DATE(Y$5,$K166,$J166),daily_dates,0),MATCH($B$3,daily_items,0)))</f>
        <v>#N/A</v>
      </c>
      <c r="Z166" s="1" t="str">
        <f t="array" ref="Z166">IF(ISBLANK(INDEX(big_daily_table,MATCH(DATE(Z$5,$K166,$J166),daily_dates,0),MATCH($B$3,daily_items,0))),NA(),INDEX(big_daily_table,MATCH(DATE(Z$5,$K166,$J166),daily_dates,0),MATCH($B$3,daily_items,0)))</f>
        <v>#N/A</v>
      </c>
      <c r="AA166" s="1" t="str">
        <f t="shared" si="5"/>
        <v>#NAME?</v>
      </c>
      <c r="AB166" s="1" t="str">
        <f t="shared" si="6"/>
        <v>#NAME?</v>
      </c>
      <c r="AC166" s="1" t="str">
        <f t="shared" si="7"/>
        <v>#NAME?</v>
      </c>
      <c r="AD166" s="1" t="str">
        <f t="shared" si="8"/>
        <v>#NAME?</v>
      </c>
    </row>
    <row r="167" ht="14.25" customHeight="1">
      <c r="H167" s="1">
        <f t="shared" si="9"/>
        <v>162</v>
      </c>
      <c r="I167" s="1">
        <f>WEEKDAY('daily graphs'!K167)</f>
        <v>7</v>
      </c>
      <c r="J167" s="1">
        <f t="shared" si="2"/>
        <v>3</v>
      </c>
      <c r="K167" s="1">
        <f t="shared" si="3"/>
        <v>6</v>
      </c>
      <c r="L167" s="23">
        <f>'daily graphs'!K167 - I167</f>
        <v>36680</v>
      </c>
      <c r="M167" s="24">
        <f t="shared" si="4"/>
        <v>-1000000</v>
      </c>
      <c r="N167" s="24" t="str">
        <f t="array" ref="N167">IF(M167&gt;0,INDEX(big_daily_table,MATCH(DATE(O$5,$K167,$J167),daily_dates,0),MATCH($B$3,daily_items,0)),NA())</f>
        <v>#N/A</v>
      </c>
      <c r="O167" s="1" t="str">
        <f t="array" ref="O167">IF(M167&lt;0,INDEX(big_daily_table,MATCH(DATE(O$5,$K167,$J167),daily_dates,0),MATCH($B$3,daily_items,0)),NA())</f>
        <v>#N/A</v>
      </c>
      <c r="P167" s="1" t="str">
        <f t="array" ref="P167">IF(ISBLANK(INDEX(big_daily_table,MATCH(DATE(P$5,$K167,$J167),daily_dates,0),MATCH($B$3,daily_items,0))),NA(),INDEX(big_daily_table,MATCH(DATE(P$5,$K167,$J167),daily_dates,0),MATCH($B$3,daily_items,0)))</f>
        <v>#N/A</v>
      </c>
      <c r="Q167" s="1" t="str">
        <f t="array" ref="Q167">IF(ISBLANK(INDEX(big_daily_table,MATCH(DATE(Q$5,$K167,$J167),daily_dates,0),MATCH($B$3,daily_items,0))),NA(),INDEX(big_daily_table,MATCH(DATE(Q$5,$K167,$J167),daily_dates,0),MATCH($B$3,daily_items,0)))</f>
        <v>#N/A</v>
      </c>
      <c r="R167" s="1" t="str">
        <f t="array" ref="R167">IF(ISBLANK(INDEX(big_daily_table,MATCH(DATE(R$5,$K167,$J167),daily_dates,0),MATCH($B$3,daily_items,0))),NA(),INDEX(big_daily_table,MATCH(DATE(R$5,$K167,$J167),daily_dates,0),MATCH($B$3,daily_items,0)))</f>
        <v>#N/A</v>
      </c>
      <c r="S167" s="1" t="str">
        <f t="array" ref="S167">IF(ISBLANK(INDEX(big_daily_table,MATCH(DATE(S$5,$K167,$J167),daily_dates,0),MATCH($B$3,daily_items,0))),NA(),INDEX(big_daily_table,MATCH(DATE(S$5,$K167,$J167),daily_dates,0),MATCH($B$3,daily_items,0)))</f>
        <v>#N/A</v>
      </c>
      <c r="T167" s="1" t="str">
        <f t="array" ref="T167">IF(ISBLANK(INDEX(big_daily_table,MATCH(DATE(T$5,$K167,$J167),daily_dates,0),MATCH($B$3,daily_items,0))),NA(),INDEX(big_daily_table,MATCH(DATE(T$5,$K167,$J167),daily_dates,0),MATCH($B$3,daily_items,0)))</f>
        <v>#N/A</v>
      </c>
      <c r="U167" s="1" t="str">
        <f t="array" ref="U167">IF(ISBLANK(INDEX(big_daily_table,MATCH(DATE(U$5,$K167,$J167),daily_dates,0),MATCH($B$3,daily_items,0))),NA(),INDEX(big_daily_table,MATCH(DATE(U$5,$K167,$J167),daily_dates,0),MATCH($B$3,daily_items,0)))</f>
        <v>#N/A</v>
      </c>
      <c r="V167" s="1" t="str">
        <f t="array" ref="V167">IF(ISBLANK(INDEX(big_daily_table,MATCH(DATE(V$5,$K167,$J167),daily_dates,0),MATCH($B$3,daily_items,0))),NA(),INDEX(big_daily_table,MATCH(DATE(V$5,$K167,$J167),daily_dates,0),MATCH($B$3,daily_items,0)))</f>
        <v>#N/A</v>
      </c>
      <c r="W167" s="1" t="str">
        <f t="array" ref="W167">IF(ISBLANK(INDEX(big_daily_table,MATCH(DATE(W$5,$K167,$J167),daily_dates,0),MATCH($B$3,daily_items,0))),NA(),INDEX(big_daily_table,MATCH(DATE(W$5,$K167,$J167),daily_dates,0),MATCH($B$3,daily_items,0)))</f>
        <v>#N/A</v>
      </c>
      <c r="X167" s="1" t="str">
        <f t="array" ref="X167">IF(ISBLANK(INDEX(big_daily_table,MATCH(DATE(X$5,$K167,$J167),daily_dates,0),MATCH($B$3,daily_items,0))),NA(),INDEX(big_daily_table,MATCH(DATE(X$5,$K167,$J167),daily_dates,0),MATCH($B$3,daily_items,0)))</f>
        <v>#N/A</v>
      </c>
      <c r="Y167" s="1" t="str">
        <f t="array" ref="Y167">IF(ISBLANK(INDEX(big_daily_table,MATCH(DATE(Y$5,$K167,$J167),daily_dates,0),MATCH($B$3,daily_items,0))),NA(),INDEX(big_daily_table,MATCH(DATE(Y$5,$K167,$J167),daily_dates,0),MATCH($B$3,daily_items,0)))</f>
        <v>#N/A</v>
      </c>
      <c r="Z167" s="1" t="str">
        <f t="array" ref="Z167">IF(ISBLANK(INDEX(big_daily_table,MATCH(DATE(Z$5,$K167,$J167),daily_dates,0),MATCH($B$3,daily_items,0))),NA(),INDEX(big_daily_table,MATCH(DATE(Z$5,$K167,$J167),daily_dates,0),MATCH($B$3,daily_items,0)))</f>
        <v>#N/A</v>
      </c>
      <c r="AA167" s="1" t="str">
        <f t="shared" si="5"/>
        <v>#NAME?</v>
      </c>
      <c r="AB167" s="1" t="str">
        <f t="shared" si="6"/>
        <v>#NAME?</v>
      </c>
      <c r="AC167" s="1" t="str">
        <f t="shared" si="7"/>
        <v>#NAME?</v>
      </c>
      <c r="AD167" s="1" t="str">
        <f t="shared" si="8"/>
        <v>#NAME?</v>
      </c>
    </row>
    <row r="168" ht="14.25" customHeight="1">
      <c r="H168" s="1">
        <f t="shared" si="9"/>
        <v>163</v>
      </c>
      <c r="I168" s="1">
        <f>WEEKDAY('daily graphs'!K168)</f>
        <v>1</v>
      </c>
      <c r="J168" s="1">
        <f t="shared" si="2"/>
        <v>10</v>
      </c>
      <c r="K168" s="1">
        <f t="shared" si="3"/>
        <v>6</v>
      </c>
      <c r="L168" s="23">
        <f>'daily graphs'!K168 - I168</f>
        <v>36687</v>
      </c>
      <c r="M168" s="24">
        <f t="shared" si="4"/>
        <v>-1000000</v>
      </c>
      <c r="N168" s="24" t="str">
        <f t="array" ref="N168">IF(M168&gt;0,INDEX(big_daily_table,MATCH(DATE(O$5,$K168,$J168),daily_dates,0),MATCH($B$3,daily_items,0)),NA())</f>
        <v>#N/A</v>
      </c>
      <c r="O168" s="1" t="str">
        <f t="array" ref="O168">IF(M168&lt;0,INDEX(big_daily_table,MATCH(DATE(O$5,$K168,$J168),daily_dates,0),MATCH($B$3,daily_items,0)),NA())</f>
        <v>#N/A</v>
      </c>
      <c r="P168" s="1" t="str">
        <f t="array" ref="P168">IF(ISBLANK(INDEX(big_daily_table,MATCH(DATE(P$5,$K168,$J168),daily_dates,0),MATCH($B$3,daily_items,0))),NA(),INDEX(big_daily_table,MATCH(DATE(P$5,$K168,$J168),daily_dates,0),MATCH($B$3,daily_items,0)))</f>
        <v>#N/A</v>
      </c>
      <c r="Q168" s="1" t="str">
        <f t="array" ref="Q168">IF(ISBLANK(INDEX(big_daily_table,MATCH(DATE(Q$5,$K168,$J168),daily_dates,0),MATCH($B$3,daily_items,0))),NA(),INDEX(big_daily_table,MATCH(DATE(Q$5,$K168,$J168),daily_dates,0),MATCH($B$3,daily_items,0)))</f>
        <v>#N/A</v>
      </c>
      <c r="R168" s="1" t="str">
        <f t="array" ref="R168">IF(ISBLANK(INDEX(big_daily_table,MATCH(DATE(R$5,$K168,$J168),daily_dates,0),MATCH($B$3,daily_items,0))),NA(),INDEX(big_daily_table,MATCH(DATE(R$5,$K168,$J168),daily_dates,0),MATCH($B$3,daily_items,0)))</f>
        <v>#N/A</v>
      </c>
      <c r="S168" s="1" t="str">
        <f t="array" ref="S168">IF(ISBLANK(INDEX(big_daily_table,MATCH(DATE(S$5,$K168,$J168),daily_dates,0),MATCH($B$3,daily_items,0))),NA(),INDEX(big_daily_table,MATCH(DATE(S$5,$K168,$J168),daily_dates,0),MATCH($B$3,daily_items,0)))</f>
        <v>#N/A</v>
      </c>
      <c r="T168" s="1" t="str">
        <f t="array" ref="T168">IF(ISBLANK(INDEX(big_daily_table,MATCH(DATE(T$5,$K168,$J168),daily_dates,0),MATCH($B$3,daily_items,0))),NA(),INDEX(big_daily_table,MATCH(DATE(T$5,$K168,$J168),daily_dates,0),MATCH($B$3,daily_items,0)))</f>
        <v>#N/A</v>
      </c>
      <c r="U168" s="1" t="str">
        <f t="array" ref="U168">IF(ISBLANK(INDEX(big_daily_table,MATCH(DATE(U$5,$K168,$J168),daily_dates,0),MATCH($B$3,daily_items,0))),NA(),INDEX(big_daily_table,MATCH(DATE(U$5,$K168,$J168),daily_dates,0),MATCH($B$3,daily_items,0)))</f>
        <v>#N/A</v>
      </c>
      <c r="V168" s="1" t="str">
        <f t="array" ref="V168">IF(ISBLANK(INDEX(big_daily_table,MATCH(DATE(V$5,$K168,$J168),daily_dates,0),MATCH($B$3,daily_items,0))),NA(),INDEX(big_daily_table,MATCH(DATE(V$5,$K168,$J168),daily_dates,0),MATCH($B$3,daily_items,0)))</f>
        <v>#N/A</v>
      </c>
      <c r="W168" s="1" t="str">
        <f t="array" ref="W168">IF(ISBLANK(INDEX(big_daily_table,MATCH(DATE(W$5,$K168,$J168),daily_dates,0),MATCH($B$3,daily_items,0))),NA(),INDEX(big_daily_table,MATCH(DATE(W$5,$K168,$J168),daily_dates,0),MATCH($B$3,daily_items,0)))</f>
        <v>#N/A</v>
      </c>
      <c r="X168" s="1" t="str">
        <f t="array" ref="X168">IF(ISBLANK(INDEX(big_daily_table,MATCH(DATE(X$5,$K168,$J168),daily_dates,0),MATCH($B$3,daily_items,0))),NA(),INDEX(big_daily_table,MATCH(DATE(X$5,$K168,$J168),daily_dates,0),MATCH($B$3,daily_items,0)))</f>
        <v>#N/A</v>
      </c>
      <c r="Y168" s="1" t="str">
        <f t="array" ref="Y168">IF(ISBLANK(INDEX(big_daily_table,MATCH(DATE(Y$5,$K168,$J168),daily_dates,0),MATCH($B$3,daily_items,0))),NA(),INDEX(big_daily_table,MATCH(DATE(Y$5,$K168,$J168),daily_dates,0),MATCH($B$3,daily_items,0)))</f>
        <v>#N/A</v>
      </c>
      <c r="Z168" s="1" t="str">
        <f t="array" ref="Z168">IF(ISBLANK(INDEX(big_daily_table,MATCH(DATE(Z$5,$K168,$J168),daily_dates,0),MATCH($B$3,daily_items,0))),NA(),INDEX(big_daily_table,MATCH(DATE(Z$5,$K168,$J168),daily_dates,0),MATCH($B$3,daily_items,0)))</f>
        <v>#N/A</v>
      </c>
      <c r="AA168" s="1" t="str">
        <f t="shared" si="5"/>
        <v>#NAME?</v>
      </c>
      <c r="AB168" s="1" t="str">
        <f t="shared" si="6"/>
        <v>#NAME?</v>
      </c>
      <c r="AC168" s="1" t="str">
        <f t="shared" si="7"/>
        <v>#NAME?</v>
      </c>
      <c r="AD168" s="1" t="str">
        <f t="shared" si="8"/>
        <v>#NAME?</v>
      </c>
    </row>
    <row r="169" ht="14.25" customHeight="1">
      <c r="H169" s="1">
        <f t="shared" si="9"/>
        <v>164</v>
      </c>
      <c r="I169" s="1">
        <f>WEEKDAY('daily graphs'!K169)</f>
        <v>2</v>
      </c>
      <c r="J169" s="1">
        <f t="shared" si="2"/>
        <v>10</v>
      </c>
      <c r="K169" s="1">
        <f t="shared" si="3"/>
        <v>6</v>
      </c>
      <c r="L169" s="23">
        <f>'daily graphs'!K169 - I169</f>
        <v>36687</v>
      </c>
      <c r="M169" s="24">
        <f t="shared" si="4"/>
        <v>-1000000</v>
      </c>
      <c r="N169" s="24" t="str">
        <f t="array" ref="N169">IF(M169&gt;0,INDEX(big_daily_table,MATCH(DATE(O$5,$K169,$J169),daily_dates,0),MATCH($B$3,daily_items,0)),NA())</f>
        <v>#N/A</v>
      </c>
      <c r="O169" s="1" t="str">
        <f t="array" ref="O169">IF(M169&lt;0,INDEX(big_daily_table,MATCH(DATE(O$5,$K169,$J169),daily_dates,0),MATCH($B$3,daily_items,0)),NA())</f>
        <v>#N/A</v>
      </c>
      <c r="P169" s="1" t="str">
        <f t="array" ref="P169">IF(ISBLANK(INDEX(big_daily_table,MATCH(DATE(P$5,$K169,$J169),daily_dates,0),MATCH($B$3,daily_items,0))),NA(),INDEX(big_daily_table,MATCH(DATE(P$5,$K169,$J169),daily_dates,0),MATCH($B$3,daily_items,0)))</f>
        <v>#N/A</v>
      </c>
      <c r="Q169" s="1" t="str">
        <f t="array" ref="Q169">IF(ISBLANK(INDEX(big_daily_table,MATCH(DATE(Q$5,$K169,$J169),daily_dates,0),MATCH($B$3,daily_items,0))),NA(),INDEX(big_daily_table,MATCH(DATE(Q$5,$K169,$J169),daily_dates,0),MATCH($B$3,daily_items,0)))</f>
        <v>#N/A</v>
      </c>
      <c r="R169" s="1" t="str">
        <f t="array" ref="R169">IF(ISBLANK(INDEX(big_daily_table,MATCH(DATE(R$5,$K169,$J169),daily_dates,0),MATCH($B$3,daily_items,0))),NA(),INDEX(big_daily_table,MATCH(DATE(R$5,$K169,$J169),daily_dates,0),MATCH($B$3,daily_items,0)))</f>
        <v>#N/A</v>
      </c>
      <c r="S169" s="1" t="str">
        <f t="array" ref="S169">IF(ISBLANK(INDEX(big_daily_table,MATCH(DATE(S$5,$K169,$J169),daily_dates,0),MATCH($B$3,daily_items,0))),NA(),INDEX(big_daily_table,MATCH(DATE(S$5,$K169,$J169),daily_dates,0),MATCH($B$3,daily_items,0)))</f>
        <v>#N/A</v>
      </c>
      <c r="T169" s="1" t="str">
        <f t="array" ref="T169">IF(ISBLANK(INDEX(big_daily_table,MATCH(DATE(T$5,$K169,$J169),daily_dates,0),MATCH($B$3,daily_items,0))),NA(),INDEX(big_daily_table,MATCH(DATE(T$5,$K169,$J169),daily_dates,0),MATCH($B$3,daily_items,0)))</f>
        <v>#N/A</v>
      </c>
      <c r="U169" s="1" t="str">
        <f t="array" ref="U169">IF(ISBLANK(INDEX(big_daily_table,MATCH(DATE(U$5,$K169,$J169),daily_dates,0),MATCH($B$3,daily_items,0))),NA(),INDEX(big_daily_table,MATCH(DATE(U$5,$K169,$J169),daily_dates,0),MATCH($B$3,daily_items,0)))</f>
        <v>#N/A</v>
      </c>
      <c r="V169" s="1" t="str">
        <f t="array" ref="V169">IF(ISBLANK(INDEX(big_daily_table,MATCH(DATE(V$5,$K169,$J169),daily_dates,0),MATCH($B$3,daily_items,0))),NA(),INDEX(big_daily_table,MATCH(DATE(V$5,$K169,$J169),daily_dates,0),MATCH($B$3,daily_items,0)))</f>
        <v>#N/A</v>
      </c>
      <c r="W169" s="1" t="str">
        <f t="array" ref="W169">IF(ISBLANK(INDEX(big_daily_table,MATCH(DATE(W$5,$K169,$J169),daily_dates,0),MATCH($B$3,daily_items,0))),NA(),INDEX(big_daily_table,MATCH(DATE(W$5,$K169,$J169),daily_dates,0),MATCH($B$3,daily_items,0)))</f>
        <v>#N/A</v>
      </c>
      <c r="X169" s="1" t="str">
        <f t="array" ref="X169">IF(ISBLANK(INDEX(big_daily_table,MATCH(DATE(X$5,$K169,$J169),daily_dates,0),MATCH($B$3,daily_items,0))),NA(),INDEX(big_daily_table,MATCH(DATE(X$5,$K169,$J169),daily_dates,0),MATCH($B$3,daily_items,0)))</f>
        <v>#N/A</v>
      </c>
      <c r="Y169" s="1" t="str">
        <f t="array" ref="Y169">IF(ISBLANK(INDEX(big_daily_table,MATCH(DATE(Y$5,$K169,$J169),daily_dates,0),MATCH($B$3,daily_items,0))),NA(),INDEX(big_daily_table,MATCH(DATE(Y$5,$K169,$J169),daily_dates,0),MATCH($B$3,daily_items,0)))</f>
        <v>#N/A</v>
      </c>
      <c r="Z169" s="1" t="str">
        <f t="array" ref="Z169">IF(ISBLANK(INDEX(big_daily_table,MATCH(DATE(Z$5,$K169,$J169),daily_dates,0),MATCH($B$3,daily_items,0))),NA(),INDEX(big_daily_table,MATCH(DATE(Z$5,$K169,$J169),daily_dates,0),MATCH($B$3,daily_items,0)))</f>
        <v>#N/A</v>
      </c>
      <c r="AA169" s="1" t="str">
        <f t="shared" si="5"/>
        <v>#NAME?</v>
      </c>
      <c r="AB169" s="1" t="str">
        <f t="shared" si="6"/>
        <v>#NAME?</v>
      </c>
      <c r="AC169" s="1" t="str">
        <f t="shared" si="7"/>
        <v>#NAME?</v>
      </c>
      <c r="AD169" s="1" t="str">
        <f t="shared" si="8"/>
        <v>#NAME?</v>
      </c>
    </row>
    <row r="170" ht="14.25" customHeight="1">
      <c r="H170" s="1">
        <f t="shared" si="9"/>
        <v>165</v>
      </c>
      <c r="I170" s="1">
        <f>WEEKDAY('daily graphs'!K170)</f>
        <v>3</v>
      </c>
      <c r="J170" s="1">
        <f t="shared" si="2"/>
        <v>10</v>
      </c>
      <c r="K170" s="1">
        <f t="shared" si="3"/>
        <v>6</v>
      </c>
      <c r="L170" s="23">
        <f>'daily graphs'!K170 - I170</f>
        <v>36687</v>
      </c>
      <c r="M170" s="24">
        <f t="shared" si="4"/>
        <v>-1000000</v>
      </c>
      <c r="N170" s="24" t="str">
        <f t="array" ref="N170">IF(M170&gt;0,INDEX(big_daily_table,MATCH(DATE(O$5,$K170,$J170),daily_dates,0),MATCH($B$3,daily_items,0)),NA())</f>
        <v>#N/A</v>
      </c>
      <c r="O170" s="1" t="str">
        <f t="array" ref="O170">IF(M170&lt;0,INDEX(big_daily_table,MATCH(DATE(O$5,$K170,$J170),daily_dates,0),MATCH($B$3,daily_items,0)),NA())</f>
        <v>#N/A</v>
      </c>
      <c r="P170" s="1" t="str">
        <f t="array" ref="P170">IF(ISBLANK(INDEX(big_daily_table,MATCH(DATE(P$5,$K170,$J170),daily_dates,0),MATCH($B$3,daily_items,0))),NA(),INDEX(big_daily_table,MATCH(DATE(P$5,$K170,$J170),daily_dates,0),MATCH($B$3,daily_items,0)))</f>
        <v>#N/A</v>
      </c>
      <c r="Q170" s="1" t="str">
        <f t="array" ref="Q170">IF(ISBLANK(INDEX(big_daily_table,MATCH(DATE(Q$5,$K170,$J170),daily_dates,0),MATCH($B$3,daily_items,0))),NA(),INDEX(big_daily_table,MATCH(DATE(Q$5,$K170,$J170),daily_dates,0),MATCH($B$3,daily_items,0)))</f>
        <v>#N/A</v>
      </c>
      <c r="R170" s="1" t="str">
        <f t="array" ref="R170">IF(ISBLANK(INDEX(big_daily_table,MATCH(DATE(R$5,$K170,$J170),daily_dates,0),MATCH($B$3,daily_items,0))),NA(),INDEX(big_daily_table,MATCH(DATE(R$5,$K170,$J170),daily_dates,0),MATCH($B$3,daily_items,0)))</f>
        <v>#N/A</v>
      </c>
      <c r="S170" s="1" t="str">
        <f t="array" ref="S170">IF(ISBLANK(INDEX(big_daily_table,MATCH(DATE(S$5,$K170,$J170),daily_dates,0),MATCH($B$3,daily_items,0))),NA(),INDEX(big_daily_table,MATCH(DATE(S$5,$K170,$J170),daily_dates,0),MATCH($B$3,daily_items,0)))</f>
        <v>#N/A</v>
      </c>
      <c r="T170" s="1" t="str">
        <f t="array" ref="T170">IF(ISBLANK(INDEX(big_daily_table,MATCH(DATE(T$5,$K170,$J170),daily_dates,0),MATCH($B$3,daily_items,0))),NA(),INDEX(big_daily_table,MATCH(DATE(T$5,$K170,$J170),daily_dates,0),MATCH($B$3,daily_items,0)))</f>
        <v>#N/A</v>
      </c>
      <c r="U170" s="1" t="str">
        <f t="array" ref="U170">IF(ISBLANK(INDEX(big_daily_table,MATCH(DATE(U$5,$K170,$J170),daily_dates,0),MATCH($B$3,daily_items,0))),NA(),INDEX(big_daily_table,MATCH(DATE(U$5,$K170,$J170),daily_dates,0),MATCH($B$3,daily_items,0)))</f>
        <v>#N/A</v>
      </c>
      <c r="V170" s="1" t="str">
        <f t="array" ref="V170">IF(ISBLANK(INDEX(big_daily_table,MATCH(DATE(V$5,$K170,$J170),daily_dates,0),MATCH($B$3,daily_items,0))),NA(),INDEX(big_daily_table,MATCH(DATE(V$5,$K170,$J170),daily_dates,0),MATCH($B$3,daily_items,0)))</f>
        <v>#N/A</v>
      </c>
      <c r="W170" s="1" t="str">
        <f t="array" ref="W170">IF(ISBLANK(INDEX(big_daily_table,MATCH(DATE(W$5,$K170,$J170),daily_dates,0),MATCH($B$3,daily_items,0))),NA(),INDEX(big_daily_table,MATCH(DATE(W$5,$K170,$J170),daily_dates,0),MATCH($B$3,daily_items,0)))</f>
        <v>#N/A</v>
      </c>
      <c r="X170" s="1" t="str">
        <f t="array" ref="X170">IF(ISBLANK(INDEX(big_daily_table,MATCH(DATE(X$5,$K170,$J170),daily_dates,0),MATCH($B$3,daily_items,0))),NA(),INDEX(big_daily_table,MATCH(DATE(X$5,$K170,$J170),daily_dates,0),MATCH($B$3,daily_items,0)))</f>
        <v>#N/A</v>
      </c>
      <c r="Y170" s="1" t="str">
        <f t="array" ref="Y170">IF(ISBLANK(INDEX(big_daily_table,MATCH(DATE(Y$5,$K170,$J170),daily_dates,0),MATCH($B$3,daily_items,0))),NA(),INDEX(big_daily_table,MATCH(DATE(Y$5,$K170,$J170),daily_dates,0),MATCH($B$3,daily_items,0)))</f>
        <v>#N/A</v>
      </c>
      <c r="Z170" s="1" t="str">
        <f t="array" ref="Z170">IF(ISBLANK(INDEX(big_daily_table,MATCH(DATE(Z$5,$K170,$J170),daily_dates,0),MATCH($B$3,daily_items,0))),NA(),INDEX(big_daily_table,MATCH(DATE(Z$5,$K170,$J170),daily_dates,0),MATCH($B$3,daily_items,0)))</f>
        <v>#N/A</v>
      </c>
      <c r="AA170" s="1" t="str">
        <f t="shared" si="5"/>
        <v>#NAME?</v>
      </c>
      <c r="AB170" s="1" t="str">
        <f t="shared" si="6"/>
        <v>#NAME?</v>
      </c>
      <c r="AC170" s="1" t="str">
        <f t="shared" si="7"/>
        <v>#NAME?</v>
      </c>
      <c r="AD170" s="1" t="str">
        <f t="shared" si="8"/>
        <v>#NAME?</v>
      </c>
    </row>
    <row r="171" ht="14.25" customHeight="1">
      <c r="H171" s="1">
        <f t="shared" si="9"/>
        <v>166</v>
      </c>
      <c r="I171" s="1">
        <f>WEEKDAY('daily graphs'!K171)</f>
        <v>4</v>
      </c>
      <c r="J171" s="1">
        <f t="shared" si="2"/>
        <v>10</v>
      </c>
      <c r="K171" s="1">
        <f t="shared" si="3"/>
        <v>6</v>
      </c>
      <c r="L171" s="23">
        <f>'daily graphs'!K171 - I171</f>
        <v>36687</v>
      </c>
      <c r="M171" s="24">
        <f t="shared" si="4"/>
        <v>-1000000</v>
      </c>
      <c r="N171" s="24" t="str">
        <f t="array" ref="N171">IF(M171&gt;0,INDEX(big_daily_table,MATCH(DATE(O$5,$K171,$J171),daily_dates,0),MATCH($B$3,daily_items,0)),NA())</f>
        <v>#N/A</v>
      </c>
      <c r="O171" s="1" t="str">
        <f t="array" ref="O171">IF(M171&lt;0,INDEX(big_daily_table,MATCH(DATE(O$5,$K171,$J171),daily_dates,0),MATCH($B$3,daily_items,0)),NA())</f>
        <v>#N/A</v>
      </c>
      <c r="P171" s="1" t="str">
        <f t="array" ref="P171">IF(ISBLANK(INDEX(big_daily_table,MATCH(DATE(P$5,$K171,$J171),daily_dates,0),MATCH($B$3,daily_items,0))),NA(),INDEX(big_daily_table,MATCH(DATE(P$5,$K171,$J171),daily_dates,0),MATCH($B$3,daily_items,0)))</f>
        <v>#N/A</v>
      </c>
      <c r="Q171" s="1" t="str">
        <f t="array" ref="Q171">IF(ISBLANK(INDEX(big_daily_table,MATCH(DATE(Q$5,$K171,$J171),daily_dates,0),MATCH($B$3,daily_items,0))),NA(),INDEX(big_daily_table,MATCH(DATE(Q$5,$K171,$J171),daily_dates,0),MATCH($B$3,daily_items,0)))</f>
        <v>#N/A</v>
      </c>
      <c r="R171" s="1" t="str">
        <f t="array" ref="R171">IF(ISBLANK(INDEX(big_daily_table,MATCH(DATE(R$5,$K171,$J171),daily_dates,0),MATCH($B$3,daily_items,0))),NA(),INDEX(big_daily_table,MATCH(DATE(R$5,$K171,$J171),daily_dates,0),MATCH($B$3,daily_items,0)))</f>
        <v>#N/A</v>
      </c>
      <c r="S171" s="1" t="str">
        <f t="array" ref="S171">IF(ISBLANK(INDEX(big_daily_table,MATCH(DATE(S$5,$K171,$J171),daily_dates,0),MATCH($B$3,daily_items,0))),NA(),INDEX(big_daily_table,MATCH(DATE(S$5,$K171,$J171),daily_dates,0),MATCH($B$3,daily_items,0)))</f>
        <v>#N/A</v>
      </c>
      <c r="T171" s="1" t="str">
        <f t="array" ref="T171">IF(ISBLANK(INDEX(big_daily_table,MATCH(DATE(T$5,$K171,$J171),daily_dates,0),MATCH($B$3,daily_items,0))),NA(),INDEX(big_daily_table,MATCH(DATE(T$5,$K171,$J171),daily_dates,0),MATCH($B$3,daily_items,0)))</f>
        <v>#N/A</v>
      </c>
      <c r="U171" s="1" t="str">
        <f t="array" ref="U171">IF(ISBLANK(INDEX(big_daily_table,MATCH(DATE(U$5,$K171,$J171),daily_dates,0),MATCH($B$3,daily_items,0))),NA(),INDEX(big_daily_table,MATCH(DATE(U$5,$K171,$J171),daily_dates,0),MATCH($B$3,daily_items,0)))</f>
        <v>#N/A</v>
      </c>
      <c r="V171" s="1" t="str">
        <f t="array" ref="V171">IF(ISBLANK(INDEX(big_daily_table,MATCH(DATE(V$5,$K171,$J171),daily_dates,0),MATCH($B$3,daily_items,0))),NA(),INDEX(big_daily_table,MATCH(DATE(V$5,$K171,$J171),daily_dates,0),MATCH($B$3,daily_items,0)))</f>
        <v>#N/A</v>
      </c>
      <c r="W171" s="1" t="str">
        <f t="array" ref="W171">IF(ISBLANK(INDEX(big_daily_table,MATCH(DATE(W$5,$K171,$J171),daily_dates,0),MATCH($B$3,daily_items,0))),NA(),INDEX(big_daily_table,MATCH(DATE(W$5,$K171,$J171),daily_dates,0),MATCH($B$3,daily_items,0)))</f>
        <v>#N/A</v>
      </c>
      <c r="X171" s="1" t="str">
        <f t="array" ref="X171">IF(ISBLANK(INDEX(big_daily_table,MATCH(DATE(X$5,$K171,$J171),daily_dates,0),MATCH($B$3,daily_items,0))),NA(),INDEX(big_daily_table,MATCH(DATE(X$5,$K171,$J171),daily_dates,0),MATCH($B$3,daily_items,0)))</f>
        <v>#N/A</v>
      </c>
      <c r="Y171" s="1" t="str">
        <f t="array" ref="Y171">IF(ISBLANK(INDEX(big_daily_table,MATCH(DATE(Y$5,$K171,$J171),daily_dates,0),MATCH($B$3,daily_items,0))),NA(),INDEX(big_daily_table,MATCH(DATE(Y$5,$K171,$J171),daily_dates,0),MATCH($B$3,daily_items,0)))</f>
        <v>#N/A</v>
      </c>
      <c r="Z171" s="1" t="str">
        <f t="array" ref="Z171">IF(ISBLANK(INDEX(big_daily_table,MATCH(DATE(Z$5,$K171,$J171),daily_dates,0),MATCH($B$3,daily_items,0))),NA(),INDEX(big_daily_table,MATCH(DATE(Z$5,$K171,$J171),daily_dates,0),MATCH($B$3,daily_items,0)))</f>
        <v>#N/A</v>
      </c>
      <c r="AA171" s="1" t="str">
        <f t="shared" si="5"/>
        <v>#NAME?</v>
      </c>
      <c r="AB171" s="1" t="str">
        <f t="shared" si="6"/>
        <v>#NAME?</v>
      </c>
      <c r="AC171" s="1" t="str">
        <f t="shared" si="7"/>
        <v>#NAME?</v>
      </c>
      <c r="AD171" s="1" t="str">
        <f t="shared" si="8"/>
        <v>#NAME?</v>
      </c>
    </row>
    <row r="172" ht="14.25" customHeight="1">
      <c r="H172" s="1">
        <f t="shared" si="9"/>
        <v>167</v>
      </c>
      <c r="I172" s="1">
        <f>WEEKDAY('daily graphs'!K172)</f>
        <v>5</v>
      </c>
      <c r="J172" s="1">
        <f t="shared" si="2"/>
        <v>10</v>
      </c>
      <c r="K172" s="1">
        <f t="shared" si="3"/>
        <v>6</v>
      </c>
      <c r="L172" s="23">
        <f>'daily graphs'!K172 - I172</f>
        <v>36687</v>
      </c>
      <c r="M172" s="24">
        <f t="shared" si="4"/>
        <v>-1000000</v>
      </c>
      <c r="N172" s="24" t="str">
        <f t="array" ref="N172">IF(M172&gt;0,INDEX(big_daily_table,MATCH(DATE(O$5,$K172,$J172),daily_dates,0),MATCH($B$3,daily_items,0)),NA())</f>
        <v>#N/A</v>
      </c>
      <c r="O172" s="1" t="str">
        <f t="array" ref="O172">IF(M172&lt;0,INDEX(big_daily_table,MATCH(DATE(O$5,$K172,$J172),daily_dates,0),MATCH($B$3,daily_items,0)),NA())</f>
        <v>#N/A</v>
      </c>
      <c r="P172" s="1" t="str">
        <f t="array" ref="P172">IF(ISBLANK(INDEX(big_daily_table,MATCH(DATE(P$5,$K172,$J172),daily_dates,0),MATCH($B$3,daily_items,0))),NA(),INDEX(big_daily_table,MATCH(DATE(P$5,$K172,$J172),daily_dates,0),MATCH($B$3,daily_items,0)))</f>
        <v>#N/A</v>
      </c>
      <c r="Q172" s="1" t="str">
        <f t="array" ref="Q172">IF(ISBLANK(INDEX(big_daily_table,MATCH(DATE(Q$5,$K172,$J172),daily_dates,0),MATCH($B$3,daily_items,0))),NA(),INDEX(big_daily_table,MATCH(DATE(Q$5,$K172,$J172),daily_dates,0),MATCH($B$3,daily_items,0)))</f>
        <v>#N/A</v>
      </c>
      <c r="R172" s="1" t="str">
        <f t="array" ref="R172">IF(ISBLANK(INDEX(big_daily_table,MATCH(DATE(R$5,$K172,$J172),daily_dates,0),MATCH($B$3,daily_items,0))),NA(),INDEX(big_daily_table,MATCH(DATE(R$5,$K172,$J172),daily_dates,0),MATCH($B$3,daily_items,0)))</f>
        <v>#N/A</v>
      </c>
      <c r="S172" s="1" t="str">
        <f t="array" ref="S172">IF(ISBLANK(INDEX(big_daily_table,MATCH(DATE(S$5,$K172,$J172),daily_dates,0),MATCH($B$3,daily_items,0))),NA(),INDEX(big_daily_table,MATCH(DATE(S$5,$K172,$J172),daily_dates,0),MATCH($B$3,daily_items,0)))</f>
        <v>#N/A</v>
      </c>
      <c r="T172" s="1" t="str">
        <f t="array" ref="T172">IF(ISBLANK(INDEX(big_daily_table,MATCH(DATE(T$5,$K172,$J172),daily_dates,0),MATCH($B$3,daily_items,0))),NA(),INDEX(big_daily_table,MATCH(DATE(T$5,$K172,$J172),daily_dates,0),MATCH($B$3,daily_items,0)))</f>
        <v>#N/A</v>
      </c>
      <c r="U172" s="1" t="str">
        <f t="array" ref="U172">IF(ISBLANK(INDEX(big_daily_table,MATCH(DATE(U$5,$K172,$J172),daily_dates,0),MATCH($B$3,daily_items,0))),NA(),INDEX(big_daily_table,MATCH(DATE(U$5,$K172,$J172),daily_dates,0),MATCH($B$3,daily_items,0)))</f>
        <v>#N/A</v>
      </c>
      <c r="V172" s="1" t="str">
        <f t="array" ref="V172">IF(ISBLANK(INDEX(big_daily_table,MATCH(DATE(V$5,$K172,$J172),daily_dates,0),MATCH($B$3,daily_items,0))),NA(),INDEX(big_daily_table,MATCH(DATE(V$5,$K172,$J172),daily_dates,0),MATCH($B$3,daily_items,0)))</f>
        <v>#N/A</v>
      </c>
      <c r="W172" s="1" t="str">
        <f t="array" ref="W172">IF(ISBLANK(INDEX(big_daily_table,MATCH(DATE(W$5,$K172,$J172),daily_dates,0),MATCH($B$3,daily_items,0))),NA(),INDEX(big_daily_table,MATCH(DATE(W$5,$K172,$J172),daily_dates,0),MATCH($B$3,daily_items,0)))</f>
        <v>#N/A</v>
      </c>
      <c r="X172" s="1" t="str">
        <f t="array" ref="X172">IF(ISBLANK(INDEX(big_daily_table,MATCH(DATE(X$5,$K172,$J172),daily_dates,0),MATCH($B$3,daily_items,0))),NA(),INDEX(big_daily_table,MATCH(DATE(X$5,$K172,$J172),daily_dates,0),MATCH($B$3,daily_items,0)))</f>
        <v>#N/A</v>
      </c>
      <c r="Y172" s="1" t="str">
        <f t="array" ref="Y172">IF(ISBLANK(INDEX(big_daily_table,MATCH(DATE(Y$5,$K172,$J172),daily_dates,0),MATCH($B$3,daily_items,0))),NA(),INDEX(big_daily_table,MATCH(DATE(Y$5,$K172,$J172),daily_dates,0),MATCH($B$3,daily_items,0)))</f>
        <v>#N/A</v>
      </c>
      <c r="Z172" s="1" t="str">
        <f t="array" ref="Z172">IF(ISBLANK(INDEX(big_daily_table,MATCH(DATE(Z$5,$K172,$J172),daily_dates,0),MATCH($B$3,daily_items,0))),NA(),INDEX(big_daily_table,MATCH(DATE(Z$5,$K172,$J172),daily_dates,0),MATCH($B$3,daily_items,0)))</f>
        <v>#N/A</v>
      </c>
      <c r="AA172" s="1" t="str">
        <f t="shared" si="5"/>
        <v>#NAME?</v>
      </c>
      <c r="AB172" s="1" t="str">
        <f t="shared" si="6"/>
        <v>#NAME?</v>
      </c>
      <c r="AC172" s="1" t="str">
        <f t="shared" si="7"/>
        <v>#NAME?</v>
      </c>
      <c r="AD172" s="1" t="str">
        <f t="shared" si="8"/>
        <v>#NAME?</v>
      </c>
    </row>
    <row r="173" ht="14.25" customHeight="1">
      <c r="H173" s="1">
        <f t="shared" si="9"/>
        <v>168</v>
      </c>
      <c r="I173" s="1">
        <f>WEEKDAY('daily graphs'!K173)</f>
        <v>6</v>
      </c>
      <c r="J173" s="1">
        <f t="shared" si="2"/>
        <v>10</v>
      </c>
      <c r="K173" s="1">
        <f t="shared" si="3"/>
        <v>6</v>
      </c>
      <c r="L173" s="23">
        <f>'daily graphs'!K173 - I173</f>
        <v>36687</v>
      </c>
      <c r="M173" s="24">
        <f t="shared" si="4"/>
        <v>-1000000</v>
      </c>
      <c r="N173" s="24" t="str">
        <f t="array" ref="N173">IF(M173&gt;0,INDEX(big_daily_table,MATCH(DATE(O$5,$K173,$J173),daily_dates,0),MATCH($B$3,daily_items,0)),NA())</f>
        <v>#N/A</v>
      </c>
      <c r="O173" s="1" t="str">
        <f t="array" ref="O173">IF(M173&lt;0,INDEX(big_daily_table,MATCH(DATE(O$5,$K173,$J173),daily_dates,0),MATCH($B$3,daily_items,0)),NA())</f>
        <v>#N/A</v>
      </c>
      <c r="P173" s="1" t="str">
        <f t="array" ref="P173">IF(ISBLANK(INDEX(big_daily_table,MATCH(DATE(P$5,$K173,$J173),daily_dates,0),MATCH($B$3,daily_items,0))),NA(),INDEX(big_daily_table,MATCH(DATE(P$5,$K173,$J173),daily_dates,0),MATCH($B$3,daily_items,0)))</f>
        <v>#N/A</v>
      </c>
      <c r="Q173" s="1" t="str">
        <f t="array" ref="Q173">IF(ISBLANK(INDEX(big_daily_table,MATCH(DATE(Q$5,$K173,$J173),daily_dates,0),MATCH($B$3,daily_items,0))),NA(),INDEX(big_daily_table,MATCH(DATE(Q$5,$K173,$J173),daily_dates,0),MATCH($B$3,daily_items,0)))</f>
        <v>#N/A</v>
      </c>
      <c r="R173" s="1" t="str">
        <f t="array" ref="R173">IF(ISBLANK(INDEX(big_daily_table,MATCH(DATE(R$5,$K173,$J173),daily_dates,0),MATCH($B$3,daily_items,0))),NA(),INDEX(big_daily_table,MATCH(DATE(R$5,$K173,$J173),daily_dates,0),MATCH($B$3,daily_items,0)))</f>
        <v>#N/A</v>
      </c>
      <c r="S173" s="1" t="str">
        <f t="array" ref="S173">IF(ISBLANK(INDEX(big_daily_table,MATCH(DATE(S$5,$K173,$J173),daily_dates,0),MATCH($B$3,daily_items,0))),NA(),INDEX(big_daily_table,MATCH(DATE(S$5,$K173,$J173),daily_dates,0),MATCH($B$3,daily_items,0)))</f>
        <v>#N/A</v>
      </c>
      <c r="T173" s="1" t="str">
        <f t="array" ref="T173">IF(ISBLANK(INDEX(big_daily_table,MATCH(DATE(T$5,$K173,$J173),daily_dates,0),MATCH($B$3,daily_items,0))),NA(),INDEX(big_daily_table,MATCH(DATE(T$5,$K173,$J173),daily_dates,0),MATCH($B$3,daily_items,0)))</f>
        <v>#N/A</v>
      </c>
      <c r="U173" s="1" t="str">
        <f t="array" ref="U173">IF(ISBLANK(INDEX(big_daily_table,MATCH(DATE(U$5,$K173,$J173),daily_dates,0),MATCH($B$3,daily_items,0))),NA(),INDEX(big_daily_table,MATCH(DATE(U$5,$K173,$J173),daily_dates,0),MATCH($B$3,daily_items,0)))</f>
        <v>#N/A</v>
      </c>
      <c r="V173" s="1" t="str">
        <f t="array" ref="V173">IF(ISBLANK(INDEX(big_daily_table,MATCH(DATE(V$5,$K173,$J173),daily_dates,0),MATCH($B$3,daily_items,0))),NA(),INDEX(big_daily_table,MATCH(DATE(V$5,$K173,$J173),daily_dates,0),MATCH($B$3,daily_items,0)))</f>
        <v>#N/A</v>
      </c>
      <c r="W173" s="1" t="str">
        <f t="array" ref="W173">IF(ISBLANK(INDEX(big_daily_table,MATCH(DATE(W$5,$K173,$J173),daily_dates,0),MATCH($B$3,daily_items,0))),NA(),INDEX(big_daily_table,MATCH(DATE(W$5,$K173,$J173),daily_dates,0),MATCH($B$3,daily_items,0)))</f>
        <v>#N/A</v>
      </c>
      <c r="X173" s="1" t="str">
        <f t="array" ref="X173">IF(ISBLANK(INDEX(big_daily_table,MATCH(DATE(X$5,$K173,$J173),daily_dates,0),MATCH($B$3,daily_items,0))),NA(),INDEX(big_daily_table,MATCH(DATE(X$5,$K173,$J173),daily_dates,0),MATCH($B$3,daily_items,0)))</f>
        <v>#N/A</v>
      </c>
      <c r="Y173" s="1" t="str">
        <f t="array" ref="Y173">IF(ISBLANK(INDEX(big_daily_table,MATCH(DATE(Y$5,$K173,$J173),daily_dates,0),MATCH($B$3,daily_items,0))),NA(),INDEX(big_daily_table,MATCH(DATE(Y$5,$K173,$J173),daily_dates,0),MATCH($B$3,daily_items,0)))</f>
        <v>#N/A</v>
      </c>
      <c r="Z173" s="1" t="str">
        <f t="array" ref="Z173">IF(ISBLANK(INDEX(big_daily_table,MATCH(DATE(Z$5,$K173,$J173),daily_dates,0),MATCH($B$3,daily_items,0))),NA(),INDEX(big_daily_table,MATCH(DATE(Z$5,$K173,$J173),daily_dates,0),MATCH($B$3,daily_items,0)))</f>
        <v>#N/A</v>
      </c>
      <c r="AA173" s="1" t="str">
        <f t="shared" si="5"/>
        <v>#NAME?</v>
      </c>
      <c r="AB173" s="1" t="str">
        <f t="shared" si="6"/>
        <v>#NAME?</v>
      </c>
      <c r="AC173" s="1" t="str">
        <f t="shared" si="7"/>
        <v>#NAME?</v>
      </c>
      <c r="AD173" s="1" t="str">
        <f t="shared" si="8"/>
        <v>#NAME?</v>
      </c>
    </row>
    <row r="174" ht="14.25" customHeight="1">
      <c r="H174" s="1">
        <f t="shared" si="9"/>
        <v>169</v>
      </c>
      <c r="I174" s="1">
        <f>WEEKDAY('daily graphs'!K174)</f>
        <v>7</v>
      </c>
      <c r="J174" s="1">
        <f t="shared" si="2"/>
        <v>10</v>
      </c>
      <c r="K174" s="1">
        <f t="shared" si="3"/>
        <v>6</v>
      </c>
      <c r="L174" s="23">
        <f>'daily graphs'!K174 - I174</f>
        <v>36687</v>
      </c>
      <c r="M174" s="24">
        <f t="shared" si="4"/>
        <v>-1000000</v>
      </c>
      <c r="N174" s="24" t="str">
        <f t="array" ref="N174">IF(M174&gt;0,INDEX(big_daily_table,MATCH(DATE(O$5,$K174,$J174),daily_dates,0),MATCH($B$3,daily_items,0)),NA())</f>
        <v>#N/A</v>
      </c>
      <c r="O174" s="1" t="str">
        <f t="array" ref="O174">IF(M174&lt;0,INDEX(big_daily_table,MATCH(DATE(O$5,$K174,$J174),daily_dates,0),MATCH($B$3,daily_items,0)),NA())</f>
        <v>#N/A</v>
      </c>
      <c r="P174" s="1" t="str">
        <f t="array" ref="P174">IF(ISBLANK(INDEX(big_daily_table,MATCH(DATE(P$5,$K174,$J174),daily_dates,0),MATCH($B$3,daily_items,0))),NA(),INDEX(big_daily_table,MATCH(DATE(P$5,$K174,$J174),daily_dates,0),MATCH($B$3,daily_items,0)))</f>
        <v>#N/A</v>
      </c>
      <c r="Q174" s="1" t="str">
        <f t="array" ref="Q174">IF(ISBLANK(INDEX(big_daily_table,MATCH(DATE(Q$5,$K174,$J174),daily_dates,0),MATCH($B$3,daily_items,0))),NA(),INDEX(big_daily_table,MATCH(DATE(Q$5,$K174,$J174),daily_dates,0),MATCH($B$3,daily_items,0)))</f>
        <v>#N/A</v>
      </c>
      <c r="R174" s="1" t="str">
        <f t="array" ref="R174">IF(ISBLANK(INDEX(big_daily_table,MATCH(DATE(R$5,$K174,$J174),daily_dates,0),MATCH($B$3,daily_items,0))),NA(),INDEX(big_daily_table,MATCH(DATE(R$5,$K174,$J174),daily_dates,0),MATCH($B$3,daily_items,0)))</f>
        <v>#N/A</v>
      </c>
      <c r="S174" s="1" t="str">
        <f t="array" ref="S174">IF(ISBLANK(INDEX(big_daily_table,MATCH(DATE(S$5,$K174,$J174),daily_dates,0),MATCH($B$3,daily_items,0))),NA(),INDEX(big_daily_table,MATCH(DATE(S$5,$K174,$J174),daily_dates,0),MATCH($B$3,daily_items,0)))</f>
        <v>#N/A</v>
      </c>
      <c r="T174" s="1" t="str">
        <f t="array" ref="T174">IF(ISBLANK(INDEX(big_daily_table,MATCH(DATE(T$5,$K174,$J174),daily_dates,0),MATCH($B$3,daily_items,0))),NA(),INDEX(big_daily_table,MATCH(DATE(T$5,$K174,$J174),daily_dates,0),MATCH($B$3,daily_items,0)))</f>
        <v>#N/A</v>
      </c>
      <c r="U174" s="1" t="str">
        <f t="array" ref="U174">IF(ISBLANK(INDEX(big_daily_table,MATCH(DATE(U$5,$K174,$J174),daily_dates,0),MATCH($B$3,daily_items,0))),NA(),INDEX(big_daily_table,MATCH(DATE(U$5,$K174,$J174),daily_dates,0),MATCH($B$3,daily_items,0)))</f>
        <v>#N/A</v>
      </c>
      <c r="V174" s="1" t="str">
        <f t="array" ref="V174">IF(ISBLANK(INDEX(big_daily_table,MATCH(DATE(V$5,$K174,$J174),daily_dates,0),MATCH($B$3,daily_items,0))),NA(),INDEX(big_daily_table,MATCH(DATE(V$5,$K174,$J174),daily_dates,0),MATCH($B$3,daily_items,0)))</f>
        <v>#N/A</v>
      </c>
      <c r="W174" s="1" t="str">
        <f t="array" ref="W174">IF(ISBLANK(INDEX(big_daily_table,MATCH(DATE(W$5,$K174,$J174),daily_dates,0),MATCH($B$3,daily_items,0))),NA(),INDEX(big_daily_table,MATCH(DATE(W$5,$K174,$J174),daily_dates,0),MATCH($B$3,daily_items,0)))</f>
        <v>#N/A</v>
      </c>
      <c r="X174" s="1" t="str">
        <f t="array" ref="X174">IF(ISBLANK(INDEX(big_daily_table,MATCH(DATE(X$5,$K174,$J174),daily_dates,0),MATCH($B$3,daily_items,0))),NA(),INDEX(big_daily_table,MATCH(DATE(X$5,$K174,$J174),daily_dates,0),MATCH($B$3,daily_items,0)))</f>
        <v>#N/A</v>
      </c>
      <c r="Y174" s="1" t="str">
        <f t="array" ref="Y174">IF(ISBLANK(INDEX(big_daily_table,MATCH(DATE(Y$5,$K174,$J174),daily_dates,0),MATCH($B$3,daily_items,0))),NA(),INDEX(big_daily_table,MATCH(DATE(Y$5,$K174,$J174),daily_dates,0),MATCH($B$3,daily_items,0)))</f>
        <v>#N/A</v>
      </c>
      <c r="Z174" s="1" t="str">
        <f t="array" ref="Z174">IF(ISBLANK(INDEX(big_daily_table,MATCH(DATE(Z$5,$K174,$J174),daily_dates,0),MATCH($B$3,daily_items,0))),NA(),INDEX(big_daily_table,MATCH(DATE(Z$5,$K174,$J174),daily_dates,0),MATCH($B$3,daily_items,0)))</f>
        <v>#N/A</v>
      </c>
      <c r="AA174" s="1" t="str">
        <f t="shared" si="5"/>
        <v>#NAME?</v>
      </c>
      <c r="AB174" s="1" t="str">
        <f t="shared" si="6"/>
        <v>#NAME?</v>
      </c>
      <c r="AC174" s="1" t="str">
        <f t="shared" si="7"/>
        <v>#NAME?</v>
      </c>
      <c r="AD174" s="1" t="str">
        <f t="shared" si="8"/>
        <v>#NAME?</v>
      </c>
    </row>
    <row r="175" ht="14.25" customHeight="1">
      <c r="H175" s="1">
        <f t="shared" si="9"/>
        <v>170</v>
      </c>
      <c r="I175" s="1">
        <f>WEEKDAY('daily graphs'!K175)</f>
        <v>1</v>
      </c>
      <c r="J175" s="1">
        <f t="shared" si="2"/>
        <v>17</v>
      </c>
      <c r="K175" s="1">
        <f t="shared" si="3"/>
        <v>6</v>
      </c>
      <c r="L175" s="23">
        <f>'daily graphs'!K175 - I175</f>
        <v>36694</v>
      </c>
      <c r="M175" s="24">
        <f t="shared" si="4"/>
        <v>-1000000</v>
      </c>
      <c r="N175" s="24" t="str">
        <f t="array" ref="N175">IF(M175&gt;0,INDEX(big_daily_table,MATCH(DATE(O$5,$K175,$J175),daily_dates,0),MATCH($B$3,daily_items,0)),NA())</f>
        <v>#N/A</v>
      </c>
      <c r="O175" s="1" t="str">
        <f t="array" ref="O175">IF(M175&lt;0,INDEX(big_daily_table,MATCH(DATE(O$5,$K175,$J175),daily_dates,0),MATCH($B$3,daily_items,0)),NA())</f>
        <v>#N/A</v>
      </c>
      <c r="P175" s="1" t="str">
        <f t="array" ref="P175">IF(ISBLANK(INDEX(big_daily_table,MATCH(DATE(P$5,$K175,$J175),daily_dates,0),MATCH($B$3,daily_items,0))),NA(),INDEX(big_daily_table,MATCH(DATE(P$5,$K175,$J175),daily_dates,0),MATCH($B$3,daily_items,0)))</f>
        <v>#N/A</v>
      </c>
      <c r="Q175" s="1" t="str">
        <f t="array" ref="Q175">IF(ISBLANK(INDEX(big_daily_table,MATCH(DATE(Q$5,$K175,$J175),daily_dates,0),MATCH($B$3,daily_items,0))),NA(),INDEX(big_daily_table,MATCH(DATE(Q$5,$K175,$J175),daily_dates,0),MATCH($B$3,daily_items,0)))</f>
        <v>#N/A</v>
      </c>
      <c r="R175" s="1" t="str">
        <f t="array" ref="R175">IF(ISBLANK(INDEX(big_daily_table,MATCH(DATE(R$5,$K175,$J175),daily_dates,0),MATCH($B$3,daily_items,0))),NA(),INDEX(big_daily_table,MATCH(DATE(R$5,$K175,$J175),daily_dates,0),MATCH($B$3,daily_items,0)))</f>
        <v>#N/A</v>
      </c>
      <c r="S175" s="1" t="str">
        <f t="array" ref="S175">IF(ISBLANK(INDEX(big_daily_table,MATCH(DATE(S$5,$K175,$J175),daily_dates,0),MATCH($B$3,daily_items,0))),NA(),INDEX(big_daily_table,MATCH(DATE(S$5,$K175,$J175),daily_dates,0),MATCH($B$3,daily_items,0)))</f>
        <v>#N/A</v>
      </c>
      <c r="T175" s="1" t="str">
        <f t="array" ref="T175">IF(ISBLANK(INDEX(big_daily_table,MATCH(DATE(T$5,$K175,$J175),daily_dates,0),MATCH($B$3,daily_items,0))),NA(),INDEX(big_daily_table,MATCH(DATE(T$5,$K175,$J175),daily_dates,0),MATCH($B$3,daily_items,0)))</f>
        <v>#N/A</v>
      </c>
      <c r="U175" s="1" t="str">
        <f t="array" ref="U175">IF(ISBLANK(INDEX(big_daily_table,MATCH(DATE(U$5,$K175,$J175),daily_dates,0),MATCH($B$3,daily_items,0))),NA(),INDEX(big_daily_table,MATCH(DATE(U$5,$K175,$J175),daily_dates,0),MATCH($B$3,daily_items,0)))</f>
        <v>#N/A</v>
      </c>
      <c r="V175" s="1" t="str">
        <f t="array" ref="V175">IF(ISBLANK(INDEX(big_daily_table,MATCH(DATE(V$5,$K175,$J175),daily_dates,0),MATCH($B$3,daily_items,0))),NA(),INDEX(big_daily_table,MATCH(DATE(V$5,$K175,$J175),daily_dates,0),MATCH($B$3,daily_items,0)))</f>
        <v>#N/A</v>
      </c>
      <c r="W175" s="1" t="str">
        <f t="array" ref="W175">IF(ISBLANK(INDEX(big_daily_table,MATCH(DATE(W$5,$K175,$J175),daily_dates,0),MATCH($B$3,daily_items,0))),NA(),INDEX(big_daily_table,MATCH(DATE(W$5,$K175,$J175),daily_dates,0),MATCH($B$3,daily_items,0)))</f>
        <v>#N/A</v>
      </c>
      <c r="X175" s="1" t="str">
        <f t="array" ref="X175">IF(ISBLANK(INDEX(big_daily_table,MATCH(DATE(X$5,$K175,$J175),daily_dates,0),MATCH($B$3,daily_items,0))),NA(),INDEX(big_daily_table,MATCH(DATE(X$5,$K175,$J175),daily_dates,0),MATCH($B$3,daily_items,0)))</f>
        <v>#N/A</v>
      </c>
      <c r="Y175" s="1" t="str">
        <f t="array" ref="Y175">IF(ISBLANK(INDEX(big_daily_table,MATCH(DATE(Y$5,$K175,$J175),daily_dates,0),MATCH($B$3,daily_items,0))),NA(),INDEX(big_daily_table,MATCH(DATE(Y$5,$K175,$J175),daily_dates,0),MATCH($B$3,daily_items,0)))</f>
        <v>#N/A</v>
      </c>
      <c r="Z175" s="1" t="str">
        <f t="array" ref="Z175">IF(ISBLANK(INDEX(big_daily_table,MATCH(DATE(Z$5,$K175,$J175),daily_dates,0),MATCH($B$3,daily_items,0))),NA(),INDEX(big_daily_table,MATCH(DATE(Z$5,$K175,$J175),daily_dates,0),MATCH($B$3,daily_items,0)))</f>
        <v>#N/A</v>
      </c>
      <c r="AA175" s="1" t="str">
        <f t="shared" si="5"/>
        <v>#NAME?</v>
      </c>
      <c r="AB175" s="1" t="str">
        <f t="shared" si="6"/>
        <v>#NAME?</v>
      </c>
      <c r="AC175" s="1" t="str">
        <f t="shared" si="7"/>
        <v>#NAME?</v>
      </c>
      <c r="AD175" s="1" t="str">
        <f t="shared" si="8"/>
        <v>#NAME?</v>
      </c>
    </row>
    <row r="176" ht="14.25" customHeight="1">
      <c r="H176" s="1">
        <f t="shared" si="9"/>
        <v>171</v>
      </c>
      <c r="I176" s="1">
        <f>WEEKDAY('daily graphs'!K176)</f>
        <v>2</v>
      </c>
      <c r="J176" s="1">
        <f t="shared" si="2"/>
        <v>17</v>
      </c>
      <c r="K176" s="1">
        <f t="shared" si="3"/>
        <v>6</v>
      </c>
      <c r="L176" s="23">
        <f>'daily graphs'!K176 - I176</f>
        <v>36694</v>
      </c>
      <c r="M176" s="24">
        <f t="shared" si="4"/>
        <v>-1000000</v>
      </c>
      <c r="N176" s="24" t="str">
        <f t="array" ref="N176">IF(M176&gt;0,INDEX(big_daily_table,MATCH(DATE(O$5,$K176,$J176),daily_dates,0),MATCH($B$3,daily_items,0)),NA())</f>
        <v>#N/A</v>
      </c>
      <c r="O176" s="1" t="str">
        <f t="array" ref="O176">IF(M176&lt;0,INDEX(big_daily_table,MATCH(DATE(O$5,$K176,$J176),daily_dates,0),MATCH($B$3,daily_items,0)),NA())</f>
        <v>#N/A</v>
      </c>
      <c r="P176" s="1" t="str">
        <f t="array" ref="P176">IF(ISBLANK(INDEX(big_daily_table,MATCH(DATE(P$5,$K176,$J176),daily_dates,0),MATCH($B$3,daily_items,0))),NA(),INDEX(big_daily_table,MATCH(DATE(P$5,$K176,$J176),daily_dates,0),MATCH($B$3,daily_items,0)))</f>
        <v>#N/A</v>
      </c>
      <c r="Q176" s="1" t="str">
        <f t="array" ref="Q176">IF(ISBLANK(INDEX(big_daily_table,MATCH(DATE(Q$5,$K176,$J176),daily_dates,0),MATCH($B$3,daily_items,0))),NA(),INDEX(big_daily_table,MATCH(DATE(Q$5,$K176,$J176),daily_dates,0),MATCH($B$3,daily_items,0)))</f>
        <v>#N/A</v>
      </c>
      <c r="R176" s="1" t="str">
        <f t="array" ref="R176">IF(ISBLANK(INDEX(big_daily_table,MATCH(DATE(R$5,$K176,$J176),daily_dates,0),MATCH($B$3,daily_items,0))),NA(),INDEX(big_daily_table,MATCH(DATE(R$5,$K176,$J176),daily_dates,0),MATCH($B$3,daily_items,0)))</f>
        <v>#N/A</v>
      </c>
      <c r="S176" s="1" t="str">
        <f t="array" ref="S176">IF(ISBLANK(INDEX(big_daily_table,MATCH(DATE(S$5,$K176,$J176),daily_dates,0),MATCH($B$3,daily_items,0))),NA(),INDEX(big_daily_table,MATCH(DATE(S$5,$K176,$J176),daily_dates,0),MATCH($B$3,daily_items,0)))</f>
        <v>#N/A</v>
      </c>
      <c r="T176" s="1" t="str">
        <f t="array" ref="T176">IF(ISBLANK(INDEX(big_daily_table,MATCH(DATE(T$5,$K176,$J176),daily_dates,0),MATCH($B$3,daily_items,0))),NA(),INDEX(big_daily_table,MATCH(DATE(T$5,$K176,$J176),daily_dates,0),MATCH($B$3,daily_items,0)))</f>
        <v>#N/A</v>
      </c>
      <c r="U176" s="1" t="str">
        <f t="array" ref="U176">IF(ISBLANK(INDEX(big_daily_table,MATCH(DATE(U$5,$K176,$J176),daily_dates,0),MATCH($B$3,daily_items,0))),NA(),INDEX(big_daily_table,MATCH(DATE(U$5,$K176,$J176),daily_dates,0),MATCH($B$3,daily_items,0)))</f>
        <v>#N/A</v>
      </c>
      <c r="V176" s="1" t="str">
        <f t="array" ref="V176">IF(ISBLANK(INDEX(big_daily_table,MATCH(DATE(V$5,$K176,$J176),daily_dates,0),MATCH($B$3,daily_items,0))),NA(),INDEX(big_daily_table,MATCH(DATE(V$5,$K176,$J176),daily_dates,0),MATCH($B$3,daily_items,0)))</f>
        <v>#N/A</v>
      </c>
      <c r="W176" s="1" t="str">
        <f t="array" ref="W176">IF(ISBLANK(INDEX(big_daily_table,MATCH(DATE(W$5,$K176,$J176),daily_dates,0),MATCH($B$3,daily_items,0))),NA(),INDEX(big_daily_table,MATCH(DATE(W$5,$K176,$J176),daily_dates,0),MATCH($B$3,daily_items,0)))</f>
        <v>#N/A</v>
      </c>
      <c r="X176" s="1" t="str">
        <f t="array" ref="X176">IF(ISBLANK(INDEX(big_daily_table,MATCH(DATE(X$5,$K176,$J176),daily_dates,0),MATCH($B$3,daily_items,0))),NA(),INDEX(big_daily_table,MATCH(DATE(X$5,$K176,$J176),daily_dates,0),MATCH($B$3,daily_items,0)))</f>
        <v>#N/A</v>
      </c>
      <c r="Y176" s="1" t="str">
        <f t="array" ref="Y176">IF(ISBLANK(INDEX(big_daily_table,MATCH(DATE(Y$5,$K176,$J176),daily_dates,0),MATCH($B$3,daily_items,0))),NA(),INDEX(big_daily_table,MATCH(DATE(Y$5,$K176,$J176),daily_dates,0),MATCH($B$3,daily_items,0)))</f>
        <v>#N/A</v>
      </c>
      <c r="Z176" s="1" t="str">
        <f t="array" ref="Z176">IF(ISBLANK(INDEX(big_daily_table,MATCH(DATE(Z$5,$K176,$J176),daily_dates,0),MATCH($B$3,daily_items,0))),NA(),INDEX(big_daily_table,MATCH(DATE(Z$5,$K176,$J176),daily_dates,0),MATCH($B$3,daily_items,0)))</f>
        <v>#N/A</v>
      </c>
      <c r="AA176" s="1" t="str">
        <f t="shared" si="5"/>
        <v>#NAME?</v>
      </c>
      <c r="AB176" s="1" t="str">
        <f t="shared" si="6"/>
        <v>#NAME?</v>
      </c>
      <c r="AC176" s="1" t="str">
        <f t="shared" si="7"/>
        <v>#NAME?</v>
      </c>
      <c r="AD176" s="1" t="str">
        <f t="shared" si="8"/>
        <v>#NAME?</v>
      </c>
    </row>
    <row r="177" ht="14.25" customHeight="1">
      <c r="H177" s="1">
        <f t="shared" si="9"/>
        <v>172</v>
      </c>
      <c r="I177" s="1">
        <f>WEEKDAY('daily graphs'!K177)</f>
        <v>3</v>
      </c>
      <c r="J177" s="1">
        <f t="shared" si="2"/>
        <v>17</v>
      </c>
      <c r="K177" s="1">
        <f t="shared" si="3"/>
        <v>6</v>
      </c>
      <c r="L177" s="23">
        <f>'daily graphs'!K177 - I177</f>
        <v>36694</v>
      </c>
      <c r="M177" s="24">
        <f t="shared" si="4"/>
        <v>-1000000</v>
      </c>
      <c r="N177" s="24" t="str">
        <f t="array" ref="N177">IF(M177&gt;0,INDEX(big_daily_table,MATCH(DATE(O$5,$K177,$J177),daily_dates,0),MATCH($B$3,daily_items,0)),NA())</f>
        <v>#N/A</v>
      </c>
      <c r="O177" s="1" t="str">
        <f t="array" ref="O177">IF(M177&lt;0,INDEX(big_daily_table,MATCH(DATE(O$5,$K177,$J177),daily_dates,0),MATCH($B$3,daily_items,0)),NA())</f>
        <v>#N/A</v>
      </c>
      <c r="P177" s="1" t="str">
        <f t="array" ref="P177">IF(ISBLANK(INDEX(big_daily_table,MATCH(DATE(P$5,$K177,$J177),daily_dates,0),MATCH($B$3,daily_items,0))),NA(),INDEX(big_daily_table,MATCH(DATE(P$5,$K177,$J177),daily_dates,0),MATCH($B$3,daily_items,0)))</f>
        <v>#N/A</v>
      </c>
      <c r="Q177" s="1" t="str">
        <f t="array" ref="Q177">IF(ISBLANK(INDEX(big_daily_table,MATCH(DATE(Q$5,$K177,$J177),daily_dates,0),MATCH($B$3,daily_items,0))),NA(),INDEX(big_daily_table,MATCH(DATE(Q$5,$K177,$J177),daily_dates,0),MATCH($B$3,daily_items,0)))</f>
        <v>#N/A</v>
      </c>
      <c r="R177" s="1" t="str">
        <f t="array" ref="R177">IF(ISBLANK(INDEX(big_daily_table,MATCH(DATE(R$5,$K177,$J177),daily_dates,0),MATCH($B$3,daily_items,0))),NA(),INDEX(big_daily_table,MATCH(DATE(R$5,$K177,$J177),daily_dates,0),MATCH($B$3,daily_items,0)))</f>
        <v>#N/A</v>
      </c>
      <c r="S177" s="1" t="str">
        <f t="array" ref="S177">IF(ISBLANK(INDEX(big_daily_table,MATCH(DATE(S$5,$K177,$J177),daily_dates,0),MATCH($B$3,daily_items,0))),NA(),INDEX(big_daily_table,MATCH(DATE(S$5,$K177,$J177),daily_dates,0),MATCH($B$3,daily_items,0)))</f>
        <v>#N/A</v>
      </c>
      <c r="T177" s="1" t="str">
        <f t="array" ref="T177">IF(ISBLANK(INDEX(big_daily_table,MATCH(DATE(T$5,$K177,$J177),daily_dates,0),MATCH($B$3,daily_items,0))),NA(),INDEX(big_daily_table,MATCH(DATE(T$5,$K177,$J177),daily_dates,0),MATCH($B$3,daily_items,0)))</f>
        <v>#N/A</v>
      </c>
      <c r="U177" s="1" t="str">
        <f t="array" ref="U177">IF(ISBLANK(INDEX(big_daily_table,MATCH(DATE(U$5,$K177,$J177),daily_dates,0),MATCH($B$3,daily_items,0))),NA(),INDEX(big_daily_table,MATCH(DATE(U$5,$K177,$J177),daily_dates,0),MATCH($B$3,daily_items,0)))</f>
        <v>#N/A</v>
      </c>
      <c r="V177" s="1" t="str">
        <f t="array" ref="V177">IF(ISBLANK(INDEX(big_daily_table,MATCH(DATE(V$5,$K177,$J177),daily_dates,0),MATCH($B$3,daily_items,0))),NA(),INDEX(big_daily_table,MATCH(DATE(V$5,$K177,$J177),daily_dates,0),MATCH($B$3,daily_items,0)))</f>
        <v>#N/A</v>
      </c>
      <c r="W177" s="1" t="str">
        <f t="array" ref="W177">IF(ISBLANK(INDEX(big_daily_table,MATCH(DATE(W$5,$K177,$J177),daily_dates,0),MATCH($B$3,daily_items,0))),NA(),INDEX(big_daily_table,MATCH(DATE(W$5,$K177,$J177),daily_dates,0),MATCH($B$3,daily_items,0)))</f>
        <v>#N/A</v>
      </c>
      <c r="X177" s="1" t="str">
        <f t="array" ref="X177">IF(ISBLANK(INDEX(big_daily_table,MATCH(DATE(X$5,$K177,$J177),daily_dates,0),MATCH($B$3,daily_items,0))),NA(),INDEX(big_daily_table,MATCH(DATE(X$5,$K177,$J177),daily_dates,0),MATCH($B$3,daily_items,0)))</f>
        <v>#N/A</v>
      </c>
      <c r="Y177" s="1" t="str">
        <f t="array" ref="Y177">IF(ISBLANK(INDEX(big_daily_table,MATCH(DATE(Y$5,$K177,$J177),daily_dates,0),MATCH($B$3,daily_items,0))),NA(),INDEX(big_daily_table,MATCH(DATE(Y$5,$K177,$J177),daily_dates,0),MATCH($B$3,daily_items,0)))</f>
        <v>#N/A</v>
      </c>
      <c r="Z177" s="1" t="str">
        <f t="array" ref="Z177">IF(ISBLANK(INDEX(big_daily_table,MATCH(DATE(Z$5,$K177,$J177),daily_dates,0),MATCH($B$3,daily_items,0))),NA(),INDEX(big_daily_table,MATCH(DATE(Z$5,$K177,$J177),daily_dates,0),MATCH($B$3,daily_items,0)))</f>
        <v>#N/A</v>
      </c>
      <c r="AA177" s="1" t="str">
        <f t="shared" si="5"/>
        <v>#NAME?</v>
      </c>
      <c r="AB177" s="1" t="str">
        <f t="shared" si="6"/>
        <v>#NAME?</v>
      </c>
      <c r="AC177" s="1" t="str">
        <f t="shared" si="7"/>
        <v>#NAME?</v>
      </c>
      <c r="AD177" s="1" t="str">
        <f t="shared" si="8"/>
        <v>#NAME?</v>
      </c>
    </row>
    <row r="178" ht="14.25" customHeight="1">
      <c r="H178" s="1">
        <f t="shared" si="9"/>
        <v>173</v>
      </c>
      <c r="I178" s="1">
        <f>WEEKDAY('daily graphs'!K178)</f>
        <v>4</v>
      </c>
      <c r="J178" s="1">
        <f t="shared" si="2"/>
        <v>17</v>
      </c>
      <c r="K178" s="1">
        <f t="shared" si="3"/>
        <v>6</v>
      </c>
      <c r="L178" s="23">
        <f>'daily graphs'!K178 - I178</f>
        <v>36694</v>
      </c>
      <c r="M178" s="24">
        <f t="shared" si="4"/>
        <v>-1000000</v>
      </c>
      <c r="N178" s="24" t="str">
        <f t="array" ref="N178">IF(M178&gt;0,INDEX(big_daily_table,MATCH(DATE(O$5,$K178,$J178),daily_dates,0),MATCH($B$3,daily_items,0)),NA())</f>
        <v>#N/A</v>
      </c>
      <c r="O178" s="1" t="str">
        <f t="array" ref="O178">IF(M178&lt;0,INDEX(big_daily_table,MATCH(DATE(O$5,$K178,$J178),daily_dates,0),MATCH($B$3,daily_items,0)),NA())</f>
        <v>#N/A</v>
      </c>
      <c r="P178" s="1" t="str">
        <f t="array" ref="P178">IF(ISBLANK(INDEX(big_daily_table,MATCH(DATE(P$5,$K178,$J178),daily_dates,0),MATCH($B$3,daily_items,0))),NA(),INDEX(big_daily_table,MATCH(DATE(P$5,$K178,$J178),daily_dates,0),MATCH($B$3,daily_items,0)))</f>
        <v>#N/A</v>
      </c>
      <c r="Q178" s="1" t="str">
        <f t="array" ref="Q178">IF(ISBLANK(INDEX(big_daily_table,MATCH(DATE(Q$5,$K178,$J178),daily_dates,0),MATCH($B$3,daily_items,0))),NA(),INDEX(big_daily_table,MATCH(DATE(Q$5,$K178,$J178),daily_dates,0),MATCH($B$3,daily_items,0)))</f>
        <v>#N/A</v>
      </c>
      <c r="R178" s="1" t="str">
        <f t="array" ref="R178">IF(ISBLANK(INDEX(big_daily_table,MATCH(DATE(R$5,$K178,$J178),daily_dates,0),MATCH($B$3,daily_items,0))),NA(),INDEX(big_daily_table,MATCH(DATE(R$5,$K178,$J178),daily_dates,0),MATCH($B$3,daily_items,0)))</f>
        <v>#N/A</v>
      </c>
      <c r="S178" s="1" t="str">
        <f t="array" ref="S178">IF(ISBLANK(INDEX(big_daily_table,MATCH(DATE(S$5,$K178,$J178),daily_dates,0),MATCH($B$3,daily_items,0))),NA(),INDEX(big_daily_table,MATCH(DATE(S$5,$K178,$J178),daily_dates,0),MATCH($B$3,daily_items,0)))</f>
        <v>#N/A</v>
      </c>
      <c r="T178" s="1" t="str">
        <f t="array" ref="T178">IF(ISBLANK(INDEX(big_daily_table,MATCH(DATE(T$5,$K178,$J178),daily_dates,0),MATCH($B$3,daily_items,0))),NA(),INDEX(big_daily_table,MATCH(DATE(T$5,$K178,$J178),daily_dates,0),MATCH($B$3,daily_items,0)))</f>
        <v>#N/A</v>
      </c>
      <c r="U178" s="1" t="str">
        <f t="array" ref="U178">IF(ISBLANK(INDEX(big_daily_table,MATCH(DATE(U$5,$K178,$J178),daily_dates,0),MATCH($B$3,daily_items,0))),NA(),INDEX(big_daily_table,MATCH(DATE(U$5,$K178,$J178),daily_dates,0),MATCH($B$3,daily_items,0)))</f>
        <v>#N/A</v>
      </c>
      <c r="V178" s="1" t="str">
        <f t="array" ref="V178">IF(ISBLANK(INDEX(big_daily_table,MATCH(DATE(V$5,$K178,$J178),daily_dates,0),MATCH($B$3,daily_items,0))),NA(),INDEX(big_daily_table,MATCH(DATE(V$5,$K178,$J178),daily_dates,0),MATCH($B$3,daily_items,0)))</f>
        <v>#N/A</v>
      </c>
      <c r="W178" s="1" t="str">
        <f t="array" ref="W178">IF(ISBLANK(INDEX(big_daily_table,MATCH(DATE(W$5,$K178,$J178),daily_dates,0),MATCH($B$3,daily_items,0))),NA(),INDEX(big_daily_table,MATCH(DATE(W$5,$K178,$J178),daily_dates,0),MATCH($B$3,daily_items,0)))</f>
        <v>#N/A</v>
      </c>
      <c r="X178" s="1" t="str">
        <f t="array" ref="X178">IF(ISBLANK(INDEX(big_daily_table,MATCH(DATE(X$5,$K178,$J178),daily_dates,0),MATCH($B$3,daily_items,0))),NA(),INDEX(big_daily_table,MATCH(DATE(X$5,$K178,$J178),daily_dates,0),MATCH($B$3,daily_items,0)))</f>
        <v>#N/A</v>
      </c>
      <c r="Y178" s="1" t="str">
        <f t="array" ref="Y178">IF(ISBLANK(INDEX(big_daily_table,MATCH(DATE(Y$5,$K178,$J178),daily_dates,0),MATCH($B$3,daily_items,0))),NA(),INDEX(big_daily_table,MATCH(DATE(Y$5,$K178,$J178),daily_dates,0),MATCH($B$3,daily_items,0)))</f>
        <v>#N/A</v>
      </c>
      <c r="Z178" s="1" t="str">
        <f t="array" ref="Z178">IF(ISBLANK(INDEX(big_daily_table,MATCH(DATE(Z$5,$K178,$J178),daily_dates,0),MATCH($B$3,daily_items,0))),NA(),INDEX(big_daily_table,MATCH(DATE(Z$5,$K178,$J178),daily_dates,0),MATCH($B$3,daily_items,0)))</f>
        <v>#N/A</v>
      </c>
      <c r="AA178" s="1" t="str">
        <f t="shared" si="5"/>
        <v>#NAME?</v>
      </c>
      <c r="AB178" s="1" t="str">
        <f t="shared" si="6"/>
        <v>#NAME?</v>
      </c>
      <c r="AC178" s="1" t="str">
        <f t="shared" si="7"/>
        <v>#NAME?</v>
      </c>
      <c r="AD178" s="1" t="str">
        <f t="shared" si="8"/>
        <v>#NAME?</v>
      </c>
    </row>
    <row r="179" ht="14.25" customHeight="1">
      <c r="H179" s="1">
        <f t="shared" si="9"/>
        <v>174</v>
      </c>
      <c r="I179" s="1">
        <f>WEEKDAY('daily graphs'!K179)</f>
        <v>5</v>
      </c>
      <c r="J179" s="1">
        <f t="shared" si="2"/>
        <v>17</v>
      </c>
      <c r="K179" s="1">
        <f t="shared" si="3"/>
        <v>6</v>
      </c>
      <c r="L179" s="23">
        <f>'daily graphs'!K179 - I179</f>
        <v>36694</v>
      </c>
      <c r="M179" s="24">
        <f t="shared" si="4"/>
        <v>-1000000</v>
      </c>
      <c r="N179" s="24" t="str">
        <f t="array" ref="N179">IF(M179&gt;0,INDEX(big_daily_table,MATCH(DATE(O$5,$K179,$J179),daily_dates,0),MATCH($B$3,daily_items,0)),NA())</f>
        <v>#N/A</v>
      </c>
      <c r="O179" s="1" t="str">
        <f t="array" ref="O179">IF(M179&lt;0,INDEX(big_daily_table,MATCH(DATE(O$5,$K179,$J179),daily_dates,0),MATCH($B$3,daily_items,0)),NA())</f>
        <v>#N/A</v>
      </c>
      <c r="P179" s="1" t="str">
        <f t="array" ref="P179">IF(ISBLANK(INDEX(big_daily_table,MATCH(DATE(P$5,$K179,$J179),daily_dates,0),MATCH($B$3,daily_items,0))),NA(),INDEX(big_daily_table,MATCH(DATE(P$5,$K179,$J179),daily_dates,0),MATCH($B$3,daily_items,0)))</f>
        <v>#N/A</v>
      </c>
      <c r="Q179" s="1" t="str">
        <f t="array" ref="Q179">IF(ISBLANK(INDEX(big_daily_table,MATCH(DATE(Q$5,$K179,$J179),daily_dates,0),MATCH($B$3,daily_items,0))),NA(),INDEX(big_daily_table,MATCH(DATE(Q$5,$K179,$J179),daily_dates,0),MATCH($B$3,daily_items,0)))</f>
        <v>#N/A</v>
      </c>
      <c r="R179" s="1" t="str">
        <f t="array" ref="R179">IF(ISBLANK(INDEX(big_daily_table,MATCH(DATE(R$5,$K179,$J179),daily_dates,0),MATCH($B$3,daily_items,0))),NA(),INDEX(big_daily_table,MATCH(DATE(R$5,$K179,$J179),daily_dates,0),MATCH($B$3,daily_items,0)))</f>
        <v>#N/A</v>
      </c>
      <c r="S179" s="1" t="str">
        <f t="array" ref="S179">IF(ISBLANK(INDEX(big_daily_table,MATCH(DATE(S$5,$K179,$J179),daily_dates,0),MATCH($B$3,daily_items,0))),NA(),INDEX(big_daily_table,MATCH(DATE(S$5,$K179,$J179),daily_dates,0),MATCH($B$3,daily_items,0)))</f>
        <v>#N/A</v>
      </c>
      <c r="T179" s="1" t="str">
        <f t="array" ref="T179">IF(ISBLANK(INDEX(big_daily_table,MATCH(DATE(T$5,$K179,$J179),daily_dates,0),MATCH($B$3,daily_items,0))),NA(),INDEX(big_daily_table,MATCH(DATE(T$5,$K179,$J179),daily_dates,0),MATCH($B$3,daily_items,0)))</f>
        <v>#N/A</v>
      </c>
      <c r="U179" s="1" t="str">
        <f t="array" ref="U179">IF(ISBLANK(INDEX(big_daily_table,MATCH(DATE(U$5,$K179,$J179),daily_dates,0),MATCH($B$3,daily_items,0))),NA(),INDEX(big_daily_table,MATCH(DATE(U$5,$K179,$J179),daily_dates,0),MATCH($B$3,daily_items,0)))</f>
        <v>#N/A</v>
      </c>
      <c r="V179" s="1" t="str">
        <f t="array" ref="V179">IF(ISBLANK(INDEX(big_daily_table,MATCH(DATE(V$5,$K179,$J179),daily_dates,0),MATCH($B$3,daily_items,0))),NA(),INDEX(big_daily_table,MATCH(DATE(V$5,$K179,$J179),daily_dates,0),MATCH($B$3,daily_items,0)))</f>
        <v>#N/A</v>
      </c>
      <c r="W179" s="1" t="str">
        <f t="array" ref="W179">IF(ISBLANK(INDEX(big_daily_table,MATCH(DATE(W$5,$K179,$J179),daily_dates,0),MATCH($B$3,daily_items,0))),NA(),INDEX(big_daily_table,MATCH(DATE(W$5,$K179,$J179),daily_dates,0),MATCH($B$3,daily_items,0)))</f>
        <v>#N/A</v>
      </c>
      <c r="X179" s="1" t="str">
        <f t="array" ref="X179">IF(ISBLANK(INDEX(big_daily_table,MATCH(DATE(X$5,$K179,$J179),daily_dates,0),MATCH($B$3,daily_items,0))),NA(),INDEX(big_daily_table,MATCH(DATE(X$5,$K179,$J179),daily_dates,0),MATCH($B$3,daily_items,0)))</f>
        <v>#N/A</v>
      </c>
      <c r="Y179" s="1" t="str">
        <f t="array" ref="Y179">IF(ISBLANK(INDEX(big_daily_table,MATCH(DATE(Y$5,$K179,$J179),daily_dates,0),MATCH($B$3,daily_items,0))),NA(),INDEX(big_daily_table,MATCH(DATE(Y$5,$K179,$J179),daily_dates,0),MATCH($B$3,daily_items,0)))</f>
        <v>#N/A</v>
      </c>
      <c r="Z179" s="1" t="str">
        <f t="array" ref="Z179">IF(ISBLANK(INDEX(big_daily_table,MATCH(DATE(Z$5,$K179,$J179),daily_dates,0),MATCH($B$3,daily_items,0))),NA(),INDEX(big_daily_table,MATCH(DATE(Z$5,$K179,$J179),daily_dates,0),MATCH($B$3,daily_items,0)))</f>
        <v>#N/A</v>
      </c>
      <c r="AA179" s="1" t="str">
        <f t="shared" si="5"/>
        <v>#NAME?</v>
      </c>
      <c r="AB179" s="1" t="str">
        <f t="shared" si="6"/>
        <v>#NAME?</v>
      </c>
      <c r="AC179" s="1" t="str">
        <f t="shared" si="7"/>
        <v>#NAME?</v>
      </c>
      <c r="AD179" s="1" t="str">
        <f t="shared" si="8"/>
        <v>#NAME?</v>
      </c>
    </row>
    <row r="180" ht="14.25" customHeight="1">
      <c r="H180" s="1">
        <f t="shared" si="9"/>
        <v>175</v>
      </c>
      <c r="I180" s="1">
        <f>WEEKDAY('daily graphs'!K180)</f>
        <v>6</v>
      </c>
      <c r="J180" s="1">
        <f t="shared" si="2"/>
        <v>17</v>
      </c>
      <c r="K180" s="1">
        <f t="shared" si="3"/>
        <v>6</v>
      </c>
      <c r="L180" s="23">
        <f>'daily graphs'!K180 - I180</f>
        <v>36694</v>
      </c>
      <c r="M180" s="24">
        <f t="shared" si="4"/>
        <v>-1000000</v>
      </c>
      <c r="N180" s="24" t="str">
        <f t="array" ref="N180">IF(M180&gt;0,INDEX(big_daily_table,MATCH(DATE(O$5,$K180,$J180),daily_dates,0),MATCH($B$3,daily_items,0)),NA())</f>
        <v>#N/A</v>
      </c>
      <c r="O180" s="1" t="str">
        <f t="array" ref="O180">IF(M180&lt;0,INDEX(big_daily_table,MATCH(DATE(O$5,$K180,$J180),daily_dates,0),MATCH($B$3,daily_items,0)),NA())</f>
        <v>#N/A</v>
      </c>
      <c r="P180" s="1" t="str">
        <f t="array" ref="P180">IF(ISBLANK(INDEX(big_daily_table,MATCH(DATE(P$5,$K180,$J180),daily_dates,0),MATCH($B$3,daily_items,0))),NA(),INDEX(big_daily_table,MATCH(DATE(P$5,$K180,$J180),daily_dates,0),MATCH($B$3,daily_items,0)))</f>
        <v>#N/A</v>
      </c>
      <c r="Q180" s="1" t="str">
        <f t="array" ref="Q180">IF(ISBLANK(INDEX(big_daily_table,MATCH(DATE(Q$5,$K180,$J180),daily_dates,0),MATCH($B$3,daily_items,0))),NA(),INDEX(big_daily_table,MATCH(DATE(Q$5,$K180,$J180),daily_dates,0),MATCH($B$3,daily_items,0)))</f>
        <v>#N/A</v>
      </c>
      <c r="R180" s="1" t="str">
        <f t="array" ref="R180">IF(ISBLANK(INDEX(big_daily_table,MATCH(DATE(R$5,$K180,$J180),daily_dates,0),MATCH($B$3,daily_items,0))),NA(),INDEX(big_daily_table,MATCH(DATE(R$5,$K180,$J180),daily_dates,0),MATCH($B$3,daily_items,0)))</f>
        <v>#N/A</v>
      </c>
      <c r="S180" s="1" t="str">
        <f t="array" ref="S180">IF(ISBLANK(INDEX(big_daily_table,MATCH(DATE(S$5,$K180,$J180),daily_dates,0),MATCH($B$3,daily_items,0))),NA(),INDEX(big_daily_table,MATCH(DATE(S$5,$K180,$J180),daily_dates,0),MATCH($B$3,daily_items,0)))</f>
        <v>#N/A</v>
      </c>
      <c r="T180" s="1" t="str">
        <f t="array" ref="T180">IF(ISBLANK(INDEX(big_daily_table,MATCH(DATE(T$5,$K180,$J180),daily_dates,0),MATCH($B$3,daily_items,0))),NA(),INDEX(big_daily_table,MATCH(DATE(T$5,$K180,$J180),daily_dates,0),MATCH($B$3,daily_items,0)))</f>
        <v>#N/A</v>
      </c>
      <c r="U180" s="1" t="str">
        <f t="array" ref="U180">IF(ISBLANK(INDEX(big_daily_table,MATCH(DATE(U$5,$K180,$J180),daily_dates,0),MATCH($B$3,daily_items,0))),NA(),INDEX(big_daily_table,MATCH(DATE(U$5,$K180,$J180),daily_dates,0),MATCH($B$3,daily_items,0)))</f>
        <v>#N/A</v>
      </c>
      <c r="V180" s="1" t="str">
        <f t="array" ref="V180">IF(ISBLANK(INDEX(big_daily_table,MATCH(DATE(V$5,$K180,$J180),daily_dates,0),MATCH($B$3,daily_items,0))),NA(),INDEX(big_daily_table,MATCH(DATE(V$5,$K180,$J180),daily_dates,0),MATCH($B$3,daily_items,0)))</f>
        <v>#N/A</v>
      </c>
      <c r="W180" s="1" t="str">
        <f t="array" ref="W180">IF(ISBLANK(INDEX(big_daily_table,MATCH(DATE(W$5,$K180,$J180),daily_dates,0),MATCH($B$3,daily_items,0))),NA(),INDEX(big_daily_table,MATCH(DATE(W$5,$K180,$J180),daily_dates,0),MATCH($B$3,daily_items,0)))</f>
        <v>#N/A</v>
      </c>
      <c r="X180" s="1" t="str">
        <f t="array" ref="X180">IF(ISBLANK(INDEX(big_daily_table,MATCH(DATE(X$5,$K180,$J180),daily_dates,0),MATCH($B$3,daily_items,0))),NA(),INDEX(big_daily_table,MATCH(DATE(X$5,$K180,$J180),daily_dates,0),MATCH($B$3,daily_items,0)))</f>
        <v>#N/A</v>
      </c>
      <c r="Y180" s="1" t="str">
        <f t="array" ref="Y180">IF(ISBLANK(INDEX(big_daily_table,MATCH(DATE(Y$5,$K180,$J180),daily_dates,0),MATCH($B$3,daily_items,0))),NA(),INDEX(big_daily_table,MATCH(DATE(Y$5,$K180,$J180),daily_dates,0),MATCH($B$3,daily_items,0)))</f>
        <v>#N/A</v>
      </c>
      <c r="Z180" s="1" t="str">
        <f t="array" ref="Z180">IF(ISBLANK(INDEX(big_daily_table,MATCH(DATE(Z$5,$K180,$J180),daily_dates,0),MATCH($B$3,daily_items,0))),NA(),INDEX(big_daily_table,MATCH(DATE(Z$5,$K180,$J180),daily_dates,0),MATCH($B$3,daily_items,0)))</f>
        <v>#N/A</v>
      </c>
      <c r="AA180" s="1" t="str">
        <f t="shared" si="5"/>
        <v>#NAME?</v>
      </c>
      <c r="AB180" s="1" t="str">
        <f t="shared" si="6"/>
        <v>#NAME?</v>
      </c>
      <c r="AC180" s="1" t="str">
        <f t="shared" si="7"/>
        <v>#NAME?</v>
      </c>
      <c r="AD180" s="1" t="str">
        <f t="shared" si="8"/>
        <v>#NAME?</v>
      </c>
    </row>
    <row r="181" ht="14.25" customHeight="1">
      <c r="H181" s="1">
        <f t="shared" si="9"/>
        <v>176</v>
      </c>
      <c r="I181" s="1">
        <f>WEEKDAY('daily graphs'!K181)</f>
        <v>7</v>
      </c>
      <c r="J181" s="1">
        <f t="shared" si="2"/>
        <v>17</v>
      </c>
      <c r="K181" s="1">
        <f t="shared" si="3"/>
        <v>6</v>
      </c>
      <c r="L181" s="23">
        <f>'daily graphs'!K181 - I181</f>
        <v>36694</v>
      </c>
      <c r="M181" s="24">
        <f t="shared" si="4"/>
        <v>-1000000</v>
      </c>
      <c r="N181" s="24" t="str">
        <f t="array" ref="N181">IF(M181&gt;0,INDEX(big_daily_table,MATCH(DATE(O$5,$K181,$J181),daily_dates,0),MATCH($B$3,daily_items,0)),NA())</f>
        <v>#N/A</v>
      </c>
      <c r="O181" s="1" t="str">
        <f t="array" ref="O181">IF(M181&lt;0,INDEX(big_daily_table,MATCH(DATE(O$5,$K181,$J181),daily_dates,0),MATCH($B$3,daily_items,0)),NA())</f>
        <v>#N/A</v>
      </c>
      <c r="P181" s="1" t="str">
        <f t="array" ref="P181">IF(ISBLANK(INDEX(big_daily_table,MATCH(DATE(P$5,$K181,$J181),daily_dates,0),MATCH($B$3,daily_items,0))),NA(),INDEX(big_daily_table,MATCH(DATE(P$5,$K181,$J181),daily_dates,0),MATCH($B$3,daily_items,0)))</f>
        <v>#N/A</v>
      </c>
      <c r="Q181" s="1" t="str">
        <f t="array" ref="Q181">IF(ISBLANK(INDEX(big_daily_table,MATCH(DATE(Q$5,$K181,$J181),daily_dates,0),MATCH($B$3,daily_items,0))),NA(),INDEX(big_daily_table,MATCH(DATE(Q$5,$K181,$J181),daily_dates,0),MATCH($B$3,daily_items,0)))</f>
        <v>#N/A</v>
      </c>
      <c r="R181" s="1" t="str">
        <f t="array" ref="R181">IF(ISBLANK(INDEX(big_daily_table,MATCH(DATE(R$5,$K181,$J181),daily_dates,0),MATCH($B$3,daily_items,0))),NA(),INDEX(big_daily_table,MATCH(DATE(R$5,$K181,$J181),daily_dates,0),MATCH($B$3,daily_items,0)))</f>
        <v>#N/A</v>
      </c>
      <c r="S181" s="1" t="str">
        <f t="array" ref="S181">IF(ISBLANK(INDEX(big_daily_table,MATCH(DATE(S$5,$K181,$J181),daily_dates,0),MATCH($B$3,daily_items,0))),NA(),INDEX(big_daily_table,MATCH(DATE(S$5,$K181,$J181),daily_dates,0),MATCH($B$3,daily_items,0)))</f>
        <v>#N/A</v>
      </c>
      <c r="T181" s="1" t="str">
        <f t="array" ref="T181">IF(ISBLANK(INDEX(big_daily_table,MATCH(DATE(T$5,$K181,$J181),daily_dates,0),MATCH($B$3,daily_items,0))),NA(),INDEX(big_daily_table,MATCH(DATE(T$5,$K181,$J181),daily_dates,0),MATCH($B$3,daily_items,0)))</f>
        <v>#N/A</v>
      </c>
      <c r="U181" s="1" t="str">
        <f t="array" ref="U181">IF(ISBLANK(INDEX(big_daily_table,MATCH(DATE(U$5,$K181,$J181),daily_dates,0),MATCH($B$3,daily_items,0))),NA(),INDEX(big_daily_table,MATCH(DATE(U$5,$K181,$J181),daily_dates,0),MATCH($B$3,daily_items,0)))</f>
        <v>#N/A</v>
      </c>
      <c r="V181" s="1" t="str">
        <f t="array" ref="V181">IF(ISBLANK(INDEX(big_daily_table,MATCH(DATE(V$5,$K181,$J181),daily_dates,0),MATCH($B$3,daily_items,0))),NA(),INDEX(big_daily_table,MATCH(DATE(V$5,$K181,$J181),daily_dates,0),MATCH($B$3,daily_items,0)))</f>
        <v>#N/A</v>
      </c>
      <c r="W181" s="1" t="str">
        <f t="array" ref="W181">IF(ISBLANK(INDEX(big_daily_table,MATCH(DATE(W$5,$K181,$J181),daily_dates,0),MATCH($B$3,daily_items,0))),NA(),INDEX(big_daily_table,MATCH(DATE(W$5,$K181,$J181),daily_dates,0),MATCH($B$3,daily_items,0)))</f>
        <v>#N/A</v>
      </c>
      <c r="X181" s="1" t="str">
        <f t="array" ref="X181">IF(ISBLANK(INDEX(big_daily_table,MATCH(DATE(X$5,$K181,$J181),daily_dates,0),MATCH($B$3,daily_items,0))),NA(),INDEX(big_daily_table,MATCH(DATE(X$5,$K181,$J181),daily_dates,0),MATCH($B$3,daily_items,0)))</f>
        <v>#N/A</v>
      </c>
      <c r="Y181" s="1" t="str">
        <f t="array" ref="Y181">IF(ISBLANK(INDEX(big_daily_table,MATCH(DATE(Y$5,$K181,$J181),daily_dates,0),MATCH($B$3,daily_items,0))),NA(),INDEX(big_daily_table,MATCH(DATE(Y$5,$K181,$J181),daily_dates,0),MATCH($B$3,daily_items,0)))</f>
        <v>#N/A</v>
      </c>
      <c r="Z181" s="1" t="str">
        <f t="array" ref="Z181">IF(ISBLANK(INDEX(big_daily_table,MATCH(DATE(Z$5,$K181,$J181),daily_dates,0),MATCH($B$3,daily_items,0))),NA(),INDEX(big_daily_table,MATCH(DATE(Z$5,$K181,$J181),daily_dates,0),MATCH($B$3,daily_items,0)))</f>
        <v>#N/A</v>
      </c>
      <c r="AA181" s="1" t="str">
        <f t="shared" si="5"/>
        <v>#NAME?</v>
      </c>
      <c r="AB181" s="1" t="str">
        <f t="shared" si="6"/>
        <v>#NAME?</v>
      </c>
      <c r="AC181" s="1" t="str">
        <f t="shared" si="7"/>
        <v>#NAME?</v>
      </c>
      <c r="AD181" s="1" t="str">
        <f t="shared" si="8"/>
        <v>#NAME?</v>
      </c>
    </row>
    <row r="182" ht="14.25" customHeight="1">
      <c r="H182" s="1">
        <f t="shared" si="9"/>
        <v>177</v>
      </c>
      <c r="I182" s="1">
        <f>WEEKDAY('daily graphs'!K182)</f>
        <v>1</v>
      </c>
      <c r="J182" s="1">
        <f t="shared" si="2"/>
        <v>24</v>
      </c>
      <c r="K182" s="1">
        <f t="shared" si="3"/>
        <v>6</v>
      </c>
      <c r="L182" s="23">
        <f>'daily graphs'!K182 - I182</f>
        <v>36701</v>
      </c>
      <c r="M182" s="24">
        <f t="shared" si="4"/>
        <v>-1000000</v>
      </c>
      <c r="N182" s="24" t="str">
        <f t="array" ref="N182">IF(M182&gt;0,INDEX(big_daily_table,MATCH(DATE(O$5,$K182,$J182),daily_dates,0),MATCH($B$3,daily_items,0)),NA())</f>
        <v>#N/A</v>
      </c>
      <c r="O182" s="1" t="str">
        <f t="array" ref="O182">IF(M182&lt;0,INDEX(big_daily_table,MATCH(DATE(O$5,$K182,$J182),daily_dates,0),MATCH($B$3,daily_items,0)),NA())</f>
        <v>#N/A</v>
      </c>
      <c r="P182" s="1" t="str">
        <f t="array" ref="P182">IF(ISBLANK(INDEX(big_daily_table,MATCH(DATE(P$5,$K182,$J182),daily_dates,0),MATCH($B$3,daily_items,0))),NA(),INDEX(big_daily_table,MATCH(DATE(P$5,$K182,$J182),daily_dates,0),MATCH($B$3,daily_items,0)))</f>
        <v>#N/A</v>
      </c>
      <c r="Q182" s="1" t="str">
        <f t="array" ref="Q182">IF(ISBLANK(INDEX(big_daily_table,MATCH(DATE(Q$5,$K182,$J182),daily_dates,0),MATCH($B$3,daily_items,0))),NA(),INDEX(big_daily_table,MATCH(DATE(Q$5,$K182,$J182),daily_dates,0),MATCH($B$3,daily_items,0)))</f>
        <v>#N/A</v>
      </c>
      <c r="R182" s="1" t="str">
        <f t="array" ref="R182">IF(ISBLANK(INDEX(big_daily_table,MATCH(DATE(R$5,$K182,$J182),daily_dates,0),MATCH($B$3,daily_items,0))),NA(),INDEX(big_daily_table,MATCH(DATE(R$5,$K182,$J182),daily_dates,0),MATCH($B$3,daily_items,0)))</f>
        <v>#N/A</v>
      </c>
      <c r="S182" s="1" t="str">
        <f t="array" ref="S182">IF(ISBLANK(INDEX(big_daily_table,MATCH(DATE(S$5,$K182,$J182),daily_dates,0),MATCH($B$3,daily_items,0))),NA(),INDEX(big_daily_table,MATCH(DATE(S$5,$K182,$J182),daily_dates,0),MATCH($B$3,daily_items,0)))</f>
        <v>#N/A</v>
      </c>
      <c r="T182" s="1" t="str">
        <f t="array" ref="T182">IF(ISBLANK(INDEX(big_daily_table,MATCH(DATE(T$5,$K182,$J182),daily_dates,0),MATCH($B$3,daily_items,0))),NA(),INDEX(big_daily_table,MATCH(DATE(T$5,$K182,$J182),daily_dates,0),MATCH($B$3,daily_items,0)))</f>
        <v>#N/A</v>
      </c>
      <c r="U182" s="1" t="str">
        <f t="array" ref="U182">IF(ISBLANK(INDEX(big_daily_table,MATCH(DATE(U$5,$K182,$J182),daily_dates,0),MATCH($B$3,daily_items,0))),NA(),INDEX(big_daily_table,MATCH(DATE(U$5,$K182,$J182),daily_dates,0),MATCH($B$3,daily_items,0)))</f>
        <v>#N/A</v>
      </c>
      <c r="V182" s="1" t="str">
        <f t="array" ref="V182">IF(ISBLANK(INDEX(big_daily_table,MATCH(DATE(V$5,$K182,$J182),daily_dates,0),MATCH($B$3,daily_items,0))),NA(),INDEX(big_daily_table,MATCH(DATE(V$5,$K182,$J182),daily_dates,0),MATCH($B$3,daily_items,0)))</f>
        <v>#N/A</v>
      </c>
      <c r="W182" s="1" t="str">
        <f t="array" ref="W182">IF(ISBLANK(INDEX(big_daily_table,MATCH(DATE(W$5,$K182,$J182),daily_dates,0),MATCH($B$3,daily_items,0))),NA(),INDEX(big_daily_table,MATCH(DATE(W$5,$K182,$J182),daily_dates,0),MATCH($B$3,daily_items,0)))</f>
        <v>#N/A</v>
      </c>
      <c r="X182" s="1" t="str">
        <f t="array" ref="X182">IF(ISBLANK(INDEX(big_daily_table,MATCH(DATE(X$5,$K182,$J182),daily_dates,0),MATCH($B$3,daily_items,0))),NA(),INDEX(big_daily_table,MATCH(DATE(X$5,$K182,$J182),daily_dates,0),MATCH($B$3,daily_items,0)))</f>
        <v>#N/A</v>
      </c>
      <c r="Y182" s="1" t="str">
        <f t="array" ref="Y182">IF(ISBLANK(INDEX(big_daily_table,MATCH(DATE(Y$5,$K182,$J182),daily_dates,0),MATCH($B$3,daily_items,0))),NA(),INDEX(big_daily_table,MATCH(DATE(Y$5,$K182,$J182),daily_dates,0),MATCH($B$3,daily_items,0)))</f>
        <v>#N/A</v>
      </c>
      <c r="Z182" s="1" t="str">
        <f t="array" ref="Z182">IF(ISBLANK(INDEX(big_daily_table,MATCH(DATE(Z$5,$K182,$J182),daily_dates,0),MATCH($B$3,daily_items,0))),NA(),INDEX(big_daily_table,MATCH(DATE(Z$5,$K182,$J182),daily_dates,0),MATCH($B$3,daily_items,0)))</f>
        <v>#N/A</v>
      </c>
      <c r="AA182" s="1" t="str">
        <f t="shared" si="5"/>
        <v>#NAME?</v>
      </c>
      <c r="AB182" s="1" t="str">
        <f t="shared" si="6"/>
        <v>#NAME?</v>
      </c>
      <c r="AC182" s="1" t="str">
        <f t="shared" si="7"/>
        <v>#NAME?</v>
      </c>
      <c r="AD182" s="1" t="str">
        <f t="shared" si="8"/>
        <v>#NAME?</v>
      </c>
    </row>
    <row r="183" ht="14.25" customHeight="1">
      <c r="H183" s="1">
        <f t="shared" si="9"/>
        <v>178</v>
      </c>
      <c r="I183" s="1">
        <f>WEEKDAY('daily graphs'!K183)</f>
        <v>2</v>
      </c>
      <c r="J183" s="1">
        <f t="shared" si="2"/>
        <v>24</v>
      </c>
      <c r="K183" s="1">
        <f t="shared" si="3"/>
        <v>6</v>
      </c>
      <c r="L183" s="23">
        <f>'daily graphs'!K183 - I183</f>
        <v>36701</v>
      </c>
      <c r="M183" s="24">
        <f t="shared" si="4"/>
        <v>-1000000</v>
      </c>
      <c r="N183" s="24" t="str">
        <f t="array" ref="N183">IF(M183&gt;0,INDEX(big_daily_table,MATCH(DATE(O$5,$K183,$J183),daily_dates,0),MATCH($B$3,daily_items,0)),NA())</f>
        <v>#N/A</v>
      </c>
      <c r="O183" s="1" t="str">
        <f t="array" ref="O183">IF(M183&lt;0,INDEX(big_daily_table,MATCH(DATE(O$5,$K183,$J183),daily_dates,0),MATCH($B$3,daily_items,0)),NA())</f>
        <v>#N/A</v>
      </c>
      <c r="P183" s="1" t="str">
        <f t="array" ref="P183">IF(ISBLANK(INDEX(big_daily_table,MATCH(DATE(P$5,$K183,$J183),daily_dates,0),MATCH($B$3,daily_items,0))),NA(),INDEX(big_daily_table,MATCH(DATE(P$5,$K183,$J183),daily_dates,0),MATCH($B$3,daily_items,0)))</f>
        <v>#N/A</v>
      </c>
      <c r="Q183" s="1" t="str">
        <f t="array" ref="Q183">IF(ISBLANK(INDEX(big_daily_table,MATCH(DATE(Q$5,$K183,$J183),daily_dates,0),MATCH($B$3,daily_items,0))),NA(),INDEX(big_daily_table,MATCH(DATE(Q$5,$K183,$J183),daily_dates,0),MATCH($B$3,daily_items,0)))</f>
        <v>#N/A</v>
      </c>
      <c r="R183" s="1" t="str">
        <f t="array" ref="R183">IF(ISBLANK(INDEX(big_daily_table,MATCH(DATE(R$5,$K183,$J183),daily_dates,0),MATCH($B$3,daily_items,0))),NA(),INDEX(big_daily_table,MATCH(DATE(R$5,$K183,$J183),daily_dates,0),MATCH($B$3,daily_items,0)))</f>
        <v>#N/A</v>
      </c>
      <c r="S183" s="1" t="str">
        <f t="array" ref="S183">IF(ISBLANK(INDEX(big_daily_table,MATCH(DATE(S$5,$K183,$J183),daily_dates,0),MATCH($B$3,daily_items,0))),NA(),INDEX(big_daily_table,MATCH(DATE(S$5,$K183,$J183),daily_dates,0),MATCH($B$3,daily_items,0)))</f>
        <v>#N/A</v>
      </c>
      <c r="T183" s="1" t="str">
        <f t="array" ref="T183">IF(ISBLANK(INDEX(big_daily_table,MATCH(DATE(T$5,$K183,$J183),daily_dates,0),MATCH($B$3,daily_items,0))),NA(),INDEX(big_daily_table,MATCH(DATE(T$5,$K183,$J183),daily_dates,0),MATCH($B$3,daily_items,0)))</f>
        <v>#N/A</v>
      </c>
      <c r="U183" s="1" t="str">
        <f t="array" ref="U183">IF(ISBLANK(INDEX(big_daily_table,MATCH(DATE(U$5,$K183,$J183),daily_dates,0),MATCH($B$3,daily_items,0))),NA(),INDEX(big_daily_table,MATCH(DATE(U$5,$K183,$J183),daily_dates,0),MATCH($B$3,daily_items,0)))</f>
        <v>#N/A</v>
      </c>
      <c r="V183" s="1" t="str">
        <f t="array" ref="V183">IF(ISBLANK(INDEX(big_daily_table,MATCH(DATE(V$5,$K183,$J183),daily_dates,0),MATCH($B$3,daily_items,0))),NA(),INDEX(big_daily_table,MATCH(DATE(V$5,$K183,$J183),daily_dates,0),MATCH($B$3,daily_items,0)))</f>
        <v>#N/A</v>
      </c>
      <c r="W183" s="1" t="str">
        <f t="array" ref="W183">IF(ISBLANK(INDEX(big_daily_table,MATCH(DATE(W$5,$K183,$J183),daily_dates,0),MATCH($B$3,daily_items,0))),NA(),INDEX(big_daily_table,MATCH(DATE(W$5,$K183,$J183),daily_dates,0),MATCH($B$3,daily_items,0)))</f>
        <v>#N/A</v>
      </c>
      <c r="X183" s="1" t="str">
        <f t="array" ref="X183">IF(ISBLANK(INDEX(big_daily_table,MATCH(DATE(X$5,$K183,$J183),daily_dates,0),MATCH($B$3,daily_items,0))),NA(),INDEX(big_daily_table,MATCH(DATE(X$5,$K183,$J183),daily_dates,0),MATCH($B$3,daily_items,0)))</f>
        <v>#N/A</v>
      </c>
      <c r="Y183" s="1" t="str">
        <f t="array" ref="Y183">IF(ISBLANK(INDEX(big_daily_table,MATCH(DATE(Y$5,$K183,$J183),daily_dates,0),MATCH($B$3,daily_items,0))),NA(),INDEX(big_daily_table,MATCH(DATE(Y$5,$K183,$J183),daily_dates,0),MATCH($B$3,daily_items,0)))</f>
        <v>#N/A</v>
      </c>
      <c r="Z183" s="1" t="str">
        <f t="array" ref="Z183">IF(ISBLANK(INDEX(big_daily_table,MATCH(DATE(Z$5,$K183,$J183),daily_dates,0),MATCH($B$3,daily_items,0))),NA(),INDEX(big_daily_table,MATCH(DATE(Z$5,$K183,$J183),daily_dates,0),MATCH($B$3,daily_items,0)))</f>
        <v>#N/A</v>
      </c>
      <c r="AA183" s="1" t="str">
        <f t="shared" si="5"/>
        <v>#NAME?</v>
      </c>
      <c r="AB183" s="1" t="str">
        <f t="shared" si="6"/>
        <v>#NAME?</v>
      </c>
      <c r="AC183" s="1" t="str">
        <f t="shared" si="7"/>
        <v>#NAME?</v>
      </c>
      <c r="AD183" s="1" t="str">
        <f t="shared" si="8"/>
        <v>#NAME?</v>
      </c>
    </row>
    <row r="184" ht="14.25" customHeight="1">
      <c r="H184" s="1">
        <f t="shared" si="9"/>
        <v>179</v>
      </c>
      <c r="I184" s="1">
        <f>WEEKDAY('daily graphs'!K184)</f>
        <v>3</v>
      </c>
      <c r="J184" s="1">
        <f t="shared" si="2"/>
        <v>24</v>
      </c>
      <c r="K184" s="1">
        <f t="shared" si="3"/>
        <v>6</v>
      </c>
      <c r="L184" s="23">
        <f>'daily graphs'!K184 - I184</f>
        <v>36701</v>
      </c>
      <c r="M184" s="24">
        <f t="shared" si="4"/>
        <v>-1000000</v>
      </c>
      <c r="N184" s="24" t="str">
        <f t="array" ref="N184">IF(M184&gt;0,INDEX(big_daily_table,MATCH(DATE(O$5,$K184,$J184),daily_dates,0),MATCH($B$3,daily_items,0)),NA())</f>
        <v>#N/A</v>
      </c>
      <c r="O184" s="1" t="str">
        <f t="array" ref="O184">IF(M184&lt;0,INDEX(big_daily_table,MATCH(DATE(O$5,$K184,$J184),daily_dates,0),MATCH($B$3,daily_items,0)),NA())</f>
        <v>#N/A</v>
      </c>
      <c r="P184" s="1" t="str">
        <f t="array" ref="P184">IF(ISBLANK(INDEX(big_daily_table,MATCH(DATE(P$5,$K184,$J184),daily_dates,0),MATCH($B$3,daily_items,0))),NA(),INDEX(big_daily_table,MATCH(DATE(P$5,$K184,$J184),daily_dates,0),MATCH($B$3,daily_items,0)))</f>
        <v>#N/A</v>
      </c>
      <c r="Q184" s="1" t="str">
        <f t="array" ref="Q184">IF(ISBLANK(INDEX(big_daily_table,MATCH(DATE(Q$5,$K184,$J184),daily_dates,0),MATCH($B$3,daily_items,0))),NA(),INDEX(big_daily_table,MATCH(DATE(Q$5,$K184,$J184),daily_dates,0),MATCH($B$3,daily_items,0)))</f>
        <v>#N/A</v>
      </c>
      <c r="R184" s="1" t="str">
        <f t="array" ref="R184">IF(ISBLANK(INDEX(big_daily_table,MATCH(DATE(R$5,$K184,$J184),daily_dates,0),MATCH($B$3,daily_items,0))),NA(),INDEX(big_daily_table,MATCH(DATE(R$5,$K184,$J184),daily_dates,0),MATCH($B$3,daily_items,0)))</f>
        <v>#N/A</v>
      </c>
      <c r="S184" s="1" t="str">
        <f t="array" ref="S184">IF(ISBLANK(INDEX(big_daily_table,MATCH(DATE(S$5,$K184,$J184),daily_dates,0),MATCH($B$3,daily_items,0))),NA(),INDEX(big_daily_table,MATCH(DATE(S$5,$K184,$J184),daily_dates,0),MATCH($B$3,daily_items,0)))</f>
        <v>#N/A</v>
      </c>
      <c r="T184" s="1" t="str">
        <f t="array" ref="T184">IF(ISBLANK(INDEX(big_daily_table,MATCH(DATE(T$5,$K184,$J184),daily_dates,0),MATCH($B$3,daily_items,0))),NA(),INDEX(big_daily_table,MATCH(DATE(T$5,$K184,$J184),daily_dates,0),MATCH($B$3,daily_items,0)))</f>
        <v>#N/A</v>
      </c>
      <c r="U184" s="1" t="str">
        <f t="array" ref="U184">IF(ISBLANK(INDEX(big_daily_table,MATCH(DATE(U$5,$K184,$J184),daily_dates,0),MATCH($B$3,daily_items,0))),NA(),INDEX(big_daily_table,MATCH(DATE(U$5,$K184,$J184),daily_dates,0),MATCH($B$3,daily_items,0)))</f>
        <v>#N/A</v>
      </c>
      <c r="V184" s="1" t="str">
        <f t="array" ref="V184">IF(ISBLANK(INDEX(big_daily_table,MATCH(DATE(V$5,$K184,$J184),daily_dates,0),MATCH($B$3,daily_items,0))),NA(),INDEX(big_daily_table,MATCH(DATE(V$5,$K184,$J184),daily_dates,0),MATCH($B$3,daily_items,0)))</f>
        <v>#N/A</v>
      </c>
      <c r="W184" s="1" t="str">
        <f t="array" ref="W184">IF(ISBLANK(INDEX(big_daily_table,MATCH(DATE(W$5,$K184,$J184),daily_dates,0),MATCH($B$3,daily_items,0))),NA(),INDEX(big_daily_table,MATCH(DATE(W$5,$K184,$J184),daily_dates,0),MATCH($B$3,daily_items,0)))</f>
        <v>#N/A</v>
      </c>
      <c r="X184" s="1" t="str">
        <f t="array" ref="X184">IF(ISBLANK(INDEX(big_daily_table,MATCH(DATE(X$5,$K184,$J184),daily_dates,0),MATCH($B$3,daily_items,0))),NA(),INDEX(big_daily_table,MATCH(DATE(X$5,$K184,$J184),daily_dates,0),MATCH($B$3,daily_items,0)))</f>
        <v>#N/A</v>
      </c>
      <c r="Y184" s="1" t="str">
        <f t="array" ref="Y184">IF(ISBLANK(INDEX(big_daily_table,MATCH(DATE(Y$5,$K184,$J184),daily_dates,0),MATCH($B$3,daily_items,0))),NA(),INDEX(big_daily_table,MATCH(DATE(Y$5,$K184,$J184),daily_dates,0),MATCH($B$3,daily_items,0)))</f>
        <v>#N/A</v>
      </c>
      <c r="Z184" s="1" t="str">
        <f t="array" ref="Z184">IF(ISBLANK(INDEX(big_daily_table,MATCH(DATE(Z$5,$K184,$J184),daily_dates,0),MATCH($B$3,daily_items,0))),NA(),INDEX(big_daily_table,MATCH(DATE(Z$5,$K184,$J184),daily_dates,0),MATCH($B$3,daily_items,0)))</f>
        <v>#N/A</v>
      </c>
      <c r="AA184" s="1" t="str">
        <f t="shared" si="5"/>
        <v>#NAME?</v>
      </c>
      <c r="AB184" s="1" t="str">
        <f t="shared" si="6"/>
        <v>#NAME?</v>
      </c>
      <c r="AC184" s="1" t="str">
        <f t="shared" si="7"/>
        <v>#NAME?</v>
      </c>
      <c r="AD184" s="1" t="str">
        <f t="shared" si="8"/>
        <v>#NAME?</v>
      </c>
    </row>
    <row r="185" ht="14.25" customHeight="1">
      <c r="H185" s="1">
        <f t="shared" si="9"/>
        <v>180</v>
      </c>
      <c r="I185" s="1">
        <f>WEEKDAY('daily graphs'!K185)</f>
        <v>4</v>
      </c>
      <c r="J185" s="1">
        <f t="shared" si="2"/>
        <v>24</v>
      </c>
      <c r="K185" s="1">
        <f t="shared" si="3"/>
        <v>6</v>
      </c>
      <c r="L185" s="23">
        <f>'daily graphs'!K185 - I185</f>
        <v>36701</v>
      </c>
      <c r="M185" s="24">
        <f t="shared" si="4"/>
        <v>-1000000</v>
      </c>
      <c r="N185" s="24" t="str">
        <f t="array" ref="N185">IF(M185&gt;0,INDEX(big_daily_table,MATCH(DATE(O$5,$K185,$J185),daily_dates,0),MATCH($B$3,daily_items,0)),NA())</f>
        <v>#N/A</v>
      </c>
      <c r="O185" s="1" t="str">
        <f t="array" ref="O185">IF(M185&lt;0,INDEX(big_daily_table,MATCH(DATE(O$5,$K185,$J185),daily_dates,0),MATCH($B$3,daily_items,0)),NA())</f>
        <v>#N/A</v>
      </c>
      <c r="P185" s="1" t="str">
        <f t="array" ref="P185">IF(ISBLANK(INDEX(big_daily_table,MATCH(DATE(P$5,$K185,$J185),daily_dates,0),MATCH($B$3,daily_items,0))),NA(),INDEX(big_daily_table,MATCH(DATE(P$5,$K185,$J185),daily_dates,0),MATCH($B$3,daily_items,0)))</f>
        <v>#N/A</v>
      </c>
      <c r="Q185" s="1" t="str">
        <f t="array" ref="Q185">IF(ISBLANK(INDEX(big_daily_table,MATCH(DATE(Q$5,$K185,$J185),daily_dates,0),MATCH($B$3,daily_items,0))),NA(),INDEX(big_daily_table,MATCH(DATE(Q$5,$K185,$J185),daily_dates,0),MATCH($B$3,daily_items,0)))</f>
        <v>#N/A</v>
      </c>
      <c r="R185" s="1" t="str">
        <f t="array" ref="R185">IF(ISBLANK(INDEX(big_daily_table,MATCH(DATE(R$5,$K185,$J185),daily_dates,0),MATCH($B$3,daily_items,0))),NA(),INDEX(big_daily_table,MATCH(DATE(R$5,$K185,$J185),daily_dates,0),MATCH($B$3,daily_items,0)))</f>
        <v>#N/A</v>
      </c>
      <c r="S185" s="1" t="str">
        <f t="array" ref="S185">IF(ISBLANK(INDEX(big_daily_table,MATCH(DATE(S$5,$K185,$J185),daily_dates,0),MATCH($B$3,daily_items,0))),NA(),INDEX(big_daily_table,MATCH(DATE(S$5,$K185,$J185),daily_dates,0),MATCH($B$3,daily_items,0)))</f>
        <v>#N/A</v>
      </c>
      <c r="T185" s="1" t="str">
        <f t="array" ref="T185">IF(ISBLANK(INDEX(big_daily_table,MATCH(DATE(T$5,$K185,$J185),daily_dates,0),MATCH($B$3,daily_items,0))),NA(),INDEX(big_daily_table,MATCH(DATE(T$5,$K185,$J185),daily_dates,0),MATCH($B$3,daily_items,0)))</f>
        <v>#N/A</v>
      </c>
      <c r="U185" s="1" t="str">
        <f t="array" ref="U185">IF(ISBLANK(INDEX(big_daily_table,MATCH(DATE(U$5,$K185,$J185),daily_dates,0),MATCH($B$3,daily_items,0))),NA(),INDEX(big_daily_table,MATCH(DATE(U$5,$K185,$J185),daily_dates,0),MATCH($B$3,daily_items,0)))</f>
        <v>#N/A</v>
      </c>
      <c r="V185" s="1" t="str">
        <f t="array" ref="V185">IF(ISBLANK(INDEX(big_daily_table,MATCH(DATE(V$5,$K185,$J185),daily_dates,0),MATCH($B$3,daily_items,0))),NA(),INDEX(big_daily_table,MATCH(DATE(V$5,$K185,$J185),daily_dates,0),MATCH($B$3,daily_items,0)))</f>
        <v>#N/A</v>
      </c>
      <c r="W185" s="1" t="str">
        <f t="array" ref="W185">IF(ISBLANK(INDEX(big_daily_table,MATCH(DATE(W$5,$K185,$J185),daily_dates,0),MATCH($B$3,daily_items,0))),NA(),INDEX(big_daily_table,MATCH(DATE(W$5,$K185,$J185),daily_dates,0),MATCH($B$3,daily_items,0)))</f>
        <v>#N/A</v>
      </c>
      <c r="X185" s="1" t="str">
        <f t="array" ref="X185">IF(ISBLANK(INDEX(big_daily_table,MATCH(DATE(X$5,$K185,$J185),daily_dates,0),MATCH($B$3,daily_items,0))),NA(),INDEX(big_daily_table,MATCH(DATE(X$5,$K185,$J185),daily_dates,0),MATCH($B$3,daily_items,0)))</f>
        <v>#N/A</v>
      </c>
      <c r="Y185" s="1" t="str">
        <f t="array" ref="Y185">IF(ISBLANK(INDEX(big_daily_table,MATCH(DATE(Y$5,$K185,$J185),daily_dates,0),MATCH($B$3,daily_items,0))),NA(),INDEX(big_daily_table,MATCH(DATE(Y$5,$K185,$J185),daily_dates,0),MATCH($B$3,daily_items,0)))</f>
        <v>#N/A</v>
      </c>
      <c r="Z185" s="1" t="str">
        <f t="array" ref="Z185">IF(ISBLANK(INDEX(big_daily_table,MATCH(DATE(Z$5,$K185,$J185),daily_dates,0),MATCH($B$3,daily_items,0))),NA(),INDEX(big_daily_table,MATCH(DATE(Z$5,$K185,$J185),daily_dates,0),MATCH($B$3,daily_items,0)))</f>
        <v>#N/A</v>
      </c>
      <c r="AA185" s="1" t="str">
        <f t="shared" si="5"/>
        <v>#NAME?</v>
      </c>
      <c r="AB185" s="1" t="str">
        <f t="shared" si="6"/>
        <v>#NAME?</v>
      </c>
      <c r="AC185" s="1" t="str">
        <f t="shared" si="7"/>
        <v>#NAME?</v>
      </c>
      <c r="AD185" s="1" t="str">
        <f t="shared" si="8"/>
        <v>#NAME?</v>
      </c>
    </row>
    <row r="186" ht="14.25" customHeight="1">
      <c r="H186" s="1">
        <f t="shared" si="9"/>
        <v>181</v>
      </c>
      <c r="I186" s="1">
        <f>WEEKDAY('daily graphs'!K186)</f>
        <v>5</v>
      </c>
      <c r="J186" s="1">
        <f t="shared" si="2"/>
        <v>24</v>
      </c>
      <c r="K186" s="1">
        <f t="shared" si="3"/>
        <v>6</v>
      </c>
      <c r="L186" s="23">
        <f>'daily graphs'!K186 - I186</f>
        <v>36701</v>
      </c>
      <c r="M186" s="24">
        <f t="shared" si="4"/>
        <v>-1000000</v>
      </c>
      <c r="N186" s="24" t="str">
        <f t="array" ref="N186">IF(M186&gt;0,INDEX(big_daily_table,MATCH(DATE(O$5,$K186,$J186),daily_dates,0),MATCH($B$3,daily_items,0)),NA())</f>
        <v>#N/A</v>
      </c>
      <c r="O186" s="1" t="str">
        <f t="array" ref="O186">IF(M186&lt;0,INDEX(big_daily_table,MATCH(DATE(O$5,$K186,$J186),daily_dates,0),MATCH($B$3,daily_items,0)),NA())</f>
        <v>#N/A</v>
      </c>
      <c r="P186" s="1" t="str">
        <f t="array" ref="P186">IF(ISBLANK(INDEX(big_daily_table,MATCH(DATE(P$5,$K186,$J186),daily_dates,0),MATCH($B$3,daily_items,0))),NA(),INDEX(big_daily_table,MATCH(DATE(P$5,$K186,$J186),daily_dates,0),MATCH($B$3,daily_items,0)))</f>
        <v>#N/A</v>
      </c>
      <c r="Q186" s="1" t="str">
        <f t="array" ref="Q186">IF(ISBLANK(INDEX(big_daily_table,MATCH(DATE(Q$5,$K186,$J186),daily_dates,0),MATCH($B$3,daily_items,0))),NA(),INDEX(big_daily_table,MATCH(DATE(Q$5,$K186,$J186),daily_dates,0),MATCH($B$3,daily_items,0)))</f>
        <v>#N/A</v>
      </c>
      <c r="R186" s="1" t="str">
        <f t="array" ref="R186">IF(ISBLANK(INDEX(big_daily_table,MATCH(DATE(R$5,$K186,$J186),daily_dates,0),MATCH($B$3,daily_items,0))),NA(),INDEX(big_daily_table,MATCH(DATE(R$5,$K186,$J186),daily_dates,0),MATCH($B$3,daily_items,0)))</f>
        <v>#N/A</v>
      </c>
      <c r="S186" s="1" t="str">
        <f t="array" ref="S186">IF(ISBLANK(INDEX(big_daily_table,MATCH(DATE(S$5,$K186,$J186),daily_dates,0),MATCH($B$3,daily_items,0))),NA(),INDEX(big_daily_table,MATCH(DATE(S$5,$K186,$J186),daily_dates,0),MATCH($B$3,daily_items,0)))</f>
        <v>#N/A</v>
      </c>
      <c r="T186" s="1" t="str">
        <f t="array" ref="T186">IF(ISBLANK(INDEX(big_daily_table,MATCH(DATE(T$5,$K186,$J186),daily_dates,0),MATCH($B$3,daily_items,0))),NA(),INDEX(big_daily_table,MATCH(DATE(T$5,$K186,$J186),daily_dates,0),MATCH($B$3,daily_items,0)))</f>
        <v>#N/A</v>
      </c>
      <c r="U186" s="1" t="str">
        <f t="array" ref="U186">IF(ISBLANK(INDEX(big_daily_table,MATCH(DATE(U$5,$K186,$J186),daily_dates,0),MATCH($B$3,daily_items,0))),NA(),INDEX(big_daily_table,MATCH(DATE(U$5,$K186,$J186),daily_dates,0),MATCH($B$3,daily_items,0)))</f>
        <v>#N/A</v>
      </c>
      <c r="V186" s="1" t="str">
        <f t="array" ref="V186">IF(ISBLANK(INDEX(big_daily_table,MATCH(DATE(V$5,$K186,$J186),daily_dates,0),MATCH($B$3,daily_items,0))),NA(),INDEX(big_daily_table,MATCH(DATE(V$5,$K186,$J186),daily_dates,0),MATCH($B$3,daily_items,0)))</f>
        <v>#N/A</v>
      </c>
      <c r="W186" s="1" t="str">
        <f t="array" ref="W186">IF(ISBLANK(INDEX(big_daily_table,MATCH(DATE(W$5,$K186,$J186),daily_dates,0),MATCH($B$3,daily_items,0))),NA(),INDEX(big_daily_table,MATCH(DATE(W$5,$K186,$J186),daily_dates,0),MATCH($B$3,daily_items,0)))</f>
        <v>#N/A</v>
      </c>
      <c r="X186" s="1" t="str">
        <f t="array" ref="X186">IF(ISBLANK(INDEX(big_daily_table,MATCH(DATE(X$5,$K186,$J186),daily_dates,0),MATCH($B$3,daily_items,0))),NA(),INDEX(big_daily_table,MATCH(DATE(X$5,$K186,$J186),daily_dates,0),MATCH($B$3,daily_items,0)))</f>
        <v>#N/A</v>
      </c>
      <c r="Y186" s="1" t="str">
        <f t="array" ref="Y186">IF(ISBLANK(INDEX(big_daily_table,MATCH(DATE(Y$5,$K186,$J186),daily_dates,0),MATCH($B$3,daily_items,0))),NA(),INDEX(big_daily_table,MATCH(DATE(Y$5,$K186,$J186),daily_dates,0),MATCH($B$3,daily_items,0)))</f>
        <v>#N/A</v>
      </c>
      <c r="Z186" s="1" t="str">
        <f t="array" ref="Z186">IF(ISBLANK(INDEX(big_daily_table,MATCH(DATE(Z$5,$K186,$J186),daily_dates,0),MATCH($B$3,daily_items,0))),NA(),INDEX(big_daily_table,MATCH(DATE(Z$5,$K186,$J186),daily_dates,0),MATCH($B$3,daily_items,0)))</f>
        <v>#N/A</v>
      </c>
      <c r="AA186" s="1" t="str">
        <f t="shared" si="5"/>
        <v>#NAME?</v>
      </c>
      <c r="AB186" s="1" t="str">
        <f t="shared" si="6"/>
        <v>#NAME?</v>
      </c>
      <c r="AC186" s="1" t="str">
        <f t="shared" si="7"/>
        <v>#NAME?</v>
      </c>
      <c r="AD186" s="1" t="str">
        <f t="shared" si="8"/>
        <v>#NAME?</v>
      </c>
    </row>
    <row r="187" ht="14.25" customHeight="1">
      <c r="H187" s="1">
        <f t="shared" si="9"/>
        <v>182</v>
      </c>
      <c r="I187" s="1">
        <f>WEEKDAY('daily graphs'!K187)</f>
        <v>6</v>
      </c>
      <c r="J187" s="1">
        <f t="shared" si="2"/>
        <v>24</v>
      </c>
      <c r="K187" s="1">
        <f t="shared" si="3"/>
        <v>6</v>
      </c>
      <c r="L187" s="23">
        <f>'daily graphs'!K187 - I187</f>
        <v>36701</v>
      </c>
      <c r="M187" s="24">
        <f t="shared" si="4"/>
        <v>-1000000</v>
      </c>
      <c r="N187" s="24" t="str">
        <f t="array" ref="N187">IF(M187&gt;0,INDEX(big_daily_table,MATCH(DATE(O$5,$K187,$J187),daily_dates,0),MATCH($B$3,daily_items,0)),NA())</f>
        <v>#N/A</v>
      </c>
      <c r="O187" s="1" t="str">
        <f t="array" ref="O187">IF(M187&lt;0,INDEX(big_daily_table,MATCH(DATE(O$5,$K187,$J187),daily_dates,0),MATCH($B$3,daily_items,0)),NA())</f>
        <v>#N/A</v>
      </c>
      <c r="P187" s="1" t="str">
        <f t="array" ref="P187">IF(ISBLANK(INDEX(big_daily_table,MATCH(DATE(P$5,$K187,$J187),daily_dates,0),MATCH($B$3,daily_items,0))),NA(),INDEX(big_daily_table,MATCH(DATE(P$5,$K187,$J187),daily_dates,0),MATCH($B$3,daily_items,0)))</f>
        <v>#N/A</v>
      </c>
      <c r="Q187" s="1" t="str">
        <f t="array" ref="Q187">IF(ISBLANK(INDEX(big_daily_table,MATCH(DATE(Q$5,$K187,$J187),daily_dates,0),MATCH($B$3,daily_items,0))),NA(),INDEX(big_daily_table,MATCH(DATE(Q$5,$K187,$J187),daily_dates,0),MATCH($B$3,daily_items,0)))</f>
        <v>#N/A</v>
      </c>
      <c r="R187" s="1" t="str">
        <f t="array" ref="R187">IF(ISBLANK(INDEX(big_daily_table,MATCH(DATE(R$5,$K187,$J187),daily_dates,0),MATCH($B$3,daily_items,0))),NA(),INDEX(big_daily_table,MATCH(DATE(R$5,$K187,$J187),daily_dates,0),MATCH($B$3,daily_items,0)))</f>
        <v>#N/A</v>
      </c>
      <c r="S187" s="1" t="str">
        <f t="array" ref="S187">IF(ISBLANK(INDEX(big_daily_table,MATCH(DATE(S$5,$K187,$J187),daily_dates,0),MATCH($B$3,daily_items,0))),NA(),INDEX(big_daily_table,MATCH(DATE(S$5,$K187,$J187),daily_dates,0),MATCH($B$3,daily_items,0)))</f>
        <v>#N/A</v>
      </c>
      <c r="T187" s="1" t="str">
        <f t="array" ref="T187">IF(ISBLANK(INDEX(big_daily_table,MATCH(DATE(T$5,$K187,$J187),daily_dates,0),MATCH($B$3,daily_items,0))),NA(),INDEX(big_daily_table,MATCH(DATE(T$5,$K187,$J187),daily_dates,0),MATCH($B$3,daily_items,0)))</f>
        <v>#N/A</v>
      </c>
      <c r="U187" s="1" t="str">
        <f t="array" ref="U187">IF(ISBLANK(INDEX(big_daily_table,MATCH(DATE(U$5,$K187,$J187),daily_dates,0),MATCH($B$3,daily_items,0))),NA(),INDEX(big_daily_table,MATCH(DATE(U$5,$K187,$J187),daily_dates,0),MATCH($B$3,daily_items,0)))</f>
        <v>#N/A</v>
      </c>
      <c r="V187" s="1" t="str">
        <f t="array" ref="V187">IF(ISBLANK(INDEX(big_daily_table,MATCH(DATE(V$5,$K187,$J187),daily_dates,0),MATCH($B$3,daily_items,0))),NA(),INDEX(big_daily_table,MATCH(DATE(V$5,$K187,$J187),daily_dates,0),MATCH($B$3,daily_items,0)))</f>
        <v>#N/A</v>
      </c>
      <c r="W187" s="1" t="str">
        <f t="array" ref="W187">IF(ISBLANK(INDEX(big_daily_table,MATCH(DATE(W$5,$K187,$J187),daily_dates,0),MATCH($B$3,daily_items,0))),NA(),INDEX(big_daily_table,MATCH(DATE(W$5,$K187,$J187),daily_dates,0),MATCH($B$3,daily_items,0)))</f>
        <v>#N/A</v>
      </c>
      <c r="X187" s="1" t="str">
        <f t="array" ref="X187">IF(ISBLANK(INDEX(big_daily_table,MATCH(DATE(X$5,$K187,$J187),daily_dates,0),MATCH($B$3,daily_items,0))),NA(),INDEX(big_daily_table,MATCH(DATE(X$5,$K187,$J187),daily_dates,0),MATCH($B$3,daily_items,0)))</f>
        <v>#N/A</v>
      </c>
      <c r="Y187" s="1" t="str">
        <f t="array" ref="Y187">IF(ISBLANK(INDEX(big_daily_table,MATCH(DATE(Y$5,$K187,$J187),daily_dates,0),MATCH($B$3,daily_items,0))),NA(),INDEX(big_daily_table,MATCH(DATE(Y$5,$K187,$J187),daily_dates,0),MATCH($B$3,daily_items,0)))</f>
        <v>#N/A</v>
      </c>
      <c r="Z187" s="1" t="str">
        <f t="array" ref="Z187">IF(ISBLANK(INDEX(big_daily_table,MATCH(DATE(Z$5,$K187,$J187),daily_dates,0),MATCH($B$3,daily_items,0))),NA(),INDEX(big_daily_table,MATCH(DATE(Z$5,$K187,$J187),daily_dates,0),MATCH($B$3,daily_items,0)))</f>
        <v>#N/A</v>
      </c>
      <c r="AA187" s="1" t="str">
        <f t="shared" si="5"/>
        <v>#NAME?</v>
      </c>
      <c r="AB187" s="1" t="str">
        <f t="shared" si="6"/>
        <v>#NAME?</v>
      </c>
      <c r="AC187" s="1" t="str">
        <f t="shared" si="7"/>
        <v>#NAME?</v>
      </c>
      <c r="AD187" s="1" t="str">
        <f t="shared" si="8"/>
        <v>#NAME?</v>
      </c>
    </row>
    <row r="188" ht="14.25" customHeight="1">
      <c r="H188" s="1">
        <f t="shared" si="9"/>
        <v>183</v>
      </c>
      <c r="I188" s="1">
        <f>WEEKDAY('daily graphs'!K188)</f>
        <v>7</v>
      </c>
      <c r="J188" s="1">
        <f t="shared" si="2"/>
        <v>24</v>
      </c>
      <c r="K188" s="1">
        <f t="shared" si="3"/>
        <v>6</v>
      </c>
      <c r="L188" s="23">
        <f>'daily graphs'!K188 - I188</f>
        <v>36701</v>
      </c>
      <c r="M188" s="24">
        <f t="shared" si="4"/>
        <v>-1000000</v>
      </c>
      <c r="N188" s="24" t="str">
        <f t="array" ref="N188">IF(M188&gt;0,INDEX(big_daily_table,MATCH(DATE(O$5,$K188,$J188),daily_dates,0),MATCH($B$3,daily_items,0)),NA())</f>
        <v>#N/A</v>
      </c>
      <c r="O188" s="1" t="str">
        <f t="array" ref="O188">IF(M188&lt;0,INDEX(big_daily_table,MATCH(DATE(O$5,$K188,$J188),daily_dates,0),MATCH($B$3,daily_items,0)),NA())</f>
        <v>#N/A</v>
      </c>
      <c r="P188" s="1" t="str">
        <f t="array" ref="P188">IF(ISBLANK(INDEX(big_daily_table,MATCH(DATE(P$5,$K188,$J188),daily_dates,0),MATCH($B$3,daily_items,0))),NA(),INDEX(big_daily_table,MATCH(DATE(P$5,$K188,$J188),daily_dates,0),MATCH($B$3,daily_items,0)))</f>
        <v>#N/A</v>
      </c>
      <c r="Q188" s="1" t="str">
        <f t="array" ref="Q188">IF(ISBLANK(INDEX(big_daily_table,MATCH(DATE(Q$5,$K188,$J188),daily_dates,0),MATCH($B$3,daily_items,0))),NA(),INDEX(big_daily_table,MATCH(DATE(Q$5,$K188,$J188),daily_dates,0),MATCH($B$3,daily_items,0)))</f>
        <v>#N/A</v>
      </c>
      <c r="R188" s="1" t="str">
        <f t="array" ref="R188">IF(ISBLANK(INDEX(big_daily_table,MATCH(DATE(R$5,$K188,$J188),daily_dates,0),MATCH($B$3,daily_items,0))),NA(),INDEX(big_daily_table,MATCH(DATE(R$5,$K188,$J188),daily_dates,0),MATCH($B$3,daily_items,0)))</f>
        <v>#N/A</v>
      </c>
      <c r="S188" s="1" t="str">
        <f t="array" ref="S188">IF(ISBLANK(INDEX(big_daily_table,MATCH(DATE(S$5,$K188,$J188),daily_dates,0),MATCH($B$3,daily_items,0))),NA(),INDEX(big_daily_table,MATCH(DATE(S$5,$K188,$J188),daily_dates,0),MATCH($B$3,daily_items,0)))</f>
        <v>#N/A</v>
      </c>
      <c r="T188" s="1" t="str">
        <f t="array" ref="T188">IF(ISBLANK(INDEX(big_daily_table,MATCH(DATE(T$5,$K188,$J188),daily_dates,0),MATCH($B$3,daily_items,0))),NA(),INDEX(big_daily_table,MATCH(DATE(T$5,$K188,$J188),daily_dates,0),MATCH($B$3,daily_items,0)))</f>
        <v>#N/A</v>
      </c>
      <c r="U188" s="1" t="str">
        <f t="array" ref="U188">IF(ISBLANK(INDEX(big_daily_table,MATCH(DATE(U$5,$K188,$J188),daily_dates,0),MATCH($B$3,daily_items,0))),NA(),INDEX(big_daily_table,MATCH(DATE(U$5,$K188,$J188),daily_dates,0),MATCH($B$3,daily_items,0)))</f>
        <v>#N/A</v>
      </c>
      <c r="V188" s="1" t="str">
        <f t="array" ref="V188">IF(ISBLANK(INDEX(big_daily_table,MATCH(DATE(V$5,$K188,$J188),daily_dates,0),MATCH($B$3,daily_items,0))),NA(),INDEX(big_daily_table,MATCH(DATE(V$5,$K188,$J188),daily_dates,0),MATCH($B$3,daily_items,0)))</f>
        <v>#N/A</v>
      </c>
      <c r="W188" s="1" t="str">
        <f t="array" ref="W188">IF(ISBLANK(INDEX(big_daily_table,MATCH(DATE(W$5,$K188,$J188),daily_dates,0),MATCH($B$3,daily_items,0))),NA(),INDEX(big_daily_table,MATCH(DATE(W$5,$K188,$J188),daily_dates,0),MATCH($B$3,daily_items,0)))</f>
        <v>#N/A</v>
      </c>
      <c r="X188" s="1" t="str">
        <f t="array" ref="X188">IF(ISBLANK(INDEX(big_daily_table,MATCH(DATE(X$5,$K188,$J188),daily_dates,0),MATCH($B$3,daily_items,0))),NA(),INDEX(big_daily_table,MATCH(DATE(X$5,$K188,$J188),daily_dates,0),MATCH($B$3,daily_items,0)))</f>
        <v>#N/A</v>
      </c>
      <c r="Y188" s="1" t="str">
        <f t="array" ref="Y188">IF(ISBLANK(INDEX(big_daily_table,MATCH(DATE(Y$5,$K188,$J188),daily_dates,0),MATCH($B$3,daily_items,0))),NA(),INDEX(big_daily_table,MATCH(DATE(Y$5,$K188,$J188),daily_dates,0),MATCH($B$3,daily_items,0)))</f>
        <v>#N/A</v>
      </c>
      <c r="Z188" s="1" t="str">
        <f t="array" ref="Z188">IF(ISBLANK(INDEX(big_daily_table,MATCH(DATE(Z$5,$K188,$J188),daily_dates,0),MATCH($B$3,daily_items,0))),NA(),INDEX(big_daily_table,MATCH(DATE(Z$5,$K188,$J188),daily_dates,0),MATCH($B$3,daily_items,0)))</f>
        <v>#N/A</v>
      </c>
      <c r="AA188" s="1" t="str">
        <f t="shared" si="5"/>
        <v>#NAME?</v>
      </c>
      <c r="AB188" s="1" t="str">
        <f t="shared" si="6"/>
        <v>#NAME?</v>
      </c>
      <c r="AC188" s="1" t="str">
        <f t="shared" si="7"/>
        <v>#NAME?</v>
      </c>
      <c r="AD188" s="1" t="str">
        <f t="shared" si="8"/>
        <v>#NAME?</v>
      </c>
    </row>
    <row r="189" ht="14.25" customHeight="1">
      <c r="H189" s="1">
        <f t="shared" si="9"/>
        <v>184</v>
      </c>
      <c r="I189" s="1">
        <f>WEEKDAY('daily graphs'!K189)</f>
        <v>1</v>
      </c>
      <c r="J189" s="1">
        <f t="shared" si="2"/>
        <v>1</v>
      </c>
      <c r="K189" s="1">
        <f t="shared" si="3"/>
        <v>7</v>
      </c>
      <c r="L189" s="23">
        <f>'daily graphs'!K189 - I189</f>
        <v>36708</v>
      </c>
      <c r="M189" s="24">
        <f t="shared" si="4"/>
        <v>-1000000</v>
      </c>
      <c r="N189" s="24" t="str">
        <f t="array" ref="N189">IF(M189&gt;0,INDEX(big_daily_table,MATCH(DATE(O$5,$K189,$J189),daily_dates,0),MATCH($B$3,daily_items,0)),NA())</f>
        <v>#N/A</v>
      </c>
      <c r="O189" s="1" t="str">
        <f t="array" ref="O189">IF(M189&lt;0,INDEX(big_daily_table,MATCH(DATE(O$5,$K189,$J189),daily_dates,0),MATCH($B$3,daily_items,0)),NA())</f>
        <v>#N/A</v>
      </c>
      <c r="P189" s="1" t="str">
        <f t="array" ref="P189">IF(ISBLANK(INDEX(big_daily_table,MATCH(DATE(P$5,$K189,$J189),daily_dates,0),MATCH($B$3,daily_items,0))),NA(),INDEX(big_daily_table,MATCH(DATE(P$5,$K189,$J189),daily_dates,0),MATCH($B$3,daily_items,0)))</f>
        <v>#N/A</v>
      </c>
      <c r="Q189" s="1" t="str">
        <f t="array" ref="Q189">IF(ISBLANK(INDEX(big_daily_table,MATCH(DATE(Q$5,$K189,$J189),daily_dates,0),MATCH($B$3,daily_items,0))),NA(),INDEX(big_daily_table,MATCH(DATE(Q$5,$K189,$J189),daily_dates,0),MATCH($B$3,daily_items,0)))</f>
        <v>#N/A</v>
      </c>
      <c r="R189" s="1" t="str">
        <f t="array" ref="R189">IF(ISBLANK(INDEX(big_daily_table,MATCH(DATE(R$5,$K189,$J189),daily_dates,0),MATCH($B$3,daily_items,0))),NA(),INDEX(big_daily_table,MATCH(DATE(R$5,$K189,$J189),daily_dates,0),MATCH($B$3,daily_items,0)))</f>
        <v>#N/A</v>
      </c>
      <c r="S189" s="1" t="str">
        <f t="array" ref="S189">IF(ISBLANK(INDEX(big_daily_table,MATCH(DATE(S$5,$K189,$J189),daily_dates,0),MATCH($B$3,daily_items,0))),NA(),INDEX(big_daily_table,MATCH(DATE(S$5,$K189,$J189),daily_dates,0),MATCH($B$3,daily_items,0)))</f>
        <v>#N/A</v>
      </c>
      <c r="T189" s="1" t="str">
        <f t="array" ref="T189">IF(ISBLANK(INDEX(big_daily_table,MATCH(DATE(T$5,$K189,$J189),daily_dates,0),MATCH($B$3,daily_items,0))),NA(),INDEX(big_daily_table,MATCH(DATE(T$5,$K189,$J189),daily_dates,0),MATCH($B$3,daily_items,0)))</f>
        <v>#N/A</v>
      </c>
      <c r="U189" s="1" t="str">
        <f t="array" ref="U189">IF(ISBLANK(INDEX(big_daily_table,MATCH(DATE(U$5,$K189,$J189),daily_dates,0),MATCH($B$3,daily_items,0))),NA(),INDEX(big_daily_table,MATCH(DATE(U$5,$K189,$J189),daily_dates,0),MATCH($B$3,daily_items,0)))</f>
        <v>#N/A</v>
      </c>
      <c r="V189" s="1" t="str">
        <f t="array" ref="V189">IF(ISBLANK(INDEX(big_daily_table,MATCH(DATE(V$5,$K189,$J189),daily_dates,0),MATCH($B$3,daily_items,0))),NA(),INDEX(big_daily_table,MATCH(DATE(V$5,$K189,$J189),daily_dates,0),MATCH($B$3,daily_items,0)))</f>
        <v>#N/A</v>
      </c>
      <c r="W189" s="1" t="str">
        <f t="array" ref="W189">IF(ISBLANK(INDEX(big_daily_table,MATCH(DATE(W$5,$K189,$J189),daily_dates,0),MATCH($B$3,daily_items,0))),NA(),INDEX(big_daily_table,MATCH(DATE(W$5,$K189,$J189),daily_dates,0),MATCH($B$3,daily_items,0)))</f>
        <v>#N/A</v>
      </c>
      <c r="X189" s="1" t="str">
        <f t="array" ref="X189">IF(ISBLANK(INDEX(big_daily_table,MATCH(DATE(X$5,$K189,$J189),daily_dates,0),MATCH($B$3,daily_items,0))),NA(),INDEX(big_daily_table,MATCH(DATE(X$5,$K189,$J189),daily_dates,0),MATCH($B$3,daily_items,0)))</f>
        <v>#N/A</v>
      </c>
      <c r="Y189" s="1" t="str">
        <f t="array" ref="Y189">IF(ISBLANK(INDEX(big_daily_table,MATCH(DATE(Y$5,$K189,$J189),daily_dates,0),MATCH($B$3,daily_items,0))),NA(),INDEX(big_daily_table,MATCH(DATE(Y$5,$K189,$J189),daily_dates,0),MATCH($B$3,daily_items,0)))</f>
        <v>#N/A</v>
      </c>
      <c r="Z189" s="1" t="str">
        <f t="array" ref="Z189">IF(ISBLANK(INDEX(big_daily_table,MATCH(DATE(Z$5,$K189,$J189),daily_dates,0),MATCH($B$3,daily_items,0))),NA(),INDEX(big_daily_table,MATCH(DATE(Z$5,$K189,$J189),daily_dates,0),MATCH($B$3,daily_items,0)))</f>
        <v>#N/A</v>
      </c>
      <c r="AA189" s="1" t="str">
        <f t="shared" si="5"/>
        <v>#NAME?</v>
      </c>
      <c r="AB189" s="1" t="str">
        <f t="shared" si="6"/>
        <v>#NAME?</v>
      </c>
      <c r="AC189" s="1" t="str">
        <f t="shared" si="7"/>
        <v>#NAME?</v>
      </c>
      <c r="AD189" s="1" t="str">
        <f t="shared" si="8"/>
        <v>#NAME?</v>
      </c>
    </row>
    <row r="190" ht="14.25" customHeight="1">
      <c r="H190" s="1">
        <f t="shared" si="9"/>
        <v>185</v>
      </c>
      <c r="I190" s="1">
        <f>WEEKDAY('daily graphs'!K190)</f>
        <v>2</v>
      </c>
      <c r="J190" s="1">
        <f t="shared" si="2"/>
        <v>1</v>
      </c>
      <c r="K190" s="1">
        <f t="shared" si="3"/>
        <v>7</v>
      </c>
      <c r="L190" s="23">
        <f>'daily graphs'!K190 - I190</f>
        <v>36708</v>
      </c>
      <c r="M190" s="24">
        <f t="shared" si="4"/>
        <v>-1000000</v>
      </c>
      <c r="N190" s="24" t="str">
        <f t="array" ref="N190">IF(M190&gt;0,INDEX(big_daily_table,MATCH(DATE(O$5,$K190,$J190),daily_dates,0),MATCH($B$3,daily_items,0)),NA())</f>
        <v>#N/A</v>
      </c>
      <c r="O190" s="1" t="str">
        <f t="array" ref="O190">IF(M190&lt;0,INDEX(big_daily_table,MATCH(DATE(O$5,$K190,$J190),daily_dates,0),MATCH($B$3,daily_items,0)),NA())</f>
        <v>#N/A</v>
      </c>
      <c r="P190" s="1" t="str">
        <f t="array" ref="P190">IF(ISBLANK(INDEX(big_daily_table,MATCH(DATE(P$5,$K190,$J190),daily_dates,0),MATCH($B$3,daily_items,0))),NA(),INDEX(big_daily_table,MATCH(DATE(P$5,$K190,$J190),daily_dates,0),MATCH($B$3,daily_items,0)))</f>
        <v>#N/A</v>
      </c>
      <c r="Q190" s="1" t="str">
        <f t="array" ref="Q190">IF(ISBLANK(INDEX(big_daily_table,MATCH(DATE(Q$5,$K190,$J190),daily_dates,0),MATCH($B$3,daily_items,0))),NA(),INDEX(big_daily_table,MATCH(DATE(Q$5,$K190,$J190),daily_dates,0),MATCH($B$3,daily_items,0)))</f>
        <v>#N/A</v>
      </c>
      <c r="R190" s="1" t="str">
        <f t="array" ref="R190">IF(ISBLANK(INDEX(big_daily_table,MATCH(DATE(R$5,$K190,$J190),daily_dates,0),MATCH($B$3,daily_items,0))),NA(),INDEX(big_daily_table,MATCH(DATE(R$5,$K190,$J190),daily_dates,0),MATCH($B$3,daily_items,0)))</f>
        <v>#N/A</v>
      </c>
      <c r="S190" s="1" t="str">
        <f t="array" ref="S190">IF(ISBLANK(INDEX(big_daily_table,MATCH(DATE(S$5,$K190,$J190),daily_dates,0),MATCH($B$3,daily_items,0))),NA(),INDEX(big_daily_table,MATCH(DATE(S$5,$K190,$J190),daily_dates,0),MATCH($B$3,daily_items,0)))</f>
        <v>#N/A</v>
      </c>
      <c r="T190" s="1" t="str">
        <f t="array" ref="T190">IF(ISBLANK(INDEX(big_daily_table,MATCH(DATE(T$5,$K190,$J190),daily_dates,0),MATCH($B$3,daily_items,0))),NA(),INDEX(big_daily_table,MATCH(DATE(T$5,$K190,$J190),daily_dates,0),MATCH($B$3,daily_items,0)))</f>
        <v>#N/A</v>
      </c>
      <c r="U190" s="1" t="str">
        <f t="array" ref="U190">IF(ISBLANK(INDEX(big_daily_table,MATCH(DATE(U$5,$K190,$J190),daily_dates,0),MATCH($B$3,daily_items,0))),NA(),INDEX(big_daily_table,MATCH(DATE(U$5,$K190,$J190),daily_dates,0),MATCH($B$3,daily_items,0)))</f>
        <v>#N/A</v>
      </c>
      <c r="V190" s="1" t="str">
        <f t="array" ref="V190">IF(ISBLANK(INDEX(big_daily_table,MATCH(DATE(V$5,$K190,$J190),daily_dates,0),MATCH($B$3,daily_items,0))),NA(),INDEX(big_daily_table,MATCH(DATE(V$5,$K190,$J190),daily_dates,0),MATCH($B$3,daily_items,0)))</f>
        <v>#N/A</v>
      </c>
      <c r="W190" s="1" t="str">
        <f t="array" ref="W190">IF(ISBLANK(INDEX(big_daily_table,MATCH(DATE(W$5,$K190,$J190),daily_dates,0),MATCH($B$3,daily_items,0))),NA(),INDEX(big_daily_table,MATCH(DATE(W$5,$K190,$J190),daily_dates,0),MATCH($B$3,daily_items,0)))</f>
        <v>#N/A</v>
      </c>
      <c r="X190" s="1" t="str">
        <f t="array" ref="X190">IF(ISBLANK(INDEX(big_daily_table,MATCH(DATE(X$5,$K190,$J190),daily_dates,0),MATCH($B$3,daily_items,0))),NA(),INDEX(big_daily_table,MATCH(DATE(X$5,$K190,$J190),daily_dates,0),MATCH($B$3,daily_items,0)))</f>
        <v>#N/A</v>
      </c>
      <c r="Y190" s="1" t="str">
        <f t="array" ref="Y190">IF(ISBLANK(INDEX(big_daily_table,MATCH(DATE(Y$5,$K190,$J190),daily_dates,0),MATCH($B$3,daily_items,0))),NA(),INDEX(big_daily_table,MATCH(DATE(Y$5,$K190,$J190),daily_dates,0),MATCH($B$3,daily_items,0)))</f>
        <v>#N/A</v>
      </c>
      <c r="Z190" s="1" t="str">
        <f t="array" ref="Z190">IF(ISBLANK(INDEX(big_daily_table,MATCH(DATE(Z$5,$K190,$J190),daily_dates,0),MATCH($B$3,daily_items,0))),NA(),INDEX(big_daily_table,MATCH(DATE(Z$5,$K190,$J190),daily_dates,0),MATCH($B$3,daily_items,0)))</f>
        <v>#N/A</v>
      </c>
      <c r="AA190" s="1" t="str">
        <f t="shared" si="5"/>
        <v>#NAME?</v>
      </c>
      <c r="AB190" s="1" t="str">
        <f t="shared" si="6"/>
        <v>#NAME?</v>
      </c>
      <c r="AC190" s="1" t="str">
        <f t="shared" si="7"/>
        <v>#NAME?</v>
      </c>
      <c r="AD190" s="1" t="str">
        <f t="shared" si="8"/>
        <v>#NAME?</v>
      </c>
    </row>
    <row r="191" ht="14.25" customHeight="1">
      <c r="H191" s="1">
        <f t="shared" si="9"/>
        <v>186</v>
      </c>
      <c r="I191" s="1">
        <f>WEEKDAY('daily graphs'!K191)</f>
        <v>3</v>
      </c>
      <c r="J191" s="1">
        <f t="shared" si="2"/>
        <v>1</v>
      </c>
      <c r="K191" s="1">
        <f t="shared" si="3"/>
        <v>7</v>
      </c>
      <c r="L191" s="23">
        <f>'daily graphs'!K191 - I191</f>
        <v>36708</v>
      </c>
      <c r="M191" s="24">
        <f t="shared" si="4"/>
        <v>-1000000</v>
      </c>
      <c r="N191" s="24" t="str">
        <f t="array" ref="N191">IF(M191&gt;0,INDEX(big_daily_table,MATCH(DATE(O$5,$K191,$J191),daily_dates,0),MATCH($B$3,daily_items,0)),NA())</f>
        <v>#N/A</v>
      </c>
      <c r="O191" s="1" t="str">
        <f t="array" ref="O191">IF(M191&lt;0,INDEX(big_daily_table,MATCH(DATE(O$5,$K191,$J191),daily_dates,0),MATCH($B$3,daily_items,0)),NA())</f>
        <v>#N/A</v>
      </c>
      <c r="P191" s="1" t="str">
        <f t="array" ref="P191">IF(ISBLANK(INDEX(big_daily_table,MATCH(DATE(P$5,$K191,$J191),daily_dates,0),MATCH($B$3,daily_items,0))),NA(),INDEX(big_daily_table,MATCH(DATE(P$5,$K191,$J191),daily_dates,0),MATCH($B$3,daily_items,0)))</f>
        <v>#N/A</v>
      </c>
      <c r="Q191" s="1" t="str">
        <f t="array" ref="Q191">IF(ISBLANK(INDEX(big_daily_table,MATCH(DATE(Q$5,$K191,$J191),daily_dates,0),MATCH($B$3,daily_items,0))),NA(),INDEX(big_daily_table,MATCH(DATE(Q$5,$K191,$J191),daily_dates,0),MATCH($B$3,daily_items,0)))</f>
        <v>#N/A</v>
      </c>
      <c r="R191" s="1" t="str">
        <f t="array" ref="R191">IF(ISBLANK(INDEX(big_daily_table,MATCH(DATE(R$5,$K191,$J191),daily_dates,0),MATCH($B$3,daily_items,0))),NA(),INDEX(big_daily_table,MATCH(DATE(R$5,$K191,$J191),daily_dates,0),MATCH($B$3,daily_items,0)))</f>
        <v>#N/A</v>
      </c>
      <c r="S191" s="1" t="str">
        <f t="array" ref="S191">IF(ISBLANK(INDEX(big_daily_table,MATCH(DATE(S$5,$K191,$J191),daily_dates,0),MATCH($B$3,daily_items,0))),NA(),INDEX(big_daily_table,MATCH(DATE(S$5,$K191,$J191),daily_dates,0),MATCH($B$3,daily_items,0)))</f>
        <v>#N/A</v>
      </c>
      <c r="T191" s="1" t="str">
        <f t="array" ref="T191">IF(ISBLANK(INDEX(big_daily_table,MATCH(DATE(T$5,$K191,$J191),daily_dates,0),MATCH($B$3,daily_items,0))),NA(),INDEX(big_daily_table,MATCH(DATE(T$5,$K191,$J191),daily_dates,0),MATCH($B$3,daily_items,0)))</f>
        <v>#N/A</v>
      </c>
      <c r="U191" s="1" t="str">
        <f t="array" ref="U191">IF(ISBLANK(INDEX(big_daily_table,MATCH(DATE(U$5,$K191,$J191),daily_dates,0),MATCH($B$3,daily_items,0))),NA(),INDEX(big_daily_table,MATCH(DATE(U$5,$K191,$J191),daily_dates,0),MATCH($B$3,daily_items,0)))</f>
        <v>#N/A</v>
      </c>
      <c r="V191" s="1" t="str">
        <f t="array" ref="V191">IF(ISBLANK(INDEX(big_daily_table,MATCH(DATE(V$5,$K191,$J191),daily_dates,0),MATCH($B$3,daily_items,0))),NA(),INDEX(big_daily_table,MATCH(DATE(V$5,$K191,$J191),daily_dates,0),MATCH($B$3,daily_items,0)))</f>
        <v>#N/A</v>
      </c>
      <c r="W191" s="1" t="str">
        <f t="array" ref="W191">IF(ISBLANK(INDEX(big_daily_table,MATCH(DATE(W$5,$K191,$J191),daily_dates,0),MATCH($B$3,daily_items,0))),NA(),INDEX(big_daily_table,MATCH(DATE(W$5,$K191,$J191),daily_dates,0),MATCH($B$3,daily_items,0)))</f>
        <v>#N/A</v>
      </c>
      <c r="X191" s="1" t="str">
        <f t="array" ref="X191">IF(ISBLANK(INDEX(big_daily_table,MATCH(DATE(X$5,$K191,$J191),daily_dates,0),MATCH($B$3,daily_items,0))),NA(),INDEX(big_daily_table,MATCH(DATE(X$5,$K191,$J191),daily_dates,0),MATCH($B$3,daily_items,0)))</f>
        <v>#N/A</v>
      </c>
      <c r="Y191" s="1" t="str">
        <f t="array" ref="Y191">IF(ISBLANK(INDEX(big_daily_table,MATCH(DATE(Y$5,$K191,$J191),daily_dates,0),MATCH($B$3,daily_items,0))),NA(),INDEX(big_daily_table,MATCH(DATE(Y$5,$K191,$J191),daily_dates,0),MATCH($B$3,daily_items,0)))</f>
        <v>#N/A</v>
      </c>
      <c r="Z191" s="1" t="str">
        <f t="array" ref="Z191">IF(ISBLANK(INDEX(big_daily_table,MATCH(DATE(Z$5,$K191,$J191),daily_dates,0),MATCH($B$3,daily_items,0))),NA(),INDEX(big_daily_table,MATCH(DATE(Z$5,$K191,$J191),daily_dates,0),MATCH($B$3,daily_items,0)))</f>
        <v>#N/A</v>
      </c>
      <c r="AA191" s="1" t="str">
        <f t="shared" si="5"/>
        <v>#NAME?</v>
      </c>
      <c r="AB191" s="1" t="str">
        <f t="shared" si="6"/>
        <v>#NAME?</v>
      </c>
      <c r="AC191" s="1" t="str">
        <f t="shared" si="7"/>
        <v>#NAME?</v>
      </c>
      <c r="AD191" s="1" t="str">
        <f t="shared" si="8"/>
        <v>#NAME?</v>
      </c>
    </row>
    <row r="192" ht="14.25" customHeight="1">
      <c r="H192" s="1">
        <f t="shared" si="9"/>
        <v>187</v>
      </c>
      <c r="I192" s="1">
        <f>WEEKDAY('daily graphs'!K192)</f>
        <v>4</v>
      </c>
      <c r="J192" s="1">
        <f t="shared" si="2"/>
        <v>1</v>
      </c>
      <c r="K192" s="1">
        <f t="shared" si="3"/>
        <v>7</v>
      </c>
      <c r="L192" s="23">
        <f>'daily graphs'!K192 - I192</f>
        <v>36708</v>
      </c>
      <c r="M192" s="24">
        <f t="shared" si="4"/>
        <v>-1000000</v>
      </c>
      <c r="N192" s="24" t="str">
        <f t="array" ref="N192">IF(M192&gt;0,INDEX(big_daily_table,MATCH(DATE(O$5,$K192,$J192),daily_dates,0),MATCH($B$3,daily_items,0)),NA())</f>
        <v>#N/A</v>
      </c>
      <c r="O192" s="1" t="str">
        <f t="array" ref="O192">IF(M192&lt;0,INDEX(big_daily_table,MATCH(DATE(O$5,$K192,$J192),daily_dates,0),MATCH($B$3,daily_items,0)),NA())</f>
        <v>#N/A</v>
      </c>
      <c r="P192" s="1" t="str">
        <f t="array" ref="P192">IF(ISBLANK(INDEX(big_daily_table,MATCH(DATE(P$5,$K192,$J192),daily_dates,0),MATCH($B$3,daily_items,0))),NA(),INDEX(big_daily_table,MATCH(DATE(P$5,$K192,$J192),daily_dates,0),MATCH($B$3,daily_items,0)))</f>
        <v>#N/A</v>
      </c>
      <c r="Q192" s="1" t="str">
        <f t="array" ref="Q192">IF(ISBLANK(INDEX(big_daily_table,MATCH(DATE(Q$5,$K192,$J192),daily_dates,0),MATCH($B$3,daily_items,0))),NA(),INDEX(big_daily_table,MATCH(DATE(Q$5,$K192,$J192),daily_dates,0),MATCH($B$3,daily_items,0)))</f>
        <v>#N/A</v>
      </c>
      <c r="R192" s="1" t="str">
        <f t="array" ref="R192">IF(ISBLANK(INDEX(big_daily_table,MATCH(DATE(R$5,$K192,$J192),daily_dates,0),MATCH($B$3,daily_items,0))),NA(),INDEX(big_daily_table,MATCH(DATE(R$5,$K192,$J192),daily_dates,0),MATCH($B$3,daily_items,0)))</f>
        <v>#N/A</v>
      </c>
      <c r="S192" s="1" t="str">
        <f t="array" ref="S192">IF(ISBLANK(INDEX(big_daily_table,MATCH(DATE(S$5,$K192,$J192),daily_dates,0),MATCH($B$3,daily_items,0))),NA(),INDEX(big_daily_table,MATCH(DATE(S$5,$K192,$J192),daily_dates,0),MATCH($B$3,daily_items,0)))</f>
        <v>#N/A</v>
      </c>
      <c r="T192" s="1" t="str">
        <f t="array" ref="T192">IF(ISBLANK(INDEX(big_daily_table,MATCH(DATE(T$5,$K192,$J192),daily_dates,0),MATCH($B$3,daily_items,0))),NA(),INDEX(big_daily_table,MATCH(DATE(T$5,$K192,$J192),daily_dates,0),MATCH($B$3,daily_items,0)))</f>
        <v>#N/A</v>
      </c>
      <c r="U192" s="1" t="str">
        <f t="array" ref="U192">IF(ISBLANK(INDEX(big_daily_table,MATCH(DATE(U$5,$K192,$J192),daily_dates,0),MATCH($B$3,daily_items,0))),NA(),INDEX(big_daily_table,MATCH(DATE(U$5,$K192,$J192),daily_dates,0),MATCH($B$3,daily_items,0)))</f>
        <v>#N/A</v>
      </c>
      <c r="V192" s="1" t="str">
        <f t="array" ref="V192">IF(ISBLANK(INDEX(big_daily_table,MATCH(DATE(V$5,$K192,$J192),daily_dates,0),MATCH($B$3,daily_items,0))),NA(),INDEX(big_daily_table,MATCH(DATE(V$5,$K192,$J192),daily_dates,0),MATCH($B$3,daily_items,0)))</f>
        <v>#N/A</v>
      </c>
      <c r="W192" s="1" t="str">
        <f t="array" ref="W192">IF(ISBLANK(INDEX(big_daily_table,MATCH(DATE(W$5,$K192,$J192),daily_dates,0),MATCH($B$3,daily_items,0))),NA(),INDEX(big_daily_table,MATCH(DATE(W$5,$K192,$J192),daily_dates,0),MATCH($B$3,daily_items,0)))</f>
        <v>#N/A</v>
      </c>
      <c r="X192" s="1" t="str">
        <f t="array" ref="X192">IF(ISBLANK(INDEX(big_daily_table,MATCH(DATE(X$5,$K192,$J192),daily_dates,0),MATCH($B$3,daily_items,0))),NA(),INDEX(big_daily_table,MATCH(DATE(X$5,$K192,$J192),daily_dates,0),MATCH($B$3,daily_items,0)))</f>
        <v>#N/A</v>
      </c>
      <c r="Y192" s="1" t="str">
        <f t="array" ref="Y192">IF(ISBLANK(INDEX(big_daily_table,MATCH(DATE(Y$5,$K192,$J192),daily_dates,0),MATCH($B$3,daily_items,0))),NA(),INDEX(big_daily_table,MATCH(DATE(Y$5,$K192,$J192),daily_dates,0),MATCH($B$3,daily_items,0)))</f>
        <v>#N/A</v>
      </c>
      <c r="Z192" s="1" t="str">
        <f t="array" ref="Z192">IF(ISBLANK(INDEX(big_daily_table,MATCH(DATE(Z$5,$K192,$J192),daily_dates,0),MATCH($B$3,daily_items,0))),NA(),INDEX(big_daily_table,MATCH(DATE(Z$5,$K192,$J192),daily_dates,0),MATCH($B$3,daily_items,0)))</f>
        <v>#N/A</v>
      </c>
      <c r="AA192" s="1" t="str">
        <f t="shared" si="5"/>
        <v>#NAME?</v>
      </c>
      <c r="AB192" s="1" t="str">
        <f t="shared" si="6"/>
        <v>#NAME?</v>
      </c>
      <c r="AC192" s="1" t="str">
        <f t="shared" si="7"/>
        <v>#NAME?</v>
      </c>
      <c r="AD192" s="1" t="str">
        <f t="shared" si="8"/>
        <v>#NAME?</v>
      </c>
    </row>
    <row r="193" ht="14.25" customHeight="1">
      <c r="H193" s="1">
        <f t="shared" si="9"/>
        <v>188</v>
      </c>
      <c r="I193" s="1">
        <f>WEEKDAY('daily graphs'!K193)</f>
        <v>5</v>
      </c>
      <c r="J193" s="1">
        <f t="shared" si="2"/>
        <v>1</v>
      </c>
      <c r="K193" s="1">
        <f t="shared" si="3"/>
        <v>7</v>
      </c>
      <c r="L193" s="23">
        <f>'daily graphs'!K193 - I193</f>
        <v>36708</v>
      </c>
      <c r="M193" s="24">
        <f t="shared" si="4"/>
        <v>-1000000</v>
      </c>
      <c r="N193" s="24" t="str">
        <f t="array" ref="N193">IF(M193&gt;0,INDEX(big_daily_table,MATCH(DATE(O$5,$K193,$J193),daily_dates,0),MATCH($B$3,daily_items,0)),NA())</f>
        <v>#N/A</v>
      </c>
      <c r="O193" s="1" t="str">
        <f t="array" ref="O193">IF(M193&lt;0,INDEX(big_daily_table,MATCH(DATE(O$5,$K193,$J193),daily_dates,0),MATCH($B$3,daily_items,0)),NA())</f>
        <v>#N/A</v>
      </c>
      <c r="P193" s="1" t="str">
        <f t="array" ref="P193">IF(ISBLANK(INDEX(big_daily_table,MATCH(DATE(P$5,$K193,$J193),daily_dates,0),MATCH($B$3,daily_items,0))),NA(),INDEX(big_daily_table,MATCH(DATE(P$5,$K193,$J193),daily_dates,0),MATCH($B$3,daily_items,0)))</f>
        <v>#N/A</v>
      </c>
      <c r="Q193" s="1" t="str">
        <f t="array" ref="Q193">IF(ISBLANK(INDEX(big_daily_table,MATCH(DATE(Q$5,$K193,$J193),daily_dates,0),MATCH($B$3,daily_items,0))),NA(),INDEX(big_daily_table,MATCH(DATE(Q$5,$K193,$J193),daily_dates,0),MATCH($B$3,daily_items,0)))</f>
        <v>#N/A</v>
      </c>
      <c r="R193" s="1" t="str">
        <f t="array" ref="R193">IF(ISBLANK(INDEX(big_daily_table,MATCH(DATE(R$5,$K193,$J193),daily_dates,0),MATCH($B$3,daily_items,0))),NA(),INDEX(big_daily_table,MATCH(DATE(R$5,$K193,$J193),daily_dates,0),MATCH($B$3,daily_items,0)))</f>
        <v>#N/A</v>
      </c>
      <c r="S193" s="1" t="str">
        <f t="array" ref="S193">IF(ISBLANK(INDEX(big_daily_table,MATCH(DATE(S$5,$K193,$J193),daily_dates,0),MATCH($B$3,daily_items,0))),NA(),INDEX(big_daily_table,MATCH(DATE(S$5,$K193,$J193),daily_dates,0),MATCH($B$3,daily_items,0)))</f>
        <v>#N/A</v>
      </c>
      <c r="T193" s="1" t="str">
        <f t="array" ref="T193">IF(ISBLANK(INDEX(big_daily_table,MATCH(DATE(T$5,$K193,$J193),daily_dates,0),MATCH($B$3,daily_items,0))),NA(),INDEX(big_daily_table,MATCH(DATE(T$5,$K193,$J193),daily_dates,0),MATCH($B$3,daily_items,0)))</f>
        <v>#N/A</v>
      </c>
      <c r="U193" s="1" t="str">
        <f t="array" ref="U193">IF(ISBLANK(INDEX(big_daily_table,MATCH(DATE(U$5,$K193,$J193),daily_dates,0),MATCH($B$3,daily_items,0))),NA(),INDEX(big_daily_table,MATCH(DATE(U$5,$K193,$J193),daily_dates,0),MATCH($B$3,daily_items,0)))</f>
        <v>#N/A</v>
      </c>
      <c r="V193" s="1" t="str">
        <f t="array" ref="V193">IF(ISBLANK(INDEX(big_daily_table,MATCH(DATE(V$5,$K193,$J193),daily_dates,0),MATCH($B$3,daily_items,0))),NA(),INDEX(big_daily_table,MATCH(DATE(V$5,$K193,$J193),daily_dates,0),MATCH($B$3,daily_items,0)))</f>
        <v>#N/A</v>
      </c>
      <c r="W193" s="1" t="str">
        <f t="array" ref="W193">IF(ISBLANK(INDEX(big_daily_table,MATCH(DATE(W$5,$K193,$J193),daily_dates,0),MATCH($B$3,daily_items,0))),NA(),INDEX(big_daily_table,MATCH(DATE(W$5,$K193,$J193),daily_dates,0),MATCH($B$3,daily_items,0)))</f>
        <v>#N/A</v>
      </c>
      <c r="X193" s="1" t="str">
        <f t="array" ref="X193">IF(ISBLANK(INDEX(big_daily_table,MATCH(DATE(X$5,$K193,$J193),daily_dates,0),MATCH($B$3,daily_items,0))),NA(),INDEX(big_daily_table,MATCH(DATE(X$5,$K193,$J193),daily_dates,0),MATCH($B$3,daily_items,0)))</f>
        <v>#N/A</v>
      </c>
      <c r="Y193" s="1" t="str">
        <f t="array" ref="Y193">IF(ISBLANK(INDEX(big_daily_table,MATCH(DATE(Y$5,$K193,$J193),daily_dates,0),MATCH($B$3,daily_items,0))),NA(),INDEX(big_daily_table,MATCH(DATE(Y$5,$K193,$J193),daily_dates,0),MATCH($B$3,daily_items,0)))</f>
        <v>#N/A</v>
      </c>
      <c r="Z193" s="1" t="str">
        <f t="array" ref="Z193">IF(ISBLANK(INDEX(big_daily_table,MATCH(DATE(Z$5,$K193,$J193),daily_dates,0),MATCH($B$3,daily_items,0))),NA(),INDEX(big_daily_table,MATCH(DATE(Z$5,$K193,$J193),daily_dates,0),MATCH($B$3,daily_items,0)))</f>
        <v>#N/A</v>
      </c>
      <c r="AA193" s="1" t="str">
        <f t="shared" si="5"/>
        <v>#NAME?</v>
      </c>
      <c r="AB193" s="1" t="str">
        <f t="shared" si="6"/>
        <v>#NAME?</v>
      </c>
      <c r="AC193" s="1" t="str">
        <f t="shared" si="7"/>
        <v>#NAME?</v>
      </c>
      <c r="AD193" s="1" t="str">
        <f t="shared" si="8"/>
        <v>#NAME?</v>
      </c>
    </row>
    <row r="194" ht="14.25" customHeight="1">
      <c r="H194" s="1">
        <f t="shared" si="9"/>
        <v>189</v>
      </c>
      <c r="I194" s="1">
        <f>WEEKDAY('daily graphs'!K194)</f>
        <v>6</v>
      </c>
      <c r="J194" s="1">
        <f t="shared" si="2"/>
        <v>1</v>
      </c>
      <c r="K194" s="1">
        <f t="shared" si="3"/>
        <v>7</v>
      </c>
      <c r="L194" s="23">
        <f>'daily graphs'!K194 - I194</f>
        <v>36708</v>
      </c>
      <c r="M194" s="24">
        <f t="shared" si="4"/>
        <v>-1000000</v>
      </c>
      <c r="N194" s="24" t="str">
        <f t="array" ref="N194">IF(M194&gt;0,INDEX(big_daily_table,MATCH(DATE(O$5,$K194,$J194),daily_dates,0),MATCH($B$3,daily_items,0)),NA())</f>
        <v>#N/A</v>
      </c>
      <c r="O194" s="1" t="str">
        <f t="array" ref="O194">IF(M194&lt;0,INDEX(big_daily_table,MATCH(DATE(O$5,$K194,$J194),daily_dates,0),MATCH($B$3,daily_items,0)),NA())</f>
        <v>#N/A</v>
      </c>
      <c r="P194" s="1" t="str">
        <f t="array" ref="P194">IF(ISBLANK(INDEX(big_daily_table,MATCH(DATE(P$5,$K194,$J194),daily_dates,0),MATCH($B$3,daily_items,0))),NA(),INDEX(big_daily_table,MATCH(DATE(P$5,$K194,$J194),daily_dates,0),MATCH($B$3,daily_items,0)))</f>
        <v>#N/A</v>
      </c>
      <c r="Q194" s="1" t="str">
        <f t="array" ref="Q194">IF(ISBLANK(INDEX(big_daily_table,MATCH(DATE(Q$5,$K194,$J194),daily_dates,0),MATCH($B$3,daily_items,0))),NA(),INDEX(big_daily_table,MATCH(DATE(Q$5,$K194,$J194),daily_dates,0),MATCH($B$3,daily_items,0)))</f>
        <v>#N/A</v>
      </c>
      <c r="R194" s="1" t="str">
        <f t="array" ref="R194">IF(ISBLANK(INDEX(big_daily_table,MATCH(DATE(R$5,$K194,$J194),daily_dates,0),MATCH($B$3,daily_items,0))),NA(),INDEX(big_daily_table,MATCH(DATE(R$5,$K194,$J194),daily_dates,0),MATCH($B$3,daily_items,0)))</f>
        <v>#N/A</v>
      </c>
      <c r="S194" s="1" t="str">
        <f t="array" ref="S194">IF(ISBLANK(INDEX(big_daily_table,MATCH(DATE(S$5,$K194,$J194),daily_dates,0),MATCH($B$3,daily_items,0))),NA(),INDEX(big_daily_table,MATCH(DATE(S$5,$K194,$J194),daily_dates,0),MATCH($B$3,daily_items,0)))</f>
        <v>#N/A</v>
      </c>
      <c r="T194" s="1" t="str">
        <f t="array" ref="T194">IF(ISBLANK(INDEX(big_daily_table,MATCH(DATE(T$5,$K194,$J194),daily_dates,0),MATCH($B$3,daily_items,0))),NA(),INDEX(big_daily_table,MATCH(DATE(T$5,$K194,$J194),daily_dates,0),MATCH($B$3,daily_items,0)))</f>
        <v>#N/A</v>
      </c>
      <c r="U194" s="1" t="str">
        <f t="array" ref="U194">IF(ISBLANK(INDEX(big_daily_table,MATCH(DATE(U$5,$K194,$J194),daily_dates,0),MATCH($B$3,daily_items,0))),NA(),INDEX(big_daily_table,MATCH(DATE(U$5,$K194,$J194),daily_dates,0),MATCH($B$3,daily_items,0)))</f>
        <v>#N/A</v>
      </c>
      <c r="V194" s="1" t="str">
        <f t="array" ref="V194">IF(ISBLANK(INDEX(big_daily_table,MATCH(DATE(V$5,$K194,$J194),daily_dates,0),MATCH($B$3,daily_items,0))),NA(),INDEX(big_daily_table,MATCH(DATE(V$5,$K194,$J194),daily_dates,0),MATCH($B$3,daily_items,0)))</f>
        <v>#N/A</v>
      </c>
      <c r="W194" s="1" t="str">
        <f t="array" ref="W194">IF(ISBLANK(INDEX(big_daily_table,MATCH(DATE(W$5,$K194,$J194),daily_dates,0),MATCH($B$3,daily_items,0))),NA(),INDEX(big_daily_table,MATCH(DATE(W$5,$K194,$J194),daily_dates,0),MATCH($B$3,daily_items,0)))</f>
        <v>#N/A</v>
      </c>
      <c r="X194" s="1" t="str">
        <f t="array" ref="X194">IF(ISBLANK(INDEX(big_daily_table,MATCH(DATE(X$5,$K194,$J194),daily_dates,0),MATCH($B$3,daily_items,0))),NA(),INDEX(big_daily_table,MATCH(DATE(X$5,$K194,$J194),daily_dates,0),MATCH($B$3,daily_items,0)))</f>
        <v>#N/A</v>
      </c>
      <c r="Y194" s="1" t="str">
        <f t="array" ref="Y194">IF(ISBLANK(INDEX(big_daily_table,MATCH(DATE(Y$5,$K194,$J194),daily_dates,0),MATCH($B$3,daily_items,0))),NA(),INDEX(big_daily_table,MATCH(DATE(Y$5,$K194,$J194),daily_dates,0),MATCH($B$3,daily_items,0)))</f>
        <v>#N/A</v>
      </c>
      <c r="Z194" s="1" t="str">
        <f t="array" ref="Z194">IF(ISBLANK(INDEX(big_daily_table,MATCH(DATE(Z$5,$K194,$J194),daily_dates,0),MATCH($B$3,daily_items,0))),NA(),INDEX(big_daily_table,MATCH(DATE(Z$5,$K194,$J194),daily_dates,0),MATCH($B$3,daily_items,0)))</f>
        <v>#N/A</v>
      </c>
      <c r="AA194" s="1" t="str">
        <f t="shared" si="5"/>
        <v>#NAME?</v>
      </c>
      <c r="AB194" s="1" t="str">
        <f t="shared" si="6"/>
        <v>#NAME?</v>
      </c>
      <c r="AC194" s="1" t="str">
        <f t="shared" si="7"/>
        <v>#NAME?</v>
      </c>
      <c r="AD194" s="1" t="str">
        <f t="shared" si="8"/>
        <v>#NAME?</v>
      </c>
    </row>
    <row r="195" ht="14.25" customHeight="1">
      <c r="H195" s="1">
        <f t="shared" si="9"/>
        <v>190</v>
      </c>
      <c r="I195" s="1">
        <f>WEEKDAY('daily graphs'!K195)</f>
        <v>7</v>
      </c>
      <c r="J195" s="1">
        <f t="shared" si="2"/>
        <v>1</v>
      </c>
      <c r="K195" s="1">
        <f t="shared" si="3"/>
        <v>7</v>
      </c>
      <c r="L195" s="23">
        <f>'daily graphs'!K195 - I195</f>
        <v>36708</v>
      </c>
      <c r="M195" s="24">
        <f t="shared" si="4"/>
        <v>-1000000</v>
      </c>
      <c r="N195" s="24" t="str">
        <f t="array" ref="N195">IF(M195&gt;0,INDEX(big_daily_table,MATCH(DATE(O$5,$K195,$J195),daily_dates,0),MATCH($B$3,daily_items,0)),NA())</f>
        <v>#N/A</v>
      </c>
      <c r="O195" s="1" t="str">
        <f t="array" ref="O195">IF(M195&lt;0,INDEX(big_daily_table,MATCH(DATE(O$5,$K195,$J195),daily_dates,0),MATCH($B$3,daily_items,0)),NA())</f>
        <v>#N/A</v>
      </c>
      <c r="P195" s="1" t="str">
        <f t="array" ref="P195">IF(ISBLANK(INDEX(big_daily_table,MATCH(DATE(P$5,$K195,$J195),daily_dates,0),MATCH($B$3,daily_items,0))),NA(),INDEX(big_daily_table,MATCH(DATE(P$5,$K195,$J195),daily_dates,0),MATCH($B$3,daily_items,0)))</f>
        <v>#N/A</v>
      </c>
      <c r="Q195" s="1" t="str">
        <f t="array" ref="Q195">IF(ISBLANK(INDEX(big_daily_table,MATCH(DATE(Q$5,$K195,$J195),daily_dates,0),MATCH($B$3,daily_items,0))),NA(),INDEX(big_daily_table,MATCH(DATE(Q$5,$K195,$J195),daily_dates,0),MATCH($B$3,daily_items,0)))</f>
        <v>#N/A</v>
      </c>
      <c r="R195" s="1" t="str">
        <f t="array" ref="R195">IF(ISBLANK(INDEX(big_daily_table,MATCH(DATE(R$5,$K195,$J195),daily_dates,0),MATCH($B$3,daily_items,0))),NA(),INDEX(big_daily_table,MATCH(DATE(R$5,$K195,$J195),daily_dates,0),MATCH($B$3,daily_items,0)))</f>
        <v>#N/A</v>
      </c>
      <c r="S195" s="1" t="str">
        <f t="array" ref="S195">IF(ISBLANK(INDEX(big_daily_table,MATCH(DATE(S$5,$K195,$J195),daily_dates,0),MATCH($B$3,daily_items,0))),NA(),INDEX(big_daily_table,MATCH(DATE(S$5,$K195,$J195),daily_dates,0),MATCH($B$3,daily_items,0)))</f>
        <v>#N/A</v>
      </c>
      <c r="T195" s="1" t="str">
        <f t="array" ref="T195">IF(ISBLANK(INDEX(big_daily_table,MATCH(DATE(T$5,$K195,$J195),daily_dates,0),MATCH($B$3,daily_items,0))),NA(),INDEX(big_daily_table,MATCH(DATE(T$5,$K195,$J195),daily_dates,0),MATCH($B$3,daily_items,0)))</f>
        <v>#N/A</v>
      </c>
      <c r="U195" s="1" t="str">
        <f t="array" ref="U195">IF(ISBLANK(INDEX(big_daily_table,MATCH(DATE(U$5,$K195,$J195),daily_dates,0),MATCH($B$3,daily_items,0))),NA(),INDEX(big_daily_table,MATCH(DATE(U$5,$K195,$J195),daily_dates,0),MATCH($B$3,daily_items,0)))</f>
        <v>#N/A</v>
      </c>
      <c r="V195" s="1" t="str">
        <f t="array" ref="V195">IF(ISBLANK(INDEX(big_daily_table,MATCH(DATE(V$5,$K195,$J195),daily_dates,0),MATCH($B$3,daily_items,0))),NA(),INDEX(big_daily_table,MATCH(DATE(V$5,$K195,$J195),daily_dates,0),MATCH($B$3,daily_items,0)))</f>
        <v>#N/A</v>
      </c>
      <c r="W195" s="1" t="str">
        <f t="array" ref="W195">IF(ISBLANK(INDEX(big_daily_table,MATCH(DATE(W$5,$K195,$J195),daily_dates,0),MATCH($B$3,daily_items,0))),NA(),INDEX(big_daily_table,MATCH(DATE(W$5,$K195,$J195),daily_dates,0),MATCH($B$3,daily_items,0)))</f>
        <v>#N/A</v>
      </c>
      <c r="X195" s="1" t="str">
        <f t="array" ref="X195">IF(ISBLANK(INDEX(big_daily_table,MATCH(DATE(X$5,$K195,$J195),daily_dates,0),MATCH($B$3,daily_items,0))),NA(),INDEX(big_daily_table,MATCH(DATE(X$5,$K195,$J195),daily_dates,0),MATCH($B$3,daily_items,0)))</f>
        <v>#N/A</v>
      </c>
      <c r="Y195" s="1" t="str">
        <f t="array" ref="Y195">IF(ISBLANK(INDEX(big_daily_table,MATCH(DATE(Y$5,$K195,$J195),daily_dates,0),MATCH($B$3,daily_items,0))),NA(),INDEX(big_daily_table,MATCH(DATE(Y$5,$K195,$J195),daily_dates,0),MATCH($B$3,daily_items,0)))</f>
        <v>#N/A</v>
      </c>
      <c r="Z195" s="1" t="str">
        <f t="array" ref="Z195">IF(ISBLANK(INDEX(big_daily_table,MATCH(DATE(Z$5,$K195,$J195),daily_dates,0),MATCH($B$3,daily_items,0))),NA(),INDEX(big_daily_table,MATCH(DATE(Z$5,$K195,$J195),daily_dates,0),MATCH($B$3,daily_items,0)))</f>
        <v>#N/A</v>
      </c>
      <c r="AA195" s="1" t="str">
        <f t="shared" si="5"/>
        <v>#NAME?</v>
      </c>
      <c r="AB195" s="1" t="str">
        <f t="shared" si="6"/>
        <v>#NAME?</v>
      </c>
      <c r="AC195" s="1" t="str">
        <f t="shared" si="7"/>
        <v>#NAME?</v>
      </c>
      <c r="AD195" s="1" t="str">
        <f t="shared" si="8"/>
        <v>#NAME?</v>
      </c>
    </row>
    <row r="196" ht="14.25" customHeight="1">
      <c r="H196" s="1">
        <f t="shared" si="9"/>
        <v>191</v>
      </c>
      <c r="I196" s="1">
        <f>WEEKDAY('daily graphs'!K196)</f>
        <v>1</v>
      </c>
      <c r="J196" s="1">
        <f t="shared" si="2"/>
        <v>8</v>
      </c>
      <c r="K196" s="1">
        <f t="shared" si="3"/>
        <v>7</v>
      </c>
      <c r="L196" s="23">
        <f>'daily graphs'!K196 - I196</f>
        <v>36715</v>
      </c>
      <c r="M196" s="24">
        <f t="shared" si="4"/>
        <v>-1000000</v>
      </c>
      <c r="N196" s="24" t="str">
        <f t="array" ref="N196">IF(M196&gt;0,INDEX(big_daily_table,MATCH(DATE(O$5,$K196,$J196),daily_dates,0),MATCH($B$3,daily_items,0)),NA())</f>
        <v>#N/A</v>
      </c>
      <c r="O196" s="1" t="str">
        <f t="array" ref="O196">IF(M196&lt;0,INDEX(big_daily_table,MATCH(DATE(O$5,$K196,$J196),daily_dates,0),MATCH($B$3,daily_items,0)),NA())</f>
        <v>#N/A</v>
      </c>
      <c r="P196" s="1" t="str">
        <f t="array" ref="P196">IF(ISBLANK(INDEX(big_daily_table,MATCH(DATE(P$5,$K196,$J196),daily_dates,0),MATCH($B$3,daily_items,0))),NA(),INDEX(big_daily_table,MATCH(DATE(P$5,$K196,$J196),daily_dates,0),MATCH($B$3,daily_items,0)))</f>
        <v>#N/A</v>
      </c>
      <c r="Q196" s="1" t="str">
        <f t="array" ref="Q196">IF(ISBLANK(INDEX(big_daily_table,MATCH(DATE(Q$5,$K196,$J196),daily_dates,0),MATCH($B$3,daily_items,0))),NA(),INDEX(big_daily_table,MATCH(DATE(Q$5,$K196,$J196),daily_dates,0),MATCH($B$3,daily_items,0)))</f>
        <v>#N/A</v>
      </c>
      <c r="R196" s="1" t="str">
        <f t="array" ref="R196">IF(ISBLANK(INDEX(big_daily_table,MATCH(DATE(R$5,$K196,$J196),daily_dates,0),MATCH($B$3,daily_items,0))),NA(),INDEX(big_daily_table,MATCH(DATE(R$5,$K196,$J196),daily_dates,0),MATCH($B$3,daily_items,0)))</f>
        <v>#N/A</v>
      </c>
      <c r="S196" s="1" t="str">
        <f t="array" ref="S196">IF(ISBLANK(INDEX(big_daily_table,MATCH(DATE(S$5,$K196,$J196),daily_dates,0),MATCH($B$3,daily_items,0))),NA(),INDEX(big_daily_table,MATCH(DATE(S$5,$K196,$J196),daily_dates,0),MATCH($B$3,daily_items,0)))</f>
        <v>#N/A</v>
      </c>
      <c r="T196" s="1" t="str">
        <f t="array" ref="T196">IF(ISBLANK(INDEX(big_daily_table,MATCH(DATE(T$5,$K196,$J196),daily_dates,0),MATCH($B$3,daily_items,0))),NA(),INDEX(big_daily_table,MATCH(DATE(T$5,$K196,$J196),daily_dates,0),MATCH($B$3,daily_items,0)))</f>
        <v>#N/A</v>
      </c>
      <c r="U196" s="1" t="str">
        <f t="array" ref="U196">IF(ISBLANK(INDEX(big_daily_table,MATCH(DATE(U$5,$K196,$J196),daily_dates,0),MATCH($B$3,daily_items,0))),NA(),INDEX(big_daily_table,MATCH(DATE(U$5,$K196,$J196),daily_dates,0),MATCH($B$3,daily_items,0)))</f>
        <v>#N/A</v>
      </c>
      <c r="V196" s="1" t="str">
        <f t="array" ref="V196">IF(ISBLANK(INDEX(big_daily_table,MATCH(DATE(V$5,$K196,$J196),daily_dates,0),MATCH($B$3,daily_items,0))),NA(),INDEX(big_daily_table,MATCH(DATE(V$5,$K196,$J196),daily_dates,0),MATCH($B$3,daily_items,0)))</f>
        <v>#N/A</v>
      </c>
      <c r="W196" s="1" t="str">
        <f t="array" ref="W196">IF(ISBLANK(INDEX(big_daily_table,MATCH(DATE(W$5,$K196,$J196),daily_dates,0),MATCH($B$3,daily_items,0))),NA(),INDEX(big_daily_table,MATCH(DATE(W$5,$K196,$J196),daily_dates,0),MATCH($B$3,daily_items,0)))</f>
        <v>#N/A</v>
      </c>
      <c r="X196" s="1" t="str">
        <f t="array" ref="X196">IF(ISBLANK(INDEX(big_daily_table,MATCH(DATE(X$5,$K196,$J196),daily_dates,0),MATCH($B$3,daily_items,0))),NA(),INDEX(big_daily_table,MATCH(DATE(X$5,$K196,$J196),daily_dates,0),MATCH($B$3,daily_items,0)))</f>
        <v>#N/A</v>
      </c>
      <c r="Y196" s="1" t="str">
        <f t="array" ref="Y196">IF(ISBLANK(INDEX(big_daily_table,MATCH(DATE(Y$5,$K196,$J196),daily_dates,0),MATCH($B$3,daily_items,0))),NA(),INDEX(big_daily_table,MATCH(DATE(Y$5,$K196,$J196),daily_dates,0),MATCH($B$3,daily_items,0)))</f>
        <v>#N/A</v>
      </c>
      <c r="Z196" s="1" t="str">
        <f t="array" ref="Z196">IF(ISBLANK(INDEX(big_daily_table,MATCH(DATE(Z$5,$K196,$J196),daily_dates,0),MATCH($B$3,daily_items,0))),NA(),INDEX(big_daily_table,MATCH(DATE(Z$5,$K196,$J196),daily_dates,0),MATCH($B$3,daily_items,0)))</f>
        <v>#N/A</v>
      </c>
      <c r="AA196" s="1" t="str">
        <f t="shared" si="5"/>
        <v>#NAME?</v>
      </c>
      <c r="AB196" s="1" t="str">
        <f t="shared" si="6"/>
        <v>#NAME?</v>
      </c>
      <c r="AC196" s="1" t="str">
        <f t="shared" si="7"/>
        <v>#NAME?</v>
      </c>
      <c r="AD196" s="1" t="str">
        <f t="shared" si="8"/>
        <v>#NAME?</v>
      </c>
    </row>
    <row r="197" ht="14.25" customHeight="1">
      <c r="H197" s="1">
        <f t="shared" si="9"/>
        <v>192</v>
      </c>
      <c r="I197" s="1">
        <f>WEEKDAY('daily graphs'!K197)</f>
        <v>2</v>
      </c>
      <c r="J197" s="1">
        <f t="shared" si="2"/>
        <v>8</v>
      </c>
      <c r="K197" s="1">
        <f t="shared" si="3"/>
        <v>7</v>
      </c>
      <c r="L197" s="23">
        <f>'daily graphs'!K197 - I197</f>
        <v>36715</v>
      </c>
      <c r="M197" s="24">
        <f t="shared" si="4"/>
        <v>-1000000</v>
      </c>
      <c r="N197" s="24" t="str">
        <f t="array" ref="N197">IF(M197&gt;0,INDEX(big_daily_table,MATCH(DATE(O$5,$K197,$J197),daily_dates,0),MATCH($B$3,daily_items,0)),NA())</f>
        <v>#N/A</v>
      </c>
      <c r="O197" s="1" t="str">
        <f t="array" ref="O197">IF(M197&lt;0,INDEX(big_daily_table,MATCH(DATE(O$5,$K197,$J197),daily_dates,0),MATCH($B$3,daily_items,0)),NA())</f>
        <v>#N/A</v>
      </c>
      <c r="P197" s="1" t="str">
        <f t="array" ref="P197">IF(ISBLANK(INDEX(big_daily_table,MATCH(DATE(P$5,$K197,$J197),daily_dates,0),MATCH($B$3,daily_items,0))),NA(),INDEX(big_daily_table,MATCH(DATE(P$5,$K197,$J197),daily_dates,0),MATCH($B$3,daily_items,0)))</f>
        <v>#N/A</v>
      </c>
      <c r="Q197" s="1" t="str">
        <f t="array" ref="Q197">IF(ISBLANK(INDEX(big_daily_table,MATCH(DATE(Q$5,$K197,$J197),daily_dates,0),MATCH($B$3,daily_items,0))),NA(),INDEX(big_daily_table,MATCH(DATE(Q$5,$K197,$J197),daily_dates,0),MATCH($B$3,daily_items,0)))</f>
        <v>#N/A</v>
      </c>
      <c r="R197" s="1" t="str">
        <f t="array" ref="R197">IF(ISBLANK(INDEX(big_daily_table,MATCH(DATE(R$5,$K197,$J197),daily_dates,0),MATCH($B$3,daily_items,0))),NA(),INDEX(big_daily_table,MATCH(DATE(R$5,$K197,$J197),daily_dates,0),MATCH($B$3,daily_items,0)))</f>
        <v>#N/A</v>
      </c>
      <c r="S197" s="1" t="str">
        <f t="array" ref="S197">IF(ISBLANK(INDEX(big_daily_table,MATCH(DATE(S$5,$K197,$J197),daily_dates,0),MATCH($B$3,daily_items,0))),NA(),INDEX(big_daily_table,MATCH(DATE(S$5,$K197,$J197),daily_dates,0),MATCH($B$3,daily_items,0)))</f>
        <v>#N/A</v>
      </c>
      <c r="T197" s="1" t="str">
        <f t="array" ref="T197">IF(ISBLANK(INDEX(big_daily_table,MATCH(DATE(T$5,$K197,$J197),daily_dates,0),MATCH($B$3,daily_items,0))),NA(),INDEX(big_daily_table,MATCH(DATE(T$5,$K197,$J197),daily_dates,0),MATCH($B$3,daily_items,0)))</f>
        <v>#N/A</v>
      </c>
      <c r="U197" s="1" t="str">
        <f t="array" ref="U197">IF(ISBLANK(INDEX(big_daily_table,MATCH(DATE(U$5,$K197,$J197),daily_dates,0),MATCH($B$3,daily_items,0))),NA(),INDEX(big_daily_table,MATCH(DATE(U$5,$K197,$J197),daily_dates,0),MATCH($B$3,daily_items,0)))</f>
        <v>#N/A</v>
      </c>
      <c r="V197" s="1" t="str">
        <f t="array" ref="V197">IF(ISBLANK(INDEX(big_daily_table,MATCH(DATE(V$5,$K197,$J197),daily_dates,0),MATCH($B$3,daily_items,0))),NA(),INDEX(big_daily_table,MATCH(DATE(V$5,$K197,$J197),daily_dates,0),MATCH($B$3,daily_items,0)))</f>
        <v>#N/A</v>
      </c>
      <c r="W197" s="1" t="str">
        <f t="array" ref="W197">IF(ISBLANK(INDEX(big_daily_table,MATCH(DATE(W$5,$K197,$J197),daily_dates,0),MATCH($B$3,daily_items,0))),NA(),INDEX(big_daily_table,MATCH(DATE(W$5,$K197,$J197),daily_dates,0),MATCH($B$3,daily_items,0)))</f>
        <v>#N/A</v>
      </c>
      <c r="X197" s="1" t="str">
        <f t="array" ref="X197">IF(ISBLANK(INDEX(big_daily_table,MATCH(DATE(X$5,$K197,$J197),daily_dates,0),MATCH($B$3,daily_items,0))),NA(),INDEX(big_daily_table,MATCH(DATE(X$5,$K197,$J197),daily_dates,0),MATCH($B$3,daily_items,0)))</f>
        <v>#N/A</v>
      </c>
      <c r="Y197" s="1" t="str">
        <f t="array" ref="Y197">IF(ISBLANK(INDEX(big_daily_table,MATCH(DATE(Y$5,$K197,$J197),daily_dates,0),MATCH($B$3,daily_items,0))),NA(),INDEX(big_daily_table,MATCH(DATE(Y$5,$K197,$J197),daily_dates,0),MATCH($B$3,daily_items,0)))</f>
        <v>#N/A</v>
      </c>
      <c r="Z197" s="1" t="str">
        <f t="array" ref="Z197">IF(ISBLANK(INDEX(big_daily_table,MATCH(DATE(Z$5,$K197,$J197),daily_dates,0),MATCH($B$3,daily_items,0))),NA(),INDEX(big_daily_table,MATCH(DATE(Z$5,$K197,$J197),daily_dates,0),MATCH($B$3,daily_items,0)))</f>
        <v>#N/A</v>
      </c>
      <c r="AA197" s="1" t="str">
        <f t="shared" si="5"/>
        <v>#NAME?</v>
      </c>
      <c r="AB197" s="1" t="str">
        <f t="shared" si="6"/>
        <v>#NAME?</v>
      </c>
      <c r="AC197" s="1" t="str">
        <f t="shared" si="7"/>
        <v>#NAME?</v>
      </c>
      <c r="AD197" s="1" t="str">
        <f t="shared" si="8"/>
        <v>#NAME?</v>
      </c>
    </row>
    <row r="198" ht="14.25" customHeight="1">
      <c r="H198" s="1">
        <f t="shared" si="9"/>
        <v>193</v>
      </c>
      <c r="I198" s="1">
        <f>WEEKDAY('daily graphs'!K198)</f>
        <v>3</v>
      </c>
      <c r="J198" s="1">
        <f t="shared" si="2"/>
        <v>8</v>
      </c>
      <c r="K198" s="1">
        <f t="shared" si="3"/>
        <v>7</v>
      </c>
      <c r="L198" s="23">
        <f>'daily graphs'!K198 - I198</f>
        <v>36715</v>
      </c>
      <c r="M198" s="24">
        <f t="shared" si="4"/>
        <v>-1000000</v>
      </c>
      <c r="N198" s="24" t="str">
        <f t="array" ref="N198">IF(M198&gt;0,INDEX(big_daily_table,MATCH(DATE(O$5,$K198,$J198),daily_dates,0),MATCH($B$3,daily_items,0)),NA())</f>
        <v>#N/A</v>
      </c>
      <c r="O198" s="1" t="str">
        <f t="array" ref="O198">IF(M198&lt;0,INDEX(big_daily_table,MATCH(DATE(O$5,$K198,$J198),daily_dates,0),MATCH($B$3,daily_items,0)),NA())</f>
        <v>#N/A</v>
      </c>
      <c r="P198" s="1" t="str">
        <f t="array" ref="P198">IF(ISBLANK(INDEX(big_daily_table,MATCH(DATE(P$5,$K198,$J198),daily_dates,0),MATCH($B$3,daily_items,0))),NA(),INDEX(big_daily_table,MATCH(DATE(P$5,$K198,$J198),daily_dates,0),MATCH($B$3,daily_items,0)))</f>
        <v>#N/A</v>
      </c>
      <c r="Q198" s="1" t="str">
        <f t="array" ref="Q198">IF(ISBLANK(INDEX(big_daily_table,MATCH(DATE(Q$5,$K198,$J198),daily_dates,0),MATCH($B$3,daily_items,0))),NA(),INDEX(big_daily_table,MATCH(DATE(Q$5,$K198,$J198),daily_dates,0),MATCH($B$3,daily_items,0)))</f>
        <v>#N/A</v>
      </c>
      <c r="R198" s="1" t="str">
        <f t="array" ref="R198">IF(ISBLANK(INDEX(big_daily_table,MATCH(DATE(R$5,$K198,$J198),daily_dates,0),MATCH($B$3,daily_items,0))),NA(),INDEX(big_daily_table,MATCH(DATE(R$5,$K198,$J198),daily_dates,0),MATCH($B$3,daily_items,0)))</f>
        <v>#N/A</v>
      </c>
      <c r="S198" s="1" t="str">
        <f t="array" ref="S198">IF(ISBLANK(INDEX(big_daily_table,MATCH(DATE(S$5,$K198,$J198),daily_dates,0),MATCH($B$3,daily_items,0))),NA(),INDEX(big_daily_table,MATCH(DATE(S$5,$K198,$J198),daily_dates,0),MATCH($B$3,daily_items,0)))</f>
        <v>#N/A</v>
      </c>
      <c r="T198" s="1" t="str">
        <f t="array" ref="T198">IF(ISBLANK(INDEX(big_daily_table,MATCH(DATE(T$5,$K198,$J198),daily_dates,0),MATCH($B$3,daily_items,0))),NA(),INDEX(big_daily_table,MATCH(DATE(T$5,$K198,$J198),daily_dates,0),MATCH($B$3,daily_items,0)))</f>
        <v>#N/A</v>
      </c>
      <c r="U198" s="1" t="str">
        <f t="array" ref="U198">IF(ISBLANK(INDEX(big_daily_table,MATCH(DATE(U$5,$K198,$J198),daily_dates,0),MATCH($B$3,daily_items,0))),NA(),INDEX(big_daily_table,MATCH(DATE(U$5,$K198,$J198),daily_dates,0),MATCH($B$3,daily_items,0)))</f>
        <v>#N/A</v>
      </c>
      <c r="V198" s="1" t="str">
        <f t="array" ref="V198">IF(ISBLANK(INDEX(big_daily_table,MATCH(DATE(V$5,$K198,$J198),daily_dates,0),MATCH($B$3,daily_items,0))),NA(),INDEX(big_daily_table,MATCH(DATE(V$5,$K198,$J198),daily_dates,0),MATCH($B$3,daily_items,0)))</f>
        <v>#N/A</v>
      </c>
      <c r="W198" s="1" t="str">
        <f t="array" ref="W198">IF(ISBLANK(INDEX(big_daily_table,MATCH(DATE(W$5,$K198,$J198),daily_dates,0),MATCH($B$3,daily_items,0))),NA(),INDEX(big_daily_table,MATCH(DATE(W$5,$K198,$J198),daily_dates,0),MATCH($B$3,daily_items,0)))</f>
        <v>#N/A</v>
      </c>
      <c r="X198" s="1" t="str">
        <f t="array" ref="X198">IF(ISBLANK(INDEX(big_daily_table,MATCH(DATE(X$5,$K198,$J198),daily_dates,0),MATCH($B$3,daily_items,0))),NA(),INDEX(big_daily_table,MATCH(DATE(X$5,$K198,$J198),daily_dates,0),MATCH($B$3,daily_items,0)))</f>
        <v>#N/A</v>
      </c>
      <c r="Y198" s="1" t="str">
        <f t="array" ref="Y198">IF(ISBLANK(INDEX(big_daily_table,MATCH(DATE(Y$5,$K198,$J198),daily_dates,0),MATCH($B$3,daily_items,0))),NA(),INDEX(big_daily_table,MATCH(DATE(Y$5,$K198,$J198),daily_dates,0),MATCH($B$3,daily_items,0)))</f>
        <v>#N/A</v>
      </c>
      <c r="Z198" s="1" t="str">
        <f t="array" ref="Z198">IF(ISBLANK(INDEX(big_daily_table,MATCH(DATE(Z$5,$K198,$J198),daily_dates,0),MATCH($B$3,daily_items,0))),NA(),INDEX(big_daily_table,MATCH(DATE(Z$5,$K198,$J198),daily_dates,0),MATCH($B$3,daily_items,0)))</f>
        <v>#N/A</v>
      </c>
      <c r="AA198" s="1" t="str">
        <f t="shared" si="5"/>
        <v>#NAME?</v>
      </c>
      <c r="AB198" s="1" t="str">
        <f t="shared" si="6"/>
        <v>#NAME?</v>
      </c>
      <c r="AC198" s="1" t="str">
        <f t="shared" si="7"/>
        <v>#NAME?</v>
      </c>
      <c r="AD198" s="1" t="str">
        <f t="shared" si="8"/>
        <v>#NAME?</v>
      </c>
    </row>
    <row r="199" ht="14.25" customHeight="1">
      <c r="H199" s="1">
        <f t="shared" si="9"/>
        <v>194</v>
      </c>
      <c r="I199" s="1">
        <f>WEEKDAY('daily graphs'!K199)</f>
        <v>4</v>
      </c>
      <c r="J199" s="1">
        <f t="shared" si="2"/>
        <v>8</v>
      </c>
      <c r="K199" s="1">
        <f t="shared" si="3"/>
        <v>7</v>
      </c>
      <c r="L199" s="23">
        <f>'daily graphs'!K199 - I199</f>
        <v>36715</v>
      </c>
      <c r="M199" s="24">
        <f t="shared" si="4"/>
        <v>-1000000</v>
      </c>
      <c r="N199" s="24" t="str">
        <f t="array" ref="N199">IF(M199&gt;0,INDEX(big_daily_table,MATCH(DATE(O$5,$K199,$J199),daily_dates,0),MATCH($B$3,daily_items,0)),NA())</f>
        <v>#N/A</v>
      </c>
      <c r="O199" s="1" t="str">
        <f t="array" ref="O199">IF(M199&lt;0,INDEX(big_daily_table,MATCH(DATE(O$5,$K199,$J199),daily_dates,0),MATCH($B$3,daily_items,0)),NA())</f>
        <v>#N/A</v>
      </c>
      <c r="P199" s="1" t="str">
        <f t="array" ref="P199">IF(ISBLANK(INDEX(big_daily_table,MATCH(DATE(P$5,$K199,$J199),daily_dates,0),MATCH($B$3,daily_items,0))),NA(),INDEX(big_daily_table,MATCH(DATE(P$5,$K199,$J199),daily_dates,0),MATCH($B$3,daily_items,0)))</f>
        <v>#N/A</v>
      </c>
      <c r="Q199" s="1" t="str">
        <f t="array" ref="Q199">IF(ISBLANK(INDEX(big_daily_table,MATCH(DATE(Q$5,$K199,$J199),daily_dates,0),MATCH($B$3,daily_items,0))),NA(),INDEX(big_daily_table,MATCH(DATE(Q$5,$K199,$J199),daily_dates,0),MATCH($B$3,daily_items,0)))</f>
        <v>#N/A</v>
      </c>
      <c r="R199" s="1" t="str">
        <f t="array" ref="R199">IF(ISBLANK(INDEX(big_daily_table,MATCH(DATE(R$5,$K199,$J199),daily_dates,0),MATCH($B$3,daily_items,0))),NA(),INDEX(big_daily_table,MATCH(DATE(R$5,$K199,$J199),daily_dates,0),MATCH($B$3,daily_items,0)))</f>
        <v>#N/A</v>
      </c>
      <c r="S199" s="1" t="str">
        <f t="array" ref="S199">IF(ISBLANK(INDEX(big_daily_table,MATCH(DATE(S$5,$K199,$J199),daily_dates,0),MATCH($B$3,daily_items,0))),NA(),INDEX(big_daily_table,MATCH(DATE(S$5,$K199,$J199),daily_dates,0),MATCH($B$3,daily_items,0)))</f>
        <v>#N/A</v>
      </c>
      <c r="T199" s="1" t="str">
        <f t="array" ref="T199">IF(ISBLANK(INDEX(big_daily_table,MATCH(DATE(T$5,$K199,$J199),daily_dates,0),MATCH($B$3,daily_items,0))),NA(),INDEX(big_daily_table,MATCH(DATE(T$5,$K199,$J199),daily_dates,0),MATCH($B$3,daily_items,0)))</f>
        <v>#N/A</v>
      </c>
      <c r="U199" s="1" t="str">
        <f t="array" ref="U199">IF(ISBLANK(INDEX(big_daily_table,MATCH(DATE(U$5,$K199,$J199),daily_dates,0),MATCH($B$3,daily_items,0))),NA(),INDEX(big_daily_table,MATCH(DATE(U$5,$K199,$J199),daily_dates,0),MATCH($B$3,daily_items,0)))</f>
        <v>#N/A</v>
      </c>
      <c r="V199" s="1" t="str">
        <f t="array" ref="V199">IF(ISBLANK(INDEX(big_daily_table,MATCH(DATE(V$5,$K199,$J199),daily_dates,0),MATCH($B$3,daily_items,0))),NA(),INDEX(big_daily_table,MATCH(DATE(V$5,$K199,$J199),daily_dates,0),MATCH($B$3,daily_items,0)))</f>
        <v>#N/A</v>
      </c>
      <c r="W199" s="1" t="str">
        <f t="array" ref="W199">IF(ISBLANK(INDEX(big_daily_table,MATCH(DATE(W$5,$K199,$J199),daily_dates,0),MATCH($B$3,daily_items,0))),NA(),INDEX(big_daily_table,MATCH(DATE(W$5,$K199,$J199),daily_dates,0),MATCH($B$3,daily_items,0)))</f>
        <v>#N/A</v>
      </c>
      <c r="X199" s="1" t="str">
        <f t="array" ref="X199">IF(ISBLANK(INDEX(big_daily_table,MATCH(DATE(X$5,$K199,$J199),daily_dates,0),MATCH($B$3,daily_items,0))),NA(),INDEX(big_daily_table,MATCH(DATE(X$5,$K199,$J199),daily_dates,0),MATCH($B$3,daily_items,0)))</f>
        <v>#N/A</v>
      </c>
      <c r="Y199" s="1" t="str">
        <f t="array" ref="Y199">IF(ISBLANK(INDEX(big_daily_table,MATCH(DATE(Y$5,$K199,$J199),daily_dates,0),MATCH($B$3,daily_items,0))),NA(),INDEX(big_daily_table,MATCH(DATE(Y$5,$K199,$J199),daily_dates,0),MATCH($B$3,daily_items,0)))</f>
        <v>#N/A</v>
      </c>
      <c r="Z199" s="1" t="str">
        <f t="array" ref="Z199">IF(ISBLANK(INDEX(big_daily_table,MATCH(DATE(Z$5,$K199,$J199),daily_dates,0),MATCH($B$3,daily_items,0))),NA(),INDEX(big_daily_table,MATCH(DATE(Z$5,$K199,$J199),daily_dates,0),MATCH($B$3,daily_items,0)))</f>
        <v>#N/A</v>
      </c>
      <c r="AA199" s="1" t="str">
        <f t="shared" si="5"/>
        <v>#NAME?</v>
      </c>
      <c r="AB199" s="1" t="str">
        <f t="shared" si="6"/>
        <v>#NAME?</v>
      </c>
      <c r="AC199" s="1" t="str">
        <f t="shared" si="7"/>
        <v>#NAME?</v>
      </c>
      <c r="AD199" s="1" t="str">
        <f t="shared" si="8"/>
        <v>#NAME?</v>
      </c>
    </row>
    <row r="200" ht="14.25" customHeight="1">
      <c r="H200" s="1">
        <f t="shared" si="9"/>
        <v>195</v>
      </c>
      <c r="I200" s="1">
        <f>WEEKDAY('daily graphs'!K200)</f>
        <v>5</v>
      </c>
      <c r="J200" s="1">
        <f t="shared" si="2"/>
        <v>8</v>
      </c>
      <c r="K200" s="1">
        <f t="shared" si="3"/>
        <v>7</v>
      </c>
      <c r="L200" s="23">
        <f>'daily graphs'!K200 - I200</f>
        <v>36715</v>
      </c>
      <c r="M200" s="24">
        <f t="shared" si="4"/>
        <v>-1000000</v>
      </c>
      <c r="N200" s="24" t="str">
        <f t="array" ref="N200">IF(M200&gt;0,INDEX(big_daily_table,MATCH(DATE(O$5,$K200,$J200),daily_dates,0),MATCH($B$3,daily_items,0)),NA())</f>
        <v>#N/A</v>
      </c>
      <c r="O200" s="1" t="str">
        <f t="array" ref="O200">IF(M200&lt;0,INDEX(big_daily_table,MATCH(DATE(O$5,$K200,$J200),daily_dates,0),MATCH($B$3,daily_items,0)),NA())</f>
        <v>#N/A</v>
      </c>
      <c r="P200" s="1" t="str">
        <f t="array" ref="P200">IF(ISBLANK(INDEX(big_daily_table,MATCH(DATE(P$5,$K200,$J200),daily_dates,0),MATCH($B$3,daily_items,0))),NA(),INDEX(big_daily_table,MATCH(DATE(P$5,$K200,$J200),daily_dates,0),MATCH($B$3,daily_items,0)))</f>
        <v>#N/A</v>
      </c>
      <c r="Q200" s="1" t="str">
        <f t="array" ref="Q200">IF(ISBLANK(INDEX(big_daily_table,MATCH(DATE(Q$5,$K200,$J200),daily_dates,0),MATCH($B$3,daily_items,0))),NA(),INDEX(big_daily_table,MATCH(DATE(Q$5,$K200,$J200),daily_dates,0),MATCH($B$3,daily_items,0)))</f>
        <v>#N/A</v>
      </c>
      <c r="R200" s="1" t="str">
        <f t="array" ref="R200">IF(ISBLANK(INDEX(big_daily_table,MATCH(DATE(R$5,$K200,$J200),daily_dates,0),MATCH($B$3,daily_items,0))),NA(),INDEX(big_daily_table,MATCH(DATE(R$5,$K200,$J200),daily_dates,0),MATCH($B$3,daily_items,0)))</f>
        <v>#N/A</v>
      </c>
      <c r="S200" s="1" t="str">
        <f t="array" ref="S200">IF(ISBLANK(INDEX(big_daily_table,MATCH(DATE(S$5,$K200,$J200),daily_dates,0),MATCH($B$3,daily_items,0))),NA(),INDEX(big_daily_table,MATCH(DATE(S$5,$K200,$J200),daily_dates,0),MATCH($B$3,daily_items,0)))</f>
        <v>#N/A</v>
      </c>
      <c r="T200" s="1" t="str">
        <f t="array" ref="T200">IF(ISBLANK(INDEX(big_daily_table,MATCH(DATE(T$5,$K200,$J200),daily_dates,0),MATCH($B$3,daily_items,0))),NA(),INDEX(big_daily_table,MATCH(DATE(T$5,$K200,$J200),daily_dates,0),MATCH($B$3,daily_items,0)))</f>
        <v>#N/A</v>
      </c>
      <c r="U200" s="1" t="str">
        <f t="array" ref="U200">IF(ISBLANK(INDEX(big_daily_table,MATCH(DATE(U$5,$K200,$J200),daily_dates,0),MATCH($B$3,daily_items,0))),NA(),INDEX(big_daily_table,MATCH(DATE(U$5,$K200,$J200),daily_dates,0),MATCH($B$3,daily_items,0)))</f>
        <v>#N/A</v>
      </c>
      <c r="V200" s="1" t="str">
        <f t="array" ref="V200">IF(ISBLANK(INDEX(big_daily_table,MATCH(DATE(V$5,$K200,$J200),daily_dates,0),MATCH($B$3,daily_items,0))),NA(),INDEX(big_daily_table,MATCH(DATE(V$5,$K200,$J200),daily_dates,0),MATCH($B$3,daily_items,0)))</f>
        <v>#N/A</v>
      </c>
      <c r="W200" s="1" t="str">
        <f t="array" ref="W200">IF(ISBLANK(INDEX(big_daily_table,MATCH(DATE(W$5,$K200,$J200),daily_dates,0),MATCH($B$3,daily_items,0))),NA(),INDEX(big_daily_table,MATCH(DATE(W$5,$K200,$J200),daily_dates,0),MATCH($B$3,daily_items,0)))</f>
        <v>#N/A</v>
      </c>
      <c r="X200" s="1" t="str">
        <f t="array" ref="X200">IF(ISBLANK(INDEX(big_daily_table,MATCH(DATE(X$5,$K200,$J200),daily_dates,0),MATCH($B$3,daily_items,0))),NA(),INDEX(big_daily_table,MATCH(DATE(X$5,$K200,$J200),daily_dates,0),MATCH($B$3,daily_items,0)))</f>
        <v>#N/A</v>
      </c>
      <c r="Y200" s="1" t="str">
        <f t="array" ref="Y200">IF(ISBLANK(INDEX(big_daily_table,MATCH(DATE(Y$5,$K200,$J200),daily_dates,0),MATCH($B$3,daily_items,0))),NA(),INDEX(big_daily_table,MATCH(DATE(Y$5,$K200,$J200),daily_dates,0),MATCH($B$3,daily_items,0)))</f>
        <v>#N/A</v>
      </c>
      <c r="Z200" s="1" t="str">
        <f t="array" ref="Z200">IF(ISBLANK(INDEX(big_daily_table,MATCH(DATE(Z$5,$K200,$J200),daily_dates,0),MATCH($B$3,daily_items,0))),NA(),INDEX(big_daily_table,MATCH(DATE(Z$5,$K200,$J200),daily_dates,0),MATCH($B$3,daily_items,0)))</f>
        <v>#N/A</v>
      </c>
      <c r="AA200" s="1" t="str">
        <f t="shared" si="5"/>
        <v>#NAME?</v>
      </c>
      <c r="AB200" s="1" t="str">
        <f t="shared" si="6"/>
        <v>#NAME?</v>
      </c>
      <c r="AC200" s="1" t="str">
        <f t="shared" si="7"/>
        <v>#NAME?</v>
      </c>
      <c r="AD200" s="1" t="str">
        <f t="shared" si="8"/>
        <v>#NAME?</v>
      </c>
    </row>
    <row r="201" ht="14.25" customHeight="1">
      <c r="H201" s="1">
        <f t="shared" si="9"/>
        <v>196</v>
      </c>
      <c r="I201" s="1">
        <f>WEEKDAY('daily graphs'!K201)</f>
        <v>6</v>
      </c>
      <c r="J201" s="1">
        <f t="shared" si="2"/>
        <v>8</v>
      </c>
      <c r="K201" s="1">
        <f t="shared" si="3"/>
        <v>7</v>
      </c>
      <c r="L201" s="23">
        <f>'daily graphs'!K201 - I201</f>
        <v>36715</v>
      </c>
      <c r="M201" s="24">
        <f t="shared" si="4"/>
        <v>-1000000</v>
      </c>
      <c r="N201" s="24" t="str">
        <f t="array" ref="N201">IF(M201&gt;0,INDEX(big_daily_table,MATCH(DATE(O$5,$K201,$J201),daily_dates,0),MATCH($B$3,daily_items,0)),NA())</f>
        <v>#N/A</v>
      </c>
      <c r="O201" s="1" t="str">
        <f t="array" ref="O201">IF(M201&lt;0,INDEX(big_daily_table,MATCH(DATE(O$5,$K201,$J201),daily_dates,0),MATCH($B$3,daily_items,0)),NA())</f>
        <v>#N/A</v>
      </c>
      <c r="P201" s="1" t="str">
        <f t="array" ref="P201">IF(ISBLANK(INDEX(big_daily_table,MATCH(DATE(P$5,$K201,$J201),daily_dates,0),MATCH($B$3,daily_items,0))),NA(),INDEX(big_daily_table,MATCH(DATE(P$5,$K201,$J201),daily_dates,0),MATCH($B$3,daily_items,0)))</f>
        <v>#N/A</v>
      </c>
      <c r="Q201" s="1" t="str">
        <f t="array" ref="Q201">IF(ISBLANK(INDEX(big_daily_table,MATCH(DATE(Q$5,$K201,$J201),daily_dates,0),MATCH($B$3,daily_items,0))),NA(),INDEX(big_daily_table,MATCH(DATE(Q$5,$K201,$J201),daily_dates,0),MATCH($B$3,daily_items,0)))</f>
        <v>#N/A</v>
      </c>
      <c r="R201" s="1" t="str">
        <f t="array" ref="R201">IF(ISBLANK(INDEX(big_daily_table,MATCH(DATE(R$5,$K201,$J201),daily_dates,0),MATCH($B$3,daily_items,0))),NA(),INDEX(big_daily_table,MATCH(DATE(R$5,$K201,$J201),daily_dates,0),MATCH($B$3,daily_items,0)))</f>
        <v>#N/A</v>
      </c>
      <c r="S201" s="1" t="str">
        <f t="array" ref="S201">IF(ISBLANK(INDEX(big_daily_table,MATCH(DATE(S$5,$K201,$J201),daily_dates,0),MATCH($B$3,daily_items,0))),NA(),INDEX(big_daily_table,MATCH(DATE(S$5,$K201,$J201),daily_dates,0),MATCH($B$3,daily_items,0)))</f>
        <v>#N/A</v>
      </c>
      <c r="T201" s="1" t="str">
        <f t="array" ref="T201">IF(ISBLANK(INDEX(big_daily_table,MATCH(DATE(T$5,$K201,$J201),daily_dates,0),MATCH($B$3,daily_items,0))),NA(),INDEX(big_daily_table,MATCH(DATE(T$5,$K201,$J201),daily_dates,0),MATCH($B$3,daily_items,0)))</f>
        <v>#N/A</v>
      </c>
      <c r="U201" s="1" t="str">
        <f t="array" ref="U201">IF(ISBLANK(INDEX(big_daily_table,MATCH(DATE(U$5,$K201,$J201),daily_dates,0),MATCH($B$3,daily_items,0))),NA(),INDEX(big_daily_table,MATCH(DATE(U$5,$K201,$J201),daily_dates,0),MATCH($B$3,daily_items,0)))</f>
        <v>#N/A</v>
      </c>
      <c r="V201" s="1" t="str">
        <f t="array" ref="V201">IF(ISBLANK(INDEX(big_daily_table,MATCH(DATE(V$5,$K201,$J201),daily_dates,0),MATCH($B$3,daily_items,0))),NA(),INDEX(big_daily_table,MATCH(DATE(V$5,$K201,$J201),daily_dates,0),MATCH($B$3,daily_items,0)))</f>
        <v>#N/A</v>
      </c>
      <c r="W201" s="1" t="str">
        <f t="array" ref="W201">IF(ISBLANK(INDEX(big_daily_table,MATCH(DATE(W$5,$K201,$J201),daily_dates,0),MATCH($B$3,daily_items,0))),NA(),INDEX(big_daily_table,MATCH(DATE(W$5,$K201,$J201),daily_dates,0),MATCH($B$3,daily_items,0)))</f>
        <v>#N/A</v>
      </c>
      <c r="X201" s="1" t="str">
        <f t="array" ref="X201">IF(ISBLANK(INDEX(big_daily_table,MATCH(DATE(X$5,$K201,$J201),daily_dates,0),MATCH($B$3,daily_items,0))),NA(),INDEX(big_daily_table,MATCH(DATE(X$5,$K201,$J201),daily_dates,0),MATCH($B$3,daily_items,0)))</f>
        <v>#N/A</v>
      </c>
      <c r="Y201" s="1" t="str">
        <f t="array" ref="Y201">IF(ISBLANK(INDEX(big_daily_table,MATCH(DATE(Y$5,$K201,$J201),daily_dates,0),MATCH($B$3,daily_items,0))),NA(),INDEX(big_daily_table,MATCH(DATE(Y$5,$K201,$J201),daily_dates,0),MATCH($B$3,daily_items,0)))</f>
        <v>#N/A</v>
      </c>
      <c r="Z201" s="1" t="str">
        <f t="array" ref="Z201">IF(ISBLANK(INDEX(big_daily_table,MATCH(DATE(Z$5,$K201,$J201),daily_dates,0),MATCH($B$3,daily_items,0))),NA(),INDEX(big_daily_table,MATCH(DATE(Z$5,$K201,$J201),daily_dates,0),MATCH($B$3,daily_items,0)))</f>
        <v>#N/A</v>
      </c>
      <c r="AA201" s="1" t="str">
        <f t="shared" si="5"/>
        <v>#NAME?</v>
      </c>
      <c r="AB201" s="1" t="str">
        <f t="shared" si="6"/>
        <v>#NAME?</v>
      </c>
      <c r="AC201" s="1" t="str">
        <f t="shared" si="7"/>
        <v>#NAME?</v>
      </c>
      <c r="AD201" s="1" t="str">
        <f t="shared" si="8"/>
        <v>#NAME?</v>
      </c>
    </row>
    <row r="202" ht="14.25" customHeight="1">
      <c r="H202" s="1">
        <f t="shared" si="9"/>
        <v>197</v>
      </c>
      <c r="I202" s="1">
        <f>WEEKDAY('daily graphs'!K202)</f>
        <v>7</v>
      </c>
      <c r="J202" s="1">
        <f t="shared" si="2"/>
        <v>8</v>
      </c>
      <c r="K202" s="1">
        <f t="shared" si="3"/>
        <v>7</v>
      </c>
      <c r="L202" s="23">
        <f>'daily graphs'!K202 - I202</f>
        <v>36715</v>
      </c>
      <c r="M202" s="24">
        <f t="shared" si="4"/>
        <v>-1000000</v>
      </c>
      <c r="N202" s="24" t="str">
        <f t="array" ref="N202">IF(M202&gt;0,INDEX(big_daily_table,MATCH(DATE(O$5,$K202,$J202),daily_dates,0),MATCH($B$3,daily_items,0)),NA())</f>
        <v>#N/A</v>
      </c>
      <c r="O202" s="1" t="str">
        <f t="array" ref="O202">IF(M202&lt;0,INDEX(big_daily_table,MATCH(DATE(O$5,$K202,$J202),daily_dates,0),MATCH($B$3,daily_items,0)),NA())</f>
        <v>#N/A</v>
      </c>
      <c r="P202" s="1" t="str">
        <f t="array" ref="P202">IF(ISBLANK(INDEX(big_daily_table,MATCH(DATE(P$5,$K202,$J202),daily_dates,0),MATCH($B$3,daily_items,0))),NA(),INDEX(big_daily_table,MATCH(DATE(P$5,$K202,$J202),daily_dates,0),MATCH($B$3,daily_items,0)))</f>
        <v>#N/A</v>
      </c>
      <c r="Q202" s="1" t="str">
        <f t="array" ref="Q202">IF(ISBLANK(INDEX(big_daily_table,MATCH(DATE(Q$5,$K202,$J202),daily_dates,0),MATCH($B$3,daily_items,0))),NA(),INDEX(big_daily_table,MATCH(DATE(Q$5,$K202,$J202),daily_dates,0),MATCH($B$3,daily_items,0)))</f>
        <v>#N/A</v>
      </c>
      <c r="R202" s="1" t="str">
        <f t="array" ref="R202">IF(ISBLANK(INDEX(big_daily_table,MATCH(DATE(R$5,$K202,$J202),daily_dates,0),MATCH($B$3,daily_items,0))),NA(),INDEX(big_daily_table,MATCH(DATE(R$5,$K202,$J202),daily_dates,0),MATCH($B$3,daily_items,0)))</f>
        <v>#N/A</v>
      </c>
      <c r="S202" s="1" t="str">
        <f t="array" ref="S202">IF(ISBLANK(INDEX(big_daily_table,MATCH(DATE(S$5,$K202,$J202),daily_dates,0),MATCH($B$3,daily_items,0))),NA(),INDEX(big_daily_table,MATCH(DATE(S$5,$K202,$J202),daily_dates,0),MATCH($B$3,daily_items,0)))</f>
        <v>#N/A</v>
      </c>
      <c r="T202" s="1" t="str">
        <f t="array" ref="T202">IF(ISBLANK(INDEX(big_daily_table,MATCH(DATE(T$5,$K202,$J202),daily_dates,0),MATCH($B$3,daily_items,0))),NA(),INDEX(big_daily_table,MATCH(DATE(T$5,$K202,$J202),daily_dates,0),MATCH($B$3,daily_items,0)))</f>
        <v>#N/A</v>
      </c>
      <c r="U202" s="1" t="str">
        <f t="array" ref="U202">IF(ISBLANK(INDEX(big_daily_table,MATCH(DATE(U$5,$K202,$J202),daily_dates,0),MATCH($B$3,daily_items,0))),NA(),INDEX(big_daily_table,MATCH(DATE(U$5,$K202,$J202),daily_dates,0),MATCH($B$3,daily_items,0)))</f>
        <v>#N/A</v>
      </c>
      <c r="V202" s="1" t="str">
        <f t="array" ref="V202">IF(ISBLANK(INDEX(big_daily_table,MATCH(DATE(V$5,$K202,$J202),daily_dates,0),MATCH($B$3,daily_items,0))),NA(),INDEX(big_daily_table,MATCH(DATE(V$5,$K202,$J202),daily_dates,0),MATCH($B$3,daily_items,0)))</f>
        <v>#N/A</v>
      </c>
      <c r="W202" s="1" t="str">
        <f t="array" ref="W202">IF(ISBLANK(INDEX(big_daily_table,MATCH(DATE(W$5,$K202,$J202),daily_dates,0),MATCH($B$3,daily_items,0))),NA(),INDEX(big_daily_table,MATCH(DATE(W$5,$K202,$J202),daily_dates,0),MATCH($B$3,daily_items,0)))</f>
        <v>#N/A</v>
      </c>
      <c r="X202" s="1" t="str">
        <f t="array" ref="X202">IF(ISBLANK(INDEX(big_daily_table,MATCH(DATE(X$5,$K202,$J202),daily_dates,0),MATCH($B$3,daily_items,0))),NA(),INDEX(big_daily_table,MATCH(DATE(X$5,$K202,$J202),daily_dates,0),MATCH($B$3,daily_items,0)))</f>
        <v>#N/A</v>
      </c>
      <c r="Y202" s="1" t="str">
        <f t="array" ref="Y202">IF(ISBLANK(INDEX(big_daily_table,MATCH(DATE(Y$5,$K202,$J202),daily_dates,0),MATCH($B$3,daily_items,0))),NA(),INDEX(big_daily_table,MATCH(DATE(Y$5,$K202,$J202),daily_dates,0),MATCH($B$3,daily_items,0)))</f>
        <v>#N/A</v>
      </c>
      <c r="Z202" s="1" t="str">
        <f t="array" ref="Z202">IF(ISBLANK(INDEX(big_daily_table,MATCH(DATE(Z$5,$K202,$J202),daily_dates,0),MATCH($B$3,daily_items,0))),NA(),INDEX(big_daily_table,MATCH(DATE(Z$5,$K202,$J202),daily_dates,0),MATCH($B$3,daily_items,0)))</f>
        <v>#N/A</v>
      </c>
      <c r="AA202" s="1" t="str">
        <f t="shared" si="5"/>
        <v>#NAME?</v>
      </c>
      <c r="AB202" s="1" t="str">
        <f t="shared" si="6"/>
        <v>#NAME?</v>
      </c>
      <c r="AC202" s="1" t="str">
        <f t="shared" si="7"/>
        <v>#NAME?</v>
      </c>
      <c r="AD202" s="1" t="str">
        <f t="shared" si="8"/>
        <v>#NAME?</v>
      </c>
    </row>
    <row r="203" ht="14.25" customHeight="1">
      <c r="H203" s="1">
        <f t="shared" si="9"/>
        <v>198</v>
      </c>
      <c r="I203" s="1">
        <f>WEEKDAY('daily graphs'!K203)</f>
        <v>1</v>
      </c>
      <c r="J203" s="1">
        <f t="shared" si="2"/>
        <v>15</v>
      </c>
      <c r="K203" s="1">
        <f t="shared" si="3"/>
        <v>7</v>
      </c>
      <c r="L203" s="23">
        <f>'daily graphs'!K203 - I203</f>
        <v>36722</v>
      </c>
      <c r="M203" s="24">
        <f t="shared" si="4"/>
        <v>-1000000</v>
      </c>
      <c r="N203" s="24" t="str">
        <f t="array" ref="N203">IF(M203&gt;0,INDEX(big_daily_table,MATCH(DATE(O$5,$K203,$J203),daily_dates,0),MATCH($B$3,daily_items,0)),NA())</f>
        <v>#N/A</v>
      </c>
      <c r="O203" s="1" t="str">
        <f t="array" ref="O203">IF(M203&lt;0,INDEX(big_daily_table,MATCH(DATE(O$5,$K203,$J203),daily_dates,0),MATCH($B$3,daily_items,0)),NA())</f>
        <v>#N/A</v>
      </c>
      <c r="P203" s="1" t="str">
        <f t="array" ref="P203">IF(ISBLANK(INDEX(big_daily_table,MATCH(DATE(P$5,$K203,$J203),daily_dates,0),MATCH($B$3,daily_items,0))),NA(),INDEX(big_daily_table,MATCH(DATE(P$5,$K203,$J203),daily_dates,0),MATCH($B$3,daily_items,0)))</f>
        <v>#N/A</v>
      </c>
      <c r="Q203" s="1" t="str">
        <f t="array" ref="Q203">IF(ISBLANK(INDEX(big_daily_table,MATCH(DATE(Q$5,$K203,$J203),daily_dates,0),MATCH($B$3,daily_items,0))),NA(),INDEX(big_daily_table,MATCH(DATE(Q$5,$K203,$J203),daily_dates,0),MATCH($B$3,daily_items,0)))</f>
        <v>#N/A</v>
      </c>
      <c r="R203" s="1" t="str">
        <f t="array" ref="R203">IF(ISBLANK(INDEX(big_daily_table,MATCH(DATE(R$5,$K203,$J203),daily_dates,0),MATCH($B$3,daily_items,0))),NA(),INDEX(big_daily_table,MATCH(DATE(R$5,$K203,$J203),daily_dates,0),MATCH($B$3,daily_items,0)))</f>
        <v>#N/A</v>
      </c>
      <c r="S203" s="1" t="str">
        <f t="array" ref="S203">IF(ISBLANK(INDEX(big_daily_table,MATCH(DATE(S$5,$K203,$J203),daily_dates,0),MATCH($B$3,daily_items,0))),NA(),INDEX(big_daily_table,MATCH(DATE(S$5,$K203,$J203),daily_dates,0),MATCH($B$3,daily_items,0)))</f>
        <v>#N/A</v>
      </c>
      <c r="T203" s="1" t="str">
        <f t="array" ref="T203">IF(ISBLANK(INDEX(big_daily_table,MATCH(DATE(T$5,$K203,$J203),daily_dates,0),MATCH($B$3,daily_items,0))),NA(),INDEX(big_daily_table,MATCH(DATE(T$5,$K203,$J203),daily_dates,0),MATCH($B$3,daily_items,0)))</f>
        <v>#N/A</v>
      </c>
      <c r="U203" s="1" t="str">
        <f t="array" ref="U203">IF(ISBLANK(INDEX(big_daily_table,MATCH(DATE(U$5,$K203,$J203),daily_dates,0),MATCH($B$3,daily_items,0))),NA(),INDEX(big_daily_table,MATCH(DATE(U$5,$K203,$J203),daily_dates,0),MATCH($B$3,daily_items,0)))</f>
        <v>#N/A</v>
      </c>
      <c r="V203" s="1" t="str">
        <f t="array" ref="V203">IF(ISBLANK(INDEX(big_daily_table,MATCH(DATE(V$5,$K203,$J203),daily_dates,0),MATCH($B$3,daily_items,0))),NA(),INDEX(big_daily_table,MATCH(DATE(V$5,$K203,$J203),daily_dates,0),MATCH($B$3,daily_items,0)))</f>
        <v>#N/A</v>
      </c>
      <c r="W203" s="1" t="str">
        <f t="array" ref="W203">IF(ISBLANK(INDEX(big_daily_table,MATCH(DATE(W$5,$K203,$J203),daily_dates,0),MATCH($B$3,daily_items,0))),NA(),INDEX(big_daily_table,MATCH(DATE(W$5,$K203,$J203),daily_dates,0),MATCH($B$3,daily_items,0)))</f>
        <v>#N/A</v>
      </c>
      <c r="X203" s="1" t="str">
        <f t="array" ref="X203">IF(ISBLANK(INDEX(big_daily_table,MATCH(DATE(X$5,$K203,$J203),daily_dates,0),MATCH($B$3,daily_items,0))),NA(),INDEX(big_daily_table,MATCH(DATE(X$5,$K203,$J203),daily_dates,0),MATCH($B$3,daily_items,0)))</f>
        <v>#N/A</v>
      </c>
      <c r="Y203" s="1" t="str">
        <f t="array" ref="Y203">IF(ISBLANK(INDEX(big_daily_table,MATCH(DATE(Y$5,$K203,$J203),daily_dates,0),MATCH($B$3,daily_items,0))),NA(),INDEX(big_daily_table,MATCH(DATE(Y$5,$K203,$J203),daily_dates,0),MATCH($B$3,daily_items,0)))</f>
        <v>#N/A</v>
      </c>
      <c r="Z203" s="1" t="str">
        <f t="array" ref="Z203">IF(ISBLANK(INDEX(big_daily_table,MATCH(DATE(Z$5,$K203,$J203),daily_dates,0),MATCH($B$3,daily_items,0))),NA(),INDEX(big_daily_table,MATCH(DATE(Z$5,$K203,$J203),daily_dates,0),MATCH($B$3,daily_items,0)))</f>
        <v>#N/A</v>
      </c>
      <c r="AA203" s="1" t="str">
        <f t="shared" si="5"/>
        <v>#NAME?</v>
      </c>
      <c r="AB203" s="1" t="str">
        <f t="shared" si="6"/>
        <v>#NAME?</v>
      </c>
      <c r="AC203" s="1" t="str">
        <f t="shared" si="7"/>
        <v>#NAME?</v>
      </c>
      <c r="AD203" s="1" t="str">
        <f t="shared" si="8"/>
        <v>#NAME?</v>
      </c>
    </row>
    <row r="204" ht="14.25" customHeight="1">
      <c r="H204" s="1">
        <f t="shared" si="9"/>
        <v>199</v>
      </c>
      <c r="I204" s="1">
        <f>WEEKDAY('daily graphs'!K204)</f>
        <v>2</v>
      </c>
      <c r="J204" s="1">
        <f t="shared" si="2"/>
        <v>15</v>
      </c>
      <c r="K204" s="1">
        <f t="shared" si="3"/>
        <v>7</v>
      </c>
      <c r="L204" s="23">
        <f>'daily graphs'!K204 - I204</f>
        <v>36722</v>
      </c>
      <c r="M204" s="24">
        <f t="shared" si="4"/>
        <v>-1000000</v>
      </c>
      <c r="N204" s="24" t="str">
        <f t="array" ref="N204">IF(M204&gt;0,INDEX(big_daily_table,MATCH(DATE(O$5,$K204,$J204),daily_dates,0),MATCH($B$3,daily_items,0)),NA())</f>
        <v>#N/A</v>
      </c>
      <c r="O204" s="1" t="str">
        <f t="array" ref="O204">IF(M204&lt;0,INDEX(big_daily_table,MATCH(DATE(O$5,$K204,$J204),daily_dates,0),MATCH($B$3,daily_items,0)),NA())</f>
        <v>#N/A</v>
      </c>
      <c r="P204" s="1" t="str">
        <f t="array" ref="P204">IF(ISBLANK(INDEX(big_daily_table,MATCH(DATE(P$5,$K204,$J204),daily_dates,0),MATCH($B$3,daily_items,0))),NA(),INDEX(big_daily_table,MATCH(DATE(P$5,$K204,$J204),daily_dates,0),MATCH($B$3,daily_items,0)))</f>
        <v>#N/A</v>
      </c>
      <c r="Q204" s="1" t="str">
        <f t="array" ref="Q204">IF(ISBLANK(INDEX(big_daily_table,MATCH(DATE(Q$5,$K204,$J204),daily_dates,0),MATCH($B$3,daily_items,0))),NA(),INDEX(big_daily_table,MATCH(DATE(Q$5,$K204,$J204),daily_dates,0),MATCH($B$3,daily_items,0)))</f>
        <v>#N/A</v>
      </c>
      <c r="R204" s="1" t="str">
        <f t="array" ref="R204">IF(ISBLANK(INDEX(big_daily_table,MATCH(DATE(R$5,$K204,$J204),daily_dates,0),MATCH($B$3,daily_items,0))),NA(),INDEX(big_daily_table,MATCH(DATE(R$5,$K204,$J204),daily_dates,0),MATCH($B$3,daily_items,0)))</f>
        <v>#N/A</v>
      </c>
      <c r="S204" s="1" t="str">
        <f t="array" ref="S204">IF(ISBLANK(INDEX(big_daily_table,MATCH(DATE(S$5,$K204,$J204),daily_dates,0),MATCH($B$3,daily_items,0))),NA(),INDEX(big_daily_table,MATCH(DATE(S$5,$K204,$J204),daily_dates,0),MATCH($B$3,daily_items,0)))</f>
        <v>#N/A</v>
      </c>
      <c r="T204" s="1" t="str">
        <f t="array" ref="T204">IF(ISBLANK(INDEX(big_daily_table,MATCH(DATE(T$5,$K204,$J204),daily_dates,0),MATCH($B$3,daily_items,0))),NA(),INDEX(big_daily_table,MATCH(DATE(T$5,$K204,$J204),daily_dates,0),MATCH($B$3,daily_items,0)))</f>
        <v>#N/A</v>
      </c>
      <c r="U204" s="1" t="str">
        <f t="array" ref="U204">IF(ISBLANK(INDEX(big_daily_table,MATCH(DATE(U$5,$K204,$J204),daily_dates,0),MATCH($B$3,daily_items,0))),NA(),INDEX(big_daily_table,MATCH(DATE(U$5,$K204,$J204),daily_dates,0),MATCH($B$3,daily_items,0)))</f>
        <v>#N/A</v>
      </c>
      <c r="V204" s="1" t="str">
        <f t="array" ref="V204">IF(ISBLANK(INDEX(big_daily_table,MATCH(DATE(V$5,$K204,$J204),daily_dates,0),MATCH($B$3,daily_items,0))),NA(),INDEX(big_daily_table,MATCH(DATE(V$5,$K204,$J204),daily_dates,0),MATCH($B$3,daily_items,0)))</f>
        <v>#N/A</v>
      </c>
      <c r="W204" s="1" t="str">
        <f t="array" ref="W204">IF(ISBLANK(INDEX(big_daily_table,MATCH(DATE(W$5,$K204,$J204),daily_dates,0),MATCH($B$3,daily_items,0))),NA(),INDEX(big_daily_table,MATCH(DATE(W$5,$K204,$J204),daily_dates,0),MATCH($B$3,daily_items,0)))</f>
        <v>#N/A</v>
      </c>
      <c r="X204" s="1" t="str">
        <f t="array" ref="X204">IF(ISBLANK(INDEX(big_daily_table,MATCH(DATE(X$5,$K204,$J204),daily_dates,0),MATCH($B$3,daily_items,0))),NA(),INDEX(big_daily_table,MATCH(DATE(X$5,$K204,$J204),daily_dates,0),MATCH($B$3,daily_items,0)))</f>
        <v>#N/A</v>
      </c>
      <c r="Y204" s="1" t="str">
        <f t="array" ref="Y204">IF(ISBLANK(INDEX(big_daily_table,MATCH(DATE(Y$5,$K204,$J204),daily_dates,0),MATCH($B$3,daily_items,0))),NA(),INDEX(big_daily_table,MATCH(DATE(Y$5,$K204,$J204),daily_dates,0),MATCH($B$3,daily_items,0)))</f>
        <v>#N/A</v>
      </c>
      <c r="Z204" s="1" t="str">
        <f t="array" ref="Z204">IF(ISBLANK(INDEX(big_daily_table,MATCH(DATE(Z$5,$K204,$J204),daily_dates,0),MATCH($B$3,daily_items,0))),NA(),INDEX(big_daily_table,MATCH(DATE(Z$5,$K204,$J204),daily_dates,0),MATCH($B$3,daily_items,0)))</f>
        <v>#N/A</v>
      </c>
      <c r="AA204" s="1" t="str">
        <f t="shared" si="5"/>
        <v>#NAME?</v>
      </c>
      <c r="AB204" s="1" t="str">
        <f t="shared" si="6"/>
        <v>#NAME?</v>
      </c>
      <c r="AC204" s="1" t="str">
        <f t="shared" si="7"/>
        <v>#NAME?</v>
      </c>
      <c r="AD204" s="1" t="str">
        <f t="shared" si="8"/>
        <v>#NAME?</v>
      </c>
    </row>
    <row r="205" ht="14.25" customHeight="1">
      <c r="H205" s="1">
        <f t="shared" si="9"/>
        <v>200</v>
      </c>
      <c r="I205" s="1">
        <f>WEEKDAY('daily graphs'!K205)</f>
        <v>3</v>
      </c>
      <c r="J205" s="1">
        <f t="shared" si="2"/>
        <v>15</v>
      </c>
      <c r="K205" s="1">
        <f t="shared" si="3"/>
        <v>7</v>
      </c>
      <c r="L205" s="23">
        <f>'daily graphs'!K205 - I205</f>
        <v>36722</v>
      </c>
      <c r="M205" s="24">
        <f t="shared" si="4"/>
        <v>-1000000</v>
      </c>
      <c r="N205" s="24" t="str">
        <f t="array" ref="N205">IF(M205&gt;0,INDEX(big_daily_table,MATCH(DATE(O$5,$K205,$J205),daily_dates,0),MATCH($B$3,daily_items,0)),NA())</f>
        <v>#N/A</v>
      </c>
      <c r="O205" s="1" t="str">
        <f t="array" ref="O205">IF(M205&lt;0,INDEX(big_daily_table,MATCH(DATE(O$5,$K205,$J205),daily_dates,0),MATCH($B$3,daily_items,0)),NA())</f>
        <v>#N/A</v>
      </c>
      <c r="P205" s="1" t="str">
        <f t="array" ref="P205">IF(ISBLANK(INDEX(big_daily_table,MATCH(DATE(P$5,$K205,$J205),daily_dates,0),MATCH($B$3,daily_items,0))),NA(),INDEX(big_daily_table,MATCH(DATE(P$5,$K205,$J205),daily_dates,0),MATCH($B$3,daily_items,0)))</f>
        <v>#N/A</v>
      </c>
      <c r="Q205" s="1" t="str">
        <f t="array" ref="Q205">IF(ISBLANK(INDEX(big_daily_table,MATCH(DATE(Q$5,$K205,$J205),daily_dates,0),MATCH($B$3,daily_items,0))),NA(),INDEX(big_daily_table,MATCH(DATE(Q$5,$K205,$J205),daily_dates,0),MATCH($B$3,daily_items,0)))</f>
        <v>#N/A</v>
      </c>
      <c r="R205" s="1" t="str">
        <f t="array" ref="R205">IF(ISBLANK(INDEX(big_daily_table,MATCH(DATE(R$5,$K205,$J205),daily_dates,0),MATCH($B$3,daily_items,0))),NA(),INDEX(big_daily_table,MATCH(DATE(R$5,$K205,$J205),daily_dates,0),MATCH($B$3,daily_items,0)))</f>
        <v>#N/A</v>
      </c>
      <c r="S205" s="1" t="str">
        <f t="array" ref="S205">IF(ISBLANK(INDEX(big_daily_table,MATCH(DATE(S$5,$K205,$J205),daily_dates,0),MATCH($B$3,daily_items,0))),NA(),INDEX(big_daily_table,MATCH(DATE(S$5,$K205,$J205),daily_dates,0),MATCH($B$3,daily_items,0)))</f>
        <v>#N/A</v>
      </c>
      <c r="T205" s="1" t="str">
        <f t="array" ref="T205">IF(ISBLANK(INDEX(big_daily_table,MATCH(DATE(T$5,$K205,$J205),daily_dates,0),MATCH($B$3,daily_items,0))),NA(),INDEX(big_daily_table,MATCH(DATE(T$5,$K205,$J205),daily_dates,0),MATCH($B$3,daily_items,0)))</f>
        <v>#N/A</v>
      </c>
      <c r="U205" s="1" t="str">
        <f t="array" ref="U205">IF(ISBLANK(INDEX(big_daily_table,MATCH(DATE(U$5,$K205,$J205),daily_dates,0),MATCH($B$3,daily_items,0))),NA(),INDEX(big_daily_table,MATCH(DATE(U$5,$K205,$J205),daily_dates,0),MATCH($B$3,daily_items,0)))</f>
        <v>#N/A</v>
      </c>
      <c r="V205" s="1" t="str">
        <f t="array" ref="V205">IF(ISBLANK(INDEX(big_daily_table,MATCH(DATE(V$5,$K205,$J205),daily_dates,0),MATCH($B$3,daily_items,0))),NA(),INDEX(big_daily_table,MATCH(DATE(V$5,$K205,$J205),daily_dates,0),MATCH($B$3,daily_items,0)))</f>
        <v>#N/A</v>
      </c>
      <c r="W205" s="1" t="str">
        <f t="array" ref="W205">IF(ISBLANK(INDEX(big_daily_table,MATCH(DATE(W$5,$K205,$J205),daily_dates,0),MATCH($B$3,daily_items,0))),NA(),INDEX(big_daily_table,MATCH(DATE(W$5,$K205,$J205),daily_dates,0),MATCH($B$3,daily_items,0)))</f>
        <v>#N/A</v>
      </c>
      <c r="X205" s="1" t="str">
        <f t="array" ref="X205">IF(ISBLANK(INDEX(big_daily_table,MATCH(DATE(X$5,$K205,$J205),daily_dates,0),MATCH($B$3,daily_items,0))),NA(),INDEX(big_daily_table,MATCH(DATE(X$5,$K205,$J205),daily_dates,0),MATCH($B$3,daily_items,0)))</f>
        <v>#N/A</v>
      </c>
      <c r="Y205" s="1" t="str">
        <f t="array" ref="Y205">IF(ISBLANK(INDEX(big_daily_table,MATCH(DATE(Y$5,$K205,$J205),daily_dates,0),MATCH($B$3,daily_items,0))),NA(),INDEX(big_daily_table,MATCH(DATE(Y$5,$K205,$J205),daily_dates,0),MATCH($B$3,daily_items,0)))</f>
        <v>#N/A</v>
      </c>
      <c r="Z205" s="1" t="str">
        <f t="array" ref="Z205">IF(ISBLANK(INDEX(big_daily_table,MATCH(DATE(Z$5,$K205,$J205),daily_dates,0),MATCH($B$3,daily_items,0))),NA(),INDEX(big_daily_table,MATCH(DATE(Z$5,$K205,$J205),daily_dates,0),MATCH($B$3,daily_items,0)))</f>
        <v>#N/A</v>
      </c>
      <c r="AA205" s="1" t="str">
        <f t="shared" si="5"/>
        <v>#NAME?</v>
      </c>
      <c r="AB205" s="1" t="str">
        <f t="shared" si="6"/>
        <v>#NAME?</v>
      </c>
      <c r="AC205" s="1" t="str">
        <f t="shared" si="7"/>
        <v>#NAME?</v>
      </c>
      <c r="AD205" s="1" t="str">
        <f t="shared" si="8"/>
        <v>#NAME?</v>
      </c>
    </row>
    <row r="206" ht="14.25" customHeight="1">
      <c r="H206" s="1">
        <f t="shared" si="9"/>
        <v>201</v>
      </c>
      <c r="I206" s="1">
        <f>WEEKDAY('daily graphs'!K206)</f>
        <v>4</v>
      </c>
      <c r="J206" s="1">
        <f t="shared" si="2"/>
        <v>15</v>
      </c>
      <c r="K206" s="1">
        <f t="shared" si="3"/>
        <v>7</v>
      </c>
      <c r="L206" s="23">
        <f>'daily graphs'!K206 - I206</f>
        <v>36722</v>
      </c>
      <c r="M206" s="24">
        <f t="shared" si="4"/>
        <v>-1000000</v>
      </c>
      <c r="N206" s="24" t="str">
        <f t="array" ref="N206">IF(M206&gt;0,INDEX(big_daily_table,MATCH(DATE(O$5,$K206,$J206),daily_dates,0),MATCH($B$3,daily_items,0)),NA())</f>
        <v>#N/A</v>
      </c>
      <c r="O206" s="1" t="str">
        <f t="array" ref="O206">IF(M206&lt;0,INDEX(big_daily_table,MATCH(DATE(O$5,$K206,$J206),daily_dates,0),MATCH($B$3,daily_items,0)),NA())</f>
        <v>#N/A</v>
      </c>
      <c r="P206" s="1" t="str">
        <f t="array" ref="P206">IF(ISBLANK(INDEX(big_daily_table,MATCH(DATE(P$5,$K206,$J206),daily_dates,0),MATCH($B$3,daily_items,0))),NA(),INDEX(big_daily_table,MATCH(DATE(P$5,$K206,$J206),daily_dates,0),MATCH($B$3,daily_items,0)))</f>
        <v>#N/A</v>
      </c>
      <c r="Q206" s="1" t="str">
        <f t="array" ref="Q206">IF(ISBLANK(INDEX(big_daily_table,MATCH(DATE(Q$5,$K206,$J206),daily_dates,0),MATCH($B$3,daily_items,0))),NA(),INDEX(big_daily_table,MATCH(DATE(Q$5,$K206,$J206),daily_dates,0),MATCH($B$3,daily_items,0)))</f>
        <v>#N/A</v>
      </c>
      <c r="R206" s="1" t="str">
        <f t="array" ref="R206">IF(ISBLANK(INDEX(big_daily_table,MATCH(DATE(R$5,$K206,$J206),daily_dates,0),MATCH($B$3,daily_items,0))),NA(),INDEX(big_daily_table,MATCH(DATE(R$5,$K206,$J206),daily_dates,0),MATCH($B$3,daily_items,0)))</f>
        <v>#N/A</v>
      </c>
      <c r="S206" s="1" t="str">
        <f t="array" ref="S206">IF(ISBLANK(INDEX(big_daily_table,MATCH(DATE(S$5,$K206,$J206),daily_dates,0),MATCH($B$3,daily_items,0))),NA(),INDEX(big_daily_table,MATCH(DATE(S$5,$K206,$J206),daily_dates,0),MATCH($B$3,daily_items,0)))</f>
        <v>#N/A</v>
      </c>
      <c r="T206" s="1" t="str">
        <f t="array" ref="T206">IF(ISBLANK(INDEX(big_daily_table,MATCH(DATE(T$5,$K206,$J206),daily_dates,0),MATCH($B$3,daily_items,0))),NA(),INDEX(big_daily_table,MATCH(DATE(T$5,$K206,$J206),daily_dates,0),MATCH($B$3,daily_items,0)))</f>
        <v>#N/A</v>
      </c>
      <c r="U206" s="1" t="str">
        <f t="array" ref="U206">IF(ISBLANK(INDEX(big_daily_table,MATCH(DATE(U$5,$K206,$J206),daily_dates,0),MATCH($B$3,daily_items,0))),NA(),INDEX(big_daily_table,MATCH(DATE(U$5,$K206,$J206),daily_dates,0),MATCH($B$3,daily_items,0)))</f>
        <v>#N/A</v>
      </c>
      <c r="V206" s="1" t="str">
        <f t="array" ref="V206">IF(ISBLANK(INDEX(big_daily_table,MATCH(DATE(V$5,$K206,$J206),daily_dates,0),MATCH($B$3,daily_items,0))),NA(),INDEX(big_daily_table,MATCH(DATE(V$5,$K206,$J206),daily_dates,0),MATCH($B$3,daily_items,0)))</f>
        <v>#N/A</v>
      </c>
      <c r="W206" s="1" t="str">
        <f t="array" ref="W206">IF(ISBLANK(INDEX(big_daily_table,MATCH(DATE(W$5,$K206,$J206),daily_dates,0),MATCH($B$3,daily_items,0))),NA(),INDEX(big_daily_table,MATCH(DATE(W$5,$K206,$J206),daily_dates,0),MATCH($B$3,daily_items,0)))</f>
        <v>#N/A</v>
      </c>
      <c r="X206" s="1" t="str">
        <f t="array" ref="X206">IF(ISBLANK(INDEX(big_daily_table,MATCH(DATE(X$5,$K206,$J206),daily_dates,0),MATCH($B$3,daily_items,0))),NA(),INDEX(big_daily_table,MATCH(DATE(X$5,$K206,$J206),daily_dates,0),MATCH($B$3,daily_items,0)))</f>
        <v>#N/A</v>
      </c>
      <c r="Y206" s="1" t="str">
        <f t="array" ref="Y206">IF(ISBLANK(INDEX(big_daily_table,MATCH(DATE(Y$5,$K206,$J206),daily_dates,0),MATCH($B$3,daily_items,0))),NA(),INDEX(big_daily_table,MATCH(DATE(Y$5,$K206,$J206),daily_dates,0),MATCH($B$3,daily_items,0)))</f>
        <v>#N/A</v>
      </c>
      <c r="Z206" s="1" t="str">
        <f t="array" ref="Z206">IF(ISBLANK(INDEX(big_daily_table,MATCH(DATE(Z$5,$K206,$J206),daily_dates,0),MATCH($B$3,daily_items,0))),NA(),INDEX(big_daily_table,MATCH(DATE(Z$5,$K206,$J206),daily_dates,0),MATCH($B$3,daily_items,0)))</f>
        <v>#N/A</v>
      </c>
      <c r="AA206" s="1" t="str">
        <f t="shared" si="5"/>
        <v>#NAME?</v>
      </c>
      <c r="AB206" s="1" t="str">
        <f t="shared" si="6"/>
        <v>#NAME?</v>
      </c>
      <c r="AC206" s="1" t="str">
        <f t="shared" si="7"/>
        <v>#NAME?</v>
      </c>
      <c r="AD206" s="1" t="str">
        <f t="shared" si="8"/>
        <v>#NAME?</v>
      </c>
    </row>
    <row r="207" ht="14.25" customHeight="1">
      <c r="H207" s="1">
        <f t="shared" si="9"/>
        <v>202</v>
      </c>
      <c r="I207" s="1">
        <f>WEEKDAY('daily graphs'!K207)</f>
        <v>5</v>
      </c>
      <c r="J207" s="1">
        <f t="shared" si="2"/>
        <v>15</v>
      </c>
      <c r="K207" s="1">
        <f t="shared" si="3"/>
        <v>7</v>
      </c>
      <c r="L207" s="23">
        <f>'daily graphs'!K207 - I207</f>
        <v>36722</v>
      </c>
      <c r="M207" s="24">
        <f t="shared" si="4"/>
        <v>-1000000</v>
      </c>
      <c r="N207" s="24" t="str">
        <f t="array" ref="N207">IF(M207&gt;0,INDEX(big_daily_table,MATCH(DATE(O$5,$K207,$J207),daily_dates,0),MATCH($B$3,daily_items,0)),NA())</f>
        <v>#N/A</v>
      </c>
      <c r="O207" s="1" t="str">
        <f t="array" ref="O207">IF(M207&lt;0,INDEX(big_daily_table,MATCH(DATE(O$5,$K207,$J207),daily_dates,0),MATCH($B$3,daily_items,0)),NA())</f>
        <v>#N/A</v>
      </c>
      <c r="P207" s="1" t="str">
        <f t="array" ref="P207">IF(ISBLANK(INDEX(big_daily_table,MATCH(DATE(P$5,$K207,$J207),daily_dates,0),MATCH($B$3,daily_items,0))),NA(),INDEX(big_daily_table,MATCH(DATE(P$5,$K207,$J207),daily_dates,0),MATCH($B$3,daily_items,0)))</f>
        <v>#N/A</v>
      </c>
      <c r="Q207" s="1" t="str">
        <f t="array" ref="Q207">IF(ISBLANK(INDEX(big_daily_table,MATCH(DATE(Q$5,$K207,$J207),daily_dates,0),MATCH($B$3,daily_items,0))),NA(),INDEX(big_daily_table,MATCH(DATE(Q$5,$K207,$J207),daily_dates,0),MATCH($B$3,daily_items,0)))</f>
        <v>#N/A</v>
      </c>
      <c r="R207" s="1" t="str">
        <f t="array" ref="R207">IF(ISBLANK(INDEX(big_daily_table,MATCH(DATE(R$5,$K207,$J207),daily_dates,0),MATCH($B$3,daily_items,0))),NA(),INDEX(big_daily_table,MATCH(DATE(R$5,$K207,$J207),daily_dates,0),MATCH($B$3,daily_items,0)))</f>
        <v>#N/A</v>
      </c>
      <c r="S207" s="1" t="str">
        <f t="array" ref="S207">IF(ISBLANK(INDEX(big_daily_table,MATCH(DATE(S$5,$K207,$J207),daily_dates,0),MATCH($B$3,daily_items,0))),NA(),INDEX(big_daily_table,MATCH(DATE(S$5,$K207,$J207),daily_dates,0),MATCH($B$3,daily_items,0)))</f>
        <v>#N/A</v>
      </c>
      <c r="T207" s="1" t="str">
        <f t="array" ref="T207">IF(ISBLANK(INDEX(big_daily_table,MATCH(DATE(T$5,$K207,$J207),daily_dates,0),MATCH($B$3,daily_items,0))),NA(),INDEX(big_daily_table,MATCH(DATE(T$5,$K207,$J207),daily_dates,0),MATCH($B$3,daily_items,0)))</f>
        <v>#N/A</v>
      </c>
      <c r="U207" s="1" t="str">
        <f t="array" ref="U207">IF(ISBLANK(INDEX(big_daily_table,MATCH(DATE(U$5,$K207,$J207),daily_dates,0),MATCH($B$3,daily_items,0))),NA(),INDEX(big_daily_table,MATCH(DATE(U$5,$K207,$J207),daily_dates,0),MATCH($B$3,daily_items,0)))</f>
        <v>#N/A</v>
      </c>
      <c r="V207" s="1" t="str">
        <f t="array" ref="V207">IF(ISBLANK(INDEX(big_daily_table,MATCH(DATE(V$5,$K207,$J207),daily_dates,0),MATCH($B$3,daily_items,0))),NA(),INDEX(big_daily_table,MATCH(DATE(V$5,$K207,$J207),daily_dates,0),MATCH($B$3,daily_items,0)))</f>
        <v>#N/A</v>
      </c>
      <c r="W207" s="1" t="str">
        <f t="array" ref="W207">IF(ISBLANK(INDEX(big_daily_table,MATCH(DATE(W$5,$K207,$J207),daily_dates,0),MATCH($B$3,daily_items,0))),NA(),INDEX(big_daily_table,MATCH(DATE(W$5,$K207,$J207),daily_dates,0),MATCH($B$3,daily_items,0)))</f>
        <v>#N/A</v>
      </c>
      <c r="X207" s="1" t="str">
        <f t="array" ref="X207">IF(ISBLANK(INDEX(big_daily_table,MATCH(DATE(X$5,$K207,$J207),daily_dates,0),MATCH($B$3,daily_items,0))),NA(),INDEX(big_daily_table,MATCH(DATE(X$5,$K207,$J207),daily_dates,0),MATCH($B$3,daily_items,0)))</f>
        <v>#N/A</v>
      </c>
      <c r="Y207" s="1" t="str">
        <f t="array" ref="Y207">IF(ISBLANK(INDEX(big_daily_table,MATCH(DATE(Y$5,$K207,$J207),daily_dates,0),MATCH($B$3,daily_items,0))),NA(),INDEX(big_daily_table,MATCH(DATE(Y$5,$K207,$J207),daily_dates,0),MATCH($B$3,daily_items,0)))</f>
        <v>#N/A</v>
      </c>
      <c r="Z207" s="1" t="str">
        <f t="array" ref="Z207">IF(ISBLANK(INDEX(big_daily_table,MATCH(DATE(Z$5,$K207,$J207),daily_dates,0),MATCH($B$3,daily_items,0))),NA(),INDEX(big_daily_table,MATCH(DATE(Z$5,$K207,$J207),daily_dates,0),MATCH($B$3,daily_items,0)))</f>
        <v>#N/A</v>
      </c>
      <c r="AA207" s="1" t="str">
        <f t="shared" si="5"/>
        <v>#NAME?</v>
      </c>
      <c r="AB207" s="1" t="str">
        <f t="shared" si="6"/>
        <v>#NAME?</v>
      </c>
      <c r="AC207" s="1" t="str">
        <f t="shared" si="7"/>
        <v>#NAME?</v>
      </c>
      <c r="AD207" s="1" t="str">
        <f t="shared" si="8"/>
        <v>#NAME?</v>
      </c>
    </row>
    <row r="208" ht="14.25" customHeight="1">
      <c r="H208" s="1">
        <f t="shared" si="9"/>
        <v>203</v>
      </c>
      <c r="I208" s="1">
        <f>WEEKDAY('daily graphs'!K208)</f>
        <v>6</v>
      </c>
      <c r="J208" s="1">
        <f t="shared" si="2"/>
        <v>15</v>
      </c>
      <c r="K208" s="1">
        <f t="shared" si="3"/>
        <v>7</v>
      </c>
      <c r="L208" s="23">
        <f>'daily graphs'!K208 - I208</f>
        <v>36722</v>
      </c>
      <c r="M208" s="24">
        <f t="shared" si="4"/>
        <v>-1000000</v>
      </c>
      <c r="N208" s="24" t="str">
        <f t="array" ref="N208">IF(M208&gt;0,INDEX(big_daily_table,MATCH(DATE(O$5,$K208,$J208),daily_dates,0),MATCH($B$3,daily_items,0)),NA())</f>
        <v>#N/A</v>
      </c>
      <c r="O208" s="1" t="str">
        <f t="array" ref="O208">IF(M208&lt;0,INDEX(big_daily_table,MATCH(DATE(O$5,$K208,$J208),daily_dates,0),MATCH($B$3,daily_items,0)),NA())</f>
        <v>#N/A</v>
      </c>
      <c r="P208" s="1" t="str">
        <f t="array" ref="P208">IF(ISBLANK(INDEX(big_daily_table,MATCH(DATE(P$5,$K208,$J208),daily_dates,0),MATCH($B$3,daily_items,0))),NA(),INDEX(big_daily_table,MATCH(DATE(P$5,$K208,$J208),daily_dates,0),MATCH($B$3,daily_items,0)))</f>
        <v>#N/A</v>
      </c>
      <c r="Q208" s="1" t="str">
        <f t="array" ref="Q208">IF(ISBLANK(INDEX(big_daily_table,MATCH(DATE(Q$5,$K208,$J208),daily_dates,0),MATCH($B$3,daily_items,0))),NA(),INDEX(big_daily_table,MATCH(DATE(Q$5,$K208,$J208),daily_dates,0),MATCH($B$3,daily_items,0)))</f>
        <v>#N/A</v>
      </c>
      <c r="R208" s="1" t="str">
        <f t="array" ref="R208">IF(ISBLANK(INDEX(big_daily_table,MATCH(DATE(R$5,$K208,$J208),daily_dates,0),MATCH($B$3,daily_items,0))),NA(),INDEX(big_daily_table,MATCH(DATE(R$5,$K208,$J208),daily_dates,0),MATCH($B$3,daily_items,0)))</f>
        <v>#N/A</v>
      </c>
      <c r="S208" s="1" t="str">
        <f t="array" ref="S208">IF(ISBLANK(INDEX(big_daily_table,MATCH(DATE(S$5,$K208,$J208),daily_dates,0),MATCH($B$3,daily_items,0))),NA(),INDEX(big_daily_table,MATCH(DATE(S$5,$K208,$J208),daily_dates,0),MATCH($B$3,daily_items,0)))</f>
        <v>#N/A</v>
      </c>
      <c r="T208" s="1" t="str">
        <f t="array" ref="T208">IF(ISBLANK(INDEX(big_daily_table,MATCH(DATE(T$5,$K208,$J208),daily_dates,0),MATCH($B$3,daily_items,0))),NA(),INDEX(big_daily_table,MATCH(DATE(T$5,$K208,$J208),daily_dates,0),MATCH($B$3,daily_items,0)))</f>
        <v>#N/A</v>
      </c>
      <c r="U208" s="1" t="str">
        <f t="array" ref="U208">IF(ISBLANK(INDEX(big_daily_table,MATCH(DATE(U$5,$K208,$J208),daily_dates,0),MATCH($B$3,daily_items,0))),NA(),INDEX(big_daily_table,MATCH(DATE(U$5,$K208,$J208),daily_dates,0),MATCH($B$3,daily_items,0)))</f>
        <v>#N/A</v>
      </c>
      <c r="V208" s="1" t="str">
        <f t="array" ref="V208">IF(ISBLANK(INDEX(big_daily_table,MATCH(DATE(V$5,$K208,$J208),daily_dates,0),MATCH($B$3,daily_items,0))),NA(),INDEX(big_daily_table,MATCH(DATE(V$5,$K208,$J208),daily_dates,0),MATCH($B$3,daily_items,0)))</f>
        <v>#N/A</v>
      </c>
      <c r="W208" s="1" t="str">
        <f t="array" ref="W208">IF(ISBLANK(INDEX(big_daily_table,MATCH(DATE(W$5,$K208,$J208),daily_dates,0),MATCH($B$3,daily_items,0))),NA(),INDEX(big_daily_table,MATCH(DATE(W$5,$K208,$J208),daily_dates,0),MATCH($B$3,daily_items,0)))</f>
        <v>#N/A</v>
      </c>
      <c r="X208" s="1" t="str">
        <f t="array" ref="X208">IF(ISBLANK(INDEX(big_daily_table,MATCH(DATE(X$5,$K208,$J208),daily_dates,0),MATCH($B$3,daily_items,0))),NA(),INDEX(big_daily_table,MATCH(DATE(X$5,$K208,$J208),daily_dates,0),MATCH($B$3,daily_items,0)))</f>
        <v>#N/A</v>
      </c>
      <c r="Y208" s="1" t="str">
        <f t="array" ref="Y208">IF(ISBLANK(INDEX(big_daily_table,MATCH(DATE(Y$5,$K208,$J208),daily_dates,0),MATCH($B$3,daily_items,0))),NA(),INDEX(big_daily_table,MATCH(DATE(Y$5,$K208,$J208),daily_dates,0),MATCH($B$3,daily_items,0)))</f>
        <v>#N/A</v>
      </c>
      <c r="Z208" s="1" t="str">
        <f t="array" ref="Z208">IF(ISBLANK(INDEX(big_daily_table,MATCH(DATE(Z$5,$K208,$J208),daily_dates,0),MATCH($B$3,daily_items,0))),NA(),INDEX(big_daily_table,MATCH(DATE(Z$5,$K208,$J208),daily_dates,0),MATCH($B$3,daily_items,0)))</f>
        <v>#N/A</v>
      </c>
      <c r="AA208" s="1" t="str">
        <f t="shared" si="5"/>
        <v>#NAME?</v>
      </c>
      <c r="AB208" s="1" t="str">
        <f t="shared" si="6"/>
        <v>#NAME?</v>
      </c>
      <c r="AC208" s="1" t="str">
        <f t="shared" si="7"/>
        <v>#NAME?</v>
      </c>
      <c r="AD208" s="1" t="str">
        <f t="shared" si="8"/>
        <v>#NAME?</v>
      </c>
    </row>
    <row r="209" ht="14.25" customHeight="1">
      <c r="H209" s="1">
        <f t="shared" si="9"/>
        <v>204</v>
      </c>
      <c r="I209" s="1">
        <f>WEEKDAY('daily graphs'!K209)</f>
        <v>7</v>
      </c>
      <c r="J209" s="1">
        <f t="shared" si="2"/>
        <v>15</v>
      </c>
      <c r="K209" s="1">
        <f t="shared" si="3"/>
        <v>7</v>
      </c>
      <c r="L209" s="23">
        <f>'daily graphs'!K209 - I209</f>
        <v>36722</v>
      </c>
      <c r="M209" s="24">
        <f t="shared" si="4"/>
        <v>-1000000</v>
      </c>
      <c r="N209" s="24" t="str">
        <f t="array" ref="N209">IF(M209&gt;0,INDEX(big_daily_table,MATCH(DATE(O$5,$K209,$J209),daily_dates,0),MATCH($B$3,daily_items,0)),NA())</f>
        <v>#N/A</v>
      </c>
      <c r="O209" s="1" t="str">
        <f t="array" ref="O209">IF(M209&lt;0,INDEX(big_daily_table,MATCH(DATE(O$5,$K209,$J209),daily_dates,0),MATCH($B$3,daily_items,0)),NA())</f>
        <v>#N/A</v>
      </c>
      <c r="P209" s="1" t="str">
        <f t="array" ref="P209">IF(ISBLANK(INDEX(big_daily_table,MATCH(DATE(P$5,$K209,$J209),daily_dates,0),MATCH($B$3,daily_items,0))),NA(),INDEX(big_daily_table,MATCH(DATE(P$5,$K209,$J209),daily_dates,0),MATCH($B$3,daily_items,0)))</f>
        <v>#N/A</v>
      </c>
      <c r="Q209" s="1" t="str">
        <f t="array" ref="Q209">IF(ISBLANK(INDEX(big_daily_table,MATCH(DATE(Q$5,$K209,$J209),daily_dates,0),MATCH($B$3,daily_items,0))),NA(),INDEX(big_daily_table,MATCH(DATE(Q$5,$K209,$J209),daily_dates,0),MATCH($B$3,daily_items,0)))</f>
        <v>#N/A</v>
      </c>
      <c r="R209" s="1" t="str">
        <f t="array" ref="R209">IF(ISBLANK(INDEX(big_daily_table,MATCH(DATE(R$5,$K209,$J209),daily_dates,0),MATCH($B$3,daily_items,0))),NA(),INDEX(big_daily_table,MATCH(DATE(R$5,$K209,$J209),daily_dates,0),MATCH($B$3,daily_items,0)))</f>
        <v>#N/A</v>
      </c>
      <c r="S209" s="1" t="str">
        <f t="array" ref="S209">IF(ISBLANK(INDEX(big_daily_table,MATCH(DATE(S$5,$K209,$J209),daily_dates,0),MATCH($B$3,daily_items,0))),NA(),INDEX(big_daily_table,MATCH(DATE(S$5,$K209,$J209),daily_dates,0),MATCH($B$3,daily_items,0)))</f>
        <v>#N/A</v>
      </c>
      <c r="T209" s="1" t="str">
        <f t="array" ref="T209">IF(ISBLANK(INDEX(big_daily_table,MATCH(DATE(T$5,$K209,$J209),daily_dates,0),MATCH($B$3,daily_items,0))),NA(),INDEX(big_daily_table,MATCH(DATE(T$5,$K209,$J209),daily_dates,0),MATCH($B$3,daily_items,0)))</f>
        <v>#N/A</v>
      </c>
      <c r="U209" s="1" t="str">
        <f t="array" ref="U209">IF(ISBLANK(INDEX(big_daily_table,MATCH(DATE(U$5,$K209,$J209),daily_dates,0),MATCH($B$3,daily_items,0))),NA(),INDEX(big_daily_table,MATCH(DATE(U$5,$K209,$J209),daily_dates,0),MATCH($B$3,daily_items,0)))</f>
        <v>#N/A</v>
      </c>
      <c r="V209" s="1" t="str">
        <f t="array" ref="V209">IF(ISBLANK(INDEX(big_daily_table,MATCH(DATE(V$5,$K209,$J209),daily_dates,0),MATCH($B$3,daily_items,0))),NA(),INDEX(big_daily_table,MATCH(DATE(V$5,$K209,$J209),daily_dates,0),MATCH($B$3,daily_items,0)))</f>
        <v>#N/A</v>
      </c>
      <c r="W209" s="1" t="str">
        <f t="array" ref="W209">IF(ISBLANK(INDEX(big_daily_table,MATCH(DATE(W$5,$K209,$J209),daily_dates,0),MATCH($B$3,daily_items,0))),NA(),INDEX(big_daily_table,MATCH(DATE(W$5,$K209,$J209),daily_dates,0),MATCH($B$3,daily_items,0)))</f>
        <v>#N/A</v>
      </c>
      <c r="X209" s="1" t="str">
        <f t="array" ref="X209">IF(ISBLANK(INDEX(big_daily_table,MATCH(DATE(X$5,$K209,$J209),daily_dates,0),MATCH($B$3,daily_items,0))),NA(),INDEX(big_daily_table,MATCH(DATE(X$5,$K209,$J209),daily_dates,0),MATCH($B$3,daily_items,0)))</f>
        <v>#N/A</v>
      </c>
      <c r="Y209" s="1" t="str">
        <f t="array" ref="Y209">IF(ISBLANK(INDEX(big_daily_table,MATCH(DATE(Y$5,$K209,$J209),daily_dates,0),MATCH($B$3,daily_items,0))),NA(),INDEX(big_daily_table,MATCH(DATE(Y$5,$K209,$J209),daily_dates,0),MATCH($B$3,daily_items,0)))</f>
        <v>#N/A</v>
      </c>
      <c r="Z209" s="1" t="str">
        <f t="array" ref="Z209">IF(ISBLANK(INDEX(big_daily_table,MATCH(DATE(Z$5,$K209,$J209),daily_dates,0),MATCH($B$3,daily_items,0))),NA(),INDEX(big_daily_table,MATCH(DATE(Z$5,$K209,$J209),daily_dates,0),MATCH($B$3,daily_items,0)))</f>
        <v>#N/A</v>
      </c>
      <c r="AA209" s="1" t="str">
        <f t="shared" si="5"/>
        <v>#NAME?</v>
      </c>
      <c r="AB209" s="1" t="str">
        <f t="shared" si="6"/>
        <v>#NAME?</v>
      </c>
      <c r="AC209" s="1" t="str">
        <f t="shared" si="7"/>
        <v>#NAME?</v>
      </c>
      <c r="AD209" s="1" t="str">
        <f t="shared" si="8"/>
        <v>#NAME?</v>
      </c>
    </row>
    <row r="210" ht="14.25" customHeight="1">
      <c r="H210" s="1">
        <f t="shared" si="9"/>
        <v>205</v>
      </c>
      <c r="I210" s="1">
        <f>WEEKDAY('daily graphs'!K210)</f>
        <v>1</v>
      </c>
      <c r="J210" s="1">
        <f t="shared" si="2"/>
        <v>22</v>
      </c>
      <c r="K210" s="1">
        <f t="shared" si="3"/>
        <v>7</v>
      </c>
      <c r="L210" s="23">
        <f>'daily graphs'!K210 - I210</f>
        <v>36729</v>
      </c>
      <c r="M210" s="24">
        <f t="shared" si="4"/>
        <v>-1000000</v>
      </c>
      <c r="N210" s="24" t="str">
        <f t="array" ref="N210">IF(M210&gt;0,INDEX(big_daily_table,MATCH(DATE(O$5,$K210,$J210),daily_dates,0),MATCH($B$3,daily_items,0)),NA())</f>
        <v>#N/A</v>
      </c>
      <c r="O210" s="1" t="str">
        <f t="array" ref="O210">IF(M210&lt;0,INDEX(big_daily_table,MATCH(DATE(O$5,$K210,$J210),daily_dates,0),MATCH($B$3,daily_items,0)),NA())</f>
        <v>#N/A</v>
      </c>
      <c r="P210" s="1" t="str">
        <f t="array" ref="P210">IF(ISBLANK(INDEX(big_daily_table,MATCH(DATE(P$5,$K210,$J210),daily_dates,0),MATCH($B$3,daily_items,0))),NA(),INDEX(big_daily_table,MATCH(DATE(P$5,$K210,$J210),daily_dates,0),MATCH($B$3,daily_items,0)))</f>
        <v>#N/A</v>
      </c>
      <c r="Q210" s="1" t="str">
        <f t="array" ref="Q210">IF(ISBLANK(INDEX(big_daily_table,MATCH(DATE(Q$5,$K210,$J210),daily_dates,0),MATCH($B$3,daily_items,0))),NA(),INDEX(big_daily_table,MATCH(DATE(Q$5,$K210,$J210),daily_dates,0),MATCH($B$3,daily_items,0)))</f>
        <v>#N/A</v>
      </c>
      <c r="R210" s="1" t="str">
        <f t="array" ref="R210">IF(ISBLANK(INDEX(big_daily_table,MATCH(DATE(R$5,$K210,$J210),daily_dates,0),MATCH($B$3,daily_items,0))),NA(),INDEX(big_daily_table,MATCH(DATE(R$5,$K210,$J210),daily_dates,0),MATCH($B$3,daily_items,0)))</f>
        <v>#N/A</v>
      </c>
      <c r="S210" s="1" t="str">
        <f t="array" ref="S210">IF(ISBLANK(INDEX(big_daily_table,MATCH(DATE(S$5,$K210,$J210),daily_dates,0),MATCH($B$3,daily_items,0))),NA(),INDEX(big_daily_table,MATCH(DATE(S$5,$K210,$J210),daily_dates,0),MATCH($B$3,daily_items,0)))</f>
        <v>#N/A</v>
      </c>
      <c r="T210" s="1" t="str">
        <f t="array" ref="T210">IF(ISBLANK(INDEX(big_daily_table,MATCH(DATE(T$5,$K210,$J210),daily_dates,0),MATCH($B$3,daily_items,0))),NA(),INDEX(big_daily_table,MATCH(DATE(T$5,$K210,$J210),daily_dates,0),MATCH($B$3,daily_items,0)))</f>
        <v>#N/A</v>
      </c>
      <c r="U210" s="1" t="str">
        <f t="array" ref="U210">IF(ISBLANK(INDEX(big_daily_table,MATCH(DATE(U$5,$K210,$J210),daily_dates,0),MATCH($B$3,daily_items,0))),NA(),INDEX(big_daily_table,MATCH(DATE(U$5,$K210,$J210),daily_dates,0),MATCH($B$3,daily_items,0)))</f>
        <v>#N/A</v>
      </c>
      <c r="V210" s="1" t="str">
        <f t="array" ref="V210">IF(ISBLANK(INDEX(big_daily_table,MATCH(DATE(V$5,$K210,$J210),daily_dates,0),MATCH($B$3,daily_items,0))),NA(),INDEX(big_daily_table,MATCH(DATE(V$5,$K210,$J210),daily_dates,0),MATCH($B$3,daily_items,0)))</f>
        <v>#N/A</v>
      </c>
      <c r="W210" s="1" t="str">
        <f t="array" ref="W210">IF(ISBLANK(INDEX(big_daily_table,MATCH(DATE(W$5,$K210,$J210),daily_dates,0),MATCH($B$3,daily_items,0))),NA(),INDEX(big_daily_table,MATCH(DATE(W$5,$K210,$J210),daily_dates,0),MATCH($B$3,daily_items,0)))</f>
        <v>#N/A</v>
      </c>
      <c r="X210" s="1" t="str">
        <f t="array" ref="X210">IF(ISBLANK(INDEX(big_daily_table,MATCH(DATE(X$5,$K210,$J210),daily_dates,0),MATCH($B$3,daily_items,0))),NA(),INDEX(big_daily_table,MATCH(DATE(X$5,$K210,$J210),daily_dates,0),MATCH($B$3,daily_items,0)))</f>
        <v>#N/A</v>
      </c>
      <c r="Y210" s="1" t="str">
        <f t="array" ref="Y210">IF(ISBLANK(INDEX(big_daily_table,MATCH(DATE(Y$5,$K210,$J210),daily_dates,0),MATCH($B$3,daily_items,0))),NA(),INDEX(big_daily_table,MATCH(DATE(Y$5,$K210,$J210),daily_dates,0),MATCH($B$3,daily_items,0)))</f>
        <v>#N/A</v>
      </c>
      <c r="Z210" s="1" t="str">
        <f t="array" ref="Z210">IF(ISBLANK(INDEX(big_daily_table,MATCH(DATE(Z$5,$K210,$J210),daily_dates,0),MATCH($B$3,daily_items,0))),NA(),INDEX(big_daily_table,MATCH(DATE(Z$5,$K210,$J210),daily_dates,0),MATCH($B$3,daily_items,0)))</f>
        <v>#N/A</v>
      </c>
      <c r="AA210" s="1" t="str">
        <f t="shared" si="5"/>
        <v>#NAME?</v>
      </c>
      <c r="AB210" s="1" t="str">
        <f t="shared" si="6"/>
        <v>#NAME?</v>
      </c>
      <c r="AC210" s="1" t="str">
        <f t="shared" si="7"/>
        <v>#NAME?</v>
      </c>
      <c r="AD210" s="1" t="str">
        <f t="shared" si="8"/>
        <v>#NAME?</v>
      </c>
    </row>
    <row r="211" ht="14.25" customHeight="1">
      <c r="H211" s="1">
        <f t="shared" si="9"/>
        <v>206</v>
      </c>
      <c r="I211" s="1">
        <f>WEEKDAY('daily graphs'!K211)</f>
        <v>2</v>
      </c>
      <c r="J211" s="1">
        <f t="shared" si="2"/>
        <v>22</v>
      </c>
      <c r="K211" s="1">
        <f t="shared" si="3"/>
        <v>7</v>
      </c>
      <c r="L211" s="23">
        <f>'daily graphs'!K211 - I211</f>
        <v>36729</v>
      </c>
      <c r="M211" s="24">
        <f t="shared" si="4"/>
        <v>-1000000</v>
      </c>
      <c r="N211" s="24" t="str">
        <f t="array" ref="N211">IF(M211&gt;0,INDEX(big_daily_table,MATCH(DATE(O$5,$K211,$J211),daily_dates,0),MATCH($B$3,daily_items,0)),NA())</f>
        <v>#N/A</v>
      </c>
      <c r="O211" s="1" t="str">
        <f t="array" ref="O211">IF(M211&lt;0,INDEX(big_daily_table,MATCH(DATE(O$5,$K211,$J211),daily_dates,0),MATCH($B$3,daily_items,0)),NA())</f>
        <v>#N/A</v>
      </c>
      <c r="P211" s="1" t="str">
        <f t="array" ref="P211">IF(ISBLANK(INDEX(big_daily_table,MATCH(DATE(P$5,$K211,$J211),daily_dates,0),MATCH($B$3,daily_items,0))),NA(),INDEX(big_daily_table,MATCH(DATE(P$5,$K211,$J211),daily_dates,0),MATCH($B$3,daily_items,0)))</f>
        <v>#N/A</v>
      </c>
      <c r="Q211" s="1" t="str">
        <f t="array" ref="Q211">IF(ISBLANK(INDEX(big_daily_table,MATCH(DATE(Q$5,$K211,$J211),daily_dates,0),MATCH($B$3,daily_items,0))),NA(),INDEX(big_daily_table,MATCH(DATE(Q$5,$K211,$J211),daily_dates,0),MATCH($B$3,daily_items,0)))</f>
        <v>#N/A</v>
      </c>
      <c r="R211" s="1" t="str">
        <f t="array" ref="R211">IF(ISBLANK(INDEX(big_daily_table,MATCH(DATE(R$5,$K211,$J211),daily_dates,0),MATCH($B$3,daily_items,0))),NA(),INDEX(big_daily_table,MATCH(DATE(R$5,$K211,$J211),daily_dates,0),MATCH($B$3,daily_items,0)))</f>
        <v>#N/A</v>
      </c>
      <c r="S211" s="1" t="str">
        <f t="array" ref="S211">IF(ISBLANK(INDEX(big_daily_table,MATCH(DATE(S$5,$K211,$J211),daily_dates,0),MATCH($B$3,daily_items,0))),NA(),INDEX(big_daily_table,MATCH(DATE(S$5,$K211,$J211),daily_dates,0),MATCH($B$3,daily_items,0)))</f>
        <v>#N/A</v>
      </c>
      <c r="T211" s="1" t="str">
        <f t="array" ref="T211">IF(ISBLANK(INDEX(big_daily_table,MATCH(DATE(T$5,$K211,$J211),daily_dates,0),MATCH($B$3,daily_items,0))),NA(),INDEX(big_daily_table,MATCH(DATE(T$5,$K211,$J211),daily_dates,0),MATCH($B$3,daily_items,0)))</f>
        <v>#N/A</v>
      </c>
      <c r="U211" s="1" t="str">
        <f t="array" ref="U211">IF(ISBLANK(INDEX(big_daily_table,MATCH(DATE(U$5,$K211,$J211),daily_dates,0),MATCH($B$3,daily_items,0))),NA(),INDEX(big_daily_table,MATCH(DATE(U$5,$K211,$J211),daily_dates,0),MATCH($B$3,daily_items,0)))</f>
        <v>#N/A</v>
      </c>
      <c r="V211" s="1" t="str">
        <f t="array" ref="V211">IF(ISBLANK(INDEX(big_daily_table,MATCH(DATE(V$5,$K211,$J211),daily_dates,0),MATCH($B$3,daily_items,0))),NA(),INDEX(big_daily_table,MATCH(DATE(V$5,$K211,$J211),daily_dates,0),MATCH($B$3,daily_items,0)))</f>
        <v>#N/A</v>
      </c>
      <c r="W211" s="1" t="str">
        <f t="array" ref="W211">IF(ISBLANK(INDEX(big_daily_table,MATCH(DATE(W$5,$K211,$J211),daily_dates,0),MATCH($B$3,daily_items,0))),NA(),INDEX(big_daily_table,MATCH(DATE(W$5,$K211,$J211),daily_dates,0),MATCH($B$3,daily_items,0)))</f>
        <v>#N/A</v>
      </c>
      <c r="X211" s="1" t="str">
        <f t="array" ref="X211">IF(ISBLANK(INDEX(big_daily_table,MATCH(DATE(X$5,$K211,$J211),daily_dates,0),MATCH($B$3,daily_items,0))),NA(),INDEX(big_daily_table,MATCH(DATE(X$5,$K211,$J211),daily_dates,0),MATCH($B$3,daily_items,0)))</f>
        <v>#N/A</v>
      </c>
      <c r="Y211" s="1" t="str">
        <f t="array" ref="Y211">IF(ISBLANK(INDEX(big_daily_table,MATCH(DATE(Y$5,$K211,$J211),daily_dates,0),MATCH($B$3,daily_items,0))),NA(),INDEX(big_daily_table,MATCH(DATE(Y$5,$K211,$J211),daily_dates,0),MATCH($B$3,daily_items,0)))</f>
        <v>#N/A</v>
      </c>
      <c r="Z211" s="1" t="str">
        <f t="array" ref="Z211">IF(ISBLANK(INDEX(big_daily_table,MATCH(DATE(Z$5,$K211,$J211),daily_dates,0),MATCH($B$3,daily_items,0))),NA(),INDEX(big_daily_table,MATCH(DATE(Z$5,$K211,$J211),daily_dates,0),MATCH($B$3,daily_items,0)))</f>
        <v>#N/A</v>
      </c>
      <c r="AA211" s="1" t="str">
        <f t="shared" si="5"/>
        <v>#NAME?</v>
      </c>
      <c r="AB211" s="1" t="str">
        <f t="shared" si="6"/>
        <v>#NAME?</v>
      </c>
      <c r="AC211" s="1" t="str">
        <f t="shared" si="7"/>
        <v>#NAME?</v>
      </c>
      <c r="AD211" s="1" t="str">
        <f t="shared" si="8"/>
        <v>#NAME?</v>
      </c>
    </row>
    <row r="212" ht="14.25" customHeight="1">
      <c r="H212" s="1">
        <f t="shared" si="9"/>
        <v>207</v>
      </c>
      <c r="I212" s="1">
        <f>WEEKDAY('daily graphs'!K212)</f>
        <v>3</v>
      </c>
      <c r="J212" s="1">
        <f t="shared" si="2"/>
        <v>22</v>
      </c>
      <c r="K212" s="1">
        <f t="shared" si="3"/>
        <v>7</v>
      </c>
      <c r="L212" s="23">
        <f>'daily graphs'!K212 - I212</f>
        <v>36729</v>
      </c>
      <c r="M212" s="24">
        <f t="shared" si="4"/>
        <v>-1000000</v>
      </c>
      <c r="N212" s="24" t="str">
        <f t="array" ref="N212">IF(M212&gt;0,INDEX(big_daily_table,MATCH(DATE(O$5,$K212,$J212),daily_dates,0),MATCH($B$3,daily_items,0)),NA())</f>
        <v>#N/A</v>
      </c>
      <c r="O212" s="1" t="str">
        <f t="array" ref="O212">IF(M212&lt;0,INDEX(big_daily_table,MATCH(DATE(O$5,$K212,$J212),daily_dates,0),MATCH($B$3,daily_items,0)),NA())</f>
        <v>#N/A</v>
      </c>
      <c r="P212" s="1" t="str">
        <f t="array" ref="P212">IF(ISBLANK(INDEX(big_daily_table,MATCH(DATE(P$5,$K212,$J212),daily_dates,0),MATCH($B$3,daily_items,0))),NA(),INDEX(big_daily_table,MATCH(DATE(P$5,$K212,$J212),daily_dates,0),MATCH($B$3,daily_items,0)))</f>
        <v>#N/A</v>
      </c>
      <c r="Q212" s="1" t="str">
        <f t="array" ref="Q212">IF(ISBLANK(INDEX(big_daily_table,MATCH(DATE(Q$5,$K212,$J212),daily_dates,0),MATCH($B$3,daily_items,0))),NA(),INDEX(big_daily_table,MATCH(DATE(Q$5,$K212,$J212),daily_dates,0),MATCH($B$3,daily_items,0)))</f>
        <v>#N/A</v>
      </c>
      <c r="R212" s="1" t="str">
        <f t="array" ref="R212">IF(ISBLANK(INDEX(big_daily_table,MATCH(DATE(R$5,$K212,$J212),daily_dates,0),MATCH($B$3,daily_items,0))),NA(),INDEX(big_daily_table,MATCH(DATE(R$5,$K212,$J212),daily_dates,0),MATCH($B$3,daily_items,0)))</f>
        <v>#N/A</v>
      </c>
      <c r="S212" s="1" t="str">
        <f t="array" ref="S212">IF(ISBLANK(INDEX(big_daily_table,MATCH(DATE(S$5,$K212,$J212),daily_dates,0),MATCH($B$3,daily_items,0))),NA(),INDEX(big_daily_table,MATCH(DATE(S$5,$K212,$J212),daily_dates,0),MATCH($B$3,daily_items,0)))</f>
        <v>#N/A</v>
      </c>
      <c r="T212" s="1" t="str">
        <f t="array" ref="T212">IF(ISBLANK(INDEX(big_daily_table,MATCH(DATE(T$5,$K212,$J212),daily_dates,0),MATCH($B$3,daily_items,0))),NA(),INDEX(big_daily_table,MATCH(DATE(T$5,$K212,$J212),daily_dates,0),MATCH($B$3,daily_items,0)))</f>
        <v>#N/A</v>
      </c>
      <c r="U212" s="1" t="str">
        <f t="array" ref="U212">IF(ISBLANK(INDEX(big_daily_table,MATCH(DATE(U$5,$K212,$J212),daily_dates,0),MATCH($B$3,daily_items,0))),NA(),INDEX(big_daily_table,MATCH(DATE(U$5,$K212,$J212),daily_dates,0),MATCH($B$3,daily_items,0)))</f>
        <v>#N/A</v>
      </c>
      <c r="V212" s="1" t="str">
        <f t="array" ref="V212">IF(ISBLANK(INDEX(big_daily_table,MATCH(DATE(V$5,$K212,$J212),daily_dates,0),MATCH($B$3,daily_items,0))),NA(),INDEX(big_daily_table,MATCH(DATE(V$5,$K212,$J212),daily_dates,0),MATCH($B$3,daily_items,0)))</f>
        <v>#N/A</v>
      </c>
      <c r="W212" s="1" t="str">
        <f t="array" ref="W212">IF(ISBLANK(INDEX(big_daily_table,MATCH(DATE(W$5,$K212,$J212),daily_dates,0),MATCH($B$3,daily_items,0))),NA(),INDEX(big_daily_table,MATCH(DATE(W$5,$K212,$J212),daily_dates,0),MATCH($B$3,daily_items,0)))</f>
        <v>#N/A</v>
      </c>
      <c r="X212" s="1" t="str">
        <f t="array" ref="X212">IF(ISBLANK(INDEX(big_daily_table,MATCH(DATE(X$5,$K212,$J212),daily_dates,0),MATCH($B$3,daily_items,0))),NA(),INDEX(big_daily_table,MATCH(DATE(X$5,$K212,$J212),daily_dates,0),MATCH($B$3,daily_items,0)))</f>
        <v>#N/A</v>
      </c>
      <c r="Y212" s="1" t="str">
        <f t="array" ref="Y212">IF(ISBLANK(INDEX(big_daily_table,MATCH(DATE(Y$5,$K212,$J212),daily_dates,0),MATCH($B$3,daily_items,0))),NA(),INDEX(big_daily_table,MATCH(DATE(Y$5,$K212,$J212),daily_dates,0),MATCH($B$3,daily_items,0)))</f>
        <v>#N/A</v>
      </c>
      <c r="Z212" s="1" t="str">
        <f t="array" ref="Z212">IF(ISBLANK(INDEX(big_daily_table,MATCH(DATE(Z$5,$K212,$J212),daily_dates,0),MATCH($B$3,daily_items,0))),NA(),INDEX(big_daily_table,MATCH(DATE(Z$5,$K212,$J212),daily_dates,0),MATCH($B$3,daily_items,0)))</f>
        <v>#N/A</v>
      </c>
      <c r="AA212" s="1" t="str">
        <f t="shared" si="5"/>
        <v>#NAME?</v>
      </c>
      <c r="AB212" s="1" t="str">
        <f t="shared" si="6"/>
        <v>#NAME?</v>
      </c>
      <c r="AC212" s="1" t="str">
        <f t="shared" si="7"/>
        <v>#NAME?</v>
      </c>
      <c r="AD212" s="1" t="str">
        <f t="shared" si="8"/>
        <v>#NAME?</v>
      </c>
    </row>
    <row r="213" ht="14.25" customHeight="1">
      <c r="H213" s="1">
        <f t="shared" si="9"/>
        <v>208</v>
      </c>
      <c r="I213" s="1">
        <f>WEEKDAY('daily graphs'!K213)</f>
        <v>4</v>
      </c>
      <c r="J213" s="1">
        <f t="shared" si="2"/>
        <v>22</v>
      </c>
      <c r="K213" s="1">
        <f t="shared" si="3"/>
        <v>7</v>
      </c>
      <c r="L213" s="23">
        <f>'daily graphs'!K213 - I213</f>
        <v>36729</v>
      </c>
      <c r="M213" s="24">
        <f t="shared" si="4"/>
        <v>-1000000</v>
      </c>
      <c r="N213" s="24" t="str">
        <f t="array" ref="N213">IF(M213&gt;0,INDEX(big_daily_table,MATCH(DATE(O$5,$K213,$J213),daily_dates,0),MATCH($B$3,daily_items,0)),NA())</f>
        <v>#N/A</v>
      </c>
      <c r="O213" s="1" t="str">
        <f t="array" ref="O213">IF(M213&lt;0,INDEX(big_daily_table,MATCH(DATE(O$5,$K213,$J213),daily_dates,0),MATCH($B$3,daily_items,0)),NA())</f>
        <v>#N/A</v>
      </c>
      <c r="P213" s="1" t="str">
        <f t="array" ref="P213">IF(ISBLANK(INDEX(big_daily_table,MATCH(DATE(P$5,$K213,$J213),daily_dates,0),MATCH($B$3,daily_items,0))),NA(),INDEX(big_daily_table,MATCH(DATE(P$5,$K213,$J213),daily_dates,0),MATCH($B$3,daily_items,0)))</f>
        <v>#N/A</v>
      </c>
      <c r="Q213" s="1" t="str">
        <f t="array" ref="Q213">IF(ISBLANK(INDEX(big_daily_table,MATCH(DATE(Q$5,$K213,$J213),daily_dates,0),MATCH($B$3,daily_items,0))),NA(),INDEX(big_daily_table,MATCH(DATE(Q$5,$K213,$J213),daily_dates,0),MATCH($B$3,daily_items,0)))</f>
        <v>#N/A</v>
      </c>
      <c r="R213" s="1" t="str">
        <f t="array" ref="R213">IF(ISBLANK(INDEX(big_daily_table,MATCH(DATE(R$5,$K213,$J213),daily_dates,0),MATCH($B$3,daily_items,0))),NA(),INDEX(big_daily_table,MATCH(DATE(R$5,$K213,$J213),daily_dates,0),MATCH($B$3,daily_items,0)))</f>
        <v>#N/A</v>
      </c>
      <c r="S213" s="1" t="str">
        <f t="array" ref="S213">IF(ISBLANK(INDEX(big_daily_table,MATCH(DATE(S$5,$K213,$J213),daily_dates,0),MATCH($B$3,daily_items,0))),NA(),INDEX(big_daily_table,MATCH(DATE(S$5,$K213,$J213),daily_dates,0),MATCH($B$3,daily_items,0)))</f>
        <v>#N/A</v>
      </c>
      <c r="T213" s="1" t="str">
        <f t="array" ref="T213">IF(ISBLANK(INDEX(big_daily_table,MATCH(DATE(T$5,$K213,$J213),daily_dates,0),MATCH($B$3,daily_items,0))),NA(),INDEX(big_daily_table,MATCH(DATE(T$5,$K213,$J213),daily_dates,0),MATCH($B$3,daily_items,0)))</f>
        <v>#N/A</v>
      </c>
      <c r="U213" s="1" t="str">
        <f t="array" ref="U213">IF(ISBLANK(INDEX(big_daily_table,MATCH(DATE(U$5,$K213,$J213),daily_dates,0),MATCH($B$3,daily_items,0))),NA(),INDEX(big_daily_table,MATCH(DATE(U$5,$K213,$J213),daily_dates,0),MATCH($B$3,daily_items,0)))</f>
        <v>#N/A</v>
      </c>
      <c r="V213" s="1" t="str">
        <f t="array" ref="V213">IF(ISBLANK(INDEX(big_daily_table,MATCH(DATE(V$5,$K213,$J213),daily_dates,0),MATCH($B$3,daily_items,0))),NA(),INDEX(big_daily_table,MATCH(DATE(V$5,$K213,$J213),daily_dates,0),MATCH($B$3,daily_items,0)))</f>
        <v>#N/A</v>
      </c>
      <c r="W213" s="1" t="str">
        <f t="array" ref="W213">IF(ISBLANK(INDEX(big_daily_table,MATCH(DATE(W$5,$K213,$J213),daily_dates,0),MATCH($B$3,daily_items,0))),NA(),INDEX(big_daily_table,MATCH(DATE(W$5,$K213,$J213),daily_dates,0),MATCH($B$3,daily_items,0)))</f>
        <v>#N/A</v>
      </c>
      <c r="X213" s="1" t="str">
        <f t="array" ref="X213">IF(ISBLANK(INDEX(big_daily_table,MATCH(DATE(X$5,$K213,$J213),daily_dates,0),MATCH($B$3,daily_items,0))),NA(),INDEX(big_daily_table,MATCH(DATE(X$5,$K213,$J213),daily_dates,0),MATCH($B$3,daily_items,0)))</f>
        <v>#N/A</v>
      </c>
      <c r="Y213" s="1" t="str">
        <f t="array" ref="Y213">IF(ISBLANK(INDEX(big_daily_table,MATCH(DATE(Y$5,$K213,$J213),daily_dates,0),MATCH($B$3,daily_items,0))),NA(),INDEX(big_daily_table,MATCH(DATE(Y$5,$K213,$J213),daily_dates,0),MATCH($B$3,daily_items,0)))</f>
        <v>#N/A</v>
      </c>
      <c r="Z213" s="1" t="str">
        <f t="array" ref="Z213">IF(ISBLANK(INDEX(big_daily_table,MATCH(DATE(Z$5,$K213,$J213),daily_dates,0),MATCH($B$3,daily_items,0))),NA(),INDEX(big_daily_table,MATCH(DATE(Z$5,$K213,$J213),daily_dates,0),MATCH($B$3,daily_items,0)))</f>
        <v>#N/A</v>
      </c>
      <c r="AA213" s="1" t="str">
        <f t="shared" si="5"/>
        <v>#NAME?</v>
      </c>
      <c r="AB213" s="1" t="str">
        <f t="shared" si="6"/>
        <v>#NAME?</v>
      </c>
      <c r="AC213" s="1" t="str">
        <f t="shared" si="7"/>
        <v>#NAME?</v>
      </c>
      <c r="AD213" s="1" t="str">
        <f t="shared" si="8"/>
        <v>#NAME?</v>
      </c>
    </row>
    <row r="214" ht="14.25" customHeight="1">
      <c r="H214" s="1">
        <f t="shared" si="9"/>
        <v>209</v>
      </c>
      <c r="I214" s="1">
        <f>WEEKDAY('daily graphs'!K214)</f>
        <v>5</v>
      </c>
      <c r="J214" s="1">
        <f t="shared" si="2"/>
        <v>22</v>
      </c>
      <c r="K214" s="1">
        <f t="shared" si="3"/>
        <v>7</v>
      </c>
      <c r="L214" s="23">
        <f>'daily graphs'!K214 - I214</f>
        <v>36729</v>
      </c>
      <c r="M214" s="24">
        <f t="shared" si="4"/>
        <v>-1000000</v>
      </c>
      <c r="N214" s="24" t="str">
        <f t="array" ref="N214">IF(M214&gt;0,INDEX(big_daily_table,MATCH(DATE(O$5,$K214,$J214),daily_dates,0),MATCH($B$3,daily_items,0)),NA())</f>
        <v>#N/A</v>
      </c>
      <c r="O214" s="1" t="str">
        <f t="array" ref="O214">IF(M214&lt;0,INDEX(big_daily_table,MATCH(DATE(O$5,$K214,$J214),daily_dates,0),MATCH($B$3,daily_items,0)),NA())</f>
        <v>#N/A</v>
      </c>
      <c r="P214" s="1" t="str">
        <f t="array" ref="P214">IF(ISBLANK(INDEX(big_daily_table,MATCH(DATE(P$5,$K214,$J214),daily_dates,0),MATCH($B$3,daily_items,0))),NA(),INDEX(big_daily_table,MATCH(DATE(P$5,$K214,$J214),daily_dates,0),MATCH($B$3,daily_items,0)))</f>
        <v>#N/A</v>
      </c>
      <c r="Q214" s="1" t="str">
        <f t="array" ref="Q214">IF(ISBLANK(INDEX(big_daily_table,MATCH(DATE(Q$5,$K214,$J214),daily_dates,0),MATCH($B$3,daily_items,0))),NA(),INDEX(big_daily_table,MATCH(DATE(Q$5,$K214,$J214),daily_dates,0),MATCH($B$3,daily_items,0)))</f>
        <v>#N/A</v>
      </c>
      <c r="R214" s="1" t="str">
        <f t="array" ref="R214">IF(ISBLANK(INDEX(big_daily_table,MATCH(DATE(R$5,$K214,$J214),daily_dates,0),MATCH($B$3,daily_items,0))),NA(),INDEX(big_daily_table,MATCH(DATE(R$5,$K214,$J214),daily_dates,0),MATCH($B$3,daily_items,0)))</f>
        <v>#N/A</v>
      </c>
      <c r="S214" s="1" t="str">
        <f t="array" ref="S214">IF(ISBLANK(INDEX(big_daily_table,MATCH(DATE(S$5,$K214,$J214),daily_dates,0),MATCH($B$3,daily_items,0))),NA(),INDEX(big_daily_table,MATCH(DATE(S$5,$K214,$J214),daily_dates,0),MATCH($B$3,daily_items,0)))</f>
        <v>#N/A</v>
      </c>
      <c r="T214" s="1" t="str">
        <f t="array" ref="T214">IF(ISBLANK(INDEX(big_daily_table,MATCH(DATE(T$5,$K214,$J214),daily_dates,0),MATCH($B$3,daily_items,0))),NA(),INDEX(big_daily_table,MATCH(DATE(T$5,$K214,$J214),daily_dates,0),MATCH($B$3,daily_items,0)))</f>
        <v>#N/A</v>
      </c>
      <c r="U214" s="1" t="str">
        <f t="array" ref="U214">IF(ISBLANK(INDEX(big_daily_table,MATCH(DATE(U$5,$K214,$J214),daily_dates,0),MATCH($B$3,daily_items,0))),NA(),INDEX(big_daily_table,MATCH(DATE(U$5,$K214,$J214),daily_dates,0),MATCH($B$3,daily_items,0)))</f>
        <v>#N/A</v>
      </c>
      <c r="V214" s="1" t="str">
        <f t="array" ref="V214">IF(ISBLANK(INDEX(big_daily_table,MATCH(DATE(V$5,$K214,$J214),daily_dates,0),MATCH($B$3,daily_items,0))),NA(),INDEX(big_daily_table,MATCH(DATE(V$5,$K214,$J214),daily_dates,0),MATCH($B$3,daily_items,0)))</f>
        <v>#N/A</v>
      </c>
      <c r="W214" s="1" t="str">
        <f t="array" ref="W214">IF(ISBLANK(INDEX(big_daily_table,MATCH(DATE(W$5,$K214,$J214),daily_dates,0),MATCH($B$3,daily_items,0))),NA(),INDEX(big_daily_table,MATCH(DATE(W$5,$K214,$J214),daily_dates,0),MATCH($B$3,daily_items,0)))</f>
        <v>#N/A</v>
      </c>
      <c r="X214" s="1" t="str">
        <f t="array" ref="X214">IF(ISBLANK(INDEX(big_daily_table,MATCH(DATE(X$5,$K214,$J214),daily_dates,0),MATCH($B$3,daily_items,0))),NA(),INDEX(big_daily_table,MATCH(DATE(X$5,$K214,$J214),daily_dates,0),MATCH($B$3,daily_items,0)))</f>
        <v>#N/A</v>
      </c>
      <c r="Y214" s="1" t="str">
        <f t="array" ref="Y214">IF(ISBLANK(INDEX(big_daily_table,MATCH(DATE(Y$5,$K214,$J214),daily_dates,0),MATCH($B$3,daily_items,0))),NA(),INDEX(big_daily_table,MATCH(DATE(Y$5,$K214,$J214),daily_dates,0),MATCH($B$3,daily_items,0)))</f>
        <v>#N/A</v>
      </c>
      <c r="Z214" s="1" t="str">
        <f t="array" ref="Z214">IF(ISBLANK(INDEX(big_daily_table,MATCH(DATE(Z$5,$K214,$J214),daily_dates,0),MATCH($B$3,daily_items,0))),NA(),INDEX(big_daily_table,MATCH(DATE(Z$5,$K214,$J214),daily_dates,0),MATCH($B$3,daily_items,0)))</f>
        <v>#N/A</v>
      </c>
      <c r="AA214" s="1" t="str">
        <f t="shared" si="5"/>
        <v>#NAME?</v>
      </c>
      <c r="AB214" s="1" t="str">
        <f t="shared" si="6"/>
        <v>#NAME?</v>
      </c>
      <c r="AC214" s="1" t="str">
        <f t="shared" si="7"/>
        <v>#NAME?</v>
      </c>
      <c r="AD214" s="1" t="str">
        <f t="shared" si="8"/>
        <v>#NAME?</v>
      </c>
    </row>
    <row r="215" ht="14.25" customHeight="1">
      <c r="H215" s="1">
        <f t="shared" si="9"/>
        <v>210</v>
      </c>
      <c r="I215" s="1">
        <f>WEEKDAY('daily graphs'!K215)</f>
        <v>6</v>
      </c>
      <c r="J215" s="1">
        <f t="shared" si="2"/>
        <v>22</v>
      </c>
      <c r="K215" s="1">
        <f t="shared" si="3"/>
        <v>7</v>
      </c>
      <c r="L215" s="23">
        <f>'daily graphs'!K215 - I215</f>
        <v>36729</v>
      </c>
      <c r="M215" s="24">
        <f t="shared" si="4"/>
        <v>-1000000</v>
      </c>
      <c r="N215" s="24" t="str">
        <f t="array" ref="N215">IF(M215&gt;0,INDEX(big_daily_table,MATCH(DATE(O$5,$K215,$J215),daily_dates,0),MATCH($B$3,daily_items,0)),NA())</f>
        <v>#N/A</v>
      </c>
      <c r="O215" s="1" t="str">
        <f t="array" ref="O215">IF(M215&lt;0,INDEX(big_daily_table,MATCH(DATE(O$5,$K215,$J215),daily_dates,0),MATCH($B$3,daily_items,0)),NA())</f>
        <v>#N/A</v>
      </c>
      <c r="P215" s="1" t="str">
        <f t="array" ref="P215">IF(ISBLANK(INDEX(big_daily_table,MATCH(DATE(P$5,$K215,$J215),daily_dates,0),MATCH($B$3,daily_items,0))),NA(),INDEX(big_daily_table,MATCH(DATE(P$5,$K215,$J215),daily_dates,0),MATCH($B$3,daily_items,0)))</f>
        <v>#N/A</v>
      </c>
      <c r="Q215" s="1" t="str">
        <f t="array" ref="Q215">IF(ISBLANK(INDEX(big_daily_table,MATCH(DATE(Q$5,$K215,$J215),daily_dates,0),MATCH($B$3,daily_items,0))),NA(),INDEX(big_daily_table,MATCH(DATE(Q$5,$K215,$J215),daily_dates,0),MATCH($B$3,daily_items,0)))</f>
        <v>#N/A</v>
      </c>
      <c r="R215" s="1" t="str">
        <f t="array" ref="R215">IF(ISBLANK(INDEX(big_daily_table,MATCH(DATE(R$5,$K215,$J215),daily_dates,0),MATCH($B$3,daily_items,0))),NA(),INDEX(big_daily_table,MATCH(DATE(R$5,$K215,$J215),daily_dates,0),MATCH($B$3,daily_items,0)))</f>
        <v>#N/A</v>
      </c>
      <c r="S215" s="1" t="str">
        <f t="array" ref="S215">IF(ISBLANK(INDEX(big_daily_table,MATCH(DATE(S$5,$K215,$J215),daily_dates,0),MATCH($B$3,daily_items,0))),NA(),INDEX(big_daily_table,MATCH(DATE(S$5,$K215,$J215),daily_dates,0),MATCH($B$3,daily_items,0)))</f>
        <v>#N/A</v>
      </c>
      <c r="T215" s="1" t="str">
        <f t="array" ref="T215">IF(ISBLANK(INDEX(big_daily_table,MATCH(DATE(T$5,$K215,$J215),daily_dates,0),MATCH($B$3,daily_items,0))),NA(),INDEX(big_daily_table,MATCH(DATE(T$5,$K215,$J215),daily_dates,0),MATCH($B$3,daily_items,0)))</f>
        <v>#N/A</v>
      </c>
      <c r="U215" s="1" t="str">
        <f t="array" ref="U215">IF(ISBLANK(INDEX(big_daily_table,MATCH(DATE(U$5,$K215,$J215),daily_dates,0),MATCH($B$3,daily_items,0))),NA(),INDEX(big_daily_table,MATCH(DATE(U$5,$K215,$J215),daily_dates,0),MATCH($B$3,daily_items,0)))</f>
        <v>#N/A</v>
      </c>
      <c r="V215" s="1" t="str">
        <f t="array" ref="V215">IF(ISBLANK(INDEX(big_daily_table,MATCH(DATE(V$5,$K215,$J215),daily_dates,0),MATCH($B$3,daily_items,0))),NA(),INDEX(big_daily_table,MATCH(DATE(V$5,$K215,$J215),daily_dates,0),MATCH($B$3,daily_items,0)))</f>
        <v>#N/A</v>
      </c>
      <c r="W215" s="1" t="str">
        <f t="array" ref="W215">IF(ISBLANK(INDEX(big_daily_table,MATCH(DATE(W$5,$K215,$J215),daily_dates,0),MATCH($B$3,daily_items,0))),NA(),INDEX(big_daily_table,MATCH(DATE(W$5,$K215,$J215),daily_dates,0),MATCH($B$3,daily_items,0)))</f>
        <v>#N/A</v>
      </c>
      <c r="X215" s="1" t="str">
        <f t="array" ref="X215">IF(ISBLANK(INDEX(big_daily_table,MATCH(DATE(X$5,$K215,$J215),daily_dates,0),MATCH($B$3,daily_items,0))),NA(),INDEX(big_daily_table,MATCH(DATE(X$5,$K215,$J215),daily_dates,0),MATCH($B$3,daily_items,0)))</f>
        <v>#N/A</v>
      </c>
      <c r="Y215" s="1" t="str">
        <f t="array" ref="Y215">IF(ISBLANK(INDEX(big_daily_table,MATCH(DATE(Y$5,$K215,$J215),daily_dates,0),MATCH($B$3,daily_items,0))),NA(),INDEX(big_daily_table,MATCH(DATE(Y$5,$K215,$J215),daily_dates,0),MATCH($B$3,daily_items,0)))</f>
        <v>#N/A</v>
      </c>
      <c r="Z215" s="1" t="str">
        <f t="array" ref="Z215">IF(ISBLANK(INDEX(big_daily_table,MATCH(DATE(Z$5,$K215,$J215),daily_dates,0),MATCH($B$3,daily_items,0))),NA(),INDEX(big_daily_table,MATCH(DATE(Z$5,$K215,$J215),daily_dates,0),MATCH($B$3,daily_items,0)))</f>
        <v>#N/A</v>
      </c>
      <c r="AA215" s="1" t="str">
        <f t="shared" si="5"/>
        <v>#NAME?</v>
      </c>
      <c r="AB215" s="1" t="str">
        <f t="shared" si="6"/>
        <v>#NAME?</v>
      </c>
      <c r="AC215" s="1" t="str">
        <f t="shared" si="7"/>
        <v>#NAME?</v>
      </c>
      <c r="AD215" s="1" t="str">
        <f t="shared" si="8"/>
        <v>#NAME?</v>
      </c>
    </row>
    <row r="216" ht="14.25" customHeight="1">
      <c r="H216" s="1">
        <f t="shared" si="9"/>
        <v>211</v>
      </c>
      <c r="I216" s="1">
        <f>WEEKDAY('daily graphs'!K216)</f>
        <v>7</v>
      </c>
      <c r="J216" s="1">
        <f t="shared" si="2"/>
        <v>22</v>
      </c>
      <c r="K216" s="1">
        <f t="shared" si="3"/>
        <v>7</v>
      </c>
      <c r="L216" s="23">
        <f>'daily graphs'!K216 - I216</f>
        <v>36729</v>
      </c>
      <c r="M216" s="24">
        <f t="shared" si="4"/>
        <v>-1000000</v>
      </c>
      <c r="N216" s="24" t="str">
        <f t="array" ref="N216">IF(M216&gt;0,INDEX(big_daily_table,MATCH(DATE(O$5,$K216,$J216),daily_dates,0),MATCH($B$3,daily_items,0)),NA())</f>
        <v>#N/A</v>
      </c>
      <c r="O216" s="1" t="str">
        <f t="array" ref="O216">IF(M216&lt;0,INDEX(big_daily_table,MATCH(DATE(O$5,$K216,$J216),daily_dates,0),MATCH($B$3,daily_items,0)),NA())</f>
        <v>#N/A</v>
      </c>
      <c r="P216" s="1" t="str">
        <f t="array" ref="P216">IF(ISBLANK(INDEX(big_daily_table,MATCH(DATE(P$5,$K216,$J216),daily_dates,0),MATCH($B$3,daily_items,0))),NA(),INDEX(big_daily_table,MATCH(DATE(P$5,$K216,$J216),daily_dates,0),MATCH($B$3,daily_items,0)))</f>
        <v>#N/A</v>
      </c>
      <c r="Q216" s="1" t="str">
        <f t="array" ref="Q216">IF(ISBLANK(INDEX(big_daily_table,MATCH(DATE(Q$5,$K216,$J216),daily_dates,0),MATCH($B$3,daily_items,0))),NA(),INDEX(big_daily_table,MATCH(DATE(Q$5,$K216,$J216),daily_dates,0),MATCH($B$3,daily_items,0)))</f>
        <v>#N/A</v>
      </c>
      <c r="R216" s="1" t="str">
        <f t="array" ref="R216">IF(ISBLANK(INDEX(big_daily_table,MATCH(DATE(R$5,$K216,$J216),daily_dates,0),MATCH($B$3,daily_items,0))),NA(),INDEX(big_daily_table,MATCH(DATE(R$5,$K216,$J216),daily_dates,0),MATCH($B$3,daily_items,0)))</f>
        <v>#N/A</v>
      </c>
      <c r="S216" s="1" t="str">
        <f t="array" ref="S216">IF(ISBLANK(INDEX(big_daily_table,MATCH(DATE(S$5,$K216,$J216),daily_dates,0),MATCH($B$3,daily_items,0))),NA(),INDEX(big_daily_table,MATCH(DATE(S$5,$K216,$J216),daily_dates,0),MATCH($B$3,daily_items,0)))</f>
        <v>#N/A</v>
      </c>
      <c r="T216" s="1" t="str">
        <f t="array" ref="T216">IF(ISBLANK(INDEX(big_daily_table,MATCH(DATE(T$5,$K216,$J216),daily_dates,0),MATCH($B$3,daily_items,0))),NA(),INDEX(big_daily_table,MATCH(DATE(T$5,$K216,$J216),daily_dates,0),MATCH($B$3,daily_items,0)))</f>
        <v>#N/A</v>
      </c>
      <c r="U216" s="1" t="str">
        <f t="array" ref="U216">IF(ISBLANK(INDEX(big_daily_table,MATCH(DATE(U$5,$K216,$J216),daily_dates,0),MATCH($B$3,daily_items,0))),NA(),INDEX(big_daily_table,MATCH(DATE(U$5,$K216,$J216),daily_dates,0),MATCH($B$3,daily_items,0)))</f>
        <v>#N/A</v>
      </c>
      <c r="V216" s="1" t="str">
        <f t="array" ref="V216">IF(ISBLANK(INDEX(big_daily_table,MATCH(DATE(V$5,$K216,$J216),daily_dates,0),MATCH($B$3,daily_items,0))),NA(),INDEX(big_daily_table,MATCH(DATE(V$5,$K216,$J216),daily_dates,0),MATCH($B$3,daily_items,0)))</f>
        <v>#N/A</v>
      </c>
      <c r="W216" s="1" t="str">
        <f t="array" ref="W216">IF(ISBLANK(INDEX(big_daily_table,MATCH(DATE(W$5,$K216,$J216),daily_dates,0),MATCH($B$3,daily_items,0))),NA(),INDEX(big_daily_table,MATCH(DATE(W$5,$K216,$J216),daily_dates,0),MATCH($B$3,daily_items,0)))</f>
        <v>#N/A</v>
      </c>
      <c r="X216" s="1" t="str">
        <f t="array" ref="X216">IF(ISBLANK(INDEX(big_daily_table,MATCH(DATE(X$5,$K216,$J216),daily_dates,0),MATCH($B$3,daily_items,0))),NA(),INDEX(big_daily_table,MATCH(DATE(X$5,$K216,$J216),daily_dates,0),MATCH($B$3,daily_items,0)))</f>
        <v>#N/A</v>
      </c>
      <c r="Y216" s="1" t="str">
        <f t="array" ref="Y216">IF(ISBLANK(INDEX(big_daily_table,MATCH(DATE(Y$5,$K216,$J216),daily_dates,0),MATCH($B$3,daily_items,0))),NA(),INDEX(big_daily_table,MATCH(DATE(Y$5,$K216,$J216),daily_dates,0),MATCH($B$3,daily_items,0)))</f>
        <v>#N/A</v>
      </c>
      <c r="Z216" s="1" t="str">
        <f t="array" ref="Z216">IF(ISBLANK(INDEX(big_daily_table,MATCH(DATE(Z$5,$K216,$J216),daily_dates,0),MATCH($B$3,daily_items,0))),NA(),INDEX(big_daily_table,MATCH(DATE(Z$5,$K216,$J216),daily_dates,0),MATCH($B$3,daily_items,0)))</f>
        <v>#N/A</v>
      </c>
      <c r="AA216" s="1" t="str">
        <f t="shared" si="5"/>
        <v>#NAME?</v>
      </c>
      <c r="AB216" s="1" t="str">
        <f t="shared" si="6"/>
        <v>#NAME?</v>
      </c>
      <c r="AC216" s="1" t="str">
        <f t="shared" si="7"/>
        <v>#NAME?</v>
      </c>
      <c r="AD216" s="1" t="str">
        <f t="shared" si="8"/>
        <v>#NAME?</v>
      </c>
    </row>
    <row r="217" ht="14.25" customHeight="1">
      <c r="H217" s="1">
        <f t="shared" si="9"/>
        <v>212</v>
      </c>
      <c r="I217" s="1">
        <f>WEEKDAY('daily graphs'!K217)</f>
        <v>1</v>
      </c>
      <c r="J217" s="1">
        <f t="shared" si="2"/>
        <v>29</v>
      </c>
      <c r="K217" s="1">
        <f t="shared" si="3"/>
        <v>7</v>
      </c>
      <c r="L217" s="23">
        <f>'daily graphs'!K217 - I217</f>
        <v>36736</v>
      </c>
      <c r="M217" s="24">
        <f t="shared" si="4"/>
        <v>-1000000</v>
      </c>
      <c r="N217" s="24" t="str">
        <f t="array" ref="N217">IF(M217&gt;0,INDEX(big_daily_table,MATCH(DATE(O$5,$K217,$J217),daily_dates,0),MATCH($B$3,daily_items,0)),NA())</f>
        <v>#N/A</v>
      </c>
      <c r="O217" s="1" t="str">
        <f t="array" ref="O217">IF(M217&lt;0,INDEX(big_daily_table,MATCH(DATE(O$5,$K217,$J217),daily_dates,0),MATCH($B$3,daily_items,0)),NA())</f>
        <v>#N/A</v>
      </c>
      <c r="P217" s="1" t="str">
        <f t="array" ref="P217">IF(ISBLANK(INDEX(big_daily_table,MATCH(DATE(P$5,$K217,$J217),daily_dates,0),MATCH($B$3,daily_items,0))),NA(),INDEX(big_daily_table,MATCH(DATE(P$5,$K217,$J217),daily_dates,0),MATCH($B$3,daily_items,0)))</f>
        <v>#N/A</v>
      </c>
      <c r="Q217" s="1" t="str">
        <f t="array" ref="Q217">IF(ISBLANK(INDEX(big_daily_table,MATCH(DATE(Q$5,$K217,$J217),daily_dates,0),MATCH($B$3,daily_items,0))),NA(),INDEX(big_daily_table,MATCH(DATE(Q$5,$K217,$J217),daily_dates,0),MATCH($B$3,daily_items,0)))</f>
        <v>#N/A</v>
      </c>
      <c r="R217" s="1" t="str">
        <f t="array" ref="R217">IF(ISBLANK(INDEX(big_daily_table,MATCH(DATE(R$5,$K217,$J217),daily_dates,0),MATCH($B$3,daily_items,0))),NA(),INDEX(big_daily_table,MATCH(DATE(R$5,$K217,$J217),daily_dates,0),MATCH($B$3,daily_items,0)))</f>
        <v>#N/A</v>
      </c>
      <c r="S217" s="1" t="str">
        <f t="array" ref="S217">IF(ISBLANK(INDEX(big_daily_table,MATCH(DATE(S$5,$K217,$J217),daily_dates,0),MATCH($B$3,daily_items,0))),NA(),INDEX(big_daily_table,MATCH(DATE(S$5,$K217,$J217),daily_dates,0),MATCH($B$3,daily_items,0)))</f>
        <v>#N/A</v>
      </c>
      <c r="T217" s="1" t="str">
        <f t="array" ref="T217">IF(ISBLANK(INDEX(big_daily_table,MATCH(DATE(T$5,$K217,$J217),daily_dates,0),MATCH($B$3,daily_items,0))),NA(),INDEX(big_daily_table,MATCH(DATE(T$5,$K217,$J217),daily_dates,0),MATCH($B$3,daily_items,0)))</f>
        <v>#N/A</v>
      </c>
      <c r="U217" s="1" t="str">
        <f t="array" ref="U217">IF(ISBLANK(INDEX(big_daily_table,MATCH(DATE(U$5,$K217,$J217),daily_dates,0),MATCH($B$3,daily_items,0))),NA(),INDEX(big_daily_table,MATCH(DATE(U$5,$K217,$J217),daily_dates,0),MATCH($B$3,daily_items,0)))</f>
        <v>#N/A</v>
      </c>
      <c r="V217" s="1" t="str">
        <f t="array" ref="V217">IF(ISBLANK(INDEX(big_daily_table,MATCH(DATE(V$5,$K217,$J217),daily_dates,0),MATCH($B$3,daily_items,0))),NA(),INDEX(big_daily_table,MATCH(DATE(V$5,$K217,$J217),daily_dates,0),MATCH($B$3,daily_items,0)))</f>
        <v>#N/A</v>
      </c>
      <c r="W217" s="1" t="str">
        <f t="array" ref="W217">IF(ISBLANK(INDEX(big_daily_table,MATCH(DATE(W$5,$K217,$J217),daily_dates,0),MATCH($B$3,daily_items,0))),NA(),INDEX(big_daily_table,MATCH(DATE(W$5,$K217,$J217),daily_dates,0),MATCH($B$3,daily_items,0)))</f>
        <v>#N/A</v>
      </c>
      <c r="X217" s="1" t="str">
        <f t="array" ref="X217">IF(ISBLANK(INDEX(big_daily_table,MATCH(DATE(X$5,$K217,$J217),daily_dates,0),MATCH($B$3,daily_items,0))),NA(),INDEX(big_daily_table,MATCH(DATE(X$5,$K217,$J217),daily_dates,0),MATCH($B$3,daily_items,0)))</f>
        <v>#N/A</v>
      </c>
      <c r="Y217" s="1" t="str">
        <f t="array" ref="Y217">IF(ISBLANK(INDEX(big_daily_table,MATCH(DATE(Y$5,$K217,$J217),daily_dates,0),MATCH($B$3,daily_items,0))),NA(),INDEX(big_daily_table,MATCH(DATE(Y$5,$K217,$J217),daily_dates,0),MATCH($B$3,daily_items,0)))</f>
        <v>#N/A</v>
      </c>
      <c r="Z217" s="1" t="str">
        <f t="array" ref="Z217">IF(ISBLANK(INDEX(big_daily_table,MATCH(DATE(Z$5,$K217,$J217),daily_dates,0),MATCH($B$3,daily_items,0))),NA(),INDEX(big_daily_table,MATCH(DATE(Z$5,$K217,$J217),daily_dates,0),MATCH($B$3,daily_items,0)))</f>
        <v>#N/A</v>
      </c>
      <c r="AA217" s="1" t="str">
        <f t="shared" si="5"/>
        <v>#NAME?</v>
      </c>
      <c r="AB217" s="1" t="str">
        <f t="shared" si="6"/>
        <v>#NAME?</v>
      </c>
      <c r="AC217" s="1" t="str">
        <f t="shared" si="7"/>
        <v>#NAME?</v>
      </c>
      <c r="AD217" s="1" t="str">
        <f t="shared" si="8"/>
        <v>#NAME?</v>
      </c>
    </row>
    <row r="218" ht="14.25" customHeight="1">
      <c r="H218" s="1">
        <f t="shared" si="9"/>
        <v>213</v>
      </c>
      <c r="I218" s="1">
        <f>WEEKDAY('daily graphs'!K218)</f>
        <v>2</v>
      </c>
      <c r="J218" s="1">
        <f t="shared" si="2"/>
        <v>29</v>
      </c>
      <c r="K218" s="1">
        <f t="shared" si="3"/>
        <v>7</v>
      </c>
      <c r="L218" s="23">
        <f>'daily graphs'!K218 - I218</f>
        <v>36736</v>
      </c>
      <c r="M218" s="24">
        <f t="shared" si="4"/>
        <v>-1000000</v>
      </c>
      <c r="N218" s="24" t="str">
        <f t="array" ref="N218">IF(M218&gt;0,INDEX(big_daily_table,MATCH(DATE(O$5,$K218,$J218),daily_dates,0),MATCH($B$3,daily_items,0)),NA())</f>
        <v>#N/A</v>
      </c>
      <c r="O218" s="1" t="str">
        <f t="array" ref="O218">IF(M218&lt;0,INDEX(big_daily_table,MATCH(DATE(O$5,$K218,$J218),daily_dates,0),MATCH($B$3,daily_items,0)),NA())</f>
        <v>#N/A</v>
      </c>
      <c r="P218" s="1" t="str">
        <f t="array" ref="P218">IF(ISBLANK(INDEX(big_daily_table,MATCH(DATE(P$5,$K218,$J218),daily_dates,0),MATCH($B$3,daily_items,0))),NA(),INDEX(big_daily_table,MATCH(DATE(P$5,$K218,$J218),daily_dates,0),MATCH($B$3,daily_items,0)))</f>
        <v>#N/A</v>
      </c>
      <c r="Q218" s="1" t="str">
        <f t="array" ref="Q218">IF(ISBLANK(INDEX(big_daily_table,MATCH(DATE(Q$5,$K218,$J218),daily_dates,0),MATCH($B$3,daily_items,0))),NA(),INDEX(big_daily_table,MATCH(DATE(Q$5,$K218,$J218),daily_dates,0),MATCH($B$3,daily_items,0)))</f>
        <v>#N/A</v>
      </c>
      <c r="R218" s="1" t="str">
        <f t="array" ref="R218">IF(ISBLANK(INDEX(big_daily_table,MATCH(DATE(R$5,$K218,$J218),daily_dates,0),MATCH($B$3,daily_items,0))),NA(),INDEX(big_daily_table,MATCH(DATE(R$5,$K218,$J218),daily_dates,0),MATCH($B$3,daily_items,0)))</f>
        <v>#N/A</v>
      </c>
      <c r="S218" s="1" t="str">
        <f t="array" ref="S218">IF(ISBLANK(INDEX(big_daily_table,MATCH(DATE(S$5,$K218,$J218),daily_dates,0),MATCH($B$3,daily_items,0))),NA(),INDEX(big_daily_table,MATCH(DATE(S$5,$K218,$J218),daily_dates,0),MATCH($B$3,daily_items,0)))</f>
        <v>#N/A</v>
      </c>
      <c r="T218" s="1" t="str">
        <f t="array" ref="T218">IF(ISBLANK(INDEX(big_daily_table,MATCH(DATE(T$5,$K218,$J218),daily_dates,0),MATCH($B$3,daily_items,0))),NA(),INDEX(big_daily_table,MATCH(DATE(T$5,$K218,$J218),daily_dates,0),MATCH($B$3,daily_items,0)))</f>
        <v>#N/A</v>
      </c>
      <c r="U218" s="1" t="str">
        <f t="array" ref="U218">IF(ISBLANK(INDEX(big_daily_table,MATCH(DATE(U$5,$K218,$J218),daily_dates,0),MATCH($B$3,daily_items,0))),NA(),INDEX(big_daily_table,MATCH(DATE(U$5,$K218,$J218),daily_dates,0),MATCH($B$3,daily_items,0)))</f>
        <v>#N/A</v>
      </c>
      <c r="V218" s="1" t="str">
        <f t="array" ref="V218">IF(ISBLANK(INDEX(big_daily_table,MATCH(DATE(V$5,$K218,$J218),daily_dates,0),MATCH($B$3,daily_items,0))),NA(),INDEX(big_daily_table,MATCH(DATE(V$5,$K218,$J218),daily_dates,0),MATCH($B$3,daily_items,0)))</f>
        <v>#N/A</v>
      </c>
      <c r="W218" s="1" t="str">
        <f t="array" ref="W218">IF(ISBLANK(INDEX(big_daily_table,MATCH(DATE(W$5,$K218,$J218),daily_dates,0),MATCH($B$3,daily_items,0))),NA(),INDEX(big_daily_table,MATCH(DATE(W$5,$K218,$J218),daily_dates,0),MATCH($B$3,daily_items,0)))</f>
        <v>#N/A</v>
      </c>
      <c r="X218" s="1" t="str">
        <f t="array" ref="X218">IF(ISBLANK(INDEX(big_daily_table,MATCH(DATE(X$5,$K218,$J218),daily_dates,0),MATCH($B$3,daily_items,0))),NA(),INDEX(big_daily_table,MATCH(DATE(X$5,$K218,$J218),daily_dates,0),MATCH($B$3,daily_items,0)))</f>
        <v>#N/A</v>
      </c>
      <c r="Y218" s="1" t="str">
        <f t="array" ref="Y218">IF(ISBLANK(INDEX(big_daily_table,MATCH(DATE(Y$5,$K218,$J218),daily_dates,0),MATCH($B$3,daily_items,0))),NA(),INDEX(big_daily_table,MATCH(DATE(Y$5,$K218,$J218),daily_dates,0),MATCH($B$3,daily_items,0)))</f>
        <v>#N/A</v>
      </c>
      <c r="Z218" s="1" t="str">
        <f t="array" ref="Z218">IF(ISBLANK(INDEX(big_daily_table,MATCH(DATE(Z$5,$K218,$J218),daily_dates,0),MATCH($B$3,daily_items,0))),NA(),INDEX(big_daily_table,MATCH(DATE(Z$5,$K218,$J218),daily_dates,0),MATCH($B$3,daily_items,0)))</f>
        <v>#N/A</v>
      </c>
      <c r="AA218" s="1" t="str">
        <f t="shared" si="5"/>
        <v>#NAME?</v>
      </c>
      <c r="AB218" s="1" t="str">
        <f t="shared" si="6"/>
        <v>#NAME?</v>
      </c>
      <c r="AC218" s="1" t="str">
        <f t="shared" si="7"/>
        <v>#NAME?</v>
      </c>
      <c r="AD218" s="1" t="str">
        <f t="shared" si="8"/>
        <v>#NAME?</v>
      </c>
    </row>
    <row r="219" ht="14.25" customHeight="1">
      <c r="H219" s="1">
        <f t="shared" si="9"/>
        <v>214</v>
      </c>
      <c r="I219" s="1">
        <f>WEEKDAY('daily graphs'!K219)</f>
        <v>3</v>
      </c>
      <c r="J219" s="1">
        <f t="shared" si="2"/>
        <v>29</v>
      </c>
      <c r="K219" s="1">
        <f t="shared" si="3"/>
        <v>7</v>
      </c>
      <c r="L219" s="23">
        <f>'daily graphs'!K219 - I219</f>
        <v>36736</v>
      </c>
      <c r="M219" s="24">
        <f t="shared" si="4"/>
        <v>-1000000</v>
      </c>
      <c r="N219" s="24" t="str">
        <f t="array" ref="N219">IF(M219&gt;0,INDEX(big_daily_table,MATCH(DATE(O$5,$K219,$J219),daily_dates,0),MATCH($B$3,daily_items,0)),NA())</f>
        <v>#N/A</v>
      </c>
      <c r="O219" s="1" t="str">
        <f t="array" ref="O219">IF(M219&lt;0,INDEX(big_daily_table,MATCH(DATE(O$5,$K219,$J219),daily_dates,0),MATCH($B$3,daily_items,0)),NA())</f>
        <v>#N/A</v>
      </c>
      <c r="P219" s="1" t="str">
        <f t="array" ref="P219">IF(ISBLANK(INDEX(big_daily_table,MATCH(DATE(P$5,$K219,$J219),daily_dates,0),MATCH($B$3,daily_items,0))),NA(),INDEX(big_daily_table,MATCH(DATE(P$5,$K219,$J219),daily_dates,0),MATCH($B$3,daily_items,0)))</f>
        <v>#N/A</v>
      </c>
      <c r="Q219" s="1" t="str">
        <f t="array" ref="Q219">IF(ISBLANK(INDEX(big_daily_table,MATCH(DATE(Q$5,$K219,$J219),daily_dates,0),MATCH($B$3,daily_items,0))),NA(),INDEX(big_daily_table,MATCH(DATE(Q$5,$K219,$J219),daily_dates,0),MATCH($B$3,daily_items,0)))</f>
        <v>#N/A</v>
      </c>
      <c r="R219" s="1" t="str">
        <f t="array" ref="R219">IF(ISBLANK(INDEX(big_daily_table,MATCH(DATE(R$5,$K219,$J219),daily_dates,0),MATCH($B$3,daily_items,0))),NA(),INDEX(big_daily_table,MATCH(DATE(R$5,$K219,$J219),daily_dates,0),MATCH($B$3,daily_items,0)))</f>
        <v>#N/A</v>
      </c>
      <c r="S219" s="1" t="str">
        <f t="array" ref="S219">IF(ISBLANK(INDEX(big_daily_table,MATCH(DATE(S$5,$K219,$J219),daily_dates,0),MATCH($B$3,daily_items,0))),NA(),INDEX(big_daily_table,MATCH(DATE(S$5,$K219,$J219),daily_dates,0),MATCH($B$3,daily_items,0)))</f>
        <v>#N/A</v>
      </c>
      <c r="T219" s="1" t="str">
        <f t="array" ref="T219">IF(ISBLANK(INDEX(big_daily_table,MATCH(DATE(T$5,$K219,$J219),daily_dates,0),MATCH($B$3,daily_items,0))),NA(),INDEX(big_daily_table,MATCH(DATE(T$5,$K219,$J219),daily_dates,0),MATCH($B$3,daily_items,0)))</f>
        <v>#N/A</v>
      </c>
      <c r="U219" s="1" t="str">
        <f t="array" ref="U219">IF(ISBLANK(INDEX(big_daily_table,MATCH(DATE(U$5,$K219,$J219),daily_dates,0),MATCH($B$3,daily_items,0))),NA(),INDEX(big_daily_table,MATCH(DATE(U$5,$K219,$J219),daily_dates,0),MATCH($B$3,daily_items,0)))</f>
        <v>#N/A</v>
      </c>
      <c r="V219" s="1" t="str">
        <f t="array" ref="V219">IF(ISBLANK(INDEX(big_daily_table,MATCH(DATE(V$5,$K219,$J219),daily_dates,0),MATCH($B$3,daily_items,0))),NA(),INDEX(big_daily_table,MATCH(DATE(V$5,$K219,$J219),daily_dates,0),MATCH($B$3,daily_items,0)))</f>
        <v>#N/A</v>
      </c>
      <c r="W219" s="1" t="str">
        <f t="array" ref="W219">IF(ISBLANK(INDEX(big_daily_table,MATCH(DATE(W$5,$K219,$J219),daily_dates,0),MATCH($B$3,daily_items,0))),NA(),INDEX(big_daily_table,MATCH(DATE(W$5,$K219,$J219),daily_dates,0),MATCH($B$3,daily_items,0)))</f>
        <v>#N/A</v>
      </c>
      <c r="X219" s="1" t="str">
        <f t="array" ref="X219">IF(ISBLANK(INDEX(big_daily_table,MATCH(DATE(X$5,$K219,$J219),daily_dates,0),MATCH($B$3,daily_items,0))),NA(),INDEX(big_daily_table,MATCH(DATE(X$5,$K219,$J219),daily_dates,0),MATCH($B$3,daily_items,0)))</f>
        <v>#N/A</v>
      </c>
      <c r="Y219" s="1" t="str">
        <f t="array" ref="Y219">IF(ISBLANK(INDEX(big_daily_table,MATCH(DATE(Y$5,$K219,$J219),daily_dates,0),MATCH($B$3,daily_items,0))),NA(),INDEX(big_daily_table,MATCH(DATE(Y$5,$K219,$J219),daily_dates,0),MATCH($B$3,daily_items,0)))</f>
        <v>#N/A</v>
      </c>
      <c r="Z219" s="1" t="str">
        <f t="array" ref="Z219">IF(ISBLANK(INDEX(big_daily_table,MATCH(DATE(Z$5,$K219,$J219),daily_dates,0),MATCH($B$3,daily_items,0))),NA(),INDEX(big_daily_table,MATCH(DATE(Z$5,$K219,$J219),daily_dates,0),MATCH($B$3,daily_items,0)))</f>
        <v>#N/A</v>
      </c>
      <c r="AA219" s="1" t="str">
        <f t="shared" si="5"/>
        <v>#NAME?</v>
      </c>
      <c r="AB219" s="1" t="str">
        <f t="shared" si="6"/>
        <v>#NAME?</v>
      </c>
      <c r="AC219" s="1" t="str">
        <f t="shared" si="7"/>
        <v>#NAME?</v>
      </c>
      <c r="AD219" s="1" t="str">
        <f t="shared" si="8"/>
        <v>#NAME?</v>
      </c>
    </row>
    <row r="220" ht="14.25" customHeight="1">
      <c r="H220" s="1">
        <f t="shared" si="9"/>
        <v>215</v>
      </c>
      <c r="I220" s="1">
        <f>WEEKDAY('daily graphs'!K220)</f>
        <v>4</v>
      </c>
      <c r="J220" s="1">
        <f t="shared" si="2"/>
        <v>29</v>
      </c>
      <c r="K220" s="1">
        <f t="shared" si="3"/>
        <v>7</v>
      </c>
      <c r="L220" s="23">
        <f>'daily graphs'!K220 - I220</f>
        <v>36736</v>
      </c>
      <c r="M220" s="24">
        <f t="shared" si="4"/>
        <v>-1000000</v>
      </c>
      <c r="N220" s="24" t="str">
        <f t="array" ref="N220">IF(M220&gt;0,INDEX(big_daily_table,MATCH(DATE(O$5,$K220,$J220),daily_dates,0),MATCH($B$3,daily_items,0)),NA())</f>
        <v>#N/A</v>
      </c>
      <c r="O220" s="1" t="str">
        <f t="array" ref="O220">IF(M220&lt;0,INDEX(big_daily_table,MATCH(DATE(O$5,$K220,$J220),daily_dates,0),MATCH($B$3,daily_items,0)),NA())</f>
        <v>#N/A</v>
      </c>
      <c r="P220" s="1" t="str">
        <f t="array" ref="P220">IF(ISBLANK(INDEX(big_daily_table,MATCH(DATE(P$5,$K220,$J220),daily_dates,0),MATCH($B$3,daily_items,0))),NA(),INDEX(big_daily_table,MATCH(DATE(P$5,$K220,$J220),daily_dates,0),MATCH($B$3,daily_items,0)))</f>
        <v>#N/A</v>
      </c>
      <c r="Q220" s="1" t="str">
        <f t="array" ref="Q220">IF(ISBLANK(INDEX(big_daily_table,MATCH(DATE(Q$5,$K220,$J220),daily_dates,0),MATCH($B$3,daily_items,0))),NA(),INDEX(big_daily_table,MATCH(DATE(Q$5,$K220,$J220),daily_dates,0),MATCH($B$3,daily_items,0)))</f>
        <v>#N/A</v>
      </c>
      <c r="R220" s="1" t="str">
        <f t="array" ref="R220">IF(ISBLANK(INDEX(big_daily_table,MATCH(DATE(R$5,$K220,$J220),daily_dates,0),MATCH($B$3,daily_items,0))),NA(),INDEX(big_daily_table,MATCH(DATE(R$5,$K220,$J220),daily_dates,0),MATCH($B$3,daily_items,0)))</f>
        <v>#N/A</v>
      </c>
      <c r="S220" s="1" t="str">
        <f t="array" ref="S220">IF(ISBLANK(INDEX(big_daily_table,MATCH(DATE(S$5,$K220,$J220),daily_dates,0),MATCH($B$3,daily_items,0))),NA(),INDEX(big_daily_table,MATCH(DATE(S$5,$K220,$J220),daily_dates,0),MATCH($B$3,daily_items,0)))</f>
        <v>#N/A</v>
      </c>
      <c r="T220" s="1" t="str">
        <f t="array" ref="T220">IF(ISBLANK(INDEX(big_daily_table,MATCH(DATE(T$5,$K220,$J220),daily_dates,0),MATCH($B$3,daily_items,0))),NA(),INDEX(big_daily_table,MATCH(DATE(T$5,$K220,$J220),daily_dates,0),MATCH($B$3,daily_items,0)))</f>
        <v>#N/A</v>
      </c>
      <c r="U220" s="1" t="str">
        <f t="array" ref="U220">IF(ISBLANK(INDEX(big_daily_table,MATCH(DATE(U$5,$K220,$J220),daily_dates,0),MATCH($B$3,daily_items,0))),NA(),INDEX(big_daily_table,MATCH(DATE(U$5,$K220,$J220),daily_dates,0),MATCH($B$3,daily_items,0)))</f>
        <v>#N/A</v>
      </c>
      <c r="V220" s="1" t="str">
        <f t="array" ref="V220">IF(ISBLANK(INDEX(big_daily_table,MATCH(DATE(V$5,$K220,$J220),daily_dates,0),MATCH($B$3,daily_items,0))),NA(),INDEX(big_daily_table,MATCH(DATE(V$5,$K220,$J220),daily_dates,0),MATCH($B$3,daily_items,0)))</f>
        <v>#N/A</v>
      </c>
      <c r="W220" s="1" t="str">
        <f t="array" ref="W220">IF(ISBLANK(INDEX(big_daily_table,MATCH(DATE(W$5,$K220,$J220),daily_dates,0),MATCH($B$3,daily_items,0))),NA(),INDEX(big_daily_table,MATCH(DATE(W$5,$K220,$J220),daily_dates,0),MATCH($B$3,daily_items,0)))</f>
        <v>#N/A</v>
      </c>
      <c r="X220" s="1" t="str">
        <f t="array" ref="X220">IF(ISBLANK(INDEX(big_daily_table,MATCH(DATE(X$5,$K220,$J220),daily_dates,0),MATCH($B$3,daily_items,0))),NA(),INDEX(big_daily_table,MATCH(DATE(X$5,$K220,$J220),daily_dates,0),MATCH($B$3,daily_items,0)))</f>
        <v>#N/A</v>
      </c>
      <c r="Y220" s="1" t="str">
        <f t="array" ref="Y220">IF(ISBLANK(INDEX(big_daily_table,MATCH(DATE(Y$5,$K220,$J220),daily_dates,0),MATCH($B$3,daily_items,0))),NA(),INDEX(big_daily_table,MATCH(DATE(Y$5,$K220,$J220),daily_dates,0),MATCH($B$3,daily_items,0)))</f>
        <v>#N/A</v>
      </c>
      <c r="Z220" s="1" t="str">
        <f t="array" ref="Z220">IF(ISBLANK(INDEX(big_daily_table,MATCH(DATE(Z$5,$K220,$J220),daily_dates,0),MATCH($B$3,daily_items,0))),NA(),INDEX(big_daily_table,MATCH(DATE(Z$5,$K220,$J220),daily_dates,0),MATCH($B$3,daily_items,0)))</f>
        <v>#N/A</v>
      </c>
      <c r="AA220" s="1" t="str">
        <f t="shared" si="5"/>
        <v>#NAME?</v>
      </c>
      <c r="AB220" s="1" t="str">
        <f t="shared" si="6"/>
        <v>#NAME?</v>
      </c>
      <c r="AC220" s="1" t="str">
        <f t="shared" si="7"/>
        <v>#NAME?</v>
      </c>
      <c r="AD220" s="1" t="str">
        <f t="shared" si="8"/>
        <v>#NAME?</v>
      </c>
    </row>
    <row r="221" ht="14.25" customHeight="1">
      <c r="H221" s="1">
        <f t="shared" si="9"/>
        <v>216</v>
      </c>
      <c r="I221" s="1">
        <f>WEEKDAY('daily graphs'!K221)</f>
        <v>5</v>
      </c>
      <c r="J221" s="1">
        <f t="shared" si="2"/>
        <v>29</v>
      </c>
      <c r="K221" s="1">
        <f t="shared" si="3"/>
        <v>7</v>
      </c>
      <c r="L221" s="23">
        <f>'daily graphs'!K221 - I221</f>
        <v>36736</v>
      </c>
      <c r="M221" s="24">
        <f t="shared" si="4"/>
        <v>-1000000</v>
      </c>
      <c r="N221" s="24" t="str">
        <f t="array" ref="N221">IF(M221&gt;0,INDEX(big_daily_table,MATCH(DATE(O$5,$K221,$J221),daily_dates,0),MATCH($B$3,daily_items,0)),NA())</f>
        <v>#N/A</v>
      </c>
      <c r="O221" s="1" t="str">
        <f t="array" ref="O221">IF(M221&lt;0,INDEX(big_daily_table,MATCH(DATE(O$5,$K221,$J221),daily_dates,0),MATCH($B$3,daily_items,0)),NA())</f>
        <v>#N/A</v>
      </c>
      <c r="P221" s="1" t="str">
        <f t="array" ref="P221">IF(ISBLANK(INDEX(big_daily_table,MATCH(DATE(P$5,$K221,$J221),daily_dates,0),MATCH($B$3,daily_items,0))),NA(),INDEX(big_daily_table,MATCH(DATE(P$5,$K221,$J221),daily_dates,0),MATCH($B$3,daily_items,0)))</f>
        <v>#N/A</v>
      </c>
      <c r="Q221" s="1" t="str">
        <f t="array" ref="Q221">IF(ISBLANK(INDEX(big_daily_table,MATCH(DATE(Q$5,$K221,$J221),daily_dates,0),MATCH($B$3,daily_items,0))),NA(),INDEX(big_daily_table,MATCH(DATE(Q$5,$K221,$J221),daily_dates,0),MATCH($B$3,daily_items,0)))</f>
        <v>#N/A</v>
      </c>
      <c r="R221" s="1" t="str">
        <f t="array" ref="R221">IF(ISBLANK(INDEX(big_daily_table,MATCH(DATE(R$5,$K221,$J221),daily_dates,0),MATCH($B$3,daily_items,0))),NA(),INDEX(big_daily_table,MATCH(DATE(R$5,$K221,$J221),daily_dates,0),MATCH($B$3,daily_items,0)))</f>
        <v>#N/A</v>
      </c>
      <c r="S221" s="1" t="str">
        <f t="array" ref="S221">IF(ISBLANK(INDEX(big_daily_table,MATCH(DATE(S$5,$K221,$J221),daily_dates,0),MATCH($B$3,daily_items,0))),NA(),INDEX(big_daily_table,MATCH(DATE(S$5,$K221,$J221),daily_dates,0),MATCH($B$3,daily_items,0)))</f>
        <v>#N/A</v>
      </c>
      <c r="T221" s="1" t="str">
        <f t="array" ref="T221">IF(ISBLANK(INDEX(big_daily_table,MATCH(DATE(T$5,$K221,$J221),daily_dates,0),MATCH($B$3,daily_items,0))),NA(),INDEX(big_daily_table,MATCH(DATE(T$5,$K221,$J221),daily_dates,0),MATCH($B$3,daily_items,0)))</f>
        <v>#N/A</v>
      </c>
      <c r="U221" s="1" t="str">
        <f t="array" ref="U221">IF(ISBLANK(INDEX(big_daily_table,MATCH(DATE(U$5,$K221,$J221),daily_dates,0),MATCH($B$3,daily_items,0))),NA(),INDEX(big_daily_table,MATCH(DATE(U$5,$K221,$J221),daily_dates,0),MATCH($B$3,daily_items,0)))</f>
        <v>#N/A</v>
      </c>
      <c r="V221" s="1" t="str">
        <f t="array" ref="V221">IF(ISBLANK(INDEX(big_daily_table,MATCH(DATE(V$5,$K221,$J221),daily_dates,0),MATCH($B$3,daily_items,0))),NA(),INDEX(big_daily_table,MATCH(DATE(V$5,$K221,$J221),daily_dates,0),MATCH($B$3,daily_items,0)))</f>
        <v>#N/A</v>
      </c>
      <c r="W221" s="1" t="str">
        <f t="array" ref="W221">IF(ISBLANK(INDEX(big_daily_table,MATCH(DATE(W$5,$K221,$J221),daily_dates,0),MATCH($B$3,daily_items,0))),NA(),INDEX(big_daily_table,MATCH(DATE(W$5,$K221,$J221),daily_dates,0),MATCH($B$3,daily_items,0)))</f>
        <v>#N/A</v>
      </c>
      <c r="X221" s="1" t="str">
        <f t="array" ref="X221">IF(ISBLANK(INDEX(big_daily_table,MATCH(DATE(X$5,$K221,$J221),daily_dates,0),MATCH($B$3,daily_items,0))),NA(),INDEX(big_daily_table,MATCH(DATE(X$5,$K221,$J221),daily_dates,0),MATCH($B$3,daily_items,0)))</f>
        <v>#N/A</v>
      </c>
      <c r="Y221" s="1" t="str">
        <f t="array" ref="Y221">IF(ISBLANK(INDEX(big_daily_table,MATCH(DATE(Y$5,$K221,$J221),daily_dates,0),MATCH($B$3,daily_items,0))),NA(),INDEX(big_daily_table,MATCH(DATE(Y$5,$K221,$J221),daily_dates,0),MATCH($B$3,daily_items,0)))</f>
        <v>#N/A</v>
      </c>
      <c r="Z221" s="1" t="str">
        <f t="array" ref="Z221">IF(ISBLANK(INDEX(big_daily_table,MATCH(DATE(Z$5,$K221,$J221),daily_dates,0),MATCH($B$3,daily_items,0))),NA(),INDEX(big_daily_table,MATCH(DATE(Z$5,$K221,$J221),daily_dates,0),MATCH($B$3,daily_items,0)))</f>
        <v>#N/A</v>
      </c>
      <c r="AA221" s="1" t="str">
        <f t="shared" si="5"/>
        <v>#NAME?</v>
      </c>
      <c r="AB221" s="1" t="str">
        <f t="shared" si="6"/>
        <v>#NAME?</v>
      </c>
      <c r="AC221" s="1" t="str">
        <f t="shared" si="7"/>
        <v>#NAME?</v>
      </c>
      <c r="AD221" s="1" t="str">
        <f t="shared" si="8"/>
        <v>#NAME?</v>
      </c>
    </row>
    <row r="222" ht="14.25" customHeight="1">
      <c r="H222" s="1">
        <f t="shared" si="9"/>
        <v>217</v>
      </c>
      <c r="I222" s="1">
        <f>WEEKDAY('daily graphs'!K222)</f>
        <v>6</v>
      </c>
      <c r="J222" s="1">
        <f t="shared" si="2"/>
        <v>29</v>
      </c>
      <c r="K222" s="1">
        <f t="shared" si="3"/>
        <v>7</v>
      </c>
      <c r="L222" s="23">
        <f>'daily graphs'!K222 - I222</f>
        <v>36736</v>
      </c>
      <c r="M222" s="24">
        <f t="shared" si="4"/>
        <v>-1000000</v>
      </c>
      <c r="N222" s="24" t="str">
        <f t="array" ref="N222">IF(M222&gt;0,INDEX(big_daily_table,MATCH(DATE(O$5,$K222,$J222),daily_dates,0),MATCH($B$3,daily_items,0)),NA())</f>
        <v>#N/A</v>
      </c>
      <c r="O222" s="1" t="str">
        <f t="array" ref="O222">IF(M222&lt;0,INDEX(big_daily_table,MATCH(DATE(O$5,$K222,$J222),daily_dates,0),MATCH($B$3,daily_items,0)),NA())</f>
        <v>#N/A</v>
      </c>
      <c r="P222" s="1" t="str">
        <f t="array" ref="P222">IF(ISBLANK(INDEX(big_daily_table,MATCH(DATE(P$5,$K222,$J222),daily_dates,0),MATCH($B$3,daily_items,0))),NA(),INDEX(big_daily_table,MATCH(DATE(P$5,$K222,$J222),daily_dates,0),MATCH($B$3,daily_items,0)))</f>
        <v>#N/A</v>
      </c>
      <c r="Q222" s="1" t="str">
        <f t="array" ref="Q222">IF(ISBLANK(INDEX(big_daily_table,MATCH(DATE(Q$5,$K222,$J222),daily_dates,0),MATCH($B$3,daily_items,0))),NA(),INDEX(big_daily_table,MATCH(DATE(Q$5,$K222,$J222),daily_dates,0),MATCH($B$3,daily_items,0)))</f>
        <v>#N/A</v>
      </c>
      <c r="R222" s="1" t="str">
        <f t="array" ref="R222">IF(ISBLANK(INDEX(big_daily_table,MATCH(DATE(R$5,$K222,$J222),daily_dates,0),MATCH($B$3,daily_items,0))),NA(),INDEX(big_daily_table,MATCH(DATE(R$5,$K222,$J222),daily_dates,0),MATCH($B$3,daily_items,0)))</f>
        <v>#N/A</v>
      </c>
      <c r="S222" s="1" t="str">
        <f t="array" ref="S222">IF(ISBLANK(INDEX(big_daily_table,MATCH(DATE(S$5,$K222,$J222),daily_dates,0),MATCH($B$3,daily_items,0))),NA(),INDEX(big_daily_table,MATCH(DATE(S$5,$K222,$J222),daily_dates,0),MATCH($B$3,daily_items,0)))</f>
        <v>#N/A</v>
      </c>
      <c r="T222" s="1" t="str">
        <f t="array" ref="T222">IF(ISBLANK(INDEX(big_daily_table,MATCH(DATE(T$5,$K222,$J222),daily_dates,0),MATCH($B$3,daily_items,0))),NA(),INDEX(big_daily_table,MATCH(DATE(T$5,$K222,$J222),daily_dates,0),MATCH($B$3,daily_items,0)))</f>
        <v>#N/A</v>
      </c>
      <c r="U222" s="1" t="str">
        <f t="array" ref="U222">IF(ISBLANK(INDEX(big_daily_table,MATCH(DATE(U$5,$K222,$J222),daily_dates,0),MATCH($B$3,daily_items,0))),NA(),INDEX(big_daily_table,MATCH(DATE(U$5,$K222,$J222),daily_dates,0),MATCH($B$3,daily_items,0)))</f>
        <v>#N/A</v>
      </c>
      <c r="V222" s="1" t="str">
        <f t="array" ref="V222">IF(ISBLANK(INDEX(big_daily_table,MATCH(DATE(V$5,$K222,$J222),daily_dates,0),MATCH($B$3,daily_items,0))),NA(),INDEX(big_daily_table,MATCH(DATE(V$5,$K222,$J222),daily_dates,0),MATCH($B$3,daily_items,0)))</f>
        <v>#N/A</v>
      </c>
      <c r="W222" s="1" t="str">
        <f t="array" ref="W222">IF(ISBLANK(INDEX(big_daily_table,MATCH(DATE(W$5,$K222,$J222),daily_dates,0),MATCH($B$3,daily_items,0))),NA(),INDEX(big_daily_table,MATCH(DATE(W$5,$K222,$J222),daily_dates,0),MATCH($B$3,daily_items,0)))</f>
        <v>#N/A</v>
      </c>
      <c r="X222" s="1" t="str">
        <f t="array" ref="X222">IF(ISBLANK(INDEX(big_daily_table,MATCH(DATE(X$5,$K222,$J222),daily_dates,0),MATCH($B$3,daily_items,0))),NA(),INDEX(big_daily_table,MATCH(DATE(X$5,$K222,$J222),daily_dates,0),MATCH($B$3,daily_items,0)))</f>
        <v>#N/A</v>
      </c>
      <c r="Y222" s="1" t="str">
        <f t="array" ref="Y222">IF(ISBLANK(INDEX(big_daily_table,MATCH(DATE(Y$5,$K222,$J222),daily_dates,0),MATCH($B$3,daily_items,0))),NA(),INDEX(big_daily_table,MATCH(DATE(Y$5,$K222,$J222),daily_dates,0),MATCH($B$3,daily_items,0)))</f>
        <v>#N/A</v>
      </c>
      <c r="Z222" s="1" t="str">
        <f t="array" ref="Z222">IF(ISBLANK(INDEX(big_daily_table,MATCH(DATE(Z$5,$K222,$J222),daily_dates,0),MATCH($B$3,daily_items,0))),NA(),INDEX(big_daily_table,MATCH(DATE(Z$5,$K222,$J222),daily_dates,0),MATCH($B$3,daily_items,0)))</f>
        <v>#N/A</v>
      </c>
      <c r="AA222" s="1" t="str">
        <f t="shared" si="5"/>
        <v>#NAME?</v>
      </c>
      <c r="AB222" s="1" t="str">
        <f t="shared" si="6"/>
        <v>#NAME?</v>
      </c>
      <c r="AC222" s="1" t="str">
        <f t="shared" si="7"/>
        <v>#NAME?</v>
      </c>
      <c r="AD222" s="1" t="str">
        <f t="shared" si="8"/>
        <v>#NAME?</v>
      </c>
    </row>
    <row r="223" ht="14.25" customHeight="1">
      <c r="H223" s="1">
        <f t="shared" si="9"/>
        <v>218</v>
      </c>
      <c r="I223" s="1">
        <f>WEEKDAY('daily graphs'!K223)</f>
        <v>7</v>
      </c>
      <c r="J223" s="1">
        <f t="shared" si="2"/>
        <v>29</v>
      </c>
      <c r="K223" s="1">
        <f t="shared" si="3"/>
        <v>7</v>
      </c>
      <c r="L223" s="23">
        <f>'daily graphs'!K223 - I223</f>
        <v>36736</v>
      </c>
      <c r="M223" s="24">
        <f t="shared" si="4"/>
        <v>-1000000</v>
      </c>
      <c r="N223" s="24" t="str">
        <f t="array" ref="N223">IF(M223&gt;0,INDEX(big_daily_table,MATCH(DATE(O$5,$K223,$J223),daily_dates,0),MATCH($B$3,daily_items,0)),NA())</f>
        <v>#N/A</v>
      </c>
      <c r="O223" s="1" t="str">
        <f t="array" ref="O223">IF(M223&lt;0,INDEX(big_daily_table,MATCH(DATE(O$5,$K223,$J223),daily_dates,0),MATCH($B$3,daily_items,0)),NA())</f>
        <v>#N/A</v>
      </c>
      <c r="P223" s="1" t="str">
        <f t="array" ref="P223">IF(ISBLANK(INDEX(big_daily_table,MATCH(DATE(P$5,$K223,$J223),daily_dates,0),MATCH($B$3,daily_items,0))),NA(),INDEX(big_daily_table,MATCH(DATE(P$5,$K223,$J223),daily_dates,0),MATCH($B$3,daily_items,0)))</f>
        <v>#N/A</v>
      </c>
      <c r="Q223" s="1" t="str">
        <f t="array" ref="Q223">IF(ISBLANK(INDEX(big_daily_table,MATCH(DATE(Q$5,$K223,$J223),daily_dates,0),MATCH($B$3,daily_items,0))),NA(),INDEX(big_daily_table,MATCH(DATE(Q$5,$K223,$J223),daily_dates,0),MATCH($B$3,daily_items,0)))</f>
        <v>#N/A</v>
      </c>
      <c r="R223" s="1" t="str">
        <f t="array" ref="R223">IF(ISBLANK(INDEX(big_daily_table,MATCH(DATE(R$5,$K223,$J223),daily_dates,0),MATCH($B$3,daily_items,0))),NA(),INDEX(big_daily_table,MATCH(DATE(R$5,$K223,$J223),daily_dates,0),MATCH($B$3,daily_items,0)))</f>
        <v>#N/A</v>
      </c>
      <c r="S223" s="1" t="str">
        <f t="array" ref="S223">IF(ISBLANK(INDEX(big_daily_table,MATCH(DATE(S$5,$K223,$J223),daily_dates,0),MATCH($B$3,daily_items,0))),NA(),INDEX(big_daily_table,MATCH(DATE(S$5,$K223,$J223),daily_dates,0),MATCH($B$3,daily_items,0)))</f>
        <v>#N/A</v>
      </c>
      <c r="T223" s="1" t="str">
        <f t="array" ref="T223">IF(ISBLANK(INDEX(big_daily_table,MATCH(DATE(T$5,$K223,$J223),daily_dates,0),MATCH($B$3,daily_items,0))),NA(),INDEX(big_daily_table,MATCH(DATE(T$5,$K223,$J223),daily_dates,0),MATCH($B$3,daily_items,0)))</f>
        <v>#N/A</v>
      </c>
      <c r="U223" s="1" t="str">
        <f t="array" ref="U223">IF(ISBLANK(INDEX(big_daily_table,MATCH(DATE(U$5,$K223,$J223),daily_dates,0),MATCH($B$3,daily_items,0))),NA(),INDEX(big_daily_table,MATCH(DATE(U$5,$K223,$J223),daily_dates,0),MATCH($B$3,daily_items,0)))</f>
        <v>#N/A</v>
      </c>
      <c r="V223" s="1" t="str">
        <f t="array" ref="V223">IF(ISBLANK(INDEX(big_daily_table,MATCH(DATE(V$5,$K223,$J223),daily_dates,0),MATCH($B$3,daily_items,0))),NA(),INDEX(big_daily_table,MATCH(DATE(V$5,$K223,$J223),daily_dates,0),MATCH($B$3,daily_items,0)))</f>
        <v>#N/A</v>
      </c>
      <c r="W223" s="1" t="str">
        <f t="array" ref="W223">IF(ISBLANK(INDEX(big_daily_table,MATCH(DATE(W$5,$K223,$J223),daily_dates,0),MATCH($B$3,daily_items,0))),NA(),INDEX(big_daily_table,MATCH(DATE(W$5,$K223,$J223),daily_dates,0),MATCH($B$3,daily_items,0)))</f>
        <v>#N/A</v>
      </c>
      <c r="X223" s="1" t="str">
        <f t="array" ref="X223">IF(ISBLANK(INDEX(big_daily_table,MATCH(DATE(X$5,$K223,$J223),daily_dates,0),MATCH($B$3,daily_items,0))),NA(),INDEX(big_daily_table,MATCH(DATE(X$5,$K223,$J223),daily_dates,0),MATCH($B$3,daily_items,0)))</f>
        <v>#N/A</v>
      </c>
      <c r="Y223" s="1" t="str">
        <f t="array" ref="Y223">IF(ISBLANK(INDEX(big_daily_table,MATCH(DATE(Y$5,$K223,$J223),daily_dates,0),MATCH($B$3,daily_items,0))),NA(),INDEX(big_daily_table,MATCH(DATE(Y$5,$K223,$J223),daily_dates,0),MATCH($B$3,daily_items,0)))</f>
        <v>#N/A</v>
      </c>
      <c r="Z223" s="1" t="str">
        <f t="array" ref="Z223">IF(ISBLANK(INDEX(big_daily_table,MATCH(DATE(Z$5,$K223,$J223),daily_dates,0),MATCH($B$3,daily_items,0))),NA(),INDEX(big_daily_table,MATCH(DATE(Z$5,$K223,$J223),daily_dates,0),MATCH($B$3,daily_items,0)))</f>
        <v>#N/A</v>
      </c>
      <c r="AA223" s="1" t="str">
        <f t="shared" si="5"/>
        <v>#NAME?</v>
      </c>
      <c r="AB223" s="1" t="str">
        <f t="shared" si="6"/>
        <v>#NAME?</v>
      </c>
      <c r="AC223" s="1" t="str">
        <f t="shared" si="7"/>
        <v>#NAME?</v>
      </c>
      <c r="AD223" s="1" t="str">
        <f t="shared" si="8"/>
        <v>#NAME?</v>
      </c>
    </row>
    <row r="224" ht="14.25" customHeight="1">
      <c r="H224" s="1">
        <f t="shared" si="9"/>
        <v>219</v>
      </c>
      <c r="I224" s="1">
        <f>WEEKDAY('daily graphs'!K224)</f>
        <v>1</v>
      </c>
      <c r="J224" s="1">
        <f t="shared" si="2"/>
        <v>5</v>
      </c>
      <c r="K224" s="1">
        <f t="shared" si="3"/>
        <v>8</v>
      </c>
      <c r="L224" s="23">
        <f>'daily graphs'!K224 - I224</f>
        <v>36743</v>
      </c>
      <c r="M224" s="24">
        <f t="shared" si="4"/>
        <v>-1000000</v>
      </c>
      <c r="N224" s="24" t="str">
        <f t="array" ref="N224">IF(M224&gt;0,INDEX(big_daily_table,MATCH(DATE(O$5,$K224,$J224),daily_dates,0),MATCH($B$3,daily_items,0)),NA())</f>
        <v>#N/A</v>
      </c>
      <c r="O224" s="1" t="str">
        <f t="array" ref="O224">IF(M224&lt;0,INDEX(big_daily_table,MATCH(DATE(O$5,$K224,$J224),daily_dates,0),MATCH($B$3,daily_items,0)),NA())</f>
        <v>#N/A</v>
      </c>
      <c r="P224" s="1" t="str">
        <f t="array" ref="P224">IF(ISBLANK(INDEX(big_daily_table,MATCH(DATE(P$5,$K224,$J224),daily_dates,0),MATCH($B$3,daily_items,0))),NA(),INDEX(big_daily_table,MATCH(DATE(P$5,$K224,$J224),daily_dates,0),MATCH($B$3,daily_items,0)))</f>
        <v>#N/A</v>
      </c>
      <c r="Q224" s="1" t="str">
        <f t="array" ref="Q224">IF(ISBLANK(INDEX(big_daily_table,MATCH(DATE(Q$5,$K224,$J224),daily_dates,0),MATCH($B$3,daily_items,0))),NA(),INDEX(big_daily_table,MATCH(DATE(Q$5,$K224,$J224),daily_dates,0),MATCH($B$3,daily_items,0)))</f>
        <v>#N/A</v>
      </c>
      <c r="R224" s="1" t="str">
        <f t="array" ref="R224">IF(ISBLANK(INDEX(big_daily_table,MATCH(DATE(R$5,$K224,$J224),daily_dates,0),MATCH($B$3,daily_items,0))),NA(),INDEX(big_daily_table,MATCH(DATE(R$5,$K224,$J224),daily_dates,0),MATCH($B$3,daily_items,0)))</f>
        <v>#N/A</v>
      </c>
      <c r="S224" s="1" t="str">
        <f t="array" ref="S224">IF(ISBLANK(INDEX(big_daily_table,MATCH(DATE(S$5,$K224,$J224),daily_dates,0),MATCH($B$3,daily_items,0))),NA(),INDEX(big_daily_table,MATCH(DATE(S$5,$K224,$J224),daily_dates,0),MATCH($B$3,daily_items,0)))</f>
        <v>#N/A</v>
      </c>
      <c r="T224" s="1" t="str">
        <f t="array" ref="T224">IF(ISBLANK(INDEX(big_daily_table,MATCH(DATE(T$5,$K224,$J224),daily_dates,0),MATCH($B$3,daily_items,0))),NA(),INDEX(big_daily_table,MATCH(DATE(T$5,$K224,$J224),daily_dates,0),MATCH($B$3,daily_items,0)))</f>
        <v>#N/A</v>
      </c>
      <c r="U224" s="1" t="str">
        <f t="array" ref="U224">IF(ISBLANK(INDEX(big_daily_table,MATCH(DATE(U$5,$K224,$J224),daily_dates,0),MATCH($B$3,daily_items,0))),NA(),INDEX(big_daily_table,MATCH(DATE(U$5,$K224,$J224),daily_dates,0),MATCH($B$3,daily_items,0)))</f>
        <v>#N/A</v>
      </c>
      <c r="V224" s="1" t="str">
        <f t="array" ref="V224">IF(ISBLANK(INDEX(big_daily_table,MATCH(DATE(V$5,$K224,$J224),daily_dates,0),MATCH($B$3,daily_items,0))),NA(),INDEX(big_daily_table,MATCH(DATE(V$5,$K224,$J224),daily_dates,0),MATCH($B$3,daily_items,0)))</f>
        <v>#N/A</v>
      </c>
      <c r="W224" s="1" t="str">
        <f t="array" ref="W224">IF(ISBLANK(INDEX(big_daily_table,MATCH(DATE(W$5,$K224,$J224),daily_dates,0),MATCH($B$3,daily_items,0))),NA(),INDEX(big_daily_table,MATCH(DATE(W$5,$K224,$J224),daily_dates,0),MATCH($B$3,daily_items,0)))</f>
        <v>#N/A</v>
      </c>
      <c r="X224" s="1" t="str">
        <f t="array" ref="X224">IF(ISBLANK(INDEX(big_daily_table,MATCH(DATE(X$5,$K224,$J224),daily_dates,0),MATCH($B$3,daily_items,0))),NA(),INDEX(big_daily_table,MATCH(DATE(X$5,$K224,$J224),daily_dates,0),MATCH($B$3,daily_items,0)))</f>
        <v>#N/A</v>
      </c>
      <c r="Y224" s="1" t="str">
        <f t="array" ref="Y224">IF(ISBLANK(INDEX(big_daily_table,MATCH(DATE(Y$5,$K224,$J224),daily_dates,0),MATCH($B$3,daily_items,0))),NA(),INDEX(big_daily_table,MATCH(DATE(Y$5,$K224,$J224),daily_dates,0),MATCH($B$3,daily_items,0)))</f>
        <v>#N/A</v>
      </c>
      <c r="Z224" s="1" t="str">
        <f t="array" ref="Z224">IF(ISBLANK(INDEX(big_daily_table,MATCH(DATE(Z$5,$K224,$J224),daily_dates,0),MATCH($B$3,daily_items,0))),NA(),INDEX(big_daily_table,MATCH(DATE(Z$5,$K224,$J224),daily_dates,0),MATCH($B$3,daily_items,0)))</f>
        <v>#N/A</v>
      </c>
      <c r="AA224" s="1" t="str">
        <f t="shared" si="5"/>
        <v>#NAME?</v>
      </c>
      <c r="AB224" s="1" t="str">
        <f t="shared" si="6"/>
        <v>#NAME?</v>
      </c>
      <c r="AC224" s="1" t="str">
        <f t="shared" si="7"/>
        <v>#NAME?</v>
      </c>
      <c r="AD224" s="1" t="str">
        <f t="shared" si="8"/>
        <v>#NAME?</v>
      </c>
    </row>
    <row r="225" ht="14.25" customHeight="1">
      <c r="H225" s="1">
        <f t="shared" si="9"/>
        <v>220</v>
      </c>
      <c r="I225" s="1">
        <f>WEEKDAY('daily graphs'!K225)</f>
        <v>2</v>
      </c>
      <c r="J225" s="1">
        <f t="shared" si="2"/>
        <v>5</v>
      </c>
      <c r="K225" s="1">
        <f t="shared" si="3"/>
        <v>8</v>
      </c>
      <c r="L225" s="23">
        <f>'daily graphs'!K225 - I225</f>
        <v>36743</v>
      </c>
      <c r="M225" s="24">
        <f t="shared" si="4"/>
        <v>-1000000</v>
      </c>
      <c r="N225" s="24" t="str">
        <f t="array" ref="N225">IF(M225&gt;0,INDEX(big_daily_table,MATCH(DATE(O$5,$K225,$J225),daily_dates,0),MATCH($B$3,daily_items,0)),NA())</f>
        <v>#N/A</v>
      </c>
      <c r="O225" s="1" t="str">
        <f t="array" ref="O225">IF(M225&lt;0,INDEX(big_daily_table,MATCH(DATE(O$5,$K225,$J225),daily_dates,0),MATCH($B$3,daily_items,0)),NA())</f>
        <v>#N/A</v>
      </c>
      <c r="P225" s="1" t="str">
        <f t="array" ref="P225">IF(ISBLANK(INDEX(big_daily_table,MATCH(DATE(P$5,$K225,$J225),daily_dates,0),MATCH($B$3,daily_items,0))),NA(),INDEX(big_daily_table,MATCH(DATE(P$5,$K225,$J225),daily_dates,0),MATCH($B$3,daily_items,0)))</f>
        <v>#N/A</v>
      </c>
      <c r="Q225" s="1" t="str">
        <f t="array" ref="Q225">IF(ISBLANK(INDEX(big_daily_table,MATCH(DATE(Q$5,$K225,$J225),daily_dates,0),MATCH($B$3,daily_items,0))),NA(),INDEX(big_daily_table,MATCH(DATE(Q$5,$K225,$J225),daily_dates,0),MATCH($B$3,daily_items,0)))</f>
        <v>#N/A</v>
      </c>
      <c r="R225" s="1" t="str">
        <f t="array" ref="R225">IF(ISBLANK(INDEX(big_daily_table,MATCH(DATE(R$5,$K225,$J225),daily_dates,0),MATCH($B$3,daily_items,0))),NA(),INDEX(big_daily_table,MATCH(DATE(R$5,$K225,$J225),daily_dates,0),MATCH($B$3,daily_items,0)))</f>
        <v>#N/A</v>
      </c>
      <c r="S225" s="1" t="str">
        <f t="array" ref="S225">IF(ISBLANK(INDEX(big_daily_table,MATCH(DATE(S$5,$K225,$J225),daily_dates,0),MATCH($B$3,daily_items,0))),NA(),INDEX(big_daily_table,MATCH(DATE(S$5,$K225,$J225),daily_dates,0),MATCH($B$3,daily_items,0)))</f>
        <v>#N/A</v>
      </c>
      <c r="T225" s="1" t="str">
        <f t="array" ref="T225">IF(ISBLANK(INDEX(big_daily_table,MATCH(DATE(T$5,$K225,$J225),daily_dates,0),MATCH($B$3,daily_items,0))),NA(),INDEX(big_daily_table,MATCH(DATE(T$5,$K225,$J225),daily_dates,0),MATCH($B$3,daily_items,0)))</f>
        <v>#N/A</v>
      </c>
      <c r="U225" s="1" t="str">
        <f t="array" ref="U225">IF(ISBLANK(INDEX(big_daily_table,MATCH(DATE(U$5,$K225,$J225),daily_dates,0),MATCH($B$3,daily_items,0))),NA(),INDEX(big_daily_table,MATCH(DATE(U$5,$K225,$J225),daily_dates,0),MATCH($B$3,daily_items,0)))</f>
        <v>#N/A</v>
      </c>
      <c r="V225" s="1" t="str">
        <f t="array" ref="V225">IF(ISBLANK(INDEX(big_daily_table,MATCH(DATE(V$5,$K225,$J225),daily_dates,0),MATCH($B$3,daily_items,0))),NA(),INDEX(big_daily_table,MATCH(DATE(V$5,$K225,$J225),daily_dates,0),MATCH($B$3,daily_items,0)))</f>
        <v>#N/A</v>
      </c>
      <c r="W225" s="1" t="str">
        <f t="array" ref="W225">IF(ISBLANK(INDEX(big_daily_table,MATCH(DATE(W$5,$K225,$J225),daily_dates,0),MATCH($B$3,daily_items,0))),NA(),INDEX(big_daily_table,MATCH(DATE(W$5,$K225,$J225),daily_dates,0),MATCH($B$3,daily_items,0)))</f>
        <v>#N/A</v>
      </c>
      <c r="X225" s="1" t="str">
        <f t="array" ref="X225">IF(ISBLANK(INDEX(big_daily_table,MATCH(DATE(X$5,$K225,$J225),daily_dates,0),MATCH($B$3,daily_items,0))),NA(),INDEX(big_daily_table,MATCH(DATE(X$5,$K225,$J225),daily_dates,0),MATCH($B$3,daily_items,0)))</f>
        <v>#N/A</v>
      </c>
      <c r="Y225" s="1" t="str">
        <f t="array" ref="Y225">IF(ISBLANK(INDEX(big_daily_table,MATCH(DATE(Y$5,$K225,$J225),daily_dates,0),MATCH($B$3,daily_items,0))),NA(),INDEX(big_daily_table,MATCH(DATE(Y$5,$K225,$J225),daily_dates,0),MATCH($B$3,daily_items,0)))</f>
        <v>#N/A</v>
      </c>
      <c r="Z225" s="1" t="str">
        <f t="array" ref="Z225">IF(ISBLANK(INDEX(big_daily_table,MATCH(DATE(Z$5,$K225,$J225),daily_dates,0),MATCH($B$3,daily_items,0))),NA(),INDEX(big_daily_table,MATCH(DATE(Z$5,$K225,$J225),daily_dates,0),MATCH($B$3,daily_items,0)))</f>
        <v>#N/A</v>
      </c>
      <c r="AA225" s="1" t="str">
        <f t="shared" si="5"/>
        <v>#NAME?</v>
      </c>
      <c r="AB225" s="1" t="str">
        <f t="shared" si="6"/>
        <v>#NAME?</v>
      </c>
      <c r="AC225" s="1" t="str">
        <f t="shared" si="7"/>
        <v>#NAME?</v>
      </c>
      <c r="AD225" s="1" t="str">
        <f t="shared" si="8"/>
        <v>#NAME?</v>
      </c>
    </row>
    <row r="226" ht="14.25" customHeight="1">
      <c r="H226" s="1">
        <f t="shared" si="9"/>
        <v>221</v>
      </c>
      <c r="I226" s="1">
        <f>WEEKDAY('daily graphs'!K226)</f>
        <v>3</v>
      </c>
      <c r="J226" s="1">
        <f t="shared" si="2"/>
        <v>5</v>
      </c>
      <c r="K226" s="1">
        <f t="shared" si="3"/>
        <v>8</v>
      </c>
      <c r="L226" s="23">
        <f>'daily graphs'!K226 - I226</f>
        <v>36743</v>
      </c>
      <c r="M226" s="24">
        <f t="shared" si="4"/>
        <v>-1000000</v>
      </c>
      <c r="N226" s="24" t="str">
        <f t="array" ref="N226">IF(M226&gt;0,INDEX(big_daily_table,MATCH(DATE(O$5,$K226,$J226),daily_dates,0),MATCH($B$3,daily_items,0)),NA())</f>
        <v>#N/A</v>
      </c>
      <c r="O226" s="1" t="str">
        <f t="array" ref="O226">IF(M226&lt;0,INDEX(big_daily_table,MATCH(DATE(O$5,$K226,$J226),daily_dates,0),MATCH($B$3,daily_items,0)),NA())</f>
        <v>#N/A</v>
      </c>
      <c r="P226" s="1" t="str">
        <f t="array" ref="P226">IF(ISBLANK(INDEX(big_daily_table,MATCH(DATE(P$5,$K226,$J226),daily_dates,0),MATCH($B$3,daily_items,0))),NA(),INDEX(big_daily_table,MATCH(DATE(P$5,$K226,$J226),daily_dates,0),MATCH($B$3,daily_items,0)))</f>
        <v>#N/A</v>
      </c>
      <c r="Q226" s="1" t="str">
        <f t="array" ref="Q226">IF(ISBLANK(INDEX(big_daily_table,MATCH(DATE(Q$5,$K226,$J226),daily_dates,0),MATCH($B$3,daily_items,0))),NA(),INDEX(big_daily_table,MATCH(DATE(Q$5,$K226,$J226),daily_dates,0),MATCH($B$3,daily_items,0)))</f>
        <v>#N/A</v>
      </c>
      <c r="R226" s="1" t="str">
        <f t="array" ref="R226">IF(ISBLANK(INDEX(big_daily_table,MATCH(DATE(R$5,$K226,$J226),daily_dates,0),MATCH($B$3,daily_items,0))),NA(),INDEX(big_daily_table,MATCH(DATE(R$5,$K226,$J226),daily_dates,0),MATCH($B$3,daily_items,0)))</f>
        <v>#N/A</v>
      </c>
      <c r="S226" s="1" t="str">
        <f t="array" ref="S226">IF(ISBLANK(INDEX(big_daily_table,MATCH(DATE(S$5,$K226,$J226),daily_dates,0),MATCH($B$3,daily_items,0))),NA(),INDEX(big_daily_table,MATCH(DATE(S$5,$K226,$J226),daily_dates,0),MATCH($B$3,daily_items,0)))</f>
        <v>#N/A</v>
      </c>
      <c r="T226" s="1" t="str">
        <f t="array" ref="T226">IF(ISBLANK(INDEX(big_daily_table,MATCH(DATE(T$5,$K226,$J226),daily_dates,0),MATCH($B$3,daily_items,0))),NA(),INDEX(big_daily_table,MATCH(DATE(T$5,$K226,$J226),daily_dates,0),MATCH($B$3,daily_items,0)))</f>
        <v>#N/A</v>
      </c>
      <c r="U226" s="1" t="str">
        <f t="array" ref="U226">IF(ISBLANK(INDEX(big_daily_table,MATCH(DATE(U$5,$K226,$J226),daily_dates,0),MATCH($B$3,daily_items,0))),NA(),INDEX(big_daily_table,MATCH(DATE(U$5,$K226,$J226),daily_dates,0),MATCH($B$3,daily_items,0)))</f>
        <v>#N/A</v>
      </c>
      <c r="V226" s="1" t="str">
        <f t="array" ref="V226">IF(ISBLANK(INDEX(big_daily_table,MATCH(DATE(V$5,$K226,$J226),daily_dates,0),MATCH($B$3,daily_items,0))),NA(),INDEX(big_daily_table,MATCH(DATE(V$5,$K226,$J226),daily_dates,0),MATCH($B$3,daily_items,0)))</f>
        <v>#N/A</v>
      </c>
      <c r="W226" s="1" t="str">
        <f t="array" ref="W226">IF(ISBLANK(INDEX(big_daily_table,MATCH(DATE(W$5,$K226,$J226),daily_dates,0),MATCH($B$3,daily_items,0))),NA(),INDEX(big_daily_table,MATCH(DATE(W$5,$K226,$J226),daily_dates,0),MATCH($B$3,daily_items,0)))</f>
        <v>#N/A</v>
      </c>
      <c r="X226" s="1" t="str">
        <f t="array" ref="X226">IF(ISBLANK(INDEX(big_daily_table,MATCH(DATE(X$5,$K226,$J226),daily_dates,0),MATCH($B$3,daily_items,0))),NA(),INDEX(big_daily_table,MATCH(DATE(X$5,$K226,$J226),daily_dates,0),MATCH($B$3,daily_items,0)))</f>
        <v>#N/A</v>
      </c>
      <c r="Y226" s="1" t="str">
        <f t="array" ref="Y226">IF(ISBLANK(INDEX(big_daily_table,MATCH(DATE(Y$5,$K226,$J226),daily_dates,0),MATCH($B$3,daily_items,0))),NA(),INDEX(big_daily_table,MATCH(DATE(Y$5,$K226,$J226),daily_dates,0),MATCH($B$3,daily_items,0)))</f>
        <v>#N/A</v>
      </c>
      <c r="Z226" s="1" t="str">
        <f t="array" ref="Z226">IF(ISBLANK(INDEX(big_daily_table,MATCH(DATE(Z$5,$K226,$J226),daily_dates,0),MATCH($B$3,daily_items,0))),NA(),INDEX(big_daily_table,MATCH(DATE(Z$5,$K226,$J226),daily_dates,0),MATCH($B$3,daily_items,0)))</f>
        <v>#N/A</v>
      </c>
      <c r="AA226" s="1" t="str">
        <f t="shared" si="5"/>
        <v>#NAME?</v>
      </c>
      <c r="AB226" s="1" t="str">
        <f t="shared" si="6"/>
        <v>#NAME?</v>
      </c>
      <c r="AC226" s="1" t="str">
        <f t="shared" si="7"/>
        <v>#NAME?</v>
      </c>
      <c r="AD226" s="1" t="str">
        <f t="shared" si="8"/>
        <v>#NAME?</v>
      </c>
    </row>
    <row r="227" ht="14.25" customHeight="1">
      <c r="H227" s="1">
        <f t="shared" si="9"/>
        <v>222</v>
      </c>
      <c r="I227" s="1">
        <f>WEEKDAY('daily graphs'!K227)</f>
        <v>4</v>
      </c>
      <c r="J227" s="1">
        <f t="shared" si="2"/>
        <v>5</v>
      </c>
      <c r="K227" s="1">
        <f t="shared" si="3"/>
        <v>8</v>
      </c>
      <c r="L227" s="23">
        <f>'daily graphs'!K227 - I227</f>
        <v>36743</v>
      </c>
      <c r="M227" s="24">
        <f t="shared" si="4"/>
        <v>-1000000</v>
      </c>
      <c r="N227" s="24" t="str">
        <f t="array" ref="N227">IF(M227&gt;0,INDEX(big_daily_table,MATCH(DATE(O$5,$K227,$J227),daily_dates,0),MATCH($B$3,daily_items,0)),NA())</f>
        <v>#N/A</v>
      </c>
      <c r="O227" s="1" t="str">
        <f t="array" ref="O227">IF(M227&lt;0,INDEX(big_daily_table,MATCH(DATE(O$5,$K227,$J227),daily_dates,0),MATCH($B$3,daily_items,0)),NA())</f>
        <v>#N/A</v>
      </c>
      <c r="P227" s="1" t="str">
        <f t="array" ref="P227">IF(ISBLANK(INDEX(big_daily_table,MATCH(DATE(P$5,$K227,$J227),daily_dates,0),MATCH($B$3,daily_items,0))),NA(),INDEX(big_daily_table,MATCH(DATE(P$5,$K227,$J227),daily_dates,0),MATCH($B$3,daily_items,0)))</f>
        <v>#N/A</v>
      </c>
      <c r="Q227" s="1" t="str">
        <f t="array" ref="Q227">IF(ISBLANK(INDEX(big_daily_table,MATCH(DATE(Q$5,$K227,$J227),daily_dates,0),MATCH($B$3,daily_items,0))),NA(),INDEX(big_daily_table,MATCH(DATE(Q$5,$K227,$J227),daily_dates,0),MATCH($B$3,daily_items,0)))</f>
        <v>#N/A</v>
      </c>
      <c r="R227" s="1" t="str">
        <f t="array" ref="R227">IF(ISBLANK(INDEX(big_daily_table,MATCH(DATE(R$5,$K227,$J227),daily_dates,0),MATCH($B$3,daily_items,0))),NA(),INDEX(big_daily_table,MATCH(DATE(R$5,$K227,$J227),daily_dates,0),MATCH($B$3,daily_items,0)))</f>
        <v>#N/A</v>
      </c>
      <c r="S227" s="1" t="str">
        <f t="array" ref="S227">IF(ISBLANK(INDEX(big_daily_table,MATCH(DATE(S$5,$K227,$J227),daily_dates,0),MATCH($B$3,daily_items,0))),NA(),INDEX(big_daily_table,MATCH(DATE(S$5,$K227,$J227),daily_dates,0),MATCH($B$3,daily_items,0)))</f>
        <v>#N/A</v>
      </c>
      <c r="T227" s="1" t="str">
        <f t="array" ref="T227">IF(ISBLANK(INDEX(big_daily_table,MATCH(DATE(T$5,$K227,$J227),daily_dates,0),MATCH($B$3,daily_items,0))),NA(),INDEX(big_daily_table,MATCH(DATE(T$5,$K227,$J227),daily_dates,0),MATCH($B$3,daily_items,0)))</f>
        <v>#N/A</v>
      </c>
      <c r="U227" s="1" t="str">
        <f t="array" ref="U227">IF(ISBLANK(INDEX(big_daily_table,MATCH(DATE(U$5,$K227,$J227),daily_dates,0),MATCH($B$3,daily_items,0))),NA(),INDEX(big_daily_table,MATCH(DATE(U$5,$K227,$J227),daily_dates,0),MATCH($B$3,daily_items,0)))</f>
        <v>#N/A</v>
      </c>
      <c r="V227" s="1" t="str">
        <f t="array" ref="V227">IF(ISBLANK(INDEX(big_daily_table,MATCH(DATE(V$5,$K227,$J227),daily_dates,0),MATCH($B$3,daily_items,0))),NA(),INDEX(big_daily_table,MATCH(DATE(V$5,$K227,$J227),daily_dates,0),MATCH($B$3,daily_items,0)))</f>
        <v>#N/A</v>
      </c>
      <c r="W227" s="1" t="str">
        <f t="array" ref="W227">IF(ISBLANK(INDEX(big_daily_table,MATCH(DATE(W$5,$K227,$J227),daily_dates,0),MATCH($B$3,daily_items,0))),NA(),INDEX(big_daily_table,MATCH(DATE(W$5,$K227,$J227),daily_dates,0),MATCH($B$3,daily_items,0)))</f>
        <v>#N/A</v>
      </c>
      <c r="X227" s="1" t="str">
        <f t="array" ref="X227">IF(ISBLANK(INDEX(big_daily_table,MATCH(DATE(X$5,$K227,$J227),daily_dates,0),MATCH($B$3,daily_items,0))),NA(),INDEX(big_daily_table,MATCH(DATE(X$5,$K227,$J227),daily_dates,0),MATCH($B$3,daily_items,0)))</f>
        <v>#N/A</v>
      </c>
      <c r="Y227" s="1" t="str">
        <f t="array" ref="Y227">IF(ISBLANK(INDEX(big_daily_table,MATCH(DATE(Y$5,$K227,$J227),daily_dates,0),MATCH($B$3,daily_items,0))),NA(),INDEX(big_daily_table,MATCH(DATE(Y$5,$K227,$J227),daily_dates,0),MATCH($B$3,daily_items,0)))</f>
        <v>#N/A</v>
      </c>
      <c r="Z227" s="1" t="str">
        <f t="array" ref="Z227">IF(ISBLANK(INDEX(big_daily_table,MATCH(DATE(Z$5,$K227,$J227),daily_dates,0),MATCH($B$3,daily_items,0))),NA(),INDEX(big_daily_table,MATCH(DATE(Z$5,$K227,$J227),daily_dates,0),MATCH($B$3,daily_items,0)))</f>
        <v>#N/A</v>
      </c>
      <c r="AA227" s="1" t="str">
        <f t="shared" si="5"/>
        <v>#NAME?</v>
      </c>
      <c r="AB227" s="1" t="str">
        <f t="shared" si="6"/>
        <v>#NAME?</v>
      </c>
      <c r="AC227" s="1" t="str">
        <f t="shared" si="7"/>
        <v>#NAME?</v>
      </c>
      <c r="AD227" s="1" t="str">
        <f t="shared" si="8"/>
        <v>#NAME?</v>
      </c>
    </row>
    <row r="228" ht="14.25" customHeight="1">
      <c r="H228" s="1">
        <f t="shared" si="9"/>
        <v>223</v>
      </c>
      <c r="I228" s="1">
        <f>WEEKDAY('daily graphs'!K228)</f>
        <v>5</v>
      </c>
      <c r="J228" s="1">
        <f t="shared" si="2"/>
        <v>5</v>
      </c>
      <c r="K228" s="1">
        <f t="shared" si="3"/>
        <v>8</v>
      </c>
      <c r="L228" s="23">
        <f>'daily graphs'!K228 - I228</f>
        <v>36743</v>
      </c>
      <c r="M228" s="24">
        <f t="shared" si="4"/>
        <v>-1000000</v>
      </c>
      <c r="N228" s="24" t="str">
        <f t="array" ref="N228">IF(M228&gt;0,INDEX(big_daily_table,MATCH(DATE(O$5,$K228,$J228),daily_dates,0),MATCH($B$3,daily_items,0)),NA())</f>
        <v>#N/A</v>
      </c>
      <c r="O228" s="1" t="str">
        <f t="array" ref="O228">IF(M228&lt;0,INDEX(big_daily_table,MATCH(DATE(O$5,$K228,$J228),daily_dates,0),MATCH($B$3,daily_items,0)),NA())</f>
        <v>#N/A</v>
      </c>
      <c r="P228" s="1" t="str">
        <f t="array" ref="P228">IF(ISBLANK(INDEX(big_daily_table,MATCH(DATE(P$5,$K228,$J228),daily_dates,0),MATCH($B$3,daily_items,0))),NA(),INDEX(big_daily_table,MATCH(DATE(P$5,$K228,$J228),daily_dates,0),MATCH($B$3,daily_items,0)))</f>
        <v>#N/A</v>
      </c>
      <c r="Q228" s="1" t="str">
        <f t="array" ref="Q228">IF(ISBLANK(INDEX(big_daily_table,MATCH(DATE(Q$5,$K228,$J228),daily_dates,0),MATCH($B$3,daily_items,0))),NA(),INDEX(big_daily_table,MATCH(DATE(Q$5,$K228,$J228),daily_dates,0),MATCH($B$3,daily_items,0)))</f>
        <v>#N/A</v>
      </c>
      <c r="R228" s="1" t="str">
        <f t="array" ref="R228">IF(ISBLANK(INDEX(big_daily_table,MATCH(DATE(R$5,$K228,$J228),daily_dates,0),MATCH($B$3,daily_items,0))),NA(),INDEX(big_daily_table,MATCH(DATE(R$5,$K228,$J228),daily_dates,0),MATCH($B$3,daily_items,0)))</f>
        <v>#N/A</v>
      </c>
      <c r="S228" s="1" t="str">
        <f t="array" ref="S228">IF(ISBLANK(INDEX(big_daily_table,MATCH(DATE(S$5,$K228,$J228),daily_dates,0),MATCH($B$3,daily_items,0))),NA(),INDEX(big_daily_table,MATCH(DATE(S$5,$K228,$J228),daily_dates,0),MATCH($B$3,daily_items,0)))</f>
        <v>#N/A</v>
      </c>
      <c r="T228" s="1" t="str">
        <f t="array" ref="T228">IF(ISBLANK(INDEX(big_daily_table,MATCH(DATE(T$5,$K228,$J228),daily_dates,0),MATCH($B$3,daily_items,0))),NA(),INDEX(big_daily_table,MATCH(DATE(T$5,$K228,$J228),daily_dates,0),MATCH($B$3,daily_items,0)))</f>
        <v>#N/A</v>
      </c>
      <c r="U228" s="1" t="str">
        <f t="array" ref="U228">IF(ISBLANK(INDEX(big_daily_table,MATCH(DATE(U$5,$K228,$J228),daily_dates,0),MATCH($B$3,daily_items,0))),NA(),INDEX(big_daily_table,MATCH(DATE(U$5,$K228,$J228),daily_dates,0),MATCH($B$3,daily_items,0)))</f>
        <v>#N/A</v>
      </c>
      <c r="V228" s="1" t="str">
        <f t="array" ref="V228">IF(ISBLANK(INDEX(big_daily_table,MATCH(DATE(V$5,$K228,$J228),daily_dates,0),MATCH($B$3,daily_items,0))),NA(),INDEX(big_daily_table,MATCH(DATE(V$5,$K228,$J228),daily_dates,0),MATCH($B$3,daily_items,0)))</f>
        <v>#N/A</v>
      </c>
      <c r="W228" s="1" t="str">
        <f t="array" ref="W228">IF(ISBLANK(INDEX(big_daily_table,MATCH(DATE(W$5,$K228,$J228),daily_dates,0),MATCH($B$3,daily_items,0))),NA(),INDEX(big_daily_table,MATCH(DATE(W$5,$K228,$J228),daily_dates,0),MATCH($B$3,daily_items,0)))</f>
        <v>#N/A</v>
      </c>
      <c r="X228" s="1" t="str">
        <f t="array" ref="X228">IF(ISBLANK(INDEX(big_daily_table,MATCH(DATE(X$5,$K228,$J228),daily_dates,0),MATCH($B$3,daily_items,0))),NA(),INDEX(big_daily_table,MATCH(DATE(X$5,$K228,$J228),daily_dates,0),MATCH($B$3,daily_items,0)))</f>
        <v>#N/A</v>
      </c>
      <c r="Y228" s="1" t="str">
        <f t="array" ref="Y228">IF(ISBLANK(INDEX(big_daily_table,MATCH(DATE(Y$5,$K228,$J228),daily_dates,0),MATCH($B$3,daily_items,0))),NA(),INDEX(big_daily_table,MATCH(DATE(Y$5,$K228,$J228),daily_dates,0),MATCH($B$3,daily_items,0)))</f>
        <v>#N/A</v>
      </c>
      <c r="Z228" s="1" t="str">
        <f t="array" ref="Z228">IF(ISBLANK(INDEX(big_daily_table,MATCH(DATE(Z$5,$K228,$J228),daily_dates,0),MATCH($B$3,daily_items,0))),NA(),INDEX(big_daily_table,MATCH(DATE(Z$5,$K228,$J228),daily_dates,0),MATCH($B$3,daily_items,0)))</f>
        <v>#N/A</v>
      </c>
      <c r="AA228" s="1" t="str">
        <f t="shared" si="5"/>
        <v>#NAME?</v>
      </c>
      <c r="AB228" s="1" t="str">
        <f t="shared" si="6"/>
        <v>#NAME?</v>
      </c>
      <c r="AC228" s="1" t="str">
        <f t="shared" si="7"/>
        <v>#NAME?</v>
      </c>
      <c r="AD228" s="1" t="str">
        <f t="shared" si="8"/>
        <v>#NAME?</v>
      </c>
    </row>
    <row r="229" ht="14.25" customHeight="1">
      <c r="H229" s="1">
        <f t="shared" si="9"/>
        <v>224</v>
      </c>
      <c r="I229" s="1">
        <f>WEEKDAY('daily graphs'!K229)</f>
        <v>6</v>
      </c>
      <c r="J229" s="1">
        <f t="shared" si="2"/>
        <v>5</v>
      </c>
      <c r="K229" s="1">
        <f t="shared" si="3"/>
        <v>8</v>
      </c>
      <c r="L229" s="23">
        <f>'daily graphs'!K229 - I229</f>
        <v>36743</v>
      </c>
      <c r="M229" s="24">
        <f t="shared" si="4"/>
        <v>-1000000</v>
      </c>
      <c r="N229" s="24" t="str">
        <f t="array" ref="N229">IF(M229&gt;0,INDEX(big_daily_table,MATCH(DATE(O$5,$K229,$J229),daily_dates,0),MATCH($B$3,daily_items,0)),NA())</f>
        <v>#N/A</v>
      </c>
      <c r="O229" s="1" t="str">
        <f t="array" ref="O229">IF(M229&lt;0,INDEX(big_daily_table,MATCH(DATE(O$5,$K229,$J229),daily_dates,0),MATCH($B$3,daily_items,0)),NA())</f>
        <v>#N/A</v>
      </c>
      <c r="P229" s="1" t="str">
        <f t="array" ref="P229">IF(ISBLANK(INDEX(big_daily_table,MATCH(DATE(P$5,$K229,$J229),daily_dates,0),MATCH($B$3,daily_items,0))),NA(),INDEX(big_daily_table,MATCH(DATE(P$5,$K229,$J229),daily_dates,0),MATCH($B$3,daily_items,0)))</f>
        <v>#N/A</v>
      </c>
      <c r="Q229" s="1" t="str">
        <f t="array" ref="Q229">IF(ISBLANK(INDEX(big_daily_table,MATCH(DATE(Q$5,$K229,$J229),daily_dates,0),MATCH($B$3,daily_items,0))),NA(),INDEX(big_daily_table,MATCH(DATE(Q$5,$K229,$J229),daily_dates,0),MATCH($B$3,daily_items,0)))</f>
        <v>#N/A</v>
      </c>
      <c r="R229" s="1" t="str">
        <f t="array" ref="R229">IF(ISBLANK(INDEX(big_daily_table,MATCH(DATE(R$5,$K229,$J229),daily_dates,0),MATCH($B$3,daily_items,0))),NA(),INDEX(big_daily_table,MATCH(DATE(R$5,$K229,$J229),daily_dates,0),MATCH($B$3,daily_items,0)))</f>
        <v>#N/A</v>
      </c>
      <c r="S229" s="1" t="str">
        <f t="array" ref="S229">IF(ISBLANK(INDEX(big_daily_table,MATCH(DATE(S$5,$K229,$J229),daily_dates,0),MATCH($B$3,daily_items,0))),NA(),INDEX(big_daily_table,MATCH(DATE(S$5,$K229,$J229),daily_dates,0),MATCH($B$3,daily_items,0)))</f>
        <v>#N/A</v>
      </c>
      <c r="T229" s="1" t="str">
        <f t="array" ref="T229">IF(ISBLANK(INDEX(big_daily_table,MATCH(DATE(T$5,$K229,$J229),daily_dates,0),MATCH($B$3,daily_items,0))),NA(),INDEX(big_daily_table,MATCH(DATE(T$5,$K229,$J229),daily_dates,0),MATCH($B$3,daily_items,0)))</f>
        <v>#N/A</v>
      </c>
      <c r="U229" s="1" t="str">
        <f t="array" ref="U229">IF(ISBLANK(INDEX(big_daily_table,MATCH(DATE(U$5,$K229,$J229),daily_dates,0),MATCH($B$3,daily_items,0))),NA(),INDEX(big_daily_table,MATCH(DATE(U$5,$K229,$J229),daily_dates,0),MATCH($B$3,daily_items,0)))</f>
        <v>#N/A</v>
      </c>
      <c r="V229" s="1" t="str">
        <f t="array" ref="V229">IF(ISBLANK(INDEX(big_daily_table,MATCH(DATE(V$5,$K229,$J229),daily_dates,0),MATCH($B$3,daily_items,0))),NA(),INDEX(big_daily_table,MATCH(DATE(V$5,$K229,$J229),daily_dates,0),MATCH($B$3,daily_items,0)))</f>
        <v>#N/A</v>
      </c>
      <c r="W229" s="1" t="str">
        <f t="array" ref="W229">IF(ISBLANK(INDEX(big_daily_table,MATCH(DATE(W$5,$K229,$J229),daily_dates,0),MATCH($B$3,daily_items,0))),NA(),INDEX(big_daily_table,MATCH(DATE(W$5,$K229,$J229),daily_dates,0),MATCH($B$3,daily_items,0)))</f>
        <v>#N/A</v>
      </c>
      <c r="X229" s="1" t="str">
        <f t="array" ref="X229">IF(ISBLANK(INDEX(big_daily_table,MATCH(DATE(X$5,$K229,$J229),daily_dates,0),MATCH($B$3,daily_items,0))),NA(),INDEX(big_daily_table,MATCH(DATE(X$5,$K229,$J229),daily_dates,0),MATCH($B$3,daily_items,0)))</f>
        <v>#N/A</v>
      </c>
      <c r="Y229" s="1" t="str">
        <f t="array" ref="Y229">IF(ISBLANK(INDEX(big_daily_table,MATCH(DATE(Y$5,$K229,$J229),daily_dates,0),MATCH($B$3,daily_items,0))),NA(),INDEX(big_daily_table,MATCH(DATE(Y$5,$K229,$J229),daily_dates,0),MATCH($B$3,daily_items,0)))</f>
        <v>#N/A</v>
      </c>
      <c r="Z229" s="1" t="str">
        <f t="array" ref="Z229">IF(ISBLANK(INDEX(big_daily_table,MATCH(DATE(Z$5,$K229,$J229),daily_dates,0),MATCH($B$3,daily_items,0))),NA(),INDEX(big_daily_table,MATCH(DATE(Z$5,$K229,$J229),daily_dates,0),MATCH($B$3,daily_items,0)))</f>
        <v>#N/A</v>
      </c>
      <c r="AA229" s="1" t="str">
        <f t="shared" si="5"/>
        <v>#NAME?</v>
      </c>
      <c r="AB229" s="1" t="str">
        <f t="shared" si="6"/>
        <v>#NAME?</v>
      </c>
      <c r="AC229" s="1" t="str">
        <f t="shared" si="7"/>
        <v>#NAME?</v>
      </c>
      <c r="AD229" s="1" t="str">
        <f t="shared" si="8"/>
        <v>#NAME?</v>
      </c>
    </row>
    <row r="230" ht="14.25" customHeight="1">
      <c r="H230" s="1">
        <f t="shared" si="9"/>
        <v>225</v>
      </c>
      <c r="I230" s="1">
        <f>WEEKDAY('daily graphs'!K230)</f>
        <v>7</v>
      </c>
      <c r="J230" s="1">
        <f t="shared" si="2"/>
        <v>5</v>
      </c>
      <c r="K230" s="1">
        <f t="shared" si="3"/>
        <v>8</v>
      </c>
      <c r="L230" s="23">
        <f>'daily graphs'!K230 - I230</f>
        <v>36743</v>
      </c>
      <c r="M230" s="24">
        <f t="shared" si="4"/>
        <v>-1000000</v>
      </c>
      <c r="N230" s="24" t="str">
        <f t="array" ref="N230">IF(M230&gt;0,INDEX(big_daily_table,MATCH(DATE(O$5,$K230,$J230),daily_dates,0),MATCH($B$3,daily_items,0)),NA())</f>
        <v>#N/A</v>
      </c>
      <c r="O230" s="1" t="str">
        <f t="array" ref="O230">IF(M230&lt;0,INDEX(big_daily_table,MATCH(DATE(O$5,$K230,$J230),daily_dates,0),MATCH($B$3,daily_items,0)),NA())</f>
        <v>#N/A</v>
      </c>
      <c r="P230" s="1" t="str">
        <f t="array" ref="P230">IF(ISBLANK(INDEX(big_daily_table,MATCH(DATE(P$5,$K230,$J230),daily_dates,0),MATCH($B$3,daily_items,0))),NA(),INDEX(big_daily_table,MATCH(DATE(P$5,$K230,$J230),daily_dates,0),MATCH($B$3,daily_items,0)))</f>
        <v>#N/A</v>
      </c>
      <c r="Q230" s="1" t="str">
        <f t="array" ref="Q230">IF(ISBLANK(INDEX(big_daily_table,MATCH(DATE(Q$5,$K230,$J230),daily_dates,0),MATCH($B$3,daily_items,0))),NA(),INDEX(big_daily_table,MATCH(DATE(Q$5,$K230,$J230),daily_dates,0),MATCH($B$3,daily_items,0)))</f>
        <v>#N/A</v>
      </c>
      <c r="R230" s="1" t="str">
        <f t="array" ref="R230">IF(ISBLANK(INDEX(big_daily_table,MATCH(DATE(R$5,$K230,$J230),daily_dates,0),MATCH($B$3,daily_items,0))),NA(),INDEX(big_daily_table,MATCH(DATE(R$5,$K230,$J230),daily_dates,0),MATCH($B$3,daily_items,0)))</f>
        <v>#N/A</v>
      </c>
      <c r="S230" s="1" t="str">
        <f t="array" ref="S230">IF(ISBLANK(INDEX(big_daily_table,MATCH(DATE(S$5,$K230,$J230),daily_dates,0),MATCH($B$3,daily_items,0))),NA(),INDEX(big_daily_table,MATCH(DATE(S$5,$K230,$J230),daily_dates,0),MATCH($B$3,daily_items,0)))</f>
        <v>#N/A</v>
      </c>
      <c r="T230" s="1" t="str">
        <f t="array" ref="T230">IF(ISBLANK(INDEX(big_daily_table,MATCH(DATE(T$5,$K230,$J230),daily_dates,0),MATCH($B$3,daily_items,0))),NA(),INDEX(big_daily_table,MATCH(DATE(T$5,$K230,$J230),daily_dates,0),MATCH($B$3,daily_items,0)))</f>
        <v>#N/A</v>
      </c>
      <c r="U230" s="1" t="str">
        <f t="array" ref="U230">IF(ISBLANK(INDEX(big_daily_table,MATCH(DATE(U$5,$K230,$J230),daily_dates,0),MATCH($B$3,daily_items,0))),NA(),INDEX(big_daily_table,MATCH(DATE(U$5,$K230,$J230),daily_dates,0),MATCH($B$3,daily_items,0)))</f>
        <v>#N/A</v>
      </c>
      <c r="V230" s="1" t="str">
        <f t="array" ref="V230">IF(ISBLANK(INDEX(big_daily_table,MATCH(DATE(V$5,$K230,$J230),daily_dates,0),MATCH($B$3,daily_items,0))),NA(),INDEX(big_daily_table,MATCH(DATE(V$5,$K230,$J230),daily_dates,0),MATCH($B$3,daily_items,0)))</f>
        <v>#N/A</v>
      </c>
      <c r="W230" s="1" t="str">
        <f t="array" ref="W230">IF(ISBLANK(INDEX(big_daily_table,MATCH(DATE(W$5,$K230,$J230),daily_dates,0),MATCH($B$3,daily_items,0))),NA(),INDEX(big_daily_table,MATCH(DATE(W$5,$K230,$J230),daily_dates,0),MATCH($B$3,daily_items,0)))</f>
        <v>#N/A</v>
      </c>
      <c r="X230" s="1" t="str">
        <f t="array" ref="X230">IF(ISBLANK(INDEX(big_daily_table,MATCH(DATE(X$5,$K230,$J230),daily_dates,0),MATCH($B$3,daily_items,0))),NA(),INDEX(big_daily_table,MATCH(DATE(X$5,$K230,$J230),daily_dates,0),MATCH($B$3,daily_items,0)))</f>
        <v>#N/A</v>
      </c>
      <c r="Y230" s="1" t="str">
        <f t="array" ref="Y230">IF(ISBLANK(INDEX(big_daily_table,MATCH(DATE(Y$5,$K230,$J230),daily_dates,0),MATCH($B$3,daily_items,0))),NA(),INDEX(big_daily_table,MATCH(DATE(Y$5,$K230,$J230),daily_dates,0),MATCH($B$3,daily_items,0)))</f>
        <v>#N/A</v>
      </c>
      <c r="Z230" s="1" t="str">
        <f t="array" ref="Z230">IF(ISBLANK(INDEX(big_daily_table,MATCH(DATE(Z$5,$K230,$J230),daily_dates,0),MATCH($B$3,daily_items,0))),NA(),INDEX(big_daily_table,MATCH(DATE(Z$5,$K230,$J230),daily_dates,0),MATCH($B$3,daily_items,0)))</f>
        <v>#N/A</v>
      </c>
      <c r="AA230" s="1" t="str">
        <f t="shared" si="5"/>
        <v>#NAME?</v>
      </c>
      <c r="AB230" s="1" t="str">
        <f t="shared" si="6"/>
        <v>#NAME?</v>
      </c>
      <c r="AC230" s="1" t="str">
        <f t="shared" si="7"/>
        <v>#NAME?</v>
      </c>
      <c r="AD230" s="1" t="str">
        <f t="shared" si="8"/>
        <v>#NAME?</v>
      </c>
    </row>
    <row r="231" ht="14.25" customHeight="1">
      <c r="H231" s="1">
        <f t="shared" si="9"/>
        <v>226</v>
      </c>
      <c r="I231" s="1">
        <f>WEEKDAY('daily graphs'!K231)</f>
        <v>1</v>
      </c>
      <c r="J231" s="1">
        <f t="shared" si="2"/>
        <v>12</v>
      </c>
      <c r="K231" s="1">
        <f t="shared" si="3"/>
        <v>8</v>
      </c>
      <c r="L231" s="23">
        <f>'daily graphs'!K231 - I231</f>
        <v>36750</v>
      </c>
      <c r="M231" s="24">
        <f t="shared" si="4"/>
        <v>-1000000</v>
      </c>
      <c r="N231" s="24" t="str">
        <f t="array" ref="N231">IF(M231&gt;0,INDEX(big_daily_table,MATCH(DATE(O$5,$K231,$J231),daily_dates,0),MATCH($B$3,daily_items,0)),NA())</f>
        <v>#N/A</v>
      </c>
      <c r="O231" s="1" t="str">
        <f t="array" ref="O231">IF(M231&lt;0,INDEX(big_daily_table,MATCH(DATE(O$5,$K231,$J231),daily_dates,0),MATCH($B$3,daily_items,0)),NA())</f>
        <v>#N/A</v>
      </c>
      <c r="P231" s="1" t="str">
        <f t="array" ref="P231">IF(ISBLANK(INDEX(big_daily_table,MATCH(DATE(P$5,$K231,$J231),daily_dates,0),MATCH($B$3,daily_items,0))),NA(),INDEX(big_daily_table,MATCH(DATE(P$5,$K231,$J231),daily_dates,0),MATCH($B$3,daily_items,0)))</f>
        <v>#N/A</v>
      </c>
      <c r="Q231" s="1" t="str">
        <f t="array" ref="Q231">IF(ISBLANK(INDEX(big_daily_table,MATCH(DATE(Q$5,$K231,$J231),daily_dates,0),MATCH($B$3,daily_items,0))),NA(),INDEX(big_daily_table,MATCH(DATE(Q$5,$K231,$J231),daily_dates,0),MATCH($B$3,daily_items,0)))</f>
        <v>#N/A</v>
      </c>
      <c r="R231" s="1" t="str">
        <f t="array" ref="R231">IF(ISBLANK(INDEX(big_daily_table,MATCH(DATE(R$5,$K231,$J231),daily_dates,0),MATCH($B$3,daily_items,0))),NA(),INDEX(big_daily_table,MATCH(DATE(R$5,$K231,$J231),daily_dates,0),MATCH($B$3,daily_items,0)))</f>
        <v>#N/A</v>
      </c>
      <c r="S231" s="1" t="str">
        <f t="array" ref="S231">IF(ISBLANK(INDEX(big_daily_table,MATCH(DATE(S$5,$K231,$J231),daily_dates,0),MATCH($B$3,daily_items,0))),NA(),INDEX(big_daily_table,MATCH(DATE(S$5,$K231,$J231),daily_dates,0),MATCH($B$3,daily_items,0)))</f>
        <v>#N/A</v>
      </c>
      <c r="T231" s="1" t="str">
        <f t="array" ref="T231">IF(ISBLANK(INDEX(big_daily_table,MATCH(DATE(T$5,$K231,$J231),daily_dates,0),MATCH($B$3,daily_items,0))),NA(),INDEX(big_daily_table,MATCH(DATE(T$5,$K231,$J231),daily_dates,0),MATCH($B$3,daily_items,0)))</f>
        <v>#N/A</v>
      </c>
      <c r="U231" s="1" t="str">
        <f t="array" ref="U231">IF(ISBLANK(INDEX(big_daily_table,MATCH(DATE(U$5,$K231,$J231),daily_dates,0),MATCH($B$3,daily_items,0))),NA(),INDEX(big_daily_table,MATCH(DATE(U$5,$K231,$J231),daily_dates,0),MATCH($B$3,daily_items,0)))</f>
        <v>#N/A</v>
      </c>
      <c r="V231" s="1" t="str">
        <f t="array" ref="V231">IF(ISBLANK(INDEX(big_daily_table,MATCH(DATE(V$5,$K231,$J231),daily_dates,0),MATCH($B$3,daily_items,0))),NA(),INDEX(big_daily_table,MATCH(DATE(V$5,$K231,$J231),daily_dates,0),MATCH($B$3,daily_items,0)))</f>
        <v>#N/A</v>
      </c>
      <c r="W231" s="1" t="str">
        <f t="array" ref="W231">IF(ISBLANK(INDEX(big_daily_table,MATCH(DATE(W$5,$K231,$J231),daily_dates,0),MATCH($B$3,daily_items,0))),NA(),INDEX(big_daily_table,MATCH(DATE(W$5,$K231,$J231),daily_dates,0),MATCH($B$3,daily_items,0)))</f>
        <v>#N/A</v>
      </c>
      <c r="X231" s="1" t="str">
        <f t="array" ref="X231">IF(ISBLANK(INDEX(big_daily_table,MATCH(DATE(X$5,$K231,$J231),daily_dates,0),MATCH($B$3,daily_items,0))),NA(),INDEX(big_daily_table,MATCH(DATE(X$5,$K231,$J231),daily_dates,0),MATCH($B$3,daily_items,0)))</f>
        <v>#N/A</v>
      </c>
      <c r="Y231" s="1" t="str">
        <f t="array" ref="Y231">IF(ISBLANK(INDEX(big_daily_table,MATCH(DATE(Y$5,$K231,$J231),daily_dates,0),MATCH($B$3,daily_items,0))),NA(),INDEX(big_daily_table,MATCH(DATE(Y$5,$K231,$J231),daily_dates,0),MATCH($B$3,daily_items,0)))</f>
        <v>#N/A</v>
      </c>
      <c r="Z231" s="1" t="str">
        <f t="array" ref="Z231">IF(ISBLANK(INDEX(big_daily_table,MATCH(DATE(Z$5,$K231,$J231),daily_dates,0),MATCH($B$3,daily_items,0))),NA(),INDEX(big_daily_table,MATCH(DATE(Z$5,$K231,$J231),daily_dates,0),MATCH($B$3,daily_items,0)))</f>
        <v>#N/A</v>
      </c>
      <c r="AA231" s="1" t="str">
        <f t="shared" si="5"/>
        <v>#NAME?</v>
      </c>
      <c r="AB231" s="1" t="str">
        <f t="shared" si="6"/>
        <v>#NAME?</v>
      </c>
      <c r="AC231" s="1" t="str">
        <f t="shared" si="7"/>
        <v>#NAME?</v>
      </c>
      <c r="AD231" s="1" t="str">
        <f t="shared" si="8"/>
        <v>#NAME?</v>
      </c>
    </row>
    <row r="232" ht="14.25" customHeight="1">
      <c r="H232" s="1">
        <f t="shared" si="9"/>
        <v>227</v>
      </c>
      <c r="I232" s="1">
        <f>WEEKDAY('daily graphs'!K232)</f>
        <v>2</v>
      </c>
      <c r="J232" s="1">
        <f t="shared" si="2"/>
        <v>12</v>
      </c>
      <c r="K232" s="1">
        <f t="shared" si="3"/>
        <v>8</v>
      </c>
      <c r="L232" s="23">
        <f>'daily graphs'!K232 - I232</f>
        <v>36750</v>
      </c>
      <c r="M232" s="24">
        <f t="shared" si="4"/>
        <v>-1000000</v>
      </c>
      <c r="N232" s="24" t="str">
        <f t="array" ref="N232">IF(M232&gt;0,INDEX(big_daily_table,MATCH(DATE(O$5,$K232,$J232),daily_dates,0),MATCH($B$3,daily_items,0)),NA())</f>
        <v>#N/A</v>
      </c>
      <c r="O232" s="1" t="str">
        <f t="array" ref="O232">IF(M232&lt;0,INDEX(big_daily_table,MATCH(DATE(O$5,$K232,$J232),daily_dates,0),MATCH($B$3,daily_items,0)),NA())</f>
        <v>#N/A</v>
      </c>
      <c r="P232" s="1" t="str">
        <f t="array" ref="P232">IF(ISBLANK(INDEX(big_daily_table,MATCH(DATE(P$5,$K232,$J232),daily_dates,0),MATCH($B$3,daily_items,0))),NA(),INDEX(big_daily_table,MATCH(DATE(P$5,$K232,$J232),daily_dates,0),MATCH($B$3,daily_items,0)))</f>
        <v>#N/A</v>
      </c>
      <c r="Q232" s="1" t="str">
        <f t="array" ref="Q232">IF(ISBLANK(INDEX(big_daily_table,MATCH(DATE(Q$5,$K232,$J232),daily_dates,0),MATCH($B$3,daily_items,0))),NA(),INDEX(big_daily_table,MATCH(DATE(Q$5,$K232,$J232),daily_dates,0),MATCH($B$3,daily_items,0)))</f>
        <v>#N/A</v>
      </c>
      <c r="R232" s="1" t="str">
        <f t="array" ref="R232">IF(ISBLANK(INDEX(big_daily_table,MATCH(DATE(R$5,$K232,$J232),daily_dates,0),MATCH($B$3,daily_items,0))),NA(),INDEX(big_daily_table,MATCH(DATE(R$5,$K232,$J232),daily_dates,0),MATCH($B$3,daily_items,0)))</f>
        <v>#N/A</v>
      </c>
      <c r="S232" s="1" t="str">
        <f t="array" ref="S232">IF(ISBLANK(INDEX(big_daily_table,MATCH(DATE(S$5,$K232,$J232),daily_dates,0),MATCH($B$3,daily_items,0))),NA(),INDEX(big_daily_table,MATCH(DATE(S$5,$K232,$J232),daily_dates,0),MATCH($B$3,daily_items,0)))</f>
        <v>#N/A</v>
      </c>
      <c r="T232" s="1" t="str">
        <f t="array" ref="T232">IF(ISBLANK(INDEX(big_daily_table,MATCH(DATE(T$5,$K232,$J232),daily_dates,0),MATCH($B$3,daily_items,0))),NA(),INDEX(big_daily_table,MATCH(DATE(T$5,$K232,$J232),daily_dates,0),MATCH($B$3,daily_items,0)))</f>
        <v>#N/A</v>
      </c>
      <c r="U232" s="1" t="str">
        <f t="array" ref="U232">IF(ISBLANK(INDEX(big_daily_table,MATCH(DATE(U$5,$K232,$J232),daily_dates,0),MATCH($B$3,daily_items,0))),NA(),INDEX(big_daily_table,MATCH(DATE(U$5,$K232,$J232),daily_dates,0),MATCH($B$3,daily_items,0)))</f>
        <v>#N/A</v>
      </c>
      <c r="V232" s="1" t="str">
        <f t="array" ref="V232">IF(ISBLANK(INDEX(big_daily_table,MATCH(DATE(V$5,$K232,$J232),daily_dates,0),MATCH($B$3,daily_items,0))),NA(),INDEX(big_daily_table,MATCH(DATE(V$5,$K232,$J232),daily_dates,0),MATCH($B$3,daily_items,0)))</f>
        <v>#N/A</v>
      </c>
      <c r="W232" s="1" t="str">
        <f t="array" ref="W232">IF(ISBLANK(INDEX(big_daily_table,MATCH(DATE(W$5,$K232,$J232),daily_dates,0),MATCH($B$3,daily_items,0))),NA(),INDEX(big_daily_table,MATCH(DATE(W$5,$K232,$J232),daily_dates,0),MATCH($B$3,daily_items,0)))</f>
        <v>#N/A</v>
      </c>
      <c r="X232" s="1" t="str">
        <f t="array" ref="X232">IF(ISBLANK(INDEX(big_daily_table,MATCH(DATE(X$5,$K232,$J232),daily_dates,0),MATCH($B$3,daily_items,0))),NA(),INDEX(big_daily_table,MATCH(DATE(X$5,$K232,$J232),daily_dates,0),MATCH($B$3,daily_items,0)))</f>
        <v>#N/A</v>
      </c>
      <c r="Y232" s="1" t="str">
        <f t="array" ref="Y232">IF(ISBLANK(INDEX(big_daily_table,MATCH(DATE(Y$5,$K232,$J232),daily_dates,0),MATCH($B$3,daily_items,0))),NA(),INDEX(big_daily_table,MATCH(DATE(Y$5,$K232,$J232),daily_dates,0),MATCH($B$3,daily_items,0)))</f>
        <v>#N/A</v>
      </c>
      <c r="Z232" s="1" t="str">
        <f t="array" ref="Z232">IF(ISBLANK(INDEX(big_daily_table,MATCH(DATE(Z$5,$K232,$J232),daily_dates,0),MATCH($B$3,daily_items,0))),NA(),INDEX(big_daily_table,MATCH(DATE(Z$5,$K232,$J232),daily_dates,0),MATCH($B$3,daily_items,0)))</f>
        <v>#N/A</v>
      </c>
      <c r="AA232" s="1" t="str">
        <f t="shared" si="5"/>
        <v>#NAME?</v>
      </c>
      <c r="AB232" s="1" t="str">
        <f t="shared" si="6"/>
        <v>#NAME?</v>
      </c>
      <c r="AC232" s="1" t="str">
        <f t="shared" si="7"/>
        <v>#NAME?</v>
      </c>
      <c r="AD232" s="1" t="str">
        <f t="shared" si="8"/>
        <v>#NAME?</v>
      </c>
    </row>
    <row r="233" ht="14.25" customHeight="1">
      <c r="H233" s="1">
        <f t="shared" si="9"/>
        <v>228</v>
      </c>
      <c r="I233" s="1">
        <f>WEEKDAY('daily graphs'!K233)</f>
        <v>3</v>
      </c>
      <c r="J233" s="1">
        <f t="shared" si="2"/>
        <v>12</v>
      </c>
      <c r="K233" s="1">
        <f t="shared" si="3"/>
        <v>8</v>
      </c>
      <c r="L233" s="23">
        <f>'daily graphs'!K233 - I233</f>
        <v>36750</v>
      </c>
      <c r="M233" s="24">
        <f t="shared" si="4"/>
        <v>-1000000</v>
      </c>
      <c r="N233" s="24" t="str">
        <f t="array" ref="N233">IF(M233&gt;0,INDEX(big_daily_table,MATCH(DATE(O$5,$K233,$J233),daily_dates,0),MATCH($B$3,daily_items,0)),NA())</f>
        <v>#N/A</v>
      </c>
      <c r="O233" s="1" t="str">
        <f t="array" ref="O233">IF(M233&lt;0,INDEX(big_daily_table,MATCH(DATE(O$5,$K233,$J233),daily_dates,0),MATCH($B$3,daily_items,0)),NA())</f>
        <v>#N/A</v>
      </c>
      <c r="P233" s="1" t="str">
        <f t="array" ref="P233">IF(ISBLANK(INDEX(big_daily_table,MATCH(DATE(P$5,$K233,$J233),daily_dates,0),MATCH($B$3,daily_items,0))),NA(),INDEX(big_daily_table,MATCH(DATE(P$5,$K233,$J233),daily_dates,0),MATCH($B$3,daily_items,0)))</f>
        <v>#N/A</v>
      </c>
      <c r="Q233" s="1" t="str">
        <f t="array" ref="Q233">IF(ISBLANK(INDEX(big_daily_table,MATCH(DATE(Q$5,$K233,$J233),daily_dates,0),MATCH($B$3,daily_items,0))),NA(),INDEX(big_daily_table,MATCH(DATE(Q$5,$K233,$J233),daily_dates,0),MATCH($B$3,daily_items,0)))</f>
        <v>#N/A</v>
      </c>
      <c r="R233" s="1" t="str">
        <f t="array" ref="R233">IF(ISBLANK(INDEX(big_daily_table,MATCH(DATE(R$5,$K233,$J233),daily_dates,0),MATCH($B$3,daily_items,0))),NA(),INDEX(big_daily_table,MATCH(DATE(R$5,$K233,$J233),daily_dates,0),MATCH($B$3,daily_items,0)))</f>
        <v>#N/A</v>
      </c>
      <c r="S233" s="1" t="str">
        <f t="array" ref="S233">IF(ISBLANK(INDEX(big_daily_table,MATCH(DATE(S$5,$K233,$J233),daily_dates,0),MATCH($B$3,daily_items,0))),NA(),INDEX(big_daily_table,MATCH(DATE(S$5,$K233,$J233),daily_dates,0),MATCH($B$3,daily_items,0)))</f>
        <v>#N/A</v>
      </c>
      <c r="T233" s="1" t="str">
        <f t="array" ref="T233">IF(ISBLANK(INDEX(big_daily_table,MATCH(DATE(T$5,$K233,$J233),daily_dates,0),MATCH($B$3,daily_items,0))),NA(),INDEX(big_daily_table,MATCH(DATE(T$5,$K233,$J233),daily_dates,0),MATCH($B$3,daily_items,0)))</f>
        <v>#N/A</v>
      </c>
      <c r="U233" s="1" t="str">
        <f t="array" ref="U233">IF(ISBLANK(INDEX(big_daily_table,MATCH(DATE(U$5,$K233,$J233),daily_dates,0),MATCH($B$3,daily_items,0))),NA(),INDEX(big_daily_table,MATCH(DATE(U$5,$K233,$J233),daily_dates,0),MATCH($B$3,daily_items,0)))</f>
        <v>#N/A</v>
      </c>
      <c r="V233" s="1" t="str">
        <f t="array" ref="V233">IF(ISBLANK(INDEX(big_daily_table,MATCH(DATE(V$5,$K233,$J233),daily_dates,0),MATCH($B$3,daily_items,0))),NA(),INDEX(big_daily_table,MATCH(DATE(V$5,$K233,$J233),daily_dates,0),MATCH($B$3,daily_items,0)))</f>
        <v>#N/A</v>
      </c>
      <c r="W233" s="1" t="str">
        <f t="array" ref="W233">IF(ISBLANK(INDEX(big_daily_table,MATCH(DATE(W$5,$K233,$J233),daily_dates,0),MATCH($B$3,daily_items,0))),NA(),INDEX(big_daily_table,MATCH(DATE(W$5,$K233,$J233),daily_dates,0),MATCH($B$3,daily_items,0)))</f>
        <v>#N/A</v>
      </c>
      <c r="X233" s="1" t="str">
        <f t="array" ref="X233">IF(ISBLANK(INDEX(big_daily_table,MATCH(DATE(X$5,$K233,$J233),daily_dates,0),MATCH($B$3,daily_items,0))),NA(),INDEX(big_daily_table,MATCH(DATE(X$5,$K233,$J233),daily_dates,0),MATCH($B$3,daily_items,0)))</f>
        <v>#N/A</v>
      </c>
      <c r="Y233" s="1" t="str">
        <f t="array" ref="Y233">IF(ISBLANK(INDEX(big_daily_table,MATCH(DATE(Y$5,$K233,$J233),daily_dates,0),MATCH($B$3,daily_items,0))),NA(),INDEX(big_daily_table,MATCH(DATE(Y$5,$K233,$J233),daily_dates,0),MATCH($B$3,daily_items,0)))</f>
        <v>#N/A</v>
      </c>
      <c r="Z233" s="1" t="str">
        <f t="array" ref="Z233">IF(ISBLANK(INDEX(big_daily_table,MATCH(DATE(Z$5,$K233,$J233),daily_dates,0),MATCH($B$3,daily_items,0))),NA(),INDEX(big_daily_table,MATCH(DATE(Z$5,$K233,$J233),daily_dates,0),MATCH($B$3,daily_items,0)))</f>
        <v>#N/A</v>
      </c>
      <c r="AA233" s="1" t="str">
        <f t="shared" si="5"/>
        <v>#NAME?</v>
      </c>
      <c r="AB233" s="1" t="str">
        <f t="shared" si="6"/>
        <v>#NAME?</v>
      </c>
      <c r="AC233" s="1" t="str">
        <f t="shared" si="7"/>
        <v>#NAME?</v>
      </c>
      <c r="AD233" s="1" t="str">
        <f t="shared" si="8"/>
        <v>#NAME?</v>
      </c>
    </row>
    <row r="234" ht="14.25" customHeight="1">
      <c r="H234" s="1">
        <f t="shared" si="9"/>
        <v>229</v>
      </c>
      <c r="I234" s="1">
        <f>WEEKDAY('daily graphs'!K234)</f>
        <v>4</v>
      </c>
      <c r="J234" s="1">
        <f t="shared" si="2"/>
        <v>12</v>
      </c>
      <c r="K234" s="1">
        <f t="shared" si="3"/>
        <v>8</v>
      </c>
      <c r="L234" s="23">
        <f>'daily graphs'!K234 - I234</f>
        <v>36750</v>
      </c>
      <c r="M234" s="24">
        <f t="shared" si="4"/>
        <v>-1000000</v>
      </c>
      <c r="N234" s="24" t="str">
        <f t="array" ref="N234">IF(M234&gt;0,INDEX(big_daily_table,MATCH(DATE(O$5,$K234,$J234),daily_dates,0),MATCH($B$3,daily_items,0)),NA())</f>
        <v>#N/A</v>
      </c>
      <c r="O234" s="1" t="str">
        <f t="array" ref="O234">IF(M234&lt;0,INDEX(big_daily_table,MATCH(DATE(O$5,$K234,$J234),daily_dates,0),MATCH($B$3,daily_items,0)),NA())</f>
        <v>#N/A</v>
      </c>
      <c r="P234" s="1" t="str">
        <f t="array" ref="P234">IF(ISBLANK(INDEX(big_daily_table,MATCH(DATE(P$5,$K234,$J234),daily_dates,0),MATCH($B$3,daily_items,0))),NA(),INDEX(big_daily_table,MATCH(DATE(P$5,$K234,$J234),daily_dates,0),MATCH($B$3,daily_items,0)))</f>
        <v>#N/A</v>
      </c>
      <c r="Q234" s="1" t="str">
        <f t="array" ref="Q234">IF(ISBLANK(INDEX(big_daily_table,MATCH(DATE(Q$5,$K234,$J234),daily_dates,0),MATCH($B$3,daily_items,0))),NA(),INDEX(big_daily_table,MATCH(DATE(Q$5,$K234,$J234),daily_dates,0),MATCH($B$3,daily_items,0)))</f>
        <v>#N/A</v>
      </c>
      <c r="R234" s="1" t="str">
        <f t="array" ref="R234">IF(ISBLANK(INDEX(big_daily_table,MATCH(DATE(R$5,$K234,$J234),daily_dates,0),MATCH($B$3,daily_items,0))),NA(),INDEX(big_daily_table,MATCH(DATE(R$5,$K234,$J234),daily_dates,0),MATCH($B$3,daily_items,0)))</f>
        <v>#N/A</v>
      </c>
      <c r="S234" s="1" t="str">
        <f t="array" ref="S234">IF(ISBLANK(INDEX(big_daily_table,MATCH(DATE(S$5,$K234,$J234),daily_dates,0),MATCH($B$3,daily_items,0))),NA(),INDEX(big_daily_table,MATCH(DATE(S$5,$K234,$J234),daily_dates,0),MATCH($B$3,daily_items,0)))</f>
        <v>#N/A</v>
      </c>
      <c r="T234" s="1" t="str">
        <f t="array" ref="T234">IF(ISBLANK(INDEX(big_daily_table,MATCH(DATE(T$5,$K234,$J234),daily_dates,0),MATCH($B$3,daily_items,0))),NA(),INDEX(big_daily_table,MATCH(DATE(T$5,$K234,$J234),daily_dates,0),MATCH($B$3,daily_items,0)))</f>
        <v>#N/A</v>
      </c>
      <c r="U234" s="1" t="str">
        <f t="array" ref="U234">IF(ISBLANK(INDEX(big_daily_table,MATCH(DATE(U$5,$K234,$J234),daily_dates,0),MATCH($B$3,daily_items,0))),NA(),INDEX(big_daily_table,MATCH(DATE(U$5,$K234,$J234),daily_dates,0),MATCH($B$3,daily_items,0)))</f>
        <v>#N/A</v>
      </c>
      <c r="V234" s="1" t="str">
        <f t="array" ref="V234">IF(ISBLANK(INDEX(big_daily_table,MATCH(DATE(V$5,$K234,$J234),daily_dates,0),MATCH($B$3,daily_items,0))),NA(),INDEX(big_daily_table,MATCH(DATE(V$5,$K234,$J234),daily_dates,0),MATCH($B$3,daily_items,0)))</f>
        <v>#N/A</v>
      </c>
      <c r="W234" s="1" t="str">
        <f t="array" ref="W234">IF(ISBLANK(INDEX(big_daily_table,MATCH(DATE(W$5,$K234,$J234),daily_dates,0),MATCH($B$3,daily_items,0))),NA(),INDEX(big_daily_table,MATCH(DATE(W$5,$K234,$J234),daily_dates,0),MATCH($B$3,daily_items,0)))</f>
        <v>#N/A</v>
      </c>
      <c r="X234" s="1" t="str">
        <f t="array" ref="X234">IF(ISBLANK(INDEX(big_daily_table,MATCH(DATE(X$5,$K234,$J234),daily_dates,0),MATCH($B$3,daily_items,0))),NA(),INDEX(big_daily_table,MATCH(DATE(X$5,$K234,$J234),daily_dates,0),MATCH($B$3,daily_items,0)))</f>
        <v>#N/A</v>
      </c>
      <c r="Y234" s="1" t="str">
        <f t="array" ref="Y234">IF(ISBLANK(INDEX(big_daily_table,MATCH(DATE(Y$5,$K234,$J234),daily_dates,0),MATCH($B$3,daily_items,0))),NA(),INDEX(big_daily_table,MATCH(DATE(Y$5,$K234,$J234),daily_dates,0),MATCH($B$3,daily_items,0)))</f>
        <v>#N/A</v>
      </c>
      <c r="Z234" s="1" t="str">
        <f t="array" ref="Z234">IF(ISBLANK(INDEX(big_daily_table,MATCH(DATE(Z$5,$K234,$J234),daily_dates,0),MATCH($B$3,daily_items,0))),NA(),INDEX(big_daily_table,MATCH(DATE(Z$5,$K234,$J234),daily_dates,0),MATCH($B$3,daily_items,0)))</f>
        <v>#N/A</v>
      </c>
      <c r="AA234" s="1" t="str">
        <f t="shared" si="5"/>
        <v>#NAME?</v>
      </c>
      <c r="AB234" s="1" t="str">
        <f t="shared" si="6"/>
        <v>#NAME?</v>
      </c>
      <c r="AC234" s="1" t="str">
        <f t="shared" si="7"/>
        <v>#NAME?</v>
      </c>
      <c r="AD234" s="1" t="str">
        <f t="shared" si="8"/>
        <v>#NAME?</v>
      </c>
    </row>
    <row r="235" ht="14.25" customHeight="1">
      <c r="H235" s="1">
        <f t="shared" si="9"/>
        <v>230</v>
      </c>
      <c r="I235" s="1">
        <f>WEEKDAY('daily graphs'!K235)</f>
        <v>5</v>
      </c>
      <c r="J235" s="1">
        <f t="shared" si="2"/>
        <v>12</v>
      </c>
      <c r="K235" s="1">
        <f t="shared" si="3"/>
        <v>8</v>
      </c>
      <c r="L235" s="23">
        <f>'daily graphs'!K235 - I235</f>
        <v>36750</v>
      </c>
      <c r="M235" s="24">
        <f t="shared" si="4"/>
        <v>-1000000</v>
      </c>
      <c r="N235" s="24" t="str">
        <f t="array" ref="N235">IF(M235&gt;0,INDEX(big_daily_table,MATCH(DATE(O$5,$K235,$J235),daily_dates,0),MATCH($B$3,daily_items,0)),NA())</f>
        <v>#N/A</v>
      </c>
      <c r="O235" s="1" t="str">
        <f t="array" ref="O235">IF(M235&lt;0,INDEX(big_daily_table,MATCH(DATE(O$5,$K235,$J235),daily_dates,0),MATCH($B$3,daily_items,0)),NA())</f>
        <v>#N/A</v>
      </c>
      <c r="P235" s="1" t="str">
        <f t="array" ref="P235">IF(ISBLANK(INDEX(big_daily_table,MATCH(DATE(P$5,$K235,$J235),daily_dates,0),MATCH($B$3,daily_items,0))),NA(),INDEX(big_daily_table,MATCH(DATE(P$5,$K235,$J235),daily_dates,0),MATCH($B$3,daily_items,0)))</f>
        <v>#N/A</v>
      </c>
      <c r="Q235" s="1" t="str">
        <f t="array" ref="Q235">IF(ISBLANK(INDEX(big_daily_table,MATCH(DATE(Q$5,$K235,$J235),daily_dates,0),MATCH($B$3,daily_items,0))),NA(),INDEX(big_daily_table,MATCH(DATE(Q$5,$K235,$J235),daily_dates,0),MATCH($B$3,daily_items,0)))</f>
        <v>#N/A</v>
      </c>
      <c r="R235" s="1" t="str">
        <f t="array" ref="R235">IF(ISBLANK(INDEX(big_daily_table,MATCH(DATE(R$5,$K235,$J235),daily_dates,0),MATCH($B$3,daily_items,0))),NA(),INDEX(big_daily_table,MATCH(DATE(R$5,$K235,$J235),daily_dates,0),MATCH($B$3,daily_items,0)))</f>
        <v>#N/A</v>
      </c>
      <c r="S235" s="1" t="str">
        <f t="array" ref="S235">IF(ISBLANK(INDEX(big_daily_table,MATCH(DATE(S$5,$K235,$J235),daily_dates,0),MATCH($B$3,daily_items,0))),NA(),INDEX(big_daily_table,MATCH(DATE(S$5,$K235,$J235),daily_dates,0),MATCH($B$3,daily_items,0)))</f>
        <v>#N/A</v>
      </c>
      <c r="T235" s="1" t="str">
        <f t="array" ref="T235">IF(ISBLANK(INDEX(big_daily_table,MATCH(DATE(T$5,$K235,$J235),daily_dates,0),MATCH($B$3,daily_items,0))),NA(),INDEX(big_daily_table,MATCH(DATE(T$5,$K235,$J235),daily_dates,0),MATCH($B$3,daily_items,0)))</f>
        <v>#N/A</v>
      </c>
      <c r="U235" s="1" t="str">
        <f t="array" ref="U235">IF(ISBLANK(INDEX(big_daily_table,MATCH(DATE(U$5,$K235,$J235),daily_dates,0),MATCH($B$3,daily_items,0))),NA(),INDEX(big_daily_table,MATCH(DATE(U$5,$K235,$J235),daily_dates,0),MATCH($B$3,daily_items,0)))</f>
        <v>#N/A</v>
      </c>
      <c r="V235" s="1" t="str">
        <f t="array" ref="V235">IF(ISBLANK(INDEX(big_daily_table,MATCH(DATE(V$5,$K235,$J235),daily_dates,0),MATCH($B$3,daily_items,0))),NA(),INDEX(big_daily_table,MATCH(DATE(V$5,$K235,$J235),daily_dates,0),MATCH($B$3,daily_items,0)))</f>
        <v>#N/A</v>
      </c>
      <c r="W235" s="1" t="str">
        <f t="array" ref="W235">IF(ISBLANK(INDEX(big_daily_table,MATCH(DATE(W$5,$K235,$J235),daily_dates,0),MATCH($B$3,daily_items,0))),NA(),INDEX(big_daily_table,MATCH(DATE(W$5,$K235,$J235),daily_dates,0),MATCH($B$3,daily_items,0)))</f>
        <v>#N/A</v>
      </c>
      <c r="X235" s="1" t="str">
        <f t="array" ref="X235">IF(ISBLANK(INDEX(big_daily_table,MATCH(DATE(X$5,$K235,$J235),daily_dates,0),MATCH($B$3,daily_items,0))),NA(),INDEX(big_daily_table,MATCH(DATE(X$5,$K235,$J235),daily_dates,0),MATCH($B$3,daily_items,0)))</f>
        <v>#N/A</v>
      </c>
      <c r="Y235" s="1" t="str">
        <f t="array" ref="Y235">IF(ISBLANK(INDEX(big_daily_table,MATCH(DATE(Y$5,$K235,$J235),daily_dates,0),MATCH($B$3,daily_items,0))),NA(),INDEX(big_daily_table,MATCH(DATE(Y$5,$K235,$J235),daily_dates,0),MATCH($B$3,daily_items,0)))</f>
        <v>#N/A</v>
      </c>
      <c r="Z235" s="1" t="str">
        <f t="array" ref="Z235">IF(ISBLANK(INDEX(big_daily_table,MATCH(DATE(Z$5,$K235,$J235),daily_dates,0),MATCH($B$3,daily_items,0))),NA(),INDEX(big_daily_table,MATCH(DATE(Z$5,$K235,$J235),daily_dates,0),MATCH($B$3,daily_items,0)))</f>
        <v>#N/A</v>
      </c>
      <c r="AA235" s="1" t="str">
        <f t="shared" si="5"/>
        <v>#NAME?</v>
      </c>
      <c r="AB235" s="1" t="str">
        <f t="shared" si="6"/>
        <v>#NAME?</v>
      </c>
      <c r="AC235" s="1" t="str">
        <f t="shared" si="7"/>
        <v>#NAME?</v>
      </c>
      <c r="AD235" s="1" t="str">
        <f t="shared" si="8"/>
        <v>#NAME?</v>
      </c>
    </row>
    <row r="236" ht="14.25" customHeight="1">
      <c r="H236" s="1">
        <f t="shared" si="9"/>
        <v>231</v>
      </c>
      <c r="I236" s="1">
        <f>WEEKDAY('daily graphs'!K236)</f>
        <v>6</v>
      </c>
      <c r="J236" s="1">
        <f t="shared" si="2"/>
        <v>12</v>
      </c>
      <c r="K236" s="1">
        <f t="shared" si="3"/>
        <v>8</v>
      </c>
      <c r="L236" s="23">
        <f>'daily graphs'!K236 - I236</f>
        <v>36750</v>
      </c>
      <c r="M236" s="24">
        <f t="shared" si="4"/>
        <v>-1000000</v>
      </c>
      <c r="N236" s="24" t="str">
        <f t="array" ref="N236">IF(M236&gt;0,INDEX(big_daily_table,MATCH(DATE(O$5,$K236,$J236),daily_dates,0),MATCH($B$3,daily_items,0)),NA())</f>
        <v>#N/A</v>
      </c>
      <c r="O236" s="1" t="str">
        <f t="array" ref="O236">IF(M236&lt;0,INDEX(big_daily_table,MATCH(DATE(O$5,$K236,$J236),daily_dates,0),MATCH($B$3,daily_items,0)),NA())</f>
        <v>#N/A</v>
      </c>
      <c r="P236" s="1" t="str">
        <f t="array" ref="P236">IF(ISBLANK(INDEX(big_daily_table,MATCH(DATE(P$5,$K236,$J236),daily_dates,0),MATCH($B$3,daily_items,0))),NA(),INDEX(big_daily_table,MATCH(DATE(P$5,$K236,$J236),daily_dates,0),MATCH($B$3,daily_items,0)))</f>
        <v>#N/A</v>
      </c>
      <c r="Q236" s="1" t="str">
        <f t="array" ref="Q236">IF(ISBLANK(INDEX(big_daily_table,MATCH(DATE(Q$5,$K236,$J236),daily_dates,0),MATCH($B$3,daily_items,0))),NA(),INDEX(big_daily_table,MATCH(DATE(Q$5,$K236,$J236),daily_dates,0),MATCH($B$3,daily_items,0)))</f>
        <v>#N/A</v>
      </c>
      <c r="R236" s="1" t="str">
        <f t="array" ref="R236">IF(ISBLANK(INDEX(big_daily_table,MATCH(DATE(R$5,$K236,$J236),daily_dates,0),MATCH($B$3,daily_items,0))),NA(),INDEX(big_daily_table,MATCH(DATE(R$5,$K236,$J236),daily_dates,0),MATCH($B$3,daily_items,0)))</f>
        <v>#N/A</v>
      </c>
      <c r="S236" s="1" t="str">
        <f t="array" ref="S236">IF(ISBLANK(INDEX(big_daily_table,MATCH(DATE(S$5,$K236,$J236),daily_dates,0),MATCH($B$3,daily_items,0))),NA(),INDEX(big_daily_table,MATCH(DATE(S$5,$K236,$J236),daily_dates,0),MATCH($B$3,daily_items,0)))</f>
        <v>#N/A</v>
      </c>
      <c r="T236" s="1" t="str">
        <f t="array" ref="T236">IF(ISBLANK(INDEX(big_daily_table,MATCH(DATE(T$5,$K236,$J236),daily_dates,0),MATCH($B$3,daily_items,0))),NA(),INDEX(big_daily_table,MATCH(DATE(T$5,$K236,$J236),daily_dates,0),MATCH($B$3,daily_items,0)))</f>
        <v>#N/A</v>
      </c>
      <c r="U236" s="1" t="str">
        <f t="array" ref="U236">IF(ISBLANK(INDEX(big_daily_table,MATCH(DATE(U$5,$K236,$J236),daily_dates,0),MATCH($B$3,daily_items,0))),NA(),INDEX(big_daily_table,MATCH(DATE(U$5,$K236,$J236),daily_dates,0),MATCH($B$3,daily_items,0)))</f>
        <v>#N/A</v>
      </c>
      <c r="V236" s="1" t="str">
        <f t="array" ref="V236">IF(ISBLANK(INDEX(big_daily_table,MATCH(DATE(V$5,$K236,$J236),daily_dates,0),MATCH($B$3,daily_items,0))),NA(),INDEX(big_daily_table,MATCH(DATE(V$5,$K236,$J236),daily_dates,0),MATCH($B$3,daily_items,0)))</f>
        <v>#N/A</v>
      </c>
      <c r="W236" s="1" t="str">
        <f t="array" ref="W236">IF(ISBLANK(INDEX(big_daily_table,MATCH(DATE(W$5,$K236,$J236),daily_dates,0),MATCH($B$3,daily_items,0))),NA(),INDEX(big_daily_table,MATCH(DATE(W$5,$K236,$J236),daily_dates,0),MATCH($B$3,daily_items,0)))</f>
        <v>#N/A</v>
      </c>
      <c r="X236" s="1" t="str">
        <f t="array" ref="X236">IF(ISBLANK(INDEX(big_daily_table,MATCH(DATE(X$5,$K236,$J236),daily_dates,0),MATCH($B$3,daily_items,0))),NA(),INDEX(big_daily_table,MATCH(DATE(X$5,$K236,$J236),daily_dates,0),MATCH($B$3,daily_items,0)))</f>
        <v>#N/A</v>
      </c>
      <c r="Y236" s="1" t="str">
        <f t="array" ref="Y236">IF(ISBLANK(INDEX(big_daily_table,MATCH(DATE(Y$5,$K236,$J236),daily_dates,0),MATCH($B$3,daily_items,0))),NA(),INDEX(big_daily_table,MATCH(DATE(Y$5,$K236,$J236),daily_dates,0),MATCH($B$3,daily_items,0)))</f>
        <v>#N/A</v>
      </c>
      <c r="Z236" s="1" t="str">
        <f t="array" ref="Z236">IF(ISBLANK(INDEX(big_daily_table,MATCH(DATE(Z$5,$K236,$J236),daily_dates,0),MATCH($B$3,daily_items,0))),NA(),INDEX(big_daily_table,MATCH(DATE(Z$5,$K236,$J236),daily_dates,0),MATCH($B$3,daily_items,0)))</f>
        <v>#N/A</v>
      </c>
      <c r="AA236" s="1" t="str">
        <f t="shared" si="5"/>
        <v>#NAME?</v>
      </c>
      <c r="AB236" s="1" t="str">
        <f t="shared" si="6"/>
        <v>#NAME?</v>
      </c>
      <c r="AC236" s="1" t="str">
        <f t="shared" si="7"/>
        <v>#NAME?</v>
      </c>
      <c r="AD236" s="1" t="str">
        <f t="shared" si="8"/>
        <v>#NAME?</v>
      </c>
    </row>
    <row r="237" ht="14.25" customHeight="1">
      <c r="H237" s="1">
        <f t="shared" si="9"/>
        <v>232</v>
      </c>
      <c r="I237" s="1">
        <f>WEEKDAY('daily graphs'!K237)</f>
        <v>7</v>
      </c>
      <c r="J237" s="1">
        <f t="shared" si="2"/>
        <v>12</v>
      </c>
      <c r="K237" s="1">
        <f t="shared" si="3"/>
        <v>8</v>
      </c>
      <c r="L237" s="23">
        <f>'daily graphs'!K237 - I237</f>
        <v>36750</v>
      </c>
      <c r="M237" s="24">
        <f t="shared" si="4"/>
        <v>-1000000</v>
      </c>
      <c r="N237" s="24" t="str">
        <f t="array" ref="N237">IF(M237&gt;0,INDEX(big_daily_table,MATCH(DATE(O$5,$K237,$J237),daily_dates,0),MATCH($B$3,daily_items,0)),NA())</f>
        <v>#N/A</v>
      </c>
      <c r="O237" s="1" t="str">
        <f t="array" ref="O237">IF(M237&lt;0,INDEX(big_daily_table,MATCH(DATE(O$5,$K237,$J237),daily_dates,0),MATCH($B$3,daily_items,0)),NA())</f>
        <v>#N/A</v>
      </c>
      <c r="P237" s="1" t="str">
        <f t="array" ref="P237">IF(ISBLANK(INDEX(big_daily_table,MATCH(DATE(P$5,$K237,$J237),daily_dates,0),MATCH($B$3,daily_items,0))),NA(),INDEX(big_daily_table,MATCH(DATE(P$5,$K237,$J237),daily_dates,0),MATCH($B$3,daily_items,0)))</f>
        <v>#N/A</v>
      </c>
      <c r="Q237" s="1" t="str">
        <f t="array" ref="Q237">IF(ISBLANK(INDEX(big_daily_table,MATCH(DATE(Q$5,$K237,$J237),daily_dates,0),MATCH($B$3,daily_items,0))),NA(),INDEX(big_daily_table,MATCH(DATE(Q$5,$K237,$J237),daily_dates,0),MATCH($B$3,daily_items,0)))</f>
        <v>#N/A</v>
      </c>
      <c r="R237" s="1" t="str">
        <f t="array" ref="R237">IF(ISBLANK(INDEX(big_daily_table,MATCH(DATE(R$5,$K237,$J237),daily_dates,0),MATCH($B$3,daily_items,0))),NA(),INDEX(big_daily_table,MATCH(DATE(R$5,$K237,$J237),daily_dates,0),MATCH($B$3,daily_items,0)))</f>
        <v>#N/A</v>
      </c>
      <c r="S237" s="1" t="str">
        <f t="array" ref="S237">IF(ISBLANK(INDEX(big_daily_table,MATCH(DATE(S$5,$K237,$J237),daily_dates,0),MATCH($B$3,daily_items,0))),NA(),INDEX(big_daily_table,MATCH(DATE(S$5,$K237,$J237),daily_dates,0),MATCH($B$3,daily_items,0)))</f>
        <v>#N/A</v>
      </c>
      <c r="T237" s="1" t="str">
        <f t="array" ref="T237">IF(ISBLANK(INDEX(big_daily_table,MATCH(DATE(T$5,$K237,$J237),daily_dates,0),MATCH($B$3,daily_items,0))),NA(),INDEX(big_daily_table,MATCH(DATE(T$5,$K237,$J237),daily_dates,0),MATCH($B$3,daily_items,0)))</f>
        <v>#N/A</v>
      </c>
      <c r="U237" s="1" t="str">
        <f t="array" ref="U237">IF(ISBLANK(INDEX(big_daily_table,MATCH(DATE(U$5,$K237,$J237),daily_dates,0),MATCH($B$3,daily_items,0))),NA(),INDEX(big_daily_table,MATCH(DATE(U$5,$K237,$J237),daily_dates,0),MATCH($B$3,daily_items,0)))</f>
        <v>#N/A</v>
      </c>
      <c r="V237" s="1" t="str">
        <f t="array" ref="V237">IF(ISBLANK(INDEX(big_daily_table,MATCH(DATE(V$5,$K237,$J237),daily_dates,0),MATCH($B$3,daily_items,0))),NA(),INDEX(big_daily_table,MATCH(DATE(V$5,$K237,$J237),daily_dates,0),MATCH($B$3,daily_items,0)))</f>
        <v>#N/A</v>
      </c>
      <c r="W237" s="1" t="str">
        <f t="array" ref="W237">IF(ISBLANK(INDEX(big_daily_table,MATCH(DATE(W$5,$K237,$J237),daily_dates,0),MATCH($B$3,daily_items,0))),NA(),INDEX(big_daily_table,MATCH(DATE(W$5,$K237,$J237),daily_dates,0),MATCH($B$3,daily_items,0)))</f>
        <v>#N/A</v>
      </c>
      <c r="X237" s="1" t="str">
        <f t="array" ref="X237">IF(ISBLANK(INDEX(big_daily_table,MATCH(DATE(X$5,$K237,$J237),daily_dates,0),MATCH($B$3,daily_items,0))),NA(),INDEX(big_daily_table,MATCH(DATE(X$5,$K237,$J237),daily_dates,0),MATCH($B$3,daily_items,0)))</f>
        <v>#N/A</v>
      </c>
      <c r="Y237" s="1" t="str">
        <f t="array" ref="Y237">IF(ISBLANK(INDEX(big_daily_table,MATCH(DATE(Y$5,$K237,$J237),daily_dates,0),MATCH($B$3,daily_items,0))),NA(),INDEX(big_daily_table,MATCH(DATE(Y$5,$K237,$J237),daily_dates,0),MATCH($B$3,daily_items,0)))</f>
        <v>#N/A</v>
      </c>
      <c r="Z237" s="1" t="str">
        <f t="array" ref="Z237">IF(ISBLANK(INDEX(big_daily_table,MATCH(DATE(Z$5,$K237,$J237),daily_dates,0),MATCH($B$3,daily_items,0))),NA(),INDEX(big_daily_table,MATCH(DATE(Z$5,$K237,$J237),daily_dates,0),MATCH($B$3,daily_items,0)))</f>
        <v>#N/A</v>
      </c>
      <c r="AA237" s="1" t="str">
        <f t="shared" si="5"/>
        <v>#NAME?</v>
      </c>
      <c r="AB237" s="1" t="str">
        <f t="shared" si="6"/>
        <v>#NAME?</v>
      </c>
      <c r="AC237" s="1" t="str">
        <f t="shared" si="7"/>
        <v>#NAME?</v>
      </c>
      <c r="AD237" s="1" t="str">
        <f t="shared" si="8"/>
        <v>#NAME?</v>
      </c>
    </row>
    <row r="238" ht="14.25" customHeight="1">
      <c r="H238" s="1">
        <f t="shared" si="9"/>
        <v>233</v>
      </c>
      <c r="I238" s="1">
        <f>WEEKDAY('daily graphs'!K238)</f>
        <v>1</v>
      </c>
      <c r="J238" s="1">
        <f t="shared" si="2"/>
        <v>19</v>
      </c>
      <c r="K238" s="1">
        <f t="shared" si="3"/>
        <v>8</v>
      </c>
      <c r="L238" s="23">
        <f>'daily graphs'!K238 - I238</f>
        <v>36757</v>
      </c>
      <c r="M238" s="24">
        <f t="shared" si="4"/>
        <v>-1000000</v>
      </c>
      <c r="N238" s="24" t="str">
        <f t="array" ref="N238">IF(M238&gt;0,INDEX(big_daily_table,MATCH(DATE(O$5,$K238,$J238),daily_dates,0),MATCH($B$3,daily_items,0)),NA())</f>
        <v>#N/A</v>
      </c>
      <c r="O238" s="1" t="str">
        <f t="array" ref="O238">IF(M238&lt;0,INDEX(big_daily_table,MATCH(DATE(O$5,$K238,$J238),daily_dates,0),MATCH($B$3,daily_items,0)),NA())</f>
        <v>#N/A</v>
      </c>
      <c r="P238" s="1" t="str">
        <f t="array" ref="P238">IF(ISBLANK(INDEX(big_daily_table,MATCH(DATE(P$5,$K238,$J238),daily_dates,0),MATCH($B$3,daily_items,0))),NA(),INDEX(big_daily_table,MATCH(DATE(P$5,$K238,$J238),daily_dates,0),MATCH($B$3,daily_items,0)))</f>
        <v>#N/A</v>
      </c>
      <c r="Q238" s="1" t="str">
        <f t="array" ref="Q238">IF(ISBLANK(INDEX(big_daily_table,MATCH(DATE(Q$5,$K238,$J238),daily_dates,0),MATCH($B$3,daily_items,0))),NA(),INDEX(big_daily_table,MATCH(DATE(Q$5,$K238,$J238),daily_dates,0),MATCH($B$3,daily_items,0)))</f>
        <v>#N/A</v>
      </c>
      <c r="R238" s="1" t="str">
        <f t="array" ref="R238">IF(ISBLANK(INDEX(big_daily_table,MATCH(DATE(R$5,$K238,$J238),daily_dates,0),MATCH($B$3,daily_items,0))),NA(),INDEX(big_daily_table,MATCH(DATE(R$5,$K238,$J238),daily_dates,0),MATCH($B$3,daily_items,0)))</f>
        <v>#N/A</v>
      </c>
      <c r="S238" s="1" t="str">
        <f t="array" ref="S238">IF(ISBLANK(INDEX(big_daily_table,MATCH(DATE(S$5,$K238,$J238),daily_dates,0),MATCH($B$3,daily_items,0))),NA(),INDEX(big_daily_table,MATCH(DATE(S$5,$K238,$J238),daily_dates,0),MATCH($B$3,daily_items,0)))</f>
        <v>#N/A</v>
      </c>
      <c r="T238" s="1" t="str">
        <f t="array" ref="T238">IF(ISBLANK(INDEX(big_daily_table,MATCH(DATE(T$5,$K238,$J238),daily_dates,0),MATCH($B$3,daily_items,0))),NA(),INDEX(big_daily_table,MATCH(DATE(T$5,$K238,$J238),daily_dates,0),MATCH($B$3,daily_items,0)))</f>
        <v>#N/A</v>
      </c>
      <c r="U238" s="1" t="str">
        <f t="array" ref="U238">IF(ISBLANK(INDEX(big_daily_table,MATCH(DATE(U$5,$K238,$J238),daily_dates,0),MATCH($B$3,daily_items,0))),NA(),INDEX(big_daily_table,MATCH(DATE(U$5,$K238,$J238),daily_dates,0),MATCH($B$3,daily_items,0)))</f>
        <v>#N/A</v>
      </c>
      <c r="V238" s="1" t="str">
        <f t="array" ref="V238">IF(ISBLANK(INDEX(big_daily_table,MATCH(DATE(V$5,$K238,$J238),daily_dates,0),MATCH($B$3,daily_items,0))),NA(),INDEX(big_daily_table,MATCH(DATE(V$5,$K238,$J238),daily_dates,0),MATCH($B$3,daily_items,0)))</f>
        <v>#N/A</v>
      </c>
      <c r="W238" s="1" t="str">
        <f t="array" ref="W238">IF(ISBLANK(INDEX(big_daily_table,MATCH(DATE(W$5,$K238,$J238),daily_dates,0),MATCH($B$3,daily_items,0))),NA(),INDEX(big_daily_table,MATCH(DATE(W$5,$K238,$J238),daily_dates,0),MATCH($B$3,daily_items,0)))</f>
        <v>#N/A</v>
      </c>
      <c r="X238" s="1" t="str">
        <f t="array" ref="X238">IF(ISBLANK(INDEX(big_daily_table,MATCH(DATE(X$5,$K238,$J238),daily_dates,0),MATCH($B$3,daily_items,0))),NA(),INDEX(big_daily_table,MATCH(DATE(X$5,$K238,$J238),daily_dates,0),MATCH($B$3,daily_items,0)))</f>
        <v>#N/A</v>
      </c>
      <c r="Y238" s="1" t="str">
        <f t="array" ref="Y238">IF(ISBLANK(INDEX(big_daily_table,MATCH(DATE(Y$5,$K238,$J238),daily_dates,0),MATCH($B$3,daily_items,0))),NA(),INDEX(big_daily_table,MATCH(DATE(Y$5,$K238,$J238),daily_dates,0),MATCH($B$3,daily_items,0)))</f>
        <v>#N/A</v>
      </c>
      <c r="Z238" s="1" t="str">
        <f t="array" ref="Z238">IF(ISBLANK(INDEX(big_daily_table,MATCH(DATE(Z$5,$K238,$J238),daily_dates,0),MATCH($B$3,daily_items,0))),NA(),INDEX(big_daily_table,MATCH(DATE(Z$5,$K238,$J238),daily_dates,0),MATCH($B$3,daily_items,0)))</f>
        <v>#N/A</v>
      </c>
      <c r="AA238" s="1" t="str">
        <f t="shared" si="5"/>
        <v>#NAME?</v>
      </c>
      <c r="AB238" s="1" t="str">
        <f t="shared" si="6"/>
        <v>#NAME?</v>
      </c>
      <c r="AC238" s="1" t="str">
        <f t="shared" si="7"/>
        <v>#NAME?</v>
      </c>
      <c r="AD238" s="1" t="str">
        <f t="shared" si="8"/>
        <v>#NAME?</v>
      </c>
    </row>
    <row r="239" ht="14.25" customHeight="1">
      <c r="H239" s="1">
        <f t="shared" si="9"/>
        <v>234</v>
      </c>
      <c r="I239" s="1">
        <f>WEEKDAY('daily graphs'!K239)</f>
        <v>2</v>
      </c>
      <c r="J239" s="1">
        <f t="shared" si="2"/>
        <v>19</v>
      </c>
      <c r="K239" s="1">
        <f t="shared" si="3"/>
        <v>8</v>
      </c>
      <c r="L239" s="23">
        <f>'daily graphs'!K239 - I239</f>
        <v>36757</v>
      </c>
      <c r="M239" s="24">
        <f t="shared" si="4"/>
        <v>-1000000</v>
      </c>
      <c r="N239" s="24" t="str">
        <f t="array" ref="N239">IF(M239&gt;0,INDEX(big_daily_table,MATCH(DATE(O$5,$K239,$J239),daily_dates,0),MATCH($B$3,daily_items,0)),NA())</f>
        <v>#N/A</v>
      </c>
      <c r="O239" s="1" t="str">
        <f t="array" ref="O239">IF(M239&lt;0,INDEX(big_daily_table,MATCH(DATE(O$5,$K239,$J239),daily_dates,0),MATCH($B$3,daily_items,0)),NA())</f>
        <v>#N/A</v>
      </c>
      <c r="P239" s="1" t="str">
        <f t="array" ref="P239">IF(ISBLANK(INDEX(big_daily_table,MATCH(DATE(P$5,$K239,$J239),daily_dates,0),MATCH($B$3,daily_items,0))),NA(),INDEX(big_daily_table,MATCH(DATE(P$5,$K239,$J239),daily_dates,0),MATCH($B$3,daily_items,0)))</f>
        <v>#N/A</v>
      </c>
      <c r="Q239" s="1" t="str">
        <f t="array" ref="Q239">IF(ISBLANK(INDEX(big_daily_table,MATCH(DATE(Q$5,$K239,$J239),daily_dates,0),MATCH($B$3,daily_items,0))),NA(),INDEX(big_daily_table,MATCH(DATE(Q$5,$K239,$J239),daily_dates,0),MATCH($B$3,daily_items,0)))</f>
        <v>#N/A</v>
      </c>
      <c r="R239" s="1" t="str">
        <f t="array" ref="R239">IF(ISBLANK(INDEX(big_daily_table,MATCH(DATE(R$5,$K239,$J239),daily_dates,0),MATCH($B$3,daily_items,0))),NA(),INDEX(big_daily_table,MATCH(DATE(R$5,$K239,$J239),daily_dates,0),MATCH($B$3,daily_items,0)))</f>
        <v>#N/A</v>
      </c>
      <c r="S239" s="1" t="str">
        <f t="array" ref="S239">IF(ISBLANK(INDEX(big_daily_table,MATCH(DATE(S$5,$K239,$J239),daily_dates,0),MATCH($B$3,daily_items,0))),NA(),INDEX(big_daily_table,MATCH(DATE(S$5,$K239,$J239),daily_dates,0),MATCH($B$3,daily_items,0)))</f>
        <v>#N/A</v>
      </c>
      <c r="T239" s="1" t="str">
        <f t="array" ref="T239">IF(ISBLANK(INDEX(big_daily_table,MATCH(DATE(T$5,$K239,$J239),daily_dates,0),MATCH($B$3,daily_items,0))),NA(),INDEX(big_daily_table,MATCH(DATE(T$5,$K239,$J239),daily_dates,0),MATCH($B$3,daily_items,0)))</f>
        <v>#N/A</v>
      </c>
      <c r="U239" s="1" t="str">
        <f t="array" ref="U239">IF(ISBLANK(INDEX(big_daily_table,MATCH(DATE(U$5,$K239,$J239),daily_dates,0),MATCH($B$3,daily_items,0))),NA(),INDEX(big_daily_table,MATCH(DATE(U$5,$K239,$J239),daily_dates,0),MATCH($B$3,daily_items,0)))</f>
        <v>#N/A</v>
      </c>
      <c r="V239" s="1" t="str">
        <f t="array" ref="V239">IF(ISBLANK(INDEX(big_daily_table,MATCH(DATE(V$5,$K239,$J239),daily_dates,0),MATCH($B$3,daily_items,0))),NA(),INDEX(big_daily_table,MATCH(DATE(V$5,$K239,$J239),daily_dates,0),MATCH($B$3,daily_items,0)))</f>
        <v>#N/A</v>
      </c>
      <c r="W239" s="1" t="str">
        <f t="array" ref="W239">IF(ISBLANK(INDEX(big_daily_table,MATCH(DATE(W$5,$K239,$J239),daily_dates,0),MATCH($B$3,daily_items,0))),NA(),INDEX(big_daily_table,MATCH(DATE(W$5,$K239,$J239),daily_dates,0),MATCH($B$3,daily_items,0)))</f>
        <v>#N/A</v>
      </c>
      <c r="X239" s="1" t="str">
        <f t="array" ref="X239">IF(ISBLANK(INDEX(big_daily_table,MATCH(DATE(X$5,$K239,$J239),daily_dates,0),MATCH($B$3,daily_items,0))),NA(),INDEX(big_daily_table,MATCH(DATE(X$5,$K239,$J239),daily_dates,0),MATCH($B$3,daily_items,0)))</f>
        <v>#N/A</v>
      </c>
      <c r="Y239" s="1" t="str">
        <f t="array" ref="Y239">IF(ISBLANK(INDEX(big_daily_table,MATCH(DATE(Y$5,$K239,$J239),daily_dates,0),MATCH($B$3,daily_items,0))),NA(),INDEX(big_daily_table,MATCH(DATE(Y$5,$K239,$J239),daily_dates,0),MATCH($B$3,daily_items,0)))</f>
        <v>#N/A</v>
      </c>
      <c r="Z239" s="1" t="str">
        <f t="array" ref="Z239">IF(ISBLANK(INDEX(big_daily_table,MATCH(DATE(Z$5,$K239,$J239),daily_dates,0),MATCH($B$3,daily_items,0))),NA(),INDEX(big_daily_table,MATCH(DATE(Z$5,$K239,$J239),daily_dates,0),MATCH($B$3,daily_items,0)))</f>
        <v>#N/A</v>
      </c>
      <c r="AA239" s="1" t="str">
        <f t="shared" si="5"/>
        <v>#NAME?</v>
      </c>
      <c r="AB239" s="1" t="str">
        <f t="shared" si="6"/>
        <v>#NAME?</v>
      </c>
      <c r="AC239" s="1" t="str">
        <f t="shared" si="7"/>
        <v>#NAME?</v>
      </c>
      <c r="AD239" s="1" t="str">
        <f t="shared" si="8"/>
        <v>#NAME?</v>
      </c>
    </row>
    <row r="240" ht="14.25" customHeight="1">
      <c r="H240" s="1">
        <f t="shared" si="9"/>
        <v>235</v>
      </c>
      <c r="I240" s="1">
        <f>WEEKDAY('daily graphs'!K240)</f>
        <v>3</v>
      </c>
      <c r="J240" s="1">
        <f t="shared" si="2"/>
        <v>19</v>
      </c>
      <c r="K240" s="1">
        <f t="shared" si="3"/>
        <v>8</v>
      </c>
      <c r="L240" s="23">
        <f>'daily graphs'!K240 - I240</f>
        <v>36757</v>
      </c>
      <c r="M240" s="24">
        <f t="shared" si="4"/>
        <v>-1000000</v>
      </c>
      <c r="N240" s="24" t="str">
        <f t="array" ref="N240">IF(M240&gt;0,INDEX(big_daily_table,MATCH(DATE(O$5,$K240,$J240),daily_dates,0),MATCH($B$3,daily_items,0)),NA())</f>
        <v>#N/A</v>
      </c>
      <c r="O240" s="1" t="str">
        <f t="array" ref="O240">IF(M240&lt;0,INDEX(big_daily_table,MATCH(DATE(O$5,$K240,$J240),daily_dates,0),MATCH($B$3,daily_items,0)),NA())</f>
        <v>#N/A</v>
      </c>
      <c r="P240" s="1" t="str">
        <f t="array" ref="P240">IF(ISBLANK(INDEX(big_daily_table,MATCH(DATE(P$5,$K240,$J240),daily_dates,0),MATCH($B$3,daily_items,0))),NA(),INDEX(big_daily_table,MATCH(DATE(P$5,$K240,$J240),daily_dates,0),MATCH($B$3,daily_items,0)))</f>
        <v>#N/A</v>
      </c>
      <c r="Q240" s="1" t="str">
        <f t="array" ref="Q240">IF(ISBLANK(INDEX(big_daily_table,MATCH(DATE(Q$5,$K240,$J240),daily_dates,0),MATCH($B$3,daily_items,0))),NA(),INDEX(big_daily_table,MATCH(DATE(Q$5,$K240,$J240),daily_dates,0),MATCH($B$3,daily_items,0)))</f>
        <v>#N/A</v>
      </c>
      <c r="R240" s="1" t="str">
        <f t="array" ref="R240">IF(ISBLANK(INDEX(big_daily_table,MATCH(DATE(R$5,$K240,$J240),daily_dates,0),MATCH($B$3,daily_items,0))),NA(),INDEX(big_daily_table,MATCH(DATE(R$5,$K240,$J240),daily_dates,0),MATCH($B$3,daily_items,0)))</f>
        <v>#N/A</v>
      </c>
      <c r="S240" s="1" t="str">
        <f t="array" ref="S240">IF(ISBLANK(INDEX(big_daily_table,MATCH(DATE(S$5,$K240,$J240),daily_dates,0),MATCH($B$3,daily_items,0))),NA(),INDEX(big_daily_table,MATCH(DATE(S$5,$K240,$J240),daily_dates,0),MATCH($B$3,daily_items,0)))</f>
        <v>#N/A</v>
      </c>
      <c r="T240" s="1" t="str">
        <f t="array" ref="T240">IF(ISBLANK(INDEX(big_daily_table,MATCH(DATE(T$5,$K240,$J240),daily_dates,0),MATCH($B$3,daily_items,0))),NA(),INDEX(big_daily_table,MATCH(DATE(T$5,$K240,$J240),daily_dates,0),MATCH($B$3,daily_items,0)))</f>
        <v>#N/A</v>
      </c>
      <c r="U240" s="1" t="str">
        <f t="array" ref="U240">IF(ISBLANK(INDEX(big_daily_table,MATCH(DATE(U$5,$K240,$J240),daily_dates,0),MATCH($B$3,daily_items,0))),NA(),INDEX(big_daily_table,MATCH(DATE(U$5,$K240,$J240),daily_dates,0),MATCH($B$3,daily_items,0)))</f>
        <v>#N/A</v>
      </c>
      <c r="V240" s="1" t="str">
        <f t="array" ref="V240">IF(ISBLANK(INDEX(big_daily_table,MATCH(DATE(V$5,$K240,$J240),daily_dates,0),MATCH($B$3,daily_items,0))),NA(),INDEX(big_daily_table,MATCH(DATE(V$5,$K240,$J240),daily_dates,0),MATCH($B$3,daily_items,0)))</f>
        <v>#N/A</v>
      </c>
      <c r="W240" s="1" t="str">
        <f t="array" ref="W240">IF(ISBLANK(INDEX(big_daily_table,MATCH(DATE(W$5,$K240,$J240),daily_dates,0),MATCH($B$3,daily_items,0))),NA(),INDEX(big_daily_table,MATCH(DATE(W$5,$K240,$J240),daily_dates,0),MATCH($B$3,daily_items,0)))</f>
        <v>#N/A</v>
      </c>
      <c r="X240" s="1" t="str">
        <f t="array" ref="X240">IF(ISBLANK(INDEX(big_daily_table,MATCH(DATE(X$5,$K240,$J240),daily_dates,0),MATCH($B$3,daily_items,0))),NA(),INDEX(big_daily_table,MATCH(DATE(X$5,$K240,$J240),daily_dates,0),MATCH($B$3,daily_items,0)))</f>
        <v>#N/A</v>
      </c>
      <c r="Y240" s="1" t="str">
        <f t="array" ref="Y240">IF(ISBLANK(INDEX(big_daily_table,MATCH(DATE(Y$5,$K240,$J240),daily_dates,0),MATCH($B$3,daily_items,0))),NA(),INDEX(big_daily_table,MATCH(DATE(Y$5,$K240,$J240),daily_dates,0),MATCH($B$3,daily_items,0)))</f>
        <v>#N/A</v>
      </c>
      <c r="Z240" s="1" t="str">
        <f t="array" ref="Z240">IF(ISBLANK(INDEX(big_daily_table,MATCH(DATE(Z$5,$K240,$J240),daily_dates,0),MATCH($B$3,daily_items,0))),NA(),INDEX(big_daily_table,MATCH(DATE(Z$5,$K240,$J240),daily_dates,0),MATCH($B$3,daily_items,0)))</f>
        <v>#N/A</v>
      </c>
      <c r="AA240" s="1" t="str">
        <f t="shared" si="5"/>
        <v>#NAME?</v>
      </c>
      <c r="AB240" s="1" t="str">
        <f t="shared" si="6"/>
        <v>#NAME?</v>
      </c>
      <c r="AC240" s="1" t="str">
        <f t="shared" si="7"/>
        <v>#NAME?</v>
      </c>
      <c r="AD240" s="1" t="str">
        <f t="shared" si="8"/>
        <v>#NAME?</v>
      </c>
    </row>
    <row r="241" ht="14.25" customHeight="1">
      <c r="H241" s="1">
        <f t="shared" si="9"/>
        <v>236</v>
      </c>
      <c r="I241" s="1">
        <f>WEEKDAY('daily graphs'!K241)</f>
        <v>4</v>
      </c>
      <c r="J241" s="1">
        <f t="shared" si="2"/>
        <v>19</v>
      </c>
      <c r="K241" s="1">
        <f t="shared" si="3"/>
        <v>8</v>
      </c>
      <c r="L241" s="23">
        <f>'daily graphs'!K241 - I241</f>
        <v>36757</v>
      </c>
      <c r="M241" s="24">
        <f t="shared" si="4"/>
        <v>-1000000</v>
      </c>
      <c r="N241" s="24" t="str">
        <f t="array" ref="N241">IF(M241&gt;0,INDEX(big_daily_table,MATCH(DATE(O$5,$K241,$J241),daily_dates,0),MATCH($B$3,daily_items,0)),NA())</f>
        <v>#N/A</v>
      </c>
      <c r="O241" s="1" t="str">
        <f t="array" ref="O241">IF(M241&lt;0,INDEX(big_daily_table,MATCH(DATE(O$5,$K241,$J241),daily_dates,0),MATCH($B$3,daily_items,0)),NA())</f>
        <v>#N/A</v>
      </c>
      <c r="P241" s="1" t="str">
        <f t="array" ref="P241">IF(ISBLANK(INDEX(big_daily_table,MATCH(DATE(P$5,$K241,$J241),daily_dates,0),MATCH($B$3,daily_items,0))),NA(),INDEX(big_daily_table,MATCH(DATE(P$5,$K241,$J241),daily_dates,0),MATCH($B$3,daily_items,0)))</f>
        <v>#N/A</v>
      </c>
      <c r="Q241" s="1" t="str">
        <f t="array" ref="Q241">IF(ISBLANK(INDEX(big_daily_table,MATCH(DATE(Q$5,$K241,$J241),daily_dates,0),MATCH($B$3,daily_items,0))),NA(),INDEX(big_daily_table,MATCH(DATE(Q$5,$K241,$J241),daily_dates,0),MATCH($B$3,daily_items,0)))</f>
        <v>#N/A</v>
      </c>
      <c r="R241" s="1" t="str">
        <f t="array" ref="R241">IF(ISBLANK(INDEX(big_daily_table,MATCH(DATE(R$5,$K241,$J241),daily_dates,0),MATCH($B$3,daily_items,0))),NA(),INDEX(big_daily_table,MATCH(DATE(R$5,$K241,$J241),daily_dates,0),MATCH($B$3,daily_items,0)))</f>
        <v>#N/A</v>
      </c>
      <c r="S241" s="1" t="str">
        <f t="array" ref="S241">IF(ISBLANK(INDEX(big_daily_table,MATCH(DATE(S$5,$K241,$J241),daily_dates,0),MATCH($B$3,daily_items,0))),NA(),INDEX(big_daily_table,MATCH(DATE(S$5,$K241,$J241),daily_dates,0),MATCH($B$3,daily_items,0)))</f>
        <v>#N/A</v>
      </c>
      <c r="T241" s="1" t="str">
        <f t="array" ref="T241">IF(ISBLANK(INDEX(big_daily_table,MATCH(DATE(T$5,$K241,$J241),daily_dates,0),MATCH($B$3,daily_items,0))),NA(),INDEX(big_daily_table,MATCH(DATE(T$5,$K241,$J241),daily_dates,0),MATCH($B$3,daily_items,0)))</f>
        <v>#N/A</v>
      </c>
      <c r="U241" s="1" t="str">
        <f t="array" ref="U241">IF(ISBLANK(INDEX(big_daily_table,MATCH(DATE(U$5,$K241,$J241),daily_dates,0),MATCH($B$3,daily_items,0))),NA(),INDEX(big_daily_table,MATCH(DATE(U$5,$K241,$J241),daily_dates,0),MATCH($B$3,daily_items,0)))</f>
        <v>#N/A</v>
      </c>
      <c r="V241" s="1" t="str">
        <f t="array" ref="V241">IF(ISBLANK(INDEX(big_daily_table,MATCH(DATE(V$5,$K241,$J241),daily_dates,0),MATCH($B$3,daily_items,0))),NA(),INDEX(big_daily_table,MATCH(DATE(V$5,$K241,$J241),daily_dates,0),MATCH($B$3,daily_items,0)))</f>
        <v>#N/A</v>
      </c>
      <c r="W241" s="1" t="str">
        <f t="array" ref="W241">IF(ISBLANK(INDEX(big_daily_table,MATCH(DATE(W$5,$K241,$J241),daily_dates,0),MATCH($B$3,daily_items,0))),NA(),INDEX(big_daily_table,MATCH(DATE(W$5,$K241,$J241),daily_dates,0),MATCH($B$3,daily_items,0)))</f>
        <v>#N/A</v>
      </c>
      <c r="X241" s="1" t="str">
        <f t="array" ref="X241">IF(ISBLANK(INDEX(big_daily_table,MATCH(DATE(X$5,$K241,$J241),daily_dates,0),MATCH($B$3,daily_items,0))),NA(),INDEX(big_daily_table,MATCH(DATE(X$5,$K241,$J241),daily_dates,0),MATCH($B$3,daily_items,0)))</f>
        <v>#N/A</v>
      </c>
      <c r="Y241" s="1" t="str">
        <f t="array" ref="Y241">IF(ISBLANK(INDEX(big_daily_table,MATCH(DATE(Y$5,$K241,$J241),daily_dates,0),MATCH($B$3,daily_items,0))),NA(),INDEX(big_daily_table,MATCH(DATE(Y$5,$K241,$J241),daily_dates,0),MATCH($B$3,daily_items,0)))</f>
        <v>#N/A</v>
      </c>
      <c r="Z241" s="1" t="str">
        <f t="array" ref="Z241">IF(ISBLANK(INDEX(big_daily_table,MATCH(DATE(Z$5,$K241,$J241),daily_dates,0),MATCH($B$3,daily_items,0))),NA(),INDEX(big_daily_table,MATCH(DATE(Z$5,$K241,$J241),daily_dates,0),MATCH($B$3,daily_items,0)))</f>
        <v>#N/A</v>
      </c>
      <c r="AA241" s="1" t="str">
        <f t="shared" si="5"/>
        <v>#NAME?</v>
      </c>
      <c r="AB241" s="1" t="str">
        <f t="shared" si="6"/>
        <v>#NAME?</v>
      </c>
      <c r="AC241" s="1" t="str">
        <f t="shared" si="7"/>
        <v>#NAME?</v>
      </c>
      <c r="AD241" s="1" t="str">
        <f t="shared" si="8"/>
        <v>#NAME?</v>
      </c>
    </row>
    <row r="242" ht="14.25" customHeight="1">
      <c r="H242" s="1">
        <f t="shared" si="9"/>
        <v>237</v>
      </c>
      <c r="I242" s="1">
        <f>WEEKDAY('daily graphs'!K242)</f>
        <v>5</v>
      </c>
      <c r="J242" s="1">
        <f t="shared" si="2"/>
        <v>19</v>
      </c>
      <c r="K242" s="1">
        <f t="shared" si="3"/>
        <v>8</v>
      </c>
      <c r="L242" s="23">
        <f>'daily graphs'!K242 - I242</f>
        <v>36757</v>
      </c>
      <c r="M242" s="24">
        <f t="shared" si="4"/>
        <v>-1000000</v>
      </c>
      <c r="N242" s="24" t="str">
        <f t="array" ref="N242">IF(M242&gt;0,INDEX(big_daily_table,MATCH(DATE(O$5,$K242,$J242),daily_dates,0),MATCH($B$3,daily_items,0)),NA())</f>
        <v>#N/A</v>
      </c>
      <c r="O242" s="1" t="str">
        <f t="array" ref="O242">IF(M242&lt;0,INDEX(big_daily_table,MATCH(DATE(O$5,$K242,$J242),daily_dates,0),MATCH($B$3,daily_items,0)),NA())</f>
        <v>#N/A</v>
      </c>
      <c r="P242" s="1" t="str">
        <f t="array" ref="P242">IF(ISBLANK(INDEX(big_daily_table,MATCH(DATE(P$5,$K242,$J242),daily_dates,0),MATCH($B$3,daily_items,0))),NA(),INDEX(big_daily_table,MATCH(DATE(P$5,$K242,$J242),daily_dates,0),MATCH($B$3,daily_items,0)))</f>
        <v>#N/A</v>
      </c>
      <c r="Q242" s="1" t="str">
        <f t="array" ref="Q242">IF(ISBLANK(INDEX(big_daily_table,MATCH(DATE(Q$5,$K242,$J242),daily_dates,0),MATCH($B$3,daily_items,0))),NA(),INDEX(big_daily_table,MATCH(DATE(Q$5,$K242,$J242),daily_dates,0),MATCH($B$3,daily_items,0)))</f>
        <v>#N/A</v>
      </c>
      <c r="R242" s="1" t="str">
        <f t="array" ref="R242">IF(ISBLANK(INDEX(big_daily_table,MATCH(DATE(R$5,$K242,$J242),daily_dates,0),MATCH($B$3,daily_items,0))),NA(),INDEX(big_daily_table,MATCH(DATE(R$5,$K242,$J242),daily_dates,0),MATCH($B$3,daily_items,0)))</f>
        <v>#N/A</v>
      </c>
      <c r="S242" s="1" t="str">
        <f t="array" ref="S242">IF(ISBLANK(INDEX(big_daily_table,MATCH(DATE(S$5,$K242,$J242),daily_dates,0),MATCH($B$3,daily_items,0))),NA(),INDEX(big_daily_table,MATCH(DATE(S$5,$K242,$J242),daily_dates,0),MATCH($B$3,daily_items,0)))</f>
        <v>#N/A</v>
      </c>
      <c r="T242" s="1" t="str">
        <f t="array" ref="T242">IF(ISBLANK(INDEX(big_daily_table,MATCH(DATE(T$5,$K242,$J242),daily_dates,0),MATCH($B$3,daily_items,0))),NA(),INDEX(big_daily_table,MATCH(DATE(T$5,$K242,$J242),daily_dates,0),MATCH($B$3,daily_items,0)))</f>
        <v>#N/A</v>
      </c>
      <c r="U242" s="1" t="str">
        <f t="array" ref="U242">IF(ISBLANK(INDEX(big_daily_table,MATCH(DATE(U$5,$K242,$J242),daily_dates,0),MATCH($B$3,daily_items,0))),NA(),INDEX(big_daily_table,MATCH(DATE(U$5,$K242,$J242),daily_dates,0),MATCH($B$3,daily_items,0)))</f>
        <v>#N/A</v>
      </c>
      <c r="V242" s="1" t="str">
        <f t="array" ref="V242">IF(ISBLANK(INDEX(big_daily_table,MATCH(DATE(V$5,$K242,$J242),daily_dates,0),MATCH($B$3,daily_items,0))),NA(),INDEX(big_daily_table,MATCH(DATE(V$5,$K242,$J242),daily_dates,0),MATCH($B$3,daily_items,0)))</f>
        <v>#N/A</v>
      </c>
      <c r="W242" s="1" t="str">
        <f t="array" ref="W242">IF(ISBLANK(INDEX(big_daily_table,MATCH(DATE(W$5,$K242,$J242),daily_dates,0),MATCH($B$3,daily_items,0))),NA(),INDEX(big_daily_table,MATCH(DATE(W$5,$K242,$J242),daily_dates,0),MATCH($B$3,daily_items,0)))</f>
        <v>#N/A</v>
      </c>
      <c r="X242" s="1" t="str">
        <f t="array" ref="X242">IF(ISBLANK(INDEX(big_daily_table,MATCH(DATE(X$5,$K242,$J242),daily_dates,0),MATCH($B$3,daily_items,0))),NA(),INDEX(big_daily_table,MATCH(DATE(X$5,$K242,$J242),daily_dates,0),MATCH($B$3,daily_items,0)))</f>
        <v>#N/A</v>
      </c>
      <c r="Y242" s="1" t="str">
        <f t="array" ref="Y242">IF(ISBLANK(INDEX(big_daily_table,MATCH(DATE(Y$5,$K242,$J242),daily_dates,0),MATCH($B$3,daily_items,0))),NA(),INDEX(big_daily_table,MATCH(DATE(Y$5,$K242,$J242),daily_dates,0),MATCH($B$3,daily_items,0)))</f>
        <v>#N/A</v>
      </c>
      <c r="Z242" s="1" t="str">
        <f t="array" ref="Z242">IF(ISBLANK(INDEX(big_daily_table,MATCH(DATE(Z$5,$K242,$J242),daily_dates,0),MATCH($B$3,daily_items,0))),NA(),INDEX(big_daily_table,MATCH(DATE(Z$5,$K242,$J242),daily_dates,0),MATCH($B$3,daily_items,0)))</f>
        <v>#N/A</v>
      </c>
      <c r="AA242" s="1" t="str">
        <f t="shared" si="5"/>
        <v>#NAME?</v>
      </c>
      <c r="AB242" s="1" t="str">
        <f t="shared" si="6"/>
        <v>#NAME?</v>
      </c>
      <c r="AC242" s="1" t="str">
        <f t="shared" si="7"/>
        <v>#NAME?</v>
      </c>
      <c r="AD242" s="1" t="str">
        <f t="shared" si="8"/>
        <v>#NAME?</v>
      </c>
    </row>
    <row r="243" ht="14.25" customHeight="1">
      <c r="H243" s="1">
        <f t="shared" si="9"/>
        <v>238</v>
      </c>
      <c r="I243" s="1">
        <f>WEEKDAY('daily graphs'!K243)</f>
        <v>6</v>
      </c>
      <c r="J243" s="1">
        <f t="shared" si="2"/>
        <v>19</v>
      </c>
      <c r="K243" s="1">
        <f t="shared" si="3"/>
        <v>8</v>
      </c>
      <c r="L243" s="23">
        <f>'daily graphs'!K243 - I243</f>
        <v>36757</v>
      </c>
      <c r="M243" s="24">
        <f t="shared" si="4"/>
        <v>-1000000</v>
      </c>
      <c r="N243" s="24" t="str">
        <f t="array" ref="N243">IF(M243&gt;0,INDEX(big_daily_table,MATCH(DATE(O$5,$K243,$J243),daily_dates,0),MATCH($B$3,daily_items,0)),NA())</f>
        <v>#N/A</v>
      </c>
      <c r="O243" s="1" t="str">
        <f t="array" ref="O243">IF(M243&lt;0,INDEX(big_daily_table,MATCH(DATE(O$5,$K243,$J243),daily_dates,0),MATCH($B$3,daily_items,0)),NA())</f>
        <v>#N/A</v>
      </c>
      <c r="P243" s="1" t="str">
        <f t="array" ref="P243">IF(ISBLANK(INDEX(big_daily_table,MATCH(DATE(P$5,$K243,$J243),daily_dates,0),MATCH($B$3,daily_items,0))),NA(),INDEX(big_daily_table,MATCH(DATE(P$5,$K243,$J243),daily_dates,0),MATCH($B$3,daily_items,0)))</f>
        <v>#N/A</v>
      </c>
      <c r="Q243" s="1" t="str">
        <f t="array" ref="Q243">IF(ISBLANK(INDEX(big_daily_table,MATCH(DATE(Q$5,$K243,$J243),daily_dates,0),MATCH($B$3,daily_items,0))),NA(),INDEX(big_daily_table,MATCH(DATE(Q$5,$K243,$J243),daily_dates,0),MATCH($B$3,daily_items,0)))</f>
        <v>#N/A</v>
      </c>
      <c r="R243" s="1" t="str">
        <f t="array" ref="R243">IF(ISBLANK(INDEX(big_daily_table,MATCH(DATE(R$5,$K243,$J243),daily_dates,0),MATCH($B$3,daily_items,0))),NA(),INDEX(big_daily_table,MATCH(DATE(R$5,$K243,$J243),daily_dates,0),MATCH($B$3,daily_items,0)))</f>
        <v>#N/A</v>
      </c>
      <c r="S243" s="1" t="str">
        <f t="array" ref="S243">IF(ISBLANK(INDEX(big_daily_table,MATCH(DATE(S$5,$K243,$J243),daily_dates,0),MATCH($B$3,daily_items,0))),NA(),INDEX(big_daily_table,MATCH(DATE(S$5,$K243,$J243),daily_dates,0),MATCH($B$3,daily_items,0)))</f>
        <v>#N/A</v>
      </c>
      <c r="T243" s="1" t="str">
        <f t="array" ref="T243">IF(ISBLANK(INDEX(big_daily_table,MATCH(DATE(T$5,$K243,$J243),daily_dates,0),MATCH($B$3,daily_items,0))),NA(),INDEX(big_daily_table,MATCH(DATE(T$5,$K243,$J243),daily_dates,0),MATCH($B$3,daily_items,0)))</f>
        <v>#N/A</v>
      </c>
      <c r="U243" s="1" t="str">
        <f t="array" ref="U243">IF(ISBLANK(INDEX(big_daily_table,MATCH(DATE(U$5,$K243,$J243),daily_dates,0),MATCH($B$3,daily_items,0))),NA(),INDEX(big_daily_table,MATCH(DATE(U$5,$K243,$J243),daily_dates,0),MATCH($B$3,daily_items,0)))</f>
        <v>#N/A</v>
      </c>
      <c r="V243" s="1" t="str">
        <f t="array" ref="V243">IF(ISBLANK(INDEX(big_daily_table,MATCH(DATE(V$5,$K243,$J243),daily_dates,0),MATCH($B$3,daily_items,0))),NA(),INDEX(big_daily_table,MATCH(DATE(V$5,$K243,$J243),daily_dates,0),MATCH($B$3,daily_items,0)))</f>
        <v>#N/A</v>
      </c>
      <c r="W243" s="1" t="str">
        <f t="array" ref="W243">IF(ISBLANK(INDEX(big_daily_table,MATCH(DATE(W$5,$K243,$J243),daily_dates,0),MATCH($B$3,daily_items,0))),NA(),INDEX(big_daily_table,MATCH(DATE(W$5,$K243,$J243),daily_dates,0),MATCH($B$3,daily_items,0)))</f>
        <v>#N/A</v>
      </c>
      <c r="X243" s="1" t="str">
        <f t="array" ref="X243">IF(ISBLANK(INDEX(big_daily_table,MATCH(DATE(X$5,$K243,$J243),daily_dates,0),MATCH($B$3,daily_items,0))),NA(),INDEX(big_daily_table,MATCH(DATE(X$5,$K243,$J243),daily_dates,0),MATCH($B$3,daily_items,0)))</f>
        <v>#N/A</v>
      </c>
      <c r="Y243" s="1" t="str">
        <f t="array" ref="Y243">IF(ISBLANK(INDEX(big_daily_table,MATCH(DATE(Y$5,$K243,$J243),daily_dates,0),MATCH($B$3,daily_items,0))),NA(),INDEX(big_daily_table,MATCH(DATE(Y$5,$K243,$J243),daily_dates,0),MATCH($B$3,daily_items,0)))</f>
        <v>#N/A</v>
      </c>
      <c r="Z243" s="1" t="str">
        <f t="array" ref="Z243">IF(ISBLANK(INDEX(big_daily_table,MATCH(DATE(Z$5,$K243,$J243),daily_dates,0),MATCH($B$3,daily_items,0))),NA(),INDEX(big_daily_table,MATCH(DATE(Z$5,$K243,$J243),daily_dates,0),MATCH($B$3,daily_items,0)))</f>
        <v>#N/A</v>
      </c>
      <c r="AA243" s="1" t="str">
        <f t="shared" si="5"/>
        <v>#NAME?</v>
      </c>
      <c r="AB243" s="1" t="str">
        <f t="shared" si="6"/>
        <v>#NAME?</v>
      </c>
      <c r="AC243" s="1" t="str">
        <f t="shared" si="7"/>
        <v>#NAME?</v>
      </c>
      <c r="AD243" s="1" t="str">
        <f t="shared" si="8"/>
        <v>#NAME?</v>
      </c>
    </row>
    <row r="244" ht="14.25" customHeight="1">
      <c r="H244" s="1">
        <f t="shared" si="9"/>
        <v>239</v>
      </c>
      <c r="I244" s="1">
        <f>WEEKDAY('daily graphs'!K244)</f>
        <v>7</v>
      </c>
      <c r="J244" s="1">
        <f t="shared" si="2"/>
        <v>19</v>
      </c>
      <c r="K244" s="1">
        <f t="shared" si="3"/>
        <v>8</v>
      </c>
      <c r="L244" s="23">
        <f>'daily graphs'!K244 - I244</f>
        <v>36757</v>
      </c>
      <c r="M244" s="24">
        <f t="shared" si="4"/>
        <v>-1000000</v>
      </c>
      <c r="N244" s="24" t="str">
        <f t="array" ref="N244">IF(M244&gt;0,INDEX(big_daily_table,MATCH(DATE(O$5,$K244,$J244),daily_dates,0),MATCH($B$3,daily_items,0)),NA())</f>
        <v>#N/A</v>
      </c>
      <c r="O244" s="1" t="str">
        <f t="array" ref="O244">IF(M244&lt;0,INDEX(big_daily_table,MATCH(DATE(O$5,$K244,$J244),daily_dates,0),MATCH($B$3,daily_items,0)),NA())</f>
        <v>#N/A</v>
      </c>
      <c r="P244" s="1" t="str">
        <f t="array" ref="P244">IF(ISBLANK(INDEX(big_daily_table,MATCH(DATE(P$5,$K244,$J244),daily_dates,0),MATCH($B$3,daily_items,0))),NA(),INDEX(big_daily_table,MATCH(DATE(P$5,$K244,$J244),daily_dates,0),MATCH($B$3,daily_items,0)))</f>
        <v>#N/A</v>
      </c>
      <c r="Q244" s="1" t="str">
        <f t="array" ref="Q244">IF(ISBLANK(INDEX(big_daily_table,MATCH(DATE(Q$5,$K244,$J244),daily_dates,0),MATCH($B$3,daily_items,0))),NA(),INDEX(big_daily_table,MATCH(DATE(Q$5,$K244,$J244),daily_dates,0),MATCH($B$3,daily_items,0)))</f>
        <v>#N/A</v>
      </c>
      <c r="R244" s="1" t="str">
        <f t="array" ref="R244">IF(ISBLANK(INDEX(big_daily_table,MATCH(DATE(R$5,$K244,$J244),daily_dates,0),MATCH($B$3,daily_items,0))),NA(),INDEX(big_daily_table,MATCH(DATE(R$5,$K244,$J244),daily_dates,0),MATCH($B$3,daily_items,0)))</f>
        <v>#N/A</v>
      </c>
      <c r="S244" s="1" t="str">
        <f t="array" ref="S244">IF(ISBLANK(INDEX(big_daily_table,MATCH(DATE(S$5,$K244,$J244),daily_dates,0),MATCH($B$3,daily_items,0))),NA(),INDEX(big_daily_table,MATCH(DATE(S$5,$K244,$J244),daily_dates,0),MATCH($B$3,daily_items,0)))</f>
        <v>#N/A</v>
      </c>
      <c r="T244" s="1" t="str">
        <f t="array" ref="T244">IF(ISBLANK(INDEX(big_daily_table,MATCH(DATE(T$5,$K244,$J244),daily_dates,0),MATCH($B$3,daily_items,0))),NA(),INDEX(big_daily_table,MATCH(DATE(T$5,$K244,$J244),daily_dates,0),MATCH($B$3,daily_items,0)))</f>
        <v>#N/A</v>
      </c>
      <c r="U244" s="1" t="str">
        <f t="array" ref="U244">IF(ISBLANK(INDEX(big_daily_table,MATCH(DATE(U$5,$K244,$J244),daily_dates,0),MATCH($B$3,daily_items,0))),NA(),INDEX(big_daily_table,MATCH(DATE(U$5,$K244,$J244),daily_dates,0),MATCH($B$3,daily_items,0)))</f>
        <v>#N/A</v>
      </c>
      <c r="V244" s="1" t="str">
        <f t="array" ref="V244">IF(ISBLANK(INDEX(big_daily_table,MATCH(DATE(V$5,$K244,$J244),daily_dates,0),MATCH($B$3,daily_items,0))),NA(),INDEX(big_daily_table,MATCH(DATE(V$5,$K244,$J244),daily_dates,0),MATCH($B$3,daily_items,0)))</f>
        <v>#N/A</v>
      </c>
      <c r="W244" s="1" t="str">
        <f t="array" ref="W244">IF(ISBLANK(INDEX(big_daily_table,MATCH(DATE(W$5,$K244,$J244),daily_dates,0),MATCH($B$3,daily_items,0))),NA(),INDEX(big_daily_table,MATCH(DATE(W$5,$K244,$J244),daily_dates,0),MATCH($B$3,daily_items,0)))</f>
        <v>#N/A</v>
      </c>
      <c r="X244" s="1" t="str">
        <f t="array" ref="X244">IF(ISBLANK(INDEX(big_daily_table,MATCH(DATE(X$5,$K244,$J244),daily_dates,0),MATCH($B$3,daily_items,0))),NA(),INDEX(big_daily_table,MATCH(DATE(X$5,$K244,$J244),daily_dates,0),MATCH($B$3,daily_items,0)))</f>
        <v>#N/A</v>
      </c>
      <c r="Y244" s="1" t="str">
        <f t="array" ref="Y244">IF(ISBLANK(INDEX(big_daily_table,MATCH(DATE(Y$5,$K244,$J244),daily_dates,0),MATCH($B$3,daily_items,0))),NA(),INDEX(big_daily_table,MATCH(DATE(Y$5,$K244,$J244),daily_dates,0),MATCH($B$3,daily_items,0)))</f>
        <v>#N/A</v>
      </c>
      <c r="Z244" s="1" t="str">
        <f t="array" ref="Z244">IF(ISBLANK(INDEX(big_daily_table,MATCH(DATE(Z$5,$K244,$J244),daily_dates,0),MATCH($B$3,daily_items,0))),NA(),INDEX(big_daily_table,MATCH(DATE(Z$5,$K244,$J244),daily_dates,0),MATCH($B$3,daily_items,0)))</f>
        <v>#N/A</v>
      </c>
      <c r="AA244" s="1" t="str">
        <f t="shared" si="5"/>
        <v>#NAME?</v>
      </c>
      <c r="AB244" s="1" t="str">
        <f t="shared" si="6"/>
        <v>#NAME?</v>
      </c>
      <c r="AC244" s="1" t="str">
        <f t="shared" si="7"/>
        <v>#NAME?</v>
      </c>
      <c r="AD244" s="1" t="str">
        <f t="shared" si="8"/>
        <v>#NAME?</v>
      </c>
    </row>
    <row r="245" ht="14.25" customHeight="1">
      <c r="H245" s="1">
        <f t="shared" si="9"/>
        <v>240</v>
      </c>
      <c r="I245" s="1">
        <f>WEEKDAY('daily graphs'!K245)</f>
        <v>1</v>
      </c>
      <c r="J245" s="1">
        <f t="shared" si="2"/>
        <v>26</v>
      </c>
      <c r="K245" s="1">
        <f t="shared" si="3"/>
        <v>8</v>
      </c>
      <c r="L245" s="23">
        <f>'daily graphs'!K245 - I245</f>
        <v>36764</v>
      </c>
      <c r="M245" s="24">
        <f t="shared" si="4"/>
        <v>-1000000</v>
      </c>
      <c r="N245" s="24" t="str">
        <f t="array" ref="N245">IF(M245&gt;0,INDEX(big_daily_table,MATCH(DATE(O$5,$K245,$J245),daily_dates,0),MATCH($B$3,daily_items,0)),NA())</f>
        <v>#N/A</v>
      </c>
      <c r="O245" s="1" t="str">
        <f t="array" ref="O245">IF(M245&lt;0,INDEX(big_daily_table,MATCH(DATE(O$5,$K245,$J245),daily_dates,0),MATCH($B$3,daily_items,0)),NA())</f>
        <v>#N/A</v>
      </c>
      <c r="P245" s="1" t="str">
        <f t="array" ref="P245">IF(ISBLANK(INDEX(big_daily_table,MATCH(DATE(P$5,$K245,$J245),daily_dates,0),MATCH($B$3,daily_items,0))),NA(),INDEX(big_daily_table,MATCH(DATE(P$5,$K245,$J245),daily_dates,0),MATCH($B$3,daily_items,0)))</f>
        <v>#N/A</v>
      </c>
      <c r="Q245" s="1" t="str">
        <f t="array" ref="Q245">IF(ISBLANK(INDEX(big_daily_table,MATCH(DATE(Q$5,$K245,$J245),daily_dates,0),MATCH($B$3,daily_items,0))),NA(),INDEX(big_daily_table,MATCH(DATE(Q$5,$K245,$J245),daily_dates,0),MATCH($B$3,daily_items,0)))</f>
        <v>#N/A</v>
      </c>
      <c r="R245" s="1" t="str">
        <f t="array" ref="R245">IF(ISBLANK(INDEX(big_daily_table,MATCH(DATE(R$5,$K245,$J245),daily_dates,0),MATCH($B$3,daily_items,0))),NA(),INDEX(big_daily_table,MATCH(DATE(R$5,$K245,$J245),daily_dates,0),MATCH($B$3,daily_items,0)))</f>
        <v>#N/A</v>
      </c>
      <c r="S245" s="1" t="str">
        <f t="array" ref="S245">IF(ISBLANK(INDEX(big_daily_table,MATCH(DATE(S$5,$K245,$J245),daily_dates,0),MATCH($B$3,daily_items,0))),NA(),INDEX(big_daily_table,MATCH(DATE(S$5,$K245,$J245),daily_dates,0),MATCH($B$3,daily_items,0)))</f>
        <v>#N/A</v>
      </c>
      <c r="T245" s="1" t="str">
        <f t="array" ref="T245">IF(ISBLANK(INDEX(big_daily_table,MATCH(DATE(T$5,$K245,$J245),daily_dates,0),MATCH($B$3,daily_items,0))),NA(),INDEX(big_daily_table,MATCH(DATE(T$5,$K245,$J245),daily_dates,0),MATCH($B$3,daily_items,0)))</f>
        <v>#N/A</v>
      </c>
      <c r="U245" s="1" t="str">
        <f t="array" ref="U245">IF(ISBLANK(INDEX(big_daily_table,MATCH(DATE(U$5,$K245,$J245),daily_dates,0),MATCH($B$3,daily_items,0))),NA(),INDEX(big_daily_table,MATCH(DATE(U$5,$K245,$J245),daily_dates,0),MATCH($B$3,daily_items,0)))</f>
        <v>#N/A</v>
      </c>
      <c r="V245" s="1" t="str">
        <f t="array" ref="V245">IF(ISBLANK(INDEX(big_daily_table,MATCH(DATE(V$5,$K245,$J245),daily_dates,0),MATCH($B$3,daily_items,0))),NA(),INDEX(big_daily_table,MATCH(DATE(V$5,$K245,$J245),daily_dates,0),MATCH($B$3,daily_items,0)))</f>
        <v>#N/A</v>
      </c>
      <c r="W245" s="1" t="str">
        <f t="array" ref="W245">IF(ISBLANK(INDEX(big_daily_table,MATCH(DATE(W$5,$K245,$J245),daily_dates,0),MATCH($B$3,daily_items,0))),NA(),INDEX(big_daily_table,MATCH(DATE(W$5,$K245,$J245),daily_dates,0),MATCH($B$3,daily_items,0)))</f>
        <v>#N/A</v>
      </c>
      <c r="X245" s="1" t="str">
        <f t="array" ref="X245">IF(ISBLANK(INDEX(big_daily_table,MATCH(DATE(X$5,$K245,$J245),daily_dates,0),MATCH($B$3,daily_items,0))),NA(),INDEX(big_daily_table,MATCH(DATE(X$5,$K245,$J245),daily_dates,0),MATCH($B$3,daily_items,0)))</f>
        <v>#N/A</v>
      </c>
      <c r="Y245" s="1" t="str">
        <f t="array" ref="Y245">IF(ISBLANK(INDEX(big_daily_table,MATCH(DATE(Y$5,$K245,$J245),daily_dates,0),MATCH($B$3,daily_items,0))),NA(),INDEX(big_daily_table,MATCH(DATE(Y$5,$K245,$J245),daily_dates,0),MATCH($B$3,daily_items,0)))</f>
        <v>#N/A</v>
      </c>
      <c r="Z245" s="1" t="str">
        <f t="array" ref="Z245">IF(ISBLANK(INDEX(big_daily_table,MATCH(DATE(Z$5,$K245,$J245),daily_dates,0),MATCH($B$3,daily_items,0))),NA(),INDEX(big_daily_table,MATCH(DATE(Z$5,$K245,$J245),daily_dates,0),MATCH($B$3,daily_items,0)))</f>
        <v>#N/A</v>
      </c>
      <c r="AA245" s="1" t="str">
        <f t="shared" si="5"/>
        <v>#NAME?</v>
      </c>
      <c r="AB245" s="1" t="str">
        <f t="shared" si="6"/>
        <v>#NAME?</v>
      </c>
      <c r="AC245" s="1" t="str">
        <f t="shared" si="7"/>
        <v>#NAME?</v>
      </c>
      <c r="AD245" s="1" t="str">
        <f t="shared" si="8"/>
        <v>#NAME?</v>
      </c>
    </row>
    <row r="246" ht="14.25" customHeight="1">
      <c r="H246" s="1">
        <f t="shared" si="9"/>
        <v>241</v>
      </c>
      <c r="I246" s="1">
        <f>WEEKDAY('daily graphs'!K246)</f>
        <v>2</v>
      </c>
      <c r="J246" s="1">
        <f t="shared" si="2"/>
        <v>26</v>
      </c>
      <c r="K246" s="1">
        <f t="shared" si="3"/>
        <v>8</v>
      </c>
      <c r="L246" s="23">
        <f>'daily graphs'!K246 - I246</f>
        <v>36764</v>
      </c>
      <c r="M246" s="24">
        <f t="shared" si="4"/>
        <v>-1000000</v>
      </c>
      <c r="N246" s="24" t="str">
        <f t="array" ref="N246">IF(M246&gt;0,INDEX(big_daily_table,MATCH(DATE(O$5,$K246,$J246),daily_dates,0),MATCH($B$3,daily_items,0)),NA())</f>
        <v>#N/A</v>
      </c>
      <c r="O246" s="1" t="str">
        <f t="array" ref="O246">IF(M246&lt;0,INDEX(big_daily_table,MATCH(DATE(O$5,$K246,$J246),daily_dates,0),MATCH($B$3,daily_items,0)),NA())</f>
        <v>#N/A</v>
      </c>
      <c r="P246" s="1" t="str">
        <f t="array" ref="P246">IF(ISBLANK(INDEX(big_daily_table,MATCH(DATE(P$5,$K246,$J246),daily_dates,0),MATCH($B$3,daily_items,0))),NA(),INDEX(big_daily_table,MATCH(DATE(P$5,$K246,$J246),daily_dates,0),MATCH($B$3,daily_items,0)))</f>
        <v>#N/A</v>
      </c>
      <c r="Q246" s="1" t="str">
        <f t="array" ref="Q246">IF(ISBLANK(INDEX(big_daily_table,MATCH(DATE(Q$5,$K246,$J246),daily_dates,0),MATCH($B$3,daily_items,0))),NA(),INDEX(big_daily_table,MATCH(DATE(Q$5,$K246,$J246),daily_dates,0),MATCH($B$3,daily_items,0)))</f>
        <v>#N/A</v>
      </c>
      <c r="R246" s="1" t="str">
        <f t="array" ref="R246">IF(ISBLANK(INDEX(big_daily_table,MATCH(DATE(R$5,$K246,$J246),daily_dates,0),MATCH($B$3,daily_items,0))),NA(),INDEX(big_daily_table,MATCH(DATE(R$5,$K246,$J246),daily_dates,0),MATCH($B$3,daily_items,0)))</f>
        <v>#N/A</v>
      </c>
      <c r="S246" s="1" t="str">
        <f t="array" ref="S246">IF(ISBLANK(INDEX(big_daily_table,MATCH(DATE(S$5,$K246,$J246),daily_dates,0),MATCH($B$3,daily_items,0))),NA(),INDEX(big_daily_table,MATCH(DATE(S$5,$K246,$J246),daily_dates,0),MATCH($B$3,daily_items,0)))</f>
        <v>#N/A</v>
      </c>
      <c r="T246" s="1" t="str">
        <f t="array" ref="T246">IF(ISBLANK(INDEX(big_daily_table,MATCH(DATE(T$5,$K246,$J246),daily_dates,0),MATCH($B$3,daily_items,0))),NA(),INDEX(big_daily_table,MATCH(DATE(T$5,$K246,$J246),daily_dates,0),MATCH($B$3,daily_items,0)))</f>
        <v>#N/A</v>
      </c>
      <c r="U246" s="1" t="str">
        <f t="array" ref="U246">IF(ISBLANK(INDEX(big_daily_table,MATCH(DATE(U$5,$K246,$J246),daily_dates,0),MATCH($B$3,daily_items,0))),NA(),INDEX(big_daily_table,MATCH(DATE(U$5,$K246,$J246),daily_dates,0),MATCH($B$3,daily_items,0)))</f>
        <v>#N/A</v>
      </c>
      <c r="V246" s="1" t="str">
        <f t="array" ref="V246">IF(ISBLANK(INDEX(big_daily_table,MATCH(DATE(V$5,$K246,$J246),daily_dates,0),MATCH($B$3,daily_items,0))),NA(),INDEX(big_daily_table,MATCH(DATE(V$5,$K246,$J246),daily_dates,0),MATCH($B$3,daily_items,0)))</f>
        <v>#N/A</v>
      </c>
      <c r="W246" s="1" t="str">
        <f t="array" ref="W246">IF(ISBLANK(INDEX(big_daily_table,MATCH(DATE(W$5,$K246,$J246),daily_dates,0),MATCH($B$3,daily_items,0))),NA(),INDEX(big_daily_table,MATCH(DATE(W$5,$K246,$J246),daily_dates,0),MATCH($B$3,daily_items,0)))</f>
        <v>#N/A</v>
      </c>
      <c r="X246" s="1" t="str">
        <f t="array" ref="X246">IF(ISBLANK(INDEX(big_daily_table,MATCH(DATE(X$5,$K246,$J246),daily_dates,0),MATCH($B$3,daily_items,0))),NA(),INDEX(big_daily_table,MATCH(DATE(X$5,$K246,$J246),daily_dates,0),MATCH($B$3,daily_items,0)))</f>
        <v>#N/A</v>
      </c>
      <c r="Y246" s="1" t="str">
        <f t="array" ref="Y246">IF(ISBLANK(INDEX(big_daily_table,MATCH(DATE(Y$5,$K246,$J246),daily_dates,0),MATCH($B$3,daily_items,0))),NA(),INDEX(big_daily_table,MATCH(DATE(Y$5,$K246,$J246),daily_dates,0),MATCH($B$3,daily_items,0)))</f>
        <v>#N/A</v>
      </c>
      <c r="Z246" s="1" t="str">
        <f t="array" ref="Z246">IF(ISBLANK(INDEX(big_daily_table,MATCH(DATE(Z$5,$K246,$J246),daily_dates,0),MATCH($B$3,daily_items,0))),NA(),INDEX(big_daily_table,MATCH(DATE(Z$5,$K246,$J246),daily_dates,0),MATCH($B$3,daily_items,0)))</f>
        <v>#N/A</v>
      </c>
      <c r="AA246" s="1" t="str">
        <f t="shared" si="5"/>
        <v>#NAME?</v>
      </c>
      <c r="AB246" s="1" t="str">
        <f t="shared" si="6"/>
        <v>#NAME?</v>
      </c>
      <c r="AC246" s="1" t="str">
        <f t="shared" si="7"/>
        <v>#NAME?</v>
      </c>
      <c r="AD246" s="1" t="str">
        <f t="shared" si="8"/>
        <v>#NAME?</v>
      </c>
    </row>
    <row r="247" ht="14.25" customHeight="1">
      <c r="H247" s="1">
        <f t="shared" si="9"/>
        <v>242</v>
      </c>
      <c r="I247" s="1">
        <f>WEEKDAY('daily graphs'!K247)</f>
        <v>3</v>
      </c>
      <c r="J247" s="1">
        <f t="shared" si="2"/>
        <v>26</v>
      </c>
      <c r="K247" s="1">
        <f t="shared" si="3"/>
        <v>8</v>
      </c>
      <c r="L247" s="23">
        <f>'daily graphs'!K247 - I247</f>
        <v>36764</v>
      </c>
      <c r="M247" s="24">
        <f t="shared" si="4"/>
        <v>-1000000</v>
      </c>
      <c r="N247" s="24" t="str">
        <f t="array" ref="N247">IF(M247&gt;0,INDEX(big_daily_table,MATCH(DATE(O$5,$K247,$J247),daily_dates,0),MATCH($B$3,daily_items,0)),NA())</f>
        <v>#N/A</v>
      </c>
      <c r="O247" s="1" t="str">
        <f t="array" ref="O247">IF(M247&lt;0,INDEX(big_daily_table,MATCH(DATE(O$5,$K247,$J247),daily_dates,0),MATCH($B$3,daily_items,0)),NA())</f>
        <v>#N/A</v>
      </c>
      <c r="P247" s="1" t="str">
        <f t="array" ref="P247">IF(ISBLANK(INDEX(big_daily_table,MATCH(DATE(P$5,$K247,$J247),daily_dates,0),MATCH($B$3,daily_items,0))),NA(),INDEX(big_daily_table,MATCH(DATE(P$5,$K247,$J247),daily_dates,0),MATCH($B$3,daily_items,0)))</f>
        <v>#N/A</v>
      </c>
      <c r="Q247" s="1" t="str">
        <f t="array" ref="Q247">IF(ISBLANK(INDEX(big_daily_table,MATCH(DATE(Q$5,$K247,$J247),daily_dates,0),MATCH($B$3,daily_items,0))),NA(),INDEX(big_daily_table,MATCH(DATE(Q$5,$K247,$J247),daily_dates,0),MATCH($B$3,daily_items,0)))</f>
        <v>#N/A</v>
      </c>
      <c r="R247" s="1" t="str">
        <f t="array" ref="R247">IF(ISBLANK(INDEX(big_daily_table,MATCH(DATE(R$5,$K247,$J247),daily_dates,0),MATCH($B$3,daily_items,0))),NA(),INDEX(big_daily_table,MATCH(DATE(R$5,$K247,$J247),daily_dates,0),MATCH($B$3,daily_items,0)))</f>
        <v>#N/A</v>
      </c>
      <c r="S247" s="1" t="str">
        <f t="array" ref="S247">IF(ISBLANK(INDEX(big_daily_table,MATCH(DATE(S$5,$K247,$J247),daily_dates,0),MATCH($B$3,daily_items,0))),NA(),INDEX(big_daily_table,MATCH(DATE(S$5,$K247,$J247),daily_dates,0),MATCH($B$3,daily_items,0)))</f>
        <v>#N/A</v>
      </c>
      <c r="T247" s="1" t="str">
        <f t="array" ref="T247">IF(ISBLANK(INDEX(big_daily_table,MATCH(DATE(T$5,$K247,$J247),daily_dates,0),MATCH($B$3,daily_items,0))),NA(),INDEX(big_daily_table,MATCH(DATE(T$5,$K247,$J247),daily_dates,0),MATCH($B$3,daily_items,0)))</f>
        <v>#N/A</v>
      </c>
      <c r="U247" s="1" t="str">
        <f t="array" ref="U247">IF(ISBLANK(INDEX(big_daily_table,MATCH(DATE(U$5,$K247,$J247),daily_dates,0),MATCH($B$3,daily_items,0))),NA(),INDEX(big_daily_table,MATCH(DATE(U$5,$K247,$J247),daily_dates,0),MATCH($B$3,daily_items,0)))</f>
        <v>#N/A</v>
      </c>
      <c r="V247" s="1" t="str">
        <f t="array" ref="V247">IF(ISBLANK(INDEX(big_daily_table,MATCH(DATE(V$5,$K247,$J247),daily_dates,0),MATCH($B$3,daily_items,0))),NA(),INDEX(big_daily_table,MATCH(DATE(V$5,$K247,$J247),daily_dates,0),MATCH($B$3,daily_items,0)))</f>
        <v>#N/A</v>
      </c>
      <c r="W247" s="1" t="str">
        <f t="array" ref="W247">IF(ISBLANK(INDEX(big_daily_table,MATCH(DATE(W$5,$K247,$J247),daily_dates,0),MATCH($B$3,daily_items,0))),NA(),INDEX(big_daily_table,MATCH(DATE(W$5,$K247,$J247),daily_dates,0),MATCH($B$3,daily_items,0)))</f>
        <v>#N/A</v>
      </c>
      <c r="X247" s="1" t="str">
        <f t="array" ref="X247">IF(ISBLANK(INDEX(big_daily_table,MATCH(DATE(X$5,$K247,$J247),daily_dates,0),MATCH($B$3,daily_items,0))),NA(),INDEX(big_daily_table,MATCH(DATE(X$5,$K247,$J247),daily_dates,0),MATCH($B$3,daily_items,0)))</f>
        <v>#N/A</v>
      </c>
      <c r="Y247" s="1" t="str">
        <f t="array" ref="Y247">IF(ISBLANK(INDEX(big_daily_table,MATCH(DATE(Y$5,$K247,$J247),daily_dates,0),MATCH($B$3,daily_items,0))),NA(),INDEX(big_daily_table,MATCH(DATE(Y$5,$K247,$J247),daily_dates,0),MATCH($B$3,daily_items,0)))</f>
        <v>#N/A</v>
      </c>
      <c r="Z247" s="1" t="str">
        <f t="array" ref="Z247">IF(ISBLANK(INDEX(big_daily_table,MATCH(DATE(Z$5,$K247,$J247),daily_dates,0),MATCH($B$3,daily_items,0))),NA(),INDEX(big_daily_table,MATCH(DATE(Z$5,$K247,$J247),daily_dates,0),MATCH($B$3,daily_items,0)))</f>
        <v>#N/A</v>
      </c>
      <c r="AA247" s="1" t="str">
        <f t="shared" si="5"/>
        <v>#NAME?</v>
      </c>
      <c r="AB247" s="1" t="str">
        <f t="shared" si="6"/>
        <v>#NAME?</v>
      </c>
      <c r="AC247" s="1" t="str">
        <f t="shared" si="7"/>
        <v>#NAME?</v>
      </c>
      <c r="AD247" s="1" t="str">
        <f t="shared" si="8"/>
        <v>#NAME?</v>
      </c>
    </row>
    <row r="248" ht="14.25" customHeight="1">
      <c r="H248" s="1">
        <f t="shared" si="9"/>
        <v>243</v>
      </c>
      <c r="I248" s="1">
        <f>WEEKDAY('daily graphs'!K248)</f>
        <v>4</v>
      </c>
      <c r="J248" s="1">
        <f t="shared" si="2"/>
        <v>26</v>
      </c>
      <c r="K248" s="1">
        <f t="shared" si="3"/>
        <v>8</v>
      </c>
      <c r="L248" s="23">
        <f>'daily graphs'!K248 - I248</f>
        <v>36764</v>
      </c>
      <c r="M248" s="24">
        <f t="shared" si="4"/>
        <v>-1000000</v>
      </c>
      <c r="N248" s="24" t="str">
        <f t="array" ref="N248">IF(M248&gt;0,INDEX(big_daily_table,MATCH(DATE(O$5,$K248,$J248),daily_dates,0),MATCH($B$3,daily_items,0)),NA())</f>
        <v>#N/A</v>
      </c>
      <c r="O248" s="1" t="str">
        <f t="array" ref="O248">IF(M248&lt;0,INDEX(big_daily_table,MATCH(DATE(O$5,$K248,$J248),daily_dates,0),MATCH($B$3,daily_items,0)),NA())</f>
        <v>#N/A</v>
      </c>
      <c r="P248" s="1" t="str">
        <f t="array" ref="P248">IF(ISBLANK(INDEX(big_daily_table,MATCH(DATE(P$5,$K248,$J248),daily_dates,0),MATCH($B$3,daily_items,0))),NA(),INDEX(big_daily_table,MATCH(DATE(P$5,$K248,$J248),daily_dates,0),MATCH($B$3,daily_items,0)))</f>
        <v>#N/A</v>
      </c>
      <c r="Q248" s="1" t="str">
        <f t="array" ref="Q248">IF(ISBLANK(INDEX(big_daily_table,MATCH(DATE(Q$5,$K248,$J248),daily_dates,0),MATCH($B$3,daily_items,0))),NA(),INDEX(big_daily_table,MATCH(DATE(Q$5,$K248,$J248),daily_dates,0),MATCH($B$3,daily_items,0)))</f>
        <v>#N/A</v>
      </c>
      <c r="R248" s="1" t="str">
        <f t="array" ref="R248">IF(ISBLANK(INDEX(big_daily_table,MATCH(DATE(R$5,$K248,$J248),daily_dates,0),MATCH($B$3,daily_items,0))),NA(),INDEX(big_daily_table,MATCH(DATE(R$5,$K248,$J248),daily_dates,0),MATCH($B$3,daily_items,0)))</f>
        <v>#N/A</v>
      </c>
      <c r="S248" s="1" t="str">
        <f t="array" ref="S248">IF(ISBLANK(INDEX(big_daily_table,MATCH(DATE(S$5,$K248,$J248),daily_dates,0),MATCH($B$3,daily_items,0))),NA(),INDEX(big_daily_table,MATCH(DATE(S$5,$K248,$J248),daily_dates,0),MATCH($B$3,daily_items,0)))</f>
        <v>#N/A</v>
      </c>
      <c r="T248" s="1" t="str">
        <f t="array" ref="T248">IF(ISBLANK(INDEX(big_daily_table,MATCH(DATE(T$5,$K248,$J248),daily_dates,0),MATCH($B$3,daily_items,0))),NA(),INDEX(big_daily_table,MATCH(DATE(T$5,$K248,$J248),daily_dates,0),MATCH($B$3,daily_items,0)))</f>
        <v>#N/A</v>
      </c>
      <c r="U248" s="1" t="str">
        <f t="array" ref="U248">IF(ISBLANK(INDEX(big_daily_table,MATCH(DATE(U$5,$K248,$J248),daily_dates,0),MATCH($B$3,daily_items,0))),NA(),INDEX(big_daily_table,MATCH(DATE(U$5,$K248,$J248),daily_dates,0),MATCH($B$3,daily_items,0)))</f>
        <v>#N/A</v>
      </c>
      <c r="V248" s="1" t="str">
        <f t="array" ref="V248">IF(ISBLANK(INDEX(big_daily_table,MATCH(DATE(V$5,$K248,$J248),daily_dates,0),MATCH($B$3,daily_items,0))),NA(),INDEX(big_daily_table,MATCH(DATE(V$5,$K248,$J248),daily_dates,0),MATCH($B$3,daily_items,0)))</f>
        <v>#N/A</v>
      </c>
      <c r="W248" s="1" t="str">
        <f t="array" ref="W248">IF(ISBLANK(INDEX(big_daily_table,MATCH(DATE(W$5,$K248,$J248),daily_dates,0),MATCH($B$3,daily_items,0))),NA(),INDEX(big_daily_table,MATCH(DATE(W$5,$K248,$J248),daily_dates,0),MATCH($B$3,daily_items,0)))</f>
        <v>#N/A</v>
      </c>
      <c r="X248" s="1" t="str">
        <f t="array" ref="X248">IF(ISBLANK(INDEX(big_daily_table,MATCH(DATE(X$5,$K248,$J248),daily_dates,0),MATCH($B$3,daily_items,0))),NA(),INDEX(big_daily_table,MATCH(DATE(X$5,$K248,$J248),daily_dates,0),MATCH($B$3,daily_items,0)))</f>
        <v>#N/A</v>
      </c>
      <c r="Y248" s="1" t="str">
        <f t="array" ref="Y248">IF(ISBLANK(INDEX(big_daily_table,MATCH(DATE(Y$5,$K248,$J248),daily_dates,0),MATCH($B$3,daily_items,0))),NA(),INDEX(big_daily_table,MATCH(DATE(Y$5,$K248,$J248),daily_dates,0),MATCH($B$3,daily_items,0)))</f>
        <v>#N/A</v>
      </c>
      <c r="Z248" s="1" t="str">
        <f t="array" ref="Z248">IF(ISBLANK(INDEX(big_daily_table,MATCH(DATE(Z$5,$K248,$J248),daily_dates,0),MATCH($B$3,daily_items,0))),NA(),INDEX(big_daily_table,MATCH(DATE(Z$5,$K248,$J248),daily_dates,0),MATCH($B$3,daily_items,0)))</f>
        <v>#N/A</v>
      </c>
      <c r="AA248" s="1" t="str">
        <f t="shared" si="5"/>
        <v>#NAME?</v>
      </c>
      <c r="AB248" s="1" t="str">
        <f t="shared" si="6"/>
        <v>#NAME?</v>
      </c>
      <c r="AC248" s="1" t="str">
        <f t="shared" si="7"/>
        <v>#NAME?</v>
      </c>
      <c r="AD248" s="1" t="str">
        <f t="shared" si="8"/>
        <v>#NAME?</v>
      </c>
    </row>
    <row r="249" ht="14.25" customHeight="1">
      <c r="H249" s="1">
        <f t="shared" si="9"/>
        <v>244</v>
      </c>
      <c r="I249" s="1">
        <f>WEEKDAY('daily graphs'!K249)</f>
        <v>5</v>
      </c>
      <c r="J249" s="1">
        <f t="shared" si="2"/>
        <v>26</v>
      </c>
      <c r="K249" s="1">
        <f t="shared" si="3"/>
        <v>8</v>
      </c>
      <c r="L249" s="23">
        <f>'daily graphs'!K249 - I249</f>
        <v>36764</v>
      </c>
      <c r="M249" s="24">
        <f t="shared" si="4"/>
        <v>-1000000</v>
      </c>
      <c r="N249" s="24" t="str">
        <f t="array" ref="N249">IF(M249&gt;0,INDEX(big_daily_table,MATCH(DATE(O$5,$K249,$J249),daily_dates,0),MATCH($B$3,daily_items,0)),NA())</f>
        <v>#N/A</v>
      </c>
      <c r="O249" s="1" t="str">
        <f t="array" ref="O249">IF(M249&lt;0,INDEX(big_daily_table,MATCH(DATE(O$5,$K249,$J249),daily_dates,0),MATCH($B$3,daily_items,0)),NA())</f>
        <v>#N/A</v>
      </c>
      <c r="P249" s="1" t="str">
        <f t="array" ref="P249">IF(ISBLANK(INDEX(big_daily_table,MATCH(DATE(P$5,$K249,$J249),daily_dates,0),MATCH($B$3,daily_items,0))),NA(),INDEX(big_daily_table,MATCH(DATE(P$5,$K249,$J249),daily_dates,0),MATCH($B$3,daily_items,0)))</f>
        <v>#N/A</v>
      </c>
      <c r="Q249" s="1" t="str">
        <f t="array" ref="Q249">IF(ISBLANK(INDEX(big_daily_table,MATCH(DATE(Q$5,$K249,$J249),daily_dates,0),MATCH($B$3,daily_items,0))),NA(),INDEX(big_daily_table,MATCH(DATE(Q$5,$K249,$J249),daily_dates,0),MATCH($B$3,daily_items,0)))</f>
        <v>#N/A</v>
      </c>
      <c r="R249" s="1" t="str">
        <f t="array" ref="R249">IF(ISBLANK(INDEX(big_daily_table,MATCH(DATE(R$5,$K249,$J249),daily_dates,0),MATCH($B$3,daily_items,0))),NA(),INDEX(big_daily_table,MATCH(DATE(R$5,$K249,$J249),daily_dates,0),MATCH($B$3,daily_items,0)))</f>
        <v>#N/A</v>
      </c>
      <c r="S249" s="1" t="str">
        <f t="array" ref="S249">IF(ISBLANK(INDEX(big_daily_table,MATCH(DATE(S$5,$K249,$J249),daily_dates,0),MATCH($B$3,daily_items,0))),NA(),INDEX(big_daily_table,MATCH(DATE(S$5,$K249,$J249),daily_dates,0),MATCH($B$3,daily_items,0)))</f>
        <v>#N/A</v>
      </c>
      <c r="T249" s="1" t="str">
        <f t="array" ref="T249">IF(ISBLANK(INDEX(big_daily_table,MATCH(DATE(T$5,$K249,$J249),daily_dates,0),MATCH($B$3,daily_items,0))),NA(),INDEX(big_daily_table,MATCH(DATE(T$5,$K249,$J249),daily_dates,0),MATCH($B$3,daily_items,0)))</f>
        <v>#N/A</v>
      </c>
      <c r="U249" s="1" t="str">
        <f t="array" ref="U249">IF(ISBLANK(INDEX(big_daily_table,MATCH(DATE(U$5,$K249,$J249),daily_dates,0),MATCH($B$3,daily_items,0))),NA(),INDEX(big_daily_table,MATCH(DATE(U$5,$K249,$J249),daily_dates,0),MATCH($B$3,daily_items,0)))</f>
        <v>#N/A</v>
      </c>
      <c r="V249" s="1" t="str">
        <f t="array" ref="V249">IF(ISBLANK(INDEX(big_daily_table,MATCH(DATE(V$5,$K249,$J249),daily_dates,0),MATCH($B$3,daily_items,0))),NA(),INDEX(big_daily_table,MATCH(DATE(V$5,$K249,$J249),daily_dates,0),MATCH($B$3,daily_items,0)))</f>
        <v>#N/A</v>
      </c>
      <c r="W249" s="1" t="str">
        <f t="array" ref="W249">IF(ISBLANK(INDEX(big_daily_table,MATCH(DATE(W$5,$K249,$J249),daily_dates,0),MATCH($B$3,daily_items,0))),NA(),INDEX(big_daily_table,MATCH(DATE(W$5,$K249,$J249),daily_dates,0),MATCH($B$3,daily_items,0)))</f>
        <v>#N/A</v>
      </c>
      <c r="X249" s="1" t="str">
        <f t="array" ref="X249">IF(ISBLANK(INDEX(big_daily_table,MATCH(DATE(X$5,$K249,$J249),daily_dates,0),MATCH($B$3,daily_items,0))),NA(),INDEX(big_daily_table,MATCH(DATE(X$5,$K249,$J249),daily_dates,0),MATCH($B$3,daily_items,0)))</f>
        <v>#N/A</v>
      </c>
      <c r="Y249" s="1" t="str">
        <f t="array" ref="Y249">IF(ISBLANK(INDEX(big_daily_table,MATCH(DATE(Y$5,$K249,$J249),daily_dates,0),MATCH($B$3,daily_items,0))),NA(),INDEX(big_daily_table,MATCH(DATE(Y$5,$K249,$J249),daily_dates,0),MATCH($B$3,daily_items,0)))</f>
        <v>#N/A</v>
      </c>
      <c r="Z249" s="1" t="str">
        <f t="array" ref="Z249">IF(ISBLANK(INDEX(big_daily_table,MATCH(DATE(Z$5,$K249,$J249),daily_dates,0),MATCH($B$3,daily_items,0))),NA(),INDEX(big_daily_table,MATCH(DATE(Z$5,$K249,$J249),daily_dates,0),MATCH($B$3,daily_items,0)))</f>
        <v>#N/A</v>
      </c>
      <c r="AA249" s="1" t="str">
        <f t="shared" si="5"/>
        <v>#NAME?</v>
      </c>
      <c r="AB249" s="1" t="str">
        <f t="shared" si="6"/>
        <v>#NAME?</v>
      </c>
      <c r="AC249" s="1" t="str">
        <f t="shared" si="7"/>
        <v>#NAME?</v>
      </c>
      <c r="AD249" s="1" t="str">
        <f t="shared" si="8"/>
        <v>#NAME?</v>
      </c>
    </row>
    <row r="250" ht="14.25" customHeight="1">
      <c r="H250" s="1">
        <f t="shared" si="9"/>
        <v>245</v>
      </c>
      <c r="I250" s="1">
        <f>WEEKDAY('daily graphs'!K250)</f>
        <v>6</v>
      </c>
      <c r="J250" s="1">
        <f t="shared" si="2"/>
        <v>26</v>
      </c>
      <c r="K250" s="1">
        <f t="shared" si="3"/>
        <v>8</v>
      </c>
      <c r="L250" s="23">
        <f>'daily graphs'!K250 - I250</f>
        <v>36764</v>
      </c>
      <c r="M250" s="24">
        <f t="shared" si="4"/>
        <v>-1000000</v>
      </c>
      <c r="N250" s="24" t="str">
        <f t="array" ref="N250">IF(M250&gt;0,INDEX(big_daily_table,MATCH(DATE(O$5,$K250,$J250),daily_dates,0),MATCH($B$3,daily_items,0)),NA())</f>
        <v>#N/A</v>
      </c>
      <c r="O250" s="1" t="str">
        <f t="array" ref="O250">IF(M250&lt;0,INDEX(big_daily_table,MATCH(DATE(O$5,$K250,$J250),daily_dates,0),MATCH($B$3,daily_items,0)),NA())</f>
        <v>#N/A</v>
      </c>
      <c r="P250" s="1" t="str">
        <f t="array" ref="P250">IF(ISBLANK(INDEX(big_daily_table,MATCH(DATE(P$5,$K250,$J250),daily_dates,0),MATCH($B$3,daily_items,0))),NA(),INDEX(big_daily_table,MATCH(DATE(P$5,$K250,$J250),daily_dates,0),MATCH($B$3,daily_items,0)))</f>
        <v>#N/A</v>
      </c>
      <c r="Q250" s="1" t="str">
        <f t="array" ref="Q250">IF(ISBLANK(INDEX(big_daily_table,MATCH(DATE(Q$5,$K250,$J250),daily_dates,0),MATCH($B$3,daily_items,0))),NA(),INDEX(big_daily_table,MATCH(DATE(Q$5,$K250,$J250),daily_dates,0),MATCH($B$3,daily_items,0)))</f>
        <v>#N/A</v>
      </c>
      <c r="R250" s="1" t="str">
        <f t="array" ref="R250">IF(ISBLANK(INDEX(big_daily_table,MATCH(DATE(R$5,$K250,$J250),daily_dates,0),MATCH($B$3,daily_items,0))),NA(),INDEX(big_daily_table,MATCH(DATE(R$5,$K250,$J250),daily_dates,0),MATCH($B$3,daily_items,0)))</f>
        <v>#N/A</v>
      </c>
      <c r="S250" s="1" t="str">
        <f t="array" ref="S250">IF(ISBLANK(INDEX(big_daily_table,MATCH(DATE(S$5,$K250,$J250),daily_dates,0),MATCH($B$3,daily_items,0))),NA(),INDEX(big_daily_table,MATCH(DATE(S$5,$K250,$J250),daily_dates,0),MATCH($B$3,daily_items,0)))</f>
        <v>#N/A</v>
      </c>
      <c r="T250" s="1" t="str">
        <f t="array" ref="T250">IF(ISBLANK(INDEX(big_daily_table,MATCH(DATE(T$5,$K250,$J250),daily_dates,0),MATCH($B$3,daily_items,0))),NA(),INDEX(big_daily_table,MATCH(DATE(T$5,$K250,$J250),daily_dates,0),MATCH($B$3,daily_items,0)))</f>
        <v>#N/A</v>
      </c>
      <c r="U250" s="1" t="str">
        <f t="array" ref="U250">IF(ISBLANK(INDEX(big_daily_table,MATCH(DATE(U$5,$K250,$J250),daily_dates,0),MATCH($B$3,daily_items,0))),NA(),INDEX(big_daily_table,MATCH(DATE(U$5,$K250,$J250),daily_dates,0),MATCH($B$3,daily_items,0)))</f>
        <v>#N/A</v>
      </c>
      <c r="V250" s="1" t="str">
        <f t="array" ref="V250">IF(ISBLANK(INDEX(big_daily_table,MATCH(DATE(V$5,$K250,$J250),daily_dates,0),MATCH($B$3,daily_items,0))),NA(),INDEX(big_daily_table,MATCH(DATE(V$5,$K250,$J250),daily_dates,0),MATCH($B$3,daily_items,0)))</f>
        <v>#N/A</v>
      </c>
      <c r="W250" s="1" t="str">
        <f t="array" ref="W250">IF(ISBLANK(INDEX(big_daily_table,MATCH(DATE(W$5,$K250,$J250),daily_dates,0),MATCH($B$3,daily_items,0))),NA(),INDEX(big_daily_table,MATCH(DATE(W$5,$K250,$J250),daily_dates,0),MATCH($B$3,daily_items,0)))</f>
        <v>#N/A</v>
      </c>
      <c r="X250" s="1" t="str">
        <f t="array" ref="X250">IF(ISBLANK(INDEX(big_daily_table,MATCH(DATE(X$5,$K250,$J250),daily_dates,0),MATCH($B$3,daily_items,0))),NA(),INDEX(big_daily_table,MATCH(DATE(X$5,$K250,$J250),daily_dates,0),MATCH($B$3,daily_items,0)))</f>
        <v>#N/A</v>
      </c>
      <c r="Y250" s="1" t="str">
        <f t="array" ref="Y250">IF(ISBLANK(INDEX(big_daily_table,MATCH(DATE(Y$5,$K250,$J250),daily_dates,0),MATCH($B$3,daily_items,0))),NA(),INDEX(big_daily_table,MATCH(DATE(Y$5,$K250,$J250),daily_dates,0),MATCH($B$3,daily_items,0)))</f>
        <v>#N/A</v>
      </c>
      <c r="Z250" s="1" t="str">
        <f t="array" ref="Z250">IF(ISBLANK(INDEX(big_daily_table,MATCH(DATE(Z$5,$K250,$J250),daily_dates,0),MATCH($B$3,daily_items,0))),NA(),INDEX(big_daily_table,MATCH(DATE(Z$5,$K250,$J250),daily_dates,0),MATCH($B$3,daily_items,0)))</f>
        <v>#N/A</v>
      </c>
      <c r="AA250" s="1" t="str">
        <f t="shared" si="5"/>
        <v>#NAME?</v>
      </c>
      <c r="AB250" s="1" t="str">
        <f t="shared" si="6"/>
        <v>#NAME?</v>
      </c>
      <c r="AC250" s="1" t="str">
        <f t="shared" si="7"/>
        <v>#NAME?</v>
      </c>
      <c r="AD250" s="1" t="str">
        <f t="shared" si="8"/>
        <v>#NAME?</v>
      </c>
    </row>
    <row r="251" ht="14.25" customHeight="1">
      <c r="H251" s="1">
        <f t="shared" si="9"/>
        <v>246</v>
      </c>
      <c r="I251" s="1">
        <f>WEEKDAY('daily graphs'!K251)</f>
        <v>7</v>
      </c>
      <c r="J251" s="1">
        <f t="shared" si="2"/>
        <v>26</v>
      </c>
      <c r="K251" s="1">
        <f t="shared" si="3"/>
        <v>8</v>
      </c>
      <c r="L251" s="23">
        <f>'daily graphs'!K251 - I251</f>
        <v>36764</v>
      </c>
      <c r="M251" s="24">
        <f t="shared" si="4"/>
        <v>-1000000</v>
      </c>
      <c r="N251" s="24" t="str">
        <f t="array" ref="N251">IF(M251&gt;0,INDEX(big_daily_table,MATCH(DATE(O$5,$K251,$J251),daily_dates,0),MATCH($B$3,daily_items,0)),NA())</f>
        <v>#N/A</v>
      </c>
      <c r="O251" s="1" t="str">
        <f t="array" ref="O251">IF(M251&lt;0,INDEX(big_daily_table,MATCH(DATE(O$5,$K251,$J251),daily_dates,0),MATCH($B$3,daily_items,0)),NA())</f>
        <v>#N/A</v>
      </c>
      <c r="P251" s="1" t="str">
        <f t="array" ref="P251">IF(ISBLANK(INDEX(big_daily_table,MATCH(DATE(P$5,$K251,$J251),daily_dates,0),MATCH($B$3,daily_items,0))),NA(),INDEX(big_daily_table,MATCH(DATE(P$5,$K251,$J251),daily_dates,0),MATCH($B$3,daily_items,0)))</f>
        <v>#N/A</v>
      </c>
      <c r="Q251" s="1" t="str">
        <f t="array" ref="Q251">IF(ISBLANK(INDEX(big_daily_table,MATCH(DATE(Q$5,$K251,$J251),daily_dates,0),MATCH($B$3,daily_items,0))),NA(),INDEX(big_daily_table,MATCH(DATE(Q$5,$K251,$J251),daily_dates,0),MATCH($B$3,daily_items,0)))</f>
        <v>#N/A</v>
      </c>
      <c r="R251" s="1" t="str">
        <f t="array" ref="R251">IF(ISBLANK(INDEX(big_daily_table,MATCH(DATE(R$5,$K251,$J251),daily_dates,0),MATCH($B$3,daily_items,0))),NA(),INDEX(big_daily_table,MATCH(DATE(R$5,$K251,$J251),daily_dates,0),MATCH($B$3,daily_items,0)))</f>
        <v>#N/A</v>
      </c>
      <c r="S251" s="1" t="str">
        <f t="array" ref="S251">IF(ISBLANK(INDEX(big_daily_table,MATCH(DATE(S$5,$K251,$J251),daily_dates,0),MATCH($B$3,daily_items,0))),NA(),INDEX(big_daily_table,MATCH(DATE(S$5,$K251,$J251),daily_dates,0),MATCH($B$3,daily_items,0)))</f>
        <v>#N/A</v>
      </c>
      <c r="T251" s="1" t="str">
        <f t="array" ref="T251">IF(ISBLANK(INDEX(big_daily_table,MATCH(DATE(T$5,$K251,$J251),daily_dates,0),MATCH($B$3,daily_items,0))),NA(),INDEX(big_daily_table,MATCH(DATE(T$5,$K251,$J251),daily_dates,0),MATCH($B$3,daily_items,0)))</f>
        <v>#N/A</v>
      </c>
      <c r="U251" s="1" t="str">
        <f t="array" ref="U251">IF(ISBLANK(INDEX(big_daily_table,MATCH(DATE(U$5,$K251,$J251),daily_dates,0),MATCH($B$3,daily_items,0))),NA(),INDEX(big_daily_table,MATCH(DATE(U$5,$K251,$J251),daily_dates,0),MATCH($B$3,daily_items,0)))</f>
        <v>#N/A</v>
      </c>
      <c r="V251" s="1" t="str">
        <f t="array" ref="V251">IF(ISBLANK(INDEX(big_daily_table,MATCH(DATE(V$5,$K251,$J251),daily_dates,0),MATCH($B$3,daily_items,0))),NA(),INDEX(big_daily_table,MATCH(DATE(V$5,$K251,$J251),daily_dates,0),MATCH($B$3,daily_items,0)))</f>
        <v>#N/A</v>
      </c>
      <c r="W251" s="1" t="str">
        <f t="array" ref="W251">IF(ISBLANK(INDEX(big_daily_table,MATCH(DATE(W$5,$K251,$J251),daily_dates,0),MATCH($B$3,daily_items,0))),NA(),INDEX(big_daily_table,MATCH(DATE(W$5,$K251,$J251),daily_dates,0),MATCH($B$3,daily_items,0)))</f>
        <v>#N/A</v>
      </c>
      <c r="X251" s="1" t="str">
        <f t="array" ref="X251">IF(ISBLANK(INDEX(big_daily_table,MATCH(DATE(X$5,$K251,$J251),daily_dates,0),MATCH($B$3,daily_items,0))),NA(),INDEX(big_daily_table,MATCH(DATE(X$5,$K251,$J251),daily_dates,0),MATCH($B$3,daily_items,0)))</f>
        <v>#N/A</v>
      </c>
      <c r="Y251" s="1" t="str">
        <f t="array" ref="Y251">IF(ISBLANK(INDEX(big_daily_table,MATCH(DATE(Y$5,$K251,$J251),daily_dates,0),MATCH($B$3,daily_items,0))),NA(),INDEX(big_daily_table,MATCH(DATE(Y$5,$K251,$J251),daily_dates,0),MATCH($B$3,daily_items,0)))</f>
        <v>#N/A</v>
      </c>
      <c r="Z251" s="1" t="str">
        <f t="array" ref="Z251">IF(ISBLANK(INDEX(big_daily_table,MATCH(DATE(Z$5,$K251,$J251),daily_dates,0),MATCH($B$3,daily_items,0))),NA(),INDEX(big_daily_table,MATCH(DATE(Z$5,$K251,$J251),daily_dates,0),MATCH($B$3,daily_items,0)))</f>
        <v>#N/A</v>
      </c>
      <c r="AA251" s="1" t="str">
        <f t="shared" si="5"/>
        <v>#NAME?</v>
      </c>
      <c r="AB251" s="1" t="str">
        <f t="shared" si="6"/>
        <v>#NAME?</v>
      </c>
      <c r="AC251" s="1" t="str">
        <f t="shared" si="7"/>
        <v>#NAME?</v>
      </c>
      <c r="AD251" s="1" t="str">
        <f t="shared" si="8"/>
        <v>#NAME?</v>
      </c>
    </row>
    <row r="252" ht="14.25" customHeight="1">
      <c r="H252" s="1">
        <f t="shared" si="9"/>
        <v>247</v>
      </c>
      <c r="I252" s="1">
        <f>WEEKDAY('daily graphs'!K252)</f>
        <v>1</v>
      </c>
      <c r="J252" s="1">
        <f t="shared" si="2"/>
        <v>2</v>
      </c>
      <c r="K252" s="1">
        <f t="shared" si="3"/>
        <v>9</v>
      </c>
      <c r="L252" s="23">
        <f>'daily graphs'!K252 - I252</f>
        <v>36771</v>
      </c>
      <c r="M252" s="24">
        <f t="shared" si="4"/>
        <v>-1000000</v>
      </c>
      <c r="N252" s="24" t="str">
        <f t="array" ref="N252">IF(M252&gt;0,INDEX(big_daily_table,MATCH(DATE(O$5,$K252,$J252),daily_dates,0),MATCH($B$3,daily_items,0)),NA())</f>
        <v>#N/A</v>
      </c>
      <c r="O252" s="1" t="str">
        <f t="array" ref="O252">IF(M252&lt;0,INDEX(big_daily_table,MATCH(DATE(O$5,$K252,$J252),daily_dates,0),MATCH($B$3,daily_items,0)),NA())</f>
        <v>#N/A</v>
      </c>
      <c r="P252" s="1" t="str">
        <f t="array" ref="P252">IF(ISBLANK(INDEX(big_daily_table,MATCH(DATE(P$5,$K252,$J252),daily_dates,0),MATCH($B$3,daily_items,0))),NA(),INDEX(big_daily_table,MATCH(DATE(P$5,$K252,$J252),daily_dates,0),MATCH($B$3,daily_items,0)))</f>
        <v>#N/A</v>
      </c>
      <c r="Q252" s="1" t="str">
        <f t="array" ref="Q252">IF(ISBLANK(INDEX(big_daily_table,MATCH(DATE(Q$5,$K252,$J252),daily_dates,0),MATCH($B$3,daily_items,0))),NA(),INDEX(big_daily_table,MATCH(DATE(Q$5,$K252,$J252),daily_dates,0),MATCH($B$3,daily_items,0)))</f>
        <v>#N/A</v>
      </c>
      <c r="R252" s="1" t="str">
        <f t="array" ref="R252">IF(ISBLANK(INDEX(big_daily_table,MATCH(DATE(R$5,$K252,$J252),daily_dates,0),MATCH($B$3,daily_items,0))),NA(),INDEX(big_daily_table,MATCH(DATE(R$5,$K252,$J252),daily_dates,0),MATCH($B$3,daily_items,0)))</f>
        <v>#N/A</v>
      </c>
      <c r="S252" s="1" t="str">
        <f t="array" ref="S252">IF(ISBLANK(INDEX(big_daily_table,MATCH(DATE(S$5,$K252,$J252),daily_dates,0),MATCH($B$3,daily_items,0))),NA(),INDEX(big_daily_table,MATCH(DATE(S$5,$K252,$J252),daily_dates,0),MATCH($B$3,daily_items,0)))</f>
        <v>#N/A</v>
      </c>
      <c r="T252" s="1" t="str">
        <f t="array" ref="T252">IF(ISBLANK(INDEX(big_daily_table,MATCH(DATE(T$5,$K252,$J252),daily_dates,0),MATCH($B$3,daily_items,0))),NA(),INDEX(big_daily_table,MATCH(DATE(T$5,$K252,$J252),daily_dates,0),MATCH($B$3,daily_items,0)))</f>
        <v>#N/A</v>
      </c>
      <c r="U252" s="1" t="str">
        <f t="array" ref="U252">IF(ISBLANK(INDEX(big_daily_table,MATCH(DATE(U$5,$K252,$J252),daily_dates,0),MATCH($B$3,daily_items,0))),NA(),INDEX(big_daily_table,MATCH(DATE(U$5,$K252,$J252),daily_dates,0),MATCH($B$3,daily_items,0)))</f>
        <v>#N/A</v>
      </c>
      <c r="V252" s="1" t="str">
        <f t="array" ref="V252">IF(ISBLANK(INDEX(big_daily_table,MATCH(DATE(V$5,$K252,$J252),daily_dates,0),MATCH($B$3,daily_items,0))),NA(),INDEX(big_daily_table,MATCH(DATE(V$5,$K252,$J252),daily_dates,0),MATCH($B$3,daily_items,0)))</f>
        <v>#N/A</v>
      </c>
      <c r="W252" s="1" t="str">
        <f t="array" ref="W252">IF(ISBLANK(INDEX(big_daily_table,MATCH(DATE(W$5,$K252,$J252),daily_dates,0),MATCH($B$3,daily_items,0))),NA(),INDEX(big_daily_table,MATCH(DATE(W$5,$K252,$J252),daily_dates,0),MATCH($B$3,daily_items,0)))</f>
        <v>#N/A</v>
      </c>
      <c r="X252" s="1" t="str">
        <f t="array" ref="X252">IF(ISBLANK(INDEX(big_daily_table,MATCH(DATE(X$5,$K252,$J252),daily_dates,0),MATCH($B$3,daily_items,0))),NA(),INDEX(big_daily_table,MATCH(DATE(X$5,$K252,$J252),daily_dates,0),MATCH($B$3,daily_items,0)))</f>
        <v>#N/A</v>
      </c>
      <c r="Y252" s="1" t="str">
        <f t="array" ref="Y252">IF(ISBLANK(INDEX(big_daily_table,MATCH(DATE(Y$5,$K252,$J252),daily_dates,0),MATCH($B$3,daily_items,0))),NA(),INDEX(big_daily_table,MATCH(DATE(Y$5,$K252,$J252),daily_dates,0),MATCH($B$3,daily_items,0)))</f>
        <v>#N/A</v>
      </c>
      <c r="Z252" s="1" t="str">
        <f t="array" ref="Z252">IF(ISBLANK(INDEX(big_daily_table,MATCH(DATE(Z$5,$K252,$J252),daily_dates,0),MATCH($B$3,daily_items,0))),NA(),INDEX(big_daily_table,MATCH(DATE(Z$5,$K252,$J252),daily_dates,0),MATCH($B$3,daily_items,0)))</f>
        <v>#N/A</v>
      </c>
      <c r="AA252" s="1" t="str">
        <f t="shared" si="5"/>
        <v>#NAME?</v>
      </c>
      <c r="AB252" s="1" t="str">
        <f t="shared" si="6"/>
        <v>#NAME?</v>
      </c>
      <c r="AC252" s="1" t="str">
        <f t="shared" si="7"/>
        <v>#NAME?</v>
      </c>
      <c r="AD252" s="1" t="str">
        <f t="shared" si="8"/>
        <v>#NAME?</v>
      </c>
    </row>
    <row r="253" ht="14.25" customHeight="1">
      <c r="H253" s="1">
        <f t="shared" si="9"/>
        <v>248</v>
      </c>
      <c r="I253" s="1">
        <f>WEEKDAY('daily graphs'!K253)</f>
        <v>2</v>
      </c>
      <c r="J253" s="1">
        <f t="shared" si="2"/>
        <v>2</v>
      </c>
      <c r="K253" s="1">
        <f t="shared" si="3"/>
        <v>9</v>
      </c>
      <c r="L253" s="23">
        <f>'daily graphs'!K253 - I253</f>
        <v>36771</v>
      </c>
      <c r="M253" s="24">
        <f t="shared" si="4"/>
        <v>-1000000</v>
      </c>
      <c r="N253" s="24" t="str">
        <f t="array" ref="N253">IF(M253&gt;0,INDEX(big_daily_table,MATCH(DATE(O$5,$K253,$J253),daily_dates,0),MATCH($B$3,daily_items,0)),NA())</f>
        <v>#N/A</v>
      </c>
      <c r="O253" s="1" t="str">
        <f t="array" ref="O253">IF(M253&lt;0,INDEX(big_daily_table,MATCH(DATE(O$5,$K253,$J253),daily_dates,0),MATCH($B$3,daily_items,0)),NA())</f>
        <v>#N/A</v>
      </c>
      <c r="P253" s="1" t="str">
        <f t="array" ref="P253">IF(ISBLANK(INDEX(big_daily_table,MATCH(DATE(P$5,$K253,$J253),daily_dates,0),MATCH($B$3,daily_items,0))),NA(),INDEX(big_daily_table,MATCH(DATE(P$5,$K253,$J253),daily_dates,0),MATCH($B$3,daily_items,0)))</f>
        <v>#N/A</v>
      </c>
      <c r="Q253" s="1" t="str">
        <f t="array" ref="Q253">IF(ISBLANK(INDEX(big_daily_table,MATCH(DATE(Q$5,$K253,$J253),daily_dates,0),MATCH($B$3,daily_items,0))),NA(),INDEX(big_daily_table,MATCH(DATE(Q$5,$K253,$J253),daily_dates,0),MATCH($B$3,daily_items,0)))</f>
        <v>#N/A</v>
      </c>
      <c r="R253" s="1" t="str">
        <f t="array" ref="R253">IF(ISBLANK(INDEX(big_daily_table,MATCH(DATE(R$5,$K253,$J253),daily_dates,0),MATCH($B$3,daily_items,0))),NA(),INDEX(big_daily_table,MATCH(DATE(R$5,$K253,$J253),daily_dates,0),MATCH($B$3,daily_items,0)))</f>
        <v>#N/A</v>
      </c>
      <c r="S253" s="1" t="str">
        <f t="array" ref="S253">IF(ISBLANK(INDEX(big_daily_table,MATCH(DATE(S$5,$K253,$J253),daily_dates,0),MATCH($B$3,daily_items,0))),NA(),INDEX(big_daily_table,MATCH(DATE(S$5,$K253,$J253),daily_dates,0),MATCH($B$3,daily_items,0)))</f>
        <v>#N/A</v>
      </c>
      <c r="T253" s="1" t="str">
        <f t="array" ref="T253">IF(ISBLANK(INDEX(big_daily_table,MATCH(DATE(T$5,$K253,$J253),daily_dates,0),MATCH($B$3,daily_items,0))),NA(),INDEX(big_daily_table,MATCH(DATE(T$5,$K253,$J253),daily_dates,0),MATCH($B$3,daily_items,0)))</f>
        <v>#N/A</v>
      </c>
      <c r="U253" s="1" t="str">
        <f t="array" ref="U253">IF(ISBLANK(INDEX(big_daily_table,MATCH(DATE(U$5,$K253,$J253),daily_dates,0),MATCH($B$3,daily_items,0))),NA(),INDEX(big_daily_table,MATCH(DATE(U$5,$K253,$J253),daily_dates,0),MATCH($B$3,daily_items,0)))</f>
        <v>#N/A</v>
      </c>
      <c r="V253" s="1" t="str">
        <f t="array" ref="V253">IF(ISBLANK(INDEX(big_daily_table,MATCH(DATE(V$5,$K253,$J253),daily_dates,0),MATCH($B$3,daily_items,0))),NA(),INDEX(big_daily_table,MATCH(DATE(V$5,$K253,$J253),daily_dates,0),MATCH($B$3,daily_items,0)))</f>
        <v>#N/A</v>
      </c>
      <c r="W253" s="1" t="str">
        <f t="array" ref="W253">IF(ISBLANK(INDEX(big_daily_table,MATCH(DATE(W$5,$K253,$J253),daily_dates,0),MATCH($B$3,daily_items,0))),NA(),INDEX(big_daily_table,MATCH(DATE(W$5,$K253,$J253),daily_dates,0),MATCH($B$3,daily_items,0)))</f>
        <v>#N/A</v>
      </c>
      <c r="X253" s="1" t="str">
        <f t="array" ref="X253">IF(ISBLANK(INDEX(big_daily_table,MATCH(DATE(X$5,$K253,$J253),daily_dates,0),MATCH($B$3,daily_items,0))),NA(),INDEX(big_daily_table,MATCH(DATE(X$5,$K253,$J253),daily_dates,0),MATCH($B$3,daily_items,0)))</f>
        <v>#N/A</v>
      </c>
      <c r="Y253" s="1" t="str">
        <f t="array" ref="Y253">IF(ISBLANK(INDEX(big_daily_table,MATCH(DATE(Y$5,$K253,$J253),daily_dates,0),MATCH($B$3,daily_items,0))),NA(),INDEX(big_daily_table,MATCH(DATE(Y$5,$K253,$J253),daily_dates,0),MATCH($B$3,daily_items,0)))</f>
        <v>#N/A</v>
      </c>
      <c r="Z253" s="1" t="str">
        <f t="array" ref="Z253">IF(ISBLANK(INDEX(big_daily_table,MATCH(DATE(Z$5,$K253,$J253),daily_dates,0),MATCH($B$3,daily_items,0))),NA(),INDEX(big_daily_table,MATCH(DATE(Z$5,$K253,$J253),daily_dates,0),MATCH($B$3,daily_items,0)))</f>
        <v>#N/A</v>
      </c>
      <c r="AA253" s="1" t="str">
        <f t="shared" si="5"/>
        <v>#NAME?</v>
      </c>
      <c r="AB253" s="1" t="str">
        <f t="shared" si="6"/>
        <v>#NAME?</v>
      </c>
      <c r="AC253" s="1" t="str">
        <f t="shared" si="7"/>
        <v>#NAME?</v>
      </c>
      <c r="AD253" s="1" t="str">
        <f t="shared" si="8"/>
        <v>#NAME?</v>
      </c>
    </row>
    <row r="254" ht="14.25" customHeight="1">
      <c r="H254" s="1">
        <f t="shared" si="9"/>
        <v>249</v>
      </c>
      <c r="I254" s="1">
        <f>WEEKDAY('daily graphs'!K254)</f>
        <v>3</v>
      </c>
      <c r="J254" s="1">
        <f t="shared" si="2"/>
        <v>2</v>
      </c>
      <c r="K254" s="1">
        <f t="shared" si="3"/>
        <v>9</v>
      </c>
      <c r="L254" s="23">
        <f>'daily graphs'!K254 - I254</f>
        <v>36771</v>
      </c>
      <c r="M254" s="24">
        <f t="shared" si="4"/>
        <v>-1000000</v>
      </c>
      <c r="N254" s="24" t="str">
        <f t="array" ref="N254">IF(M254&gt;0,INDEX(big_daily_table,MATCH(DATE(O$5,$K254,$J254),daily_dates,0),MATCH($B$3,daily_items,0)),NA())</f>
        <v>#N/A</v>
      </c>
      <c r="O254" s="1" t="str">
        <f t="array" ref="O254">IF(M254&lt;0,INDEX(big_daily_table,MATCH(DATE(O$5,$K254,$J254),daily_dates,0),MATCH($B$3,daily_items,0)),NA())</f>
        <v>#N/A</v>
      </c>
      <c r="P254" s="1" t="str">
        <f t="array" ref="P254">IF(ISBLANK(INDEX(big_daily_table,MATCH(DATE(P$5,$K254,$J254),daily_dates,0),MATCH($B$3,daily_items,0))),NA(),INDEX(big_daily_table,MATCH(DATE(P$5,$K254,$J254),daily_dates,0),MATCH($B$3,daily_items,0)))</f>
        <v>#N/A</v>
      </c>
      <c r="Q254" s="1" t="str">
        <f t="array" ref="Q254">IF(ISBLANK(INDEX(big_daily_table,MATCH(DATE(Q$5,$K254,$J254),daily_dates,0),MATCH($B$3,daily_items,0))),NA(),INDEX(big_daily_table,MATCH(DATE(Q$5,$K254,$J254),daily_dates,0),MATCH($B$3,daily_items,0)))</f>
        <v>#N/A</v>
      </c>
      <c r="R254" s="1" t="str">
        <f t="array" ref="R254">IF(ISBLANK(INDEX(big_daily_table,MATCH(DATE(R$5,$K254,$J254),daily_dates,0),MATCH($B$3,daily_items,0))),NA(),INDEX(big_daily_table,MATCH(DATE(R$5,$K254,$J254),daily_dates,0),MATCH($B$3,daily_items,0)))</f>
        <v>#N/A</v>
      </c>
      <c r="S254" s="1" t="str">
        <f t="array" ref="S254">IF(ISBLANK(INDEX(big_daily_table,MATCH(DATE(S$5,$K254,$J254),daily_dates,0),MATCH($B$3,daily_items,0))),NA(),INDEX(big_daily_table,MATCH(DATE(S$5,$K254,$J254),daily_dates,0),MATCH($B$3,daily_items,0)))</f>
        <v>#N/A</v>
      </c>
      <c r="T254" s="1" t="str">
        <f t="array" ref="T254">IF(ISBLANK(INDEX(big_daily_table,MATCH(DATE(T$5,$K254,$J254),daily_dates,0),MATCH($B$3,daily_items,0))),NA(),INDEX(big_daily_table,MATCH(DATE(T$5,$K254,$J254),daily_dates,0),MATCH($B$3,daily_items,0)))</f>
        <v>#N/A</v>
      </c>
      <c r="U254" s="1" t="str">
        <f t="array" ref="U254">IF(ISBLANK(INDEX(big_daily_table,MATCH(DATE(U$5,$K254,$J254),daily_dates,0),MATCH($B$3,daily_items,0))),NA(),INDEX(big_daily_table,MATCH(DATE(U$5,$K254,$J254),daily_dates,0),MATCH($B$3,daily_items,0)))</f>
        <v>#N/A</v>
      </c>
      <c r="V254" s="1" t="str">
        <f t="array" ref="V254">IF(ISBLANK(INDEX(big_daily_table,MATCH(DATE(V$5,$K254,$J254),daily_dates,0),MATCH($B$3,daily_items,0))),NA(),INDEX(big_daily_table,MATCH(DATE(V$5,$K254,$J254),daily_dates,0),MATCH($B$3,daily_items,0)))</f>
        <v>#N/A</v>
      </c>
      <c r="W254" s="1" t="str">
        <f t="array" ref="W254">IF(ISBLANK(INDEX(big_daily_table,MATCH(DATE(W$5,$K254,$J254),daily_dates,0),MATCH($B$3,daily_items,0))),NA(),INDEX(big_daily_table,MATCH(DATE(W$5,$K254,$J254),daily_dates,0),MATCH($B$3,daily_items,0)))</f>
        <v>#N/A</v>
      </c>
      <c r="X254" s="1" t="str">
        <f t="array" ref="X254">IF(ISBLANK(INDEX(big_daily_table,MATCH(DATE(X$5,$K254,$J254),daily_dates,0),MATCH($B$3,daily_items,0))),NA(),INDEX(big_daily_table,MATCH(DATE(X$5,$K254,$J254),daily_dates,0),MATCH($B$3,daily_items,0)))</f>
        <v>#N/A</v>
      </c>
      <c r="Y254" s="1" t="str">
        <f t="array" ref="Y254">IF(ISBLANK(INDEX(big_daily_table,MATCH(DATE(Y$5,$K254,$J254),daily_dates,0),MATCH($B$3,daily_items,0))),NA(),INDEX(big_daily_table,MATCH(DATE(Y$5,$K254,$J254),daily_dates,0),MATCH($B$3,daily_items,0)))</f>
        <v>#N/A</v>
      </c>
      <c r="Z254" s="1" t="str">
        <f t="array" ref="Z254">IF(ISBLANK(INDEX(big_daily_table,MATCH(DATE(Z$5,$K254,$J254),daily_dates,0),MATCH($B$3,daily_items,0))),NA(),INDEX(big_daily_table,MATCH(DATE(Z$5,$K254,$J254),daily_dates,0),MATCH($B$3,daily_items,0)))</f>
        <v>#N/A</v>
      </c>
      <c r="AA254" s="1" t="str">
        <f t="shared" si="5"/>
        <v>#NAME?</v>
      </c>
      <c r="AB254" s="1" t="str">
        <f t="shared" si="6"/>
        <v>#NAME?</v>
      </c>
      <c r="AC254" s="1" t="str">
        <f t="shared" si="7"/>
        <v>#NAME?</v>
      </c>
      <c r="AD254" s="1" t="str">
        <f t="shared" si="8"/>
        <v>#NAME?</v>
      </c>
    </row>
    <row r="255" ht="14.25" customHeight="1">
      <c r="H255" s="1">
        <f t="shared" si="9"/>
        <v>250</v>
      </c>
      <c r="I255" s="1">
        <f>WEEKDAY('daily graphs'!K255)</f>
        <v>4</v>
      </c>
      <c r="J255" s="1">
        <f t="shared" si="2"/>
        <v>2</v>
      </c>
      <c r="K255" s="1">
        <f t="shared" si="3"/>
        <v>9</v>
      </c>
      <c r="L255" s="23">
        <f>'daily graphs'!K255 - I255</f>
        <v>36771</v>
      </c>
      <c r="M255" s="24">
        <f t="shared" si="4"/>
        <v>-1000000</v>
      </c>
      <c r="N255" s="24" t="str">
        <f t="array" ref="N255">IF(M255&gt;0,INDEX(big_daily_table,MATCH(DATE(O$5,$K255,$J255),daily_dates,0),MATCH($B$3,daily_items,0)),NA())</f>
        <v>#N/A</v>
      </c>
      <c r="O255" s="1" t="str">
        <f t="array" ref="O255">IF(M255&lt;0,INDEX(big_daily_table,MATCH(DATE(O$5,$K255,$J255),daily_dates,0),MATCH($B$3,daily_items,0)),NA())</f>
        <v>#N/A</v>
      </c>
      <c r="P255" s="1" t="str">
        <f t="array" ref="P255">IF(ISBLANK(INDEX(big_daily_table,MATCH(DATE(P$5,$K255,$J255),daily_dates,0),MATCH($B$3,daily_items,0))),NA(),INDEX(big_daily_table,MATCH(DATE(P$5,$K255,$J255),daily_dates,0),MATCH($B$3,daily_items,0)))</f>
        <v>#N/A</v>
      </c>
      <c r="Q255" s="1" t="str">
        <f t="array" ref="Q255">IF(ISBLANK(INDEX(big_daily_table,MATCH(DATE(Q$5,$K255,$J255),daily_dates,0),MATCH($B$3,daily_items,0))),NA(),INDEX(big_daily_table,MATCH(DATE(Q$5,$K255,$J255),daily_dates,0),MATCH($B$3,daily_items,0)))</f>
        <v>#N/A</v>
      </c>
      <c r="R255" s="1" t="str">
        <f t="array" ref="R255">IF(ISBLANK(INDEX(big_daily_table,MATCH(DATE(R$5,$K255,$J255),daily_dates,0),MATCH($B$3,daily_items,0))),NA(),INDEX(big_daily_table,MATCH(DATE(R$5,$K255,$J255),daily_dates,0),MATCH($B$3,daily_items,0)))</f>
        <v>#N/A</v>
      </c>
      <c r="S255" s="1" t="str">
        <f t="array" ref="S255">IF(ISBLANK(INDEX(big_daily_table,MATCH(DATE(S$5,$K255,$J255),daily_dates,0),MATCH($B$3,daily_items,0))),NA(),INDEX(big_daily_table,MATCH(DATE(S$5,$K255,$J255),daily_dates,0),MATCH($B$3,daily_items,0)))</f>
        <v>#N/A</v>
      </c>
      <c r="T255" s="1" t="str">
        <f t="array" ref="T255">IF(ISBLANK(INDEX(big_daily_table,MATCH(DATE(T$5,$K255,$J255),daily_dates,0),MATCH($B$3,daily_items,0))),NA(),INDEX(big_daily_table,MATCH(DATE(T$5,$K255,$J255),daily_dates,0),MATCH($B$3,daily_items,0)))</f>
        <v>#N/A</v>
      </c>
      <c r="U255" s="1" t="str">
        <f t="array" ref="U255">IF(ISBLANK(INDEX(big_daily_table,MATCH(DATE(U$5,$K255,$J255),daily_dates,0),MATCH($B$3,daily_items,0))),NA(),INDEX(big_daily_table,MATCH(DATE(U$5,$K255,$J255),daily_dates,0),MATCH($B$3,daily_items,0)))</f>
        <v>#N/A</v>
      </c>
      <c r="V255" s="1" t="str">
        <f t="array" ref="V255">IF(ISBLANK(INDEX(big_daily_table,MATCH(DATE(V$5,$K255,$J255),daily_dates,0),MATCH($B$3,daily_items,0))),NA(),INDEX(big_daily_table,MATCH(DATE(V$5,$K255,$J255),daily_dates,0),MATCH($B$3,daily_items,0)))</f>
        <v>#N/A</v>
      </c>
      <c r="W255" s="1" t="str">
        <f t="array" ref="W255">IF(ISBLANK(INDEX(big_daily_table,MATCH(DATE(W$5,$K255,$J255),daily_dates,0),MATCH($B$3,daily_items,0))),NA(),INDEX(big_daily_table,MATCH(DATE(W$5,$K255,$J255),daily_dates,0),MATCH($B$3,daily_items,0)))</f>
        <v>#N/A</v>
      </c>
      <c r="X255" s="1" t="str">
        <f t="array" ref="X255">IF(ISBLANK(INDEX(big_daily_table,MATCH(DATE(X$5,$K255,$J255),daily_dates,0),MATCH($B$3,daily_items,0))),NA(),INDEX(big_daily_table,MATCH(DATE(X$5,$K255,$J255),daily_dates,0),MATCH($B$3,daily_items,0)))</f>
        <v>#N/A</v>
      </c>
      <c r="Y255" s="1" t="str">
        <f t="array" ref="Y255">IF(ISBLANK(INDEX(big_daily_table,MATCH(DATE(Y$5,$K255,$J255),daily_dates,0),MATCH($B$3,daily_items,0))),NA(),INDEX(big_daily_table,MATCH(DATE(Y$5,$K255,$J255),daily_dates,0),MATCH($B$3,daily_items,0)))</f>
        <v>#N/A</v>
      </c>
      <c r="Z255" s="1" t="str">
        <f t="array" ref="Z255">IF(ISBLANK(INDEX(big_daily_table,MATCH(DATE(Z$5,$K255,$J255),daily_dates,0),MATCH($B$3,daily_items,0))),NA(),INDEX(big_daily_table,MATCH(DATE(Z$5,$K255,$J255),daily_dates,0),MATCH($B$3,daily_items,0)))</f>
        <v>#N/A</v>
      </c>
      <c r="AA255" s="1" t="str">
        <f t="shared" si="5"/>
        <v>#NAME?</v>
      </c>
      <c r="AB255" s="1" t="str">
        <f t="shared" si="6"/>
        <v>#NAME?</v>
      </c>
      <c r="AC255" s="1" t="str">
        <f t="shared" si="7"/>
        <v>#NAME?</v>
      </c>
      <c r="AD255" s="1" t="str">
        <f t="shared" si="8"/>
        <v>#NAME?</v>
      </c>
    </row>
    <row r="256" ht="14.25" customHeight="1">
      <c r="H256" s="1">
        <f t="shared" si="9"/>
        <v>251</v>
      </c>
      <c r="I256" s="1">
        <f>WEEKDAY('daily graphs'!K256)</f>
        <v>5</v>
      </c>
      <c r="J256" s="1">
        <f t="shared" si="2"/>
        <v>2</v>
      </c>
      <c r="K256" s="1">
        <f t="shared" si="3"/>
        <v>9</v>
      </c>
      <c r="L256" s="23">
        <f>'daily graphs'!K256 - I256</f>
        <v>36771</v>
      </c>
      <c r="M256" s="24">
        <f t="shared" si="4"/>
        <v>-1000000</v>
      </c>
      <c r="N256" s="24" t="str">
        <f t="array" ref="N256">IF(M256&gt;0,INDEX(big_daily_table,MATCH(DATE(O$5,$K256,$J256),daily_dates,0),MATCH($B$3,daily_items,0)),NA())</f>
        <v>#N/A</v>
      </c>
      <c r="O256" s="1" t="str">
        <f t="array" ref="O256">IF(M256&lt;0,INDEX(big_daily_table,MATCH(DATE(O$5,$K256,$J256),daily_dates,0),MATCH($B$3,daily_items,0)),NA())</f>
        <v>#N/A</v>
      </c>
      <c r="P256" s="1" t="str">
        <f t="array" ref="P256">IF(ISBLANK(INDEX(big_daily_table,MATCH(DATE(P$5,$K256,$J256),daily_dates,0),MATCH($B$3,daily_items,0))),NA(),INDEX(big_daily_table,MATCH(DATE(P$5,$K256,$J256),daily_dates,0),MATCH($B$3,daily_items,0)))</f>
        <v>#N/A</v>
      </c>
      <c r="Q256" s="1" t="str">
        <f t="array" ref="Q256">IF(ISBLANK(INDEX(big_daily_table,MATCH(DATE(Q$5,$K256,$J256),daily_dates,0),MATCH($B$3,daily_items,0))),NA(),INDEX(big_daily_table,MATCH(DATE(Q$5,$K256,$J256),daily_dates,0),MATCH($B$3,daily_items,0)))</f>
        <v>#N/A</v>
      </c>
      <c r="R256" s="1" t="str">
        <f t="array" ref="R256">IF(ISBLANK(INDEX(big_daily_table,MATCH(DATE(R$5,$K256,$J256),daily_dates,0),MATCH($B$3,daily_items,0))),NA(),INDEX(big_daily_table,MATCH(DATE(R$5,$K256,$J256),daily_dates,0),MATCH($B$3,daily_items,0)))</f>
        <v>#N/A</v>
      </c>
      <c r="S256" s="1" t="str">
        <f t="array" ref="S256">IF(ISBLANK(INDEX(big_daily_table,MATCH(DATE(S$5,$K256,$J256),daily_dates,0),MATCH($B$3,daily_items,0))),NA(),INDEX(big_daily_table,MATCH(DATE(S$5,$K256,$J256),daily_dates,0),MATCH($B$3,daily_items,0)))</f>
        <v>#N/A</v>
      </c>
      <c r="T256" s="1" t="str">
        <f t="array" ref="T256">IF(ISBLANK(INDEX(big_daily_table,MATCH(DATE(T$5,$K256,$J256),daily_dates,0),MATCH($B$3,daily_items,0))),NA(),INDEX(big_daily_table,MATCH(DATE(T$5,$K256,$J256),daily_dates,0),MATCH($B$3,daily_items,0)))</f>
        <v>#N/A</v>
      </c>
      <c r="U256" s="1" t="str">
        <f t="array" ref="U256">IF(ISBLANK(INDEX(big_daily_table,MATCH(DATE(U$5,$K256,$J256),daily_dates,0),MATCH($B$3,daily_items,0))),NA(),INDEX(big_daily_table,MATCH(DATE(U$5,$K256,$J256),daily_dates,0),MATCH($B$3,daily_items,0)))</f>
        <v>#N/A</v>
      </c>
      <c r="V256" s="1" t="str">
        <f t="array" ref="V256">IF(ISBLANK(INDEX(big_daily_table,MATCH(DATE(V$5,$K256,$J256),daily_dates,0),MATCH($B$3,daily_items,0))),NA(),INDEX(big_daily_table,MATCH(DATE(V$5,$K256,$J256),daily_dates,0),MATCH($B$3,daily_items,0)))</f>
        <v>#N/A</v>
      </c>
      <c r="W256" s="1" t="str">
        <f t="array" ref="W256">IF(ISBLANK(INDEX(big_daily_table,MATCH(DATE(W$5,$K256,$J256),daily_dates,0),MATCH($B$3,daily_items,0))),NA(),INDEX(big_daily_table,MATCH(DATE(W$5,$K256,$J256),daily_dates,0),MATCH($B$3,daily_items,0)))</f>
        <v>#N/A</v>
      </c>
      <c r="X256" s="1" t="str">
        <f t="array" ref="X256">IF(ISBLANK(INDEX(big_daily_table,MATCH(DATE(X$5,$K256,$J256),daily_dates,0),MATCH($B$3,daily_items,0))),NA(),INDEX(big_daily_table,MATCH(DATE(X$5,$K256,$J256),daily_dates,0),MATCH($B$3,daily_items,0)))</f>
        <v>#N/A</v>
      </c>
      <c r="Y256" s="1" t="str">
        <f t="array" ref="Y256">IF(ISBLANK(INDEX(big_daily_table,MATCH(DATE(Y$5,$K256,$J256),daily_dates,0),MATCH($B$3,daily_items,0))),NA(),INDEX(big_daily_table,MATCH(DATE(Y$5,$K256,$J256),daily_dates,0),MATCH($B$3,daily_items,0)))</f>
        <v>#N/A</v>
      </c>
      <c r="Z256" s="1" t="str">
        <f t="array" ref="Z256">IF(ISBLANK(INDEX(big_daily_table,MATCH(DATE(Z$5,$K256,$J256),daily_dates,0),MATCH($B$3,daily_items,0))),NA(),INDEX(big_daily_table,MATCH(DATE(Z$5,$K256,$J256),daily_dates,0),MATCH($B$3,daily_items,0)))</f>
        <v>#N/A</v>
      </c>
      <c r="AA256" s="1" t="str">
        <f t="shared" si="5"/>
        <v>#NAME?</v>
      </c>
      <c r="AB256" s="1" t="str">
        <f t="shared" si="6"/>
        <v>#NAME?</v>
      </c>
      <c r="AC256" s="1" t="str">
        <f t="shared" si="7"/>
        <v>#NAME?</v>
      </c>
      <c r="AD256" s="1" t="str">
        <f t="shared" si="8"/>
        <v>#NAME?</v>
      </c>
    </row>
    <row r="257" ht="14.25" customHeight="1">
      <c r="H257" s="1">
        <f t="shared" si="9"/>
        <v>252</v>
      </c>
      <c r="I257" s="1">
        <f>WEEKDAY('daily graphs'!K257)</f>
        <v>6</v>
      </c>
      <c r="J257" s="1">
        <f t="shared" si="2"/>
        <v>2</v>
      </c>
      <c r="K257" s="1">
        <f t="shared" si="3"/>
        <v>9</v>
      </c>
      <c r="L257" s="23">
        <f>'daily graphs'!K257 - I257</f>
        <v>36771</v>
      </c>
      <c r="M257" s="24">
        <f t="shared" si="4"/>
        <v>-1000000</v>
      </c>
      <c r="N257" s="24" t="str">
        <f t="array" ref="N257">IF(M257&gt;0,INDEX(big_daily_table,MATCH(DATE(O$5,$K257,$J257),daily_dates,0),MATCH($B$3,daily_items,0)),NA())</f>
        <v>#N/A</v>
      </c>
      <c r="O257" s="1" t="str">
        <f t="array" ref="O257">IF(M257&lt;0,INDEX(big_daily_table,MATCH(DATE(O$5,$K257,$J257),daily_dates,0),MATCH($B$3,daily_items,0)),NA())</f>
        <v>#N/A</v>
      </c>
      <c r="P257" s="1" t="str">
        <f t="array" ref="P257">IF(ISBLANK(INDEX(big_daily_table,MATCH(DATE(P$5,$K257,$J257),daily_dates,0),MATCH($B$3,daily_items,0))),NA(),INDEX(big_daily_table,MATCH(DATE(P$5,$K257,$J257),daily_dates,0),MATCH($B$3,daily_items,0)))</f>
        <v>#N/A</v>
      </c>
      <c r="Q257" s="1" t="str">
        <f t="array" ref="Q257">IF(ISBLANK(INDEX(big_daily_table,MATCH(DATE(Q$5,$K257,$J257),daily_dates,0),MATCH($B$3,daily_items,0))),NA(),INDEX(big_daily_table,MATCH(DATE(Q$5,$K257,$J257),daily_dates,0),MATCH($B$3,daily_items,0)))</f>
        <v>#N/A</v>
      </c>
      <c r="R257" s="1" t="str">
        <f t="array" ref="R257">IF(ISBLANK(INDEX(big_daily_table,MATCH(DATE(R$5,$K257,$J257),daily_dates,0),MATCH($B$3,daily_items,0))),NA(),INDEX(big_daily_table,MATCH(DATE(R$5,$K257,$J257),daily_dates,0),MATCH($B$3,daily_items,0)))</f>
        <v>#N/A</v>
      </c>
      <c r="S257" s="1" t="str">
        <f t="array" ref="S257">IF(ISBLANK(INDEX(big_daily_table,MATCH(DATE(S$5,$K257,$J257),daily_dates,0),MATCH($B$3,daily_items,0))),NA(),INDEX(big_daily_table,MATCH(DATE(S$5,$K257,$J257),daily_dates,0),MATCH($B$3,daily_items,0)))</f>
        <v>#N/A</v>
      </c>
      <c r="T257" s="1" t="str">
        <f t="array" ref="T257">IF(ISBLANK(INDEX(big_daily_table,MATCH(DATE(T$5,$K257,$J257),daily_dates,0),MATCH($B$3,daily_items,0))),NA(),INDEX(big_daily_table,MATCH(DATE(T$5,$K257,$J257),daily_dates,0),MATCH($B$3,daily_items,0)))</f>
        <v>#N/A</v>
      </c>
      <c r="U257" s="1" t="str">
        <f t="array" ref="U257">IF(ISBLANK(INDEX(big_daily_table,MATCH(DATE(U$5,$K257,$J257),daily_dates,0),MATCH($B$3,daily_items,0))),NA(),INDEX(big_daily_table,MATCH(DATE(U$5,$K257,$J257),daily_dates,0),MATCH($B$3,daily_items,0)))</f>
        <v>#N/A</v>
      </c>
      <c r="V257" s="1" t="str">
        <f t="array" ref="V257">IF(ISBLANK(INDEX(big_daily_table,MATCH(DATE(V$5,$K257,$J257),daily_dates,0),MATCH($B$3,daily_items,0))),NA(),INDEX(big_daily_table,MATCH(DATE(V$5,$K257,$J257),daily_dates,0),MATCH($B$3,daily_items,0)))</f>
        <v>#N/A</v>
      </c>
      <c r="W257" s="1" t="str">
        <f t="array" ref="W257">IF(ISBLANK(INDEX(big_daily_table,MATCH(DATE(W$5,$K257,$J257),daily_dates,0),MATCH($B$3,daily_items,0))),NA(),INDEX(big_daily_table,MATCH(DATE(W$5,$K257,$J257),daily_dates,0),MATCH($B$3,daily_items,0)))</f>
        <v>#N/A</v>
      </c>
      <c r="X257" s="1" t="str">
        <f t="array" ref="X257">IF(ISBLANK(INDEX(big_daily_table,MATCH(DATE(X$5,$K257,$J257),daily_dates,0),MATCH($B$3,daily_items,0))),NA(),INDEX(big_daily_table,MATCH(DATE(X$5,$K257,$J257),daily_dates,0),MATCH($B$3,daily_items,0)))</f>
        <v>#N/A</v>
      </c>
      <c r="Y257" s="1" t="str">
        <f t="array" ref="Y257">IF(ISBLANK(INDEX(big_daily_table,MATCH(DATE(Y$5,$K257,$J257),daily_dates,0),MATCH($B$3,daily_items,0))),NA(),INDEX(big_daily_table,MATCH(DATE(Y$5,$K257,$J257),daily_dates,0),MATCH($B$3,daily_items,0)))</f>
        <v>#N/A</v>
      </c>
      <c r="Z257" s="1" t="str">
        <f t="array" ref="Z257">IF(ISBLANK(INDEX(big_daily_table,MATCH(DATE(Z$5,$K257,$J257),daily_dates,0),MATCH($B$3,daily_items,0))),NA(),INDEX(big_daily_table,MATCH(DATE(Z$5,$K257,$J257),daily_dates,0),MATCH($B$3,daily_items,0)))</f>
        <v>#N/A</v>
      </c>
      <c r="AA257" s="1" t="str">
        <f t="shared" si="5"/>
        <v>#NAME?</v>
      </c>
      <c r="AB257" s="1" t="str">
        <f t="shared" si="6"/>
        <v>#NAME?</v>
      </c>
      <c r="AC257" s="1" t="str">
        <f t="shared" si="7"/>
        <v>#NAME?</v>
      </c>
      <c r="AD257" s="1" t="str">
        <f t="shared" si="8"/>
        <v>#NAME?</v>
      </c>
    </row>
    <row r="258" ht="14.25" customHeight="1">
      <c r="H258" s="1">
        <f t="shared" si="9"/>
        <v>253</v>
      </c>
      <c r="I258" s="1">
        <f>WEEKDAY('daily graphs'!K258)</f>
        <v>7</v>
      </c>
      <c r="J258" s="1">
        <f t="shared" si="2"/>
        <v>2</v>
      </c>
      <c r="K258" s="1">
        <f t="shared" si="3"/>
        <v>9</v>
      </c>
      <c r="L258" s="23">
        <f>'daily graphs'!K258 - I258</f>
        <v>36771</v>
      </c>
      <c r="M258" s="24">
        <f t="shared" si="4"/>
        <v>-1000000</v>
      </c>
      <c r="N258" s="24" t="str">
        <f t="array" ref="N258">IF(M258&gt;0,INDEX(big_daily_table,MATCH(DATE(O$5,$K258,$J258),daily_dates,0),MATCH($B$3,daily_items,0)),NA())</f>
        <v>#N/A</v>
      </c>
      <c r="O258" s="1" t="str">
        <f t="array" ref="O258">IF(M258&lt;0,INDEX(big_daily_table,MATCH(DATE(O$5,$K258,$J258),daily_dates,0),MATCH($B$3,daily_items,0)),NA())</f>
        <v>#N/A</v>
      </c>
      <c r="P258" s="1" t="str">
        <f t="array" ref="P258">IF(ISBLANK(INDEX(big_daily_table,MATCH(DATE(P$5,$K258,$J258),daily_dates,0),MATCH($B$3,daily_items,0))),NA(),INDEX(big_daily_table,MATCH(DATE(P$5,$K258,$J258),daily_dates,0),MATCH($B$3,daily_items,0)))</f>
        <v>#N/A</v>
      </c>
      <c r="Q258" s="1" t="str">
        <f t="array" ref="Q258">IF(ISBLANK(INDEX(big_daily_table,MATCH(DATE(Q$5,$K258,$J258),daily_dates,0),MATCH($B$3,daily_items,0))),NA(),INDEX(big_daily_table,MATCH(DATE(Q$5,$K258,$J258),daily_dates,0),MATCH($B$3,daily_items,0)))</f>
        <v>#N/A</v>
      </c>
      <c r="R258" s="1" t="str">
        <f t="array" ref="R258">IF(ISBLANK(INDEX(big_daily_table,MATCH(DATE(R$5,$K258,$J258),daily_dates,0),MATCH($B$3,daily_items,0))),NA(),INDEX(big_daily_table,MATCH(DATE(R$5,$K258,$J258),daily_dates,0),MATCH($B$3,daily_items,0)))</f>
        <v>#N/A</v>
      </c>
      <c r="S258" s="1" t="str">
        <f t="array" ref="S258">IF(ISBLANK(INDEX(big_daily_table,MATCH(DATE(S$5,$K258,$J258),daily_dates,0),MATCH($B$3,daily_items,0))),NA(),INDEX(big_daily_table,MATCH(DATE(S$5,$K258,$J258),daily_dates,0),MATCH($B$3,daily_items,0)))</f>
        <v>#N/A</v>
      </c>
      <c r="T258" s="1" t="str">
        <f t="array" ref="T258">IF(ISBLANK(INDEX(big_daily_table,MATCH(DATE(T$5,$K258,$J258),daily_dates,0),MATCH($B$3,daily_items,0))),NA(),INDEX(big_daily_table,MATCH(DATE(T$5,$K258,$J258),daily_dates,0),MATCH($B$3,daily_items,0)))</f>
        <v>#N/A</v>
      </c>
      <c r="U258" s="1" t="str">
        <f t="array" ref="U258">IF(ISBLANK(INDEX(big_daily_table,MATCH(DATE(U$5,$K258,$J258),daily_dates,0),MATCH($B$3,daily_items,0))),NA(),INDEX(big_daily_table,MATCH(DATE(U$5,$K258,$J258),daily_dates,0),MATCH($B$3,daily_items,0)))</f>
        <v>#N/A</v>
      </c>
      <c r="V258" s="1" t="str">
        <f t="array" ref="V258">IF(ISBLANK(INDEX(big_daily_table,MATCH(DATE(V$5,$K258,$J258),daily_dates,0),MATCH($B$3,daily_items,0))),NA(),INDEX(big_daily_table,MATCH(DATE(V$5,$K258,$J258),daily_dates,0),MATCH($B$3,daily_items,0)))</f>
        <v>#N/A</v>
      </c>
      <c r="W258" s="1" t="str">
        <f t="array" ref="W258">IF(ISBLANK(INDEX(big_daily_table,MATCH(DATE(W$5,$K258,$J258),daily_dates,0),MATCH($B$3,daily_items,0))),NA(),INDEX(big_daily_table,MATCH(DATE(W$5,$K258,$J258),daily_dates,0),MATCH($B$3,daily_items,0)))</f>
        <v>#N/A</v>
      </c>
      <c r="X258" s="1" t="str">
        <f t="array" ref="X258">IF(ISBLANK(INDEX(big_daily_table,MATCH(DATE(X$5,$K258,$J258),daily_dates,0),MATCH($B$3,daily_items,0))),NA(),INDEX(big_daily_table,MATCH(DATE(X$5,$K258,$J258),daily_dates,0),MATCH($B$3,daily_items,0)))</f>
        <v>#N/A</v>
      </c>
      <c r="Y258" s="1" t="str">
        <f t="array" ref="Y258">IF(ISBLANK(INDEX(big_daily_table,MATCH(DATE(Y$5,$K258,$J258),daily_dates,0),MATCH($B$3,daily_items,0))),NA(),INDEX(big_daily_table,MATCH(DATE(Y$5,$K258,$J258),daily_dates,0),MATCH($B$3,daily_items,0)))</f>
        <v>#N/A</v>
      </c>
      <c r="Z258" s="1" t="str">
        <f t="array" ref="Z258">IF(ISBLANK(INDEX(big_daily_table,MATCH(DATE(Z$5,$K258,$J258),daily_dates,0),MATCH($B$3,daily_items,0))),NA(),INDEX(big_daily_table,MATCH(DATE(Z$5,$K258,$J258),daily_dates,0),MATCH($B$3,daily_items,0)))</f>
        <v>#N/A</v>
      </c>
      <c r="AA258" s="1" t="str">
        <f t="shared" si="5"/>
        <v>#NAME?</v>
      </c>
      <c r="AB258" s="1" t="str">
        <f t="shared" si="6"/>
        <v>#NAME?</v>
      </c>
      <c r="AC258" s="1" t="str">
        <f t="shared" si="7"/>
        <v>#NAME?</v>
      </c>
      <c r="AD258" s="1" t="str">
        <f t="shared" si="8"/>
        <v>#NAME?</v>
      </c>
    </row>
    <row r="259" ht="14.25" customHeight="1">
      <c r="H259" s="1">
        <f t="shared" si="9"/>
        <v>254</v>
      </c>
      <c r="I259" s="1">
        <f>WEEKDAY('daily graphs'!K259)</f>
        <v>1</v>
      </c>
      <c r="J259" s="1">
        <f t="shared" si="2"/>
        <v>9</v>
      </c>
      <c r="K259" s="1">
        <f t="shared" si="3"/>
        <v>9</v>
      </c>
      <c r="L259" s="23">
        <f>'daily graphs'!K259 - I259</f>
        <v>36778</v>
      </c>
      <c r="M259" s="24">
        <f t="shared" si="4"/>
        <v>-1000000</v>
      </c>
      <c r="N259" s="24" t="str">
        <f t="array" ref="N259">IF(M259&gt;0,INDEX(big_daily_table,MATCH(DATE(O$5,$K259,$J259),daily_dates,0),MATCH($B$3,daily_items,0)),NA())</f>
        <v>#N/A</v>
      </c>
      <c r="O259" s="1" t="str">
        <f t="array" ref="O259">IF(M259&lt;0,INDEX(big_daily_table,MATCH(DATE(O$5,$K259,$J259),daily_dates,0),MATCH($B$3,daily_items,0)),NA())</f>
        <v>#N/A</v>
      </c>
      <c r="P259" s="1" t="str">
        <f t="array" ref="P259">IF(ISBLANK(INDEX(big_daily_table,MATCH(DATE(P$5,$K259,$J259),daily_dates,0),MATCH($B$3,daily_items,0))),NA(),INDEX(big_daily_table,MATCH(DATE(P$5,$K259,$J259),daily_dates,0),MATCH($B$3,daily_items,0)))</f>
        <v>#N/A</v>
      </c>
      <c r="Q259" s="1" t="str">
        <f t="array" ref="Q259">IF(ISBLANK(INDEX(big_daily_table,MATCH(DATE(Q$5,$K259,$J259),daily_dates,0),MATCH($B$3,daily_items,0))),NA(),INDEX(big_daily_table,MATCH(DATE(Q$5,$K259,$J259),daily_dates,0),MATCH($B$3,daily_items,0)))</f>
        <v>#N/A</v>
      </c>
      <c r="R259" s="1" t="str">
        <f t="array" ref="R259">IF(ISBLANK(INDEX(big_daily_table,MATCH(DATE(R$5,$K259,$J259),daily_dates,0),MATCH($B$3,daily_items,0))),NA(),INDEX(big_daily_table,MATCH(DATE(R$5,$K259,$J259),daily_dates,0),MATCH($B$3,daily_items,0)))</f>
        <v>#N/A</v>
      </c>
      <c r="S259" s="1" t="str">
        <f t="array" ref="S259">IF(ISBLANK(INDEX(big_daily_table,MATCH(DATE(S$5,$K259,$J259),daily_dates,0),MATCH($B$3,daily_items,0))),NA(),INDEX(big_daily_table,MATCH(DATE(S$5,$K259,$J259),daily_dates,0),MATCH($B$3,daily_items,0)))</f>
        <v>#N/A</v>
      </c>
      <c r="T259" s="1" t="str">
        <f t="array" ref="T259">IF(ISBLANK(INDEX(big_daily_table,MATCH(DATE(T$5,$K259,$J259),daily_dates,0),MATCH($B$3,daily_items,0))),NA(),INDEX(big_daily_table,MATCH(DATE(T$5,$K259,$J259),daily_dates,0),MATCH($B$3,daily_items,0)))</f>
        <v>#N/A</v>
      </c>
      <c r="U259" s="1" t="str">
        <f t="array" ref="U259">IF(ISBLANK(INDEX(big_daily_table,MATCH(DATE(U$5,$K259,$J259),daily_dates,0),MATCH($B$3,daily_items,0))),NA(),INDEX(big_daily_table,MATCH(DATE(U$5,$K259,$J259),daily_dates,0),MATCH($B$3,daily_items,0)))</f>
        <v>#N/A</v>
      </c>
      <c r="V259" s="1" t="str">
        <f t="array" ref="V259">IF(ISBLANK(INDEX(big_daily_table,MATCH(DATE(V$5,$K259,$J259),daily_dates,0),MATCH($B$3,daily_items,0))),NA(),INDEX(big_daily_table,MATCH(DATE(V$5,$K259,$J259),daily_dates,0),MATCH($B$3,daily_items,0)))</f>
        <v>#N/A</v>
      </c>
      <c r="W259" s="1" t="str">
        <f t="array" ref="W259">IF(ISBLANK(INDEX(big_daily_table,MATCH(DATE(W$5,$K259,$J259),daily_dates,0),MATCH($B$3,daily_items,0))),NA(),INDEX(big_daily_table,MATCH(DATE(W$5,$K259,$J259),daily_dates,0),MATCH($B$3,daily_items,0)))</f>
        <v>#N/A</v>
      </c>
      <c r="X259" s="1" t="str">
        <f t="array" ref="X259">IF(ISBLANK(INDEX(big_daily_table,MATCH(DATE(X$5,$K259,$J259),daily_dates,0),MATCH($B$3,daily_items,0))),NA(),INDEX(big_daily_table,MATCH(DATE(X$5,$K259,$J259),daily_dates,0),MATCH($B$3,daily_items,0)))</f>
        <v>#N/A</v>
      </c>
      <c r="Y259" s="1" t="str">
        <f t="array" ref="Y259">IF(ISBLANK(INDEX(big_daily_table,MATCH(DATE(Y$5,$K259,$J259),daily_dates,0),MATCH($B$3,daily_items,0))),NA(),INDEX(big_daily_table,MATCH(DATE(Y$5,$K259,$J259),daily_dates,0),MATCH($B$3,daily_items,0)))</f>
        <v>#N/A</v>
      </c>
      <c r="Z259" s="1" t="str">
        <f t="array" ref="Z259">IF(ISBLANK(INDEX(big_daily_table,MATCH(DATE(Z$5,$K259,$J259),daily_dates,0),MATCH($B$3,daily_items,0))),NA(),INDEX(big_daily_table,MATCH(DATE(Z$5,$K259,$J259),daily_dates,0),MATCH($B$3,daily_items,0)))</f>
        <v>#N/A</v>
      </c>
      <c r="AA259" s="1" t="str">
        <f t="shared" si="5"/>
        <v>#NAME?</v>
      </c>
      <c r="AB259" s="1" t="str">
        <f t="shared" si="6"/>
        <v>#NAME?</v>
      </c>
      <c r="AC259" s="1" t="str">
        <f t="shared" si="7"/>
        <v>#NAME?</v>
      </c>
      <c r="AD259" s="1" t="str">
        <f t="shared" si="8"/>
        <v>#NAME?</v>
      </c>
    </row>
    <row r="260" ht="14.25" customHeight="1">
      <c r="H260" s="1">
        <f t="shared" si="9"/>
        <v>255</v>
      </c>
      <c r="I260" s="1">
        <f>WEEKDAY('daily graphs'!K260)</f>
        <v>2</v>
      </c>
      <c r="J260" s="1">
        <f t="shared" si="2"/>
        <v>9</v>
      </c>
      <c r="K260" s="1">
        <f t="shared" si="3"/>
        <v>9</v>
      </c>
      <c r="L260" s="23">
        <f>'daily graphs'!K260 - I260</f>
        <v>36778</v>
      </c>
      <c r="M260" s="24">
        <f t="shared" si="4"/>
        <v>-1000000</v>
      </c>
      <c r="N260" s="24" t="str">
        <f t="array" ref="N260">IF(M260&gt;0,INDEX(big_daily_table,MATCH(DATE(O$5,$K260,$J260),daily_dates,0),MATCH($B$3,daily_items,0)),NA())</f>
        <v>#N/A</v>
      </c>
      <c r="O260" s="1" t="str">
        <f t="array" ref="O260">IF(M260&lt;0,INDEX(big_daily_table,MATCH(DATE(O$5,$K260,$J260),daily_dates,0),MATCH($B$3,daily_items,0)),NA())</f>
        <v>#N/A</v>
      </c>
      <c r="P260" s="1" t="str">
        <f t="array" ref="P260">IF(ISBLANK(INDEX(big_daily_table,MATCH(DATE(P$5,$K260,$J260),daily_dates,0),MATCH($B$3,daily_items,0))),NA(),INDEX(big_daily_table,MATCH(DATE(P$5,$K260,$J260),daily_dates,0),MATCH($B$3,daily_items,0)))</f>
        <v>#N/A</v>
      </c>
      <c r="Q260" s="1" t="str">
        <f t="array" ref="Q260">IF(ISBLANK(INDEX(big_daily_table,MATCH(DATE(Q$5,$K260,$J260),daily_dates,0),MATCH($B$3,daily_items,0))),NA(),INDEX(big_daily_table,MATCH(DATE(Q$5,$K260,$J260),daily_dates,0),MATCH($B$3,daily_items,0)))</f>
        <v>#N/A</v>
      </c>
      <c r="R260" s="1" t="str">
        <f t="array" ref="R260">IF(ISBLANK(INDEX(big_daily_table,MATCH(DATE(R$5,$K260,$J260),daily_dates,0),MATCH($B$3,daily_items,0))),NA(),INDEX(big_daily_table,MATCH(DATE(R$5,$K260,$J260),daily_dates,0),MATCH($B$3,daily_items,0)))</f>
        <v>#N/A</v>
      </c>
      <c r="S260" s="1" t="str">
        <f t="array" ref="S260">IF(ISBLANK(INDEX(big_daily_table,MATCH(DATE(S$5,$K260,$J260),daily_dates,0),MATCH($B$3,daily_items,0))),NA(),INDEX(big_daily_table,MATCH(DATE(S$5,$K260,$J260),daily_dates,0),MATCH($B$3,daily_items,0)))</f>
        <v>#N/A</v>
      </c>
      <c r="T260" s="1" t="str">
        <f t="array" ref="T260">IF(ISBLANK(INDEX(big_daily_table,MATCH(DATE(T$5,$K260,$J260),daily_dates,0),MATCH($B$3,daily_items,0))),NA(),INDEX(big_daily_table,MATCH(DATE(T$5,$K260,$J260),daily_dates,0),MATCH($B$3,daily_items,0)))</f>
        <v>#N/A</v>
      </c>
      <c r="U260" s="1" t="str">
        <f t="array" ref="U260">IF(ISBLANK(INDEX(big_daily_table,MATCH(DATE(U$5,$K260,$J260),daily_dates,0),MATCH($B$3,daily_items,0))),NA(),INDEX(big_daily_table,MATCH(DATE(U$5,$K260,$J260),daily_dates,0),MATCH($B$3,daily_items,0)))</f>
        <v>#N/A</v>
      </c>
      <c r="V260" s="1" t="str">
        <f t="array" ref="V260">IF(ISBLANK(INDEX(big_daily_table,MATCH(DATE(V$5,$K260,$J260),daily_dates,0),MATCH($B$3,daily_items,0))),NA(),INDEX(big_daily_table,MATCH(DATE(V$5,$K260,$J260),daily_dates,0),MATCH($B$3,daily_items,0)))</f>
        <v>#N/A</v>
      </c>
      <c r="W260" s="1" t="str">
        <f t="array" ref="W260">IF(ISBLANK(INDEX(big_daily_table,MATCH(DATE(W$5,$K260,$J260),daily_dates,0),MATCH($B$3,daily_items,0))),NA(),INDEX(big_daily_table,MATCH(DATE(W$5,$K260,$J260),daily_dates,0),MATCH($B$3,daily_items,0)))</f>
        <v>#N/A</v>
      </c>
      <c r="X260" s="1" t="str">
        <f t="array" ref="X260">IF(ISBLANK(INDEX(big_daily_table,MATCH(DATE(X$5,$K260,$J260),daily_dates,0),MATCH($B$3,daily_items,0))),NA(),INDEX(big_daily_table,MATCH(DATE(X$5,$K260,$J260),daily_dates,0),MATCH($B$3,daily_items,0)))</f>
        <v>#N/A</v>
      </c>
      <c r="Y260" s="1" t="str">
        <f t="array" ref="Y260">IF(ISBLANK(INDEX(big_daily_table,MATCH(DATE(Y$5,$K260,$J260),daily_dates,0),MATCH($B$3,daily_items,0))),NA(),INDEX(big_daily_table,MATCH(DATE(Y$5,$K260,$J260),daily_dates,0),MATCH($B$3,daily_items,0)))</f>
        <v>#N/A</v>
      </c>
      <c r="Z260" s="1" t="str">
        <f t="array" ref="Z260">IF(ISBLANK(INDEX(big_daily_table,MATCH(DATE(Z$5,$K260,$J260),daily_dates,0),MATCH($B$3,daily_items,0))),NA(),INDEX(big_daily_table,MATCH(DATE(Z$5,$K260,$J260),daily_dates,0),MATCH($B$3,daily_items,0)))</f>
        <v>#N/A</v>
      </c>
      <c r="AA260" s="1" t="str">
        <f t="shared" si="5"/>
        <v>#NAME?</v>
      </c>
      <c r="AB260" s="1" t="str">
        <f t="shared" si="6"/>
        <v>#NAME?</v>
      </c>
      <c r="AC260" s="1" t="str">
        <f t="shared" si="7"/>
        <v>#NAME?</v>
      </c>
      <c r="AD260" s="1" t="str">
        <f t="shared" si="8"/>
        <v>#NAME?</v>
      </c>
    </row>
    <row r="261" ht="14.25" customHeight="1">
      <c r="H261" s="1">
        <f t="shared" si="9"/>
        <v>256</v>
      </c>
      <c r="I261" s="1">
        <f>WEEKDAY('daily graphs'!K261)</f>
        <v>3</v>
      </c>
      <c r="J261" s="1">
        <f t="shared" si="2"/>
        <v>9</v>
      </c>
      <c r="K261" s="1">
        <f t="shared" si="3"/>
        <v>9</v>
      </c>
      <c r="L261" s="23">
        <f>'daily graphs'!K261 - I261</f>
        <v>36778</v>
      </c>
      <c r="M261" s="24">
        <f t="shared" si="4"/>
        <v>-1000000</v>
      </c>
      <c r="N261" s="24" t="str">
        <f t="array" ref="N261">IF(M261&gt;0,INDEX(big_daily_table,MATCH(DATE(O$5,$K261,$J261),daily_dates,0),MATCH($B$3,daily_items,0)),NA())</f>
        <v>#N/A</v>
      </c>
      <c r="O261" s="1" t="str">
        <f t="array" ref="O261">IF(M261&lt;0,INDEX(big_daily_table,MATCH(DATE(O$5,$K261,$J261),daily_dates,0),MATCH($B$3,daily_items,0)),NA())</f>
        <v>#N/A</v>
      </c>
      <c r="P261" s="1" t="str">
        <f t="array" ref="P261">IF(ISBLANK(INDEX(big_daily_table,MATCH(DATE(P$5,$K261,$J261),daily_dates,0),MATCH($B$3,daily_items,0))),NA(),INDEX(big_daily_table,MATCH(DATE(P$5,$K261,$J261),daily_dates,0),MATCH($B$3,daily_items,0)))</f>
        <v>#N/A</v>
      </c>
      <c r="Q261" s="1" t="str">
        <f t="array" ref="Q261">IF(ISBLANK(INDEX(big_daily_table,MATCH(DATE(Q$5,$K261,$J261),daily_dates,0),MATCH($B$3,daily_items,0))),NA(),INDEX(big_daily_table,MATCH(DATE(Q$5,$K261,$J261),daily_dates,0),MATCH($B$3,daily_items,0)))</f>
        <v>#N/A</v>
      </c>
      <c r="R261" s="1" t="str">
        <f t="array" ref="R261">IF(ISBLANK(INDEX(big_daily_table,MATCH(DATE(R$5,$K261,$J261),daily_dates,0),MATCH($B$3,daily_items,0))),NA(),INDEX(big_daily_table,MATCH(DATE(R$5,$K261,$J261),daily_dates,0),MATCH($B$3,daily_items,0)))</f>
        <v>#N/A</v>
      </c>
      <c r="S261" s="1" t="str">
        <f t="array" ref="S261">IF(ISBLANK(INDEX(big_daily_table,MATCH(DATE(S$5,$K261,$J261),daily_dates,0),MATCH($B$3,daily_items,0))),NA(),INDEX(big_daily_table,MATCH(DATE(S$5,$K261,$J261),daily_dates,0),MATCH($B$3,daily_items,0)))</f>
        <v>#N/A</v>
      </c>
      <c r="T261" s="1" t="str">
        <f t="array" ref="T261">IF(ISBLANK(INDEX(big_daily_table,MATCH(DATE(T$5,$K261,$J261),daily_dates,0),MATCH($B$3,daily_items,0))),NA(),INDEX(big_daily_table,MATCH(DATE(T$5,$K261,$J261),daily_dates,0),MATCH($B$3,daily_items,0)))</f>
        <v>#N/A</v>
      </c>
      <c r="U261" s="1" t="str">
        <f t="array" ref="U261">IF(ISBLANK(INDEX(big_daily_table,MATCH(DATE(U$5,$K261,$J261),daily_dates,0),MATCH($B$3,daily_items,0))),NA(),INDEX(big_daily_table,MATCH(DATE(U$5,$K261,$J261),daily_dates,0),MATCH($B$3,daily_items,0)))</f>
        <v>#N/A</v>
      </c>
      <c r="V261" s="1" t="str">
        <f t="array" ref="V261">IF(ISBLANK(INDEX(big_daily_table,MATCH(DATE(V$5,$K261,$J261),daily_dates,0),MATCH($B$3,daily_items,0))),NA(),INDEX(big_daily_table,MATCH(DATE(V$5,$K261,$J261),daily_dates,0),MATCH($B$3,daily_items,0)))</f>
        <v>#N/A</v>
      </c>
      <c r="W261" s="1" t="str">
        <f t="array" ref="W261">IF(ISBLANK(INDEX(big_daily_table,MATCH(DATE(W$5,$K261,$J261),daily_dates,0),MATCH($B$3,daily_items,0))),NA(),INDEX(big_daily_table,MATCH(DATE(W$5,$K261,$J261),daily_dates,0),MATCH($B$3,daily_items,0)))</f>
        <v>#N/A</v>
      </c>
      <c r="X261" s="1" t="str">
        <f t="array" ref="X261">IF(ISBLANK(INDEX(big_daily_table,MATCH(DATE(X$5,$K261,$J261),daily_dates,0),MATCH($B$3,daily_items,0))),NA(),INDEX(big_daily_table,MATCH(DATE(X$5,$K261,$J261),daily_dates,0),MATCH($B$3,daily_items,0)))</f>
        <v>#N/A</v>
      </c>
      <c r="Y261" s="1" t="str">
        <f t="array" ref="Y261">IF(ISBLANK(INDEX(big_daily_table,MATCH(DATE(Y$5,$K261,$J261),daily_dates,0),MATCH($B$3,daily_items,0))),NA(),INDEX(big_daily_table,MATCH(DATE(Y$5,$K261,$J261),daily_dates,0),MATCH($B$3,daily_items,0)))</f>
        <v>#N/A</v>
      </c>
      <c r="Z261" s="1" t="str">
        <f t="array" ref="Z261">IF(ISBLANK(INDEX(big_daily_table,MATCH(DATE(Z$5,$K261,$J261),daily_dates,0),MATCH($B$3,daily_items,0))),NA(),INDEX(big_daily_table,MATCH(DATE(Z$5,$K261,$J261),daily_dates,0),MATCH($B$3,daily_items,0)))</f>
        <v>#N/A</v>
      </c>
      <c r="AA261" s="1" t="str">
        <f t="shared" si="5"/>
        <v>#NAME?</v>
      </c>
      <c r="AB261" s="1" t="str">
        <f t="shared" si="6"/>
        <v>#NAME?</v>
      </c>
      <c r="AC261" s="1" t="str">
        <f t="shared" si="7"/>
        <v>#NAME?</v>
      </c>
      <c r="AD261" s="1" t="str">
        <f t="shared" si="8"/>
        <v>#NAME?</v>
      </c>
    </row>
    <row r="262" ht="14.25" customHeight="1">
      <c r="H262" s="1">
        <f t="shared" si="9"/>
        <v>257</v>
      </c>
      <c r="I262" s="1">
        <f>WEEKDAY('daily graphs'!K262)</f>
        <v>4</v>
      </c>
      <c r="J262" s="1">
        <f t="shared" si="2"/>
        <v>9</v>
      </c>
      <c r="K262" s="1">
        <f t="shared" si="3"/>
        <v>9</v>
      </c>
      <c r="L262" s="23">
        <f>'daily graphs'!K262 - I262</f>
        <v>36778</v>
      </c>
      <c r="M262" s="24">
        <f t="shared" si="4"/>
        <v>-1000000</v>
      </c>
      <c r="N262" s="24" t="str">
        <f t="array" ref="N262">IF(M262&gt;0,INDEX(big_daily_table,MATCH(DATE(O$5,$K262,$J262),daily_dates,0),MATCH($B$3,daily_items,0)),NA())</f>
        <v>#N/A</v>
      </c>
      <c r="O262" s="1" t="str">
        <f t="array" ref="O262">IF(M262&lt;0,INDEX(big_daily_table,MATCH(DATE(O$5,$K262,$J262),daily_dates,0),MATCH($B$3,daily_items,0)),NA())</f>
        <v>#N/A</v>
      </c>
      <c r="P262" s="1" t="str">
        <f t="array" ref="P262">IF(ISBLANK(INDEX(big_daily_table,MATCH(DATE(P$5,$K262,$J262),daily_dates,0),MATCH($B$3,daily_items,0))),NA(),INDEX(big_daily_table,MATCH(DATE(P$5,$K262,$J262),daily_dates,0),MATCH($B$3,daily_items,0)))</f>
        <v>#N/A</v>
      </c>
      <c r="Q262" s="1" t="str">
        <f t="array" ref="Q262">IF(ISBLANK(INDEX(big_daily_table,MATCH(DATE(Q$5,$K262,$J262),daily_dates,0),MATCH($B$3,daily_items,0))),NA(),INDEX(big_daily_table,MATCH(DATE(Q$5,$K262,$J262),daily_dates,0),MATCH($B$3,daily_items,0)))</f>
        <v>#N/A</v>
      </c>
      <c r="R262" s="1" t="str">
        <f t="array" ref="R262">IF(ISBLANK(INDEX(big_daily_table,MATCH(DATE(R$5,$K262,$J262),daily_dates,0),MATCH($B$3,daily_items,0))),NA(),INDEX(big_daily_table,MATCH(DATE(R$5,$K262,$J262),daily_dates,0),MATCH($B$3,daily_items,0)))</f>
        <v>#N/A</v>
      </c>
      <c r="S262" s="1" t="str">
        <f t="array" ref="S262">IF(ISBLANK(INDEX(big_daily_table,MATCH(DATE(S$5,$K262,$J262),daily_dates,0),MATCH($B$3,daily_items,0))),NA(),INDEX(big_daily_table,MATCH(DATE(S$5,$K262,$J262),daily_dates,0),MATCH($B$3,daily_items,0)))</f>
        <v>#N/A</v>
      </c>
      <c r="T262" s="1" t="str">
        <f t="array" ref="T262">IF(ISBLANK(INDEX(big_daily_table,MATCH(DATE(T$5,$K262,$J262),daily_dates,0),MATCH($B$3,daily_items,0))),NA(),INDEX(big_daily_table,MATCH(DATE(T$5,$K262,$J262),daily_dates,0),MATCH($B$3,daily_items,0)))</f>
        <v>#N/A</v>
      </c>
      <c r="U262" s="1" t="str">
        <f t="array" ref="U262">IF(ISBLANK(INDEX(big_daily_table,MATCH(DATE(U$5,$K262,$J262),daily_dates,0),MATCH($B$3,daily_items,0))),NA(),INDEX(big_daily_table,MATCH(DATE(U$5,$K262,$J262),daily_dates,0),MATCH($B$3,daily_items,0)))</f>
        <v>#N/A</v>
      </c>
      <c r="V262" s="1" t="str">
        <f t="array" ref="V262">IF(ISBLANK(INDEX(big_daily_table,MATCH(DATE(V$5,$K262,$J262),daily_dates,0),MATCH($B$3,daily_items,0))),NA(),INDEX(big_daily_table,MATCH(DATE(V$5,$K262,$J262),daily_dates,0),MATCH($B$3,daily_items,0)))</f>
        <v>#N/A</v>
      </c>
      <c r="W262" s="1" t="str">
        <f t="array" ref="W262">IF(ISBLANK(INDEX(big_daily_table,MATCH(DATE(W$5,$K262,$J262),daily_dates,0),MATCH($B$3,daily_items,0))),NA(),INDEX(big_daily_table,MATCH(DATE(W$5,$K262,$J262),daily_dates,0),MATCH($B$3,daily_items,0)))</f>
        <v>#N/A</v>
      </c>
      <c r="X262" s="1" t="str">
        <f t="array" ref="X262">IF(ISBLANK(INDEX(big_daily_table,MATCH(DATE(X$5,$K262,$J262),daily_dates,0),MATCH($B$3,daily_items,0))),NA(),INDEX(big_daily_table,MATCH(DATE(X$5,$K262,$J262),daily_dates,0),MATCH($B$3,daily_items,0)))</f>
        <v>#N/A</v>
      </c>
      <c r="Y262" s="1" t="str">
        <f t="array" ref="Y262">IF(ISBLANK(INDEX(big_daily_table,MATCH(DATE(Y$5,$K262,$J262),daily_dates,0),MATCH($B$3,daily_items,0))),NA(),INDEX(big_daily_table,MATCH(DATE(Y$5,$K262,$J262),daily_dates,0),MATCH($B$3,daily_items,0)))</f>
        <v>#N/A</v>
      </c>
      <c r="Z262" s="1" t="str">
        <f t="array" ref="Z262">IF(ISBLANK(INDEX(big_daily_table,MATCH(DATE(Z$5,$K262,$J262),daily_dates,0),MATCH($B$3,daily_items,0))),NA(),INDEX(big_daily_table,MATCH(DATE(Z$5,$K262,$J262),daily_dates,0),MATCH($B$3,daily_items,0)))</f>
        <v>#N/A</v>
      </c>
      <c r="AA262" s="1" t="str">
        <f t="shared" si="5"/>
        <v>#NAME?</v>
      </c>
      <c r="AB262" s="1" t="str">
        <f t="shared" si="6"/>
        <v>#NAME?</v>
      </c>
      <c r="AC262" s="1" t="str">
        <f t="shared" si="7"/>
        <v>#NAME?</v>
      </c>
      <c r="AD262" s="1" t="str">
        <f t="shared" si="8"/>
        <v>#NAME?</v>
      </c>
    </row>
    <row r="263" ht="14.25" customHeight="1">
      <c r="H263" s="1">
        <f t="shared" si="9"/>
        <v>258</v>
      </c>
      <c r="I263" s="1">
        <f>WEEKDAY('daily graphs'!K263)</f>
        <v>5</v>
      </c>
      <c r="J263" s="1">
        <f t="shared" si="2"/>
        <v>9</v>
      </c>
      <c r="K263" s="1">
        <f t="shared" si="3"/>
        <v>9</v>
      </c>
      <c r="L263" s="23">
        <f>'daily graphs'!K263 - I263</f>
        <v>36778</v>
      </c>
      <c r="M263" s="24">
        <f t="shared" si="4"/>
        <v>-1000000</v>
      </c>
      <c r="N263" s="24" t="str">
        <f t="array" ref="N263">IF(M263&gt;0,INDEX(big_daily_table,MATCH(DATE(O$5,$K263,$J263),daily_dates,0),MATCH($B$3,daily_items,0)),NA())</f>
        <v>#N/A</v>
      </c>
      <c r="O263" s="1" t="str">
        <f t="array" ref="O263">IF(M263&lt;0,INDEX(big_daily_table,MATCH(DATE(O$5,$K263,$J263),daily_dates,0),MATCH($B$3,daily_items,0)),NA())</f>
        <v>#N/A</v>
      </c>
      <c r="P263" s="1" t="str">
        <f t="array" ref="P263">IF(ISBLANK(INDEX(big_daily_table,MATCH(DATE(P$5,$K263,$J263),daily_dates,0),MATCH($B$3,daily_items,0))),NA(),INDEX(big_daily_table,MATCH(DATE(P$5,$K263,$J263),daily_dates,0),MATCH($B$3,daily_items,0)))</f>
        <v>#N/A</v>
      </c>
      <c r="Q263" s="1" t="str">
        <f t="array" ref="Q263">IF(ISBLANK(INDEX(big_daily_table,MATCH(DATE(Q$5,$K263,$J263),daily_dates,0),MATCH($B$3,daily_items,0))),NA(),INDEX(big_daily_table,MATCH(DATE(Q$5,$K263,$J263),daily_dates,0),MATCH($B$3,daily_items,0)))</f>
        <v>#N/A</v>
      </c>
      <c r="R263" s="1" t="str">
        <f t="array" ref="R263">IF(ISBLANK(INDEX(big_daily_table,MATCH(DATE(R$5,$K263,$J263),daily_dates,0),MATCH($B$3,daily_items,0))),NA(),INDEX(big_daily_table,MATCH(DATE(R$5,$K263,$J263),daily_dates,0),MATCH($B$3,daily_items,0)))</f>
        <v>#N/A</v>
      </c>
      <c r="S263" s="1" t="str">
        <f t="array" ref="S263">IF(ISBLANK(INDEX(big_daily_table,MATCH(DATE(S$5,$K263,$J263),daily_dates,0),MATCH($B$3,daily_items,0))),NA(),INDEX(big_daily_table,MATCH(DATE(S$5,$K263,$J263),daily_dates,0),MATCH($B$3,daily_items,0)))</f>
        <v>#N/A</v>
      </c>
      <c r="T263" s="1" t="str">
        <f t="array" ref="T263">IF(ISBLANK(INDEX(big_daily_table,MATCH(DATE(T$5,$K263,$J263),daily_dates,0),MATCH($B$3,daily_items,0))),NA(),INDEX(big_daily_table,MATCH(DATE(T$5,$K263,$J263),daily_dates,0),MATCH($B$3,daily_items,0)))</f>
        <v>#N/A</v>
      </c>
      <c r="U263" s="1" t="str">
        <f t="array" ref="U263">IF(ISBLANK(INDEX(big_daily_table,MATCH(DATE(U$5,$K263,$J263),daily_dates,0),MATCH($B$3,daily_items,0))),NA(),INDEX(big_daily_table,MATCH(DATE(U$5,$K263,$J263),daily_dates,0),MATCH($B$3,daily_items,0)))</f>
        <v>#N/A</v>
      </c>
      <c r="V263" s="1" t="str">
        <f t="array" ref="V263">IF(ISBLANK(INDEX(big_daily_table,MATCH(DATE(V$5,$K263,$J263),daily_dates,0),MATCH($B$3,daily_items,0))),NA(),INDEX(big_daily_table,MATCH(DATE(V$5,$K263,$J263),daily_dates,0),MATCH($B$3,daily_items,0)))</f>
        <v>#N/A</v>
      </c>
      <c r="W263" s="1" t="str">
        <f t="array" ref="W263">IF(ISBLANK(INDEX(big_daily_table,MATCH(DATE(W$5,$K263,$J263),daily_dates,0),MATCH($B$3,daily_items,0))),NA(),INDEX(big_daily_table,MATCH(DATE(W$5,$K263,$J263),daily_dates,0),MATCH($B$3,daily_items,0)))</f>
        <v>#N/A</v>
      </c>
      <c r="X263" s="1" t="str">
        <f t="array" ref="X263">IF(ISBLANK(INDEX(big_daily_table,MATCH(DATE(X$5,$K263,$J263),daily_dates,0),MATCH($B$3,daily_items,0))),NA(),INDEX(big_daily_table,MATCH(DATE(X$5,$K263,$J263),daily_dates,0),MATCH($B$3,daily_items,0)))</f>
        <v>#N/A</v>
      </c>
      <c r="Y263" s="1" t="str">
        <f t="array" ref="Y263">IF(ISBLANK(INDEX(big_daily_table,MATCH(DATE(Y$5,$K263,$J263),daily_dates,0),MATCH($B$3,daily_items,0))),NA(),INDEX(big_daily_table,MATCH(DATE(Y$5,$K263,$J263),daily_dates,0),MATCH($B$3,daily_items,0)))</f>
        <v>#N/A</v>
      </c>
      <c r="Z263" s="1" t="str">
        <f t="array" ref="Z263">IF(ISBLANK(INDEX(big_daily_table,MATCH(DATE(Z$5,$K263,$J263),daily_dates,0),MATCH($B$3,daily_items,0))),NA(),INDEX(big_daily_table,MATCH(DATE(Z$5,$K263,$J263),daily_dates,0),MATCH($B$3,daily_items,0)))</f>
        <v>#N/A</v>
      </c>
      <c r="AA263" s="1" t="str">
        <f t="shared" si="5"/>
        <v>#NAME?</v>
      </c>
      <c r="AB263" s="1" t="str">
        <f t="shared" si="6"/>
        <v>#NAME?</v>
      </c>
      <c r="AC263" s="1" t="str">
        <f t="shared" si="7"/>
        <v>#NAME?</v>
      </c>
      <c r="AD263" s="1" t="str">
        <f t="shared" si="8"/>
        <v>#NAME?</v>
      </c>
    </row>
    <row r="264" ht="14.25" customHeight="1">
      <c r="H264" s="1">
        <f t="shared" si="9"/>
        <v>259</v>
      </c>
      <c r="I264" s="1">
        <f>WEEKDAY('daily graphs'!K264)</f>
        <v>6</v>
      </c>
      <c r="J264" s="1">
        <f t="shared" si="2"/>
        <v>9</v>
      </c>
      <c r="K264" s="1">
        <f t="shared" si="3"/>
        <v>9</v>
      </c>
      <c r="L264" s="23">
        <f>'daily graphs'!K264 - I264</f>
        <v>36778</v>
      </c>
      <c r="M264" s="24">
        <f t="shared" si="4"/>
        <v>-1000000</v>
      </c>
      <c r="N264" s="24" t="str">
        <f t="array" ref="N264">IF(M264&gt;0,INDEX(big_daily_table,MATCH(DATE(O$5,$K264,$J264),daily_dates,0),MATCH($B$3,daily_items,0)),NA())</f>
        <v>#N/A</v>
      </c>
      <c r="O264" s="1" t="str">
        <f t="array" ref="O264">IF(M264&lt;0,INDEX(big_daily_table,MATCH(DATE(O$5,$K264,$J264),daily_dates,0),MATCH($B$3,daily_items,0)),NA())</f>
        <v>#N/A</v>
      </c>
      <c r="P264" s="1" t="str">
        <f t="array" ref="P264">IF(ISBLANK(INDEX(big_daily_table,MATCH(DATE(P$5,$K264,$J264),daily_dates,0),MATCH($B$3,daily_items,0))),NA(),INDEX(big_daily_table,MATCH(DATE(P$5,$K264,$J264),daily_dates,0),MATCH($B$3,daily_items,0)))</f>
        <v>#N/A</v>
      </c>
      <c r="Q264" s="1" t="str">
        <f t="array" ref="Q264">IF(ISBLANK(INDEX(big_daily_table,MATCH(DATE(Q$5,$K264,$J264),daily_dates,0),MATCH($B$3,daily_items,0))),NA(),INDEX(big_daily_table,MATCH(DATE(Q$5,$K264,$J264),daily_dates,0),MATCH($B$3,daily_items,0)))</f>
        <v>#N/A</v>
      </c>
      <c r="R264" s="1" t="str">
        <f t="array" ref="R264">IF(ISBLANK(INDEX(big_daily_table,MATCH(DATE(R$5,$K264,$J264),daily_dates,0),MATCH($B$3,daily_items,0))),NA(),INDEX(big_daily_table,MATCH(DATE(R$5,$K264,$J264),daily_dates,0),MATCH($B$3,daily_items,0)))</f>
        <v>#N/A</v>
      </c>
      <c r="S264" s="1" t="str">
        <f t="array" ref="S264">IF(ISBLANK(INDEX(big_daily_table,MATCH(DATE(S$5,$K264,$J264),daily_dates,0),MATCH($B$3,daily_items,0))),NA(),INDEX(big_daily_table,MATCH(DATE(S$5,$K264,$J264),daily_dates,0),MATCH($B$3,daily_items,0)))</f>
        <v>#N/A</v>
      </c>
      <c r="T264" s="1" t="str">
        <f t="array" ref="T264">IF(ISBLANK(INDEX(big_daily_table,MATCH(DATE(T$5,$K264,$J264),daily_dates,0),MATCH($B$3,daily_items,0))),NA(),INDEX(big_daily_table,MATCH(DATE(T$5,$K264,$J264),daily_dates,0),MATCH($B$3,daily_items,0)))</f>
        <v>#N/A</v>
      </c>
      <c r="U264" s="1" t="str">
        <f t="array" ref="U264">IF(ISBLANK(INDEX(big_daily_table,MATCH(DATE(U$5,$K264,$J264),daily_dates,0),MATCH($B$3,daily_items,0))),NA(),INDEX(big_daily_table,MATCH(DATE(U$5,$K264,$J264),daily_dates,0),MATCH($B$3,daily_items,0)))</f>
        <v>#N/A</v>
      </c>
      <c r="V264" s="1" t="str">
        <f t="array" ref="V264">IF(ISBLANK(INDEX(big_daily_table,MATCH(DATE(V$5,$K264,$J264),daily_dates,0),MATCH($B$3,daily_items,0))),NA(),INDEX(big_daily_table,MATCH(DATE(V$5,$K264,$J264),daily_dates,0),MATCH($B$3,daily_items,0)))</f>
        <v>#N/A</v>
      </c>
      <c r="W264" s="1" t="str">
        <f t="array" ref="W264">IF(ISBLANK(INDEX(big_daily_table,MATCH(DATE(W$5,$K264,$J264),daily_dates,0),MATCH($B$3,daily_items,0))),NA(),INDEX(big_daily_table,MATCH(DATE(W$5,$K264,$J264),daily_dates,0),MATCH($B$3,daily_items,0)))</f>
        <v>#N/A</v>
      </c>
      <c r="X264" s="1" t="str">
        <f t="array" ref="X264">IF(ISBLANK(INDEX(big_daily_table,MATCH(DATE(X$5,$K264,$J264),daily_dates,0),MATCH($B$3,daily_items,0))),NA(),INDEX(big_daily_table,MATCH(DATE(X$5,$K264,$J264),daily_dates,0),MATCH($B$3,daily_items,0)))</f>
        <v>#N/A</v>
      </c>
      <c r="Y264" s="1" t="str">
        <f t="array" ref="Y264">IF(ISBLANK(INDEX(big_daily_table,MATCH(DATE(Y$5,$K264,$J264),daily_dates,0),MATCH($B$3,daily_items,0))),NA(),INDEX(big_daily_table,MATCH(DATE(Y$5,$K264,$J264),daily_dates,0),MATCH($B$3,daily_items,0)))</f>
        <v>#N/A</v>
      </c>
      <c r="Z264" s="1" t="str">
        <f t="array" ref="Z264">IF(ISBLANK(INDEX(big_daily_table,MATCH(DATE(Z$5,$K264,$J264),daily_dates,0),MATCH($B$3,daily_items,0))),NA(),INDEX(big_daily_table,MATCH(DATE(Z$5,$K264,$J264),daily_dates,0),MATCH($B$3,daily_items,0)))</f>
        <v>#N/A</v>
      </c>
      <c r="AA264" s="1" t="str">
        <f t="shared" si="5"/>
        <v>#NAME?</v>
      </c>
      <c r="AB264" s="1" t="str">
        <f t="shared" si="6"/>
        <v>#NAME?</v>
      </c>
      <c r="AC264" s="1" t="str">
        <f t="shared" si="7"/>
        <v>#NAME?</v>
      </c>
      <c r="AD264" s="1" t="str">
        <f t="shared" si="8"/>
        <v>#NAME?</v>
      </c>
    </row>
    <row r="265" ht="14.25" customHeight="1">
      <c r="H265" s="1">
        <f t="shared" si="9"/>
        <v>260</v>
      </c>
      <c r="I265" s="1">
        <f>WEEKDAY('daily graphs'!K265)</f>
        <v>7</v>
      </c>
      <c r="J265" s="1">
        <f t="shared" si="2"/>
        <v>9</v>
      </c>
      <c r="K265" s="1">
        <f t="shared" si="3"/>
        <v>9</v>
      </c>
      <c r="L265" s="23">
        <f>'daily graphs'!K265 - I265</f>
        <v>36778</v>
      </c>
      <c r="M265" s="24">
        <f t="shared" si="4"/>
        <v>-1000000</v>
      </c>
      <c r="N265" s="24" t="str">
        <f t="array" ref="N265">IF(M265&gt;0,INDEX(big_daily_table,MATCH(DATE(O$5,$K265,$J265),daily_dates,0),MATCH($B$3,daily_items,0)),NA())</f>
        <v>#N/A</v>
      </c>
      <c r="O265" s="1" t="str">
        <f t="array" ref="O265">IF(M265&lt;0,INDEX(big_daily_table,MATCH(DATE(O$5,$K265,$J265),daily_dates,0),MATCH($B$3,daily_items,0)),NA())</f>
        <v>#N/A</v>
      </c>
      <c r="P265" s="1" t="str">
        <f t="array" ref="P265">IF(ISBLANK(INDEX(big_daily_table,MATCH(DATE(P$5,$K265,$J265),daily_dates,0),MATCH($B$3,daily_items,0))),NA(),INDEX(big_daily_table,MATCH(DATE(P$5,$K265,$J265),daily_dates,0),MATCH($B$3,daily_items,0)))</f>
        <v>#N/A</v>
      </c>
      <c r="Q265" s="1" t="str">
        <f t="array" ref="Q265">IF(ISBLANK(INDEX(big_daily_table,MATCH(DATE(Q$5,$K265,$J265),daily_dates,0),MATCH($B$3,daily_items,0))),NA(),INDEX(big_daily_table,MATCH(DATE(Q$5,$K265,$J265),daily_dates,0),MATCH($B$3,daily_items,0)))</f>
        <v>#N/A</v>
      </c>
      <c r="R265" s="1" t="str">
        <f t="array" ref="R265">IF(ISBLANK(INDEX(big_daily_table,MATCH(DATE(R$5,$K265,$J265),daily_dates,0),MATCH($B$3,daily_items,0))),NA(),INDEX(big_daily_table,MATCH(DATE(R$5,$K265,$J265),daily_dates,0),MATCH($B$3,daily_items,0)))</f>
        <v>#N/A</v>
      </c>
      <c r="S265" s="1" t="str">
        <f t="array" ref="S265">IF(ISBLANK(INDEX(big_daily_table,MATCH(DATE(S$5,$K265,$J265),daily_dates,0),MATCH($B$3,daily_items,0))),NA(),INDEX(big_daily_table,MATCH(DATE(S$5,$K265,$J265),daily_dates,0),MATCH($B$3,daily_items,0)))</f>
        <v>#N/A</v>
      </c>
      <c r="T265" s="1" t="str">
        <f t="array" ref="T265">IF(ISBLANK(INDEX(big_daily_table,MATCH(DATE(T$5,$K265,$J265),daily_dates,0),MATCH($B$3,daily_items,0))),NA(),INDEX(big_daily_table,MATCH(DATE(T$5,$K265,$J265),daily_dates,0),MATCH($B$3,daily_items,0)))</f>
        <v>#N/A</v>
      </c>
      <c r="U265" s="1" t="str">
        <f t="array" ref="U265">IF(ISBLANK(INDEX(big_daily_table,MATCH(DATE(U$5,$K265,$J265),daily_dates,0),MATCH($B$3,daily_items,0))),NA(),INDEX(big_daily_table,MATCH(DATE(U$5,$K265,$J265),daily_dates,0),MATCH($B$3,daily_items,0)))</f>
        <v>#N/A</v>
      </c>
      <c r="V265" s="1" t="str">
        <f t="array" ref="V265">IF(ISBLANK(INDEX(big_daily_table,MATCH(DATE(V$5,$K265,$J265),daily_dates,0),MATCH($B$3,daily_items,0))),NA(),INDEX(big_daily_table,MATCH(DATE(V$5,$K265,$J265),daily_dates,0),MATCH($B$3,daily_items,0)))</f>
        <v>#N/A</v>
      </c>
      <c r="W265" s="1" t="str">
        <f t="array" ref="W265">IF(ISBLANK(INDEX(big_daily_table,MATCH(DATE(W$5,$K265,$J265),daily_dates,0),MATCH($B$3,daily_items,0))),NA(),INDEX(big_daily_table,MATCH(DATE(W$5,$K265,$J265),daily_dates,0),MATCH($B$3,daily_items,0)))</f>
        <v>#N/A</v>
      </c>
      <c r="X265" s="1" t="str">
        <f t="array" ref="X265">IF(ISBLANK(INDEX(big_daily_table,MATCH(DATE(X$5,$K265,$J265),daily_dates,0),MATCH($B$3,daily_items,0))),NA(),INDEX(big_daily_table,MATCH(DATE(X$5,$K265,$J265),daily_dates,0),MATCH($B$3,daily_items,0)))</f>
        <v>#N/A</v>
      </c>
      <c r="Y265" s="1" t="str">
        <f t="array" ref="Y265">IF(ISBLANK(INDEX(big_daily_table,MATCH(DATE(Y$5,$K265,$J265),daily_dates,0),MATCH($B$3,daily_items,0))),NA(),INDEX(big_daily_table,MATCH(DATE(Y$5,$K265,$J265),daily_dates,0),MATCH($B$3,daily_items,0)))</f>
        <v>#N/A</v>
      </c>
      <c r="Z265" s="1" t="str">
        <f t="array" ref="Z265">IF(ISBLANK(INDEX(big_daily_table,MATCH(DATE(Z$5,$K265,$J265),daily_dates,0),MATCH($B$3,daily_items,0))),NA(),INDEX(big_daily_table,MATCH(DATE(Z$5,$K265,$J265),daily_dates,0),MATCH($B$3,daily_items,0)))</f>
        <v>#N/A</v>
      </c>
      <c r="AA265" s="1" t="str">
        <f t="shared" si="5"/>
        <v>#NAME?</v>
      </c>
      <c r="AB265" s="1" t="str">
        <f t="shared" si="6"/>
        <v>#NAME?</v>
      </c>
      <c r="AC265" s="1" t="str">
        <f t="shared" si="7"/>
        <v>#NAME?</v>
      </c>
      <c r="AD265" s="1" t="str">
        <f t="shared" si="8"/>
        <v>#NAME?</v>
      </c>
    </row>
    <row r="266" ht="14.25" customHeight="1">
      <c r="H266" s="1">
        <f t="shared" si="9"/>
        <v>261</v>
      </c>
      <c r="I266" s="1">
        <f>WEEKDAY('daily graphs'!K266)</f>
        <v>1</v>
      </c>
      <c r="J266" s="1">
        <f t="shared" si="2"/>
        <v>16</v>
      </c>
      <c r="K266" s="1">
        <f t="shared" si="3"/>
        <v>9</v>
      </c>
      <c r="L266" s="23">
        <f>'daily graphs'!K266 - I266</f>
        <v>36785</v>
      </c>
      <c r="M266" s="24">
        <f t="shared" si="4"/>
        <v>-1000000</v>
      </c>
      <c r="N266" s="24" t="str">
        <f t="array" ref="N266">IF(M266&gt;0,INDEX(big_daily_table,MATCH(DATE(O$5,$K266,$J266),daily_dates,0),MATCH($B$3,daily_items,0)),NA())</f>
        <v>#N/A</v>
      </c>
      <c r="O266" s="1" t="str">
        <f t="array" ref="O266">IF(M266&lt;0,INDEX(big_daily_table,MATCH(DATE(O$5,$K266,$J266),daily_dates,0),MATCH($B$3,daily_items,0)),NA())</f>
        <v>#N/A</v>
      </c>
      <c r="P266" s="1" t="str">
        <f t="array" ref="P266">IF(ISBLANK(INDEX(big_daily_table,MATCH(DATE(P$5,$K266,$J266),daily_dates,0),MATCH($B$3,daily_items,0))),NA(),INDEX(big_daily_table,MATCH(DATE(P$5,$K266,$J266),daily_dates,0),MATCH($B$3,daily_items,0)))</f>
        <v>#N/A</v>
      </c>
      <c r="Q266" s="1" t="str">
        <f t="array" ref="Q266">IF(ISBLANK(INDEX(big_daily_table,MATCH(DATE(Q$5,$K266,$J266),daily_dates,0),MATCH($B$3,daily_items,0))),NA(),INDEX(big_daily_table,MATCH(DATE(Q$5,$K266,$J266),daily_dates,0),MATCH($B$3,daily_items,0)))</f>
        <v>#N/A</v>
      </c>
      <c r="R266" s="1" t="str">
        <f t="array" ref="R266">IF(ISBLANK(INDEX(big_daily_table,MATCH(DATE(R$5,$K266,$J266),daily_dates,0),MATCH($B$3,daily_items,0))),NA(),INDEX(big_daily_table,MATCH(DATE(R$5,$K266,$J266),daily_dates,0),MATCH($B$3,daily_items,0)))</f>
        <v>#N/A</v>
      </c>
      <c r="S266" s="1" t="str">
        <f t="array" ref="S266">IF(ISBLANK(INDEX(big_daily_table,MATCH(DATE(S$5,$K266,$J266),daily_dates,0),MATCH($B$3,daily_items,0))),NA(),INDEX(big_daily_table,MATCH(DATE(S$5,$K266,$J266),daily_dates,0),MATCH($B$3,daily_items,0)))</f>
        <v>#N/A</v>
      </c>
      <c r="T266" s="1" t="str">
        <f t="array" ref="T266">IF(ISBLANK(INDEX(big_daily_table,MATCH(DATE(T$5,$K266,$J266),daily_dates,0),MATCH($B$3,daily_items,0))),NA(),INDEX(big_daily_table,MATCH(DATE(T$5,$K266,$J266),daily_dates,0),MATCH($B$3,daily_items,0)))</f>
        <v>#N/A</v>
      </c>
      <c r="U266" s="1" t="str">
        <f t="array" ref="U266">IF(ISBLANK(INDEX(big_daily_table,MATCH(DATE(U$5,$K266,$J266),daily_dates,0),MATCH($B$3,daily_items,0))),NA(),INDEX(big_daily_table,MATCH(DATE(U$5,$K266,$J266),daily_dates,0),MATCH($B$3,daily_items,0)))</f>
        <v>#N/A</v>
      </c>
      <c r="V266" s="1" t="str">
        <f t="array" ref="V266">IF(ISBLANK(INDEX(big_daily_table,MATCH(DATE(V$5,$K266,$J266),daily_dates,0),MATCH($B$3,daily_items,0))),NA(),INDEX(big_daily_table,MATCH(DATE(V$5,$K266,$J266),daily_dates,0),MATCH($B$3,daily_items,0)))</f>
        <v>#N/A</v>
      </c>
      <c r="W266" s="1" t="str">
        <f t="array" ref="W266">IF(ISBLANK(INDEX(big_daily_table,MATCH(DATE(W$5,$K266,$J266),daily_dates,0),MATCH($B$3,daily_items,0))),NA(),INDEX(big_daily_table,MATCH(DATE(W$5,$K266,$J266),daily_dates,0),MATCH($B$3,daily_items,0)))</f>
        <v>#N/A</v>
      </c>
      <c r="X266" s="1" t="str">
        <f t="array" ref="X266">IF(ISBLANK(INDEX(big_daily_table,MATCH(DATE(X$5,$K266,$J266),daily_dates,0),MATCH($B$3,daily_items,0))),NA(),INDEX(big_daily_table,MATCH(DATE(X$5,$K266,$J266),daily_dates,0),MATCH($B$3,daily_items,0)))</f>
        <v>#N/A</v>
      </c>
      <c r="Y266" s="1" t="str">
        <f t="array" ref="Y266">IF(ISBLANK(INDEX(big_daily_table,MATCH(DATE(Y$5,$K266,$J266),daily_dates,0),MATCH($B$3,daily_items,0))),NA(),INDEX(big_daily_table,MATCH(DATE(Y$5,$K266,$J266),daily_dates,0),MATCH($B$3,daily_items,0)))</f>
        <v>#N/A</v>
      </c>
      <c r="Z266" s="1" t="str">
        <f t="array" ref="Z266">IF(ISBLANK(INDEX(big_daily_table,MATCH(DATE(Z$5,$K266,$J266),daily_dates,0),MATCH($B$3,daily_items,0))),NA(),INDEX(big_daily_table,MATCH(DATE(Z$5,$K266,$J266),daily_dates,0),MATCH($B$3,daily_items,0)))</f>
        <v>#N/A</v>
      </c>
      <c r="AA266" s="1" t="str">
        <f t="shared" si="5"/>
        <v>#NAME?</v>
      </c>
      <c r="AB266" s="1" t="str">
        <f t="shared" si="6"/>
        <v>#NAME?</v>
      </c>
      <c r="AC266" s="1" t="str">
        <f t="shared" si="7"/>
        <v>#NAME?</v>
      </c>
      <c r="AD266" s="1" t="str">
        <f t="shared" si="8"/>
        <v>#NAME?</v>
      </c>
    </row>
    <row r="267" ht="14.25" customHeight="1">
      <c r="H267" s="1">
        <f t="shared" si="9"/>
        <v>262</v>
      </c>
      <c r="I267" s="1">
        <f>WEEKDAY('daily graphs'!K267)</f>
        <v>2</v>
      </c>
      <c r="J267" s="1">
        <f t="shared" si="2"/>
        <v>16</v>
      </c>
      <c r="K267" s="1">
        <f t="shared" si="3"/>
        <v>9</v>
      </c>
      <c r="L267" s="23">
        <f>'daily graphs'!K267 - I267</f>
        <v>36785</v>
      </c>
      <c r="M267" s="24">
        <f t="shared" si="4"/>
        <v>-1000000</v>
      </c>
      <c r="N267" s="24" t="str">
        <f t="array" ref="N267">IF(M267&gt;0,INDEX(big_daily_table,MATCH(DATE(O$5,$K267,$J267),daily_dates,0),MATCH($B$3,daily_items,0)),NA())</f>
        <v>#N/A</v>
      </c>
      <c r="O267" s="1" t="str">
        <f t="array" ref="O267">IF(M267&lt;0,INDEX(big_daily_table,MATCH(DATE(O$5,$K267,$J267),daily_dates,0),MATCH($B$3,daily_items,0)),NA())</f>
        <v>#N/A</v>
      </c>
      <c r="P267" s="1" t="str">
        <f t="array" ref="P267">IF(ISBLANK(INDEX(big_daily_table,MATCH(DATE(P$5,$K267,$J267),daily_dates,0),MATCH($B$3,daily_items,0))),NA(),INDEX(big_daily_table,MATCH(DATE(P$5,$K267,$J267),daily_dates,0),MATCH($B$3,daily_items,0)))</f>
        <v>#N/A</v>
      </c>
      <c r="Q267" s="1" t="str">
        <f t="array" ref="Q267">IF(ISBLANK(INDEX(big_daily_table,MATCH(DATE(Q$5,$K267,$J267),daily_dates,0),MATCH($B$3,daily_items,0))),NA(),INDEX(big_daily_table,MATCH(DATE(Q$5,$K267,$J267),daily_dates,0),MATCH($B$3,daily_items,0)))</f>
        <v>#N/A</v>
      </c>
      <c r="R267" s="1" t="str">
        <f t="array" ref="R267">IF(ISBLANK(INDEX(big_daily_table,MATCH(DATE(R$5,$K267,$J267),daily_dates,0),MATCH($B$3,daily_items,0))),NA(),INDEX(big_daily_table,MATCH(DATE(R$5,$K267,$J267),daily_dates,0),MATCH($B$3,daily_items,0)))</f>
        <v>#N/A</v>
      </c>
      <c r="S267" s="1" t="str">
        <f t="array" ref="S267">IF(ISBLANK(INDEX(big_daily_table,MATCH(DATE(S$5,$K267,$J267),daily_dates,0),MATCH($B$3,daily_items,0))),NA(),INDEX(big_daily_table,MATCH(DATE(S$5,$K267,$J267),daily_dates,0),MATCH($B$3,daily_items,0)))</f>
        <v>#N/A</v>
      </c>
      <c r="T267" s="1" t="str">
        <f t="array" ref="T267">IF(ISBLANK(INDEX(big_daily_table,MATCH(DATE(T$5,$K267,$J267),daily_dates,0),MATCH($B$3,daily_items,0))),NA(),INDEX(big_daily_table,MATCH(DATE(T$5,$K267,$J267),daily_dates,0),MATCH($B$3,daily_items,0)))</f>
        <v>#N/A</v>
      </c>
      <c r="U267" s="1" t="str">
        <f t="array" ref="U267">IF(ISBLANK(INDEX(big_daily_table,MATCH(DATE(U$5,$K267,$J267),daily_dates,0),MATCH($B$3,daily_items,0))),NA(),INDEX(big_daily_table,MATCH(DATE(U$5,$K267,$J267),daily_dates,0),MATCH($B$3,daily_items,0)))</f>
        <v>#N/A</v>
      </c>
      <c r="V267" s="1" t="str">
        <f t="array" ref="V267">IF(ISBLANK(INDEX(big_daily_table,MATCH(DATE(V$5,$K267,$J267),daily_dates,0),MATCH($B$3,daily_items,0))),NA(),INDEX(big_daily_table,MATCH(DATE(V$5,$K267,$J267),daily_dates,0),MATCH($B$3,daily_items,0)))</f>
        <v>#N/A</v>
      </c>
      <c r="W267" s="1" t="str">
        <f t="array" ref="W267">IF(ISBLANK(INDEX(big_daily_table,MATCH(DATE(W$5,$K267,$J267),daily_dates,0),MATCH($B$3,daily_items,0))),NA(),INDEX(big_daily_table,MATCH(DATE(W$5,$K267,$J267),daily_dates,0),MATCH($B$3,daily_items,0)))</f>
        <v>#N/A</v>
      </c>
      <c r="X267" s="1" t="str">
        <f t="array" ref="X267">IF(ISBLANK(INDEX(big_daily_table,MATCH(DATE(X$5,$K267,$J267),daily_dates,0),MATCH($B$3,daily_items,0))),NA(),INDEX(big_daily_table,MATCH(DATE(X$5,$K267,$J267),daily_dates,0),MATCH($B$3,daily_items,0)))</f>
        <v>#N/A</v>
      </c>
      <c r="Y267" s="1" t="str">
        <f t="array" ref="Y267">IF(ISBLANK(INDEX(big_daily_table,MATCH(DATE(Y$5,$K267,$J267),daily_dates,0),MATCH($B$3,daily_items,0))),NA(),INDEX(big_daily_table,MATCH(DATE(Y$5,$K267,$J267),daily_dates,0),MATCH($B$3,daily_items,0)))</f>
        <v>#N/A</v>
      </c>
      <c r="Z267" s="1" t="str">
        <f t="array" ref="Z267">IF(ISBLANK(INDEX(big_daily_table,MATCH(DATE(Z$5,$K267,$J267),daily_dates,0),MATCH($B$3,daily_items,0))),NA(),INDEX(big_daily_table,MATCH(DATE(Z$5,$K267,$J267),daily_dates,0),MATCH($B$3,daily_items,0)))</f>
        <v>#N/A</v>
      </c>
      <c r="AA267" s="1" t="str">
        <f t="shared" si="5"/>
        <v>#NAME?</v>
      </c>
      <c r="AB267" s="1" t="str">
        <f t="shared" si="6"/>
        <v>#NAME?</v>
      </c>
      <c r="AC267" s="1" t="str">
        <f t="shared" si="7"/>
        <v>#NAME?</v>
      </c>
      <c r="AD267" s="1" t="str">
        <f t="shared" si="8"/>
        <v>#NAME?</v>
      </c>
    </row>
    <row r="268" ht="14.25" customHeight="1">
      <c r="H268" s="1">
        <f t="shared" si="9"/>
        <v>263</v>
      </c>
      <c r="I268" s="1">
        <f>WEEKDAY('daily graphs'!K268)</f>
        <v>3</v>
      </c>
      <c r="J268" s="1">
        <f t="shared" si="2"/>
        <v>16</v>
      </c>
      <c r="K268" s="1">
        <f t="shared" si="3"/>
        <v>9</v>
      </c>
      <c r="L268" s="23">
        <f>'daily graphs'!K268 - I268</f>
        <v>36785</v>
      </c>
      <c r="M268" s="24">
        <f t="shared" si="4"/>
        <v>-1000000</v>
      </c>
      <c r="N268" s="24" t="str">
        <f t="array" ref="N268">IF(M268&gt;0,INDEX(big_daily_table,MATCH(DATE(O$5,$K268,$J268),daily_dates,0),MATCH($B$3,daily_items,0)),NA())</f>
        <v>#N/A</v>
      </c>
      <c r="O268" s="1" t="str">
        <f t="array" ref="O268">IF(M268&lt;0,INDEX(big_daily_table,MATCH(DATE(O$5,$K268,$J268),daily_dates,0),MATCH($B$3,daily_items,0)),NA())</f>
        <v>#N/A</v>
      </c>
      <c r="P268" s="1" t="str">
        <f t="array" ref="P268">IF(ISBLANK(INDEX(big_daily_table,MATCH(DATE(P$5,$K268,$J268),daily_dates,0),MATCH($B$3,daily_items,0))),NA(),INDEX(big_daily_table,MATCH(DATE(P$5,$K268,$J268),daily_dates,0),MATCH($B$3,daily_items,0)))</f>
        <v>#N/A</v>
      </c>
      <c r="Q268" s="1" t="str">
        <f t="array" ref="Q268">IF(ISBLANK(INDEX(big_daily_table,MATCH(DATE(Q$5,$K268,$J268),daily_dates,0),MATCH($B$3,daily_items,0))),NA(),INDEX(big_daily_table,MATCH(DATE(Q$5,$K268,$J268),daily_dates,0),MATCH($B$3,daily_items,0)))</f>
        <v>#N/A</v>
      </c>
      <c r="R268" s="1" t="str">
        <f t="array" ref="R268">IF(ISBLANK(INDEX(big_daily_table,MATCH(DATE(R$5,$K268,$J268),daily_dates,0),MATCH($B$3,daily_items,0))),NA(),INDEX(big_daily_table,MATCH(DATE(R$5,$K268,$J268),daily_dates,0),MATCH($B$3,daily_items,0)))</f>
        <v>#N/A</v>
      </c>
      <c r="S268" s="1" t="str">
        <f t="array" ref="S268">IF(ISBLANK(INDEX(big_daily_table,MATCH(DATE(S$5,$K268,$J268),daily_dates,0),MATCH($B$3,daily_items,0))),NA(),INDEX(big_daily_table,MATCH(DATE(S$5,$K268,$J268),daily_dates,0),MATCH($B$3,daily_items,0)))</f>
        <v>#N/A</v>
      </c>
      <c r="T268" s="1" t="str">
        <f t="array" ref="T268">IF(ISBLANK(INDEX(big_daily_table,MATCH(DATE(T$5,$K268,$J268),daily_dates,0),MATCH($B$3,daily_items,0))),NA(),INDEX(big_daily_table,MATCH(DATE(T$5,$K268,$J268),daily_dates,0),MATCH($B$3,daily_items,0)))</f>
        <v>#N/A</v>
      </c>
      <c r="U268" s="1" t="str">
        <f t="array" ref="U268">IF(ISBLANK(INDEX(big_daily_table,MATCH(DATE(U$5,$K268,$J268),daily_dates,0),MATCH($B$3,daily_items,0))),NA(),INDEX(big_daily_table,MATCH(DATE(U$5,$K268,$J268),daily_dates,0),MATCH($B$3,daily_items,0)))</f>
        <v>#N/A</v>
      </c>
      <c r="V268" s="1" t="str">
        <f t="array" ref="V268">IF(ISBLANK(INDEX(big_daily_table,MATCH(DATE(V$5,$K268,$J268),daily_dates,0),MATCH($B$3,daily_items,0))),NA(),INDEX(big_daily_table,MATCH(DATE(V$5,$K268,$J268),daily_dates,0),MATCH($B$3,daily_items,0)))</f>
        <v>#N/A</v>
      </c>
      <c r="W268" s="1" t="str">
        <f t="array" ref="W268">IF(ISBLANK(INDEX(big_daily_table,MATCH(DATE(W$5,$K268,$J268),daily_dates,0),MATCH($B$3,daily_items,0))),NA(),INDEX(big_daily_table,MATCH(DATE(W$5,$K268,$J268),daily_dates,0),MATCH($B$3,daily_items,0)))</f>
        <v>#N/A</v>
      </c>
      <c r="X268" s="1" t="str">
        <f t="array" ref="X268">IF(ISBLANK(INDEX(big_daily_table,MATCH(DATE(X$5,$K268,$J268),daily_dates,0),MATCH($B$3,daily_items,0))),NA(),INDEX(big_daily_table,MATCH(DATE(X$5,$K268,$J268),daily_dates,0),MATCH($B$3,daily_items,0)))</f>
        <v>#N/A</v>
      </c>
      <c r="Y268" s="1" t="str">
        <f t="array" ref="Y268">IF(ISBLANK(INDEX(big_daily_table,MATCH(DATE(Y$5,$K268,$J268),daily_dates,0),MATCH($B$3,daily_items,0))),NA(),INDEX(big_daily_table,MATCH(DATE(Y$5,$K268,$J268),daily_dates,0),MATCH($B$3,daily_items,0)))</f>
        <v>#N/A</v>
      </c>
      <c r="Z268" s="1" t="str">
        <f t="array" ref="Z268">IF(ISBLANK(INDEX(big_daily_table,MATCH(DATE(Z$5,$K268,$J268),daily_dates,0),MATCH($B$3,daily_items,0))),NA(),INDEX(big_daily_table,MATCH(DATE(Z$5,$K268,$J268),daily_dates,0),MATCH($B$3,daily_items,0)))</f>
        <v>#N/A</v>
      </c>
      <c r="AA268" s="1" t="str">
        <f t="shared" si="5"/>
        <v>#NAME?</v>
      </c>
      <c r="AB268" s="1" t="str">
        <f t="shared" si="6"/>
        <v>#NAME?</v>
      </c>
      <c r="AC268" s="1" t="str">
        <f t="shared" si="7"/>
        <v>#NAME?</v>
      </c>
      <c r="AD268" s="1" t="str">
        <f t="shared" si="8"/>
        <v>#NAME?</v>
      </c>
    </row>
    <row r="269" ht="14.25" customHeight="1">
      <c r="H269" s="1">
        <f t="shared" si="9"/>
        <v>264</v>
      </c>
      <c r="I269" s="1">
        <f>WEEKDAY('daily graphs'!K269)</f>
        <v>4</v>
      </c>
      <c r="J269" s="1">
        <f t="shared" si="2"/>
        <v>16</v>
      </c>
      <c r="K269" s="1">
        <f t="shared" si="3"/>
        <v>9</v>
      </c>
      <c r="L269" s="23">
        <f>'daily graphs'!K269 - I269</f>
        <v>36785</v>
      </c>
      <c r="M269" s="24">
        <f t="shared" si="4"/>
        <v>-1000000</v>
      </c>
      <c r="N269" s="24" t="str">
        <f t="array" ref="N269">IF(M269&gt;0,INDEX(big_daily_table,MATCH(DATE(O$5,$K269,$J269),daily_dates,0),MATCH($B$3,daily_items,0)),NA())</f>
        <v>#N/A</v>
      </c>
      <c r="O269" s="1" t="str">
        <f t="array" ref="O269">IF(M269&lt;0,INDEX(big_daily_table,MATCH(DATE(O$5,$K269,$J269),daily_dates,0),MATCH($B$3,daily_items,0)),NA())</f>
        <v>#N/A</v>
      </c>
      <c r="P269" s="1" t="str">
        <f t="array" ref="P269">IF(ISBLANK(INDEX(big_daily_table,MATCH(DATE(P$5,$K269,$J269),daily_dates,0),MATCH($B$3,daily_items,0))),NA(),INDEX(big_daily_table,MATCH(DATE(P$5,$K269,$J269),daily_dates,0),MATCH($B$3,daily_items,0)))</f>
        <v>#N/A</v>
      </c>
      <c r="Q269" s="1" t="str">
        <f t="array" ref="Q269">IF(ISBLANK(INDEX(big_daily_table,MATCH(DATE(Q$5,$K269,$J269),daily_dates,0),MATCH($B$3,daily_items,0))),NA(),INDEX(big_daily_table,MATCH(DATE(Q$5,$K269,$J269),daily_dates,0),MATCH($B$3,daily_items,0)))</f>
        <v>#N/A</v>
      </c>
      <c r="R269" s="1" t="str">
        <f t="array" ref="R269">IF(ISBLANK(INDEX(big_daily_table,MATCH(DATE(R$5,$K269,$J269),daily_dates,0),MATCH($B$3,daily_items,0))),NA(),INDEX(big_daily_table,MATCH(DATE(R$5,$K269,$J269),daily_dates,0),MATCH($B$3,daily_items,0)))</f>
        <v>#N/A</v>
      </c>
      <c r="S269" s="1" t="str">
        <f t="array" ref="S269">IF(ISBLANK(INDEX(big_daily_table,MATCH(DATE(S$5,$K269,$J269),daily_dates,0),MATCH($B$3,daily_items,0))),NA(),INDEX(big_daily_table,MATCH(DATE(S$5,$K269,$J269),daily_dates,0),MATCH($B$3,daily_items,0)))</f>
        <v>#N/A</v>
      </c>
      <c r="T269" s="1" t="str">
        <f t="array" ref="T269">IF(ISBLANK(INDEX(big_daily_table,MATCH(DATE(T$5,$K269,$J269),daily_dates,0),MATCH($B$3,daily_items,0))),NA(),INDEX(big_daily_table,MATCH(DATE(T$5,$K269,$J269),daily_dates,0),MATCH($B$3,daily_items,0)))</f>
        <v>#N/A</v>
      </c>
      <c r="U269" s="1" t="str">
        <f t="array" ref="U269">IF(ISBLANK(INDEX(big_daily_table,MATCH(DATE(U$5,$K269,$J269),daily_dates,0),MATCH($B$3,daily_items,0))),NA(),INDEX(big_daily_table,MATCH(DATE(U$5,$K269,$J269),daily_dates,0),MATCH($B$3,daily_items,0)))</f>
        <v>#N/A</v>
      </c>
      <c r="V269" s="1" t="str">
        <f t="array" ref="V269">IF(ISBLANK(INDEX(big_daily_table,MATCH(DATE(V$5,$K269,$J269),daily_dates,0),MATCH($B$3,daily_items,0))),NA(),INDEX(big_daily_table,MATCH(DATE(V$5,$K269,$J269),daily_dates,0),MATCH($B$3,daily_items,0)))</f>
        <v>#N/A</v>
      </c>
      <c r="W269" s="1" t="str">
        <f t="array" ref="W269">IF(ISBLANK(INDEX(big_daily_table,MATCH(DATE(W$5,$K269,$J269),daily_dates,0),MATCH($B$3,daily_items,0))),NA(),INDEX(big_daily_table,MATCH(DATE(W$5,$K269,$J269),daily_dates,0),MATCH($B$3,daily_items,0)))</f>
        <v>#N/A</v>
      </c>
      <c r="X269" s="1" t="str">
        <f t="array" ref="X269">IF(ISBLANK(INDEX(big_daily_table,MATCH(DATE(X$5,$K269,$J269),daily_dates,0),MATCH($B$3,daily_items,0))),NA(),INDEX(big_daily_table,MATCH(DATE(X$5,$K269,$J269),daily_dates,0),MATCH($B$3,daily_items,0)))</f>
        <v>#N/A</v>
      </c>
      <c r="Y269" s="1" t="str">
        <f t="array" ref="Y269">IF(ISBLANK(INDEX(big_daily_table,MATCH(DATE(Y$5,$K269,$J269),daily_dates,0),MATCH($B$3,daily_items,0))),NA(),INDEX(big_daily_table,MATCH(DATE(Y$5,$K269,$J269),daily_dates,0),MATCH($B$3,daily_items,0)))</f>
        <v>#N/A</v>
      </c>
      <c r="Z269" s="1" t="str">
        <f t="array" ref="Z269">IF(ISBLANK(INDEX(big_daily_table,MATCH(DATE(Z$5,$K269,$J269),daily_dates,0),MATCH($B$3,daily_items,0))),NA(),INDEX(big_daily_table,MATCH(DATE(Z$5,$K269,$J269),daily_dates,0),MATCH($B$3,daily_items,0)))</f>
        <v>#N/A</v>
      </c>
      <c r="AA269" s="1" t="str">
        <f t="shared" si="5"/>
        <v>#NAME?</v>
      </c>
      <c r="AB269" s="1" t="str">
        <f t="shared" si="6"/>
        <v>#NAME?</v>
      </c>
      <c r="AC269" s="1" t="str">
        <f t="shared" si="7"/>
        <v>#NAME?</v>
      </c>
      <c r="AD269" s="1" t="str">
        <f t="shared" si="8"/>
        <v>#NAME?</v>
      </c>
    </row>
    <row r="270" ht="14.25" customHeight="1">
      <c r="H270" s="1">
        <f t="shared" si="9"/>
        <v>265</v>
      </c>
      <c r="I270" s="1">
        <f>WEEKDAY('daily graphs'!K270)</f>
        <v>5</v>
      </c>
      <c r="J270" s="1">
        <f t="shared" si="2"/>
        <v>16</v>
      </c>
      <c r="K270" s="1">
        <f t="shared" si="3"/>
        <v>9</v>
      </c>
      <c r="L270" s="23">
        <f>'daily graphs'!K270 - I270</f>
        <v>36785</v>
      </c>
      <c r="M270" s="24">
        <f t="shared" si="4"/>
        <v>-1000000</v>
      </c>
      <c r="N270" s="24" t="str">
        <f t="array" ref="N270">IF(M270&gt;0,INDEX(big_daily_table,MATCH(DATE(O$5,$K270,$J270),daily_dates,0),MATCH($B$3,daily_items,0)),NA())</f>
        <v>#N/A</v>
      </c>
      <c r="O270" s="1" t="str">
        <f t="array" ref="O270">IF(M270&lt;0,INDEX(big_daily_table,MATCH(DATE(O$5,$K270,$J270),daily_dates,0),MATCH($B$3,daily_items,0)),NA())</f>
        <v>#N/A</v>
      </c>
      <c r="P270" s="1" t="str">
        <f t="array" ref="P270">IF(ISBLANK(INDEX(big_daily_table,MATCH(DATE(P$5,$K270,$J270),daily_dates,0),MATCH($B$3,daily_items,0))),NA(),INDEX(big_daily_table,MATCH(DATE(P$5,$K270,$J270),daily_dates,0),MATCH($B$3,daily_items,0)))</f>
        <v>#N/A</v>
      </c>
      <c r="Q270" s="1" t="str">
        <f t="array" ref="Q270">IF(ISBLANK(INDEX(big_daily_table,MATCH(DATE(Q$5,$K270,$J270),daily_dates,0),MATCH($B$3,daily_items,0))),NA(),INDEX(big_daily_table,MATCH(DATE(Q$5,$K270,$J270),daily_dates,0),MATCH($B$3,daily_items,0)))</f>
        <v>#N/A</v>
      </c>
      <c r="R270" s="1" t="str">
        <f t="array" ref="R270">IF(ISBLANK(INDEX(big_daily_table,MATCH(DATE(R$5,$K270,$J270),daily_dates,0),MATCH($B$3,daily_items,0))),NA(),INDEX(big_daily_table,MATCH(DATE(R$5,$K270,$J270),daily_dates,0),MATCH($B$3,daily_items,0)))</f>
        <v>#N/A</v>
      </c>
      <c r="S270" s="1" t="str">
        <f t="array" ref="S270">IF(ISBLANK(INDEX(big_daily_table,MATCH(DATE(S$5,$K270,$J270),daily_dates,0),MATCH($B$3,daily_items,0))),NA(),INDEX(big_daily_table,MATCH(DATE(S$5,$K270,$J270),daily_dates,0),MATCH($B$3,daily_items,0)))</f>
        <v>#N/A</v>
      </c>
      <c r="T270" s="1" t="str">
        <f t="array" ref="T270">IF(ISBLANK(INDEX(big_daily_table,MATCH(DATE(T$5,$K270,$J270),daily_dates,0),MATCH($B$3,daily_items,0))),NA(),INDEX(big_daily_table,MATCH(DATE(T$5,$K270,$J270),daily_dates,0),MATCH($B$3,daily_items,0)))</f>
        <v>#N/A</v>
      </c>
      <c r="U270" s="1" t="str">
        <f t="array" ref="U270">IF(ISBLANK(INDEX(big_daily_table,MATCH(DATE(U$5,$K270,$J270),daily_dates,0),MATCH($B$3,daily_items,0))),NA(),INDEX(big_daily_table,MATCH(DATE(U$5,$K270,$J270),daily_dates,0),MATCH($B$3,daily_items,0)))</f>
        <v>#N/A</v>
      </c>
      <c r="V270" s="1" t="str">
        <f t="array" ref="V270">IF(ISBLANK(INDEX(big_daily_table,MATCH(DATE(V$5,$K270,$J270),daily_dates,0),MATCH($B$3,daily_items,0))),NA(),INDEX(big_daily_table,MATCH(DATE(V$5,$K270,$J270),daily_dates,0),MATCH($B$3,daily_items,0)))</f>
        <v>#N/A</v>
      </c>
      <c r="W270" s="1" t="str">
        <f t="array" ref="W270">IF(ISBLANK(INDEX(big_daily_table,MATCH(DATE(W$5,$K270,$J270),daily_dates,0),MATCH($B$3,daily_items,0))),NA(),INDEX(big_daily_table,MATCH(DATE(W$5,$K270,$J270),daily_dates,0),MATCH($B$3,daily_items,0)))</f>
        <v>#N/A</v>
      </c>
      <c r="X270" s="1" t="str">
        <f t="array" ref="X270">IF(ISBLANK(INDEX(big_daily_table,MATCH(DATE(X$5,$K270,$J270),daily_dates,0),MATCH($B$3,daily_items,0))),NA(),INDEX(big_daily_table,MATCH(DATE(X$5,$K270,$J270),daily_dates,0),MATCH($B$3,daily_items,0)))</f>
        <v>#N/A</v>
      </c>
      <c r="Y270" s="1" t="str">
        <f t="array" ref="Y270">IF(ISBLANK(INDEX(big_daily_table,MATCH(DATE(Y$5,$K270,$J270),daily_dates,0),MATCH($B$3,daily_items,0))),NA(),INDEX(big_daily_table,MATCH(DATE(Y$5,$K270,$J270),daily_dates,0),MATCH($B$3,daily_items,0)))</f>
        <v>#N/A</v>
      </c>
      <c r="Z270" s="1" t="str">
        <f t="array" ref="Z270">IF(ISBLANK(INDEX(big_daily_table,MATCH(DATE(Z$5,$K270,$J270),daily_dates,0),MATCH($B$3,daily_items,0))),NA(),INDEX(big_daily_table,MATCH(DATE(Z$5,$K270,$J270),daily_dates,0),MATCH($B$3,daily_items,0)))</f>
        <v>#N/A</v>
      </c>
      <c r="AA270" s="1" t="str">
        <f t="shared" si="5"/>
        <v>#NAME?</v>
      </c>
      <c r="AB270" s="1" t="str">
        <f t="shared" si="6"/>
        <v>#NAME?</v>
      </c>
      <c r="AC270" s="1" t="str">
        <f t="shared" si="7"/>
        <v>#NAME?</v>
      </c>
      <c r="AD270" s="1" t="str">
        <f t="shared" si="8"/>
        <v>#NAME?</v>
      </c>
    </row>
    <row r="271" ht="14.25" customHeight="1">
      <c r="H271" s="1">
        <f t="shared" si="9"/>
        <v>266</v>
      </c>
      <c r="I271" s="1">
        <f>WEEKDAY('daily graphs'!K271)</f>
        <v>6</v>
      </c>
      <c r="J271" s="1">
        <f t="shared" si="2"/>
        <v>16</v>
      </c>
      <c r="K271" s="1">
        <f t="shared" si="3"/>
        <v>9</v>
      </c>
      <c r="L271" s="23">
        <f>'daily graphs'!K271 - I271</f>
        <v>36785</v>
      </c>
      <c r="M271" s="24">
        <f t="shared" si="4"/>
        <v>-1000000</v>
      </c>
      <c r="N271" s="24" t="str">
        <f t="array" ref="N271">IF(M271&gt;0,INDEX(big_daily_table,MATCH(DATE(O$5,$K271,$J271),daily_dates,0),MATCH($B$3,daily_items,0)),NA())</f>
        <v>#N/A</v>
      </c>
      <c r="O271" s="1" t="str">
        <f t="array" ref="O271">IF(M271&lt;0,INDEX(big_daily_table,MATCH(DATE(O$5,$K271,$J271),daily_dates,0),MATCH($B$3,daily_items,0)),NA())</f>
        <v>#N/A</v>
      </c>
      <c r="P271" s="1" t="str">
        <f t="array" ref="P271">IF(ISBLANK(INDEX(big_daily_table,MATCH(DATE(P$5,$K271,$J271),daily_dates,0),MATCH($B$3,daily_items,0))),NA(),INDEX(big_daily_table,MATCH(DATE(P$5,$K271,$J271),daily_dates,0),MATCH($B$3,daily_items,0)))</f>
        <v>#N/A</v>
      </c>
      <c r="Q271" s="1" t="str">
        <f t="array" ref="Q271">IF(ISBLANK(INDEX(big_daily_table,MATCH(DATE(Q$5,$K271,$J271),daily_dates,0),MATCH($B$3,daily_items,0))),NA(),INDEX(big_daily_table,MATCH(DATE(Q$5,$K271,$J271),daily_dates,0),MATCH($B$3,daily_items,0)))</f>
        <v>#N/A</v>
      </c>
      <c r="R271" s="1" t="str">
        <f t="array" ref="R271">IF(ISBLANK(INDEX(big_daily_table,MATCH(DATE(R$5,$K271,$J271),daily_dates,0),MATCH($B$3,daily_items,0))),NA(),INDEX(big_daily_table,MATCH(DATE(R$5,$K271,$J271),daily_dates,0),MATCH($B$3,daily_items,0)))</f>
        <v>#N/A</v>
      </c>
      <c r="S271" s="1" t="str">
        <f t="array" ref="S271">IF(ISBLANK(INDEX(big_daily_table,MATCH(DATE(S$5,$K271,$J271),daily_dates,0),MATCH($B$3,daily_items,0))),NA(),INDEX(big_daily_table,MATCH(DATE(S$5,$K271,$J271),daily_dates,0),MATCH($B$3,daily_items,0)))</f>
        <v>#N/A</v>
      </c>
      <c r="T271" s="1" t="str">
        <f t="array" ref="T271">IF(ISBLANK(INDEX(big_daily_table,MATCH(DATE(T$5,$K271,$J271),daily_dates,0),MATCH($B$3,daily_items,0))),NA(),INDEX(big_daily_table,MATCH(DATE(T$5,$K271,$J271),daily_dates,0),MATCH($B$3,daily_items,0)))</f>
        <v>#N/A</v>
      </c>
      <c r="U271" s="1" t="str">
        <f t="array" ref="U271">IF(ISBLANK(INDEX(big_daily_table,MATCH(DATE(U$5,$K271,$J271),daily_dates,0),MATCH($B$3,daily_items,0))),NA(),INDEX(big_daily_table,MATCH(DATE(U$5,$K271,$J271),daily_dates,0),MATCH($B$3,daily_items,0)))</f>
        <v>#N/A</v>
      </c>
      <c r="V271" s="1" t="str">
        <f t="array" ref="V271">IF(ISBLANK(INDEX(big_daily_table,MATCH(DATE(V$5,$K271,$J271),daily_dates,0),MATCH($B$3,daily_items,0))),NA(),INDEX(big_daily_table,MATCH(DATE(V$5,$K271,$J271),daily_dates,0),MATCH($B$3,daily_items,0)))</f>
        <v>#N/A</v>
      </c>
      <c r="W271" s="1" t="str">
        <f t="array" ref="W271">IF(ISBLANK(INDEX(big_daily_table,MATCH(DATE(W$5,$K271,$J271),daily_dates,0),MATCH($B$3,daily_items,0))),NA(),INDEX(big_daily_table,MATCH(DATE(W$5,$K271,$J271),daily_dates,0),MATCH($B$3,daily_items,0)))</f>
        <v>#N/A</v>
      </c>
      <c r="X271" s="1" t="str">
        <f t="array" ref="X271">IF(ISBLANK(INDEX(big_daily_table,MATCH(DATE(X$5,$K271,$J271),daily_dates,0),MATCH($B$3,daily_items,0))),NA(),INDEX(big_daily_table,MATCH(DATE(X$5,$K271,$J271),daily_dates,0),MATCH($B$3,daily_items,0)))</f>
        <v>#N/A</v>
      </c>
      <c r="Y271" s="1" t="str">
        <f t="array" ref="Y271">IF(ISBLANK(INDEX(big_daily_table,MATCH(DATE(Y$5,$K271,$J271),daily_dates,0),MATCH($B$3,daily_items,0))),NA(),INDEX(big_daily_table,MATCH(DATE(Y$5,$K271,$J271),daily_dates,0),MATCH($B$3,daily_items,0)))</f>
        <v>#N/A</v>
      </c>
      <c r="Z271" s="1" t="str">
        <f t="array" ref="Z271">IF(ISBLANK(INDEX(big_daily_table,MATCH(DATE(Z$5,$K271,$J271),daily_dates,0),MATCH($B$3,daily_items,0))),NA(),INDEX(big_daily_table,MATCH(DATE(Z$5,$K271,$J271),daily_dates,0),MATCH($B$3,daily_items,0)))</f>
        <v>#N/A</v>
      </c>
      <c r="AA271" s="1" t="str">
        <f t="shared" si="5"/>
        <v>#NAME?</v>
      </c>
      <c r="AB271" s="1" t="str">
        <f t="shared" si="6"/>
        <v>#NAME?</v>
      </c>
      <c r="AC271" s="1" t="str">
        <f t="shared" si="7"/>
        <v>#NAME?</v>
      </c>
      <c r="AD271" s="1" t="str">
        <f t="shared" si="8"/>
        <v>#NAME?</v>
      </c>
    </row>
    <row r="272" ht="14.25" customHeight="1">
      <c r="H272" s="1">
        <f t="shared" si="9"/>
        <v>267</v>
      </c>
      <c r="I272" s="1">
        <f>WEEKDAY('daily graphs'!K272)</f>
        <v>7</v>
      </c>
      <c r="J272" s="1">
        <f t="shared" si="2"/>
        <v>16</v>
      </c>
      <c r="K272" s="1">
        <f t="shared" si="3"/>
        <v>9</v>
      </c>
      <c r="L272" s="23">
        <f>'daily graphs'!K272 - I272</f>
        <v>36785</v>
      </c>
      <c r="M272" s="24">
        <f t="shared" si="4"/>
        <v>-1000000</v>
      </c>
      <c r="N272" s="24" t="str">
        <f t="array" ref="N272">IF(M272&gt;0,INDEX(big_daily_table,MATCH(DATE(O$5,$K272,$J272),daily_dates,0),MATCH($B$3,daily_items,0)),NA())</f>
        <v>#N/A</v>
      </c>
      <c r="O272" s="1" t="str">
        <f t="array" ref="O272">IF(M272&lt;0,INDEX(big_daily_table,MATCH(DATE(O$5,$K272,$J272),daily_dates,0),MATCH($B$3,daily_items,0)),NA())</f>
        <v>#N/A</v>
      </c>
      <c r="P272" s="1" t="str">
        <f t="array" ref="P272">IF(ISBLANK(INDEX(big_daily_table,MATCH(DATE(P$5,$K272,$J272),daily_dates,0),MATCH($B$3,daily_items,0))),NA(),INDEX(big_daily_table,MATCH(DATE(P$5,$K272,$J272),daily_dates,0),MATCH($B$3,daily_items,0)))</f>
        <v>#N/A</v>
      </c>
      <c r="Q272" s="1" t="str">
        <f t="array" ref="Q272">IF(ISBLANK(INDEX(big_daily_table,MATCH(DATE(Q$5,$K272,$J272),daily_dates,0),MATCH($B$3,daily_items,0))),NA(),INDEX(big_daily_table,MATCH(DATE(Q$5,$K272,$J272),daily_dates,0),MATCH($B$3,daily_items,0)))</f>
        <v>#N/A</v>
      </c>
      <c r="R272" s="1" t="str">
        <f t="array" ref="R272">IF(ISBLANK(INDEX(big_daily_table,MATCH(DATE(R$5,$K272,$J272),daily_dates,0),MATCH($B$3,daily_items,0))),NA(),INDEX(big_daily_table,MATCH(DATE(R$5,$K272,$J272),daily_dates,0),MATCH($B$3,daily_items,0)))</f>
        <v>#N/A</v>
      </c>
      <c r="S272" s="1" t="str">
        <f t="array" ref="S272">IF(ISBLANK(INDEX(big_daily_table,MATCH(DATE(S$5,$K272,$J272),daily_dates,0),MATCH($B$3,daily_items,0))),NA(),INDEX(big_daily_table,MATCH(DATE(S$5,$K272,$J272),daily_dates,0),MATCH($B$3,daily_items,0)))</f>
        <v>#N/A</v>
      </c>
      <c r="T272" s="1" t="str">
        <f t="array" ref="T272">IF(ISBLANK(INDEX(big_daily_table,MATCH(DATE(T$5,$K272,$J272),daily_dates,0),MATCH($B$3,daily_items,0))),NA(),INDEX(big_daily_table,MATCH(DATE(T$5,$K272,$J272),daily_dates,0),MATCH($B$3,daily_items,0)))</f>
        <v>#N/A</v>
      </c>
      <c r="U272" s="1" t="str">
        <f t="array" ref="U272">IF(ISBLANK(INDEX(big_daily_table,MATCH(DATE(U$5,$K272,$J272),daily_dates,0),MATCH($B$3,daily_items,0))),NA(),INDEX(big_daily_table,MATCH(DATE(U$5,$K272,$J272),daily_dates,0),MATCH($B$3,daily_items,0)))</f>
        <v>#N/A</v>
      </c>
      <c r="V272" s="1" t="str">
        <f t="array" ref="V272">IF(ISBLANK(INDEX(big_daily_table,MATCH(DATE(V$5,$K272,$J272),daily_dates,0),MATCH($B$3,daily_items,0))),NA(),INDEX(big_daily_table,MATCH(DATE(V$5,$K272,$J272),daily_dates,0),MATCH($B$3,daily_items,0)))</f>
        <v>#N/A</v>
      </c>
      <c r="W272" s="1" t="str">
        <f t="array" ref="W272">IF(ISBLANK(INDEX(big_daily_table,MATCH(DATE(W$5,$K272,$J272),daily_dates,0),MATCH($B$3,daily_items,0))),NA(),INDEX(big_daily_table,MATCH(DATE(W$5,$K272,$J272),daily_dates,0),MATCH($B$3,daily_items,0)))</f>
        <v>#N/A</v>
      </c>
      <c r="X272" s="1" t="str">
        <f t="array" ref="X272">IF(ISBLANK(INDEX(big_daily_table,MATCH(DATE(X$5,$K272,$J272),daily_dates,0),MATCH($B$3,daily_items,0))),NA(),INDEX(big_daily_table,MATCH(DATE(X$5,$K272,$J272),daily_dates,0),MATCH($B$3,daily_items,0)))</f>
        <v>#N/A</v>
      </c>
      <c r="Y272" s="1" t="str">
        <f t="array" ref="Y272">IF(ISBLANK(INDEX(big_daily_table,MATCH(DATE(Y$5,$K272,$J272),daily_dates,0),MATCH($B$3,daily_items,0))),NA(),INDEX(big_daily_table,MATCH(DATE(Y$5,$K272,$J272),daily_dates,0),MATCH($B$3,daily_items,0)))</f>
        <v>#N/A</v>
      </c>
      <c r="Z272" s="1" t="str">
        <f t="array" ref="Z272">IF(ISBLANK(INDEX(big_daily_table,MATCH(DATE(Z$5,$K272,$J272),daily_dates,0),MATCH($B$3,daily_items,0))),NA(),INDEX(big_daily_table,MATCH(DATE(Z$5,$K272,$J272),daily_dates,0),MATCH($B$3,daily_items,0)))</f>
        <v>#N/A</v>
      </c>
      <c r="AA272" s="1" t="str">
        <f t="shared" si="5"/>
        <v>#NAME?</v>
      </c>
      <c r="AB272" s="1" t="str">
        <f t="shared" si="6"/>
        <v>#NAME?</v>
      </c>
      <c r="AC272" s="1" t="str">
        <f t="shared" si="7"/>
        <v>#NAME?</v>
      </c>
      <c r="AD272" s="1" t="str">
        <f t="shared" si="8"/>
        <v>#NAME?</v>
      </c>
    </row>
    <row r="273" ht="14.25" customHeight="1">
      <c r="H273" s="1">
        <f t="shared" si="9"/>
        <v>268</v>
      </c>
      <c r="I273" s="1">
        <f>WEEKDAY('daily graphs'!K273)</f>
        <v>1</v>
      </c>
      <c r="J273" s="1">
        <f t="shared" si="2"/>
        <v>23</v>
      </c>
      <c r="K273" s="1">
        <f t="shared" si="3"/>
        <v>9</v>
      </c>
      <c r="L273" s="23">
        <f>'daily graphs'!K273 - I273</f>
        <v>36792</v>
      </c>
      <c r="M273" s="24">
        <f t="shared" si="4"/>
        <v>-1000000</v>
      </c>
      <c r="N273" s="24" t="str">
        <f t="array" ref="N273">IF(M273&gt;0,INDEX(big_daily_table,MATCH(DATE(O$5,$K273,$J273),daily_dates,0),MATCH($B$3,daily_items,0)),NA())</f>
        <v>#N/A</v>
      </c>
      <c r="O273" s="1" t="str">
        <f t="array" ref="O273">IF(M273&lt;0,INDEX(big_daily_table,MATCH(DATE(O$5,$K273,$J273),daily_dates,0),MATCH($B$3,daily_items,0)),NA())</f>
        <v>#N/A</v>
      </c>
      <c r="P273" s="1" t="str">
        <f t="array" ref="P273">IF(ISBLANK(INDEX(big_daily_table,MATCH(DATE(P$5,$K273,$J273),daily_dates,0),MATCH($B$3,daily_items,0))),NA(),INDEX(big_daily_table,MATCH(DATE(P$5,$K273,$J273),daily_dates,0),MATCH($B$3,daily_items,0)))</f>
        <v>#N/A</v>
      </c>
      <c r="Q273" s="1" t="str">
        <f t="array" ref="Q273">IF(ISBLANK(INDEX(big_daily_table,MATCH(DATE(Q$5,$K273,$J273),daily_dates,0),MATCH($B$3,daily_items,0))),NA(),INDEX(big_daily_table,MATCH(DATE(Q$5,$K273,$J273),daily_dates,0),MATCH($B$3,daily_items,0)))</f>
        <v>#N/A</v>
      </c>
      <c r="R273" s="1" t="str">
        <f t="array" ref="R273">IF(ISBLANK(INDEX(big_daily_table,MATCH(DATE(R$5,$K273,$J273),daily_dates,0),MATCH($B$3,daily_items,0))),NA(),INDEX(big_daily_table,MATCH(DATE(R$5,$K273,$J273),daily_dates,0),MATCH($B$3,daily_items,0)))</f>
        <v>#N/A</v>
      </c>
      <c r="S273" s="1" t="str">
        <f t="array" ref="S273">IF(ISBLANK(INDEX(big_daily_table,MATCH(DATE(S$5,$K273,$J273),daily_dates,0),MATCH($B$3,daily_items,0))),NA(),INDEX(big_daily_table,MATCH(DATE(S$5,$K273,$J273),daily_dates,0),MATCH($B$3,daily_items,0)))</f>
        <v>#N/A</v>
      </c>
      <c r="T273" s="1" t="str">
        <f t="array" ref="T273">IF(ISBLANK(INDEX(big_daily_table,MATCH(DATE(T$5,$K273,$J273),daily_dates,0),MATCH($B$3,daily_items,0))),NA(),INDEX(big_daily_table,MATCH(DATE(T$5,$K273,$J273),daily_dates,0),MATCH($B$3,daily_items,0)))</f>
        <v>#N/A</v>
      </c>
      <c r="U273" s="1" t="str">
        <f t="array" ref="U273">IF(ISBLANK(INDEX(big_daily_table,MATCH(DATE(U$5,$K273,$J273),daily_dates,0),MATCH($B$3,daily_items,0))),NA(),INDEX(big_daily_table,MATCH(DATE(U$5,$K273,$J273),daily_dates,0),MATCH($B$3,daily_items,0)))</f>
        <v>#N/A</v>
      </c>
      <c r="V273" s="1" t="str">
        <f t="array" ref="V273">IF(ISBLANK(INDEX(big_daily_table,MATCH(DATE(V$5,$K273,$J273),daily_dates,0),MATCH($B$3,daily_items,0))),NA(),INDEX(big_daily_table,MATCH(DATE(V$5,$K273,$J273),daily_dates,0),MATCH($B$3,daily_items,0)))</f>
        <v>#N/A</v>
      </c>
      <c r="W273" s="1" t="str">
        <f t="array" ref="W273">IF(ISBLANK(INDEX(big_daily_table,MATCH(DATE(W$5,$K273,$J273),daily_dates,0),MATCH($B$3,daily_items,0))),NA(),INDEX(big_daily_table,MATCH(DATE(W$5,$K273,$J273),daily_dates,0),MATCH($B$3,daily_items,0)))</f>
        <v>#N/A</v>
      </c>
      <c r="X273" s="1" t="str">
        <f t="array" ref="X273">IF(ISBLANK(INDEX(big_daily_table,MATCH(DATE(X$5,$K273,$J273),daily_dates,0),MATCH($B$3,daily_items,0))),NA(),INDEX(big_daily_table,MATCH(DATE(X$5,$K273,$J273),daily_dates,0),MATCH($B$3,daily_items,0)))</f>
        <v>#N/A</v>
      </c>
      <c r="Y273" s="1" t="str">
        <f t="array" ref="Y273">IF(ISBLANK(INDEX(big_daily_table,MATCH(DATE(Y$5,$K273,$J273),daily_dates,0),MATCH($B$3,daily_items,0))),NA(),INDEX(big_daily_table,MATCH(DATE(Y$5,$K273,$J273),daily_dates,0),MATCH($B$3,daily_items,0)))</f>
        <v>#N/A</v>
      </c>
      <c r="Z273" s="1" t="str">
        <f t="array" ref="Z273">IF(ISBLANK(INDEX(big_daily_table,MATCH(DATE(Z$5,$K273,$J273),daily_dates,0),MATCH($B$3,daily_items,0))),NA(),INDEX(big_daily_table,MATCH(DATE(Z$5,$K273,$J273),daily_dates,0),MATCH($B$3,daily_items,0)))</f>
        <v>#N/A</v>
      </c>
      <c r="AA273" s="1" t="str">
        <f t="shared" si="5"/>
        <v>#NAME?</v>
      </c>
      <c r="AB273" s="1" t="str">
        <f t="shared" si="6"/>
        <v>#NAME?</v>
      </c>
      <c r="AC273" s="1" t="str">
        <f t="shared" si="7"/>
        <v>#NAME?</v>
      </c>
      <c r="AD273" s="1" t="str">
        <f t="shared" si="8"/>
        <v>#NAME?</v>
      </c>
    </row>
    <row r="274" ht="14.25" customHeight="1">
      <c r="H274" s="1">
        <f t="shared" si="9"/>
        <v>269</v>
      </c>
      <c r="I274" s="1">
        <f>WEEKDAY('daily graphs'!K274)</f>
        <v>2</v>
      </c>
      <c r="J274" s="1">
        <f t="shared" si="2"/>
        <v>23</v>
      </c>
      <c r="K274" s="1">
        <f t="shared" si="3"/>
        <v>9</v>
      </c>
      <c r="L274" s="23">
        <f>'daily graphs'!K274 - I274</f>
        <v>36792</v>
      </c>
      <c r="M274" s="24">
        <f t="shared" si="4"/>
        <v>-1000000</v>
      </c>
      <c r="N274" s="24" t="str">
        <f t="array" ref="N274">IF(M274&gt;0,INDEX(big_daily_table,MATCH(DATE(O$5,$K274,$J274),daily_dates,0),MATCH($B$3,daily_items,0)),NA())</f>
        <v>#N/A</v>
      </c>
      <c r="O274" s="1" t="str">
        <f t="array" ref="O274">IF(M274&lt;0,INDEX(big_daily_table,MATCH(DATE(O$5,$K274,$J274),daily_dates,0),MATCH($B$3,daily_items,0)),NA())</f>
        <v>#N/A</v>
      </c>
      <c r="P274" s="1" t="str">
        <f t="array" ref="P274">IF(ISBLANK(INDEX(big_daily_table,MATCH(DATE(P$5,$K274,$J274),daily_dates,0),MATCH($B$3,daily_items,0))),NA(),INDEX(big_daily_table,MATCH(DATE(P$5,$K274,$J274),daily_dates,0),MATCH($B$3,daily_items,0)))</f>
        <v>#N/A</v>
      </c>
      <c r="Q274" s="1" t="str">
        <f t="array" ref="Q274">IF(ISBLANK(INDEX(big_daily_table,MATCH(DATE(Q$5,$K274,$J274),daily_dates,0),MATCH($B$3,daily_items,0))),NA(),INDEX(big_daily_table,MATCH(DATE(Q$5,$K274,$J274),daily_dates,0),MATCH($B$3,daily_items,0)))</f>
        <v>#N/A</v>
      </c>
      <c r="R274" s="1" t="str">
        <f t="array" ref="R274">IF(ISBLANK(INDEX(big_daily_table,MATCH(DATE(R$5,$K274,$J274),daily_dates,0),MATCH($B$3,daily_items,0))),NA(),INDEX(big_daily_table,MATCH(DATE(R$5,$K274,$J274),daily_dates,0),MATCH($B$3,daily_items,0)))</f>
        <v>#N/A</v>
      </c>
      <c r="S274" s="1" t="str">
        <f t="array" ref="S274">IF(ISBLANK(INDEX(big_daily_table,MATCH(DATE(S$5,$K274,$J274),daily_dates,0),MATCH($B$3,daily_items,0))),NA(),INDEX(big_daily_table,MATCH(DATE(S$5,$K274,$J274),daily_dates,0),MATCH($B$3,daily_items,0)))</f>
        <v>#N/A</v>
      </c>
      <c r="T274" s="1" t="str">
        <f t="array" ref="T274">IF(ISBLANK(INDEX(big_daily_table,MATCH(DATE(T$5,$K274,$J274),daily_dates,0),MATCH($B$3,daily_items,0))),NA(),INDEX(big_daily_table,MATCH(DATE(T$5,$K274,$J274),daily_dates,0),MATCH($B$3,daily_items,0)))</f>
        <v>#N/A</v>
      </c>
      <c r="U274" s="1" t="str">
        <f t="array" ref="U274">IF(ISBLANK(INDEX(big_daily_table,MATCH(DATE(U$5,$K274,$J274),daily_dates,0),MATCH($B$3,daily_items,0))),NA(),INDEX(big_daily_table,MATCH(DATE(U$5,$K274,$J274),daily_dates,0),MATCH($B$3,daily_items,0)))</f>
        <v>#N/A</v>
      </c>
      <c r="V274" s="1" t="str">
        <f t="array" ref="V274">IF(ISBLANK(INDEX(big_daily_table,MATCH(DATE(V$5,$K274,$J274),daily_dates,0),MATCH($B$3,daily_items,0))),NA(),INDEX(big_daily_table,MATCH(DATE(V$5,$K274,$J274),daily_dates,0),MATCH($B$3,daily_items,0)))</f>
        <v>#N/A</v>
      </c>
      <c r="W274" s="1" t="str">
        <f t="array" ref="W274">IF(ISBLANK(INDEX(big_daily_table,MATCH(DATE(W$5,$K274,$J274),daily_dates,0),MATCH($B$3,daily_items,0))),NA(),INDEX(big_daily_table,MATCH(DATE(W$5,$K274,$J274),daily_dates,0),MATCH($B$3,daily_items,0)))</f>
        <v>#N/A</v>
      </c>
      <c r="X274" s="1" t="str">
        <f t="array" ref="X274">IF(ISBLANK(INDEX(big_daily_table,MATCH(DATE(X$5,$K274,$J274),daily_dates,0),MATCH($B$3,daily_items,0))),NA(),INDEX(big_daily_table,MATCH(DATE(X$5,$K274,$J274),daily_dates,0),MATCH($B$3,daily_items,0)))</f>
        <v>#N/A</v>
      </c>
      <c r="Y274" s="1" t="str">
        <f t="array" ref="Y274">IF(ISBLANK(INDEX(big_daily_table,MATCH(DATE(Y$5,$K274,$J274),daily_dates,0),MATCH($B$3,daily_items,0))),NA(),INDEX(big_daily_table,MATCH(DATE(Y$5,$K274,$J274),daily_dates,0),MATCH($B$3,daily_items,0)))</f>
        <v>#N/A</v>
      </c>
      <c r="Z274" s="1" t="str">
        <f t="array" ref="Z274">IF(ISBLANK(INDEX(big_daily_table,MATCH(DATE(Z$5,$K274,$J274),daily_dates,0),MATCH($B$3,daily_items,0))),NA(),INDEX(big_daily_table,MATCH(DATE(Z$5,$K274,$J274),daily_dates,0),MATCH($B$3,daily_items,0)))</f>
        <v>#N/A</v>
      </c>
      <c r="AA274" s="1" t="str">
        <f t="shared" si="5"/>
        <v>#NAME?</v>
      </c>
      <c r="AB274" s="1" t="str">
        <f t="shared" si="6"/>
        <v>#NAME?</v>
      </c>
      <c r="AC274" s="1" t="str">
        <f t="shared" si="7"/>
        <v>#NAME?</v>
      </c>
      <c r="AD274" s="1" t="str">
        <f t="shared" si="8"/>
        <v>#NAME?</v>
      </c>
    </row>
    <row r="275" ht="14.25" customHeight="1">
      <c r="H275" s="1">
        <f t="shared" si="9"/>
        <v>270</v>
      </c>
      <c r="I275" s="1">
        <f>WEEKDAY('daily graphs'!K275)</f>
        <v>3</v>
      </c>
      <c r="J275" s="1">
        <f t="shared" si="2"/>
        <v>23</v>
      </c>
      <c r="K275" s="1">
        <f t="shared" si="3"/>
        <v>9</v>
      </c>
      <c r="L275" s="23">
        <f>'daily graphs'!K275 - I275</f>
        <v>36792</v>
      </c>
      <c r="M275" s="24">
        <f t="shared" si="4"/>
        <v>-1000000</v>
      </c>
      <c r="N275" s="24" t="str">
        <f t="array" ref="N275">IF(M275&gt;0,INDEX(big_daily_table,MATCH(DATE(O$5,$K275,$J275),daily_dates,0),MATCH($B$3,daily_items,0)),NA())</f>
        <v>#N/A</v>
      </c>
      <c r="O275" s="1" t="str">
        <f t="array" ref="O275">IF(M275&lt;0,INDEX(big_daily_table,MATCH(DATE(O$5,$K275,$J275),daily_dates,0),MATCH($B$3,daily_items,0)),NA())</f>
        <v>#N/A</v>
      </c>
      <c r="P275" s="1" t="str">
        <f t="array" ref="P275">IF(ISBLANK(INDEX(big_daily_table,MATCH(DATE(P$5,$K275,$J275),daily_dates,0),MATCH($B$3,daily_items,0))),NA(),INDEX(big_daily_table,MATCH(DATE(P$5,$K275,$J275),daily_dates,0),MATCH($B$3,daily_items,0)))</f>
        <v>#N/A</v>
      </c>
      <c r="Q275" s="1" t="str">
        <f t="array" ref="Q275">IF(ISBLANK(INDEX(big_daily_table,MATCH(DATE(Q$5,$K275,$J275),daily_dates,0),MATCH($B$3,daily_items,0))),NA(),INDEX(big_daily_table,MATCH(DATE(Q$5,$K275,$J275),daily_dates,0),MATCH($B$3,daily_items,0)))</f>
        <v>#N/A</v>
      </c>
      <c r="R275" s="1" t="str">
        <f t="array" ref="R275">IF(ISBLANK(INDEX(big_daily_table,MATCH(DATE(R$5,$K275,$J275),daily_dates,0),MATCH($B$3,daily_items,0))),NA(),INDEX(big_daily_table,MATCH(DATE(R$5,$K275,$J275),daily_dates,0),MATCH($B$3,daily_items,0)))</f>
        <v>#N/A</v>
      </c>
      <c r="S275" s="1" t="str">
        <f t="array" ref="S275">IF(ISBLANK(INDEX(big_daily_table,MATCH(DATE(S$5,$K275,$J275),daily_dates,0),MATCH($B$3,daily_items,0))),NA(),INDEX(big_daily_table,MATCH(DATE(S$5,$K275,$J275),daily_dates,0),MATCH($B$3,daily_items,0)))</f>
        <v>#N/A</v>
      </c>
      <c r="T275" s="1" t="str">
        <f t="array" ref="T275">IF(ISBLANK(INDEX(big_daily_table,MATCH(DATE(T$5,$K275,$J275),daily_dates,0),MATCH($B$3,daily_items,0))),NA(),INDEX(big_daily_table,MATCH(DATE(T$5,$K275,$J275),daily_dates,0),MATCH($B$3,daily_items,0)))</f>
        <v>#N/A</v>
      </c>
      <c r="U275" s="1" t="str">
        <f t="array" ref="U275">IF(ISBLANK(INDEX(big_daily_table,MATCH(DATE(U$5,$K275,$J275),daily_dates,0),MATCH($B$3,daily_items,0))),NA(),INDEX(big_daily_table,MATCH(DATE(U$5,$K275,$J275),daily_dates,0),MATCH($B$3,daily_items,0)))</f>
        <v>#N/A</v>
      </c>
      <c r="V275" s="1" t="str">
        <f t="array" ref="V275">IF(ISBLANK(INDEX(big_daily_table,MATCH(DATE(V$5,$K275,$J275),daily_dates,0),MATCH($B$3,daily_items,0))),NA(),INDEX(big_daily_table,MATCH(DATE(V$5,$K275,$J275),daily_dates,0),MATCH($B$3,daily_items,0)))</f>
        <v>#N/A</v>
      </c>
      <c r="W275" s="1" t="str">
        <f t="array" ref="W275">IF(ISBLANK(INDEX(big_daily_table,MATCH(DATE(W$5,$K275,$J275),daily_dates,0),MATCH($B$3,daily_items,0))),NA(),INDEX(big_daily_table,MATCH(DATE(W$5,$K275,$J275),daily_dates,0),MATCH($B$3,daily_items,0)))</f>
        <v>#N/A</v>
      </c>
      <c r="X275" s="1" t="str">
        <f t="array" ref="X275">IF(ISBLANK(INDEX(big_daily_table,MATCH(DATE(X$5,$K275,$J275),daily_dates,0),MATCH($B$3,daily_items,0))),NA(),INDEX(big_daily_table,MATCH(DATE(X$5,$K275,$J275),daily_dates,0),MATCH($B$3,daily_items,0)))</f>
        <v>#N/A</v>
      </c>
      <c r="Y275" s="1" t="str">
        <f t="array" ref="Y275">IF(ISBLANK(INDEX(big_daily_table,MATCH(DATE(Y$5,$K275,$J275),daily_dates,0),MATCH($B$3,daily_items,0))),NA(),INDEX(big_daily_table,MATCH(DATE(Y$5,$K275,$J275),daily_dates,0),MATCH($B$3,daily_items,0)))</f>
        <v>#N/A</v>
      </c>
      <c r="Z275" s="1" t="str">
        <f t="array" ref="Z275">IF(ISBLANK(INDEX(big_daily_table,MATCH(DATE(Z$5,$K275,$J275),daily_dates,0),MATCH($B$3,daily_items,0))),NA(),INDEX(big_daily_table,MATCH(DATE(Z$5,$K275,$J275),daily_dates,0),MATCH($B$3,daily_items,0)))</f>
        <v>#N/A</v>
      </c>
      <c r="AA275" s="1" t="str">
        <f t="shared" si="5"/>
        <v>#NAME?</v>
      </c>
      <c r="AB275" s="1" t="str">
        <f t="shared" si="6"/>
        <v>#NAME?</v>
      </c>
      <c r="AC275" s="1" t="str">
        <f t="shared" si="7"/>
        <v>#NAME?</v>
      </c>
      <c r="AD275" s="1" t="str">
        <f t="shared" si="8"/>
        <v>#NAME?</v>
      </c>
    </row>
    <row r="276" ht="14.25" customHeight="1">
      <c r="H276" s="1">
        <f t="shared" si="9"/>
        <v>271</v>
      </c>
      <c r="I276" s="1">
        <f>WEEKDAY('daily graphs'!K276)</f>
        <v>4</v>
      </c>
      <c r="J276" s="1">
        <f t="shared" si="2"/>
        <v>23</v>
      </c>
      <c r="K276" s="1">
        <f t="shared" si="3"/>
        <v>9</v>
      </c>
      <c r="L276" s="23">
        <f>'daily graphs'!K276 - I276</f>
        <v>36792</v>
      </c>
      <c r="M276" s="24">
        <f t="shared" si="4"/>
        <v>-1000000</v>
      </c>
      <c r="N276" s="24" t="str">
        <f t="array" ref="N276">IF(M276&gt;0,INDEX(big_daily_table,MATCH(DATE(O$5,$K276,$J276),daily_dates,0),MATCH($B$3,daily_items,0)),NA())</f>
        <v>#N/A</v>
      </c>
      <c r="O276" s="1" t="str">
        <f t="array" ref="O276">IF(M276&lt;0,INDEX(big_daily_table,MATCH(DATE(O$5,$K276,$J276),daily_dates,0),MATCH($B$3,daily_items,0)),NA())</f>
        <v>#N/A</v>
      </c>
      <c r="P276" s="1" t="str">
        <f t="array" ref="P276">IF(ISBLANK(INDEX(big_daily_table,MATCH(DATE(P$5,$K276,$J276),daily_dates,0),MATCH($B$3,daily_items,0))),NA(),INDEX(big_daily_table,MATCH(DATE(P$5,$K276,$J276),daily_dates,0),MATCH($B$3,daily_items,0)))</f>
        <v>#N/A</v>
      </c>
      <c r="Q276" s="1" t="str">
        <f t="array" ref="Q276">IF(ISBLANK(INDEX(big_daily_table,MATCH(DATE(Q$5,$K276,$J276),daily_dates,0),MATCH($B$3,daily_items,0))),NA(),INDEX(big_daily_table,MATCH(DATE(Q$5,$K276,$J276),daily_dates,0),MATCH($B$3,daily_items,0)))</f>
        <v>#N/A</v>
      </c>
      <c r="R276" s="1" t="str">
        <f t="array" ref="R276">IF(ISBLANK(INDEX(big_daily_table,MATCH(DATE(R$5,$K276,$J276),daily_dates,0),MATCH($B$3,daily_items,0))),NA(),INDEX(big_daily_table,MATCH(DATE(R$5,$K276,$J276),daily_dates,0),MATCH($B$3,daily_items,0)))</f>
        <v>#N/A</v>
      </c>
      <c r="S276" s="1" t="str">
        <f t="array" ref="S276">IF(ISBLANK(INDEX(big_daily_table,MATCH(DATE(S$5,$K276,$J276),daily_dates,0),MATCH($B$3,daily_items,0))),NA(),INDEX(big_daily_table,MATCH(DATE(S$5,$K276,$J276),daily_dates,0),MATCH($B$3,daily_items,0)))</f>
        <v>#N/A</v>
      </c>
      <c r="T276" s="1" t="str">
        <f t="array" ref="T276">IF(ISBLANK(INDEX(big_daily_table,MATCH(DATE(T$5,$K276,$J276),daily_dates,0),MATCH($B$3,daily_items,0))),NA(),INDEX(big_daily_table,MATCH(DATE(T$5,$K276,$J276),daily_dates,0),MATCH($B$3,daily_items,0)))</f>
        <v>#N/A</v>
      </c>
      <c r="U276" s="1" t="str">
        <f t="array" ref="U276">IF(ISBLANK(INDEX(big_daily_table,MATCH(DATE(U$5,$K276,$J276),daily_dates,0),MATCH($B$3,daily_items,0))),NA(),INDEX(big_daily_table,MATCH(DATE(U$5,$K276,$J276),daily_dates,0),MATCH($B$3,daily_items,0)))</f>
        <v>#N/A</v>
      </c>
      <c r="V276" s="1" t="str">
        <f t="array" ref="V276">IF(ISBLANK(INDEX(big_daily_table,MATCH(DATE(V$5,$K276,$J276),daily_dates,0),MATCH($B$3,daily_items,0))),NA(),INDEX(big_daily_table,MATCH(DATE(V$5,$K276,$J276),daily_dates,0),MATCH($B$3,daily_items,0)))</f>
        <v>#N/A</v>
      </c>
      <c r="W276" s="1" t="str">
        <f t="array" ref="W276">IF(ISBLANK(INDEX(big_daily_table,MATCH(DATE(W$5,$K276,$J276),daily_dates,0),MATCH($B$3,daily_items,0))),NA(),INDEX(big_daily_table,MATCH(DATE(W$5,$K276,$J276),daily_dates,0),MATCH($B$3,daily_items,0)))</f>
        <v>#N/A</v>
      </c>
      <c r="X276" s="1" t="str">
        <f t="array" ref="X276">IF(ISBLANK(INDEX(big_daily_table,MATCH(DATE(X$5,$K276,$J276),daily_dates,0),MATCH($B$3,daily_items,0))),NA(),INDEX(big_daily_table,MATCH(DATE(X$5,$K276,$J276),daily_dates,0),MATCH($B$3,daily_items,0)))</f>
        <v>#N/A</v>
      </c>
      <c r="Y276" s="1" t="str">
        <f t="array" ref="Y276">IF(ISBLANK(INDEX(big_daily_table,MATCH(DATE(Y$5,$K276,$J276),daily_dates,0),MATCH($B$3,daily_items,0))),NA(),INDEX(big_daily_table,MATCH(DATE(Y$5,$K276,$J276),daily_dates,0),MATCH($B$3,daily_items,0)))</f>
        <v>#N/A</v>
      </c>
      <c r="Z276" s="1" t="str">
        <f t="array" ref="Z276">IF(ISBLANK(INDEX(big_daily_table,MATCH(DATE(Z$5,$K276,$J276),daily_dates,0),MATCH($B$3,daily_items,0))),NA(),INDEX(big_daily_table,MATCH(DATE(Z$5,$K276,$J276),daily_dates,0),MATCH($B$3,daily_items,0)))</f>
        <v>#N/A</v>
      </c>
      <c r="AA276" s="1" t="str">
        <f t="shared" si="5"/>
        <v>#NAME?</v>
      </c>
      <c r="AB276" s="1" t="str">
        <f t="shared" si="6"/>
        <v>#NAME?</v>
      </c>
      <c r="AC276" s="1" t="str">
        <f t="shared" si="7"/>
        <v>#NAME?</v>
      </c>
      <c r="AD276" s="1" t="str">
        <f t="shared" si="8"/>
        <v>#NAME?</v>
      </c>
    </row>
    <row r="277" ht="14.25" customHeight="1">
      <c r="H277" s="1">
        <f t="shared" si="9"/>
        <v>272</v>
      </c>
      <c r="I277" s="1">
        <f>WEEKDAY('daily graphs'!K277)</f>
        <v>5</v>
      </c>
      <c r="J277" s="1">
        <f t="shared" si="2"/>
        <v>23</v>
      </c>
      <c r="K277" s="1">
        <f t="shared" si="3"/>
        <v>9</v>
      </c>
      <c r="L277" s="23">
        <f>'daily graphs'!K277 - I277</f>
        <v>36792</v>
      </c>
      <c r="M277" s="24">
        <f t="shared" si="4"/>
        <v>-1000000</v>
      </c>
      <c r="N277" s="24" t="str">
        <f t="array" ref="N277">IF(M277&gt;0,INDEX(big_daily_table,MATCH(DATE(O$5,$K277,$J277),daily_dates,0),MATCH($B$3,daily_items,0)),NA())</f>
        <v>#N/A</v>
      </c>
      <c r="O277" s="1" t="str">
        <f t="array" ref="O277">IF(M277&lt;0,INDEX(big_daily_table,MATCH(DATE(O$5,$K277,$J277),daily_dates,0),MATCH($B$3,daily_items,0)),NA())</f>
        <v>#N/A</v>
      </c>
      <c r="P277" s="1" t="str">
        <f t="array" ref="P277">IF(ISBLANK(INDEX(big_daily_table,MATCH(DATE(P$5,$K277,$J277),daily_dates,0),MATCH($B$3,daily_items,0))),NA(),INDEX(big_daily_table,MATCH(DATE(P$5,$K277,$J277),daily_dates,0),MATCH($B$3,daily_items,0)))</f>
        <v>#N/A</v>
      </c>
      <c r="Q277" s="1" t="str">
        <f t="array" ref="Q277">IF(ISBLANK(INDEX(big_daily_table,MATCH(DATE(Q$5,$K277,$J277),daily_dates,0),MATCH($B$3,daily_items,0))),NA(),INDEX(big_daily_table,MATCH(DATE(Q$5,$K277,$J277),daily_dates,0),MATCH($B$3,daily_items,0)))</f>
        <v>#N/A</v>
      </c>
      <c r="R277" s="1" t="str">
        <f t="array" ref="R277">IF(ISBLANK(INDEX(big_daily_table,MATCH(DATE(R$5,$K277,$J277),daily_dates,0),MATCH($B$3,daily_items,0))),NA(),INDEX(big_daily_table,MATCH(DATE(R$5,$K277,$J277),daily_dates,0),MATCH($B$3,daily_items,0)))</f>
        <v>#N/A</v>
      </c>
      <c r="S277" s="1" t="str">
        <f t="array" ref="S277">IF(ISBLANK(INDEX(big_daily_table,MATCH(DATE(S$5,$K277,$J277),daily_dates,0),MATCH($B$3,daily_items,0))),NA(),INDEX(big_daily_table,MATCH(DATE(S$5,$K277,$J277),daily_dates,0),MATCH($B$3,daily_items,0)))</f>
        <v>#N/A</v>
      </c>
      <c r="T277" s="1" t="str">
        <f t="array" ref="T277">IF(ISBLANK(INDEX(big_daily_table,MATCH(DATE(T$5,$K277,$J277),daily_dates,0),MATCH($B$3,daily_items,0))),NA(),INDEX(big_daily_table,MATCH(DATE(T$5,$K277,$J277),daily_dates,0),MATCH($B$3,daily_items,0)))</f>
        <v>#N/A</v>
      </c>
      <c r="U277" s="1" t="str">
        <f t="array" ref="U277">IF(ISBLANK(INDEX(big_daily_table,MATCH(DATE(U$5,$K277,$J277),daily_dates,0),MATCH($B$3,daily_items,0))),NA(),INDEX(big_daily_table,MATCH(DATE(U$5,$K277,$J277),daily_dates,0),MATCH($B$3,daily_items,0)))</f>
        <v>#N/A</v>
      </c>
      <c r="V277" s="1" t="str">
        <f t="array" ref="V277">IF(ISBLANK(INDEX(big_daily_table,MATCH(DATE(V$5,$K277,$J277),daily_dates,0),MATCH($B$3,daily_items,0))),NA(),INDEX(big_daily_table,MATCH(DATE(V$5,$K277,$J277),daily_dates,0),MATCH($B$3,daily_items,0)))</f>
        <v>#N/A</v>
      </c>
      <c r="W277" s="1" t="str">
        <f t="array" ref="W277">IF(ISBLANK(INDEX(big_daily_table,MATCH(DATE(W$5,$K277,$J277),daily_dates,0),MATCH($B$3,daily_items,0))),NA(),INDEX(big_daily_table,MATCH(DATE(W$5,$K277,$J277),daily_dates,0),MATCH($B$3,daily_items,0)))</f>
        <v>#N/A</v>
      </c>
      <c r="X277" s="1" t="str">
        <f t="array" ref="X277">IF(ISBLANK(INDEX(big_daily_table,MATCH(DATE(X$5,$K277,$J277),daily_dates,0),MATCH($B$3,daily_items,0))),NA(),INDEX(big_daily_table,MATCH(DATE(X$5,$K277,$J277),daily_dates,0),MATCH($B$3,daily_items,0)))</f>
        <v>#N/A</v>
      </c>
      <c r="Y277" s="1" t="str">
        <f t="array" ref="Y277">IF(ISBLANK(INDEX(big_daily_table,MATCH(DATE(Y$5,$K277,$J277),daily_dates,0),MATCH($B$3,daily_items,0))),NA(),INDEX(big_daily_table,MATCH(DATE(Y$5,$K277,$J277),daily_dates,0),MATCH($B$3,daily_items,0)))</f>
        <v>#N/A</v>
      </c>
      <c r="Z277" s="1" t="str">
        <f t="array" ref="Z277">IF(ISBLANK(INDEX(big_daily_table,MATCH(DATE(Z$5,$K277,$J277),daily_dates,0),MATCH($B$3,daily_items,0))),NA(),INDEX(big_daily_table,MATCH(DATE(Z$5,$K277,$J277),daily_dates,0),MATCH($B$3,daily_items,0)))</f>
        <v>#N/A</v>
      </c>
      <c r="AA277" s="1" t="str">
        <f t="shared" si="5"/>
        <v>#NAME?</v>
      </c>
      <c r="AB277" s="1" t="str">
        <f t="shared" si="6"/>
        <v>#NAME?</v>
      </c>
      <c r="AC277" s="1" t="str">
        <f t="shared" si="7"/>
        <v>#NAME?</v>
      </c>
      <c r="AD277" s="1" t="str">
        <f t="shared" si="8"/>
        <v>#NAME?</v>
      </c>
    </row>
    <row r="278" ht="14.25" customHeight="1">
      <c r="H278" s="1">
        <f t="shared" si="9"/>
        <v>273</v>
      </c>
      <c r="I278" s="1">
        <f>WEEKDAY('daily graphs'!K278)</f>
        <v>6</v>
      </c>
      <c r="J278" s="1">
        <f t="shared" si="2"/>
        <v>23</v>
      </c>
      <c r="K278" s="1">
        <f t="shared" si="3"/>
        <v>9</v>
      </c>
      <c r="L278" s="23">
        <f>'daily graphs'!K278 - I278</f>
        <v>36792</v>
      </c>
      <c r="M278" s="24">
        <f t="shared" si="4"/>
        <v>-1000000</v>
      </c>
      <c r="N278" s="24" t="str">
        <f t="array" ref="N278">IF(M278&gt;0,INDEX(big_daily_table,MATCH(DATE(O$5,$K278,$J278),daily_dates,0),MATCH($B$3,daily_items,0)),NA())</f>
        <v>#N/A</v>
      </c>
      <c r="O278" s="1" t="str">
        <f t="array" ref="O278">IF(M278&lt;0,INDEX(big_daily_table,MATCH(DATE(O$5,$K278,$J278),daily_dates,0),MATCH($B$3,daily_items,0)),NA())</f>
        <v>#N/A</v>
      </c>
      <c r="P278" s="1" t="str">
        <f t="array" ref="P278">IF(ISBLANK(INDEX(big_daily_table,MATCH(DATE(P$5,$K278,$J278),daily_dates,0),MATCH($B$3,daily_items,0))),NA(),INDEX(big_daily_table,MATCH(DATE(P$5,$K278,$J278),daily_dates,0),MATCH($B$3,daily_items,0)))</f>
        <v>#N/A</v>
      </c>
      <c r="Q278" s="1" t="str">
        <f t="array" ref="Q278">IF(ISBLANK(INDEX(big_daily_table,MATCH(DATE(Q$5,$K278,$J278),daily_dates,0),MATCH($B$3,daily_items,0))),NA(),INDEX(big_daily_table,MATCH(DATE(Q$5,$K278,$J278),daily_dates,0),MATCH($B$3,daily_items,0)))</f>
        <v>#N/A</v>
      </c>
      <c r="R278" s="1" t="str">
        <f t="array" ref="R278">IF(ISBLANK(INDEX(big_daily_table,MATCH(DATE(R$5,$K278,$J278),daily_dates,0),MATCH($B$3,daily_items,0))),NA(),INDEX(big_daily_table,MATCH(DATE(R$5,$K278,$J278),daily_dates,0),MATCH($B$3,daily_items,0)))</f>
        <v>#N/A</v>
      </c>
      <c r="S278" s="1" t="str">
        <f t="array" ref="S278">IF(ISBLANK(INDEX(big_daily_table,MATCH(DATE(S$5,$K278,$J278),daily_dates,0),MATCH($B$3,daily_items,0))),NA(),INDEX(big_daily_table,MATCH(DATE(S$5,$K278,$J278),daily_dates,0),MATCH($B$3,daily_items,0)))</f>
        <v>#N/A</v>
      </c>
      <c r="T278" s="1" t="str">
        <f t="array" ref="T278">IF(ISBLANK(INDEX(big_daily_table,MATCH(DATE(T$5,$K278,$J278),daily_dates,0),MATCH($B$3,daily_items,0))),NA(),INDEX(big_daily_table,MATCH(DATE(T$5,$K278,$J278),daily_dates,0),MATCH($B$3,daily_items,0)))</f>
        <v>#N/A</v>
      </c>
      <c r="U278" s="1" t="str">
        <f t="array" ref="U278">IF(ISBLANK(INDEX(big_daily_table,MATCH(DATE(U$5,$K278,$J278),daily_dates,0),MATCH($B$3,daily_items,0))),NA(),INDEX(big_daily_table,MATCH(DATE(U$5,$K278,$J278),daily_dates,0),MATCH($B$3,daily_items,0)))</f>
        <v>#N/A</v>
      </c>
      <c r="V278" s="1" t="str">
        <f t="array" ref="V278">IF(ISBLANK(INDEX(big_daily_table,MATCH(DATE(V$5,$K278,$J278),daily_dates,0),MATCH($B$3,daily_items,0))),NA(),INDEX(big_daily_table,MATCH(DATE(V$5,$K278,$J278),daily_dates,0),MATCH($B$3,daily_items,0)))</f>
        <v>#N/A</v>
      </c>
      <c r="W278" s="1" t="str">
        <f t="array" ref="W278">IF(ISBLANK(INDEX(big_daily_table,MATCH(DATE(W$5,$K278,$J278),daily_dates,0),MATCH($B$3,daily_items,0))),NA(),INDEX(big_daily_table,MATCH(DATE(W$5,$K278,$J278),daily_dates,0),MATCH($B$3,daily_items,0)))</f>
        <v>#N/A</v>
      </c>
      <c r="X278" s="1" t="str">
        <f t="array" ref="X278">IF(ISBLANK(INDEX(big_daily_table,MATCH(DATE(X$5,$K278,$J278),daily_dates,0),MATCH($B$3,daily_items,0))),NA(),INDEX(big_daily_table,MATCH(DATE(X$5,$K278,$J278),daily_dates,0),MATCH($B$3,daily_items,0)))</f>
        <v>#N/A</v>
      </c>
      <c r="Y278" s="1" t="str">
        <f t="array" ref="Y278">IF(ISBLANK(INDEX(big_daily_table,MATCH(DATE(Y$5,$K278,$J278),daily_dates,0),MATCH($B$3,daily_items,0))),NA(),INDEX(big_daily_table,MATCH(DATE(Y$5,$K278,$J278),daily_dates,0),MATCH($B$3,daily_items,0)))</f>
        <v>#N/A</v>
      </c>
      <c r="Z278" s="1" t="str">
        <f t="array" ref="Z278">IF(ISBLANK(INDEX(big_daily_table,MATCH(DATE(Z$5,$K278,$J278),daily_dates,0),MATCH($B$3,daily_items,0))),NA(),INDEX(big_daily_table,MATCH(DATE(Z$5,$K278,$J278),daily_dates,0),MATCH($B$3,daily_items,0)))</f>
        <v>#N/A</v>
      </c>
      <c r="AA278" s="1" t="str">
        <f t="shared" si="5"/>
        <v>#NAME?</v>
      </c>
      <c r="AB278" s="1" t="str">
        <f t="shared" si="6"/>
        <v>#NAME?</v>
      </c>
      <c r="AC278" s="1" t="str">
        <f t="shared" si="7"/>
        <v>#NAME?</v>
      </c>
      <c r="AD278" s="1" t="str">
        <f t="shared" si="8"/>
        <v>#NAME?</v>
      </c>
    </row>
    <row r="279" ht="14.25" customHeight="1">
      <c r="H279" s="1">
        <f t="shared" si="9"/>
        <v>274</v>
      </c>
      <c r="I279" s="1">
        <f>WEEKDAY('daily graphs'!K279)</f>
        <v>7</v>
      </c>
      <c r="J279" s="1">
        <f t="shared" si="2"/>
        <v>23</v>
      </c>
      <c r="K279" s="1">
        <f t="shared" si="3"/>
        <v>9</v>
      </c>
      <c r="L279" s="23">
        <f>'daily graphs'!K279 - I279</f>
        <v>36792</v>
      </c>
      <c r="M279" s="24">
        <f t="shared" si="4"/>
        <v>-1000000</v>
      </c>
      <c r="N279" s="24" t="str">
        <f t="array" ref="N279">IF(M279&gt;0,INDEX(big_daily_table,MATCH(DATE(O$5,$K279,$J279),daily_dates,0),MATCH($B$3,daily_items,0)),NA())</f>
        <v>#N/A</v>
      </c>
      <c r="O279" s="1" t="str">
        <f t="array" ref="O279">IF(M279&lt;0,INDEX(big_daily_table,MATCH(DATE(O$5,$K279,$J279),daily_dates,0),MATCH($B$3,daily_items,0)),NA())</f>
        <v>#N/A</v>
      </c>
      <c r="P279" s="1" t="str">
        <f t="array" ref="P279">IF(ISBLANK(INDEX(big_daily_table,MATCH(DATE(P$5,$K279,$J279),daily_dates,0),MATCH($B$3,daily_items,0))),NA(),INDEX(big_daily_table,MATCH(DATE(P$5,$K279,$J279),daily_dates,0),MATCH($B$3,daily_items,0)))</f>
        <v>#N/A</v>
      </c>
      <c r="Q279" s="1" t="str">
        <f t="array" ref="Q279">IF(ISBLANK(INDEX(big_daily_table,MATCH(DATE(Q$5,$K279,$J279),daily_dates,0),MATCH($B$3,daily_items,0))),NA(),INDEX(big_daily_table,MATCH(DATE(Q$5,$K279,$J279),daily_dates,0),MATCH($B$3,daily_items,0)))</f>
        <v>#N/A</v>
      </c>
      <c r="R279" s="1" t="str">
        <f t="array" ref="R279">IF(ISBLANK(INDEX(big_daily_table,MATCH(DATE(R$5,$K279,$J279),daily_dates,0),MATCH($B$3,daily_items,0))),NA(),INDEX(big_daily_table,MATCH(DATE(R$5,$K279,$J279),daily_dates,0),MATCH($B$3,daily_items,0)))</f>
        <v>#N/A</v>
      </c>
      <c r="S279" s="1" t="str">
        <f t="array" ref="S279">IF(ISBLANK(INDEX(big_daily_table,MATCH(DATE(S$5,$K279,$J279),daily_dates,0),MATCH($B$3,daily_items,0))),NA(),INDEX(big_daily_table,MATCH(DATE(S$5,$K279,$J279),daily_dates,0),MATCH($B$3,daily_items,0)))</f>
        <v>#N/A</v>
      </c>
      <c r="T279" s="1" t="str">
        <f t="array" ref="T279">IF(ISBLANK(INDEX(big_daily_table,MATCH(DATE(T$5,$K279,$J279),daily_dates,0),MATCH($B$3,daily_items,0))),NA(),INDEX(big_daily_table,MATCH(DATE(T$5,$K279,$J279),daily_dates,0),MATCH($B$3,daily_items,0)))</f>
        <v>#N/A</v>
      </c>
      <c r="U279" s="1" t="str">
        <f t="array" ref="U279">IF(ISBLANK(INDEX(big_daily_table,MATCH(DATE(U$5,$K279,$J279),daily_dates,0),MATCH($B$3,daily_items,0))),NA(),INDEX(big_daily_table,MATCH(DATE(U$5,$K279,$J279),daily_dates,0),MATCH($B$3,daily_items,0)))</f>
        <v>#N/A</v>
      </c>
      <c r="V279" s="1" t="str">
        <f t="array" ref="V279">IF(ISBLANK(INDEX(big_daily_table,MATCH(DATE(V$5,$K279,$J279),daily_dates,0),MATCH($B$3,daily_items,0))),NA(),INDEX(big_daily_table,MATCH(DATE(V$5,$K279,$J279),daily_dates,0),MATCH($B$3,daily_items,0)))</f>
        <v>#N/A</v>
      </c>
      <c r="W279" s="1" t="str">
        <f t="array" ref="W279">IF(ISBLANK(INDEX(big_daily_table,MATCH(DATE(W$5,$K279,$J279),daily_dates,0),MATCH($B$3,daily_items,0))),NA(),INDEX(big_daily_table,MATCH(DATE(W$5,$K279,$J279),daily_dates,0),MATCH($B$3,daily_items,0)))</f>
        <v>#N/A</v>
      </c>
      <c r="X279" s="1" t="str">
        <f t="array" ref="X279">IF(ISBLANK(INDEX(big_daily_table,MATCH(DATE(X$5,$K279,$J279),daily_dates,0),MATCH($B$3,daily_items,0))),NA(),INDEX(big_daily_table,MATCH(DATE(X$5,$K279,$J279),daily_dates,0),MATCH($B$3,daily_items,0)))</f>
        <v>#N/A</v>
      </c>
      <c r="Y279" s="1" t="str">
        <f t="array" ref="Y279">IF(ISBLANK(INDEX(big_daily_table,MATCH(DATE(Y$5,$K279,$J279),daily_dates,0),MATCH($B$3,daily_items,0))),NA(),INDEX(big_daily_table,MATCH(DATE(Y$5,$K279,$J279),daily_dates,0),MATCH($B$3,daily_items,0)))</f>
        <v>#N/A</v>
      </c>
      <c r="Z279" s="1" t="str">
        <f t="array" ref="Z279">IF(ISBLANK(INDEX(big_daily_table,MATCH(DATE(Z$5,$K279,$J279),daily_dates,0),MATCH($B$3,daily_items,0))),NA(),INDEX(big_daily_table,MATCH(DATE(Z$5,$K279,$J279),daily_dates,0),MATCH($B$3,daily_items,0)))</f>
        <v>#N/A</v>
      </c>
      <c r="AA279" s="1" t="str">
        <f t="shared" si="5"/>
        <v>#NAME?</v>
      </c>
      <c r="AB279" s="1" t="str">
        <f t="shared" si="6"/>
        <v>#NAME?</v>
      </c>
      <c r="AC279" s="1" t="str">
        <f t="shared" si="7"/>
        <v>#NAME?</v>
      </c>
      <c r="AD279" s="1" t="str">
        <f t="shared" si="8"/>
        <v>#NAME?</v>
      </c>
    </row>
    <row r="280" ht="14.25" customHeight="1">
      <c r="H280" s="1">
        <f t="shared" si="9"/>
        <v>275</v>
      </c>
      <c r="I280" s="1">
        <f>WEEKDAY('daily graphs'!K280)</f>
        <v>1</v>
      </c>
      <c r="J280" s="1">
        <f t="shared" si="2"/>
        <v>30</v>
      </c>
      <c r="K280" s="1">
        <f t="shared" si="3"/>
        <v>9</v>
      </c>
      <c r="L280" s="23">
        <f>'daily graphs'!K280 - I280</f>
        <v>36799</v>
      </c>
      <c r="M280" s="24">
        <f t="shared" si="4"/>
        <v>1000000</v>
      </c>
      <c r="N280" s="24" t="str">
        <f t="array" ref="N280">IF(M280&gt;0,INDEX(big_daily_table,MATCH(DATE(O$5,$K280,$J280),daily_dates,0),MATCH($B$3,daily_items,0)),NA())</f>
        <v>#N/A</v>
      </c>
      <c r="O280" s="1" t="str">
        <f t="array" ref="O280">IF(M280&lt;0,INDEX(big_daily_table,MATCH(DATE(O$5,$K280,$J280),daily_dates,0),MATCH($B$3,daily_items,0)),NA())</f>
        <v>#N/A</v>
      </c>
      <c r="P280" s="1" t="str">
        <f t="array" ref="P280">IF(ISBLANK(INDEX(big_daily_table,MATCH(DATE(P$5,$K280,$J280),daily_dates,0),MATCH($B$3,daily_items,0))),NA(),INDEX(big_daily_table,MATCH(DATE(P$5,$K280,$J280),daily_dates,0),MATCH($B$3,daily_items,0)))</f>
        <v>#N/A</v>
      </c>
      <c r="Q280" s="1" t="str">
        <f t="array" ref="Q280">IF(ISBLANK(INDEX(big_daily_table,MATCH(DATE(Q$5,$K280,$J280),daily_dates,0),MATCH($B$3,daily_items,0))),NA(),INDEX(big_daily_table,MATCH(DATE(Q$5,$K280,$J280),daily_dates,0),MATCH($B$3,daily_items,0)))</f>
        <v>#N/A</v>
      </c>
      <c r="R280" s="1" t="str">
        <f t="array" ref="R280">IF(ISBLANK(INDEX(big_daily_table,MATCH(DATE(R$5,$K280,$J280),daily_dates,0),MATCH($B$3,daily_items,0))),NA(),INDEX(big_daily_table,MATCH(DATE(R$5,$K280,$J280),daily_dates,0),MATCH($B$3,daily_items,0)))</f>
        <v>#N/A</v>
      </c>
      <c r="S280" s="1" t="str">
        <f t="array" ref="S280">IF(ISBLANK(INDEX(big_daily_table,MATCH(DATE(S$5,$K280,$J280),daily_dates,0),MATCH($B$3,daily_items,0))),NA(),INDEX(big_daily_table,MATCH(DATE(S$5,$K280,$J280),daily_dates,0),MATCH($B$3,daily_items,0)))</f>
        <v>#N/A</v>
      </c>
      <c r="T280" s="1" t="str">
        <f t="array" ref="T280">IF(ISBLANK(INDEX(big_daily_table,MATCH(DATE(T$5,$K280,$J280),daily_dates,0),MATCH($B$3,daily_items,0))),NA(),INDEX(big_daily_table,MATCH(DATE(T$5,$K280,$J280),daily_dates,0),MATCH($B$3,daily_items,0)))</f>
        <v>#N/A</v>
      </c>
      <c r="U280" s="1" t="str">
        <f t="array" ref="U280">IF(ISBLANK(INDEX(big_daily_table,MATCH(DATE(U$5,$K280,$J280),daily_dates,0),MATCH($B$3,daily_items,0))),NA(),INDEX(big_daily_table,MATCH(DATE(U$5,$K280,$J280),daily_dates,0),MATCH($B$3,daily_items,0)))</f>
        <v>#N/A</v>
      </c>
      <c r="V280" s="1" t="str">
        <f t="array" ref="V280">IF(ISBLANK(INDEX(big_daily_table,MATCH(DATE(V$5,$K280,$J280),daily_dates,0),MATCH($B$3,daily_items,0))),NA(),INDEX(big_daily_table,MATCH(DATE(V$5,$K280,$J280),daily_dates,0),MATCH($B$3,daily_items,0)))</f>
        <v>#N/A</v>
      </c>
      <c r="W280" s="1" t="str">
        <f t="array" ref="W280">IF(ISBLANK(INDEX(big_daily_table,MATCH(DATE(W$5,$K280,$J280),daily_dates,0),MATCH($B$3,daily_items,0))),NA(),INDEX(big_daily_table,MATCH(DATE(W$5,$K280,$J280),daily_dates,0),MATCH($B$3,daily_items,0)))</f>
        <v>#N/A</v>
      </c>
      <c r="X280" s="1" t="str">
        <f t="array" ref="X280">IF(ISBLANK(INDEX(big_daily_table,MATCH(DATE(X$5,$K280,$J280),daily_dates,0),MATCH($B$3,daily_items,0))),NA(),INDEX(big_daily_table,MATCH(DATE(X$5,$K280,$J280),daily_dates,0),MATCH($B$3,daily_items,0)))</f>
        <v>#N/A</v>
      </c>
      <c r="Y280" s="1" t="str">
        <f t="array" ref="Y280">IF(ISBLANK(INDEX(big_daily_table,MATCH(DATE(Y$5,$K280,$J280),daily_dates,0),MATCH($B$3,daily_items,0))),NA(),INDEX(big_daily_table,MATCH(DATE(Y$5,$K280,$J280),daily_dates,0),MATCH($B$3,daily_items,0)))</f>
        <v>#N/A</v>
      </c>
      <c r="Z280" s="1" t="str">
        <f t="array" ref="Z280">IF(ISBLANK(INDEX(big_daily_table,MATCH(DATE(Z$5,$K280,$J280),daily_dates,0),MATCH($B$3,daily_items,0))),NA(),INDEX(big_daily_table,MATCH(DATE(Z$5,$K280,$J280),daily_dates,0),MATCH($B$3,daily_items,0)))</f>
        <v>#N/A</v>
      </c>
      <c r="AA280" s="1" t="str">
        <f t="shared" si="5"/>
        <v>#NAME?</v>
      </c>
      <c r="AB280" s="1" t="str">
        <f t="shared" si="6"/>
        <v>#NAME?</v>
      </c>
      <c r="AC280" s="1" t="str">
        <f t="shared" si="7"/>
        <v>#NAME?</v>
      </c>
      <c r="AD280" s="1" t="str">
        <f t="shared" si="8"/>
        <v>#NAME?</v>
      </c>
    </row>
    <row r="281" ht="14.25" customHeight="1">
      <c r="H281" s="1">
        <f t="shared" si="9"/>
        <v>276</v>
      </c>
      <c r="I281" s="1">
        <f>WEEKDAY('daily graphs'!K281)</f>
        <v>2</v>
      </c>
      <c r="J281" s="1">
        <f t="shared" si="2"/>
        <v>30</v>
      </c>
      <c r="K281" s="1">
        <f t="shared" si="3"/>
        <v>9</v>
      </c>
      <c r="L281" s="23">
        <f>'daily graphs'!K281 - I281</f>
        <v>36799</v>
      </c>
      <c r="M281" s="24">
        <f t="shared" si="4"/>
        <v>1000000</v>
      </c>
      <c r="N281" s="24" t="str">
        <f t="array" ref="N281">IF(M281&gt;0,INDEX(big_daily_table,MATCH(DATE(O$5,$K281,$J281),daily_dates,0),MATCH($B$3,daily_items,0)),NA())</f>
        <v>#N/A</v>
      </c>
      <c r="O281" s="1" t="str">
        <f t="array" ref="O281">IF(M281&lt;0,INDEX(big_daily_table,MATCH(DATE(O$5,$K281,$J281),daily_dates,0),MATCH($B$3,daily_items,0)),NA())</f>
        <v>#N/A</v>
      </c>
      <c r="P281" s="1" t="str">
        <f t="array" ref="P281">IF(ISBLANK(INDEX(big_daily_table,MATCH(DATE(P$5,$K281,$J281),daily_dates,0),MATCH($B$3,daily_items,0))),NA(),INDEX(big_daily_table,MATCH(DATE(P$5,$K281,$J281),daily_dates,0),MATCH($B$3,daily_items,0)))</f>
        <v>#N/A</v>
      </c>
      <c r="Q281" s="1" t="str">
        <f t="array" ref="Q281">IF(ISBLANK(INDEX(big_daily_table,MATCH(DATE(Q$5,$K281,$J281),daily_dates,0),MATCH($B$3,daily_items,0))),NA(),INDEX(big_daily_table,MATCH(DATE(Q$5,$K281,$J281),daily_dates,0),MATCH($B$3,daily_items,0)))</f>
        <v>#N/A</v>
      </c>
      <c r="R281" s="1" t="str">
        <f t="array" ref="R281">IF(ISBLANK(INDEX(big_daily_table,MATCH(DATE(R$5,$K281,$J281),daily_dates,0),MATCH($B$3,daily_items,0))),NA(),INDEX(big_daily_table,MATCH(DATE(R$5,$K281,$J281),daily_dates,0),MATCH($B$3,daily_items,0)))</f>
        <v>#N/A</v>
      </c>
      <c r="S281" s="1" t="str">
        <f t="array" ref="S281">IF(ISBLANK(INDEX(big_daily_table,MATCH(DATE(S$5,$K281,$J281),daily_dates,0),MATCH($B$3,daily_items,0))),NA(),INDEX(big_daily_table,MATCH(DATE(S$5,$K281,$J281),daily_dates,0),MATCH($B$3,daily_items,0)))</f>
        <v>#N/A</v>
      </c>
      <c r="T281" s="1" t="str">
        <f t="array" ref="T281">IF(ISBLANK(INDEX(big_daily_table,MATCH(DATE(T$5,$K281,$J281),daily_dates,0),MATCH($B$3,daily_items,0))),NA(),INDEX(big_daily_table,MATCH(DATE(T$5,$K281,$J281),daily_dates,0),MATCH($B$3,daily_items,0)))</f>
        <v>#N/A</v>
      </c>
      <c r="U281" s="1" t="str">
        <f t="array" ref="U281">IF(ISBLANK(INDEX(big_daily_table,MATCH(DATE(U$5,$K281,$J281),daily_dates,0),MATCH($B$3,daily_items,0))),NA(),INDEX(big_daily_table,MATCH(DATE(U$5,$K281,$J281),daily_dates,0),MATCH($B$3,daily_items,0)))</f>
        <v>#N/A</v>
      </c>
      <c r="V281" s="1" t="str">
        <f t="array" ref="V281">IF(ISBLANK(INDEX(big_daily_table,MATCH(DATE(V$5,$K281,$J281),daily_dates,0),MATCH($B$3,daily_items,0))),NA(),INDEX(big_daily_table,MATCH(DATE(V$5,$K281,$J281),daily_dates,0),MATCH($B$3,daily_items,0)))</f>
        <v>#N/A</v>
      </c>
      <c r="W281" s="1" t="str">
        <f t="array" ref="W281">IF(ISBLANK(INDEX(big_daily_table,MATCH(DATE(W$5,$K281,$J281),daily_dates,0),MATCH($B$3,daily_items,0))),NA(),INDEX(big_daily_table,MATCH(DATE(W$5,$K281,$J281),daily_dates,0),MATCH($B$3,daily_items,0)))</f>
        <v>#N/A</v>
      </c>
      <c r="X281" s="1" t="str">
        <f t="array" ref="X281">IF(ISBLANK(INDEX(big_daily_table,MATCH(DATE(X$5,$K281,$J281),daily_dates,0),MATCH($B$3,daily_items,0))),NA(),INDEX(big_daily_table,MATCH(DATE(X$5,$K281,$J281),daily_dates,0),MATCH($B$3,daily_items,0)))</f>
        <v>#N/A</v>
      </c>
      <c r="Y281" s="1" t="str">
        <f t="array" ref="Y281">IF(ISBLANK(INDEX(big_daily_table,MATCH(DATE(Y$5,$K281,$J281),daily_dates,0),MATCH($B$3,daily_items,0))),NA(),INDEX(big_daily_table,MATCH(DATE(Y$5,$K281,$J281),daily_dates,0),MATCH($B$3,daily_items,0)))</f>
        <v>#N/A</v>
      </c>
      <c r="Z281" s="1" t="str">
        <f t="array" ref="Z281">IF(ISBLANK(INDEX(big_daily_table,MATCH(DATE(Z$5,$K281,$J281),daily_dates,0),MATCH($B$3,daily_items,0))),NA(),INDEX(big_daily_table,MATCH(DATE(Z$5,$K281,$J281),daily_dates,0),MATCH($B$3,daily_items,0)))</f>
        <v>#N/A</v>
      </c>
      <c r="AA281" s="1" t="str">
        <f t="shared" si="5"/>
        <v>#NAME?</v>
      </c>
      <c r="AB281" s="1" t="str">
        <f t="shared" si="6"/>
        <v>#NAME?</v>
      </c>
      <c r="AC281" s="1" t="str">
        <f t="shared" si="7"/>
        <v>#NAME?</v>
      </c>
      <c r="AD281" s="1" t="str">
        <f t="shared" si="8"/>
        <v>#NAME?</v>
      </c>
    </row>
    <row r="282" ht="14.25" customHeight="1">
      <c r="H282" s="1">
        <f t="shared" si="9"/>
        <v>277</v>
      </c>
      <c r="I282" s="1">
        <f>WEEKDAY('daily graphs'!K282)</f>
        <v>3</v>
      </c>
      <c r="J282" s="1">
        <f t="shared" si="2"/>
        <v>30</v>
      </c>
      <c r="K282" s="1">
        <f t="shared" si="3"/>
        <v>9</v>
      </c>
      <c r="L282" s="23">
        <f>'daily graphs'!K282 - I282</f>
        <v>36799</v>
      </c>
      <c r="M282" s="24">
        <f t="shared" si="4"/>
        <v>1000000</v>
      </c>
      <c r="N282" s="24" t="str">
        <f t="array" ref="N282">IF(M282&gt;0,INDEX(big_daily_table,MATCH(DATE(O$5,$K282,$J282),daily_dates,0),MATCH($B$3,daily_items,0)),NA())</f>
        <v>#N/A</v>
      </c>
      <c r="O282" s="1" t="str">
        <f t="array" ref="O282">IF(M282&lt;0,INDEX(big_daily_table,MATCH(DATE(O$5,$K282,$J282),daily_dates,0),MATCH($B$3,daily_items,0)),NA())</f>
        <v>#N/A</v>
      </c>
      <c r="P282" s="1" t="str">
        <f t="array" ref="P282">IF(ISBLANK(INDEX(big_daily_table,MATCH(DATE(P$5,$K282,$J282),daily_dates,0),MATCH($B$3,daily_items,0))),NA(),INDEX(big_daily_table,MATCH(DATE(P$5,$K282,$J282),daily_dates,0),MATCH($B$3,daily_items,0)))</f>
        <v>#N/A</v>
      </c>
      <c r="Q282" s="1" t="str">
        <f t="array" ref="Q282">IF(ISBLANK(INDEX(big_daily_table,MATCH(DATE(Q$5,$K282,$J282),daily_dates,0),MATCH($B$3,daily_items,0))),NA(),INDEX(big_daily_table,MATCH(DATE(Q$5,$K282,$J282),daily_dates,0),MATCH($B$3,daily_items,0)))</f>
        <v>#N/A</v>
      </c>
      <c r="R282" s="1" t="str">
        <f t="array" ref="R282">IF(ISBLANK(INDEX(big_daily_table,MATCH(DATE(R$5,$K282,$J282),daily_dates,0),MATCH($B$3,daily_items,0))),NA(),INDEX(big_daily_table,MATCH(DATE(R$5,$K282,$J282),daily_dates,0),MATCH($B$3,daily_items,0)))</f>
        <v>#N/A</v>
      </c>
      <c r="S282" s="1" t="str">
        <f t="array" ref="S282">IF(ISBLANK(INDEX(big_daily_table,MATCH(DATE(S$5,$K282,$J282),daily_dates,0),MATCH($B$3,daily_items,0))),NA(),INDEX(big_daily_table,MATCH(DATE(S$5,$K282,$J282),daily_dates,0),MATCH($B$3,daily_items,0)))</f>
        <v>#N/A</v>
      </c>
      <c r="T282" s="1" t="str">
        <f t="array" ref="T282">IF(ISBLANK(INDEX(big_daily_table,MATCH(DATE(T$5,$K282,$J282),daily_dates,0),MATCH($B$3,daily_items,0))),NA(),INDEX(big_daily_table,MATCH(DATE(T$5,$K282,$J282),daily_dates,0),MATCH($B$3,daily_items,0)))</f>
        <v>#N/A</v>
      </c>
      <c r="U282" s="1" t="str">
        <f t="array" ref="U282">IF(ISBLANK(INDEX(big_daily_table,MATCH(DATE(U$5,$K282,$J282),daily_dates,0),MATCH($B$3,daily_items,0))),NA(),INDEX(big_daily_table,MATCH(DATE(U$5,$K282,$J282),daily_dates,0),MATCH($B$3,daily_items,0)))</f>
        <v>#N/A</v>
      </c>
      <c r="V282" s="1" t="str">
        <f t="array" ref="V282">IF(ISBLANK(INDEX(big_daily_table,MATCH(DATE(V$5,$K282,$J282),daily_dates,0),MATCH($B$3,daily_items,0))),NA(),INDEX(big_daily_table,MATCH(DATE(V$5,$K282,$J282),daily_dates,0),MATCH($B$3,daily_items,0)))</f>
        <v>#N/A</v>
      </c>
      <c r="W282" s="1" t="str">
        <f t="array" ref="W282">IF(ISBLANK(INDEX(big_daily_table,MATCH(DATE(W$5,$K282,$J282),daily_dates,0),MATCH($B$3,daily_items,0))),NA(),INDEX(big_daily_table,MATCH(DATE(W$5,$K282,$J282),daily_dates,0),MATCH($B$3,daily_items,0)))</f>
        <v>#N/A</v>
      </c>
      <c r="X282" s="1" t="str">
        <f t="array" ref="X282">IF(ISBLANK(INDEX(big_daily_table,MATCH(DATE(X$5,$K282,$J282),daily_dates,0),MATCH($B$3,daily_items,0))),NA(),INDEX(big_daily_table,MATCH(DATE(X$5,$K282,$J282),daily_dates,0),MATCH($B$3,daily_items,0)))</f>
        <v>#N/A</v>
      </c>
      <c r="Y282" s="1" t="str">
        <f t="array" ref="Y282">IF(ISBLANK(INDEX(big_daily_table,MATCH(DATE(Y$5,$K282,$J282),daily_dates,0),MATCH($B$3,daily_items,0))),NA(),INDEX(big_daily_table,MATCH(DATE(Y$5,$K282,$J282),daily_dates,0),MATCH($B$3,daily_items,0)))</f>
        <v>#N/A</v>
      </c>
      <c r="Z282" s="1" t="str">
        <f t="array" ref="Z282">IF(ISBLANK(INDEX(big_daily_table,MATCH(DATE(Z$5,$K282,$J282),daily_dates,0),MATCH($B$3,daily_items,0))),NA(),INDEX(big_daily_table,MATCH(DATE(Z$5,$K282,$J282),daily_dates,0),MATCH($B$3,daily_items,0)))</f>
        <v>#N/A</v>
      </c>
      <c r="AA282" s="1" t="str">
        <f t="shared" si="5"/>
        <v>#NAME?</v>
      </c>
      <c r="AB282" s="1" t="str">
        <f t="shared" si="6"/>
        <v>#NAME?</v>
      </c>
      <c r="AC282" s="1" t="str">
        <f t="shared" si="7"/>
        <v>#NAME?</v>
      </c>
      <c r="AD282" s="1" t="str">
        <f t="shared" si="8"/>
        <v>#NAME?</v>
      </c>
    </row>
    <row r="283" ht="14.25" customHeight="1">
      <c r="H283" s="1">
        <f t="shared" si="9"/>
        <v>278</v>
      </c>
      <c r="I283" s="1">
        <f>WEEKDAY('daily graphs'!K283)</f>
        <v>4</v>
      </c>
      <c r="J283" s="1">
        <f t="shared" si="2"/>
        <v>30</v>
      </c>
      <c r="K283" s="1">
        <f t="shared" si="3"/>
        <v>9</v>
      </c>
      <c r="L283" s="23">
        <f>'daily graphs'!K283 - I283</f>
        <v>36799</v>
      </c>
      <c r="M283" s="24">
        <f t="shared" si="4"/>
        <v>1000000</v>
      </c>
      <c r="N283" s="24" t="str">
        <f t="array" ref="N283">IF(M283&gt;0,INDEX(big_daily_table,MATCH(DATE(O$5,$K283,$J283),daily_dates,0),MATCH($B$3,daily_items,0)),NA())</f>
        <v>#N/A</v>
      </c>
      <c r="O283" s="1" t="str">
        <f t="array" ref="O283">IF(M283&lt;0,INDEX(big_daily_table,MATCH(DATE(O$5,$K283,$J283),daily_dates,0),MATCH($B$3,daily_items,0)),NA())</f>
        <v>#N/A</v>
      </c>
      <c r="P283" s="1" t="str">
        <f t="array" ref="P283">IF(ISBLANK(INDEX(big_daily_table,MATCH(DATE(P$5,$K283,$J283),daily_dates,0),MATCH($B$3,daily_items,0))),NA(),INDEX(big_daily_table,MATCH(DATE(P$5,$K283,$J283),daily_dates,0),MATCH($B$3,daily_items,0)))</f>
        <v>#N/A</v>
      </c>
      <c r="Q283" s="1" t="str">
        <f t="array" ref="Q283">IF(ISBLANK(INDEX(big_daily_table,MATCH(DATE(Q$5,$K283,$J283),daily_dates,0),MATCH($B$3,daily_items,0))),NA(),INDEX(big_daily_table,MATCH(DATE(Q$5,$K283,$J283),daily_dates,0),MATCH($B$3,daily_items,0)))</f>
        <v>#N/A</v>
      </c>
      <c r="R283" s="1" t="str">
        <f t="array" ref="R283">IF(ISBLANK(INDEX(big_daily_table,MATCH(DATE(R$5,$K283,$J283),daily_dates,0),MATCH($B$3,daily_items,0))),NA(),INDEX(big_daily_table,MATCH(DATE(R$5,$K283,$J283),daily_dates,0),MATCH($B$3,daily_items,0)))</f>
        <v>#N/A</v>
      </c>
      <c r="S283" s="1" t="str">
        <f t="array" ref="S283">IF(ISBLANK(INDEX(big_daily_table,MATCH(DATE(S$5,$K283,$J283),daily_dates,0),MATCH($B$3,daily_items,0))),NA(),INDEX(big_daily_table,MATCH(DATE(S$5,$K283,$J283),daily_dates,0),MATCH($B$3,daily_items,0)))</f>
        <v>#N/A</v>
      </c>
      <c r="T283" s="1" t="str">
        <f t="array" ref="T283">IF(ISBLANK(INDEX(big_daily_table,MATCH(DATE(T$5,$K283,$J283),daily_dates,0),MATCH($B$3,daily_items,0))),NA(),INDEX(big_daily_table,MATCH(DATE(T$5,$K283,$J283),daily_dates,0),MATCH($B$3,daily_items,0)))</f>
        <v>#N/A</v>
      </c>
      <c r="U283" s="1" t="str">
        <f t="array" ref="U283">IF(ISBLANK(INDEX(big_daily_table,MATCH(DATE(U$5,$K283,$J283),daily_dates,0),MATCH($B$3,daily_items,0))),NA(),INDEX(big_daily_table,MATCH(DATE(U$5,$K283,$J283),daily_dates,0),MATCH($B$3,daily_items,0)))</f>
        <v>#N/A</v>
      </c>
      <c r="V283" s="1" t="str">
        <f t="array" ref="V283">IF(ISBLANK(INDEX(big_daily_table,MATCH(DATE(V$5,$K283,$J283),daily_dates,0),MATCH($B$3,daily_items,0))),NA(),INDEX(big_daily_table,MATCH(DATE(V$5,$K283,$J283),daily_dates,0),MATCH($B$3,daily_items,0)))</f>
        <v>#N/A</v>
      </c>
      <c r="W283" s="1" t="str">
        <f t="array" ref="W283">IF(ISBLANK(INDEX(big_daily_table,MATCH(DATE(W$5,$K283,$J283),daily_dates,0),MATCH($B$3,daily_items,0))),NA(),INDEX(big_daily_table,MATCH(DATE(W$5,$K283,$J283),daily_dates,0),MATCH($B$3,daily_items,0)))</f>
        <v>#N/A</v>
      </c>
      <c r="X283" s="1" t="str">
        <f t="array" ref="X283">IF(ISBLANK(INDEX(big_daily_table,MATCH(DATE(X$5,$K283,$J283),daily_dates,0),MATCH($B$3,daily_items,0))),NA(),INDEX(big_daily_table,MATCH(DATE(X$5,$K283,$J283),daily_dates,0),MATCH($B$3,daily_items,0)))</f>
        <v>#N/A</v>
      </c>
      <c r="Y283" s="1" t="str">
        <f t="array" ref="Y283">IF(ISBLANK(INDEX(big_daily_table,MATCH(DATE(Y$5,$K283,$J283),daily_dates,0),MATCH($B$3,daily_items,0))),NA(),INDEX(big_daily_table,MATCH(DATE(Y$5,$K283,$J283),daily_dates,0),MATCH($B$3,daily_items,0)))</f>
        <v>#N/A</v>
      </c>
      <c r="Z283" s="1" t="str">
        <f t="array" ref="Z283">IF(ISBLANK(INDEX(big_daily_table,MATCH(DATE(Z$5,$K283,$J283),daily_dates,0),MATCH($B$3,daily_items,0))),NA(),INDEX(big_daily_table,MATCH(DATE(Z$5,$K283,$J283),daily_dates,0),MATCH($B$3,daily_items,0)))</f>
        <v>#N/A</v>
      </c>
      <c r="AA283" s="1" t="str">
        <f t="shared" si="5"/>
        <v>#NAME?</v>
      </c>
      <c r="AB283" s="1" t="str">
        <f t="shared" si="6"/>
        <v>#NAME?</v>
      </c>
      <c r="AC283" s="1" t="str">
        <f t="shared" si="7"/>
        <v>#NAME?</v>
      </c>
      <c r="AD283" s="1" t="str">
        <f t="shared" si="8"/>
        <v>#NAME?</v>
      </c>
    </row>
    <row r="284" ht="14.25" customHeight="1">
      <c r="H284" s="1">
        <f t="shared" si="9"/>
        <v>279</v>
      </c>
      <c r="I284" s="1">
        <f>WEEKDAY('daily graphs'!K284)</f>
        <v>5</v>
      </c>
      <c r="J284" s="1">
        <f t="shared" si="2"/>
        <v>30</v>
      </c>
      <c r="K284" s="1">
        <f t="shared" si="3"/>
        <v>9</v>
      </c>
      <c r="L284" s="23">
        <f>'daily graphs'!K284 - I284</f>
        <v>36799</v>
      </c>
      <c r="M284" s="24">
        <f t="shared" si="4"/>
        <v>1000000</v>
      </c>
      <c r="N284" s="24" t="str">
        <f t="array" ref="N284">IF(M284&gt;0,INDEX(big_daily_table,MATCH(DATE(O$5,$K284,$J284),daily_dates,0),MATCH($B$3,daily_items,0)),NA())</f>
        <v>#N/A</v>
      </c>
      <c r="O284" s="1" t="str">
        <f t="array" ref="O284">IF(M284&lt;0,INDEX(big_daily_table,MATCH(DATE(O$5,$K284,$J284),daily_dates,0),MATCH($B$3,daily_items,0)),NA())</f>
        <v>#N/A</v>
      </c>
      <c r="P284" s="1" t="str">
        <f t="array" ref="P284">IF(ISBLANK(INDEX(big_daily_table,MATCH(DATE(P$5,$K284,$J284),daily_dates,0),MATCH($B$3,daily_items,0))),NA(),INDEX(big_daily_table,MATCH(DATE(P$5,$K284,$J284),daily_dates,0),MATCH($B$3,daily_items,0)))</f>
        <v>#N/A</v>
      </c>
      <c r="Q284" s="1" t="str">
        <f t="array" ref="Q284">IF(ISBLANK(INDEX(big_daily_table,MATCH(DATE(Q$5,$K284,$J284),daily_dates,0),MATCH($B$3,daily_items,0))),NA(),INDEX(big_daily_table,MATCH(DATE(Q$5,$K284,$J284),daily_dates,0),MATCH($B$3,daily_items,0)))</f>
        <v>#N/A</v>
      </c>
      <c r="R284" s="1" t="str">
        <f t="array" ref="R284">IF(ISBLANK(INDEX(big_daily_table,MATCH(DATE(R$5,$K284,$J284),daily_dates,0),MATCH($B$3,daily_items,0))),NA(),INDEX(big_daily_table,MATCH(DATE(R$5,$K284,$J284),daily_dates,0),MATCH($B$3,daily_items,0)))</f>
        <v>#N/A</v>
      </c>
      <c r="S284" s="1" t="str">
        <f t="array" ref="S284">IF(ISBLANK(INDEX(big_daily_table,MATCH(DATE(S$5,$K284,$J284),daily_dates,0),MATCH($B$3,daily_items,0))),NA(),INDEX(big_daily_table,MATCH(DATE(S$5,$K284,$J284),daily_dates,0),MATCH($B$3,daily_items,0)))</f>
        <v>#N/A</v>
      </c>
      <c r="T284" s="1" t="str">
        <f t="array" ref="T284">IF(ISBLANK(INDEX(big_daily_table,MATCH(DATE(T$5,$K284,$J284),daily_dates,0),MATCH($B$3,daily_items,0))),NA(),INDEX(big_daily_table,MATCH(DATE(T$5,$K284,$J284),daily_dates,0),MATCH($B$3,daily_items,0)))</f>
        <v>#N/A</v>
      </c>
      <c r="U284" s="1" t="str">
        <f t="array" ref="U284">IF(ISBLANK(INDEX(big_daily_table,MATCH(DATE(U$5,$K284,$J284),daily_dates,0),MATCH($B$3,daily_items,0))),NA(),INDEX(big_daily_table,MATCH(DATE(U$5,$K284,$J284),daily_dates,0),MATCH($B$3,daily_items,0)))</f>
        <v>#N/A</v>
      </c>
      <c r="V284" s="1" t="str">
        <f t="array" ref="V284">IF(ISBLANK(INDEX(big_daily_table,MATCH(DATE(V$5,$K284,$J284),daily_dates,0),MATCH($B$3,daily_items,0))),NA(),INDEX(big_daily_table,MATCH(DATE(V$5,$K284,$J284),daily_dates,0),MATCH($B$3,daily_items,0)))</f>
        <v>#N/A</v>
      </c>
      <c r="W284" s="1" t="str">
        <f t="array" ref="W284">IF(ISBLANK(INDEX(big_daily_table,MATCH(DATE(W$5,$K284,$J284),daily_dates,0),MATCH($B$3,daily_items,0))),NA(),INDEX(big_daily_table,MATCH(DATE(W$5,$K284,$J284),daily_dates,0),MATCH($B$3,daily_items,0)))</f>
        <v>#N/A</v>
      </c>
      <c r="X284" s="1" t="str">
        <f t="array" ref="X284">IF(ISBLANK(INDEX(big_daily_table,MATCH(DATE(X$5,$K284,$J284),daily_dates,0),MATCH($B$3,daily_items,0))),NA(),INDEX(big_daily_table,MATCH(DATE(X$5,$K284,$J284),daily_dates,0),MATCH($B$3,daily_items,0)))</f>
        <v>#N/A</v>
      </c>
      <c r="Y284" s="1" t="str">
        <f t="array" ref="Y284">IF(ISBLANK(INDEX(big_daily_table,MATCH(DATE(Y$5,$K284,$J284),daily_dates,0),MATCH($B$3,daily_items,0))),NA(),INDEX(big_daily_table,MATCH(DATE(Y$5,$K284,$J284),daily_dates,0),MATCH($B$3,daily_items,0)))</f>
        <v>#N/A</v>
      </c>
      <c r="Z284" s="1" t="str">
        <f t="array" ref="Z284">IF(ISBLANK(INDEX(big_daily_table,MATCH(DATE(Z$5,$K284,$J284),daily_dates,0),MATCH($B$3,daily_items,0))),NA(),INDEX(big_daily_table,MATCH(DATE(Z$5,$K284,$J284),daily_dates,0),MATCH($B$3,daily_items,0)))</f>
        <v>#N/A</v>
      </c>
      <c r="AA284" s="1" t="str">
        <f t="shared" si="5"/>
        <v>#NAME?</v>
      </c>
      <c r="AB284" s="1" t="str">
        <f t="shared" si="6"/>
        <v>#NAME?</v>
      </c>
      <c r="AC284" s="1" t="str">
        <f t="shared" si="7"/>
        <v>#NAME?</v>
      </c>
      <c r="AD284" s="1" t="str">
        <f t="shared" si="8"/>
        <v>#NAME?</v>
      </c>
    </row>
    <row r="285" ht="14.25" customHeight="1">
      <c r="H285" s="1">
        <f t="shared" si="9"/>
        <v>280</v>
      </c>
      <c r="I285" s="1">
        <f>WEEKDAY('daily graphs'!K285)</f>
        <v>6</v>
      </c>
      <c r="J285" s="1">
        <f t="shared" si="2"/>
        <v>30</v>
      </c>
      <c r="K285" s="1">
        <f t="shared" si="3"/>
        <v>9</v>
      </c>
      <c r="L285" s="23">
        <f>'daily graphs'!K285 - I285</f>
        <v>36799</v>
      </c>
      <c r="M285" s="24">
        <f t="shared" si="4"/>
        <v>1000000</v>
      </c>
      <c r="N285" s="24" t="str">
        <f t="array" ref="N285">IF(M285&gt;0,INDEX(big_daily_table,MATCH(DATE(O$5,$K285,$J285),daily_dates,0),MATCH($B$3,daily_items,0)),NA())</f>
        <v>#N/A</v>
      </c>
      <c r="O285" s="1" t="str">
        <f t="array" ref="O285">IF(M285&lt;0,INDEX(big_daily_table,MATCH(DATE(O$5,$K285,$J285),daily_dates,0),MATCH($B$3,daily_items,0)),NA())</f>
        <v>#N/A</v>
      </c>
      <c r="P285" s="1" t="str">
        <f t="array" ref="P285">IF(ISBLANK(INDEX(big_daily_table,MATCH(DATE(P$5,$K285,$J285),daily_dates,0),MATCH($B$3,daily_items,0))),NA(),INDEX(big_daily_table,MATCH(DATE(P$5,$K285,$J285),daily_dates,0),MATCH($B$3,daily_items,0)))</f>
        <v>#N/A</v>
      </c>
      <c r="Q285" s="1" t="str">
        <f t="array" ref="Q285">IF(ISBLANK(INDEX(big_daily_table,MATCH(DATE(Q$5,$K285,$J285),daily_dates,0),MATCH($B$3,daily_items,0))),NA(),INDEX(big_daily_table,MATCH(DATE(Q$5,$K285,$J285),daily_dates,0),MATCH($B$3,daily_items,0)))</f>
        <v>#N/A</v>
      </c>
      <c r="R285" s="1" t="str">
        <f t="array" ref="R285">IF(ISBLANK(INDEX(big_daily_table,MATCH(DATE(R$5,$K285,$J285),daily_dates,0),MATCH($B$3,daily_items,0))),NA(),INDEX(big_daily_table,MATCH(DATE(R$5,$K285,$J285),daily_dates,0),MATCH($B$3,daily_items,0)))</f>
        <v>#N/A</v>
      </c>
      <c r="S285" s="1" t="str">
        <f t="array" ref="S285">IF(ISBLANK(INDEX(big_daily_table,MATCH(DATE(S$5,$K285,$J285),daily_dates,0),MATCH($B$3,daily_items,0))),NA(),INDEX(big_daily_table,MATCH(DATE(S$5,$K285,$J285),daily_dates,0),MATCH($B$3,daily_items,0)))</f>
        <v>#N/A</v>
      </c>
      <c r="T285" s="1" t="str">
        <f t="array" ref="T285">IF(ISBLANK(INDEX(big_daily_table,MATCH(DATE(T$5,$K285,$J285),daily_dates,0),MATCH($B$3,daily_items,0))),NA(),INDEX(big_daily_table,MATCH(DATE(T$5,$K285,$J285),daily_dates,0),MATCH($B$3,daily_items,0)))</f>
        <v>#N/A</v>
      </c>
      <c r="U285" s="1" t="str">
        <f t="array" ref="U285">IF(ISBLANK(INDEX(big_daily_table,MATCH(DATE(U$5,$K285,$J285),daily_dates,0),MATCH($B$3,daily_items,0))),NA(),INDEX(big_daily_table,MATCH(DATE(U$5,$K285,$J285),daily_dates,0),MATCH($B$3,daily_items,0)))</f>
        <v>#N/A</v>
      </c>
      <c r="V285" s="1" t="str">
        <f t="array" ref="V285">IF(ISBLANK(INDEX(big_daily_table,MATCH(DATE(V$5,$K285,$J285),daily_dates,0),MATCH($B$3,daily_items,0))),NA(),INDEX(big_daily_table,MATCH(DATE(V$5,$K285,$J285),daily_dates,0),MATCH($B$3,daily_items,0)))</f>
        <v>#N/A</v>
      </c>
      <c r="W285" s="1" t="str">
        <f t="array" ref="W285">IF(ISBLANK(INDEX(big_daily_table,MATCH(DATE(W$5,$K285,$J285),daily_dates,0),MATCH($B$3,daily_items,0))),NA(),INDEX(big_daily_table,MATCH(DATE(W$5,$K285,$J285),daily_dates,0),MATCH($B$3,daily_items,0)))</f>
        <v>#N/A</v>
      </c>
      <c r="X285" s="1" t="str">
        <f t="array" ref="X285">IF(ISBLANK(INDEX(big_daily_table,MATCH(DATE(X$5,$K285,$J285),daily_dates,0),MATCH($B$3,daily_items,0))),NA(),INDEX(big_daily_table,MATCH(DATE(X$5,$K285,$J285),daily_dates,0),MATCH($B$3,daily_items,0)))</f>
        <v>#N/A</v>
      </c>
      <c r="Y285" s="1" t="str">
        <f t="array" ref="Y285">IF(ISBLANK(INDEX(big_daily_table,MATCH(DATE(Y$5,$K285,$J285),daily_dates,0),MATCH($B$3,daily_items,0))),NA(),INDEX(big_daily_table,MATCH(DATE(Y$5,$K285,$J285),daily_dates,0),MATCH($B$3,daily_items,0)))</f>
        <v>#N/A</v>
      </c>
      <c r="Z285" s="1" t="str">
        <f t="array" ref="Z285">IF(ISBLANK(INDEX(big_daily_table,MATCH(DATE(Z$5,$K285,$J285),daily_dates,0),MATCH($B$3,daily_items,0))),NA(),INDEX(big_daily_table,MATCH(DATE(Z$5,$K285,$J285),daily_dates,0),MATCH($B$3,daily_items,0)))</f>
        <v>#N/A</v>
      </c>
      <c r="AA285" s="1" t="str">
        <f t="shared" si="5"/>
        <v>#NAME?</v>
      </c>
      <c r="AB285" s="1" t="str">
        <f t="shared" si="6"/>
        <v>#NAME?</v>
      </c>
      <c r="AC285" s="1" t="str">
        <f t="shared" si="7"/>
        <v>#NAME?</v>
      </c>
      <c r="AD285" s="1" t="str">
        <f t="shared" si="8"/>
        <v>#NAME?</v>
      </c>
    </row>
    <row r="286" ht="14.25" customHeight="1">
      <c r="H286" s="1">
        <f t="shared" si="9"/>
        <v>281</v>
      </c>
      <c r="I286" s="1">
        <f>WEEKDAY('daily graphs'!K286)</f>
        <v>7</v>
      </c>
      <c r="J286" s="1">
        <f t="shared" si="2"/>
        <v>30</v>
      </c>
      <c r="K286" s="1">
        <f t="shared" si="3"/>
        <v>9</v>
      </c>
      <c r="L286" s="23">
        <f>'daily graphs'!K286 - I286</f>
        <v>36799</v>
      </c>
      <c r="M286" s="24">
        <f t="shared" si="4"/>
        <v>1000000</v>
      </c>
      <c r="N286" s="24" t="str">
        <f t="array" ref="N286">IF(M286&gt;0,INDEX(big_daily_table,MATCH(DATE(O$5,$K286,$J286),daily_dates,0),MATCH($B$3,daily_items,0)),NA())</f>
        <v>#N/A</v>
      </c>
      <c r="O286" s="1" t="str">
        <f t="array" ref="O286">IF(M286&lt;0,INDEX(big_daily_table,MATCH(DATE(O$5,$K286,$J286),daily_dates,0),MATCH($B$3,daily_items,0)),NA())</f>
        <v>#N/A</v>
      </c>
      <c r="P286" s="1" t="str">
        <f t="array" ref="P286">IF(ISBLANK(INDEX(big_daily_table,MATCH(DATE(P$5,$K286,$J286),daily_dates,0),MATCH($B$3,daily_items,0))),NA(),INDEX(big_daily_table,MATCH(DATE(P$5,$K286,$J286),daily_dates,0),MATCH($B$3,daily_items,0)))</f>
        <v>#N/A</v>
      </c>
      <c r="Q286" s="1" t="str">
        <f t="array" ref="Q286">IF(ISBLANK(INDEX(big_daily_table,MATCH(DATE(Q$5,$K286,$J286),daily_dates,0),MATCH($B$3,daily_items,0))),NA(),INDEX(big_daily_table,MATCH(DATE(Q$5,$K286,$J286),daily_dates,0),MATCH($B$3,daily_items,0)))</f>
        <v>#N/A</v>
      </c>
      <c r="R286" s="1" t="str">
        <f t="array" ref="R286">IF(ISBLANK(INDEX(big_daily_table,MATCH(DATE(R$5,$K286,$J286),daily_dates,0),MATCH($B$3,daily_items,0))),NA(),INDEX(big_daily_table,MATCH(DATE(R$5,$K286,$J286),daily_dates,0),MATCH($B$3,daily_items,0)))</f>
        <v>#N/A</v>
      </c>
      <c r="S286" s="1" t="str">
        <f t="array" ref="S286">IF(ISBLANK(INDEX(big_daily_table,MATCH(DATE(S$5,$K286,$J286),daily_dates,0),MATCH($B$3,daily_items,0))),NA(),INDEX(big_daily_table,MATCH(DATE(S$5,$K286,$J286),daily_dates,0),MATCH($B$3,daily_items,0)))</f>
        <v>#N/A</v>
      </c>
      <c r="T286" s="1" t="str">
        <f t="array" ref="T286">IF(ISBLANK(INDEX(big_daily_table,MATCH(DATE(T$5,$K286,$J286),daily_dates,0),MATCH($B$3,daily_items,0))),NA(),INDEX(big_daily_table,MATCH(DATE(T$5,$K286,$J286),daily_dates,0),MATCH($B$3,daily_items,0)))</f>
        <v>#N/A</v>
      </c>
      <c r="U286" s="1" t="str">
        <f t="array" ref="U286">IF(ISBLANK(INDEX(big_daily_table,MATCH(DATE(U$5,$K286,$J286),daily_dates,0),MATCH($B$3,daily_items,0))),NA(),INDEX(big_daily_table,MATCH(DATE(U$5,$K286,$J286),daily_dates,0),MATCH($B$3,daily_items,0)))</f>
        <v>#N/A</v>
      </c>
      <c r="V286" s="1" t="str">
        <f t="array" ref="V286">IF(ISBLANK(INDEX(big_daily_table,MATCH(DATE(V$5,$K286,$J286),daily_dates,0),MATCH($B$3,daily_items,0))),NA(),INDEX(big_daily_table,MATCH(DATE(V$5,$K286,$J286),daily_dates,0),MATCH($B$3,daily_items,0)))</f>
        <v>#N/A</v>
      </c>
      <c r="W286" s="1" t="str">
        <f t="array" ref="W286">IF(ISBLANK(INDEX(big_daily_table,MATCH(DATE(W$5,$K286,$J286),daily_dates,0),MATCH($B$3,daily_items,0))),NA(),INDEX(big_daily_table,MATCH(DATE(W$5,$K286,$J286),daily_dates,0),MATCH($B$3,daily_items,0)))</f>
        <v>#N/A</v>
      </c>
      <c r="X286" s="1" t="str">
        <f t="array" ref="X286">IF(ISBLANK(INDEX(big_daily_table,MATCH(DATE(X$5,$K286,$J286),daily_dates,0),MATCH($B$3,daily_items,0))),NA(),INDEX(big_daily_table,MATCH(DATE(X$5,$K286,$J286),daily_dates,0),MATCH($B$3,daily_items,0)))</f>
        <v>#N/A</v>
      </c>
      <c r="Y286" s="1" t="str">
        <f t="array" ref="Y286">IF(ISBLANK(INDEX(big_daily_table,MATCH(DATE(Y$5,$K286,$J286),daily_dates,0),MATCH($B$3,daily_items,0))),NA(),INDEX(big_daily_table,MATCH(DATE(Y$5,$K286,$J286),daily_dates,0),MATCH($B$3,daily_items,0)))</f>
        <v>#N/A</v>
      </c>
      <c r="Z286" s="1" t="str">
        <f t="array" ref="Z286">IF(ISBLANK(INDEX(big_daily_table,MATCH(DATE(Z$5,$K286,$J286),daily_dates,0),MATCH($B$3,daily_items,0))),NA(),INDEX(big_daily_table,MATCH(DATE(Z$5,$K286,$J286),daily_dates,0),MATCH($B$3,daily_items,0)))</f>
        <v>#N/A</v>
      </c>
      <c r="AA286" s="1" t="str">
        <f t="shared" si="5"/>
        <v>#NAME?</v>
      </c>
      <c r="AB286" s="1" t="str">
        <f t="shared" si="6"/>
        <v>#NAME?</v>
      </c>
      <c r="AC286" s="1" t="str">
        <f t="shared" si="7"/>
        <v>#NAME?</v>
      </c>
      <c r="AD286" s="1" t="str">
        <f t="shared" si="8"/>
        <v>#NAME?</v>
      </c>
    </row>
    <row r="287" ht="14.25" customHeight="1">
      <c r="H287" s="1">
        <f t="shared" si="9"/>
        <v>282</v>
      </c>
      <c r="I287" s="1">
        <f>WEEKDAY('daily graphs'!K287)</f>
        <v>1</v>
      </c>
      <c r="J287" s="1">
        <f t="shared" si="2"/>
        <v>7</v>
      </c>
      <c r="K287" s="1">
        <f t="shared" si="3"/>
        <v>10</v>
      </c>
      <c r="L287" s="23">
        <f>'daily graphs'!K287 - I287</f>
        <v>36806</v>
      </c>
      <c r="M287" s="24">
        <f t="shared" si="4"/>
        <v>1000000</v>
      </c>
      <c r="N287" s="24" t="str">
        <f t="array" ref="N287">IF(M287&gt;0,INDEX(big_daily_table,MATCH(DATE(O$5,$K287,$J287),daily_dates,0),MATCH($B$3,daily_items,0)),NA())</f>
        <v>#N/A</v>
      </c>
      <c r="O287" s="1" t="str">
        <f t="array" ref="O287">IF(M287&lt;0,INDEX(big_daily_table,MATCH(DATE(O$5,$K287,$J287),daily_dates,0),MATCH($B$3,daily_items,0)),NA())</f>
        <v>#N/A</v>
      </c>
      <c r="P287" s="1" t="str">
        <f t="array" ref="P287">IF(ISBLANK(INDEX(big_daily_table,MATCH(DATE(P$5,$K287,$J287),daily_dates,0),MATCH($B$3,daily_items,0))),NA(),INDEX(big_daily_table,MATCH(DATE(P$5,$K287,$J287),daily_dates,0),MATCH($B$3,daily_items,0)))</f>
        <v>#N/A</v>
      </c>
      <c r="Q287" s="1" t="str">
        <f t="array" ref="Q287">IF(ISBLANK(INDEX(big_daily_table,MATCH(DATE(Q$5,$K287,$J287),daily_dates,0),MATCH($B$3,daily_items,0))),NA(),INDEX(big_daily_table,MATCH(DATE(Q$5,$K287,$J287),daily_dates,0),MATCH($B$3,daily_items,0)))</f>
        <v>#N/A</v>
      </c>
      <c r="R287" s="1" t="str">
        <f t="array" ref="R287">IF(ISBLANK(INDEX(big_daily_table,MATCH(DATE(R$5,$K287,$J287),daily_dates,0),MATCH($B$3,daily_items,0))),NA(),INDEX(big_daily_table,MATCH(DATE(R$5,$K287,$J287),daily_dates,0),MATCH($B$3,daily_items,0)))</f>
        <v>#N/A</v>
      </c>
      <c r="S287" s="1" t="str">
        <f t="array" ref="S287">IF(ISBLANK(INDEX(big_daily_table,MATCH(DATE(S$5,$K287,$J287),daily_dates,0),MATCH($B$3,daily_items,0))),NA(),INDEX(big_daily_table,MATCH(DATE(S$5,$K287,$J287),daily_dates,0),MATCH($B$3,daily_items,0)))</f>
        <v>#N/A</v>
      </c>
      <c r="T287" s="1" t="str">
        <f t="array" ref="T287">IF(ISBLANK(INDEX(big_daily_table,MATCH(DATE(T$5,$K287,$J287),daily_dates,0),MATCH($B$3,daily_items,0))),NA(),INDEX(big_daily_table,MATCH(DATE(T$5,$K287,$J287),daily_dates,0),MATCH($B$3,daily_items,0)))</f>
        <v>#N/A</v>
      </c>
      <c r="U287" s="1" t="str">
        <f t="array" ref="U287">IF(ISBLANK(INDEX(big_daily_table,MATCH(DATE(U$5,$K287,$J287),daily_dates,0),MATCH($B$3,daily_items,0))),NA(),INDEX(big_daily_table,MATCH(DATE(U$5,$K287,$J287),daily_dates,0),MATCH($B$3,daily_items,0)))</f>
        <v>#N/A</v>
      </c>
      <c r="V287" s="1" t="str">
        <f t="array" ref="V287">IF(ISBLANK(INDEX(big_daily_table,MATCH(DATE(V$5,$K287,$J287),daily_dates,0),MATCH($B$3,daily_items,0))),NA(),INDEX(big_daily_table,MATCH(DATE(V$5,$K287,$J287),daily_dates,0),MATCH($B$3,daily_items,0)))</f>
        <v>#N/A</v>
      </c>
      <c r="W287" s="1" t="str">
        <f t="array" ref="W287">IF(ISBLANK(INDEX(big_daily_table,MATCH(DATE(W$5,$K287,$J287),daily_dates,0),MATCH($B$3,daily_items,0))),NA(),INDEX(big_daily_table,MATCH(DATE(W$5,$K287,$J287),daily_dates,0),MATCH($B$3,daily_items,0)))</f>
        <v>#N/A</v>
      </c>
      <c r="X287" s="1" t="str">
        <f t="array" ref="X287">IF(ISBLANK(INDEX(big_daily_table,MATCH(DATE(X$5,$K287,$J287),daily_dates,0),MATCH($B$3,daily_items,0))),NA(),INDEX(big_daily_table,MATCH(DATE(X$5,$K287,$J287),daily_dates,0),MATCH($B$3,daily_items,0)))</f>
        <v>#N/A</v>
      </c>
      <c r="Y287" s="1" t="str">
        <f t="array" ref="Y287">IF(ISBLANK(INDEX(big_daily_table,MATCH(DATE(Y$5,$K287,$J287),daily_dates,0),MATCH($B$3,daily_items,0))),NA(),INDEX(big_daily_table,MATCH(DATE(Y$5,$K287,$J287),daily_dates,0),MATCH($B$3,daily_items,0)))</f>
        <v>#N/A</v>
      </c>
      <c r="Z287" s="1" t="str">
        <f t="array" ref="Z287">IF(ISBLANK(INDEX(big_daily_table,MATCH(DATE(Z$5,$K287,$J287),daily_dates,0),MATCH($B$3,daily_items,0))),NA(),INDEX(big_daily_table,MATCH(DATE(Z$5,$K287,$J287),daily_dates,0),MATCH($B$3,daily_items,0)))</f>
        <v>#N/A</v>
      </c>
      <c r="AA287" s="1" t="str">
        <f t="shared" si="5"/>
        <v>#NAME?</v>
      </c>
      <c r="AB287" s="1" t="str">
        <f t="shared" si="6"/>
        <v>#NAME?</v>
      </c>
      <c r="AC287" s="1" t="str">
        <f t="shared" si="7"/>
        <v>#NAME?</v>
      </c>
      <c r="AD287" s="1" t="str">
        <f t="shared" si="8"/>
        <v>#NAME?</v>
      </c>
    </row>
    <row r="288" ht="14.25" customHeight="1">
      <c r="H288" s="1">
        <f t="shared" si="9"/>
        <v>283</v>
      </c>
      <c r="I288" s="1">
        <f>WEEKDAY('daily graphs'!K288)</f>
        <v>2</v>
      </c>
      <c r="J288" s="1">
        <f t="shared" si="2"/>
        <v>7</v>
      </c>
      <c r="K288" s="1">
        <f t="shared" si="3"/>
        <v>10</v>
      </c>
      <c r="L288" s="23">
        <f>'daily graphs'!K288 - I288</f>
        <v>36806</v>
      </c>
      <c r="M288" s="24">
        <f t="shared" si="4"/>
        <v>1000000</v>
      </c>
      <c r="N288" s="24" t="str">
        <f t="array" ref="N288">IF(M288&gt;0,INDEX(big_daily_table,MATCH(DATE(O$5,$K288,$J288),daily_dates,0),MATCH($B$3,daily_items,0)),NA())</f>
        <v>#N/A</v>
      </c>
      <c r="O288" s="1" t="str">
        <f t="array" ref="O288">IF(M288&lt;0,INDEX(big_daily_table,MATCH(DATE(O$5,$K288,$J288),daily_dates,0),MATCH($B$3,daily_items,0)),NA())</f>
        <v>#N/A</v>
      </c>
      <c r="P288" s="1" t="str">
        <f t="array" ref="P288">IF(ISBLANK(INDEX(big_daily_table,MATCH(DATE(P$5,$K288,$J288),daily_dates,0),MATCH($B$3,daily_items,0))),NA(),INDEX(big_daily_table,MATCH(DATE(P$5,$K288,$J288),daily_dates,0),MATCH($B$3,daily_items,0)))</f>
        <v>#N/A</v>
      </c>
      <c r="Q288" s="1" t="str">
        <f t="array" ref="Q288">IF(ISBLANK(INDEX(big_daily_table,MATCH(DATE(Q$5,$K288,$J288),daily_dates,0),MATCH($B$3,daily_items,0))),NA(),INDEX(big_daily_table,MATCH(DATE(Q$5,$K288,$J288),daily_dates,0),MATCH($B$3,daily_items,0)))</f>
        <v>#N/A</v>
      </c>
      <c r="R288" s="1" t="str">
        <f t="array" ref="R288">IF(ISBLANK(INDEX(big_daily_table,MATCH(DATE(R$5,$K288,$J288),daily_dates,0),MATCH($B$3,daily_items,0))),NA(),INDEX(big_daily_table,MATCH(DATE(R$5,$K288,$J288),daily_dates,0),MATCH($B$3,daily_items,0)))</f>
        <v>#N/A</v>
      </c>
      <c r="S288" s="1" t="str">
        <f t="array" ref="S288">IF(ISBLANK(INDEX(big_daily_table,MATCH(DATE(S$5,$K288,$J288),daily_dates,0),MATCH($B$3,daily_items,0))),NA(),INDEX(big_daily_table,MATCH(DATE(S$5,$K288,$J288),daily_dates,0),MATCH($B$3,daily_items,0)))</f>
        <v>#N/A</v>
      </c>
      <c r="T288" s="1" t="str">
        <f t="array" ref="T288">IF(ISBLANK(INDEX(big_daily_table,MATCH(DATE(T$5,$K288,$J288),daily_dates,0),MATCH($B$3,daily_items,0))),NA(),INDEX(big_daily_table,MATCH(DATE(T$5,$K288,$J288),daily_dates,0),MATCH($B$3,daily_items,0)))</f>
        <v>#N/A</v>
      </c>
      <c r="U288" s="1" t="str">
        <f t="array" ref="U288">IF(ISBLANK(INDEX(big_daily_table,MATCH(DATE(U$5,$K288,$J288),daily_dates,0),MATCH($B$3,daily_items,0))),NA(),INDEX(big_daily_table,MATCH(DATE(U$5,$K288,$J288),daily_dates,0),MATCH($B$3,daily_items,0)))</f>
        <v>#N/A</v>
      </c>
      <c r="V288" s="1" t="str">
        <f t="array" ref="V288">IF(ISBLANK(INDEX(big_daily_table,MATCH(DATE(V$5,$K288,$J288),daily_dates,0),MATCH($B$3,daily_items,0))),NA(),INDEX(big_daily_table,MATCH(DATE(V$5,$K288,$J288),daily_dates,0),MATCH($B$3,daily_items,0)))</f>
        <v>#N/A</v>
      </c>
      <c r="W288" s="1" t="str">
        <f t="array" ref="W288">IF(ISBLANK(INDEX(big_daily_table,MATCH(DATE(W$5,$K288,$J288),daily_dates,0),MATCH($B$3,daily_items,0))),NA(),INDEX(big_daily_table,MATCH(DATE(W$5,$K288,$J288),daily_dates,0),MATCH($B$3,daily_items,0)))</f>
        <v>#N/A</v>
      </c>
      <c r="X288" s="1" t="str">
        <f t="array" ref="X288">IF(ISBLANK(INDEX(big_daily_table,MATCH(DATE(X$5,$K288,$J288),daily_dates,0),MATCH($B$3,daily_items,0))),NA(),INDEX(big_daily_table,MATCH(DATE(X$5,$K288,$J288),daily_dates,0),MATCH($B$3,daily_items,0)))</f>
        <v>#N/A</v>
      </c>
      <c r="Y288" s="1" t="str">
        <f t="array" ref="Y288">IF(ISBLANK(INDEX(big_daily_table,MATCH(DATE(Y$5,$K288,$J288),daily_dates,0),MATCH($B$3,daily_items,0))),NA(),INDEX(big_daily_table,MATCH(DATE(Y$5,$K288,$J288),daily_dates,0),MATCH($B$3,daily_items,0)))</f>
        <v>#N/A</v>
      </c>
      <c r="Z288" s="1" t="str">
        <f t="array" ref="Z288">IF(ISBLANK(INDEX(big_daily_table,MATCH(DATE(Z$5,$K288,$J288),daily_dates,0),MATCH($B$3,daily_items,0))),NA(),INDEX(big_daily_table,MATCH(DATE(Z$5,$K288,$J288),daily_dates,0),MATCH($B$3,daily_items,0)))</f>
        <v>#N/A</v>
      </c>
      <c r="AA288" s="1" t="str">
        <f t="shared" si="5"/>
        <v>#NAME?</v>
      </c>
      <c r="AB288" s="1" t="str">
        <f t="shared" si="6"/>
        <v>#NAME?</v>
      </c>
      <c r="AC288" s="1" t="str">
        <f t="shared" si="7"/>
        <v>#NAME?</v>
      </c>
      <c r="AD288" s="1" t="str">
        <f t="shared" si="8"/>
        <v>#NAME?</v>
      </c>
    </row>
    <row r="289" ht="14.25" customHeight="1">
      <c r="H289" s="1">
        <f t="shared" si="9"/>
        <v>284</v>
      </c>
      <c r="I289" s="1">
        <f>WEEKDAY('daily graphs'!K289)</f>
        <v>3</v>
      </c>
      <c r="J289" s="1">
        <f t="shared" si="2"/>
        <v>7</v>
      </c>
      <c r="K289" s="1">
        <f t="shared" si="3"/>
        <v>10</v>
      </c>
      <c r="L289" s="23">
        <f>'daily graphs'!K289 - I289</f>
        <v>36806</v>
      </c>
      <c r="M289" s="24">
        <f t="shared" si="4"/>
        <v>1000000</v>
      </c>
      <c r="N289" s="24" t="str">
        <f t="array" ref="N289">IF(M289&gt;0,INDEX(big_daily_table,MATCH(DATE(O$5,$K289,$J289),daily_dates,0),MATCH($B$3,daily_items,0)),NA())</f>
        <v>#N/A</v>
      </c>
      <c r="O289" s="1" t="str">
        <f t="array" ref="O289">IF(M289&lt;0,INDEX(big_daily_table,MATCH(DATE(O$5,$K289,$J289),daily_dates,0),MATCH($B$3,daily_items,0)),NA())</f>
        <v>#N/A</v>
      </c>
      <c r="P289" s="1" t="str">
        <f t="array" ref="P289">IF(ISBLANK(INDEX(big_daily_table,MATCH(DATE(P$5,$K289,$J289),daily_dates,0),MATCH($B$3,daily_items,0))),NA(),INDEX(big_daily_table,MATCH(DATE(P$5,$K289,$J289),daily_dates,0),MATCH($B$3,daily_items,0)))</f>
        <v>#N/A</v>
      </c>
      <c r="Q289" s="1" t="str">
        <f t="array" ref="Q289">IF(ISBLANK(INDEX(big_daily_table,MATCH(DATE(Q$5,$K289,$J289),daily_dates,0),MATCH($B$3,daily_items,0))),NA(),INDEX(big_daily_table,MATCH(DATE(Q$5,$K289,$J289),daily_dates,0),MATCH($B$3,daily_items,0)))</f>
        <v>#N/A</v>
      </c>
      <c r="R289" s="1" t="str">
        <f t="array" ref="R289">IF(ISBLANK(INDEX(big_daily_table,MATCH(DATE(R$5,$K289,$J289),daily_dates,0),MATCH($B$3,daily_items,0))),NA(),INDEX(big_daily_table,MATCH(DATE(R$5,$K289,$J289),daily_dates,0),MATCH($B$3,daily_items,0)))</f>
        <v>#N/A</v>
      </c>
      <c r="S289" s="1" t="str">
        <f t="array" ref="S289">IF(ISBLANK(INDEX(big_daily_table,MATCH(DATE(S$5,$K289,$J289),daily_dates,0),MATCH($B$3,daily_items,0))),NA(),INDEX(big_daily_table,MATCH(DATE(S$5,$K289,$J289),daily_dates,0),MATCH($B$3,daily_items,0)))</f>
        <v>#N/A</v>
      </c>
      <c r="T289" s="1" t="str">
        <f t="array" ref="T289">IF(ISBLANK(INDEX(big_daily_table,MATCH(DATE(T$5,$K289,$J289),daily_dates,0),MATCH($B$3,daily_items,0))),NA(),INDEX(big_daily_table,MATCH(DATE(T$5,$K289,$J289),daily_dates,0),MATCH($B$3,daily_items,0)))</f>
        <v>#N/A</v>
      </c>
      <c r="U289" s="1" t="str">
        <f t="array" ref="U289">IF(ISBLANK(INDEX(big_daily_table,MATCH(DATE(U$5,$K289,$J289),daily_dates,0),MATCH($B$3,daily_items,0))),NA(),INDEX(big_daily_table,MATCH(DATE(U$5,$K289,$J289),daily_dates,0),MATCH($B$3,daily_items,0)))</f>
        <v>#N/A</v>
      </c>
      <c r="V289" s="1" t="str">
        <f t="array" ref="V289">IF(ISBLANK(INDEX(big_daily_table,MATCH(DATE(V$5,$K289,$J289),daily_dates,0),MATCH($B$3,daily_items,0))),NA(),INDEX(big_daily_table,MATCH(DATE(V$5,$K289,$J289),daily_dates,0),MATCH($B$3,daily_items,0)))</f>
        <v>#N/A</v>
      </c>
      <c r="W289" s="1" t="str">
        <f t="array" ref="W289">IF(ISBLANK(INDEX(big_daily_table,MATCH(DATE(W$5,$K289,$J289),daily_dates,0),MATCH($B$3,daily_items,0))),NA(),INDEX(big_daily_table,MATCH(DATE(W$5,$K289,$J289),daily_dates,0),MATCH($B$3,daily_items,0)))</f>
        <v>#N/A</v>
      </c>
      <c r="X289" s="1" t="str">
        <f t="array" ref="X289">IF(ISBLANK(INDEX(big_daily_table,MATCH(DATE(X$5,$K289,$J289),daily_dates,0),MATCH($B$3,daily_items,0))),NA(),INDEX(big_daily_table,MATCH(DATE(X$5,$K289,$J289),daily_dates,0),MATCH($B$3,daily_items,0)))</f>
        <v>#N/A</v>
      </c>
      <c r="Y289" s="1" t="str">
        <f t="array" ref="Y289">IF(ISBLANK(INDEX(big_daily_table,MATCH(DATE(Y$5,$K289,$J289),daily_dates,0),MATCH($B$3,daily_items,0))),NA(),INDEX(big_daily_table,MATCH(DATE(Y$5,$K289,$J289),daily_dates,0),MATCH($B$3,daily_items,0)))</f>
        <v>#N/A</v>
      </c>
      <c r="Z289" s="1" t="str">
        <f t="array" ref="Z289">IF(ISBLANK(INDEX(big_daily_table,MATCH(DATE(Z$5,$K289,$J289),daily_dates,0),MATCH($B$3,daily_items,0))),NA(),INDEX(big_daily_table,MATCH(DATE(Z$5,$K289,$J289),daily_dates,0),MATCH($B$3,daily_items,0)))</f>
        <v>#N/A</v>
      </c>
      <c r="AA289" s="1" t="str">
        <f t="shared" si="5"/>
        <v>#NAME?</v>
      </c>
      <c r="AB289" s="1" t="str">
        <f t="shared" si="6"/>
        <v>#NAME?</v>
      </c>
      <c r="AC289" s="1" t="str">
        <f t="shared" si="7"/>
        <v>#NAME?</v>
      </c>
      <c r="AD289" s="1" t="str">
        <f t="shared" si="8"/>
        <v>#NAME?</v>
      </c>
    </row>
    <row r="290" ht="14.25" customHeight="1">
      <c r="H290" s="1">
        <f t="shared" si="9"/>
        <v>285</v>
      </c>
      <c r="I290" s="1">
        <f>WEEKDAY('daily graphs'!K290)</f>
        <v>4</v>
      </c>
      <c r="J290" s="1">
        <f t="shared" si="2"/>
        <v>7</v>
      </c>
      <c r="K290" s="1">
        <f t="shared" si="3"/>
        <v>10</v>
      </c>
      <c r="L290" s="23">
        <f>'daily graphs'!K290 - I290</f>
        <v>36806</v>
      </c>
      <c r="M290" s="24">
        <f t="shared" si="4"/>
        <v>1000000</v>
      </c>
      <c r="N290" s="24" t="str">
        <f t="array" ref="N290">IF(M290&gt;0,INDEX(big_daily_table,MATCH(DATE(O$5,$K290,$J290),daily_dates,0),MATCH($B$3,daily_items,0)),NA())</f>
        <v>#N/A</v>
      </c>
      <c r="O290" s="1" t="str">
        <f t="array" ref="O290">IF(M290&lt;0,INDEX(big_daily_table,MATCH(DATE(O$5,$K290,$J290),daily_dates,0),MATCH($B$3,daily_items,0)),NA())</f>
        <v>#N/A</v>
      </c>
      <c r="P290" s="1" t="str">
        <f t="array" ref="P290">IF(ISBLANK(INDEX(big_daily_table,MATCH(DATE(P$5,$K290,$J290),daily_dates,0),MATCH($B$3,daily_items,0))),NA(),INDEX(big_daily_table,MATCH(DATE(P$5,$K290,$J290),daily_dates,0),MATCH($B$3,daily_items,0)))</f>
        <v>#N/A</v>
      </c>
      <c r="Q290" s="1" t="str">
        <f t="array" ref="Q290">IF(ISBLANK(INDEX(big_daily_table,MATCH(DATE(Q$5,$K290,$J290),daily_dates,0),MATCH($B$3,daily_items,0))),NA(),INDEX(big_daily_table,MATCH(DATE(Q$5,$K290,$J290),daily_dates,0),MATCH($B$3,daily_items,0)))</f>
        <v>#N/A</v>
      </c>
      <c r="R290" s="1" t="str">
        <f t="array" ref="R290">IF(ISBLANK(INDEX(big_daily_table,MATCH(DATE(R$5,$K290,$J290),daily_dates,0),MATCH($B$3,daily_items,0))),NA(),INDEX(big_daily_table,MATCH(DATE(R$5,$K290,$J290),daily_dates,0),MATCH($B$3,daily_items,0)))</f>
        <v>#N/A</v>
      </c>
      <c r="S290" s="1" t="str">
        <f t="array" ref="S290">IF(ISBLANK(INDEX(big_daily_table,MATCH(DATE(S$5,$K290,$J290),daily_dates,0),MATCH($B$3,daily_items,0))),NA(),INDEX(big_daily_table,MATCH(DATE(S$5,$K290,$J290),daily_dates,0),MATCH($B$3,daily_items,0)))</f>
        <v>#N/A</v>
      </c>
      <c r="T290" s="1" t="str">
        <f t="array" ref="T290">IF(ISBLANK(INDEX(big_daily_table,MATCH(DATE(T$5,$K290,$J290),daily_dates,0),MATCH($B$3,daily_items,0))),NA(),INDEX(big_daily_table,MATCH(DATE(T$5,$K290,$J290),daily_dates,0),MATCH($B$3,daily_items,0)))</f>
        <v>#N/A</v>
      </c>
      <c r="U290" s="1" t="str">
        <f t="array" ref="U290">IF(ISBLANK(INDEX(big_daily_table,MATCH(DATE(U$5,$K290,$J290),daily_dates,0),MATCH($B$3,daily_items,0))),NA(),INDEX(big_daily_table,MATCH(DATE(U$5,$K290,$J290),daily_dates,0),MATCH($B$3,daily_items,0)))</f>
        <v>#N/A</v>
      </c>
      <c r="V290" s="1" t="str">
        <f t="array" ref="V290">IF(ISBLANK(INDEX(big_daily_table,MATCH(DATE(V$5,$K290,$J290),daily_dates,0),MATCH($B$3,daily_items,0))),NA(),INDEX(big_daily_table,MATCH(DATE(V$5,$K290,$J290),daily_dates,0),MATCH($B$3,daily_items,0)))</f>
        <v>#N/A</v>
      </c>
      <c r="W290" s="1" t="str">
        <f t="array" ref="W290">IF(ISBLANK(INDEX(big_daily_table,MATCH(DATE(W$5,$K290,$J290),daily_dates,0),MATCH($B$3,daily_items,0))),NA(),INDEX(big_daily_table,MATCH(DATE(W$5,$K290,$J290),daily_dates,0),MATCH($B$3,daily_items,0)))</f>
        <v>#N/A</v>
      </c>
      <c r="X290" s="1" t="str">
        <f t="array" ref="X290">IF(ISBLANK(INDEX(big_daily_table,MATCH(DATE(X$5,$K290,$J290),daily_dates,0),MATCH($B$3,daily_items,0))),NA(),INDEX(big_daily_table,MATCH(DATE(X$5,$K290,$J290),daily_dates,0),MATCH($B$3,daily_items,0)))</f>
        <v>#N/A</v>
      </c>
      <c r="Y290" s="1" t="str">
        <f t="array" ref="Y290">IF(ISBLANK(INDEX(big_daily_table,MATCH(DATE(Y$5,$K290,$J290),daily_dates,0),MATCH($B$3,daily_items,0))),NA(),INDEX(big_daily_table,MATCH(DATE(Y$5,$K290,$J290),daily_dates,0),MATCH($B$3,daily_items,0)))</f>
        <v>#N/A</v>
      </c>
      <c r="Z290" s="1" t="str">
        <f t="array" ref="Z290">IF(ISBLANK(INDEX(big_daily_table,MATCH(DATE(Z$5,$K290,$J290),daily_dates,0),MATCH($B$3,daily_items,0))),NA(),INDEX(big_daily_table,MATCH(DATE(Z$5,$K290,$J290),daily_dates,0),MATCH($B$3,daily_items,0)))</f>
        <v>#N/A</v>
      </c>
      <c r="AA290" s="1" t="str">
        <f t="shared" si="5"/>
        <v>#NAME?</v>
      </c>
      <c r="AB290" s="1" t="str">
        <f t="shared" si="6"/>
        <v>#NAME?</v>
      </c>
      <c r="AC290" s="1" t="str">
        <f t="shared" si="7"/>
        <v>#NAME?</v>
      </c>
      <c r="AD290" s="1" t="str">
        <f t="shared" si="8"/>
        <v>#NAME?</v>
      </c>
    </row>
    <row r="291" ht="14.25" customHeight="1">
      <c r="H291" s="1">
        <f t="shared" si="9"/>
        <v>286</v>
      </c>
      <c r="I291" s="1">
        <f>WEEKDAY('daily graphs'!K291)</f>
        <v>5</v>
      </c>
      <c r="J291" s="1">
        <f t="shared" si="2"/>
        <v>7</v>
      </c>
      <c r="K291" s="1">
        <f t="shared" si="3"/>
        <v>10</v>
      </c>
      <c r="L291" s="23">
        <f>'daily graphs'!K291 - I291</f>
        <v>36806</v>
      </c>
      <c r="M291" s="24">
        <f t="shared" si="4"/>
        <v>1000000</v>
      </c>
      <c r="N291" s="24" t="str">
        <f t="array" ref="N291">IF(M291&gt;0,INDEX(big_daily_table,MATCH(DATE(O$5,$K291,$J291),daily_dates,0),MATCH($B$3,daily_items,0)),NA())</f>
        <v>#N/A</v>
      </c>
      <c r="O291" s="1" t="str">
        <f t="array" ref="O291">IF(M291&lt;0,INDEX(big_daily_table,MATCH(DATE(O$5,$K291,$J291),daily_dates,0),MATCH($B$3,daily_items,0)),NA())</f>
        <v>#N/A</v>
      </c>
      <c r="P291" s="1" t="str">
        <f t="array" ref="P291">IF(ISBLANK(INDEX(big_daily_table,MATCH(DATE(P$5,$K291,$J291),daily_dates,0),MATCH($B$3,daily_items,0))),NA(),INDEX(big_daily_table,MATCH(DATE(P$5,$K291,$J291),daily_dates,0),MATCH($B$3,daily_items,0)))</f>
        <v>#N/A</v>
      </c>
      <c r="Q291" s="1" t="str">
        <f t="array" ref="Q291">IF(ISBLANK(INDEX(big_daily_table,MATCH(DATE(Q$5,$K291,$J291),daily_dates,0),MATCH($B$3,daily_items,0))),NA(),INDEX(big_daily_table,MATCH(DATE(Q$5,$K291,$J291),daily_dates,0),MATCH($B$3,daily_items,0)))</f>
        <v>#N/A</v>
      </c>
      <c r="R291" s="1" t="str">
        <f t="array" ref="R291">IF(ISBLANK(INDEX(big_daily_table,MATCH(DATE(R$5,$K291,$J291),daily_dates,0),MATCH($B$3,daily_items,0))),NA(),INDEX(big_daily_table,MATCH(DATE(R$5,$K291,$J291),daily_dates,0),MATCH($B$3,daily_items,0)))</f>
        <v>#N/A</v>
      </c>
      <c r="S291" s="1" t="str">
        <f t="array" ref="S291">IF(ISBLANK(INDEX(big_daily_table,MATCH(DATE(S$5,$K291,$J291),daily_dates,0),MATCH($B$3,daily_items,0))),NA(),INDEX(big_daily_table,MATCH(DATE(S$5,$K291,$J291),daily_dates,0),MATCH($B$3,daily_items,0)))</f>
        <v>#N/A</v>
      </c>
      <c r="T291" s="1" t="str">
        <f t="array" ref="T291">IF(ISBLANK(INDEX(big_daily_table,MATCH(DATE(T$5,$K291,$J291),daily_dates,0),MATCH($B$3,daily_items,0))),NA(),INDEX(big_daily_table,MATCH(DATE(T$5,$K291,$J291),daily_dates,0),MATCH($B$3,daily_items,0)))</f>
        <v>#N/A</v>
      </c>
      <c r="U291" s="1" t="str">
        <f t="array" ref="U291">IF(ISBLANK(INDEX(big_daily_table,MATCH(DATE(U$5,$K291,$J291),daily_dates,0),MATCH($B$3,daily_items,0))),NA(),INDEX(big_daily_table,MATCH(DATE(U$5,$K291,$J291),daily_dates,0),MATCH($B$3,daily_items,0)))</f>
        <v>#N/A</v>
      </c>
      <c r="V291" s="1" t="str">
        <f t="array" ref="V291">IF(ISBLANK(INDEX(big_daily_table,MATCH(DATE(V$5,$K291,$J291),daily_dates,0),MATCH($B$3,daily_items,0))),NA(),INDEX(big_daily_table,MATCH(DATE(V$5,$K291,$J291),daily_dates,0),MATCH($B$3,daily_items,0)))</f>
        <v>#N/A</v>
      </c>
      <c r="W291" s="1" t="str">
        <f t="array" ref="W291">IF(ISBLANK(INDEX(big_daily_table,MATCH(DATE(W$5,$K291,$J291),daily_dates,0),MATCH($B$3,daily_items,0))),NA(),INDEX(big_daily_table,MATCH(DATE(W$5,$K291,$J291),daily_dates,0),MATCH($B$3,daily_items,0)))</f>
        <v>#N/A</v>
      </c>
      <c r="X291" s="1" t="str">
        <f t="array" ref="X291">IF(ISBLANK(INDEX(big_daily_table,MATCH(DATE(X$5,$K291,$J291),daily_dates,0),MATCH($B$3,daily_items,0))),NA(),INDEX(big_daily_table,MATCH(DATE(X$5,$K291,$J291),daily_dates,0),MATCH($B$3,daily_items,0)))</f>
        <v>#N/A</v>
      </c>
      <c r="Y291" s="1" t="str">
        <f t="array" ref="Y291">IF(ISBLANK(INDEX(big_daily_table,MATCH(DATE(Y$5,$K291,$J291),daily_dates,0),MATCH($B$3,daily_items,0))),NA(),INDEX(big_daily_table,MATCH(DATE(Y$5,$K291,$J291),daily_dates,0),MATCH($B$3,daily_items,0)))</f>
        <v>#N/A</v>
      </c>
      <c r="Z291" s="1" t="str">
        <f t="array" ref="Z291">IF(ISBLANK(INDEX(big_daily_table,MATCH(DATE(Z$5,$K291,$J291),daily_dates,0),MATCH($B$3,daily_items,0))),NA(),INDEX(big_daily_table,MATCH(DATE(Z$5,$K291,$J291),daily_dates,0),MATCH($B$3,daily_items,0)))</f>
        <v>#N/A</v>
      </c>
      <c r="AA291" s="1" t="str">
        <f t="shared" si="5"/>
        <v>#NAME?</v>
      </c>
      <c r="AB291" s="1" t="str">
        <f t="shared" si="6"/>
        <v>#NAME?</v>
      </c>
      <c r="AC291" s="1" t="str">
        <f t="shared" si="7"/>
        <v>#NAME?</v>
      </c>
      <c r="AD291" s="1" t="str">
        <f t="shared" si="8"/>
        <v>#NAME?</v>
      </c>
    </row>
    <row r="292" ht="14.25" customHeight="1">
      <c r="H292" s="1">
        <f t="shared" si="9"/>
        <v>287</v>
      </c>
      <c r="I292" s="1">
        <f>WEEKDAY('daily graphs'!K292)</f>
        <v>6</v>
      </c>
      <c r="J292" s="1">
        <f t="shared" si="2"/>
        <v>7</v>
      </c>
      <c r="K292" s="1">
        <f t="shared" si="3"/>
        <v>10</v>
      </c>
      <c r="L292" s="23">
        <f>'daily graphs'!K292 - I292</f>
        <v>36806</v>
      </c>
      <c r="M292" s="24">
        <f t="shared" si="4"/>
        <v>1000000</v>
      </c>
      <c r="N292" s="24" t="str">
        <f t="array" ref="N292">IF(M292&gt;0,INDEX(big_daily_table,MATCH(DATE(O$5,$K292,$J292),daily_dates,0),MATCH($B$3,daily_items,0)),NA())</f>
        <v>#N/A</v>
      </c>
      <c r="O292" s="1" t="str">
        <f t="array" ref="O292">IF(M292&lt;0,INDEX(big_daily_table,MATCH(DATE(O$5,$K292,$J292),daily_dates,0),MATCH($B$3,daily_items,0)),NA())</f>
        <v>#N/A</v>
      </c>
      <c r="P292" s="1" t="str">
        <f t="array" ref="P292">IF(ISBLANK(INDEX(big_daily_table,MATCH(DATE(P$5,$K292,$J292),daily_dates,0),MATCH($B$3,daily_items,0))),NA(),INDEX(big_daily_table,MATCH(DATE(P$5,$K292,$J292),daily_dates,0),MATCH($B$3,daily_items,0)))</f>
        <v>#N/A</v>
      </c>
      <c r="Q292" s="1" t="str">
        <f t="array" ref="Q292">IF(ISBLANK(INDEX(big_daily_table,MATCH(DATE(Q$5,$K292,$J292),daily_dates,0),MATCH($B$3,daily_items,0))),NA(),INDEX(big_daily_table,MATCH(DATE(Q$5,$K292,$J292),daily_dates,0),MATCH($B$3,daily_items,0)))</f>
        <v>#N/A</v>
      </c>
      <c r="R292" s="1" t="str">
        <f t="array" ref="R292">IF(ISBLANK(INDEX(big_daily_table,MATCH(DATE(R$5,$K292,$J292),daily_dates,0),MATCH($B$3,daily_items,0))),NA(),INDEX(big_daily_table,MATCH(DATE(R$5,$K292,$J292),daily_dates,0),MATCH($B$3,daily_items,0)))</f>
        <v>#N/A</v>
      </c>
      <c r="S292" s="1" t="str">
        <f t="array" ref="S292">IF(ISBLANK(INDEX(big_daily_table,MATCH(DATE(S$5,$K292,$J292),daily_dates,0),MATCH($B$3,daily_items,0))),NA(),INDEX(big_daily_table,MATCH(DATE(S$5,$K292,$J292),daily_dates,0),MATCH($B$3,daily_items,0)))</f>
        <v>#N/A</v>
      </c>
      <c r="T292" s="1" t="str">
        <f t="array" ref="T292">IF(ISBLANK(INDEX(big_daily_table,MATCH(DATE(T$5,$K292,$J292),daily_dates,0),MATCH($B$3,daily_items,0))),NA(),INDEX(big_daily_table,MATCH(DATE(T$5,$K292,$J292),daily_dates,0),MATCH($B$3,daily_items,0)))</f>
        <v>#N/A</v>
      </c>
      <c r="U292" s="1" t="str">
        <f t="array" ref="U292">IF(ISBLANK(INDEX(big_daily_table,MATCH(DATE(U$5,$K292,$J292),daily_dates,0),MATCH($B$3,daily_items,0))),NA(),INDEX(big_daily_table,MATCH(DATE(U$5,$K292,$J292),daily_dates,0),MATCH($B$3,daily_items,0)))</f>
        <v>#N/A</v>
      </c>
      <c r="V292" s="1" t="str">
        <f t="array" ref="V292">IF(ISBLANK(INDEX(big_daily_table,MATCH(DATE(V$5,$K292,$J292),daily_dates,0),MATCH($B$3,daily_items,0))),NA(),INDEX(big_daily_table,MATCH(DATE(V$5,$K292,$J292),daily_dates,0),MATCH($B$3,daily_items,0)))</f>
        <v>#N/A</v>
      </c>
      <c r="W292" s="1" t="str">
        <f t="array" ref="W292">IF(ISBLANK(INDEX(big_daily_table,MATCH(DATE(W$5,$K292,$J292),daily_dates,0),MATCH($B$3,daily_items,0))),NA(),INDEX(big_daily_table,MATCH(DATE(W$5,$K292,$J292),daily_dates,0),MATCH($B$3,daily_items,0)))</f>
        <v>#N/A</v>
      </c>
      <c r="X292" s="1" t="str">
        <f t="array" ref="X292">IF(ISBLANK(INDEX(big_daily_table,MATCH(DATE(X$5,$K292,$J292),daily_dates,0),MATCH($B$3,daily_items,0))),NA(),INDEX(big_daily_table,MATCH(DATE(X$5,$K292,$J292),daily_dates,0),MATCH($B$3,daily_items,0)))</f>
        <v>#N/A</v>
      </c>
      <c r="Y292" s="1" t="str">
        <f t="array" ref="Y292">IF(ISBLANK(INDEX(big_daily_table,MATCH(DATE(Y$5,$K292,$J292),daily_dates,0),MATCH($B$3,daily_items,0))),NA(),INDEX(big_daily_table,MATCH(DATE(Y$5,$K292,$J292),daily_dates,0),MATCH($B$3,daily_items,0)))</f>
        <v>#N/A</v>
      </c>
      <c r="Z292" s="1" t="str">
        <f t="array" ref="Z292">IF(ISBLANK(INDEX(big_daily_table,MATCH(DATE(Z$5,$K292,$J292),daily_dates,0),MATCH($B$3,daily_items,0))),NA(),INDEX(big_daily_table,MATCH(DATE(Z$5,$K292,$J292),daily_dates,0),MATCH($B$3,daily_items,0)))</f>
        <v>#N/A</v>
      </c>
      <c r="AA292" s="1" t="str">
        <f t="shared" si="5"/>
        <v>#NAME?</v>
      </c>
      <c r="AB292" s="1" t="str">
        <f t="shared" si="6"/>
        <v>#NAME?</v>
      </c>
      <c r="AC292" s="1" t="str">
        <f t="shared" si="7"/>
        <v>#NAME?</v>
      </c>
      <c r="AD292" s="1" t="str">
        <f t="shared" si="8"/>
        <v>#NAME?</v>
      </c>
    </row>
    <row r="293" ht="14.25" customHeight="1">
      <c r="H293" s="1">
        <f t="shared" si="9"/>
        <v>288</v>
      </c>
      <c r="I293" s="1">
        <f>WEEKDAY('daily graphs'!K293)</f>
        <v>7</v>
      </c>
      <c r="J293" s="1">
        <f t="shared" si="2"/>
        <v>7</v>
      </c>
      <c r="K293" s="1">
        <f t="shared" si="3"/>
        <v>10</v>
      </c>
      <c r="L293" s="23">
        <f>'daily graphs'!K293 - I293</f>
        <v>36806</v>
      </c>
      <c r="M293" s="24">
        <f t="shared" si="4"/>
        <v>1000000</v>
      </c>
      <c r="N293" s="24" t="str">
        <f t="array" ref="N293">IF(M293&gt;0,INDEX(big_daily_table,MATCH(DATE(O$5,$K293,$J293),daily_dates,0),MATCH($B$3,daily_items,0)),NA())</f>
        <v>#N/A</v>
      </c>
      <c r="O293" s="1" t="str">
        <f t="array" ref="O293">IF(M293&lt;0,INDEX(big_daily_table,MATCH(DATE(O$5,$K293,$J293),daily_dates,0),MATCH($B$3,daily_items,0)),NA())</f>
        <v>#N/A</v>
      </c>
      <c r="P293" s="1" t="str">
        <f t="array" ref="P293">IF(ISBLANK(INDEX(big_daily_table,MATCH(DATE(P$5,$K293,$J293),daily_dates,0),MATCH($B$3,daily_items,0))),NA(),INDEX(big_daily_table,MATCH(DATE(P$5,$K293,$J293),daily_dates,0),MATCH($B$3,daily_items,0)))</f>
        <v>#N/A</v>
      </c>
      <c r="Q293" s="1" t="str">
        <f t="array" ref="Q293">IF(ISBLANK(INDEX(big_daily_table,MATCH(DATE(Q$5,$K293,$J293),daily_dates,0),MATCH($B$3,daily_items,0))),NA(),INDEX(big_daily_table,MATCH(DATE(Q$5,$K293,$J293),daily_dates,0),MATCH($B$3,daily_items,0)))</f>
        <v>#N/A</v>
      </c>
      <c r="R293" s="1" t="str">
        <f t="array" ref="R293">IF(ISBLANK(INDEX(big_daily_table,MATCH(DATE(R$5,$K293,$J293),daily_dates,0),MATCH($B$3,daily_items,0))),NA(),INDEX(big_daily_table,MATCH(DATE(R$5,$K293,$J293),daily_dates,0),MATCH($B$3,daily_items,0)))</f>
        <v>#N/A</v>
      </c>
      <c r="S293" s="1" t="str">
        <f t="array" ref="S293">IF(ISBLANK(INDEX(big_daily_table,MATCH(DATE(S$5,$K293,$J293),daily_dates,0),MATCH($B$3,daily_items,0))),NA(),INDEX(big_daily_table,MATCH(DATE(S$5,$K293,$J293),daily_dates,0),MATCH($B$3,daily_items,0)))</f>
        <v>#N/A</v>
      </c>
      <c r="T293" s="1" t="str">
        <f t="array" ref="T293">IF(ISBLANK(INDEX(big_daily_table,MATCH(DATE(T$5,$K293,$J293),daily_dates,0),MATCH($B$3,daily_items,0))),NA(),INDEX(big_daily_table,MATCH(DATE(T$5,$K293,$J293),daily_dates,0),MATCH($B$3,daily_items,0)))</f>
        <v>#N/A</v>
      </c>
      <c r="U293" s="1" t="str">
        <f t="array" ref="U293">IF(ISBLANK(INDEX(big_daily_table,MATCH(DATE(U$5,$K293,$J293),daily_dates,0),MATCH($B$3,daily_items,0))),NA(),INDEX(big_daily_table,MATCH(DATE(U$5,$K293,$J293),daily_dates,0),MATCH($B$3,daily_items,0)))</f>
        <v>#N/A</v>
      </c>
      <c r="V293" s="1" t="str">
        <f t="array" ref="V293">IF(ISBLANK(INDEX(big_daily_table,MATCH(DATE(V$5,$K293,$J293),daily_dates,0),MATCH($B$3,daily_items,0))),NA(),INDEX(big_daily_table,MATCH(DATE(V$5,$K293,$J293),daily_dates,0),MATCH($B$3,daily_items,0)))</f>
        <v>#N/A</v>
      </c>
      <c r="W293" s="1" t="str">
        <f t="array" ref="W293">IF(ISBLANK(INDEX(big_daily_table,MATCH(DATE(W$5,$K293,$J293),daily_dates,0),MATCH($B$3,daily_items,0))),NA(),INDEX(big_daily_table,MATCH(DATE(W$5,$K293,$J293),daily_dates,0),MATCH($B$3,daily_items,0)))</f>
        <v>#N/A</v>
      </c>
      <c r="X293" s="1" t="str">
        <f t="array" ref="X293">IF(ISBLANK(INDEX(big_daily_table,MATCH(DATE(X$5,$K293,$J293),daily_dates,0),MATCH($B$3,daily_items,0))),NA(),INDEX(big_daily_table,MATCH(DATE(X$5,$K293,$J293),daily_dates,0),MATCH($B$3,daily_items,0)))</f>
        <v>#N/A</v>
      </c>
      <c r="Y293" s="1" t="str">
        <f t="array" ref="Y293">IF(ISBLANK(INDEX(big_daily_table,MATCH(DATE(Y$5,$K293,$J293),daily_dates,0),MATCH($B$3,daily_items,0))),NA(),INDEX(big_daily_table,MATCH(DATE(Y$5,$K293,$J293),daily_dates,0),MATCH($B$3,daily_items,0)))</f>
        <v>#N/A</v>
      </c>
      <c r="Z293" s="1" t="str">
        <f t="array" ref="Z293">IF(ISBLANK(INDEX(big_daily_table,MATCH(DATE(Z$5,$K293,$J293),daily_dates,0),MATCH($B$3,daily_items,0))),NA(),INDEX(big_daily_table,MATCH(DATE(Z$5,$K293,$J293),daily_dates,0),MATCH($B$3,daily_items,0)))</f>
        <v>#N/A</v>
      </c>
      <c r="AA293" s="1" t="str">
        <f t="shared" si="5"/>
        <v>#NAME?</v>
      </c>
      <c r="AB293" s="1" t="str">
        <f t="shared" si="6"/>
        <v>#NAME?</v>
      </c>
      <c r="AC293" s="1" t="str">
        <f t="shared" si="7"/>
        <v>#NAME?</v>
      </c>
      <c r="AD293" s="1" t="str">
        <f t="shared" si="8"/>
        <v>#NAME?</v>
      </c>
    </row>
    <row r="294" ht="14.25" customHeight="1">
      <c r="H294" s="1">
        <f t="shared" si="9"/>
        <v>289</v>
      </c>
      <c r="I294" s="1">
        <f>WEEKDAY('daily graphs'!K294)</f>
        <v>1</v>
      </c>
      <c r="J294" s="1">
        <f t="shared" si="2"/>
        <v>14</v>
      </c>
      <c r="K294" s="1">
        <f t="shared" si="3"/>
        <v>10</v>
      </c>
      <c r="L294" s="23">
        <f>'daily graphs'!K294 - I294</f>
        <v>36813</v>
      </c>
      <c r="M294" s="24">
        <f t="shared" si="4"/>
        <v>1000000</v>
      </c>
      <c r="N294" s="24" t="str">
        <f t="array" ref="N294">IF(M294&gt;0,INDEX(big_daily_table,MATCH(DATE(O$5,$K294,$J294),daily_dates,0),MATCH($B$3,daily_items,0)),NA())</f>
        <v>#N/A</v>
      </c>
      <c r="O294" s="1" t="str">
        <f t="array" ref="O294">IF(M294&lt;0,INDEX(big_daily_table,MATCH(DATE(O$5,$K294,$J294),daily_dates,0),MATCH($B$3,daily_items,0)),NA())</f>
        <v>#N/A</v>
      </c>
      <c r="P294" s="1" t="str">
        <f t="array" ref="P294">IF(ISBLANK(INDEX(big_daily_table,MATCH(DATE(P$5,$K294,$J294),daily_dates,0),MATCH($B$3,daily_items,0))),NA(),INDEX(big_daily_table,MATCH(DATE(P$5,$K294,$J294),daily_dates,0),MATCH($B$3,daily_items,0)))</f>
        <v>#N/A</v>
      </c>
      <c r="Q294" s="1" t="str">
        <f t="array" ref="Q294">IF(ISBLANK(INDEX(big_daily_table,MATCH(DATE(Q$5,$K294,$J294),daily_dates,0),MATCH($B$3,daily_items,0))),NA(),INDEX(big_daily_table,MATCH(DATE(Q$5,$K294,$J294),daily_dates,0),MATCH($B$3,daily_items,0)))</f>
        <v>#N/A</v>
      </c>
      <c r="R294" s="1" t="str">
        <f t="array" ref="R294">IF(ISBLANK(INDEX(big_daily_table,MATCH(DATE(R$5,$K294,$J294),daily_dates,0),MATCH($B$3,daily_items,0))),NA(),INDEX(big_daily_table,MATCH(DATE(R$5,$K294,$J294),daily_dates,0),MATCH($B$3,daily_items,0)))</f>
        <v>#N/A</v>
      </c>
      <c r="S294" s="1" t="str">
        <f t="array" ref="S294">IF(ISBLANK(INDEX(big_daily_table,MATCH(DATE(S$5,$K294,$J294),daily_dates,0),MATCH($B$3,daily_items,0))),NA(),INDEX(big_daily_table,MATCH(DATE(S$5,$K294,$J294),daily_dates,0),MATCH($B$3,daily_items,0)))</f>
        <v>#N/A</v>
      </c>
      <c r="T294" s="1" t="str">
        <f t="array" ref="T294">IF(ISBLANK(INDEX(big_daily_table,MATCH(DATE(T$5,$K294,$J294),daily_dates,0),MATCH($B$3,daily_items,0))),NA(),INDEX(big_daily_table,MATCH(DATE(T$5,$K294,$J294),daily_dates,0),MATCH($B$3,daily_items,0)))</f>
        <v>#N/A</v>
      </c>
      <c r="U294" s="1" t="str">
        <f t="array" ref="U294">IF(ISBLANK(INDEX(big_daily_table,MATCH(DATE(U$5,$K294,$J294),daily_dates,0),MATCH($B$3,daily_items,0))),NA(),INDEX(big_daily_table,MATCH(DATE(U$5,$K294,$J294),daily_dates,0),MATCH($B$3,daily_items,0)))</f>
        <v>#N/A</v>
      </c>
      <c r="V294" s="1" t="str">
        <f t="array" ref="V294">IF(ISBLANK(INDEX(big_daily_table,MATCH(DATE(V$5,$K294,$J294),daily_dates,0),MATCH($B$3,daily_items,0))),NA(),INDEX(big_daily_table,MATCH(DATE(V$5,$K294,$J294),daily_dates,0),MATCH($B$3,daily_items,0)))</f>
        <v>#N/A</v>
      </c>
      <c r="W294" s="1" t="str">
        <f t="array" ref="W294">IF(ISBLANK(INDEX(big_daily_table,MATCH(DATE(W$5,$K294,$J294),daily_dates,0),MATCH($B$3,daily_items,0))),NA(),INDEX(big_daily_table,MATCH(DATE(W$5,$K294,$J294),daily_dates,0),MATCH($B$3,daily_items,0)))</f>
        <v>#N/A</v>
      </c>
      <c r="X294" s="1" t="str">
        <f t="array" ref="X294">IF(ISBLANK(INDEX(big_daily_table,MATCH(DATE(X$5,$K294,$J294),daily_dates,0),MATCH($B$3,daily_items,0))),NA(),INDEX(big_daily_table,MATCH(DATE(X$5,$K294,$J294),daily_dates,0),MATCH($B$3,daily_items,0)))</f>
        <v>#N/A</v>
      </c>
      <c r="Y294" s="1" t="str">
        <f t="array" ref="Y294">IF(ISBLANK(INDEX(big_daily_table,MATCH(DATE(Y$5,$K294,$J294),daily_dates,0),MATCH($B$3,daily_items,0))),NA(),INDEX(big_daily_table,MATCH(DATE(Y$5,$K294,$J294),daily_dates,0),MATCH($B$3,daily_items,0)))</f>
        <v>#N/A</v>
      </c>
      <c r="Z294" s="1" t="str">
        <f t="array" ref="Z294">IF(ISBLANK(INDEX(big_daily_table,MATCH(DATE(Z$5,$K294,$J294),daily_dates,0),MATCH($B$3,daily_items,0))),NA(),INDEX(big_daily_table,MATCH(DATE(Z$5,$K294,$J294),daily_dates,0),MATCH($B$3,daily_items,0)))</f>
        <v>#N/A</v>
      </c>
      <c r="AA294" s="1" t="str">
        <f t="shared" si="5"/>
        <v>#NAME?</v>
      </c>
      <c r="AB294" s="1" t="str">
        <f t="shared" si="6"/>
        <v>#NAME?</v>
      </c>
      <c r="AC294" s="1" t="str">
        <f t="shared" si="7"/>
        <v>#NAME?</v>
      </c>
      <c r="AD294" s="1" t="str">
        <f t="shared" si="8"/>
        <v>#NAME?</v>
      </c>
    </row>
    <row r="295" ht="14.25" customHeight="1">
      <c r="H295" s="1">
        <f t="shared" si="9"/>
        <v>290</v>
      </c>
      <c r="I295" s="1">
        <f>WEEKDAY('daily graphs'!K295)</f>
        <v>2</v>
      </c>
      <c r="J295" s="1">
        <f t="shared" si="2"/>
        <v>14</v>
      </c>
      <c r="K295" s="1">
        <f t="shared" si="3"/>
        <v>10</v>
      </c>
      <c r="L295" s="23">
        <f>'daily graphs'!K295 - I295</f>
        <v>36813</v>
      </c>
      <c r="M295" s="24">
        <f t="shared" si="4"/>
        <v>1000000</v>
      </c>
      <c r="N295" s="24" t="str">
        <f t="array" ref="N295">IF(M295&gt;0,INDEX(big_daily_table,MATCH(DATE(O$5,$K295,$J295),daily_dates,0),MATCH($B$3,daily_items,0)),NA())</f>
        <v>#N/A</v>
      </c>
      <c r="O295" s="1" t="str">
        <f t="array" ref="O295">IF(M295&lt;0,INDEX(big_daily_table,MATCH(DATE(O$5,$K295,$J295),daily_dates,0),MATCH($B$3,daily_items,0)),NA())</f>
        <v>#N/A</v>
      </c>
      <c r="P295" s="1" t="str">
        <f t="array" ref="P295">IF(ISBLANK(INDEX(big_daily_table,MATCH(DATE(P$5,$K295,$J295),daily_dates,0),MATCH($B$3,daily_items,0))),NA(),INDEX(big_daily_table,MATCH(DATE(P$5,$K295,$J295),daily_dates,0),MATCH($B$3,daily_items,0)))</f>
        <v>#N/A</v>
      </c>
      <c r="Q295" s="1" t="str">
        <f t="array" ref="Q295">IF(ISBLANK(INDEX(big_daily_table,MATCH(DATE(Q$5,$K295,$J295),daily_dates,0),MATCH($B$3,daily_items,0))),NA(),INDEX(big_daily_table,MATCH(DATE(Q$5,$K295,$J295),daily_dates,0),MATCH($B$3,daily_items,0)))</f>
        <v>#N/A</v>
      </c>
      <c r="R295" s="1" t="str">
        <f t="array" ref="R295">IF(ISBLANK(INDEX(big_daily_table,MATCH(DATE(R$5,$K295,$J295),daily_dates,0),MATCH($B$3,daily_items,0))),NA(),INDEX(big_daily_table,MATCH(DATE(R$5,$K295,$J295),daily_dates,0),MATCH($B$3,daily_items,0)))</f>
        <v>#N/A</v>
      </c>
      <c r="S295" s="1" t="str">
        <f t="array" ref="S295">IF(ISBLANK(INDEX(big_daily_table,MATCH(DATE(S$5,$K295,$J295),daily_dates,0),MATCH($B$3,daily_items,0))),NA(),INDEX(big_daily_table,MATCH(DATE(S$5,$K295,$J295),daily_dates,0),MATCH($B$3,daily_items,0)))</f>
        <v>#N/A</v>
      </c>
      <c r="T295" s="1" t="str">
        <f t="array" ref="T295">IF(ISBLANK(INDEX(big_daily_table,MATCH(DATE(T$5,$K295,$J295),daily_dates,0),MATCH($B$3,daily_items,0))),NA(),INDEX(big_daily_table,MATCH(DATE(T$5,$K295,$J295),daily_dates,0),MATCH($B$3,daily_items,0)))</f>
        <v>#N/A</v>
      </c>
      <c r="U295" s="1" t="str">
        <f t="array" ref="U295">IF(ISBLANK(INDEX(big_daily_table,MATCH(DATE(U$5,$K295,$J295),daily_dates,0),MATCH($B$3,daily_items,0))),NA(),INDEX(big_daily_table,MATCH(DATE(U$5,$K295,$J295),daily_dates,0),MATCH($B$3,daily_items,0)))</f>
        <v>#N/A</v>
      </c>
      <c r="V295" s="1" t="str">
        <f t="array" ref="V295">IF(ISBLANK(INDEX(big_daily_table,MATCH(DATE(V$5,$K295,$J295),daily_dates,0),MATCH($B$3,daily_items,0))),NA(),INDEX(big_daily_table,MATCH(DATE(V$5,$K295,$J295),daily_dates,0),MATCH($B$3,daily_items,0)))</f>
        <v>#N/A</v>
      </c>
      <c r="W295" s="1" t="str">
        <f t="array" ref="W295">IF(ISBLANK(INDEX(big_daily_table,MATCH(DATE(W$5,$K295,$J295),daily_dates,0),MATCH($B$3,daily_items,0))),NA(),INDEX(big_daily_table,MATCH(DATE(W$5,$K295,$J295),daily_dates,0),MATCH($B$3,daily_items,0)))</f>
        <v>#N/A</v>
      </c>
      <c r="X295" s="1" t="str">
        <f t="array" ref="X295">IF(ISBLANK(INDEX(big_daily_table,MATCH(DATE(X$5,$K295,$J295),daily_dates,0),MATCH($B$3,daily_items,0))),NA(),INDEX(big_daily_table,MATCH(DATE(X$5,$K295,$J295),daily_dates,0),MATCH($B$3,daily_items,0)))</f>
        <v>#N/A</v>
      </c>
      <c r="Y295" s="1" t="str">
        <f t="array" ref="Y295">IF(ISBLANK(INDEX(big_daily_table,MATCH(DATE(Y$5,$K295,$J295),daily_dates,0),MATCH($B$3,daily_items,0))),NA(),INDEX(big_daily_table,MATCH(DATE(Y$5,$K295,$J295),daily_dates,0),MATCH($B$3,daily_items,0)))</f>
        <v>#N/A</v>
      </c>
      <c r="Z295" s="1" t="str">
        <f t="array" ref="Z295">IF(ISBLANK(INDEX(big_daily_table,MATCH(DATE(Z$5,$K295,$J295),daily_dates,0),MATCH($B$3,daily_items,0))),NA(),INDEX(big_daily_table,MATCH(DATE(Z$5,$K295,$J295),daily_dates,0),MATCH($B$3,daily_items,0)))</f>
        <v>#N/A</v>
      </c>
      <c r="AA295" s="1" t="str">
        <f t="shared" si="5"/>
        <v>#NAME?</v>
      </c>
      <c r="AB295" s="1" t="str">
        <f t="shared" si="6"/>
        <v>#NAME?</v>
      </c>
      <c r="AC295" s="1" t="str">
        <f t="shared" si="7"/>
        <v>#NAME?</v>
      </c>
      <c r="AD295" s="1" t="str">
        <f t="shared" si="8"/>
        <v>#NAME?</v>
      </c>
    </row>
    <row r="296" ht="14.25" customHeight="1">
      <c r="H296" s="1">
        <f t="shared" si="9"/>
        <v>291</v>
      </c>
      <c r="I296" s="1">
        <f>WEEKDAY('daily graphs'!K296)</f>
        <v>3</v>
      </c>
      <c r="J296" s="1">
        <f t="shared" si="2"/>
        <v>14</v>
      </c>
      <c r="K296" s="1">
        <f t="shared" si="3"/>
        <v>10</v>
      </c>
      <c r="L296" s="23">
        <f>'daily graphs'!K296 - I296</f>
        <v>36813</v>
      </c>
      <c r="M296" s="24">
        <f t="shared" si="4"/>
        <v>1000000</v>
      </c>
      <c r="N296" s="24" t="str">
        <f t="array" ref="N296">IF(M296&gt;0,INDEX(big_daily_table,MATCH(DATE(O$5,$K296,$J296),daily_dates,0),MATCH($B$3,daily_items,0)),NA())</f>
        <v>#N/A</v>
      </c>
      <c r="O296" s="1" t="str">
        <f t="array" ref="O296">IF(M296&lt;0,INDEX(big_daily_table,MATCH(DATE(O$5,$K296,$J296),daily_dates,0),MATCH($B$3,daily_items,0)),NA())</f>
        <v>#N/A</v>
      </c>
      <c r="P296" s="1" t="str">
        <f t="array" ref="P296">IF(ISBLANK(INDEX(big_daily_table,MATCH(DATE(P$5,$K296,$J296),daily_dates,0),MATCH($B$3,daily_items,0))),NA(),INDEX(big_daily_table,MATCH(DATE(P$5,$K296,$J296),daily_dates,0),MATCH($B$3,daily_items,0)))</f>
        <v>#N/A</v>
      </c>
      <c r="Q296" s="1" t="str">
        <f t="array" ref="Q296">IF(ISBLANK(INDEX(big_daily_table,MATCH(DATE(Q$5,$K296,$J296),daily_dates,0),MATCH($B$3,daily_items,0))),NA(),INDEX(big_daily_table,MATCH(DATE(Q$5,$K296,$J296),daily_dates,0),MATCH($B$3,daily_items,0)))</f>
        <v>#N/A</v>
      </c>
      <c r="R296" s="1" t="str">
        <f t="array" ref="R296">IF(ISBLANK(INDEX(big_daily_table,MATCH(DATE(R$5,$K296,$J296),daily_dates,0),MATCH($B$3,daily_items,0))),NA(),INDEX(big_daily_table,MATCH(DATE(R$5,$K296,$J296),daily_dates,0),MATCH($B$3,daily_items,0)))</f>
        <v>#N/A</v>
      </c>
      <c r="S296" s="1" t="str">
        <f t="array" ref="S296">IF(ISBLANK(INDEX(big_daily_table,MATCH(DATE(S$5,$K296,$J296),daily_dates,0),MATCH($B$3,daily_items,0))),NA(),INDEX(big_daily_table,MATCH(DATE(S$5,$K296,$J296),daily_dates,0),MATCH($B$3,daily_items,0)))</f>
        <v>#N/A</v>
      </c>
      <c r="T296" s="1" t="str">
        <f t="array" ref="T296">IF(ISBLANK(INDEX(big_daily_table,MATCH(DATE(T$5,$K296,$J296),daily_dates,0),MATCH($B$3,daily_items,0))),NA(),INDEX(big_daily_table,MATCH(DATE(T$5,$K296,$J296),daily_dates,0),MATCH($B$3,daily_items,0)))</f>
        <v>#N/A</v>
      </c>
      <c r="U296" s="1" t="str">
        <f t="array" ref="U296">IF(ISBLANK(INDEX(big_daily_table,MATCH(DATE(U$5,$K296,$J296),daily_dates,0),MATCH($B$3,daily_items,0))),NA(),INDEX(big_daily_table,MATCH(DATE(U$5,$K296,$J296),daily_dates,0),MATCH($B$3,daily_items,0)))</f>
        <v>#N/A</v>
      </c>
      <c r="V296" s="1" t="str">
        <f t="array" ref="V296">IF(ISBLANK(INDEX(big_daily_table,MATCH(DATE(V$5,$K296,$J296),daily_dates,0),MATCH($B$3,daily_items,0))),NA(),INDEX(big_daily_table,MATCH(DATE(V$5,$K296,$J296),daily_dates,0),MATCH($B$3,daily_items,0)))</f>
        <v>#N/A</v>
      </c>
      <c r="W296" s="1" t="str">
        <f t="array" ref="W296">IF(ISBLANK(INDEX(big_daily_table,MATCH(DATE(W$5,$K296,$J296),daily_dates,0),MATCH($B$3,daily_items,0))),NA(),INDEX(big_daily_table,MATCH(DATE(W$5,$K296,$J296),daily_dates,0),MATCH($B$3,daily_items,0)))</f>
        <v>#N/A</v>
      </c>
      <c r="X296" s="1" t="str">
        <f t="array" ref="X296">IF(ISBLANK(INDEX(big_daily_table,MATCH(DATE(X$5,$K296,$J296),daily_dates,0),MATCH($B$3,daily_items,0))),NA(),INDEX(big_daily_table,MATCH(DATE(X$5,$K296,$J296),daily_dates,0),MATCH($B$3,daily_items,0)))</f>
        <v>#N/A</v>
      </c>
      <c r="Y296" s="1" t="str">
        <f t="array" ref="Y296">IF(ISBLANK(INDEX(big_daily_table,MATCH(DATE(Y$5,$K296,$J296),daily_dates,0),MATCH($B$3,daily_items,0))),NA(),INDEX(big_daily_table,MATCH(DATE(Y$5,$K296,$J296),daily_dates,0),MATCH($B$3,daily_items,0)))</f>
        <v>#N/A</v>
      </c>
      <c r="Z296" s="1" t="str">
        <f t="array" ref="Z296">IF(ISBLANK(INDEX(big_daily_table,MATCH(DATE(Z$5,$K296,$J296),daily_dates,0),MATCH($B$3,daily_items,0))),NA(),INDEX(big_daily_table,MATCH(DATE(Z$5,$K296,$J296),daily_dates,0),MATCH($B$3,daily_items,0)))</f>
        <v>#N/A</v>
      </c>
      <c r="AA296" s="1" t="str">
        <f t="shared" si="5"/>
        <v>#NAME?</v>
      </c>
      <c r="AB296" s="1" t="str">
        <f t="shared" si="6"/>
        <v>#NAME?</v>
      </c>
      <c r="AC296" s="1" t="str">
        <f t="shared" si="7"/>
        <v>#NAME?</v>
      </c>
      <c r="AD296" s="1" t="str">
        <f t="shared" si="8"/>
        <v>#NAME?</v>
      </c>
    </row>
    <row r="297" ht="14.25" customHeight="1">
      <c r="H297" s="1">
        <f t="shared" si="9"/>
        <v>292</v>
      </c>
      <c r="I297" s="1">
        <f>WEEKDAY('daily graphs'!K297)</f>
        <v>4</v>
      </c>
      <c r="J297" s="1">
        <f t="shared" si="2"/>
        <v>14</v>
      </c>
      <c r="K297" s="1">
        <f t="shared" si="3"/>
        <v>10</v>
      </c>
      <c r="L297" s="23">
        <f>'daily graphs'!K297 - I297</f>
        <v>36813</v>
      </c>
      <c r="M297" s="24">
        <f t="shared" si="4"/>
        <v>1000000</v>
      </c>
      <c r="N297" s="24" t="str">
        <f t="array" ref="N297">IF(M297&gt;0,INDEX(big_daily_table,MATCH(DATE(O$5,$K297,$J297),daily_dates,0),MATCH($B$3,daily_items,0)),NA())</f>
        <v>#N/A</v>
      </c>
      <c r="O297" s="1" t="str">
        <f t="array" ref="O297">IF(M297&lt;0,INDEX(big_daily_table,MATCH(DATE(O$5,$K297,$J297),daily_dates,0),MATCH($B$3,daily_items,0)),NA())</f>
        <v>#N/A</v>
      </c>
      <c r="P297" s="1" t="str">
        <f t="array" ref="P297">IF(ISBLANK(INDEX(big_daily_table,MATCH(DATE(P$5,$K297,$J297),daily_dates,0),MATCH($B$3,daily_items,0))),NA(),INDEX(big_daily_table,MATCH(DATE(P$5,$K297,$J297),daily_dates,0),MATCH($B$3,daily_items,0)))</f>
        <v>#N/A</v>
      </c>
      <c r="Q297" s="1" t="str">
        <f t="array" ref="Q297">IF(ISBLANK(INDEX(big_daily_table,MATCH(DATE(Q$5,$K297,$J297),daily_dates,0),MATCH($B$3,daily_items,0))),NA(),INDEX(big_daily_table,MATCH(DATE(Q$5,$K297,$J297),daily_dates,0),MATCH($B$3,daily_items,0)))</f>
        <v>#N/A</v>
      </c>
      <c r="R297" s="1" t="str">
        <f t="array" ref="R297">IF(ISBLANK(INDEX(big_daily_table,MATCH(DATE(R$5,$K297,$J297),daily_dates,0),MATCH($B$3,daily_items,0))),NA(),INDEX(big_daily_table,MATCH(DATE(R$5,$K297,$J297),daily_dates,0),MATCH($B$3,daily_items,0)))</f>
        <v>#N/A</v>
      </c>
      <c r="S297" s="1" t="str">
        <f t="array" ref="S297">IF(ISBLANK(INDEX(big_daily_table,MATCH(DATE(S$5,$K297,$J297),daily_dates,0),MATCH($B$3,daily_items,0))),NA(),INDEX(big_daily_table,MATCH(DATE(S$5,$K297,$J297),daily_dates,0),MATCH($B$3,daily_items,0)))</f>
        <v>#N/A</v>
      </c>
      <c r="T297" s="1" t="str">
        <f t="array" ref="T297">IF(ISBLANK(INDEX(big_daily_table,MATCH(DATE(T$5,$K297,$J297),daily_dates,0),MATCH($B$3,daily_items,0))),NA(),INDEX(big_daily_table,MATCH(DATE(T$5,$K297,$J297),daily_dates,0),MATCH($B$3,daily_items,0)))</f>
        <v>#N/A</v>
      </c>
      <c r="U297" s="1" t="str">
        <f t="array" ref="U297">IF(ISBLANK(INDEX(big_daily_table,MATCH(DATE(U$5,$K297,$J297),daily_dates,0),MATCH($B$3,daily_items,0))),NA(),INDEX(big_daily_table,MATCH(DATE(U$5,$K297,$J297),daily_dates,0),MATCH($B$3,daily_items,0)))</f>
        <v>#N/A</v>
      </c>
      <c r="V297" s="1" t="str">
        <f t="array" ref="V297">IF(ISBLANK(INDEX(big_daily_table,MATCH(DATE(V$5,$K297,$J297),daily_dates,0),MATCH($B$3,daily_items,0))),NA(),INDEX(big_daily_table,MATCH(DATE(V$5,$K297,$J297),daily_dates,0),MATCH($B$3,daily_items,0)))</f>
        <v>#N/A</v>
      </c>
      <c r="W297" s="1" t="str">
        <f t="array" ref="W297">IF(ISBLANK(INDEX(big_daily_table,MATCH(DATE(W$5,$K297,$J297),daily_dates,0),MATCH($B$3,daily_items,0))),NA(),INDEX(big_daily_table,MATCH(DATE(W$5,$K297,$J297),daily_dates,0),MATCH($B$3,daily_items,0)))</f>
        <v>#N/A</v>
      </c>
      <c r="X297" s="1" t="str">
        <f t="array" ref="X297">IF(ISBLANK(INDEX(big_daily_table,MATCH(DATE(X$5,$K297,$J297),daily_dates,0),MATCH($B$3,daily_items,0))),NA(),INDEX(big_daily_table,MATCH(DATE(X$5,$K297,$J297),daily_dates,0),MATCH($B$3,daily_items,0)))</f>
        <v>#N/A</v>
      </c>
      <c r="Y297" s="1" t="str">
        <f t="array" ref="Y297">IF(ISBLANK(INDEX(big_daily_table,MATCH(DATE(Y$5,$K297,$J297),daily_dates,0),MATCH($B$3,daily_items,0))),NA(),INDEX(big_daily_table,MATCH(DATE(Y$5,$K297,$J297),daily_dates,0),MATCH($B$3,daily_items,0)))</f>
        <v>#N/A</v>
      </c>
      <c r="Z297" s="1" t="str">
        <f t="array" ref="Z297">IF(ISBLANK(INDEX(big_daily_table,MATCH(DATE(Z$5,$K297,$J297),daily_dates,0),MATCH($B$3,daily_items,0))),NA(),INDEX(big_daily_table,MATCH(DATE(Z$5,$K297,$J297),daily_dates,0),MATCH($B$3,daily_items,0)))</f>
        <v>#N/A</v>
      </c>
      <c r="AA297" s="1" t="str">
        <f t="shared" si="5"/>
        <v>#NAME?</v>
      </c>
      <c r="AB297" s="1" t="str">
        <f t="shared" si="6"/>
        <v>#NAME?</v>
      </c>
      <c r="AC297" s="1" t="str">
        <f t="shared" si="7"/>
        <v>#NAME?</v>
      </c>
      <c r="AD297" s="1" t="str">
        <f t="shared" si="8"/>
        <v>#NAME?</v>
      </c>
    </row>
    <row r="298" ht="14.25" customHeight="1">
      <c r="H298" s="1">
        <f t="shared" si="9"/>
        <v>293</v>
      </c>
      <c r="I298" s="1">
        <f>WEEKDAY('daily graphs'!K298)</f>
        <v>5</v>
      </c>
      <c r="J298" s="1">
        <f t="shared" si="2"/>
        <v>14</v>
      </c>
      <c r="K298" s="1">
        <f t="shared" si="3"/>
        <v>10</v>
      </c>
      <c r="L298" s="23">
        <f>'daily graphs'!K298 - I298</f>
        <v>36813</v>
      </c>
      <c r="M298" s="24">
        <f t="shared" si="4"/>
        <v>1000000</v>
      </c>
      <c r="N298" s="24" t="str">
        <f t="array" ref="N298">IF(M298&gt;0,INDEX(big_daily_table,MATCH(DATE(O$5,$K298,$J298),daily_dates,0),MATCH($B$3,daily_items,0)),NA())</f>
        <v>#N/A</v>
      </c>
      <c r="O298" s="1" t="str">
        <f t="array" ref="O298">IF(M298&lt;0,INDEX(big_daily_table,MATCH(DATE(O$5,$K298,$J298),daily_dates,0),MATCH($B$3,daily_items,0)),NA())</f>
        <v>#N/A</v>
      </c>
      <c r="P298" s="1" t="str">
        <f t="array" ref="P298">IF(ISBLANK(INDEX(big_daily_table,MATCH(DATE(P$5,$K298,$J298),daily_dates,0),MATCH($B$3,daily_items,0))),NA(),INDEX(big_daily_table,MATCH(DATE(P$5,$K298,$J298),daily_dates,0),MATCH($B$3,daily_items,0)))</f>
        <v>#N/A</v>
      </c>
      <c r="Q298" s="1" t="str">
        <f t="array" ref="Q298">IF(ISBLANK(INDEX(big_daily_table,MATCH(DATE(Q$5,$K298,$J298),daily_dates,0),MATCH($B$3,daily_items,0))),NA(),INDEX(big_daily_table,MATCH(DATE(Q$5,$K298,$J298),daily_dates,0),MATCH($B$3,daily_items,0)))</f>
        <v>#N/A</v>
      </c>
      <c r="R298" s="1" t="str">
        <f t="array" ref="R298">IF(ISBLANK(INDEX(big_daily_table,MATCH(DATE(R$5,$K298,$J298),daily_dates,0),MATCH($B$3,daily_items,0))),NA(),INDEX(big_daily_table,MATCH(DATE(R$5,$K298,$J298),daily_dates,0),MATCH($B$3,daily_items,0)))</f>
        <v>#N/A</v>
      </c>
      <c r="S298" s="1" t="str">
        <f t="array" ref="S298">IF(ISBLANK(INDEX(big_daily_table,MATCH(DATE(S$5,$K298,$J298),daily_dates,0),MATCH($B$3,daily_items,0))),NA(),INDEX(big_daily_table,MATCH(DATE(S$5,$K298,$J298),daily_dates,0),MATCH($B$3,daily_items,0)))</f>
        <v>#N/A</v>
      </c>
      <c r="T298" s="1" t="str">
        <f t="array" ref="T298">IF(ISBLANK(INDEX(big_daily_table,MATCH(DATE(T$5,$K298,$J298),daily_dates,0),MATCH($B$3,daily_items,0))),NA(),INDEX(big_daily_table,MATCH(DATE(T$5,$K298,$J298),daily_dates,0),MATCH($B$3,daily_items,0)))</f>
        <v>#N/A</v>
      </c>
      <c r="U298" s="1" t="str">
        <f t="array" ref="U298">IF(ISBLANK(INDEX(big_daily_table,MATCH(DATE(U$5,$K298,$J298),daily_dates,0),MATCH($B$3,daily_items,0))),NA(),INDEX(big_daily_table,MATCH(DATE(U$5,$K298,$J298),daily_dates,0),MATCH($B$3,daily_items,0)))</f>
        <v>#N/A</v>
      </c>
      <c r="V298" s="1" t="str">
        <f t="array" ref="V298">IF(ISBLANK(INDEX(big_daily_table,MATCH(DATE(V$5,$K298,$J298),daily_dates,0),MATCH($B$3,daily_items,0))),NA(),INDEX(big_daily_table,MATCH(DATE(V$5,$K298,$J298),daily_dates,0),MATCH($B$3,daily_items,0)))</f>
        <v>#N/A</v>
      </c>
      <c r="W298" s="1" t="str">
        <f t="array" ref="W298">IF(ISBLANK(INDEX(big_daily_table,MATCH(DATE(W$5,$K298,$J298),daily_dates,0),MATCH($B$3,daily_items,0))),NA(),INDEX(big_daily_table,MATCH(DATE(W$5,$K298,$J298),daily_dates,0),MATCH($B$3,daily_items,0)))</f>
        <v>#N/A</v>
      </c>
      <c r="X298" s="1" t="str">
        <f t="array" ref="X298">IF(ISBLANK(INDEX(big_daily_table,MATCH(DATE(X$5,$K298,$J298),daily_dates,0),MATCH($B$3,daily_items,0))),NA(),INDEX(big_daily_table,MATCH(DATE(X$5,$K298,$J298),daily_dates,0),MATCH($B$3,daily_items,0)))</f>
        <v>#N/A</v>
      </c>
      <c r="Y298" s="1" t="str">
        <f t="array" ref="Y298">IF(ISBLANK(INDEX(big_daily_table,MATCH(DATE(Y$5,$K298,$J298),daily_dates,0),MATCH($B$3,daily_items,0))),NA(),INDEX(big_daily_table,MATCH(DATE(Y$5,$K298,$J298),daily_dates,0),MATCH($B$3,daily_items,0)))</f>
        <v>#N/A</v>
      </c>
      <c r="Z298" s="1" t="str">
        <f t="array" ref="Z298">IF(ISBLANK(INDEX(big_daily_table,MATCH(DATE(Z$5,$K298,$J298),daily_dates,0),MATCH($B$3,daily_items,0))),NA(),INDEX(big_daily_table,MATCH(DATE(Z$5,$K298,$J298),daily_dates,0),MATCH($B$3,daily_items,0)))</f>
        <v>#N/A</v>
      </c>
      <c r="AA298" s="1" t="str">
        <f t="shared" si="5"/>
        <v>#NAME?</v>
      </c>
      <c r="AB298" s="1" t="str">
        <f t="shared" si="6"/>
        <v>#NAME?</v>
      </c>
      <c r="AC298" s="1" t="str">
        <f t="shared" si="7"/>
        <v>#NAME?</v>
      </c>
      <c r="AD298" s="1" t="str">
        <f t="shared" si="8"/>
        <v>#NAME?</v>
      </c>
    </row>
    <row r="299" ht="14.25" customHeight="1">
      <c r="H299" s="1">
        <f t="shared" si="9"/>
        <v>294</v>
      </c>
      <c r="I299" s="1">
        <f>WEEKDAY('daily graphs'!K299)</f>
        <v>6</v>
      </c>
      <c r="J299" s="1">
        <f t="shared" si="2"/>
        <v>14</v>
      </c>
      <c r="K299" s="1">
        <f t="shared" si="3"/>
        <v>10</v>
      </c>
      <c r="L299" s="23">
        <f>'daily graphs'!K299 - I299</f>
        <v>36813</v>
      </c>
      <c r="M299" s="24">
        <f t="shared" si="4"/>
        <v>1000000</v>
      </c>
      <c r="N299" s="24" t="str">
        <f t="array" ref="N299">IF(M299&gt;0,INDEX(big_daily_table,MATCH(DATE(O$5,$K299,$J299),daily_dates,0),MATCH($B$3,daily_items,0)),NA())</f>
        <v>#N/A</v>
      </c>
      <c r="O299" s="1" t="str">
        <f t="array" ref="O299">IF(M299&lt;0,INDEX(big_daily_table,MATCH(DATE(O$5,$K299,$J299),daily_dates,0),MATCH($B$3,daily_items,0)),NA())</f>
        <v>#N/A</v>
      </c>
      <c r="P299" s="1" t="str">
        <f t="array" ref="P299">IF(ISBLANK(INDEX(big_daily_table,MATCH(DATE(P$5,$K299,$J299),daily_dates,0),MATCH($B$3,daily_items,0))),NA(),INDEX(big_daily_table,MATCH(DATE(P$5,$K299,$J299),daily_dates,0),MATCH($B$3,daily_items,0)))</f>
        <v>#N/A</v>
      </c>
      <c r="Q299" s="1" t="str">
        <f t="array" ref="Q299">IF(ISBLANK(INDEX(big_daily_table,MATCH(DATE(Q$5,$K299,$J299),daily_dates,0),MATCH($B$3,daily_items,0))),NA(),INDEX(big_daily_table,MATCH(DATE(Q$5,$K299,$J299),daily_dates,0),MATCH($B$3,daily_items,0)))</f>
        <v>#N/A</v>
      </c>
      <c r="R299" s="1" t="str">
        <f t="array" ref="R299">IF(ISBLANK(INDEX(big_daily_table,MATCH(DATE(R$5,$K299,$J299),daily_dates,0),MATCH($B$3,daily_items,0))),NA(),INDEX(big_daily_table,MATCH(DATE(R$5,$K299,$J299),daily_dates,0),MATCH($B$3,daily_items,0)))</f>
        <v>#N/A</v>
      </c>
      <c r="S299" s="1" t="str">
        <f t="array" ref="S299">IF(ISBLANK(INDEX(big_daily_table,MATCH(DATE(S$5,$K299,$J299),daily_dates,0),MATCH($B$3,daily_items,0))),NA(),INDEX(big_daily_table,MATCH(DATE(S$5,$K299,$J299),daily_dates,0),MATCH($B$3,daily_items,0)))</f>
        <v>#N/A</v>
      </c>
      <c r="T299" s="1" t="str">
        <f t="array" ref="T299">IF(ISBLANK(INDEX(big_daily_table,MATCH(DATE(T$5,$K299,$J299),daily_dates,0),MATCH($B$3,daily_items,0))),NA(),INDEX(big_daily_table,MATCH(DATE(T$5,$K299,$J299),daily_dates,0),MATCH($B$3,daily_items,0)))</f>
        <v>#N/A</v>
      </c>
      <c r="U299" s="1" t="str">
        <f t="array" ref="U299">IF(ISBLANK(INDEX(big_daily_table,MATCH(DATE(U$5,$K299,$J299),daily_dates,0),MATCH($B$3,daily_items,0))),NA(),INDEX(big_daily_table,MATCH(DATE(U$5,$K299,$J299),daily_dates,0),MATCH($B$3,daily_items,0)))</f>
        <v>#N/A</v>
      </c>
      <c r="V299" s="1" t="str">
        <f t="array" ref="V299">IF(ISBLANK(INDEX(big_daily_table,MATCH(DATE(V$5,$K299,$J299),daily_dates,0),MATCH($B$3,daily_items,0))),NA(),INDEX(big_daily_table,MATCH(DATE(V$5,$K299,$J299),daily_dates,0),MATCH($B$3,daily_items,0)))</f>
        <v>#N/A</v>
      </c>
      <c r="W299" s="1" t="str">
        <f t="array" ref="W299">IF(ISBLANK(INDEX(big_daily_table,MATCH(DATE(W$5,$K299,$J299),daily_dates,0),MATCH($B$3,daily_items,0))),NA(),INDEX(big_daily_table,MATCH(DATE(W$5,$K299,$J299),daily_dates,0),MATCH($B$3,daily_items,0)))</f>
        <v>#N/A</v>
      </c>
      <c r="X299" s="1" t="str">
        <f t="array" ref="X299">IF(ISBLANK(INDEX(big_daily_table,MATCH(DATE(X$5,$K299,$J299),daily_dates,0),MATCH($B$3,daily_items,0))),NA(),INDEX(big_daily_table,MATCH(DATE(X$5,$K299,$J299),daily_dates,0),MATCH($B$3,daily_items,0)))</f>
        <v>#N/A</v>
      </c>
      <c r="Y299" s="1" t="str">
        <f t="array" ref="Y299">IF(ISBLANK(INDEX(big_daily_table,MATCH(DATE(Y$5,$K299,$J299),daily_dates,0),MATCH($B$3,daily_items,0))),NA(),INDEX(big_daily_table,MATCH(DATE(Y$5,$K299,$J299),daily_dates,0),MATCH($B$3,daily_items,0)))</f>
        <v>#N/A</v>
      </c>
      <c r="Z299" s="1" t="str">
        <f t="array" ref="Z299">IF(ISBLANK(INDEX(big_daily_table,MATCH(DATE(Z$5,$K299,$J299),daily_dates,0),MATCH($B$3,daily_items,0))),NA(),INDEX(big_daily_table,MATCH(DATE(Z$5,$K299,$J299),daily_dates,0),MATCH($B$3,daily_items,0)))</f>
        <v>#N/A</v>
      </c>
      <c r="AA299" s="1" t="str">
        <f t="shared" si="5"/>
        <v>#NAME?</v>
      </c>
      <c r="AB299" s="1" t="str">
        <f t="shared" si="6"/>
        <v>#NAME?</v>
      </c>
      <c r="AC299" s="1" t="str">
        <f t="shared" si="7"/>
        <v>#NAME?</v>
      </c>
      <c r="AD299" s="1" t="str">
        <f t="shared" si="8"/>
        <v>#NAME?</v>
      </c>
    </row>
    <row r="300" ht="14.25" customHeight="1">
      <c r="H300" s="1">
        <f t="shared" si="9"/>
        <v>295</v>
      </c>
      <c r="I300" s="1">
        <f>WEEKDAY('daily graphs'!K300)</f>
        <v>7</v>
      </c>
      <c r="J300" s="1">
        <f t="shared" si="2"/>
        <v>14</v>
      </c>
      <c r="K300" s="1">
        <f t="shared" si="3"/>
        <v>10</v>
      </c>
      <c r="L300" s="23">
        <f>'daily graphs'!K300 - I300</f>
        <v>36813</v>
      </c>
      <c r="M300" s="24">
        <f t="shared" si="4"/>
        <v>1000000</v>
      </c>
      <c r="N300" s="24" t="str">
        <f t="array" ref="N300">IF(M300&gt;0,INDEX(big_daily_table,MATCH(DATE(O$5,$K300,$J300),daily_dates,0),MATCH($B$3,daily_items,0)),NA())</f>
        <v>#N/A</v>
      </c>
      <c r="O300" s="1" t="str">
        <f t="array" ref="O300">IF(M300&lt;0,INDEX(big_daily_table,MATCH(DATE(O$5,$K300,$J300),daily_dates,0),MATCH($B$3,daily_items,0)),NA())</f>
        <v>#N/A</v>
      </c>
      <c r="P300" s="1" t="str">
        <f t="array" ref="P300">IF(ISBLANK(INDEX(big_daily_table,MATCH(DATE(P$5,$K300,$J300),daily_dates,0),MATCH($B$3,daily_items,0))),NA(),INDEX(big_daily_table,MATCH(DATE(P$5,$K300,$J300),daily_dates,0),MATCH($B$3,daily_items,0)))</f>
        <v>#N/A</v>
      </c>
      <c r="Q300" s="1" t="str">
        <f t="array" ref="Q300">IF(ISBLANK(INDEX(big_daily_table,MATCH(DATE(Q$5,$K300,$J300),daily_dates,0),MATCH($B$3,daily_items,0))),NA(),INDEX(big_daily_table,MATCH(DATE(Q$5,$K300,$J300),daily_dates,0),MATCH($B$3,daily_items,0)))</f>
        <v>#N/A</v>
      </c>
      <c r="R300" s="1" t="str">
        <f t="array" ref="R300">IF(ISBLANK(INDEX(big_daily_table,MATCH(DATE(R$5,$K300,$J300),daily_dates,0),MATCH($B$3,daily_items,0))),NA(),INDEX(big_daily_table,MATCH(DATE(R$5,$K300,$J300),daily_dates,0),MATCH($B$3,daily_items,0)))</f>
        <v>#N/A</v>
      </c>
      <c r="S300" s="1" t="str">
        <f t="array" ref="S300">IF(ISBLANK(INDEX(big_daily_table,MATCH(DATE(S$5,$K300,$J300),daily_dates,0),MATCH($B$3,daily_items,0))),NA(),INDEX(big_daily_table,MATCH(DATE(S$5,$K300,$J300),daily_dates,0),MATCH($B$3,daily_items,0)))</f>
        <v>#N/A</v>
      </c>
      <c r="T300" s="1" t="str">
        <f t="array" ref="T300">IF(ISBLANK(INDEX(big_daily_table,MATCH(DATE(T$5,$K300,$J300),daily_dates,0),MATCH($B$3,daily_items,0))),NA(),INDEX(big_daily_table,MATCH(DATE(T$5,$K300,$J300),daily_dates,0),MATCH($B$3,daily_items,0)))</f>
        <v>#N/A</v>
      </c>
      <c r="U300" s="1" t="str">
        <f t="array" ref="U300">IF(ISBLANK(INDEX(big_daily_table,MATCH(DATE(U$5,$K300,$J300),daily_dates,0),MATCH($B$3,daily_items,0))),NA(),INDEX(big_daily_table,MATCH(DATE(U$5,$K300,$J300),daily_dates,0),MATCH($B$3,daily_items,0)))</f>
        <v>#N/A</v>
      </c>
      <c r="V300" s="1" t="str">
        <f t="array" ref="V300">IF(ISBLANK(INDEX(big_daily_table,MATCH(DATE(V$5,$K300,$J300),daily_dates,0),MATCH($B$3,daily_items,0))),NA(),INDEX(big_daily_table,MATCH(DATE(V$5,$K300,$J300),daily_dates,0),MATCH($B$3,daily_items,0)))</f>
        <v>#N/A</v>
      </c>
      <c r="W300" s="1" t="str">
        <f t="array" ref="W300">IF(ISBLANK(INDEX(big_daily_table,MATCH(DATE(W$5,$K300,$J300),daily_dates,0),MATCH($B$3,daily_items,0))),NA(),INDEX(big_daily_table,MATCH(DATE(W$5,$K300,$J300),daily_dates,0),MATCH($B$3,daily_items,0)))</f>
        <v>#N/A</v>
      </c>
      <c r="X300" s="1" t="str">
        <f t="array" ref="X300">IF(ISBLANK(INDEX(big_daily_table,MATCH(DATE(X$5,$K300,$J300),daily_dates,0),MATCH($B$3,daily_items,0))),NA(),INDEX(big_daily_table,MATCH(DATE(X$5,$K300,$J300),daily_dates,0),MATCH($B$3,daily_items,0)))</f>
        <v>#N/A</v>
      </c>
      <c r="Y300" s="1" t="str">
        <f t="array" ref="Y300">IF(ISBLANK(INDEX(big_daily_table,MATCH(DATE(Y$5,$K300,$J300),daily_dates,0),MATCH($B$3,daily_items,0))),NA(),INDEX(big_daily_table,MATCH(DATE(Y$5,$K300,$J300),daily_dates,0),MATCH($B$3,daily_items,0)))</f>
        <v>#N/A</v>
      </c>
      <c r="Z300" s="1" t="str">
        <f t="array" ref="Z300">IF(ISBLANK(INDEX(big_daily_table,MATCH(DATE(Z$5,$K300,$J300),daily_dates,0),MATCH($B$3,daily_items,0))),NA(),INDEX(big_daily_table,MATCH(DATE(Z$5,$K300,$J300),daily_dates,0),MATCH($B$3,daily_items,0)))</f>
        <v>#N/A</v>
      </c>
      <c r="AA300" s="1" t="str">
        <f t="shared" si="5"/>
        <v>#NAME?</v>
      </c>
      <c r="AB300" s="1" t="str">
        <f t="shared" si="6"/>
        <v>#NAME?</v>
      </c>
      <c r="AC300" s="1" t="str">
        <f t="shared" si="7"/>
        <v>#NAME?</v>
      </c>
      <c r="AD300" s="1" t="str">
        <f t="shared" si="8"/>
        <v>#NAME?</v>
      </c>
    </row>
    <row r="301" ht="14.25" customHeight="1">
      <c r="H301" s="1">
        <f t="shared" si="9"/>
        <v>296</v>
      </c>
      <c r="I301" s="1">
        <f>WEEKDAY('daily graphs'!K301)</f>
        <v>1</v>
      </c>
      <c r="J301" s="1">
        <f t="shared" si="2"/>
        <v>21</v>
      </c>
      <c r="K301" s="1">
        <f t="shared" si="3"/>
        <v>10</v>
      </c>
      <c r="L301" s="23">
        <f>'daily graphs'!K301 - I301</f>
        <v>36820</v>
      </c>
      <c r="M301" s="24">
        <f t="shared" si="4"/>
        <v>1000000</v>
      </c>
      <c r="N301" s="24" t="str">
        <f t="array" ref="N301">IF(M301&gt;0,INDEX(big_daily_table,MATCH(DATE(O$5,$K301,$J301),daily_dates,0),MATCH($B$3,daily_items,0)),NA())</f>
        <v>#N/A</v>
      </c>
      <c r="O301" s="1" t="str">
        <f t="array" ref="O301">IF(M301&lt;0,INDEX(big_daily_table,MATCH(DATE(O$5,$K301,$J301),daily_dates,0),MATCH($B$3,daily_items,0)),NA())</f>
        <v>#N/A</v>
      </c>
      <c r="P301" s="1" t="str">
        <f t="array" ref="P301">IF(ISBLANK(INDEX(big_daily_table,MATCH(DATE(P$5,$K301,$J301),daily_dates,0),MATCH($B$3,daily_items,0))),NA(),INDEX(big_daily_table,MATCH(DATE(P$5,$K301,$J301),daily_dates,0),MATCH($B$3,daily_items,0)))</f>
        <v>#N/A</v>
      </c>
      <c r="Q301" s="1" t="str">
        <f t="array" ref="Q301">IF(ISBLANK(INDEX(big_daily_table,MATCH(DATE(Q$5,$K301,$J301),daily_dates,0),MATCH($B$3,daily_items,0))),NA(),INDEX(big_daily_table,MATCH(DATE(Q$5,$K301,$J301),daily_dates,0),MATCH($B$3,daily_items,0)))</f>
        <v>#N/A</v>
      </c>
      <c r="R301" s="1" t="str">
        <f t="array" ref="R301">IF(ISBLANK(INDEX(big_daily_table,MATCH(DATE(R$5,$K301,$J301),daily_dates,0),MATCH($B$3,daily_items,0))),NA(),INDEX(big_daily_table,MATCH(DATE(R$5,$K301,$J301),daily_dates,0),MATCH($B$3,daily_items,0)))</f>
        <v>#N/A</v>
      </c>
      <c r="S301" s="1" t="str">
        <f t="array" ref="S301">IF(ISBLANK(INDEX(big_daily_table,MATCH(DATE(S$5,$K301,$J301),daily_dates,0),MATCH($B$3,daily_items,0))),NA(),INDEX(big_daily_table,MATCH(DATE(S$5,$K301,$J301),daily_dates,0),MATCH($B$3,daily_items,0)))</f>
        <v>#N/A</v>
      </c>
      <c r="T301" s="1" t="str">
        <f t="array" ref="T301">IF(ISBLANK(INDEX(big_daily_table,MATCH(DATE(T$5,$K301,$J301),daily_dates,0),MATCH($B$3,daily_items,0))),NA(),INDEX(big_daily_table,MATCH(DATE(T$5,$K301,$J301),daily_dates,0),MATCH($B$3,daily_items,0)))</f>
        <v>#N/A</v>
      </c>
      <c r="U301" s="1" t="str">
        <f t="array" ref="U301">IF(ISBLANK(INDEX(big_daily_table,MATCH(DATE(U$5,$K301,$J301),daily_dates,0),MATCH($B$3,daily_items,0))),NA(),INDEX(big_daily_table,MATCH(DATE(U$5,$K301,$J301),daily_dates,0),MATCH($B$3,daily_items,0)))</f>
        <v>#N/A</v>
      </c>
      <c r="V301" s="1" t="str">
        <f t="array" ref="V301">IF(ISBLANK(INDEX(big_daily_table,MATCH(DATE(V$5,$K301,$J301),daily_dates,0),MATCH($B$3,daily_items,0))),NA(),INDEX(big_daily_table,MATCH(DATE(V$5,$K301,$J301),daily_dates,0),MATCH($B$3,daily_items,0)))</f>
        <v>#N/A</v>
      </c>
      <c r="W301" s="1" t="str">
        <f t="array" ref="W301">IF(ISBLANK(INDEX(big_daily_table,MATCH(DATE(W$5,$K301,$J301),daily_dates,0),MATCH($B$3,daily_items,0))),NA(),INDEX(big_daily_table,MATCH(DATE(W$5,$K301,$J301),daily_dates,0),MATCH($B$3,daily_items,0)))</f>
        <v>#N/A</v>
      </c>
      <c r="X301" s="1" t="str">
        <f t="array" ref="X301">IF(ISBLANK(INDEX(big_daily_table,MATCH(DATE(X$5,$K301,$J301),daily_dates,0),MATCH($B$3,daily_items,0))),NA(),INDEX(big_daily_table,MATCH(DATE(X$5,$K301,$J301),daily_dates,0),MATCH($B$3,daily_items,0)))</f>
        <v>#N/A</v>
      </c>
      <c r="Y301" s="1" t="str">
        <f t="array" ref="Y301">IF(ISBLANK(INDEX(big_daily_table,MATCH(DATE(Y$5,$K301,$J301),daily_dates,0),MATCH($B$3,daily_items,0))),NA(),INDEX(big_daily_table,MATCH(DATE(Y$5,$K301,$J301),daily_dates,0),MATCH($B$3,daily_items,0)))</f>
        <v>#N/A</v>
      </c>
      <c r="Z301" s="1" t="str">
        <f t="array" ref="Z301">IF(ISBLANK(INDEX(big_daily_table,MATCH(DATE(Z$5,$K301,$J301),daily_dates,0),MATCH($B$3,daily_items,0))),NA(),INDEX(big_daily_table,MATCH(DATE(Z$5,$K301,$J301),daily_dates,0),MATCH($B$3,daily_items,0)))</f>
        <v>#N/A</v>
      </c>
      <c r="AA301" s="1" t="str">
        <f t="shared" si="5"/>
        <v>#NAME?</v>
      </c>
      <c r="AB301" s="1" t="str">
        <f t="shared" si="6"/>
        <v>#NAME?</v>
      </c>
      <c r="AC301" s="1" t="str">
        <f t="shared" si="7"/>
        <v>#NAME?</v>
      </c>
      <c r="AD301" s="1" t="str">
        <f t="shared" si="8"/>
        <v>#NAME?</v>
      </c>
    </row>
    <row r="302" ht="14.25" customHeight="1">
      <c r="H302" s="1">
        <f t="shared" si="9"/>
        <v>297</v>
      </c>
      <c r="I302" s="1">
        <f>WEEKDAY('daily graphs'!K302)</f>
        <v>2</v>
      </c>
      <c r="J302" s="1">
        <f t="shared" si="2"/>
        <v>21</v>
      </c>
      <c r="K302" s="1">
        <f t="shared" si="3"/>
        <v>10</v>
      </c>
      <c r="L302" s="23">
        <f>'daily graphs'!K302 - I302</f>
        <v>36820</v>
      </c>
      <c r="M302" s="24">
        <f t="shared" si="4"/>
        <v>1000000</v>
      </c>
      <c r="N302" s="24" t="str">
        <f t="array" ref="N302">IF(M302&gt;0,INDEX(big_daily_table,MATCH(DATE(O$5,$K302,$J302),daily_dates,0),MATCH($B$3,daily_items,0)),NA())</f>
        <v>#N/A</v>
      </c>
      <c r="O302" s="1" t="str">
        <f t="array" ref="O302">IF(M302&lt;0,INDEX(big_daily_table,MATCH(DATE(O$5,$K302,$J302),daily_dates,0),MATCH($B$3,daily_items,0)),NA())</f>
        <v>#N/A</v>
      </c>
      <c r="P302" s="1" t="str">
        <f t="array" ref="P302">IF(ISBLANK(INDEX(big_daily_table,MATCH(DATE(P$5,$K302,$J302),daily_dates,0),MATCH($B$3,daily_items,0))),NA(),INDEX(big_daily_table,MATCH(DATE(P$5,$K302,$J302),daily_dates,0),MATCH($B$3,daily_items,0)))</f>
        <v>#N/A</v>
      </c>
      <c r="Q302" s="1" t="str">
        <f t="array" ref="Q302">IF(ISBLANK(INDEX(big_daily_table,MATCH(DATE(Q$5,$K302,$J302),daily_dates,0),MATCH($B$3,daily_items,0))),NA(),INDEX(big_daily_table,MATCH(DATE(Q$5,$K302,$J302),daily_dates,0),MATCH($B$3,daily_items,0)))</f>
        <v>#N/A</v>
      </c>
      <c r="R302" s="1" t="str">
        <f t="array" ref="R302">IF(ISBLANK(INDEX(big_daily_table,MATCH(DATE(R$5,$K302,$J302),daily_dates,0),MATCH($B$3,daily_items,0))),NA(),INDEX(big_daily_table,MATCH(DATE(R$5,$K302,$J302),daily_dates,0),MATCH($B$3,daily_items,0)))</f>
        <v>#N/A</v>
      </c>
      <c r="S302" s="1" t="str">
        <f t="array" ref="S302">IF(ISBLANK(INDEX(big_daily_table,MATCH(DATE(S$5,$K302,$J302),daily_dates,0),MATCH($B$3,daily_items,0))),NA(),INDEX(big_daily_table,MATCH(DATE(S$5,$K302,$J302),daily_dates,0),MATCH($B$3,daily_items,0)))</f>
        <v>#N/A</v>
      </c>
      <c r="T302" s="1" t="str">
        <f t="array" ref="T302">IF(ISBLANK(INDEX(big_daily_table,MATCH(DATE(T$5,$K302,$J302),daily_dates,0),MATCH($B$3,daily_items,0))),NA(),INDEX(big_daily_table,MATCH(DATE(T$5,$K302,$J302),daily_dates,0),MATCH($B$3,daily_items,0)))</f>
        <v>#N/A</v>
      </c>
      <c r="U302" s="1" t="str">
        <f t="array" ref="U302">IF(ISBLANK(INDEX(big_daily_table,MATCH(DATE(U$5,$K302,$J302),daily_dates,0),MATCH($B$3,daily_items,0))),NA(),INDEX(big_daily_table,MATCH(DATE(U$5,$K302,$J302),daily_dates,0),MATCH($B$3,daily_items,0)))</f>
        <v>#N/A</v>
      </c>
      <c r="V302" s="1" t="str">
        <f t="array" ref="V302">IF(ISBLANK(INDEX(big_daily_table,MATCH(DATE(V$5,$K302,$J302),daily_dates,0),MATCH($B$3,daily_items,0))),NA(),INDEX(big_daily_table,MATCH(DATE(V$5,$K302,$J302),daily_dates,0),MATCH($B$3,daily_items,0)))</f>
        <v>#N/A</v>
      </c>
      <c r="W302" s="1" t="str">
        <f t="array" ref="W302">IF(ISBLANK(INDEX(big_daily_table,MATCH(DATE(W$5,$K302,$J302),daily_dates,0),MATCH($B$3,daily_items,0))),NA(),INDEX(big_daily_table,MATCH(DATE(W$5,$K302,$J302),daily_dates,0),MATCH($B$3,daily_items,0)))</f>
        <v>#N/A</v>
      </c>
      <c r="X302" s="1" t="str">
        <f t="array" ref="X302">IF(ISBLANK(INDEX(big_daily_table,MATCH(DATE(X$5,$K302,$J302),daily_dates,0),MATCH($B$3,daily_items,0))),NA(),INDEX(big_daily_table,MATCH(DATE(X$5,$K302,$J302),daily_dates,0),MATCH($B$3,daily_items,0)))</f>
        <v>#N/A</v>
      </c>
      <c r="Y302" s="1" t="str">
        <f t="array" ref="Y302">IF(ISBLANK(INDEX(big_daily_table,MATCH(DATE(Y$5,$K302,$J302),daily_dates,0),MATCH($B$3,daily_items,0))),NA(),INDEX(big_daily_table,MATCH(DATE(Y$5,$K302,$J302),daily_dates,0),MATCH($B$3,daily_items,0)))</f>
        <v>#N/A</v>
      </c>
      <c r="Z302" s="1" t="str">
        <f t="array" ref="Z302">IF(ISBLANK(INDEX(big_daily_table,MATCH(DATE(Z$5,$K302,$J302),daily_dates,0),MATCH($B$3,daily_items,0))),NA(),INDEX(big_daily_table,MATCH(DATE(Z$5,$K302,$J302),daily_dates,0),MATCH($B$3,daily_items,0)))</f>
        <v>#N/A</v>
      </c>
      <c r="AA302" s="1" t="str">
        <f t="shared" si="5"/>
        <v>#NAME?</v>
      </c>
      <c r="AB302" s="1" t="str">
        <f t="shared" si="6"/>
        <v>#NAME?</v>
      </c>
      <c r="AC302" s="1" t="str">
        <f t="shared" si="7"/>
        <v>#NAME?</v>
      </c>
      <c r="AD302" s="1" t="str">
        <f t="shared" si="8"/>
        <v>#NAME?</v>
      </c>
    </row>
    <row r="303" ht="14.25" customHeight="1">
      <c r="H303" s="1">
        <f t="shared" si="9"/>
        <v>298</v>
      </c>
      <c r="I303" s="1">
        <f>WEEKDAY('daily graphs'!K303)</f>
        <v>3</v>
      </c>
      <c r="J303" s="1">
        <f t="shared" si="2"/>
        <v>21</v>
      </c>
      <c r="K303" s="1">
        <f t="shared" si="3"/>
        <v>10</v>
      </c>
      <c r="L303" s="23">
        <f>'daily graphs'!K303 - I303</f>
        <v>36820</v>
      </c>
      <c r="M303" s="24">
        <f t="shared" si="4"/>
        <v>1000000</v>
      </c>
      <c r="N303" s="24" t="str">
        <f t="array" ref="N303">IF(M303&gt;0,INDEX(big_daily_table,MATCH(DATE(O$5,$K303,$J303),daily_dates,0),MATCH($B$3,daily_items,0)),NA())</f>
        <v>#N/A</v>
      </c>
      <c r="O303" s="1" t="str">
        <f t="array" ref="O303">IF(M303&lt;0,INDEX(big_daily_table,MATCH(DATE(O$5,$K303,$J303),daily_dates,0),MATCH($B$3,daily_items,0)),NA())</f>
        <v>#N/A</v>
      </c>
      <c r="P303" s="1" t="str">
        <f t="array" ref="P303">IF(ISBLANK(INDEX(big_daily_table,MATCH(DATE(P$5,$K303,$J303),daily_dates,0),MATCH($B$3,daily_items,0))),NA(),INDEX(big_daily_table,MATCH(DATE(P$5,$K303,$J303),daily_dates,0),MATCH($B$3,daily_items,0)))</f>
        <v>#N/A</v>
      </c>
      <c r="Q303" s="1" t="str">
        <f t="array" ref="Q303">IF(ISBLANK(INDEX(big_daily_table,MATCH(DATE(Q$5,$K303,$J303),daily_dates,0),MATCH($B$3,daily_items,0))),NA(),INDEX(big_daily_table,MATCH(DATE(Q$5,$K303,$J303),daily_dates,0),MATCH($B$3,daily_items,0)))</f>
        <v>#N/A</v>
      </c>
      <c r="R303" s="1" t="str">
        <f t="array" ref="R303">IF(ISBLANK(INDEX(big_daily_table,MATCH(DATE(R$5,$K303,$J303),daily_dates,0),MATCH($B$3,daily_items,0))),NA(),INDEX(big_daily_table,MATCH(DATE(R$5,$K303,$J303),daily_dates,0),MATCH($B$3,daily_items,0)))</f>
        <v>#N/A</v>
      </c>
      <c r="S303" s="1" t="str">
        <f t="array" ref="S303">IF(ISBLANK(INDEX(big_daily_table,MATCH(DATE(S$5,$K303,$J303),daily_dates,0),MATCH($B$3,daily_items,0))),NA(),INDEX(big_daily_table,MATCH(DATE(S$5,$K303,$J303),daily_dates,0),MATCH($B$3,daily_items,0)))</f>
        <v>#N/A</v>
      </c>
      <c r="T303" s="1" t="str">
        <f t="array" ref="T303">IF(ISBLANK(INDEX(big_daily_table,MATCH(DATE(T$5,$K303,$J303),daily_dates,0),MATCH($B$3,daily_items,0))),NA(),INDEX(big_daily_table,MATCH(DATE(T$5,$K303,$J303),daily_dates,0),MATCH($B$3,daily_items,0)))</f>
        <v>#N/A</v>
      </c>
      <c r="U303" s="1" t="str">
        <f t="array" ref="U303">IF(ISBLANK(INDEX(big_daily_table,MATCH(DATE(U$5,$K303,$J303),daily_dates,0),MATCH($B$3,daily_items,0))),NA(),INDEX(big_daily_table,MATCH(DATE(U$5,$K303,$J303),daily_dates,0),MATCH($B$3,daily_items,0)))</f>
        <v>#N/A</v>
      </c>
      <c r="V303" s="1" t="str">
        <f t="array" ref="V303">IF(ISBLANK(INDEX(big_daily_table,MATCH(DATE(V$5,$K303,$J303),daily_dates,0),MATCH($B$3,daily_items,0))),NA(),INDEX(big_daily_table,MATCH(DATE(V$5,$K303,$J303),daily_dates,0),MATCH($B$3,daily_items,0)))</f>
        <v>#N/A</v>
      </c>
      <c r="W303" s="1" t="str">
        <f t="array" ref="W303">IF(ISBLANK(INDEX(big_daily_table,MATCH(DATE(W$5,$K303,$J303),daily_dates,0),MATCH($B$3,daily_items,0))),NA(),INDEX(big_daily_table,MATCH(DATE(W$5,$K303,$J303),daily_dates,0),MATCH($B$3,daily_items,0)))</f>
        <v>#N/A</v>
      </c>
      <c r="X303" s="1" t="str">
        <f t="array" ref="X303">IF(ISBLANK(INDEX(big_daily_table,MATCH(DATE(X$5,$K303,$J303),daily_dates,0),MATCH($B$3,daily_items,0))),NA(),INDEX(big_daily_table,MATCH(DATE(X$5,$K303,$J303),daily_dates,0),MATCH($B$3,daily_items,0)))</f>
        <v>#N/A</v>
      </c>
      <c r="Y303" s="1" t="str">
        <f t="array" ref="Y303">IF(ISBLANK(INDEX(big_daily_table,MATCH(DATE(Y$5,$K303,$J303),daily_dates,0),MATCH($B$3,daily_items,0))),NA(),INDEX(big_daily_table,MATCH(DATE(Y$5,$K303,$J303),daily_dates,0),MATCH($B$3,daily_items,0)))</f>
        <v>#N/A</v>
      </c>
      <c r="Z303" s="1" t="str">
        <f t="array" ref="Z303">IF(ISBLANK(INDEX(big_daily_table,MATCH(DATE(Z$5,$K303,$J303),daily_dates,0),MATCH($B$3,daily_items,0))),NA(),INDEX(big_daily_table,MATCH(DATE(Z$5,$K303,$J303),daily_dates,0),MATCH($B$3,daily_items,0)))</f>
        <v>#N/A</v>
      </c>
      <c r="AA303" s="1" t="str">
        <f t="shared" si="5"/>
        <v>#NAME?</v>
      </c>
      <c r="AB303" s="1" t="str">
        <f t="shared" si="6"/>
        <v>#NAME?</v>
      </c>
      <c r="AC303" s="1" t="str">
        <f t="shared" si="7"/>
        <v>#NAME?</v>
      </c>
      <c r="AD303" s="1" t="str">
        <f t="shared" si="8"/>
        <v>#NAME?</v>
      </c>
    </row>
    <row r="304" ht="14.25" customHeight="1">
      <c r="H304" s="1">
        <f t="shared" si="9"/>
        <v>299</v>
      </c>
      <c r="I304" s="1">
        <f>WEEKDAY('daily graphs'!K304)</f>
        <v>4</v>
      </c>
      <c r="J304" s="1">
        <f t="shared" si="2"/>
        <v>21</v>
      </c>
      <c r="K304" s="1">
        <f t="shared" si="3"/>
        <v>10</v>
      </c>
      <c r="L304" s="23">
        <f>'daily graphs'!K304 - I304</f>
        <v>36820</v>
      </c>
      <c r="M304" s="24">
        <f t="shared" si="4"/>
        <v>1000000</v>
      </c>
      <c r="N304" s="24" t="str">
        <f t="array" ref="N304">IF(M304&gt;0,INDEX(big_daily_table,MATCH(DATE(O$5,$K304,$J304),daily_dates,0),MATCH($B$3,daily_items,0)),NA())</f>
        <v>#N/A</v>
      </c>
      <c r="O304" s="1" t="str">
        <f t="array" ref="O304">IF(M304&lt;0,INDEX(big_daily_table,MATCH(DATE(O$5,$K304,$J304),daily_dates,0),MATCH($B$3,daily_items,0)),NA())</f>
        <v>#N/A</v>
      </c>
      <c r="P304" s="1" t="str">
        <f t="array" ref="P304">IF(ISBLANK(INDEX(big_daily_table,MATCH(DATE(P$5,$K304,$J304),daily_dates,0),MATCH($B$3,daily_items,0))),NA(),INDEX(big_daily_table,MATCH(DATE(P$5,$K304,$J304),daily_dates,0),MATCH($B$3,daily_items,0)))</f>
        <v>#N/A</v>
      </c>
      <c r="Q304" s="1" t="str">
        <f t="array" ref="Q304">IF(ISBLANK(INDEX(big_daily_table,MATCH(DATE(Q$5,$K304,$J304),daily_dates,0),MATCH($B$3,daily_items,0))),NA(),INDEX(big_daily_table,MATCH(DATE(Q$5,$K304,$J304),daily_dates,0),MATCH($B$3,daily_items,0)))</f>
        <v>#N/A</v>
      </c>
      <c r="R304" s="1" t="str">
        <f t="array" ref="R304">IF(ISBLANK(INDEX(big_daily_table,MATCH(DATE(R$5,$K304,$J304),daily_dates,0),MATCH($B$3,daily_items,0))),NA(),INDEX(big_daily_table,MATCH(DATE(R$5,$K304,$J304),daily_dates,0),MATCH($B$3,daily_items,0)))</f>
        <v>#N/A</v>
      </c>
      <c r="S304" s="1" t="str">
        <f t="array" ref="S304">IF(ISBLANK(INDEX(big_daily_table,MATCH(DATE(S$5,$K304,$J304),daily_dates,0),MATCH($B$3,daily_items,0))),NA(),INDEX(big_daily_table,MATCH(DATE(S$5,$K304,$J304),daily_dates,0),MATCH($B$3,daily_items,0)))</f>
        <v>#N/A</v>
      </c>
      <c r="T304" s="1" t="str">
        <f t="array" ref="T304">IF(ISBLANK(INDEX(big_daily_table,MATCH(DATE(T$5,$K304,$J304),daily_dates,0),MATCH($B$3,daily_items,0))),NA(),INDEX(big_daily_table,MATCH(DATE(T$5,$K304,$J304),daily_dates,0),MATCH($B$3,daily_items,0)))</f>
        <v>#N/A</v>
      </c>
      <c r="U304" s="1" t="str">
        <f t="array" ref="U304">IF(ISBLANK(INDEX(big_daily_table,MATCH(DATE(U$5,$K304,$J304),daily_dates,0),MATCH($B$3,daily_items,0))),NA(),INDEX(big_daily_table,MATCH(DATE(U$5,$K304,$J304),daily_dates,0),MATCH($B$3,daily_items,0)))</f>
        <v>#N/A</v>
      </c>
      <c r="V304" s="1" t="str">
        <f t="array" ref="V304">IF(ISBLANK(INDEX(big_daily_table,MATCH(DATE(V$5,$K304,$J304),daily_dates,0),MATCH($B$3,daily_items,0))),NA(),INDEX(big_daily_table,MATCH(DATE(V$5,$K304,$J304),daily_dates,0),MATCH($B$3,daily_items,0)))</f>
        <v>#N/A</v>
      </c>
      <c r="W304" s="1" t="str">
        <f t="array" ref="W304">IF(ISBLANK(INDEX(big_daily_table,MATCH(DATE(W$5,$K304,$J304),daily_dates,0),MATCH($B$3,daily_items,0))),NA(),INDEX(big_daily_table,MATCH(DATE(W$5,$K304,$J304),daily_dates,0),MATCH($B$3,daily_items,0)))</f>
        <v>#N/A</v>
      </c>
      <c r="X304" s="1" t="str">
        <f t="array" ref="X304">IF(ISBLANK(INDEX(big_daily_table,MATCH(DATE(X$5,$K304,$J304),daily_dates,0),MATCH($B$3,daily_items,0))),NA(),INDEX(big_daily_table,MATCH(DATE(X$5,$K304,$J304),daily_dates,0),MATCH($B$3,daily_items,0)))</f>
        <v>#N/A</v>
      </c>
      <c r="Y304" s="1" t="str">
        <f t="array" ref="Y304">IF(ISBLANK(INDEX(big_daily_table,MATCH(DATE(Y$5,$K304,$J304),daily_dates,0),MATCH($B$3,daily_items,0))),NA(),INDEX(big_daily_table,MATCH(DATE(Y$5,$K304,$J304),daily_dates,0),MATCH($B$3,daily_items,0)))</f>
        <v>#N/A</v>
      </c>
      <c r="Z304" s="1" t="str">
        <f t="array" ref="Z304">IF(ISBLANK(INDEX(big_daily_table,MATCH(DATE(Z$5,$K304,$J304),daily_dates,0),MATCH($B$3,daily_items,0))),NA(),INDEX(big_daily_table,MATCH(DATE(Z$5,$K304,$J304),daily_dates,0),MATCH($B$3,daily_items,0)))</f>
        <v>#N/A</v>
      </c>
      <c r="AA304" s="1" t="str">
        <f t="shared" si="5"/>
        <v>#NAME?</v>
      </c>
      <c r="AB304" s="1" t="str">
        <f t="shared" si="6"/>
        <v>#NAME?</v>
      </c>
      <c r="AC304" s="1" t="str">
        <f t="shared" si="7"/>
        <v>#NAME?</v>
      </c>
      <c r="AD304" s="1" t="str">
        <f t="shared" si="8"/>
        <v>#NAME?</v>
      </c>
    </row>
    <row r="305" ht="14.25" customHeight="1">
      <c r="H305" s="1">
        <f t="shared" si="9"/>
        <v>300</v>
      </c>
      <c r="I305" s="1">
        <f>WEEKDAY('daily graphs'!K305)</f>
        <v>5</v>
      </c>
      <c r="J305" s="1">
        <f t="shared" si="2"/>
        <v>21</v>
      </c>
      <c r="K305" s="1">
        <f t="shared" si="3"/>
        <v>10</v>
      </c>
      <c r="L305" s="23">
        <f>'daily graphs'!K305 - I305</f>
        <v>36820</v>
      </c>
      <c r="M305" s="24">
        <f t="shared" si="4"/>
        <v>1000000</v>
      </c>
      <c r="N305" s="24" t="str">
        <f t="array" ref="N305">IF(M305&gt;0,INDEX(big_daily_table,MATCH(DATE(O$5,$K305,$J305),daily_dates,0),MATCH($B$3,daily_items,0)),NA())</f>
        <v>#N/A</v>
      </c>
      <c r="O305" s="1" t="str">
        <f t="array" ref="O305">IF(M305&lt;0,INDEX(big_daily_table,MATCH(DATE(O$5,$K305,$J305),daily_dates,0),MATCH($B$3,daily_items,0)),NA())</f>
        <v>#N/A</v>
      </c>
      <c r="P305" s="1" t="str">
        <f t="array" ref="P305">IF(ISBLANK(INDEX(big_daily_table,MATCH(DATE(P$5,$K305,$J305),daily_dates,0),MATCH($B$3,daily_items,0))),NA(),INDEX(big_daily_table,MATCH(DATE(P$5,$K305,$J305),daily_dates,0),MATCH($B$3,daily_items,0)))</f>
        <v>#N/A</v>
      </c>
      <c r="Q305" s="1" t="str">
        <f t="array" ref="Q305">IF(ISBLANK(INDEX(big_daily_table,MATCH(DATE(Q$5,$K305,$J305),daily_dates,0),MATCH($B$3,daily_items,0))),NA(),INDEX(big_daily_table,MATCH(DATE(Q$5,$K305,$J305),daily_dates,0),MATCH($B$3,daily_items,0)))</f>
        <v>#N/A</v>
      </c>
      <c r="R305" s="1" t="str">
        <f t="array" ref="R305">IF(ISBLANK(INDEX(big_daily_table,MATCH(DATE(R$5,$K305,$J305),daily_dates,0),MATCH($B$3,daily_items,0))),NA(),INDEX(big_daily_table,MATCH(DATE(R$5,$K305,$J305),daily_dates,0),MATCH($B$3,daily_items,0)))</f>
        <v>#N/A</v>
      </c>
      <c r="S305" s="1" t="str">
        <f t="array" ref="S305">IF(ISBLANK(INDEX(big_daily_table,MATCH(DATE(S$5,$K305,$J305),daily_dates,0),MATCH($B$3,daily_items,0))),NA(),INDEX(big_daily_table,MATCH(DATE(S$5,$K305,$J305),daily_dates,0),MATCH($B$3,daily_items,0)))</f>
        <v>#N/A</v>
      </c>
      <c r="T305" s="1" t="str">
        <f t="array" ref="T305">IF(ISBLANK(INDEX(big_daily_table,MATCH(DATE(T$5,$K305,$J305),daily_dates,0),MATCH($B$3,daily_items,0))),NA(),INDEX(big_daily_table,MATCH(DATE(T$5,$K305,$J305),daily_dates,0),MATCH($B$3,daily_items,0)))</f>
        <v>#N/A</v>
      </c>
      <c r="U305" s="1" t="str">
        <f t="array" ref="U305">IF(ISBLANK(INDEX(big_daily_table,MATCH(DATE(U$5,$K305,$J305),daily_dates,0),MATCH($B$3,daily_items,0))),NA(),INDEX(big_daily_table,MATCH(DATE(U$5,$K305,$J305),daily_dates,0),MATCH($B$3,daily_items,0)))</f>
        <v>#N/A</v>
      </c>
      <c r="V305" s="1" t="str">
        <f t="array" ref="V305">IF(ISBLANK(INDEX(big_daily_table,MATCH(DATE(V$5,$K305,$J305),daily_dates,0),MATCH($B$3,daily_items,0))),NA(),INDEX(big_daily_table,MATCH(DATE(V$5,$K305,$J305),daily_dates,0),MATCH($B$3,daily_items,0)))</f>
        <v>#N/A</v>
      </c>
      <c r="W305" s="1" t="str">
        <f t="array" ref="W305">IF(ISBLANK(INDEX(big_daily_table,MATCH(DATE(W$5,$K305,$J305),daily_dates,0),MATCH($B$3,daily_items,0))),NA(),INDEX(big_daily_table,MATCH(DATE(W$5,$K305,$J305),daily_dates,0),MATCH($B$3,daily_items,0)))</f>
        <v>#N/A</v>
      </c>
      <c r="X305" s="1" t="str">
        <f t="array" ref="X305">IF(ISBLANK(INDEX(big_daily_table,MATCH(DATE(X$5,$K305,$J305),daily_dates,0),MATCH($B$3,daily_items,0))),NA(),INDEX(big_daily_table,MATCH(DATE(X$5,$K305,$J305),daily_dates,0),MATCH($B$3,daily_items,0)))</f>
        <v>#N/A</v>
      </c>
      <c r="Y305" s="1" t="str">
        <f t="array" ref="Y305">IF(ISBLANK(INDEX(big_daily_table,MATCH(DATE(Y$5,$K305,$J305),daily_dates,0),MATCH($B$3,daily_items,0))),NA(),INDEX(big_daily_table,MATCH(DATE(Y$5,$K305,$J305),daily_dates,0),MATCH($B$3,daily_items,0)))</f>
        <v>#N/A</v>
      </c>
      <c r="Z305" s="1" t="str">
        <f t="array" ref="Z305">IF(ISBLANK(INDEX(big_daily_table,MATCH(DATE(Z$5,$K305,$J305),daily_dates,0),MATCH($B$3,daily_items,0))),NA(),INDEX(big_daily_table,MATCH(DATE(Z$5,$K305,$J305),daily_dates,0),MATCH($B$3,daily_items,0)))</f>
        <v>#N/A</v>
      </c>
      <c r="AA305" s="1" t="str">
        <f t="shared" si="5"/>
        <v>#NAME?</v>
      </c>
      <c r="AB305" s="1" t="str">
        <f t="shared" si="6"/>
        <v>#NAME?</v>
      </c>
      <c r="AC305" s="1" t="str">
        <f t="shared" si="7"/>
        <v>#NAME?</v>
      </c>
      <c r="AD305" s="1" t="str">
        <f t="shared" si="8"/>
        <v>#NAME?</v>
      </c>
    </row>
    <row r="306" ht="14.25" customHeight="1">
      <c r="H306" s="1">
        <f t="shared" si="9"/>
        <v>301</v>
      </c>
      <c r="I306" s="1">
        <f>WEEKDAY('daily graphs'!K306)</f>
        <v>6</v>
      </c>
      <c r="J306" s="1">
        <f t="shared" si="2"/>
        <v>21</v>
      </c>
      <c r="K306" s="1">
        <f t="shared" si="3"/>
        <v>10</v>
      </c>
      <c r="L306" s="23">
        <f>'daily graphs'!K306 - I306</f>
        <v>36820</v>
      </c>
      <c r="M306" s="24">
        <f t="shared" si="4"/>
        <v>1000000</v>
      </c>
      <c r="N306" s="24" t="str">
        <f t="array" ref="N306">IF(M306&gt;0,INDEX(big_daily_table,MATCH(DATE(O$5,$K306,$J306),daily_dates,0),MATCH($B$3,daily_items,0)),NA())</f>
        <v>#N/A</v>
      </c>
      <c r="O306" s="1" t="str">
        <f t="array" ref="O306">IF(M306&lt;0,INDEX(big_daily_table,MATCH(DATE(O$5,$K306,$J306),daily_dates,0),MATCH($B$3,daily_items,0)),NA())</f>
        <v>#N/A</v>
      </c>
      <c r="P306" s="1" t="str">
        <f t="array" ref="P306">IF(ISBLANK(INDEX(big_daily_table,MATCH(DATE(P$5,$K306,$J306),daily_dates,0),MATCH($B$3,daily_items,0))),NA(),INDEX(big_daily_table,MATCH(DATE(P$5,$K306,$J306),daily_dates,0),MATCH($B$3,daily_items,0)))</f>
        <v>#N/A</v>
      </c>
      <c r="Q306" s="1" t="str">
        <f t="array" ref="Q306">IF(ISBLANK(INDEX(big_daily_table,MATCH(DATE(Q$5,$K306,$J306),daily_dates,0),MATCH($B$3,daily_items,0))),NA(),INDEX(big_daily_table,MATCH(DATE(Q$5,$K306,$J306),daily_dates,0),MATCH($B$3,daily_items,0)))</f>
        <v>#N/A</v>
      </c>
      <c r="R306" s="1" t="str">
        <f t="array" ref="R306">IF(ISBLANK(INDEX(big_daily_table,MATCH(DATE(R$5,$K306,$J306),daily_dates,0),MATCH($B$3,daily_items,0))),NA(),INDEX(big_daily_table,MATCH(DATE(R$5,$K306,$J306),daily_dates,0),MATCH($B$3,daily_items,0)))</f>
        <v>#N/A</v>
      </c>
      <c r="S306" s="1" t="str">
        <f t="array" ref="S306">IF(ISBLANK(INDEX(big_daily_table,MATCH(DATE(S$5,$K306,$J306),daily_dates,0),MATCH($B$3,daily_items,0))),NA(),INDEX(big_daily_table,MATCH(DATE(S$5,$K306,$J306),daily_dates,0),MATCH($B$3,daily_items,0)))</f>
        <v>#N/A</v>
      </c>
      <c r="T306" s="1" t="str">
        <f t="array" ref="T306">IF(ISBLANK(INDEX(big_daily_table,MATCH(DATE(T$5,$K306,$J306),daily_dates,0),MATCH($B$3,daily_items,0))),NA(),INDEX(big_daily_table,MATCH(DATE(T$5,$K306,$J306),daily_dates,0),MATCH($B$3,daily_items,0)))</f>
        <v>#N/A</v>
      </c>
      <c r="U306" s="1" t="str">
        <f t="array" ref="U306">IF(ISBLANK(INDEX(big_daily_table,MATCH(DATE(U$5,$K306,$J306),daily_dates,0),MATCH($B$3,daily_items,0))),NA(),INDEX(big_daily_table,MATCH(DATE(U$5,$K306,$J306),daily_dates,0),MATCH($B$3,daily_items,0)))</f>
        <v>#N/A</v>
      </c>
      <c r="V306" s="1" t="str">
        <f t="array" ref="V306">IF(ISBLANK(INDEX(big_daily_table,MATCH(DATE(V$5,$K306,$J306),daily_dates,0),MATCH($B$3,daily_items,0))),NA(),INDEX(big_daily_table,MATCH(DATE(V$5,$K306,$J306),daily_dates,0),MATCH($B$3,daily_items,0)))</f>
        <v>#N/A</v>
      </c>
      <c r="W306" s="1" t="str">
        <f t="array" ref="W306">IF(ISBLANK(INDEX(big_daily_table,MATCH(DATE(W$5,$K306,$J306),daily_dates,0),MATCH($B$3,daily_items,0))),NA(),INDEX(big_daily_table,MATCH(DATE(W$5,$K306,$J306),daily_dates,0),MATCH($B$3,daily_items,0)))</f>
        <v>#N/A</v>
      </c>
      <c r="X306" s="1" t="str">
        <f t="array" ref="X306">IF(ISBLANK(INDEX(big_daily_table,MATCH(DATE(X$5,$K306,$J306),daily_dates,0),MATCH($B$3,daily_items,0))),NA(),INDEX(big_daily_table,MATCH(DATE(X$5,$K306,$J306),daily_dates,0),MATCH($B$3,daily_items,0)))</f>
        <v>#N/A</v>
      </c>
      <c r="Y306" s="1" t="str">
        <f t="array" ref="Y306">IF(ISBLANK(INDEX(big_daily_table,MATCH(DATE(Y$5,$K306,$J306),daily_dates,0),MATCH($B$3,daily_items,0))),NA(),INDEX(big_daily_table,MATCH(DATE(Y$5,$K306,$J306),daily_dates,0),MATCH($B$3,daily_items,0)))</f>
        <v>#N/A</v>
      </c>
      <c r="Z306" s="1" t="str">
        <f t="array" ref="Z306">IF(ISBLANK(INDEX(big_daily_table,MATCH(DATE(Z$5,$K306,$J306),daily_dates,0),MATCH($B$3,daily_items,0))),NA(),INDEX(big_daily_table,MATCH(DATE(Z$5,$K306,$J306),daily_dates,0),MATCH($B$3,daily_items,0)))</f>
        <v>#N/A</v>
      </c>
      <c r="AA306" s="1" t="str">
        <f t="shared" si="5"/>
        <v>#NAME?</v>
      </c>
      <c r="AB306" s="1" t="str">
        <f t="shared" si="6"/>
        <v>#NAME?</v>
      </c>
      <c r="AC306" s="1" t="str">
        <f t="shared" si="7"/>
        <v>#NAME?</v>
      </c>
      <c r="AD306" s="1" t="str">
        <f t="shared" si="8"/>
        <v>#NAME?</v>
      </c>
    </row>
    <row r="307" ht="14.25" customHeight="1">
      <c r="H307" s="1">
        <f t="shared" si="9"/>
        <v>302</v>
      </c>
      <c r="I307" s="1">
        <f>WEEKDAY('daily graphs'!K307)</f>
        <v>7</v>
      </c>
      <c r="J307" s="1">
        <f t="shared" si="2"/>
        <v>21</v>
      </c>
      <c r="K307" s="1">
        <f t="shared" si="3"/>
        <v>10</v>
      </c>
      <c r="L307" s="23">
        <f>'daily graphs'!K307 - I307</f>
        <v>36820</v>
      </c>
      <c r="M307" s="24">
        <f t="shared" si="4"/>
        <v>1000000</v>
      </c>
      <c r="N307" s="24" t="str">
        <f t="array" ref="N307">IF(M307&gt;0,INDEX(big_daily_table,MATCH(DATE(O$5,$K307,$J307),daily_dates,0),MATCH($B$3,daily_items,0)),NA())</f>
        <v>#N/A</v>
      </c>
      <c r="O307" s="1" t="str">
        <f t="array" ref="O307">IF(M307&lt;0,INDEX(big_daily_table,MATCH(DATE(O$5,$K307,$J307),daily_dates,0),MATCH($B$3,daily_items,0)),NA())</f>
        <v>#N/A</v>
      </c>
      <c r="P307" s="1" t="str">
        <f t="array" ref="P307">IF(ISBLANK(INDEX(big_daily_table,MATCH(DATE(P$5,$K307,$J307),daily_dates,0),MATCH($B$3,daily_items,0))),NA(),INDEX(big_daily_table,MATCH(DATE(P$5,$K307,$J307),daily_dates,0),MATCH($B$3,daily_items,0)))</f>
        <v>#N/A</v>
      </c>
      <c r="Q307" s="1" t="str">
        <f t="array" ref="Q307">IF(ISBLANK(INDEX(big_daily_table,MATCH(DATE(Q$5,$K307,$J307),daily_dates,0),MATCH($B$3,daily_items,0))),NA(),INDEX(big_daily_table,MATCH(DATE(Q$5,$K307,$J307),daily_dates,0),MATCH($B$3,daily_items,0)))</f>
        <v>#N/A</v>
      </c>
      <c r="R307" s="1" t="str">
        <f t="array" ref="R307">IF(ISBLANK(INDEX(big_daily_table,MATCH(DATE(R$5,$K307,$J307),daily_dates,0),MATCH($B$3,daily_items,0))),NA(),INDEX(big_daily_table,MATCH(DATE(R$5,$K307,$J307),daily_dates,0),MATCH($B$3,daily_items,0)))</f>
        <v>#N/A</v>
      </c>
      <c r="S307" s="1" t="str">
        <f t="array" ref="S307">IF(ISBLANK(INDEX(big_daily_table,MATCH(DATE(S$5,$K307,$J307),daily_dates,0),MATCH($B$3,daily_items,0))),NA(),INDEX(big_daily_table,MATCH(DATE(S$5,$K307,$J307),daily_dates,0),MATCH($B$3,daily_items,0)))</f>
        <v>#N/A</v>
      </c>
      <c r="T307" s="1" t="str">
        <f t="array" ref="T307">IF(ISBLANK(INDEX(big_daily_table,MATCH(DATE(T$5,$K307,$J307),daily_dates,0),MATCH($B$3,daily_items,0))),NA(),INDEX(big_daily_table,MATCH(DATE(T$5,$K307,$J307),daily_dates,0),MATCH($B$3,daily_items,0)))</f>
        <v>#N/A</v>
      </c>
      <c r="U307" s="1" t="str">
        <f t="array" ref="U307">IF(ISBLANK(INDEX(big_daily_table,MATCH(DATE(U$5,$K307,$J307),daily_dates,0),MATCH($B$3,daily_items,0))),NA(),INDEX(big_daily_table,MATCH(DATE(U$5,$K307,$J307),daily_dates,0),MATCH($B$3,daily_items,0)))</f>
        <v>#N/A</v>
      </c>
      <c r="V307" s="1" t="str">
        <f t="array" ref="V307">IF(ISBLANK(INDEX(big_daily_table,MATCH(DATE(V$5,$K307,$J307),daily_dates,0),MATCH($B$3,daily_items,0))),NA(),INDEX(big_daily_table,MATCH(DATE(V$5,$K307,$J307),daily_dates,0),MATCH($B$3,daily_items,0)))</f>
        <v>#N/A</v>
      </c>
      <c r="W307" s="1" t="str">
        <f t="array" ref="W307">IF(ISBLANK(INDEX(big_daily_table,MATCH(DATE(W$5,$K307,$J307),daily_dates,0),MATCH($B$3,daily_items,0))),NA(),INDEX(big_daily_table,MATCH(DATE(W$5,$K307,$J307),daily_dates,0),MATCH($B$3,daily_items,0)))</f>
        <v>#N/A</v>
      </c>
      <c r="X307" s="1" t="str">
        <f t="array" ref="X307">IF(ISBLANK(INDEX(big_daily_table,MATCH(DATE(X$5,$K307,$J307),daily_dates,0),MATCH($B$3,daily_items,0))),NA(),INDEX(big_daily_table,MATCH(DATE(X$5,$K307,$J307),daily_dates,0),MATCH($B$3,daily_items,0)))</f>
        <v>#N/A</v>
      </c>
      <c r="Y307" s="1" t="str">
        <f t="array" ref="Y307">IF(ISBLANK(INDEX(big_daily_table,MATCH(DATE(Y$5,$K307,$J307),daily_dates,0),MATCH($B$3,daily_items,0))),NA(),INDEX(big_daily_table,MATCH(DATE(Y$5,$K307,$J307),daily_dates,0),MATCH($B$3,daily_items,0)))</f>
        <v>#N/A</v>
      </c>
      <c r="Z307" s="1" t="str">
        <f t="array" ref="Z307">IF(ISBLANK(INDEX(big_daily_table,MATCH(DATE(Z$5,$K307,$J307),daily_dates,0),MATCH($B$3,daily_items,0))),NA(),INDEX(big_daily_table,MATCH(DATE(Z$5,$K307,$J307),daily_dates,0),MATCH($B$3,daily_items,0)))</f>
        <v>#N/A</v>
      </c>
      <c r="AA307" s="1" t="str">
        <f t="shared" si="5"/>
        <v>#NAME?</v>
      </c>
      <c r="AB307" s="1" t="str">
        <f t="shared" si="6"/>
        <v>#NAME?</v>
      </c>
      <c r="AC307" s="1" t="str">
        <f t="shared" si="7"/>
        <v>#NAME?</v>
      </c>
      <c r="AD307" s="1" t="str">
        <f t="shared" si="8"/>
        <v>#NAME?</v>
      </c>
    </row>
    <row r="308" ht="14.25" customHeight="1">
      <c r="H308" s="1">
        <f t="shared" si="9"/>
        <v>303</v>
      </c>
      <c r="I308" s="1">
        <f>WEEKDAY('daily graphs'!K308)</f>
        <v>1</v>
      </c>
      <c r="J308" s="1">
        <f t="shared" si="2"/>
        <v>28</v>
      </c>
      <c r="K308" s="1">
        <f t="shared" si="3"/>
        <v>10</v>
      </c>
      <c r="L308" s="23">
        <f>'daily graphs'!K308 - I308</f>
        <v>36827</v>
      </c>
      <c r="M308" s="24">
        <f t="shared" si="4"/>
        <v>1000000</v>
      </c>
      <c r="N308" s="24" t="str">
        <f t="array" ref="N308">IF(M308&gt;0,INDEX(big_daily_table,MATCH(DATE(O$5,$K308,$J308),daily_dates,0),MATCH($B$3,daily_items,0)),NA())</f>
        <v>#N/A</v>
      </c>
      <c r="O308" s="1" t="str">
        <f t="array" ref="O308">IF(M308&lt;0,INDEX(big_daily_table,MATCH(DATE(O$5,$K308,$J308),daily_dates,0),MATCH($B$3,daily_items,0)),NA())</f>
        <v>#N/A</v>
      </c>
      <c r="P308" s="1" t="str">
        <f t="array" ref="P308">IF(ISBLANK(INDEX(big_daily_table,MATCH(DATE(P$5,$K308,$J308),daily_dates,0),MATCH($B$3,daily_items,0))),NA(),INDEX(big_daily_table,MATCH(DATE(P$5,$K308,$J308),daily_dates,0),MATCH($B$3,daily_items,0)))</f>
        <v>#N/A</v>
      </c>
      <c r="Q308" s="1" t="str">
        <f t="array" ref="Q308">IF(ISBLANK(INDEX(big_daily_table,MATCH(DATE(Q$5,$K308,$J308),daily_dates,0),MATCH($B$3,daily_items,0))),NA(),INDEX(big_daily_table,MATCH(DATE(Q$5,$K308,$J308),daily_dates,0),MATCH($B$3,daily_items,0)))</f>
        <v>#N/A</v>
      </c>
      <c r="R308" s="1" t="str">
        <f t="array" ref="R308">IF(ISBLANK(INDEX(big_daily_table,MATCH(DATE(R$5,$K308,$J308),daily_dates,0),MATCH($B$3,daily_items,0))),NA(),INDEX(big_daily_table,MATCH(DATE(R$5,$K308,$J308),daily_dates,0),MATCH($B$3,daily_items,0)))</f>
        <v>#N/A</v>
      </c>
      <c r="S308" s="1" t="str">
        <f t="array" ref="S308">IF(ISBLANK(INDEX(big_daily_table,MATCH(DATE(S$5,$K308,$J308),daily_dates,0),MATCH($B$3,daily_items,0))),NA(),INDEX(big_daily_table,MATCH(DATE(S$5,$K308,$J308),daily_dates,0),MATCH($B$3,daily_items,0)))</f>
        <v>#N/A</v>
      </c>
      <c r="T308" s="1" t="str">
        <f t="array" ref="T308">IF(ISBLANK(INDEX(big_daily_table,MATCH(DATE(T$5,$K308,$J308),daily_dates,0),MATCH($B$3,daily_items,0))),NA(),INDEX(big_daily_table,MATCH(DATE(T$5,$K308,$J308),daily_dates,0),MATCH($B$3,daily_items,0)))</f>
        <v>#N/A</v>
      </c>
      <c r="U308" s="1" t="str">
        <f t="array" ref="U308">IF(ISBLANK(INDEX(big_daily_table,MATCH(DATE(U$5,$K308,$J308),daily_dates,0),MATCH($B$3,daily_items,0))),NA(),INDEX(big_daily_table,MATCH(DATE(U$5,$K308,$J308),daily_dates,0),MATCH($B$3,daily_items,0)))</f>
        <v>#N/A</v>
      </c>
      <c r="V308" s="1" t="str">
        <f t="array" ref="V308">IF(ISBLANK(INDEX(big_daily_table,MATCH(DATE(V$5,$K308,$J308),daily_dates,0),MATCH($B$3,daily_items,0))),NA(),INDEX(big_daily_table,MATCH(DATE(V$5,$K308,$J308),daily_dates,0),MATCH($B$3,daily_items,0)))</f>
        <v>#N/A</v>
      </c>
      <c r="W308" s="1" t="str">
        <f t="array" ref="W308">IF(ISBLANK(INDEX(big_daily_table,MATCH(DATE(W$5,$K308,$J308),daily_dates,0),MATCH($B$3,daily_items,0))),NA(),INDEX(big_daily_table,MATCH(DATE(W$5,$K308,$J308),daily_dates,0),MATCH($B$3,daily_items,0)))</f>
        <v>#N/A</v>
      </c>
      <c r="X308" s="1" t="str">
        <f t="array" ref="X308">IF(ISBLANK(INDEX(big_daily_table,MATCH(DATE(X$5,$K308,$J308),daily_dates,0),MATCH($B$3,daily_items,0))),NA(),INDEX(big_daily_table,MATCH(DATE(X$5,$K308,$J308),daily_dates,0),MATCH($B$3,daily_items,0)))</f>
        <v>#N/A</v>
      </c>
      <c r="Y308" s="1" t="str">
        <f t="array" ref="Y308">IF(ISBLANK(INDEX(big_daily_table,MATCH(DATE(Y$5,$K308,$J308),daily_dates,0),MATCH($B$3,daily_items,0))),NA(),INDEX(big_daily_table,MATCH(DATE(Y$5,$K308,$J308),daily_dates,0),MATCH($B$3,daily_items,0)))</f>
        <v>#N/A</v>
      </c>
      <c r="Z308" s="1" t="str">
        <f t="array" ref="Z308">IF(ISBLANK(INDEX(big_daily_table,MATCH(DATE(Z$5,$K308,$J308),daily_dates,0),MATCH($B$3,daily_items,0))),NA(),INDEX(big_daily_table,MATCH(DATE(Z$5,$K308,$J308),daily_dates,0),MATCH($B$3,daily_items,0)))</f>
        <v>#N/A</v>
      </c>
      <c r="AA308" s="1" t="str">
        <f t="shared" si="5"/>
        <v>#NAME?</v>
      </c>
      <c r="AB308" s="1" t="str">
        <f t="shared" si="6"/>
        <v>#NAME?</v>
      </c>
      <c r="AC308" s="1" t="str">
        <f t="shared" si="7"/>
        <v>#NAME?</v>
      </c>
      <c r="AD308" s="1" t="str">
        <f t="shared" si="8"/>
        <v>#NAME?</v>
      </c>
    </row>
    <row r="309" ht="14.25" customHeight="1">
      <c r="H309" s="1">
        <f t="shared" si="9"/>
        <v>304</v>
      </c>
      <c r="I309" s="1">
        <f>WEEKDAY('daily graphs'!K309)</f>
        <v>2</v>
      </c>
      <c r="J309" s="1">
        <f t="shared" si="2"/>
        <v>28</v>
      </c>
      <c r="K309" s="1">
        <f t="shared" si="3"/>
        <v>10</v>
      </c>
      <c r="L309" s="23">
        <f>'daily graphs'!K309 - I309</f>
        <v>36827</v>
      </c>
      <c r="M309" s="24">
        <f t="shared" si="4"/>
        <v>1000000</v>
      </c>
      <c r="N309" s="24" t="str">
        <f t="array" ref="N309">IF(M309&gt;0,INDEX(big_daily_table,MATCH(DATE(O$5,$K309,$J309),daily_dates,0),MATCH($B$3,daily_items,0)),NA())</f>
        <v>#N/A</v>
      </c>
      <c r="O309" s="1" t="str">
        <f t="array" ref="O309">IF(M309&lt;0,INDEX(big_daily_table,MATCH(DATE(O$5,$K309,$J309),daily_dates,0),MATCH($B$3,daily_items,0)),NA())</f>
        <v>#N/A</v>
      </c>
      <c r="P309" s="1" t="str">
        <f t="array" ref="P309">IF(ISBLANK(INDEX(big_daily_table,MATCH(DATE(P$5,$K309,$J309),daily_dates,0),MATCH($B$3,daily_items,0))),NA(),INDEX(big_daily_table,MATCH(DATE(P$5,$K309,$J309),daily_dates,0),MATCH($B$3,daily_items,0)))</f>
        <v>#N/A</v>
      </c>
      <c r="Q309" s="1" t="str">
        <f t="array" ref="Q309">IF(ISBLANK(INDEX(big_daily_table,MATCH(DATE(Q$5,$K309,$J309),daily_dates,0),MATCH($B$3,daily_items,0))),NA(),INDEX(big_daily_table,MATCH(DATE(Q$5,$K309,$J309),daily_dates,0),MATCH($B$3,daily_items,0)))</f>
        <v>#N/A</v>
      </c>
      <c r="R309" s="1" t="str">
        <f t="array" ref="R309">IF(ISBLANK(INDEX(big_daily_table,MATCH(DATE(R$5,$K309,$J309),daily_dates,0),MATCH($B$3,daily_items,0))),NA(),INDEX(big_daily_table,MATCH(DATE(R$5,$K309,$J309),daily_dates,0),MATCH($B$3,daily_items,0)))</f>
        <v>#N/A</v>
      </c>
      <c r="S309" s="1" t="str">
        <f t="array" ref="S309">IF(ISBLANK(INDEX(big_daily_table,MATCH(DATE(S$5,$K309,$J309),daily_dates,0),MATCH($B$3,daily_items,0))),NA(),INDEX(big_daily_table,MATCH(DATE(S$5,$K309,$J309),daily_dates,0),MATCH($B$3,daily_items,0)))</f>
        <v>#N/A</v>
      </c>
      <c r="T309" s="1" t="str">
        <f t="array" ref="T309">IF(ISBLANK(INDEX(big_daily_table,MATCH(DATE(T$5,$K309,$J309),daily_dates,0),MATCH($B$3,daily_items,0))),NA(),INDEX(big_daily_table,MATCH(DATE(T$5,$K309,$J309),daily_dates,0),MATCH($B$3,daily_items,0)))</f>
        <v>#N/A</v>
      </c>
      <c r="U309" s="1" t="str">
        <f t="array" ref="U309">IF(ISBLANK(INDEX(big_daily_table,MATCH(DATE(U$5,$K309,$J309),daily_dates,0),MATCH($B$3,daily_items,0))),NA(),INDEX(big_daily_table,MATCH(DATE(U$5,$K309,$J309),daily_dates,0),MATCH($B$3,daily_items,0)))</f>
        <v>#N/A</v>
      </c>
      <c r="V309" s="1" t="str">
        <f t="array" ref="V309">IF(ISBLANK(INDEX(big_daily_table,MATCH(DATE(V$5,$K309,$J309),daily_dates,0),MATCH($B$3,daily_items,0))),NA(),INDEX(big_daily_table,MATCH(DATE(V$5,$K309,$J309),daily_dates,0),MATCH($B$3,daily_items,0)))</f>
        <v>#N/A</v>
      </c>
      <c r="W309" s="1" t="str">
        <f t="array" ref="W309">IF(ISBLANK(INDEX(big_daily_table,MATCH(DATE(W$5,$K309,$J309),daily_dates,0),MATCH($B$3,daily_items,0))),NA(),INDEX(big_daily_table,MATCH(DATE(W$5,$K309,$J309),daily_dates,0),MATCH($B$3,daily_items,0)))</f>
        <v>#N/A</v>
      </c>
      <c r="X309" s="1" t="str">
        <f t="array" ref="X309">IF(ISBLANK(INDEX(big_daily_table,MATCH(DATE(X$5,$K309,$J309),daily_dates,0),MATCH($B$3,daily_items,0))),NA(),INDEX(big_daily_table,MATCH(DATE(X$5,$K309,$J309),daily_dates,0),MATCH($B$3,daily_items,0)))</f>
        <v>#N/A</v>
      </c>
      <c r="Y309" s="1" t="str">
        <f t="array" ref="Y309">IF(ISBLANK(INDEX(big_daily_table,MATCH(DATE(Y$5,$K309,$J309),daily_dates,0),MATCH($B$3,daily_items,0))),NA(),INDEX(big_daily_table,MATCH(DATE(Y$5,$K309,$J309),daily_dates,0),MATCH($B$3,daily_items,0)))</f>
        <v>#N/A</v>
      </c>
      <c r="Z309" s="1" t="str">
        <f t="array" ref="Z309">IF(ISBLANK(INDEX(big_daily_table,MATCH(DATE(Z$5,$K309,$J309),daily_dates,0),MATCH($B$3,daily_items,0))),NA(),INDEX(big_daily_table,MATCH(DATE(Z$5,$K309,$J309),daily_dates,0),MATCH($B$3,daily_items,0)))</f>
        <v>#N/A</v>
      </c>
      <c r="AA309" s="1" t="str">
        <f t="shared" si="5"/>
        <v>#NAME?</v>
      </c>
      <c r="AB309" s="1" t="str">
        <f t="shared" si="6"/>
        <v>#NAME?</v>
      </c>
      <c r="AC309" s="1" t="str">
        <f t="shared" si="7"/>
        <v>#NAME?</v>
      </c>
      <c r="AD309" s="1" t="str">
        <f t="shared" si="8"/>
        <v>#NAME?</v>
      </c>
    </row>
    <row r="310" ht="14.25" customHeight="1">
      <c r="H310" s="1">
        <f t="shared" si="9"/>
        <v>305</v>
      </c>
      <c r="I310" s="1">
        <f>WEEKDAY('daily graphs'!K310)</f>
        <v>3</v>
      </c>
      <c r="J310" s="1">
        <f t="shared" si="2"/>
        <v>28</v>
      </c>
      <c r="K310" s="1">
        <f t="shared" si="3"/>
        <v>10</v>
      </c>
      <c r="L310" s="23">
        <f>'daily graphs'!K310 - I310</f>
        <v>36827</v>
      </c>
      <c r="M310" s="24">
        <f t="shared" si="4"/>
        <v>1000000</v>
      </c>
      <c r="N310" s="24" t="str">
        <f t="array" ref="N310">IF(M310&gt;0,INDEX(big_daily_table,MATCH(DATE(O$5,$K310,$J310),daily_dates,0),MATCH($B$3,daily_items,0)),NA())</f>
        <v>#N/A</v>
      </c>
      <c r="O310" s="1" t="str">
        <f t="array" ref="O310">IF(M310&lt;0,INDEX(big_daily_table,MATCH(DATE(O$5,$K310,$J310),daily_dates,0),MATCH($B$3,daily_items,0)),NA())</f>
        <v>#N/A</v>
      </c>
      <c r="P310" s="1" t="str">
        <f t="array" ref="P310">IF(ISBLANK(INDEX(big_daily_table,MATCH(DATE(P$5,$K310,$J310),daily_dates,0),MATCH($B$3,daily_items,0))),NA(),INDEX(big_daily_table,MATCH(DATE(P$5,$K310,$J310),daily_dates,0),MATCH($B$3,daily_items,0)))</f>
        <v>#N/A</v>
      </c>
      <c r="Q310" s="1" t="str">
        <f t="array" ref="Q310">IF(ISBLANK(INDEX(big_daily_table,MATCH(DATE(Q$5,$K310,$J310),daily_dates,0),MATCH($B$3,daily_items,0))),NA(),INDEX(big_daily_table,MATCH(DATE(Q$5,$K310,$J310),daily_dates,0),MATCH($B$3,daily_items,0)))</f>
        <v>#N/A</v>
      </c>
      <c r="R310" s="1" t="str">
        <f t="array" ref="R310">IF(ISBLANK(INDEX(big_daily_table,MATCH(DATE(R$5,$K310,$J310),daily_dates,0),MATCH($B$3,daily_items,0))),NA(),INDEX(big_daily_table,MATCH(DATE(R$5,$K310,$J310),daily_dates,0),MATCH($B$3,daily_items,0)))</f>
        <v>#N/A</v>
      </c>
      <c r="S310" s="1" t="str">
        <f t="array" ref="S310">IF(ISBLANK(INDEX(big_daily_table,MATCH(DATE(S$5,$K310,$J310),daily_dates,0),MATCH($B$3,daily_items,0))),NA(),INDEX(big_daily_table,MATCH(DATE(S$5,$K310,$J310),daily_dates,0),MATCH($B$3,daily_items,0)))</f>
        <v>#N/A</v>
      </c>
      <c r="T310" s="1" t="str">
        <f t="array" ref="T310">IF(ISBLANK(INDEX(big_daily_table,MATCH(DATE(T$5,$K310,$J310),daily_dates,0),MATCH($B$3,daily_items,0))),NA(),INDEX(big_daily_table,MATCH(DATE(T$5,$K310,$J310),daily_dates,0),MATCH($B$3,daily_items,0)))</f>
        <v>#N/A</v>
      </c>
      <c r="U310" s="1" t="str">
        <f t="array" ref="U310">IF(ISBLANK(INDEX(big_daily_table,MATCH(DATE(U$5,$K310,$J310),daily_dates,0),MATCH($B$3,daily_items,0))),NA(),INDEX(big_daily_table,MATCH(DATE(U$5,$K310,$J310),daily_dates,0),MATCH($B$3,daily_items,0)))</f>
        <v>#N/A</v>
      </c>
      <c r="V310" s="1" t="str">
        <f t="array" ref="V310">IF(ISBLANK(INDEX(big_daily_table,MATCH(DATE(V$5,$K310,$J310),daily_dates,0),MATCH($B$3,daily_items,0))),NA(),INDEX(big_daily_table,MATCH(DATE(V$5,$K310,$J310),daily_dates,0),MATCH($B$3,daily_items,0)))</f>
        <v>#N/A</v>
      </c>
      <c r="W310" s="1" t="str">
        <f t="array" ref="W310">IF(ISBLANK(INDEX(big_daily_table,MATCH(DATE(W$5,$K310,$J310),daily_dates,0),MATCH($B$3,daily_items,0))),NA(),INDEX(big_daily_table,MATCH(DATE(W$5,$K310,$J310),daily_dates,0),MATCH($B$3,daily_items,0)))</f>
        <v>#N/A</v>
      </c>
      <c r="X310" s="1" t="str">
        <f t="array" ref="X310">IF(ISBLANK(INDEX(big_daily_table,MATCH(DATE(X$5,$K310,$J310),daily_dates,0),MATCH($B$3,daily_items,0))),NA(),INDEX(big_daily_table,MATCH(DATE(X$5,$K310,$J310),daily_dates,0),MATCH($B$3,daily_items,0)))</f>
        <v>#N/A</v>
      </c>
      <c r="Y310" s="1" t="str">
        <f t="array" ref="Y310">IF(ISBLANK(INDEX(big_daily_table,MATCH(DATE(Y$5,$K310,$J310),daily_dates,0),MATCH($B$3,daily_items,0))),NA(),INDEX(big_daily_table,MATCH(DATE(Y$5,$K310,$J310),daily_dates,0),MATCH($B$3,daily_items,0)))</f>
        <v>#N/A</v>
      </c>
      <c r="Z310" s="1" t="str">
        <f t="array" ref="Z310">IF(ISBLANK(INDEX(big_daily_table,MATCH(DATE(Z$5,$K310,$J310),daily_dates,0),MATCH($B$3,daily_items,0))),NA(),INDEX(big_daily_table,MATCH(DATE(Z$5,$K310,$J310),daily_dates,0),MATCH($B$3,daily_items,0)))</f>
        <v>#N/A</v>
      </c>
      <c r="AA310" s="1" t="str">
        <f t="shared" si="5"/>
        <v>#NAME?</v>
      </c>
      <c r="AB310" s="1" t="str">
        <f t="shared" si="6"/>
        <v>#NAME?</v>
      </c>
      <c r="AC310" s="1" t="str">
        <f t="shared" si="7"/>
        <v>#NAME?</v>
      </c>
      <c r="AD310" s="1" t="str">
        <f t="shared" si="8"/>
        <v>#NAME?</v>
      </c>
    </row>
    <row r="311" ht="14.25" customHeight="1">
      <c r="H311" s="1">
        <f t="shared" si="9"/>
        <v>306</v>
      </c>
      <c r="I311" s="1">
        <f>WEEKDAY('daily graphs'!K311)</f>
        <v>4</v>
      </c>
      <c r="J311" s="1">
        <f t="shared" si="2"/>
        <v>28</v>
      </c>
      <c r="K311" s="1">
        <f t="shared" si="3"/>
        <v>10</v>
      </c>
      <c r="L311" s="23">
        <f>'daily graphs'!K311 - I311</f>
        <v>36827</v>
      </c>
      <c r="M311" s="24">
        <f t="shared" si="4"/>
        <v>1000000</v>
      </c>
      <c r="N311" s="24" t="str">
        <f t="array" ref="N311">IF(M311&gt;0,INDEX(big_daily_table,MATCH(DATE(O$5,$K311,$J311),daily_dates,0),MATCH($B$3,daily_items,0)),NA())</f>
        <v>#N/A</v>
      </c>
      <c r="O311" s="1" t="str">
        <f t="array" ref="O311">IF(M311&lt;0,INDEX(big_daily_table,MATCH(DATE(O$5,$K311,$J311),daily_dates,0),MATCH($B$3,daily_items,0)),NA())</f>
        <v>#N/A</v>
      </c>
      <c r="P311" s="1" t="str">
        <f t="array" ref="P311">IF(ISBLANK(INDEX(big_daily_table,MATCH(DATE(P$5,$K311,$J311),daily_dates,0),MATCH($B$3,daily_items,0))),NA(),INDEX(big_daily_table,MATCH(DATE(P$5,$K311,$J311),daily_dates,0),MATCH($B$3,daily_items,0)))</f>
        <v>#N/A</v>
      </c>
      <c r="Q311" s="1" t="str">
        <f t="array" ref="Q311">IF(ISBLANK(INDEX(big_daily_table,MATCH(DATE(Q$5,$K311,$J311),daily_dates,0),MATCH($B$3,daily_items,0))),NA(),INDEX(big_daily_table,MATCH(DATE(Q$5,$K311,$J311),daily_dates,0),MATCH($B$3,daily_items,0)))</f>
        <v>#N/A</v>
      </c>
      <c r="R311" s="1" t="str">
        <f t="array" ref="R311">IF(ISBLANK(INDEX(big_daily_table,MATCH(DATE(R$5,$K311,$J311),daily_dates,0),MATCH($B$3,daily_items,0))),NA(),INDEX(big_daily_table,MATCH(DATE(R$5,$K311,$J311),daily_dates,0),MATCH($B$3,daily_items,0)))</f>
        <v>#N/A</v>
      </c>
      <c r="S311" s="1" t="str">
        <f t="array" ref="S311">IF(ISBLANK(INDEX(big_daily_table,MATCH(DATE(S$5,$K311,$J311),daily_dates,0),MATCH($B$3,daily_items,0))),NA(),INDEX(big_daily_table,MATCH(DATE(S$5,$K311,$J311),daily_dates,0),MATCH($B$3,daily_items,0)))</f>
        <v>#N/A</v>
      </c>
      <c r="T311" s="1" t="str">
        <f t="array" ref="T311">IF(ISBLANK(INDEX(big_daily_table,MATCH(DATE(T$5,$K311,$J311),daily_dates,0),MATCH($B$3,daily_items,0))),NA(),INDEX(big_daily_table,MATCH(DATE(T$5,$K311,$J311),daily_dates,0),MATCH($B$3,daily_items,0)))</f>
        <v>#N/A</v>
      </c>
      <c r="U311" s="1" t="str">
        <f t="array" ref="U311">IF(ISBLANK(INDEX(big_daily_table,MATCH(DATE(U$5,$K311,$J311),daily_dates,0),MATCH($B$3,daily_items,0))),NA(),INDEX(big_daily_table,MATCH(DATE(U$5,$K311,$J311),daily_dates,0),MATCH($B$3,daily_items,0)))</f>
        <v>#N/A</v>
      </c>
      <c r="V311" s="1" t="str">
        <f t="array" ref="V311">IF(ISBLANK(INDEX(big_daily_table,MATCH(DATE(V$5,$K311,$J311),daily_dates,0),MATCH($B$3,daily_items,0))),NA(),INDEX(big_daily_table,MATCH(DATE(V$5,$K311,$J311),daily_dates,0),MATCH($B$3,daily_items,0)))</f>
        <v>#N/A</v>
      </c>
      <c r="W311" s="1" t="str">
        <f t="array" ref="W311">IF(ISBLANK(INDEX(big_daily_table,MATCH(DATE(W$5,$K311,$J311),daily_dates,0),MATCH($B$3,daily_items,0))),NA(),INDEX(big_daily_table,MATCH(DATE(W$5,$K311,$J311),daily_dates,0),MATCH($B$3,daily_items,0)))</f>
        <v>#N/A</v>
      </c>
      <c r="X311" s="1" t="str">
        <f t="array" ref="X311">IF(ISBLANK(INDEX(big_daily_table,MATCH(DATE(X$5,$K311,$J311),daily_dates,0),MATCH($B$3,daily_items,0))),NA(),INDEX(big_daily_table,MATCH(DATE(X$5,$K311,$J311),daily_dates,0),MATCH($B$3,daily_items,0)))</f>
        <v>#N/A</v>
      </c>
      <c r="Y311" s="1" t="str">
        <f t="array" ref="Y311">IF(ISBLANK(INDEX(big_daily_table,MATCH(DATE(Y$5,$K311,$J311),daily_dates,0),MATCH($B$3,daily_items,0))),NA(),INDEX(big_daily_table,MATCH(DATE(Y$5,$K311,$J311),daily_dates,0),MATCH($B$3,daily_items,0)))</f>
        <v>#N/A</v>
      </c>
      <c r="Z311" s="1" t="str">
        <f t="array" ref="Z311">IF(ISBLANK(INDEX(big_daily_table,MATCH(DATE(Z$5,$K311,$J311),daily_dates,0),MATCH($B$3,daily_items,0))),NA(),INDEX(big_daily_table,MATCH(DATE(Z$5,$K311,$J311),daily_dates,0),MATCH($B$3,daily_items,0)))</f>
        <v>#N/A</v>
      </c>
      <c r="AA311" s="1" t="str">
        <f t="shared" si="5"/>
        <v>#NAME?</v>
      </c>
      <c r="AB311" s="1" t="str">
        <f t="shared" si="6"/>
        <v>#NAME?</v>
      </c>
      <c r="AC311" s="1" t="str">
        <f t="shared" si="7"/>
        <v>#NAME?</v>
      </c>
      <c r="AD311" s="1" t="str">
        <f t="shared" si="8"/>
        <v>#NAME?</v>
      </c>
    </row>
    <row r="312" ht="14.25" customHeight="1">
      <c r="H312" s="1">
        <f t="shared" si="9"/>
        <v>307</v>
      </c>
      <c r="I312" s="1">
        <f>WEEKDAY('daily graphs'!K312)</f>
        <v>5</v>
      </c>
      <c r="J312" s="1">
        <f t="shared" si="2"/>
        <v>28</v>
      </c>
      <c r="K312" s="1">
        <f t="shared" si="3"/>
        <v>10</v>
      </c>
      <c r="L312" s="23">
        <f>'daily graphs'!K312 - I312</f>
        <v>36827</v>
      </c>
      <c r="M312" s="24">
        <f t="shared" si="4"/>
        <v>1000000</v>
      </c>
      <c r="N312" s="24" t="str">
        <f t="array" ref="N312">IF(M312&gt;0,INDEX(big_daily_table,MATCH(DATE(O$5,$K312,$J312),daily_dates,0),MATCH($B$3,daily_items,0)),NA())</f>
        <v>#N/A</v>
      </c>
      <c r="O312" s="1" t="str">
        <f t="array" ref="O312">IF(M312&lt;0,INDEX(big_daily_table,MATCH(DATE(O$5,$K312,$J312),daily_dates,0),MATCH($B$3,daily_items,0)),NA())</f>
        <v>#N/A</v>
      </c>
      <c r="P312" s="1" t="str">
        <f t="array" ref="P312">IF(ISBLANK(INDEX(big_daily_table,MATCH(DATE(P$5,$K312,$J312),daily_dates,0),MATCH($B$3,daily_items,0))),NA(),INDEX(big_daily_table,MATCH(DATE(P$5,$K312,$J312),daily_dates,0),MATCH($B$3,daily_items,0)))</f>
        <v>#N/A</v>
      </c>
      <c r="Q312" s="1" t="str">
        <f t="array" ref="Q312">IF(ISBLANK(INDEX(big_daily_table,MATCH(DATE(Q$5,$K312,$J312),daily_dates,0),MATCH($B$3,daily_items,0))),NA(),INDEX(big_daily_table,MATCH(DATE(Q$5,$K312,$J312),daily_dates,0),MATCH($B$3,daily_items,0)))</f>
        <v>#N/A</v>
      </c>
      <c r="R312" s="1" t="str">
        <f t="array" ref="R312">IF(ISBLANK(INDEX(big_daily_table,MATCH(DATE(R$5,$K312,$J312),daily_dates,0),MATCH($B$3,daily_items,0))),NA(),INDEX(big_daily_table,MATCH(DATE(R$5,$K312,$J312),daily_dates,0),MATCH($B$3,daily_items,0)))</f>
        <v>#N/A</v>
      </c>
      <c r="S312" s="1" t="str">
        <f t="array" ref="S312">IF(ISBLANK(INDEX(big_daily_table,MATCH(DATE(S$5,$K312,$J312),daily_dates,0),MATCH($B$3,daily_items,0))),NA(),INDEX(big_daily_table,MATCH(DATE(S$5,$K312,$J312),daily_dates,0),MATCH($B$3,daily_items,0)))</f>
        <v>#N/A</v>
      </c>
      <c r="T312" s="1" t="str">
        <f t="array" ref="T312">IF(ISBLANK(INDEX(big_daily_table,MATCH(DATE(T$5,$K312,$J312),daily_dates,0),MATCH($B$3,daily_items,0))),NA(),INDEX(big_daily_table,MATCH(DATE(T$5,$K312,$J312),daily_dates,0),MATCH($B$3,daily_items,0)))</f>
        <v>#N/A</v>
      </c>
      <c r="U312" s="1" t="str">
        <f t="array" ref="U312">IF(ISBLANK(INDEX(big_daily_table,MATCH(DATE(U$5,$K312,$J312),daily_dates,0),MATCH($B$3,daily_items,0))),NA(),INDEX(big_daily_table,MATCH(DATE(U$5,$K312,$J312),daily_dates,0),MATCH($B$3,daily_items,0)))</f>
        <v>#N/A</v>
      </c>
      <c r="V312" s="1" t="str">
        <f t="array" ref="V312">IF(ISBLANK(INDEX(big_daily_table,MATCH(DATE(V$5,$K312,$J312),daily_dates,0),MATCH($B$3,daily_items,0))),NA(),INDEX(big_daily_table,MATCH(DATE(V$5,$K312,$J312),daily_dates,0),MATCH($B$3,daily_items,0)))</f>
        <v>#N/A</v>
      </c>
      <c r="W312" s="1" t="str">
        <f t="array" ref="W312">IF(ISBLANK(INDEX(big_daily_table,MATCH(DATE(W$5,$K312,$J312),daily_dates,0),MATCH($B$3,daily_items,0))),NA(),INDEX(big_daily_table,MATCH(DATE(W$5,$K312,$J312),daily_dates,0),MATCH($B$3,daily_items,0)))</f>
        <v>#N/A</v>
      </c>
      <c r="X312" s="1" t="str">
        <f t="array" ref="X312">IF(ISBLANK(INDEX(big_daily_table,MATCH(DATE(X$5,$K312,$J312),daily_dates,0),MATCH($B$3,daily_items,0))),NA(),INDEX(big_daily_table,MATCH(DATE(X$5,$K312,$J312),daily_dates,0),MATCH($B$3,daily_items,0)))</f>
        <v>#N/A</v>
      </c>
      <c r="Y312" s="1" t="str">
        <f t="array" ref="Y312">IF(ISBLANK(INDEX(big_daily_table,MATCH(DATE(Y$5,$K312,$J312),daily_dates,0),MATCH($B$3,daily_items,0))),NA(),INDEX(big_daily_table,MATCH(DATE(Y$5,$K312,$J312),daily_dates,0),MATCH($B$3,daily_items,0)))</f>
        <v>#N/A</v>
      </c>
      <c r="Z312" s="1" t="str">
        <f t="array" ref="Z312">IF(ISBLANK(INDEX(big_daily_table,MATCH(DATE(Z$5,$K312,$J312),daily_dates,0),MATCH($B$3,daily_items,0))),NA(),INDEX(big_daily_table,MATCH(DATE(Z$5,$K312,$J312),daily_dates,0),MATCH($B$3,daily_items,0)))</f>
        <v>#N/A</v>
      </c>
      <c r="AA312" s="1" t="str">
        <f t="shared" si="5"/>
        <v>#NAME?</v>
      </c>
      <c r="AB312" s="1" t="str">
        <f t="shared" si="6"/>
        <v>#NAME?</v>
      </c>
      <c r="AC312" s="1" t="str">
        <f t="shared" si="7"/>
        <v>#NAME?</v>
      </c>
      <c r="AD312" s="1" t="str">
        <f t="shared" si="8"/>
        <v>#NAME?</v>
      </c>
    </row>
    <row r="313" ht="14.25" customHeight="1">
      <c r="H313" s="1">
        <f t="shared" si="9"/>
        <v>308</v>
      </c>
      <c r="I313" s="1">
        <f>WEEKDAY('daily graphs'!K313)</f>
        <v>6</v>
      </c>
      <c r="J313" s="1">
        <f t="shared" si="2"/>
        <v>28</v>
      </c>
      <c r="K313" s="1">
        <f t="shared" si="3"/>
        <v>10</v>
      </c>
      <c r="L313" s="23">
        <f>'daily graphs'!K313 - I313</f>
        <v>36827</v>
      </c>
      <c r="M313" s="24">
        <f t="shared" si="4"/>
        <v>1000000</v>
      </c>
      <c r="N313" s="24" t="str">
        <f t="array" ref="N313">IF(M313&gt;0,INDEX(big_daily_table,MATCH(DATE(O$5,$K313,$J313),daily_dates,0),MATCH($B$3,daily_items,0)),NA())</f>
        <v>#N/A</v>
      </c>
      <c r="O313" s="1" t="str">
        <f t="array" ref="O313">IF(M313&lt;0,INDEX(big_daily_table,MATCH(DATE(O$5,$K313,$J313),daily_dates,0),MATCH($B$3,daily_items,0)),NA())</f>
        <v>#N/A</v>
      </c>
      <c r="P313" s="1" t="str">
        <f t="array" ref="P313">IF(ISBLANK(INDEX(big_daily_table,MATCH(DATE(P$5,$K313,$J313),daily_dates,0),MATCH($B$3,daily_items,0))),NA(),INDEX(big_daily_table,MATCH(DATE(P$5,$K313,$J313),daily_dates,0),MATCH($B$3,daily_items,0)))</f>
        <v>#N/A</v>
      </c>
      <c r="Q313" s="1" t="str">
        <f t="array" ref="Q313">IF(ISBLANK(INDEX(big_daily_table,MATCH(DATE(Q$5,$K313,$J313),daily_dates,0),MATCH($B$3,daily_items,0))),NA(),INDEX(big_daily_table,MATCH(DATE(Q$5,$K313,$J313),daily_dates,0),MATCH($B$3,daily_items,0)))</f>
        <v>#N/A</v>
      </c>
      <c r="R313" s="1" t="str">
        <f t="array" ref="R313">IF(ISBLANK(INDEX(big_daily_table,MATCH(DATE(R$5,$K313,$J313),daily_dates,0),MATCH($B$3,daily_items,0))),NA(),INDEX(big_daily_table,MATCH(DATE(R$5,$K313,$J313),daily_dates,0),MATCH($B$3,daily_items,0)))</f>
        <v>#N/A</v>
      </c>
      <c r="S313" s="1" t="str">
        <f t="array" ref="S313">IF(ISBLANK(INDEX(big_daily_table,MATCH(DATE(S$5,$K313,$J313),daily_dates,0),MATCH($B$3,daily_items,0))),NA(),INDEX(big_daily_table,MATCH(DATE(S$5,$K313,$J313),daily_dates,0),MATCH($B$3,daily_items,0)))</f>
        <v>#N/A</v>
      </c>
      <c r="T313" s="1" t="str">
        <f t="array" ref="T313">IF(ISBLANK(INDEX(big_daily_table,MATCH(DATE(T$5,$K313,$J313),daily_dates,0),MATCH($B$3,daily_items,0))),NA(),INDEX(big_daily_table,MATCH(DATE(T$5,$K313,$J313),daily_dates,0),MATCH($B$3,daily_items,0)))</f>
        <v>#N/A</v>
      </c>
      <c r="U313" s="1" t="str">
        <f t="array" ref="U313">IF(ISBLANK(INDEX(big_daily_table,MATCH(DATE(U$5,$K313,$J313),daily_dates,0),MATCH($B$3,daily_items,0))),NA(),INDEX(big_daily_table,MATCH(DATE(U$5,$K313,$J313),daily_dates,0),MATCH($B$3,daily_items,0)))</f>
        <v>#N/A</v>
      </c>
      <c r="V313" s="1" t="str">
        <f t="array" ref="V313">IF(ISBLANK(INDEX(big_daily_table,MATCH(DATE(V$5,$K313,$J313),daily_dates,0),MATCH($B$3,daily_items,0))),NA(),INDEX(big_daily_table,MATCH(DATE(V$5,$K313,$J313),daily_dates,0),MATCH($B$3,daily_items,0)))</f>
        <v>#N/A</v>
      </c>
      <c r="W313" s="1" t="str">
        <f t="array" ref="W313">IF(ISBLANK(INDEX(big_daily_table,MATCH(DATE(W$5,$K313,$J313),daily_dates,0),MATCH($B$3,daily_items,0))),NA(),INDEX(big_daily_table,MATCH(DATE(W$5,$K313,$J313),daily_dates,0),MATCH($B$3,daily_items,0)))</f>
        <v>#N/A</v>
      </c>
      <c r="X313" s="1" t="str">
        <f t="array" ref="X313">IF(ISBLANK(INDEX(big_daily_table,MATCH(DATE(X$5,$K313,$J313),daily_dates,0),MATCH($B$3,daily_items,0))),NA(),INDEX(big_daily_table,MATCH(DATE(X$5,$K313,$J313),daily_dates,0),MATCH($B$3,daily_items,0)))</f>
        <v>#N/A</v>
      </c>
      <c r="Y313" s="1" t="str">
        <f t="array" ref="Y313">IF(ISBLANK(INDEX(big_daily_table,MATCH(DATE(Y$5,$K313,$J313),daily_dates,0),MATCH($B$3,daily_items,0))),NA(),INDEX(big_daily_table,MATCH(DATE(Y$5,$K313,$J313),daily_dates,0),MATCH($B$3,daily_items,0)))</f>
        <v>#N/A</v>
      </c>
      <c r="Z313" s="1" t="str">
        <f t="array" ref="Z313">IF(ISBLANK(INDEX(big_daily_table,MATCH(DATE(Z$5,$K313,$J313),daily_dates,0),MATCH($B$3,daily_items,0))),NA(),INDEX(big_daily_table,MATCH(DATE(Z$5,$K313,$J313),daily_dates,0),MATCH($B$3,daily_items,0)))</f>
        <v>#N/A</v>
      </c>
      <c r="AA313" s="1" t="str">
        <f t="shared" si="5"/>
        <v>#NAME?</v>
      </c>
      <c r="AB313" s="1" t="str">
        <f t="shared" si="6"/>
        <v>#NAME?</v>
      </c>
      <c r="AC313" s="1" t="str">
        <f t="shared" si="7"/>
        <v>#NAME?</v>
      </c>
      <c r="AD313" s="1" t="str">
        <f t="shared" si="8"/>
        <v>#NAME?</v>
      </c>
    </row>
    <row r="314" ht="14.25" customHeight="1">
      <c r="H314" s="1">
        <f t="shared" si="9"/>
        <v>309</v>
      </c>
      <c r="I314" s="1">
        <f>WEEKDAY('daily graphs'!K314)</f>
        <v>7</v>
      </c>
      <c r="J314" s="1">
        <f t="shared" si="2"/>
        <v>28</v>
      </c>
      <c r="K314" s="1">
        <f t="shared" si="3"/>
        <v>10</v>
      </c>
      <c r="L314" s="23">
        <f>'daily graphs'!K314 - I314</f>
        <v>36827</v>
      </c>
      <c r="M314" s="24">
        <f t="shared" si="4"/>
        <v>1000000</v>
      </c>
      <c r="N314" s="24" t="str">
        <f t="array" ref="N314">IF(M314&gt;0,INDEX(big_daily_table,MATCH(DATE(O$5,$K314,$J314),daily_dates,0),MATCH($B$3,daily_items,0)),NA())</f>
        <v>#N/A</v>
      </c>
      <c r="O314" s="1" t="str">
        <f t="array" ref="O314">IF(M314&lt;0,INDEX(big_daily_table,MATCH(DATE(O$5,$K314,$J314),daily_dates,0),MATCH($B$3,daily_items,0)),NA())</f>
        <v>#N/A</v>
      </c>
      <c r="P314" s="1" t="str">
        <f t="array" ref="P314">IF(ISBLANK(INDEX(big_daily_table,MATCH(DATE(P$5,$K314,$J314),daily_dates,0),MATCH($B$3,daily_items,0))),NA(),INDEX(big_daily_table,MATCH(DATE(P$5,$K314,$J314),daily_dates,0),MATCH($B$3,daily_items,0)))</f>
        <v>#N/A</v>
      </c>
      <c r="Q314" s="1" t="str">
        <f t="array" ref="Q314">IF(ISBLANK(INDEX(big_daily_table,MATCH(DATE(Q$5,$K314,$J314),daily_dates,0),MATCH($B$3,daily_items,0))),NA(),INDEX(big_daily_table,MATCH(DATE(Q$5,$K314,$J314),daily_dates,0),MATCH($B$3,daily_items,0)))</f>
        <v>#N/A</v>
      </c>
      <c r="R314" s="1" t="str">
        <f t="array" ref="R314">IF(ISBLANK(INDEX(big_daily_table,MATCH(DATE(R$5,$K314,$J314),daily_dates,0),MATCH($B$3,daily_items,0))),NA(),INDEX(big_daily_table,MATCH(DATE(R$5,$K314,$J314),daily_dates,0),MATCH($B$3,daily_items,0)))</f>
        <v>#N/A</v>
      </c>
      <c r="S314" s="1" t="str">
        <f t="array" ref="S314">IF(ISBLANK(INDEX(big_daily_table,MATCH(DATE(S$5,$K314,$J314),daily_dates,0),MATCH($B$3,daily_items,0))),NA(),INDEX(big_daily_table,MATCH(DATE(S$5,$K314,$J314),daily_dates,0),MATCH($B$3,daily_items,0)))</f>
        <v>#N/A</v>
      </c>
      <c r="T314" s="1" t="str">
        <f t="array" ref="T314">IF(ISBLANK(INDEX(big_daily_table,MATCH(DATE(T$5,$K314,$J314),daily_dates,0),MATCH($B$3,daily_items,0))),NA(),INDEX(big_daily_table,MATCH(DATE(T$5,$K314,$J314),daily_dates,0),MATCH($B$3,daily_items,0)))</f>
        <v>#N/A</v>
      </c>
      <c r="U314" s="1" t="str">
        <f t="array" ref="U314">IF(ISBLANK(INDEX(big_daily_table,MATCH(DATE(U$5,$K314,$J314),daily_dates,0),MATCH($B$3,daily_items,0))),NA(),INDEX(big_daily_table,MATCH(DATE(U$5,$K314,$J314),daily_dates,0),MATCH($B$3,daily_items,0)))</f>
        <v>#N/A</v>
      </c>
      <c r="V314" s="1" t="str">
        <f t="array" ref="V314">IF(ISBLANK(INDEX(big_daily_table,MATCH(DATE(V$5,$K314,$J314),daily_dates,0),MATCH($B$3,daily_items,0))),NA(),INDEX(big_daily_table,MATCH(DATE(V$5,$K314,$J314),daily_dates,0),MATCH($B$3,daily_items,0)))</f>
        <v>#N/A</v>
      </c>
      <c r="W314" s="1" t="str">
        <f t="array" ref="W314">IF(ISBLANK(INDEX(big_daily_table,MATCH(DATE(W$5,$K314,$J314),daily_dates,0),MATCH($B$3,daily_items,0))),NA(),INDEX(big_daily_table,MATCH(DATE(W$5,$K314,$J314),daily_dates,0),MATCH($B$3,daily_items,0)))</f>
        <v>#N/A</v>
      </c>
      <c r="X314" s="1" t="str">
        <f t="array" ref="X314">IF(ISBLANK(INDEX(big_daily_table,MATCH(DATE(X$5,$K314,$J314),daily_dates,0),MATCH($B$3,daily_items,0))),NA(),INDEX(big_daily_table,MATCH(DATE(X$5,$K314,$J314),daily_dates,0),MATCH($B$3,daily_items,0)))</f>
        <v>#N/A</v>
      </c>
      <c r="Y314" s="1" t="str">
        <f t="array" ref="Y314">IF(ISBLANK(INDEX(big_daily_table,MATCH(DATE(Y$5,$K314,$J314),daily_dates,0),MATCH($B$3,daily_items,0))),NA(),INDEX(big_daily_table,MATCH(DATE(Y$5,$K314,$J314),daily_dates,0),MATCH($B$3,daily_items,0)))</f>
        <v>#N/A</v>
      </c>
      <c r="Z314" s="1" t="str">
        <f t="array" ref="Z314">IF(ISBLANK(INDEX(big_daily_table,MATCH(DATE(Z$5,$K314,$J314),daily_dates,0),MATCH($B$3,daily_items,0))),NA(),INDEX(big_daily_table,MATCH(DATE(Z$5,$K314,$J314),daily_dates,0),MATCH($B$3,daily_items,0)))</f>
        <v>#N/A</v>
      </c>
      <c r="AA314" s="1" t="str">
        <f t="shared" si="5"/>
        <v>#NAME?</v>
      </c>
      <c r="AB314" s="1" t="str">
        <f t="shared" si="6"/>
        <v>#NAME?</v>
      </c>
      <c r="AC314" s="1" t="str">
        <f t="shared" si="7"/>
        <v>#NAME?</v>
      </c>
      <c r="AD314" s="1" t="str">
        <f t="shared" si="8"/>
        <v>#NAME?</v>
      </c>
    </row>
    <row r="315" ht="14.25" customHeight="1">
      <c r="H315" s="1">
        <f t="shared" si="9"/>
        <v>310</v>
      </c>
      <c r="I315" s="1">
        <f>WEEKDAY('daily graphs'!K315)</f>
        <v>1</v>
      </c>
      <c r="J315" s="1">
        <f t="shared" si="2"/>
        <v>4</v>
      </c>
      <c r="K315" s="1">
        <f t="shared" si="3"/>
        <v>11</v>
      </c>
      <c r="L315" s="23">
        <f>'daily graphs'!K315 - I315</f>
        <v>36834</v>
      </c>
      <c r="M315" s="24">
        <f t="shared" si="4"/>
        <v>1000000</v>
      </c>
      <c r="N315" s="24" t="str">
        <f t="array" ref="N315">IF(M315&gt;0,INDEX(big_daily_table,MATCH(DATE(O$5,$K315,$J315),daily_dates,0),MATCH($B$3,daily_items,0)),NA())</f>
        <v>#N/A</v>
      </c>
      <c r="O315" s="1" t="str">
        <f t="array" ref="O315">IF(M315&lt;0,INDEX(big_daily_table,MATCH(DATE(O$5,$K315,$J315),daily_dates,0),MATCH($B$3,daily_items,0)),NA())</f>
        <v>#N/A</v>
      </c>
      <c r="P315" s="1" t="str">
        <f t="array" ref="P315">IF(ISBLANK(INDEX(big_daily_table,MATCH(DATE(P$5,$K315,$J315),daily_dates,0),MATCH($B$3,daily_items,0))),NA(),INDEX(big_daily_table,MATCH(DATE(P$5,$K315,$J315),daily_dates,0),MATCH($B$3,daily_items,0)))</f>
        <v>#N/A</v>
      </c>
      <c r="Q315" s="1" t="str">
        <f t="array" ref="Q315">IF(ISBLANK(INDEX(big_daily_table,MATCH(DATE(Q$5,$K315,$J315),daily_dates,0),MATCH($B$3,daily_items,0))),NA(),INDEX(big_daily_table,MATCH(DATE(Q$5,$K315,$J315),daily_dates,0),MATCH($B$3,daily_items,0)))</f>
        <v>#N/A</v>
      </c>
      <c r="R315" s="1" t="str">
        <f t="array" ref="R315">IF(ISBLANK(INDEX(big_daily_table,MATCH(DATE(R$5,$K315,$J315),daily_dates,0),MATCH($B$3,daily_items,0))),NA(),INDEX(big_daily_table,MATCH(DATE(R$5,$K315,$J315),daily_dates,0),MATCH($B$3,daily_items,0)))</f>
        <v>#N/A</v>
      </c>
      <c r="S315" s="1" t="str">
        <f t="array" ref="S315">IF(ISBLANK(INDEX(big_daily_table,MATCH(DATE(S$5,$K315,$J315),daily_dates,0),MATCH($B$3,daily_items,0))),NA(),INDEX(big_daily_table,MATCH(DATE(S$5,$K315,$J315),daily_dates,0),MATCH($B$3,daily_items,0)))</f>
        <v>#N/A</v>
      </c>
      <c r="T315" s="1" t="str">
        <f t="array" ref="T315">IF(ISBLANK(INDEX(big_daily_table,MATCH(DATE(T$5,$K315,$J315),daily_dates,0),MATCH($B$3,daily_items,0))),NA(),INDEX(big_daily_table,MATCH(DATE(T$5,$K315,$J315),daily_dates,0),MATCH($B$3,daily_items,0)))</f>
        <v>#N/A</v>
      </c>
      <c r="U315" s="1" t="str">
        <f t="array" ref="U315">IF(ISBLANK(INDEX(big_daily_table,MATCH(DATE(U$5,$K315,$J315),daily_dates,0),MATCH($B$3,daily_items,0))),NA(),INDEX(big_daily_table,MATCH(DATE(U$5,$K315,$J315),daily_dates,0),MATCH($B$3,daily_items,0)))</f>
        <v>#N/A</v>
      </c>
      <c r="V315" s="1" t="str">
        <f t="array" ref="V315">IF(ISBLANK(INDEX(big_daily_table,MATCH(DATE(V$5,$K315,$J315),daily_dates,0),MATCH($B$3,daily_items,0))),NA(),INDEX(big_daily_table,MATCH(DATE(V$5,$K315,$J315),daily_dates,0),MATCH($B$3,daily_items,0)))</f>
        <v>#N/A</v>
      </c>
      <c r="W315" s="1" t="str">
        <f t="array" ref="W315">IF(ISBLANK(INDEX(big_daily_table,MATCH(DATE(W$5,$K315,$J315),daily_dates,0),MATCH($B$3,daily_items,0))),NA(),INDEX(big_daily_table,MATCH(DATE(W$5,$K315,$J315),daily_dates,0),MATCH($B$3,daily_items,0)))</f>
        <v>#N/A</v>
      </c>
      <c r="X315" s="1" t="str">
        <f t="array" ref="X315">IF(ISBLANK(INDEX(big_daily_table,MATCH(DATE(X$5,$K315,$J315),daily_dates,0),MATCH($B$3,daily_items,0))),NA(),INDEX(big_daily_table,MATCH(DATE(X$5,$K315,$J315),daily_dates,0),MATCH($B$3,daily_items,0)))</f>
        <v>#N/A</v>
      </c>
      <c r="Y315" s="1" t="str">
        <f t="array" ref="Y315">IF(ISBLANK(INDEX(big_daily_table,MATCH(DATE(Y$5,$K315,$J315),daily_dates,0),MATCH($B$3,daily_items,0))),NA(),INDEX(big_daily_table,MATCH(DATE(Y$5,$K315,$J315),daily_dates,0),MATCH($B$3,daily_items,0)))</f>
        <v>#N/A</v>
      </c>
      <c r="Z315" s="1" t="str">
        <f t="array" ref="Z315">IF(ISBLANK(INDEX(big_daily_table,MATCH(DATE(Z$5,$K315,$J315),daily_dates,0),MATCH($B$3,daily_items,0))),NA(),INDEX(big_daily_table,MATCH(DATE(Z$5,$K315,$J315),daily_dates,0),MATCH($B$3,daily_items,0)))</f>
        <v>#N/A</v>
      </c>
      <c r="AA315" s="1" t="str">
        <f t="shared" si="5"/>
        <v>#NAME?</v>
      </c>
      <c r="AB315" s="1" t="str">
        <f t="shared" si="6"/>
        <v>#NAME?</v>
      </c>
      <c r="AC315" s="1" t="str">
        <f t="shared" si="7"/>
        <v>#NAME?</v>
      </c>
      <c r="AD315" s="1" t="str">
        <f t="shared" si="8"/>
        <v>#NAME?</v>
      </c>
    </row>
    <row r="316" ht="14.25" customHeight="1">
      <c r="H316" s="1">
        <f t="shared" si="9"/>
        <v>311</v>
      </c>
      <c r="I316" s="1">
        <f>WEEKDAY('daily graphs'!K316)</f>
        <v>2</v>
      </c>
      <c r="J316" s="1">
        <f t="shared" si="2"/>
        <v>4</v>
      </c>
      <c r="K316" s="1">
        <f t="shared" si="3"/>
        <v>11</v>
      </c>
      <c r="L316" s="23">
        <f>'daily graphs'!K316 - I316</f>
        <v>36834</v>
      </c>
      <c r="M316" s="24">
        <f t="shared" si="4"/>
        <v>1000000</v>
      </c>
      <c r="N316" s="24" t="str">
        <f t="array" ref="N316">IF(M316&gt;0,INDEX(big_daily_table,MATCH(DATE(O$5,$K316,$J316),daily_dates,0),MATCH($B$3,daily_items,0)),NA())</f>
        <v>#N/A</v>
      </c>
      <c r="O316" s="1" t="str">
        <f t="array" ref="O316">IF(M316&lt;0,INDEX(big_daily_table,MATCH(DATE(O$5,$K316,$J316),daily_dates,0),MATCH($B$3,daily_items,0)),NA())</f>
        <v>#N/A</v>
      </c>
      <c r="P316" s="1" t="str">
        <f t="array" ref="P316">IF(ISBLANK(INDEX(big_daily_table,MATCH(DATE(P$5,$K316,$J316),daily_dates,0),MATCH($B$3,daily_items,0))),NA(),INDEX(big_daily_table,MATCH(DATE(P$5,$K316,$J316),daily_dates,0),MATCH($B$3,daily_items,0)))</f>
        <v>#N/A</v>
      </c>
      <c r="Q316" s="1" t="str">
        <f t="array" ref="Q316">IF(ISBLANK(INDEX(big_daily_table,MATCH(DATE(Q$5,$K316,$J316),daily_dates,0),MATCH($B$3,daily_items,0))),NA(),INDEX(big_daily_table,MATCH(DATE(Q$5,$K316,$J316),daily_dates,0),MATCH($B$3,daily_items,0)))</f>
        <v>#N/A</v>
      </c>
      <c r="R316" s="1" t="str">
        <f t="array" ref="R316">IF(ISBLANK(INDEX(big_daily_table,MATCH(DATE(R$5,$K316,$J316),daily_dates,0),MATCH($B$3,daily_items,0))),NA(),INDEX(big_daily_table,MATCH(DATE(R$5,$K316,$J316),daily_dates,0),MATCH($B$3,daily_items,0)))</f>
        <v>#N/A</v>
      </c>
      <c r="S316" s="1" t="str">
        <f t="array" ref="S316">IF(ISBLANK(INDEX(big_daily_table,MATCH(DATE(S$5,$K316,$J316),daily_dates,0),MATCH($B$3,daily_items,0))),NA(),INDEX(big_daily_table,MATCH(DATE(S$5,$K316,$J316),daily_dates,0),MATCH($B$3,daily_items,0)))</f>
        <v>#N/A</v>
      </c>
      <c r="T316" s="1" t="str">
        <f t="array" ref="T316">IF(ISBLANK(INDEX(big_daily_table,MATCH(DATE(T$5,$K316,$J316),daily_dates,0),MATCH($B$3,daily_items,0))),NA(),INDEX(big_daily_table,MATCH(DATE(T$5,$K316,$J316),daily_dates,0),MATCH($B$3,daily_items,0)))</f>
        <v>#N/A</v>
      </c>
      <c r="U316" s="1" t="str">
        <f t="array" ref="U316">IF(ISBLANK(INDEX(big_daily_table,MATCH(DATE(U$5,$K316,$J316),daily_dates,0),MATCH($B$3,daily_items,0))),NA(),INDEX(big_daily_table,MATCH(DATE(U$5,$K316,$J316),daily_dates,0),MATCH($B$3,daily_items,0)))</f>
        <v>#N/A</v>
      </c>
      <c r="V316" s="1" t="str">
        <f t="array" ref="V316">IF(ISBLANK(INDEX(big_daily_table,MATCH(DATE(V$5,$K316,$J316),daily_dates,0),MATCH($B$3,daily_items,0))),NA(),INDEX(big_daily_table,MATCH(DATE(V$5,$K316,$J316),daily_dates,0),MATCH($B$3,daily_items,0)))</f>
        <v>#N/A</v>
      </c>
      <c r="W316" s="1" t="str">
        <f t="array" ref="W316">IF(ISBLANK(INDEX(big_daily_table,MATCH(DATE(W$5,$K316,$J316),daily_dates,0),MATCH($B$3,daily_items,0))),NA(),INDEX(big_daily_table,MATCH(DATE(W$5,$K316,$J316),daily_dates,0),MATCH($B$3,daily_items,0)))</f>
        <v>#N/A</v>
      </c>
      <c r="X316" s="1" t="str">
        <f t="array" ref="X316">IF(ISBLANK(INDEX(big_daily_table,MATCH(DATE(X$5,$K316,$J316),daily_dates,0),MATCH($B$3,daily_items,0))),NA(),INDEX(big_daily_table,MATCH(DATE(X$5,$K316,$J316),daily_dates,0),MATCH($B$3,daily_items,0)))</f>
        <v>#N/A</v>
      </c>
      <c r="Y316" s="1" t="str">
        <f t="array" ref="Y316">IF(ISBLANK(INDEX(big_daily_table,MATCH(DATE(Y$5,$K316,$J316),daily_dates,0),MATCH($B$3,daily_items,0))),NA(),INDEX(big_daily_table,MATCH(DATE(Y$5,$K316,$J316),daily_dates,0),MATCH($B$3,daily_items,0)))</f>
        <v>#N/A</v>
      </c>
      <c r="Z316" s="1" t="str">
        <f t="array" ref="Z316">IF(ISBLANK(INDEX(big_daily_table,MATCH(DATE(Z$5,$K316,$J316),daily_dates,0),MATCH($B$3,daily_items,0))),NA(),INDEX(big_daily_table,MATCH(DATE(Z$5,$K316,$J316),daily_dates,0),MATCH($B$3,daily_items,0)))</f>
        <v>#N/A</v>
      </c>
      <c r="AA316" s="1" t="str">
        <f t="shared" si="5"/>
        <v>#NAME?</v>
      </c>
      <c r="AB316" s="1" t="str">
        <f t="shared" si="6"/>
        <v>#NAME?</v>
      </c>
      <c r="AC316" s="1" t="str">
        <f t="shared" si="7"/>
        <v>#NAME?</v>
      </c>
      <c r="AD316" s="1" t="str">
        <f t="shared" si="8"/>
        <v>#NAME?</v>
      </c>
    </row>
    <row r="317" ht="14.25" customHeight="1">
      <c r="H317" s="1">
        <f t="shared" si="9"/>
        <v>312</v>
      </c>
      <c r="I317" s="1">
        <f>WEEKDAY('daily graphs'!K317)</f>
        <v>3</v>
      </c>
      <c r="J317" s="1">
        <f t="shared" si="2"/>
        <v>4</v>
      </c>
      <c r="K317" s="1">
        <f t="shared" si="3"/>
        <v>11</v>
      </c>
      <c r="L317" s="23">
        <f>'daily graphs'!K317 - I317</f>
        <v>36834</v>
      </c>
      <c r="M317" s="24">
        <f t="shared" si="4"/>
        <v>1000000</v>
      </c>
      <c r="N317" s="24" t="str">
        <f t="array" ref="N317">IF(M317&gt;0,INDEX(big_daily_table,MATCH(DATE(O$5,$K317,$J317),daily_dates,0),MATCH($B$3,daily_items,0)),NA())</f>
        <v>#N/A</v>
      </c>
      <c r="O317" s="1" t="str">
        <f t="array" ref="O317">IF(M317&lt;0,INDEX(big_daily_table,MATCH(DATE(O$5,$K317,$J317),daily_dates,0),MATCH($B$3,daily_items,0)),NA())</f>
        <v>#N/A</v>
      </c>
      <c r="P317" s="1" t="str">
        <f t="array" ref="P317">IF(ISBLANK(INDEX(big_daily_table,MATCH(DATE(P$5,$K317,$J317),daily_dates,0),MATCH($B$3,daily_items,0))),NA(),INDEX(big_daily_table,MATCH(DATE(P$5,$K317,$J317),daily_dates,0),MATCH($B$3,daily_items,0)))</f>
        <v>#N/A</v>
      </c>
      <c r="Q317" s="1" t="str">
        <f t="array" ref="Q317">IF(ISBLANK(INDEX(big_daily_table,MATCH(DATE(Q$5,$K317,$J317),daily_dates,0),MATCH($B$3,daily_items,0))),NA(),INDEX(big_daily_table,MATCH(DATE(Q$5,$K317,$J317),daily_dates,0),MATCH($B$3,daily_items,0)))</f>
        <v>#N/A</v>
      </c>
      <c r="R317" s="1" t="str">
        <f t="array" ref="R317">IF(ISBLANK(INDEX(big_daily_table,MATCH(DATE(R$5,$K317,$J317),daily_dates,0),MATCH($B$3,daily_items,0))),NA(),INDEX(big_daily_table,MATCH(DATE(R$5,$K317,$J317),daily_dates,0),MATCH($B$3,daily_items,0)))</f>
        <v>#N/A</v>
      </c>
      <c r="S317" s="1" t="str">
        <f t="array" ref="S317">IF(ISBLANK(INDEX(big_daily_table,MATCH(DATE(S$5,$K317,$J317),daily_dates,0),MATCH($B$3,daily_items,0))),NA(),INDEX(big_daily_table,MATCH(DATE(S$5,$K317,$J317),daily_dates,0),MATCH($B$3,daily_items,0)))</f>
        <v>#N/A</v>
      </c>
      <c r="T317" s="1" t="str">
        <f t="array" ref="T317">IF(ISBLANK(INDEX(big_daily_table,MATCH(DATE(T$5,$K317,$J317),daily_dates,0),MATCH($B$3,daily_items,0))),NA(),INDEX(big_daily_table,MATCH(DATE(T$5,$K317,$J317),daily_dates,0),MATCH($B$3,daily_items,0)))</f>
        <v>#N/A</v>
      </c>
      <c r="U317" s="1" t="str">
        <f t="array" ref="U317">IF(ISBLANK(INDEX(big_daily_table,MATCH(DATE(U$5,$K317,$J317),daily_dates,0),MATCH($B$3,daily_items,0))),NA(),INDEX(big_daily_table,MATCH(DATE(U$5,$K317,$J317),daily_dates,0),MATCH($B$3,daily_items,0)))</f>
        <v>#N/A</v>
      </c>
      <c r="V317" s="1" t="str">
        <f t="array" ref="V317">IF(ISBLANK(INDEX(big_daily_table,MATCH(DATE(V$5,$K317,$J317),daily_dates,0),MATCH($B$3,daily_items,0))),NA(),INDEX(big_daily_table,MATCH(DATE(V$5,$K317,$J317),daily_dates,0),MATCH($B$3,daily_items,0)))</f>
        <v>#N/A</v>
      </c>
      <c r="W317" s="1" t="str">
        <f t="array" ref="W317">IF(ISBLANK(INDEX(big_daily_table,MATCH(DATE(W$5,$K317,$J317),daily_dates,0),MATCH($B$3,daily_items,0))),NA(),INDEX(big_daily_table,MATCH(DATE(W$5,$K317,$J317),daily_dates,0),MATCH($B$3,daily_items,0)))</f>
        <v>#N/A</v>
      </c>
      <c r="X317" s="1" t="str">
        <f t="array" ref="X317">IF(ISBLANK(INDEX(big_daily_table,MATCH(DATE(X$5,$K317,$J317),daily_dates,0),MATCH($B$3,daily_items,0))),NA(),INDEX(big_daily_table,MATCH(DATE(X$5,$K317,$J317),daily_dates,0),MATCH($B$3,daily_items,0)))</f>
        <v>#N/A</v>
      </c>
      <c r="Y317" s="1" t="str">
        <f t="array" ref="Y317">IF(ISBLANK(INDEX(big_daily_table,MATCH(DATE(Y$5,$K317,$J317),daily_dates,0),MATCH($B$3,daily_items,0))),NA(),INDEX(big_daily_table,MATCH(DATE(Y$5,$K317,$J317),daily_dates,0),MATCH($B$3,daily_items,0)))</f>
        <v>#N/A</v>
      </c>
      <c r="Z317" s="1" t="str">
        <f t="array" ref="Z317">IF(ISBLANK(INDEX(big_daily_table,MATCH(DATE(Z$5,$K317,$J317),daily_dates,0),MATCH($B$3,daily_items,0))),NA(),INDEX(big_daily_table,MATCH(DATE(Z$5,$K317,$J317),daily_dates,0),MATCH($B$3,daily_items,0)))</f>
        <v>#N/A</v>
      </c>
      <c r="AA317" s="1" t="str">
        <f t="shared" si="5"/>
        <v>#NAME?</v>
      </c>
      <c r="AB317" s="1" t="str">
        <f t="shared" si="6"/>
        <v>#NAME?</v>
      </c>
      <c r="AC317" s="1" t="str">
        <f t="shared" si="7"/>
        <v>#NAME?</v>
      </c>
      <c r="AD317" s="1" t="str">
        <f t="shared" si="8"/>
        <v>#NAME?</v>
      </c>
    </row>
    <row r="318" ht="14.25" customHeight="1">
      <c r="H318" s="1">
        <f t="shared" si="9"/>
        <v>313</v>
      </c>
      <c r="I318" s="1">
        <f>WEEKDAY('daily graphs'!K318)</f>
        <v>4</v>
      </c>
      <c r="J318" s="1">
        <f t="shared" si="2"/>
        <v>4</v>
      </c>
      <c r="K318" s="1">
        <f t="shared" si="3"/>
        <v>11</v>
      </c>
      <c r="L318" s="23">
        <f>'daily graphs'!K318 - I318</f>
        <v>36834</v>
      </c>
      <c r="M318" s="24">
        <f t="shared" si="4"/>
        <v>1000000</v>
      </c>
      <c r="N318" s="24" t="str">
        <f t="array" ref="N318">IF(M318&gt;0,INDEX(big_daily_table,MATCH(DATE(O$5,$K318,$J318),daily_dates,0),MATCH($B$3,daily_items,0)),NA())</f>
        <v>#N/A</v>
      </c>
      <c r="O318" s="1" t="str">
        <f t="array" ref="O318">IF(M318&lt;0,INDEX(big_daily_table,MATCH(DATE(O$5,$K318,$J318),daily_dates,0),MATCH($B$3,daily_items,0)),NA())</f>
        <v>#N/A</v>
      </c>
      <c r="P318" s="1" t="str">
        <f t="array" ref="P318">IF(ISBLANK(INDEX(big_daily_table,MATCH(DATE(P$5,$K318,$J318),daily_dates,0),MATCH($B$3,daily_items,0))),NA(),INDEX(big_daily_table,MATCH(DATE(P$5,$K318,$J318),daily_dates,0),MATCH($B$3,daily_items,0)))</f>
        <v>#N/A</v>
      </c>
      <c r="Q318" s="1" t="str">
        <f t="array" ref="Q318">IF(ISBLANK(INDEX(big_daily_table,MATCH(DATE(Q$5,$K318,$J318),daily_dates,0),MATCH($B$3,daily_items,0))),NA(),INDEX(big_daily_table,MATCH(DATE(Q$5,$K318,$J318),daily_dates,0),MATCH($B$3,daily_items,0)))</f>
        <v>#N/A</v>
      </c>
      <c r="R318" s="1" t="str">
        <f t="array" ref="R318">IF(ISBLANK(INDEX(big_daily_table,MATCH(DATE(R$5,$K318,$J318),daily_dates,0),MATCH($B$3,daily_items,0))),NA(),INDEX(big_daily_table,MATCH(DATE(R$5,$K318,$J318),daily_dates,0),MATCH($B$3,daily_items,0)))</f>
        <v>#N/A</v>
      </c>
      <c r="S318" s="1" t="str">
        <f t="array" ref="S318">IF(ISBLANK(INDEX(big_daily_table,MATCH(DATE(S$5,$K318,$J318),daily_dates,0),MATCH($B$3,daily_items,0))),NA(),INDEX(big_daily_table,MATCH(DATE(S$5,$K318,$J318),daily_dates,0),MATCH($B$3,daily_items,0)))</f>
        <v>#N/A</v>
      </c>
      <c r="T318" s="1" t="str">
        <f t="array" ref="T318">IF(ISBLANK(INDEX(big_daily_table,MATCH(DATE(T$5,$K318,$J318),daily_dates,0),MATCH($B$3,daily_items,0))),NA(),INDEX(big_daily_table,MATCH(DATE(T$5,$K318,$J318),daily_dates,0),MATCH($B$3,daily_items,0)))</f>
        <v>#N/A</v>
      </c>
      <c r="U318" s="1" t="str">
        <f t="array" ref="U318">IF(ISBLANK(INDEX(big_daily_table,MATCH(DATE(U$5,$K318,$J318),daily_dates,0),MATCH($B$3,daily_items,0))),NA(),INDEX(big_daily_table,MATCH(DATE(U$5,$K318,$J318),daily_dates,0),MATCH($B$3,daily_items,0)))</f>
        <v>#N/A</v>
      </c>
      <c r="V318" s="1" t="str">
        <f t="array" ref="V318">IF(ISBLANK(INDEX(big_daily_table,MATCH(DATE(V$5,$K318,$J318),daily_dates,0),MATCH($B$3,daily_items,0))),NA(),INDEX(big_daily_table,MATCH(DATE(V$5,$K318,$J318),daily_dates,0),MATCH($B$3,daily_items,0)))</f>
        <v>#N/A</v>
      </c>
      <c r="W318" s="1" t="str">
        <f t="array" ref="W318">IF(ISBLANK(INDEX(big_daily_table,MATCH(DATE(W$5,$K318,$J318),daily_dates,0),MATCH($B$3,daily_items,0))),NA(),INDEX(big_daily_table,MATCH(DATE(W$5,$K318,$J318),daily_dates,0),MATCH($B$3,daily_items,0)))</f>
        <v>#N/A</v>
      </c>
      <c r="X318" s="1" t="str">
        <f t="array" ref="X318">IF(ISBLANK(INDEX(big_daily_table,MATCH(DATE(X$5,$K318,$J318),daily_dates,0),MATCH($B$3,daily_items,0))),NA(),INDEX(big_daily_table,MATCH(DATE(X$5,$K318,$J318),daily_dates,0),MATCH($B$3,daily_items,0)))</f>
        <v>#N/A</v>
      </c>
      <c r="Y318" s="1" t="str">
        <f t="array" ref="Y318">IF(ISBLANK(INDEX(big_daily_table,MATCH(DATE(Y$5,$K318,$J318),daily_dates,0),MATCH($B$3,daily_items,0))),NA(),INDEX(big_daily_table,MATCH(DATE(Y$5,$K318,$J318),daily_dates,0),MATCH($B$3,daily_items,0)))</f>
        <v>#N/A</v>
      </c>
      <c r="Z318" s="1" t="str">
        <f t="array" ref="Z318">IF(ISBLANK(INDEX(big_daily_table,MATCH(DATE(Z$5,$K318,$J318),daily_dates,0),MATCH($B$3,daily_items,0))),NA(),INDEX(big_daily_table,MATCH(DATE(Z$5,$K318,$J318),daily_dates,0),MATCH($B$3,daily_items,0)))</f>
        <v>#N/A</v>
      </c>
      <c r="AA318" s="1" t="str">
        <f t="shared" si="5"/>
        <v>#NAME?</v>
      </c>
      <c r="AB318" s="1" t="str">
        <f t="shared" si="6"/>
        <v>#NAME?</v>
      </c>
      <c r="AC318" s="1" t="str">
        <f t="shared" si="7"/>
        <v>#NAME?</v>
      </c>
      <c r="AD318" s="1" t="str">
        <f t="shared" si="8"/>
        <v>#NAME?</v>
      </c>
    </row>
    <row r="319" ht="14.25" customHeight="1">
      <c r="H319" s="1">
        <f t="shared" si="9"/>
        <v>314</v>
      </c>
      <c r="I319" s="1">
        <f>WEEKDAY('daily graphs'!K319)</f>
        <v>5</v>
      </c>
      <c r="J319" s="1">
        <f t="shared" si="2"/>
        <v>4</v>
      </c>
      <c r="K319" s="1">
        <f t="shared" si="3"/>
        <v>11</v>
      </c>
      <c r="L319" s="23">
        <f>'daily graphs'!K319 - I319</f>
        <v>36834</v>
      </c>
      <c r="M319" s="24">
        <f t="shared" si="4"/>
        <v>1000000</v>
      </c>
      <c r="N319" s="24" t="str">
        <f t="array" ref="N319">IF(M319&gt;0,INDEX(big_daily_table,MATCH(DATE(O$5,$K319,$J319),daily_dates,0),MATCH($B$3,daily_items,0)),NA())</f>
        <v>#N/A</v>
      </c>
      <c r="O319" s="1" t="str">
        <f t="array" ref="O319">IF(M319&lt;0,INDEX(big_daily_table,MATCH(DATE(O$5,$K319,$J319),daily_dates,0),MATCH($B$3,daily_items,0)),NA())</f>
        <v>#N/A</v>
      </c>
      <c r="P319" s="1" t="str">
        <f t="array" ref="P319">IF(ISBLANK(INDEX(big_daily_table,MATCH(DATE(P$5,$K319,$J319),daily_dates,0),MATCH($B$3,daily_items,0))),NA(),INDEX(big_daily_table,MATCH(DATE(P$5,$K319,$J319),daily_dates,0),MATCH($B$3,daily_items,0)))</f>
        <v>#N/A</v>
      </c>
      <c r="Q319" s="1" t="str">
        <f t="array" ref="Q319">IF(ISBLANK(INDEX(big_daily_table,MATCH(DATE(Q$5,$K319,$J319),daily_dates,0),MATCH($B$3,daily_items,0))),NA(),INDEX(big_daily_table,MATCH(DATE(Q$5,$K319,$J319),daily_dates,0),MATCH($B$3,daily_items,0)))</f>
        <v>#N/A</v>
      </c>
      <c r="R319" s="1" t="str">
        <f t="array" ref="R319">IF(ISBLANK(INDEX(big_daily_table,MATCH(DATE(R$5,$K319,$J319),daily_dates,0),MATCH($B$3,daily_items,0))),NA(),INDEX(big_daily_table,MATCH(DATE(R$5,$K319,$J319),daily_dates,0),MATCH($B$3,daily_items,0)))</f>
        <v>#N/A</v>
      </c>
      <c r="S319" s="1" t="str">
        <f t="array" ref="S319">IF(ISBLANK(INDEX(big_daily_table,MATCH(DATE(S$5,$K319,$J319),daily_dates,0),MATCH($B$3,daily_items,0))),NA(),INDEX(big_daily_table,MATCH(DATE(S$5,$K319,$J319),daily_dates,0),MATCH($B$3,daily_items,0)))</f>
        <v>#N/A</v>
      </c>
      <c r="T319" s="1" t="str">
        <f t="array" ref="T319">IF(ISBLANK(INDEX(big_daily_table,MATCH(DATE(T$5,$K319,$J319),daily_dates,0),MATCH($B$3,daily_items,0))),NA(),INDEX(big_daily_table,MATCH(DATE(T$5,$K319,$J319),daily_dates,0),MATCH($B$3,daily_items,0)))</f>
        <v>#N/A</v>
      </c>
      <c r="U319" s="1" t="str">
        <f t="array" ref="U319">IF(ISBLANK(INDEX(big_daily_table,MATCH(DATE(U$5,$K319,$J319),daily_dates,0),MATCH($B$3,daily_items,0))),NA(),INDEX(big_daily_table,MATCH(DATE(U$5,$K319,$J319),daily_dates,0),MATCH($B$3,daily_items,0)))</f>
        <v>#N/A</v>
      </c>
      <c r="V319" s="1" t="str">
        <f t="array" ref="V319">IF(ISBLANK(INDEX(big_daily_table,MATCH(DATE(V$5,$K319,$J319),daily_dates,0),MATCH($B$3,daily_items,0))),NA(),INDEX(big_daily_table,MATCH(DATE(V$5,$K319,$J319),daily_dates,0),MATCH($B$3,daily_items,0)))</f>
        <v>#N/A</v>
      </c>
      <c r="W319" s="1" t="str">
        <f t="array" ref="W319">IF(ISBLANK(INDEX(big_daily_table,MATCH(DATE(W$5,$K319,$J319),daily_dates,0),MATCH($B$3,daily_items,0))),NA(),INDEX(big_daily_table,MATCH(DATE(W$5,$K319,$J319),daily_dates,0),MATCH($B$3,daily_items,0)))</f>
        <v>#N/A</v>
      </c>
      <c r="X319" s="1" t="str">
        <f t="array" ref="X319">IF(ISBLANK(INDEX(big_daily_table,MATCH(DATE(X$5,$K319,$J319),daily_dates,0),MATCH($B$3,daily_items,0))),NA(),INDEX(big_daily_table,MATCH(DATE(X$5,$K319,$J319),daily_dates,0),MATCH($B$3,daily_items,0)))</f>
        <v>#N/A</v>
      </c>
      <c r="Y319" s="1" t="str">
        <f t="array" ref="Y319">IF(ISBLANK(INDEX(big_daily_table,MATCH(DATE(Y$5,$K319,$J319),daily_dates,0),MATCH($B$3,daily_items,0))),NA(),INDEX(big_daily_table,MATCH(DATE(Y$5,$K319,$J319),daily_dates,0),MATCH($B$3,daily_items,0)))</f>
        <v>#N/A</v>
      </c>
      <c r="Z319" s="1" t="str">
        <f t="array" ref="Z319">IF(ISBLANK(INDEX(big_daily_table,MATCH(DATE(Z$5,$K319,$J319),daily_dates,0),MATCH($B$3,daily_items,0))),NA(),INDEX(big_daily_table,MATCH(DATE(Z$5,$K319,$J319),daily_dates,0),MATCH($B$3,daily_items,0)))</f>
        <v>#N/A</v>
      </c>
      <c r="AA319" s="1" t="str">
        <f t="shared" si="5"/>
        <v>#NAME?</v>
      </c>
      <c r="AB319" s="1" t="str">
        <f t="shared" si="6"/>
        <v>#NAME?</v>
      </c>
      <c r="AC319" s="1" t="str">
        <f t="shared" si="7"/>
        <v>#NAME?</v>
      </c>
      <c r="AD319" s="1" t="str">
        <f t="shared" si="8"/>
        <v>#NAME?</v>
      </c>
    </row>
    <row r="320" ht="14.25" customHeight="1">
      <c r="H320" s="1">
        <f t="shared" si="9"/>
        <v>315</v>
      </c>
      <c r="I320" s="1">
        <f>WEEKDAY('daily graphs'!K320)</f>
        <v>6</v>
      </c>
      <c r="J320" s="1">
        <f t="shared" si="2"/>
        <v>4</v>
      </c>
      <c r="K320" s="1">
        <f t="shared" si="3"/>
        <v>11</v>
      </c>
      <c r="L320" s="23">
        <f>'daily graphs'!K320 - I320</f>
        <v>36834</v>
      </c>
      <c r="M320" s="24">
        <f t="shared" si="4"/>
        <v>1000000</v>
      </c>
      <c r="N320" s="24" t="str">
        <f t="array" ref="N320">IF(M320&gt;0,INDEX(big_daily_table,MATCH(DATE(O$5,$K320,$J320),daily_dates,0),MATCH($B$3,daily_items,0)),NA())</f>
        <v>#N/A</v>
      </c>
      <c r="O320" s="1" t="str">
        <f t="array" ref="O320">IF(M320&lt;0,INDEX(big_daily_table,MATCH(DATE(O$5,$K320,$J320),daily_dates,0),MATCH($B$3,daily_items,0)),NA())</f>
        <v>#N/A</v>
      </c>
      <c r="P320" s="1" t="str">
        <f t="array" ref="P320">IF(ISBLANK(INDEX(big_daily_table,MATCH(DATE(P$5,$K320,$J320),daily_dates,0),MATCH($B$3,daily_items,0))),NA(),INDEX(big_daily_table,MATCH(DATE(P$5,$K320,$J320),daily_dates,0),MATCH($B$3,daily_items,0)))</f>
        <v>#N/A</v>
      </c>
      <c r="Q320" s="1" t="str">
        <f t="array" ref="Q320">IF(ISBLANK(INDEX(big_daily_table,MATCH(DATE(Q$5,$K320,$J320),daily_dates,0),MATCH($B$3,daily_items,0))),NA(),INDEX(big_daily_table,MATCH(DATE(Q$5,$K320,$J320),daily_dates,0),MATCH($B$3,daily_items,0)))</f>
        <v>#N/A</v>
      </c>
      <c r="R320" s="1" t="str">
        <f t="array" ref="R320">IF(ISBLANK(INDEX(big_daily_table,MATCH(DATE(R$5,$K320,$J320),daily_dates,0),MATCH($B$3,daily_items,0))),NA(),INDEX(big_daily_table,MATCH(DATE(R$5,$K320,$J320),daily_dates,0),MATCH($B$3,daily_items,0)))</f>
        <v>#N/A</v>
      </c>
      <c r="S320" s="1" t="str">
        <f t="array" ref="S320">IF(ISBLANK(INDEX(big_daily_table,MATCH(DATE(S$5,$K320,$J320),daily_dates,0),MATCH($B$3,daily_items,0))),NA(),INDEX(big_daily_table,MATCH(DATE(S$5,$K320,$J320),daily_dates,0),MATCH($B$3,daily_items,0)))</f>
        <v>#N/A</v>
      </c>
      <c r="T320" s="1" t="str">
        <f t="array" ref="T320">IF(ISBLANK(INDEX(big_daily_table,MATCH(DATE(T$5,$K320,$J320),daily_dates,0),MATCH($B$3,daily_items,0))),NA(),INDEX(big_daily_table,MATCH(DATE(T$5,$K320,$J320),daily_dates,0),MATCH($B$3,daily_items,0)))</f>
        <v>#N/A</v>
      </c>
      <c r="U320" s="1" t="str">
        <f t="array" ref="U320">IF(ISBLANK(INDEX(big_daily_table,MATCH(DATE(U$5,$K320,$J320),daily_dates,0),MATCH($B$3,daily_items,0))),NA(),INDEX(big_daily_table,MATCH(DATE(U$5,$K320,$J320),daily_dates,0),MATCH($B$3,daily_items,0)))</f>
        <v>#N/A</v>
      </c>
      <c r="V320" s="1" t="str">
        <f t="array" ref="V320">IF(ISBLANK(INDEX(big_daily_table,MATCH(DATE(V$5,$K320,$J320),daily_dates,0),MATCH($B$3,daily_items,0))),NA(),INDEX(big_daily_table,MATCH(DATE(V$5,$K320,$J320),daily_dates,0),MATCH($B$3,daily_items,0)))</f>
        <v>#N/A</v>
      </c>
      <c r="W320" s="1" t="str">
        <f t="array" ref="W320">IF(ISBLANK(INDEX(big_daily_table,MATCH(DATE(W$5,$K320,$J320),daily_dates,0),MATCH($B$3,daily_items,0))),NA(),INDEX(big_daily_table,MATCH(DATE(W$5,$K320,$J320),daily_dates,0),MATCH($B$3,daily_items,0)))</f>
        <v>#N/A</v>
      </c>
      <c r="X320" s="1" t="str">
        <f t="array" ref="X320">IF(ISBLANK(INDEX(big_daily_table,MATCH(DATE(X$5,$K320,$J320),daily_dates,0),MATCH($B$3,daily_items,0))),NA(),INDEX(big_daily_table,MATCH(DATE(X$5,$K320,$J320),daily_dates,0),MATCH($B$3,daily_items,0)))</f>
        <v>#N/A</v>
      </c>
      <c r="Y320" s="1" t="str">
        <f t="array" ref="Y320">IF(ISBLANK(INDEX(big_daily_table,MATCH(DATE(Y$5,$K320,$J320),daily_dates,0),MATCH($B$3,daily_items,0))),NA(),INDEX(big_daily_table,MATCH(DATE(Y$5,$K320,$J320),daily_dates,0),MATCH($B$3,daily_items,0)))</f>
        <v>#N/A</v>
      </c>
      <c r="Z320" s="1" t="str">
        <f t="array" ref="Z320">IF(ISBLANK(INDEX(big_daily_table,MATCH(DATE(Z$5,$K320,$J320),daily_dates,0),MATCH($B$3,daily_items,0))),NA(),INDEX(big_daily_table,MATCH(DATE(Z$5,$K320,$J320),daily_dates,0),MATCH($B$3,daily_items,0)))</f>
        <v>#N/A</v>
      </c>
      <c r="AA320" s="1" t="str">
        <f t="shared" si="5"/>
        <v>#NAME?</v>
      </c>
      <c r="AB320" s="1" t="str">
        <f t="shared" si="6"/>
        <v>#NAME?</v>
      </c>
      <c r="AC320" s="1" t="str">
        <f t="shared" si="7"/>
        <v>#NAME?</v>
      </c>
      <c r="AD320" s="1" t="str">
        <f t="shared" si="8"/>
        <v>#NAME?</v>
      </c>
    </row>
    <row r="321" ht="14.25" customHeight="1">
      <c r="H321" s="1">
        <f t="shared" si="9"/>
        <v>316</v>
      </c>
      <c r="I321" s="1">
        <f>WEEKDAY('daily graphs'!K321)</f>
        <v>7</v>
      </c>
      <c r="J321" s="1">
        <f t="shared" si="2"/>
        <v>4</v>
      </c>
      <c r="K321" s="1">
        <f t="shared" si="3"/>
        <v>11</v>
      </c>
      <c r="L321" s="23">
        <f>'daily graphs'!K321 - I321</f>
        <v>36834</v>
      </c>
      <c r="M321" s="24">
        <f t="shared" si="4"/>
        <v>1000000</v>
      </c>
      <c r="N321" s="24" t="str">
        <f t="array" ref="N321">IF(M321&gt;0,INDEX(big_daily_table,MATCH(DATE(O$5,$K321,$J321),daily_dates,0),MATCH($B$3,daily_items,0)),NA())</f>
        <v>#N/A</v>
      </c>
      <c r="O321" s="1" t="str">
        <f t="array" ref="O321">IF(M321&lt;0,INDEX(big_daily_table,MATCH(DATE(O$5,$K321,$J321),daily_dates,0),MATCH($B$3,daily_items,0)),NA())</f>
        <v>#N/A</v>
      </c>
      <c r="P321" s="1" t="str">
        <f t="array" ref="P321">IF(ISBLANK(INDEX(big_daily_table,MATCH(DATE(P$5,$K321,$J321),daily_dates,0),MATCH($B$3,daily_items,0))),NA(),INDEX(big_daily_table,MATCH(DATE(P$5,$K321,$J321),daily_dates,0),MATCH($B$3,daily_items,0)))</f>
        <v>#N/A</v>
      </c>
      <c r="Q321" s="1" t="str">
        <f t="array" ref="Q321">IF(ISBLANK(INDEX(big_daily_table,MATCH(DATE(Q$5,$K321,$J321),daily_dates,0),MATCH($B$3,daily_items,0))),NA(),INDEX(big_daily_table,MATCH(DATE(Q$5,$K321,$J321),daily_dates,0),MATCH($B$3,daily_items,0)))</f>
        <v>#N/A</v>
      </c>
      <c r="R321" s="1" t="str">
        <f t="array" ref="R321">IF(ISBLANK(INDEX(big_daily_table,MATCH(DATE(R$5,$K321,$J321),daily_dates,0),MATCH($B$3,daily_items,0))),NA(),INDEX(big_daily_table,MATCH(DATE(R$5,$K321,$J321),daily_dates,0),MATCH($B$3,daily_items,0)))</f>
        <v>#N/A</v>
      </c>
      <c r="S321" s="1" t="str">
        <f t="array" ref="S321">IF(ISBLANK(INDEX(big_daily_table,MATCH(DATE(S$5,$K321,$J321),daily_dates,0),MATCH($B$3,daily_items,0))),NA(),INDEX(big_daily_table,MATCH(DATE(S$5,$K321,$J321),daily_dates,0),MATCH($B$3,daily_items,0)))</f>
        <v>#N/A</v>
      </c>
      <c r="T321" s="1" t="str">
        <f t="array" ref="T321">IF(ISBLANK(INDEX(big_daily_table,MATCH(DATE(T$5,$K321,$J321),daily_dates,0),MATCH($B$3,daily_items,0))),NA(),INDEX(big_daily_table,MATCH(DATE(T$5,$K321,$J321),daily_dates,0),MATCH($B$3,daily_items,0)))</f>
        <v>#N/A</v>
      </c>
      <c r="U321" s="1" t="str">
        <f t="array" ref="U321">IF(ISBLANK(INDEX(big_daily_table,MATCH(DATE(U$5,$K321,$J321),daily_dates,0),MATCH($B$3,daily_items,0))),NA(),INDEX(big_daily_table,MATCH(DATE(U$5,$K321,$J321),daily_dates,0),MATCH($B$3,daily_items,0)))</f>
        <v>#N/A</v>
      </c>
      <c r="V321" s="1" t="str">
        <f t="array" ref="V321">IF(ISBLANK(INDEX(big_daily_table,MATCH(DATE(V$5,$K321,$J321),daily_dates,0),MATCH($B$3,daily_items,0))),NA(),INDEX(big_daily_table,MATCH(DATE(V$5,$K321,$J321),daily_dates,0),MATCH($B$3,daily_items,0)))</f>
        <v>#N/A</v>
      </c>
      <c r="W321" s="1" t="str">
        <f t="array" ref="W321">IF(ISBLANK(INDEX(big_daily_table,MATCH(DATE(W$5,$K321,$J321),daily_dates,0),MATCH($B$3,daily_items,0))),NA(),INDEX(big_daily_table,MATCH(DATE(W$5,$K321,$J321),daily_dates,0),MATCH($B$3,daily_items,0)))</f>
        <v>#N/A</v>
      </c>
      <c r="X321" s="1" t="str">
        <f t="array" ref="X321">IF(ISBLANK(INDEX(big_daily_table,MATCH(DATE(X$5,$K321,$J321),daily_dates,0),MATCH($B$3,daily_items,0))),NA(),INDEX(big_daily_table,MATCH(DATE(X$5,$K321,$J321),daily_dates,0),MATCH($B$3,daily_items,0)))</f>
        <v>#N/A</v>
      </c>
      <c r="Y321" s="1" t="str">
        <f t="array" ref="Y321">IF(ISBLANK(INDEX(big_daily_table,MATCH(DATE(Y$5,$K321,$J321),daily_dates,0),MATCH($B$3,daily_items,0))),NA(),INDEX(big_daily_table,MATCH(DATE(Y$5,$K321,$J321),daily_dates,0),MATCH($B$3,daily_items,0)))</f>
        <v>#N/A</v>
      </c>
      <c r="Z321" s="1" t="str">
        <f t="array" ref="Z321">IF(ISBLANK(INDEX(big_daily_table,MATCH(DATE(Z$5,$K321,$J321),daily_dates,0),MATCH($B$3,daily_items,0))),NA(),INDEX(big_daily_table,MATCH(DATE(Z$5,$K321,$J321),daily_dates,0),MATCH($B$3,daily_items,0)))</f>
        <v>#N/A</v>
      </c>
      <c r="AA321" s="1" t="str">
        <f t="shared" si="5"/>
        <v>#NAME?</v>
      </c>
      <c r="AB321" s="1" t="str">
        <f t="shared" si="6"/>
        <v>#NAME?</v>
      </c>
      <c r="AC321" s="1" t="str">
        <f t="shared" si="7"/>
        <v>#NAME?</v>
      </c>
      <c r="AD321" s="1" t="str">
        <f t="shared" si="8"/>
        <v>#NAME?</v>
      </c>
    </row>
    <row r="322" ht="14.25" customHeight="1">
      <c r="H322" s="1">
        <f t="shared" si="9"/>
        <v>317</v>
      </c>
      <c r="I322" s="1">
        <f>WEEKDAY('daily graphs'!K322)</f>
        <v>1</v>
      </c>
      <c r="J322" s="1">
        <f t="shared" si="2"/>
        <v>11</v>
      </c>
      <c r="K322" s="1">
        <f t="shared" si="3"/>
        <v>11</v>
      </c>
      <c r="L322" s="23">
        <f>'daily graphs'!K322 - I322</f>
        <v>36841</v>
      </c>
      <c r="M322" s="24">
        <f t="shared" si="4"/>
        <v>1000000</v>
      </c>
      <c r="N322" s="24" t="str">
        <f t="array" ref="N322">IF(M322&gt;0,INDEX(big_daily_table,MATCH(DATE(O$5,$K322,$J322),daily_dates,0),MATCH($B$3,daily_items,0)),NA())</f>
        <v>#N/A</v>
      </c>
      <c r="O322" s="1" t="str">
        <f t="array" ref="O322">IF(M322&lt;0,INDEX(big_daily_table,MATCH(DATE(O$5,$K322,$J322),daily_dates,0),MATCH($B$3,daily_items,0)),NA())</f>
        <v>#N/A</v>
      </c>
      <c r="P322" s="1" t="str">
        <f t="array" ref="P322">IF(ISBLANK(INDEX(big_daily_table,MATCH(DATE(P$5,$K322,$J322),daily_dates,0),MATCH($B$3,daily_items,0))),NA(),INDEX(big_daily_table,MATCH(DATE(P$5,$K322,$J322),daily_dates,0),MATCH($B$3,daily_items,0)))</f>
        <v>#N/A</v>
      </c>
      <c r="Q322" s="1" t="str">
        <f t="array" ref="Q322">IF(ISBLANK(INDEX(big_daily_table,MATCH(DATE(Q$5,$K322,$J322),daily_dates,0),MATCH($B$3,daily_items,0))),NA(),INDEX(big_daily_table,MATCH(DATE(Q$5,$K322,$J322),daily_dates,0),MATCH($B$3,daily_items,0)))</f>
        <v>#N/A</v>
      </c>
      <c r="R322" s="1" t="str">
        <f t="array" ref="R322">IF(ISBLANK(INDEX(big_daily_table,MATCH(DATE(R$5,$K322,$J322),daily_dates,0),MATCH($B$3,daily_items,0))),NA(),INDEX(big_daily_table,MATCH(DATE(R$5,$K322,$J322),daily_dates,0),MATCH($B$3,daily_items,0)))</f>
        <v>#N/A</v>
      </c>
      <c r="S322" s="1" t="str">
        <f t="array" ref="S322">IF(ISBLANK(INDEX(big_daily_table,MATCH(DATE(S$5,$K322,$J322),daily_dates,0),MATCH($B$3,daily_items,0))),NA(),INDEX(big_daily_table,MATCH(DATE(S$5,$K322,$J322),daily_dates,0),MATCH($B$3,daily_items,0)))</f>
        <v>#N/A</v>
      </c>
      <c r="T322" s="1" t="str">
        <f t="array" ref="T322">IF(ISBLANK(INDEX(big_daily_table,MATCH(DATE(T$5,$K322,$J322),daily_dates,0),MATCH($B$3,daily_items,0))),NA(),INDEX(big_daily_table,MATCH(DATE(T$5,$K322,$J322),daily_dates,0),MATCH($B$3,daily_items,0)))</f>
        <v>#N/A</v>
      </c>
      <c r="U322" s="1" t="str">
        <f t="array" ref="U322">IF(ISBLANK(INDEX(big_daily_table,MATCH(DATE(U$5,$K322,$J322),daily_dates,0),MATCH($B$3,daily_items,0))),NA(),INDEX(big_daily_table,MATCH(DATE(U$5,$K322,$J322),daily_dates,0),MATCH($B$3,daily_items,0)))</f>
        <v>#N/A</v>
      </c>
      <c r="V322" s="1" t="str">
        <f t="array" ref="V322">IF(ISBLANK(INDEX(big_daily_table,MATCH(DATE(V$5,$K322,$J322),daily_dates,0),MATCH($B$3,daily_items,0))),NA(),INDEX(big_daily_table,MATCH(DATE(V$5,$K322,$J322),daily_dates,0),MATCH($B$3,daily_items,0)))</f>
        <v>#N/A</v>
      </c>
      <c r="W322" s="1" t="str">
        <f t="array" ref="W322">IF(ISBLANK(INDEX(big_daily_table,MATCH(DATE(W$5,$K322,$J322),daily_dates,0),MATCH($B$3,daily_items,0))),NA(),INDEX(big_daily_table,MATCH(DATE(W$5,$K322,$J322),daily_dates,0),MATCH($B$3,daily_items,0)))</f>
        <v>#N/A</v>
      </c>
      <c r="X322" s="1" t="str">
        <f t="array" ref="X322">IF(ISBLANK(INDEX(big_daily_table,MATCH(DATE(X$5,$K322,$J322),daily_dates,0),MATCH($B$3,daily_items,0))),NA(),INDEX(big_daily_table,MATCH(DATE(X$5,$K322,$J322),daily_dates,0),MATCH($B$3,daily_items,0)))</f>
        <v>#N/A</v>
      </c>
      <c r="Y322" s="1" t="str">
        <f t="array" ref="Y322">IF(ISBLANK(INDEX(big_daily_table,MATCH(DATE(Y$5,$K322,$J322),daily_dates,0),MATCH($B$3,daily_items,0))),NA(),INDEX(big_daily_table,MATCH(DATE(Y$5,$K322,$J322),daily_dates,0),MATCH($B$3,daily_items,0)))</f>
        <v>#N/A</v>
      </c>
      <c r="Z322" s="1" t="str">
        <f t="array" ref="Z322">IF(ISBLANK(INDEX(big_daily_table,MATCH(DATE(Z$5,$K322,$J322),daily_dates,0),MATCH($B$3,daily_items,0))),NA(),INDEX(big_daily_table,MATCH(DATE(Z$5,$K322,$J322),daily_dates,0),MATCH($B$3,daily_items,0)))</f>
        <v>#N/A</v>
      </c>
      <c r="AA322" s="1" t="str">
        <f t="shared" si="5"/>
        <v>#NAME?</v>
      </c>
      <c r="AB322" s="1" t="str">
        <f t="shared" si="6"/>
        <v>#NAME?</v>
      </c>
      <c r="AC322" s="1" t="str">
        <f t="shared" si="7"/>
        <v>#NAME?</v>
      </c>
      <c r="AD322" s="1" t="str">
        <f t="shared" si="8"/>
        <v>#NAME?</v>
      </c>
    </row>
    <row r="323" ht="14.25" customHeight="1">
      <c r="H323" s="1">
        <f t="shared" si="9"/>
        <v>318</v>
      </c>
      <c r="I323" s="1">
        <f>WEEKDAY('daily graphs'!K323)</f>
        <v>2</v>
      </c>
      <c r="J323" s="1">
        <f t="shared" si="2"/>
        <v>11</v>
      </c>
      <c r="K323" s="1">
        <f t="shared" si="3"/>
        <v>11</v>
      </c>
      <c r="L323" s="23">
        <f>'daily graphs'!K323 - I323</f>
        <v>36841</v>
      </c>
      <c r="M323" s="24">
        <f t="shared" si="4"/>
        <v>1000000</v>
      </c>
      <c r="N323" s="24" t="str">
        <f t="array" ref="N323">IF(M323&gt;0,INDEX(big_daily_table,MATCH(DATE(O$5,$K323,$J323),daily_dates,0),MATCH($B$3,daily_items,0)),NA())</f>
        <v>#N/A</v>
      </c>
      <c r="O323" s="1" t="str">
        <f t="array" ref="O323">IF(M323&lt;0,INDEX(big_daily_table,MATCH(DATE(O$5,$K323,$J323),daily_dates,0),MATCH($B$3,daily_items,0)),NA())</f>
        <v>#N/A</v>
      </c>
      <c r="P323" s="1" t="str">
        <f t="array" ref="P323">IF(ISBLANK(INDEX(big_daily_table,MATCH(DATE(P$5,$K323,$J323),daily_dates,0),MATCH($B$3,daily_items,0))),NA(),INDEX(big_daily_table,MATCH(DATE(P$5,$K323,$J323),daily_dates,0),MATCH($B$3,daily_items,0)))</f>
        <v>#N/A</v>
      </c>
      <c r="Q323" s="1" t="str">
        <f t="array" ref="Q323">IF(ISBLANK(INDEX(big_daily_table,MATCH(DATE(Q$5,$K323,$J323),daily_dates,0),MATCH($B$3,daily_items,0))),NA(),INDEX(big_daily_table,MATCH(DATE(Q$5,$K323,$J323),daily_dates,0),MATCH($B$3,daily_items,0)))</f>
        <v>#N/A</v>
      </c>
      <c r="R323" s="1" t="str">
        <f t="array" ref="R323">IF(ISBLANK(INDEX(big_daily_table,MATCH(DATE(R$5,$K323,$J323),daily_dates,0),MATCH($B$3,daily_items,0))),NA(),INDEX(big_daily_table,MATCH(DATE(R$5,$K323,$J323),daily_dates,0),MATCH($B$3,daily_items,0)))</f>
        <v>#N/A</v>
      </c>
      <c r="S323" s="1" t="str">
        <f t="array" ref="S323">IF(ISBLANK(INDEX(big_daily_table,MATCH(DATE(S$5,$K323,$J323),daily_dates,0),MATCH($B$3,daily_items,0))),NA(),INDEX(big_daily_table,MATCH(DATE(S$5,$K323,$J323),daily_dates,0),MATCH($B$3,daily_items,0)))</f>
        <v>#N/A</v>
      </c>
      <c r="T323" s="1" t="str">
        <f t="array" ref="T323">IF(ISBLANK(INDEX(big_daily_table,MATCH(DATE(T$5,$K323,$J323),daily_dates,0),MATCH($B$3,daily_items,0))),NA(),INDEX(big_daily_table,MATCH(DATE(T$5,$K323,$J323),daily_dates,0),MATCH($B$3,daily_items,0)))</f>
        <v>#N/A</v>
      </c>
      <c r="U323" s="1" t="str">
        <f t="array" ref="U323">IF(ISBLANK(INDEX(big_daily_table,MATCH(DATE(U$5,$K323,$J323),daily_dates,0),MATCH($B$3,daily_items,0))),NA(),INDEX(big_daily_table,MATCH(DATE(U$5,$K323,$J323),daily_dates,0),MATCH($B$3,daily_items,0)))</f>
        <v>#N/A</v>
      </c>
      <c r="V323" s="1" t="str">
        <f t="array" ref="V323">IF(ISBLANK(INDEX(big_daily_table,MATCH(DATE(V$5,$K323,$J323),daily_dates,0),MATCH($B$3,daily_items,0))),NA(),INDEX(big_daily_table,MATCH(DATE(V$5,$K323,$J323),daily_dates,0),MATCH($B$3,daily_items,0)))</f>
        <v>#N/A</v>
      </c>
      <c r="W323" s="1" t="str">
        <f t="array" ref="W323">IF(ISBLANK(INDEX(big_daily_table,MATCH(DATE(W$5,$K323,$J323),daily_dates,0),MATCH($B$3,daily_items,0))),NA(),INDEX(big_daily_table,MATCH(DATE(W$5,$K323,$J323),daily_dates,0),MATCH($B$3,daily_items,0)))</f>
        <v>#N/A</v>
      </c>
      <c r="X323" s="1" t="str">
        <f t="array" ref="X323">IF(ISBLANK(INDEX(big_daily_table,MATCH(DATE(X$5,$K323,$J323),daily_dates,0),MATCH($B$3,daily_items,0))),NA(),INDEX(big_daily_table,MATCH(DATE(X$5,$K323,$J323),daily_dates,0),MATCH($B$3,daily_items,0)))</f>
        <v>#N/A</v>
      </c>
      <c r="Y323" s="1" t="str">
        <f t="array" ref="Y323">IF(ISBLANK(INDEX(big_daily_table,MATCH(DATE(Y$5,$K323,$J323),daily_dates,0),MATCH($B$3,daily_items,0))),NA(),INDEX(big_daily_table,MATCH(DATE(Y$5,$K323,$J323),daily_dates,0),MATCH($B$3,daily_items,0)))</f>
        <v>#N/A</v>
      </c>
      <c r="Z323" s="1" t="str">
        <f t="array" ref="Z323">IF(ISBLANK(INDEX(big_daily_table,MATCH(DATE(Z$5,$K323,$J323),daily_dates,0),MATCH($B$3,daily_items,0))),NA(),INDEX(big_daily_table,MATCH(DATE(Z$5,$K323,$J323),daily_dates,0),MATCH($B$3,daily_items,0)))</f>
        <v>#N/A</v>
      </c>
      <c r="AA323" s="1" t="str">
        <f t="shared" si="5"/>
        <v>#NAME?</v>
      </c>
      <c r="AB323" s="1" t="str">
        <f t="shared" si="6"/>
        <v>#NAME?</v>
      </c>
      <c r="AC323" s="1" t="str">
        <f t="shared" si="7"/>
        <v>#NAME?</v>
      </c>
      <c r="AD323" s="1" t="str">
        <f t="shared" si="8"/>
        <v>#NAME?</v>
      </c>
    </row>
    <row r="324" ht="14.25" customHeight="1">
      <c r="H324" s="1">
        <f t="shared" si="9"/>
        <v>319</v>
      </c>
      <c r="I324" s="1">
        <f>WEEKDAY('daily graphs'!K324)</f>
        <v>3</v>
      </c>
      <c r="J324" s="1">
        <f t="shared" si="2"/>
        <v>11</v>
      </c>
      <c r="K324" s="1">
        <f t="shared" si="3"/>
        <v>11</v>
      </c>
      <c r="L324" s="23">
        <f>'daily graphs'!K324 - I324</f>
        <v>36841</v>
      </c>
      <c r="M324" s="24">
        <f t="shared" si="4"/>
        <v>1000000</v>
      </c>
      <c r="N324" s="24" t="str">
        <f t="array" ref="N324">IF(M324&gt;0,INDEX(big_daily_table,MATCH(DATE(O$5,$K324,$J324),daily_dates,0),MATCH($B$3,daily_items,0)),NA())</f>
        <v>#N/A</v>
      </c>
      <c r="O324" s="1" t="str">
        <f t="array" ref="O324">IF(M324&lt;0,INDEX(big_daily_table,MATCH(DATE(O$5,$K324,$J324),daily_dates,0),MATCH($B$3,daily_items,0)),NA())</f>
        <v>#N/A</v>
      </c>
      <c r="P324" s="1" t="str">
        <f t="array" ref="P324">IF(ISBLANK(INDEX(big_daily_table,MATCH(DATE(P$5,$K324,$J324),daily_dates,0),MATCH($B$3,daily_items,0))),NA(),INDEX(big_daily_table,MATCH(DATE(P$5,$K324,$J324),daily_dates,0),MATCH($B$3,daily_items,0)))</f>
        <v>#N/A</v>
      </c>
      <c r="Q324" s="1" t="str">
        <f t="array" ref="Q324">IF(ISBLANK(INDEX(big_daily_table,MATCH(DATE(Q$5,$K324,$J324),daily_dates,0),MATCH($B$3,daily_items,0))),NA(),INDEX(big_daily_table,MATCH(DATE(Q$5,$K324,$J324),daily_dates,0),MATCH($B$3,daily_items,0)))</f>
        <v>#N/A</v>
      </c>
      <c r="R324" s="1" t="str">
        <f t="array" ref="R324">IF(ISBLANK(INDEX(big_daily_table,MATCH(DATE(R$5,$K324,$J324),daily_dates,0),MATCH($B$3,daily_items,0))),NA(),INDEX(big_daily_table,MATCH(DATE(R$5,$K324,$J324),daily_dates,0),MATCH($B$3,daily_items,0)))</f>
        <v>#N/A</v>
      </c>
      <c r="S324" s="1" t="str">
        <f t="array" ref="S324">IF(ISBLANK(INDEX(big_daily_table,MATCH(DATE(S$5,$K324,$J324),daily_dates,0),MATCH($B$3,daily_items,0))),NA(),INDEX(big_daily_table,MATCH(DATE(S$5,$K324,$J324),daily_dates,0),MATCH($B$3,daily_items,0)))</f>
        <v>#N/A</v>
      </c>
      <c r="T324" s="1" t="str">
        <f t="array" ref="T324">IF(ISBLANK(INDEX(big_daily_table,MATCH(DATE(T$5,$K324,$J324),daily_dates,0),MATCH($B$3,daily_items,0))),NA(),INDEX(big_daily_table,MATCH(DATE(T$5,$K324,$J324),daily_dates,0),MATCH($B$3,daily_items,0)))</f>
        <v>#N/A</v>
      </c>
      <c r="U324" s="1" t="str">
        <f t="array" ref="U324">IF(ISBLANK(INDEX(big_daily_table,MATCH(DATE(U$5,$K324,$J324),daily_dates,0),MATCH($B$3,daily_items,0))),NA(),INDEX(big_daily_table,MATCH(DATE(U$5,$K324,$J324),daily_dates,0),MATCH($B$3,daily_items,0)))</f>
        <v>#N/A</v>
      </c>
      <c r="V324" s="1" t="str">
        <f t="array" ref="V324">IF(ISBLANK(INDEX(big_daily_table,MATCH(DATE(V$5,$K324,$J324),daily_dates,0),MATCH($B$3,daily_items,0))),NA(),INDEX(big_daily_table,MATCH(DATE(V$5,$K324,$J324),daily_dates,0),MATCH($B$3,daily_items,0)))</f>
        <v>#N/A</v>
      </c>
      <c r="W324" s="1" t="str">
        <f t="array" ref="W324">IF(ISBLANK(INDEX(big_daily_table,MATCH(DATE(W$5,$K324,$J324),daily_dates,0),MATCH($B$3,daily_items,0))),NA(),INDEX(big_daily_table,MATCH(DATE(W$5,$K324,$J324),daily_dates,0),MATCH($B$3,daily_items,0)))</f>
        <v>#N/A</v>
      </c>
      <c r="X324" s="1" t="str">
        <f t="array" ref="X324">IF(ISBLANK(INDEX(big_daily_table,MATCH(DATE(X$5,$K324,$J324),daily_dates,0),MATCH($B$3,daily_items,0))),NA(),INDEX(big_daily_table,MATCH(DATE(X$5,$K324,$J324),daily_dates,0),MATCH($B$3,daily_items,0)))</f>
        <v>#N/A</v>
      </c>
      <c r="Y324" s="1" t="str">
        <f t="array" ref="Y324">IF(ISBLANK(INDEX(big_daily_table,MATCH(DATE(Y$5,$K324,$J324),daily_dates,0),MATCH($B$3,daily_items,0))),NA(),INDEX(big_daily_table,MATCH(DATE(Y$5,$K324,$J324),daily_dates,0),MATCH($B$3,daily_items,0)))</f>
        <v>#N/A</v>
      </c>
      <c r="Z324" s="1" t="str">
        <f t="array" ref="Z324">IF(ISBLANK(INDEX(big_daily_table,MATCH(DATE(Z$5,$K324,$J324),daily_dates,0),MATCH($B$3,daily_items,0))),NA(),INDEX(big_daily_table,MATCH(DATE(Z$5,$K324,$J324),daily_dates,0),MATCH($B$3,daily_items,0)))</f>
        <v>#N/A</v>
      </c>
      <c r="AA324" s="1" t="str">
        <f t="shared" si="5"/>
        <v>#NAME?</v>
      </c>
      <c r="AB324" s="1" t="str">
        <f t="shared" si="6"/>
        <v>#NAME?</v>
      </c>
      <c r="AC324" s="1" t="str">
        <f t="shared" si="7"/>
        <v>#NAME?</v>
      </c>
      <c r="AD324" s="1" t="str">
        <f t="shared" si="8"/>
        <v>#NAME?</v>
      </c>
    </row>
    <row r="325" ht="14.25" customHeight="1">
      <c r="H325" s="1">
        <f t="shared" si="9"/>
        <v>320</v>
      </c>
      <c r="I325" s="1">
        <f>WEEKDAY('daily graphs'!K325)</f>
        <v>4</v>
      </c>
      <c r="J325" s="1">
        <f t="shared" si="2"/>
        <v>11</v>
      </c>
      <c r="K325" s="1">
        <f t="shared" si="3"/>
        <v>11</v>
      </c>
      <c r="L325" s="23">
        <f>'daily graphs'!K325 - I325</f>
        <v>36841</v>
      </c>
      <c r="M325" s="24">
        <f t="shared" si="4"/>
        <v>1000000</v>
      </c>
      <c r="N325" s="24" t="str">
        <f t="array" ref="N325">IF(M325&gt;0,INDEX(big_daily_table,MATCH(DATE(O$5,$K325,$J325),daily_dates,0),MATCH($B$3,daily_items,0)),NA())</f>
        <v>#N/A</v>
      </c>
      <c r="O325" s="1" t="str">
        <f t="array" ref="O325">IF(M325&lt;0,INDEX(big_daily_table,MATCH(DATE(O$5,$K325,$J325),daily_dates,0),MATCH($B$3,daily_items,0)),NA())</f>
        <v>#N/A</v>
      </c>
      <c r="P325" s="1" t="str">
        <f t="array" ref="P325">IF(ISBLANK(INDEX(big_daily_table,MATCH(DATE(P$5,$K325,$J325),daily_dates,0),MATCH($B$3,daily_items,0))),NA(),INDEX(big_daily_table,MATCH(DATE(P$5,$K325,$J325),daily_dates,0),MATCH($B$3,daily_items,0)))</f>
        <v>#N/A</v>
      </c>
      <c r="Q325" s="1" t="str">
        <f t="array" ref="Q325">IF(ISBLANK(INDEX(big_daily_table,MATCH(DATE(Q$5,$K325,$J325),daily_dates,0),MATCH($B$3,daily_items,0))),NA(),INDEX(big_daily_table,MATCH(DATE(Q$5,$K325,$J325),daily_dates,0),MATCH($B$3,daily_items,0)))</f>
        <v>#N/A</v>
      </c>
      <c r="R325" s="1" t="str">
        <f t="array" ref="R325">IF(ISBLANK(INDEX(big_daily_table,MATCH(DATE(R$5,$K325,$J325),daily_dates,0),MATCH($B$3,daily_items,0))),NA(),INDEX(big_daily_table,MATCH(DATE(R$5,$K325,$J325),daily_dates,0),MATCH($B$3,daily_items,0)))</f>
        <v>#N/A</v>
      </c>
      <c r="S325" s="1" t="str">
        <f t="array" ref="S325">IF(ISBLANK(INDEX(big_daily_table,MATCH(DATE(S$5,$K325,$J325),daily_dates,0),MATCH($B$3,daily_items,0))),NA(),INDEX(big_daily_table,MATCH(DATE(S$5,$K325,$J325),daily_dates,0),MATCH($B$3,daily_items,0)))</f>
        <v>#N/A</v>
      </c>
      <c r="T325" s="1" t="str">
        <f t="array" ref="T325">IF(ISBLANK(INDEX(big_daily_table,MATCH(DATE(T$5,$K325,$J325),daily_dates,0),MATCH($B$3,daily_items,0))),NA(),INDEX(big_daily_table,MATCH(DATE(T$5,$K325,$J325),daily_dates,0),MATCH($B$3,daily_items,0)))</f>
        <v>#N/A</v>
      </c>
      <c r="U325" s="1" t="str">
        <f t="array" ref="U325">IF(ISBLANK(INDEX(big_daily_table,MATCH(DATE(U$5,$K325,$J325),daily_dates,0),MATCH($B$3,daily_items,0))),NA(),INDEX(big_daily_table,MATCH(DATE(U$5,$K325,$J325),daily_dates,0),MATCH($B$3,daily_items,0)))</f>
        <v>#N/A</v>
      </c>
      <c r="V325" s="1" t="str">
        <f t="array" ref="V325">IF(ISBLANK(INDEX(big_daily_table,MATCH(DATE(V$5,$K325,$J325),daily_dates,0),MATCH($B$3,daily_items,0))),NA(),INDEX(big_daily_table,MATCH(DATE(V$5,$K325,$J325),daily_dates,0),MATCH($B$3,daily_items,0)))</f>
        <v>#N/A</v>
      </c>
      <c r="W325" s="1" t="str">
        <f t="array" ref="W325">IF(ISBLANK(INDEX(big_daily_table,MATCH(DATE(W$5,$K325,$J325),daily_dates,0),MATCH($B$3,daily_items,0))),NA(),INDEX(big_daily_table,MATCH(DATE(W$5,$K325,$J325),daily_dates,0),MATCH($B$3,daily_items,0)))</f>
        <v>#N/A</v>
      </c>
      <c r="X325" s="1" t="str">
        <f t="array" ref="X325">IF(ISBLANK(INDEX(big_daily_table,MATCH(DATE(X$5,$K325,$J325),daily_dates,0),MATCH($B$3,daily_items,0))),NA(),INDEX(big_daily_table,MATCH(DATE(X$5,$K325,$J325),daily_dates,0),MATCH($B$3,daily_items,0)))</f>
        <v>#N/A</v>
      </c>
      <c r="Y325" s="1" t="str">
        <f t="array" ref="Y325">IF(ISBLANK(INDEX(big_daily_table,MATCH(DATE(Y$5,$K325,$J325),daily_dates,0),MATCH($B$3,daily_items,0))),NA(),INDEX(big_daily_table,MATCH(DATE(Y$5,$K325,$J325),daily_dates,0),MATCH($B$3,daily_items,0)))</f>
        <v>#N/A</v>
      </c>
      <c r="Z325" s="1" t="str">
        <f t="array" ref="Z325">IF(ISBLANK(INDEX(big_daily_table,MATCH(DATE(Z$5,$K325,$J325),daily_dates,0),MATCH($B$3,daily_items,0))),NA(),INDEX(big_daily_table,MATCH(DATE(Z$5,$K325,$J325),daily_dates,0),MATCH($B$3,daily_items,0)))</f>
        <v>#N/A</v>
      </c>
      <c r="AA325" s="1" t="str">
        <f t="shared" si="5"/>
        <v>#NAME?</v>
      </c>
      <c r="AB325" s="1" t="str">
        <f t="shared" si="6"/>
        <v>#NAME?</v>
      </c>
      <c r="AC325" s="1" t="str">
        <f t="shared" si="7"/>
        <v>#NAME?</v>
      </c>
      <c r="AD325" s="1" t="str">
        <f t="shared" si="8"/>
        <v>#NAME?</v>
      </c>
    </row>
    <row r="326" ht="14.25" customHeight="1">
      <c r="H326" s="1">
        <f t="shared" si="9"/>
        <v>321</v>
      </c>
      <c r="I326" s="1">
        <f>WEEKDAY('daily graphs'!K326)</f>
        <v>5</v>
      </c>
      <c r="J326" s="1">
        <f t="shared" si="2"/>
        <v>11</v>
      </c>
      <c r="K326" s="1">
        <f t="shared" si="3"/>
        <v>11</v>
      </c>
      <c r="L326" s="23">
        <f>'daily graphs'!K326 - I326</f>
        <v>36841</v>
      </c>
      <c r="M326" s="24">
        <f t="shared" si="4"/>
        <v>1000000</v>
      </c>
      <c r="N326" s="24" t="str">
        <f t="array" ref="N326">IF(M326&gt;0,INDEX(big_daily_table,MATCH(DATE(O$5,$K326,$J326),daily_dates,0),MATCH($B$3,daily_items,0)),NA())</f>
        <v>#N/A</v>
      </c>
      <c r="O326" s="1" t="str">
        <f t="array" ref="O326">IF(M326&lt;0,INDEX(big_daily_table,MATCH(DATE(O$5,$K326,$J326),daily_dates,0),MATCH($B$3,daily_items,0)),NA())</f>
        <v>#N/A</v>
      </c>
      <c r="P326" s="1" t="str">
        <f t="array" ref="P326">IF(ISBLANK(INDEX(big_daily_table,MATCH(DATE(P$5,$K326,$J326),daily_dates,0),MATCH($B$3,daily_items,0))),NA(),INDEX(big_daily_table,MATCH(DATE(P$5,$K326,$J326),daily_dates,0),MATCH($B$3,daily_items,0)))</f>
        <v>#N/A</v>
      </c>
      <c r="Q326" s="1" t="str">
        <f t="array" ref="Q326">IF(ISBLANK(INDEX(big_daily_table,MATCH(DATE(Q$5,$K326,$J326),daily_dates,0),MATCH($B$3,daily_items,0))),NA(),INDEX(big_daily_table,MATCH(DATE(Q$5,$K326,$J326),daily_dates,0),MATCH($B$3,daily_items,0)))</f>
        <v>#N/A</v>
      </c>
      <c r="R326" s="1" t="str">
        <f t="array" ref="R326">IF(ISBLANK(INDEX(big_daily_table,MATCH(DATE(R$5,$K326,$J326),daily_dates,0),MATCH($B$3,daily_items,0))),NA(),INDEX(big_daily_table,MATCH(DATE(R$5,$K326,$J326),daily_dates,0),MATCH($B$3,daily_items,0)))</f>
        <v>#N/A</v>
      </c>
      <c r="S326" s="1" t="str">
        <f t="array" ref="S326">IF(ISBLANK(INDEX(big_daily_table,MATCH(DATE(S$5,$K326,$J326),daily_dates,0),MATCH($B$3,daily_items,0))),NA(),INDEX(big_daily_table,MATCH(DATE(S$5,$K326,$J326),daily_dates,0),MATCH($B$3,daily_items,0)))</f>
        <v>#N/A</v>
      </c>
      <c r="T326" s="1" t="str">
        <f t="array" ref="T326">IF(ISBLANK(INDEX(big_daily_table,MATCH(DATE(T$5,$K326,$J326),daily_dates,0),MATCH($B$3,daily_items,0))),NA(),INDEX(big_daily_table,MATCH(DATE(T$5,$K326,$J326),daily_dates,0),MATCH($B$3,daily_items,0)))</f>
        <v>#N/A</v>
      </c>
      <c r="U326" s="1" t="str">
        <f t="array" ref="U326">IF(ISBLANK(INDEX(big_daily_table,MATCH(DATE(U$5,$K326,$J326),daily_dates,0),MATCH($B$3,daily_items,0))),NA(),INDEX(big_daily_table,MATCH(DATE(U$5,$K326,$J326),daily_dates,0),MATCH($B$3,daily_items,0)))</f>
        <v>#N/A</v>
      </c>
      <c r="V326" s="1" t="str">
        <f t="array" ref="V326">IF(ISBLANK(INDEX(big_daily_table,MATCH(DATE(V$5,$K326,$J326),daily_dates,0),MATCH($B$3,daily_items,0))),NA(),INDEX(big_daily_table,MATCH(DATE(V$5,$K326,$J326),daily_dates,0),MATCH($B$3,daily_items,0)))</f>
        <v>#N/A</v>
      </c>
      <c r="W326" s="1" t="str">
        <f t="array" ref="W326">IF(ISBLANK(INDEX(big_daily_table,MATCH(DATE(W$5,$K326,$J326),daily_dates,0),MATCH($B$3,daily_items,0))),NA(),INDEX(big_daily_table,MATCH(DATE(W$5,$K326,$J326),daily_dates,0),MATCH($B$3,daily_items,0)))</f>
        <v>#N/A</v>
      </c>
      <c r="X326" s="1" t="str">
        <f t="array" ref="X326">IF(ISBLANK(INDEX(big_daily_table,MATCH(DATE(X$5,$K326,$J326),daily_dates,0),MATCH($B$3,daily_items,0))),NA(),INDEX(big_daily_table,MATCH(DATE(X$5,$K326,$J326),daily_dates,0),MATCH($B$3,daily_items,0)))</f>
        <v>#N/A</v>
      </c>
      <c r="Y326" s="1" t="str">
        <f t="array" ref="Y326">IF(ISBLANK(INDEX(big_daily_table,MATCH(DATE(Y$5,$K326,$J326),daily_dates,0),MATCH($B$3,daily_items,0))),NA(),INDEX(big_daily_table,MATCH(DATE(Y$5,$K326,$J326),daily_dates,0),MATCH($B$3,daily_items,0)))</f>
        <v>#N/A</v>
      </c>
      <c r="Z326" s="1" t="str">
        <f t="array" ref="Z326">IF(ISBLANK(INDEX(big_daily_table,MATCH(DATE(Z$5,$K326,$J326),daily_dates,0),MATCH($B$3,daily_items,0))),NA(),INDEX(big_daily_table,MATCH(DATE(Z$5,$K326,$J326),daily_dates,0),MATCH($B$3,daily_items,0)))</f>
        <v>#N/A</v>
      </c>
      <c r="AA326" s="1" t="str">
        <f t="shared" si="5"/>
        <v>#NAME?</v>
      </c>
      <c r="AB326" s="1" t="str">
        <f t="shared" si="6"/>
        <v>#NAME?</v>
      </c>
      <c r="AC326" s="1" t="str">
        <f t="shared" si="7"/>
        <v>#NAME?</v>
      </c>
      <c r="AD326" s="1" t="str">
        <f t="shared" si="8"/>
        <v>#NAME?</v>
      </c>
    </row>
    <row r="327" ht="14.25" customHeight="1">
      <c r="H327" s="1">
        <f t="shared" si="9"/>
        <v>322</v>
      </c>
      <c r="I327" s="1">
        <f>WEEKDAY('daily graphs'!K327)</f>
        <v>6</v>
      </c>
      <c r="J327" s="1">
        <f t="shared" si="2"/>
        <v>11</v>
      </c>
      <c r="K327" s="1">
        <f t="shared" si="3"/>
        <v>11</v>
      </c>
      <c r="L327" s="23">
        <f>'daily graphs'!K327 - I327</f>
        <v>36841</v>
      </c>
      <c r="M327" s="24">
        <f t="shared" si="4"/>
        <v>1000000</v>
      </c>
      <c r="N327" s="24" t="str">
        <f t="array" ref="N327">IF(M327&gt;0,INDEX(big_daily_table,MATCH(DATE(O$5,$K327,$J327),daily_dates,0),MATCH($B$3,daily_items,0)),NA())</f>
        <v>#N/A</v>
      </c>
      <c r="O327" s="1" t="str">
        <f t="array" ref="O327">IF(M327&lt;0,INDEX(big_daily_table,MATCH(DATE(O$5,$K327,$J327),daily_dates,0),MATCH($B$3,daily_items,0)),NA())</f>
        <v>#N/A</v>
      </c>
      <c r="P327" s="1" t="str">
        <f t="array" ref="P327">IF(ISBLANK(INDEX(big_daily_table,MATCH(DATE(P$5,$K327,$J327),daily_dates,0),MATCH($B$3,daily_items,0))),NA(),INDEX(big_daily_table,MATCH(DATE(P$5,$K327,$J327),daily_dates,0),MATCH($B$3,daily_items,0)))</f>
        <v>#N/A</v>
      </c>
      <c r="Q327" s="1" t="str">
        <f t="array" ref="Q327">IF(ISBLANK(INDEX(big_daily_table,MATCH(DATE(Q$5,$K327,$J327),daily_dates,0),MATCH($B$3,daily_items,0))),NA(),INDEX(big_daily_table,MATCH(DATE(Q$5,$K327,$J327),daily_dates,0),MATCH($B$3,daily_items,0)))</f>
        <v>#N/A</v>
      </c>
      <c r="R327" s="1" t="str">
        <f t="array" ref="R327">IF(ISBLANK(INDEX(big_daily_table,MATCH(DATE(R$5,$K327,$J327),daily_dates,0),MATCH($B$3,daily_items,0))),NA(),INDEX(big_daily_table,MATCH(DATE(R$5,$K327,$J327),daily_dates,0),MATCH($B$3,daily_items,0)))</f>
        <v>#N/A</v>
      </c>
      <c r="S327" s="1" t="str">
        <f t="array" ref="S327">IF(ISBLANK(INDEX(big_daily_table,MATCH(DATE(S$5,$K327,$J327),daily_dates,0),MATCH($B$3,daily_items,0))),NA(),INDEX(big_daily_table,MATCH(DATE(S$5,$K327,$J327),daily_dates,0),MATCH($B$3,daily_items,0)))</f>
        <v>#N/A</v>
      </c>
      <c r="T327" s="1" t="str">
        <f t="array" ref="T327">IF(ISBLANK(INDEX(big_daily_table,MATCH(DATE(T$5,$K327,$J327),daily_dates,0),MATCH($B$3,daily_items,0))),NA(),INDEX(big_daily_table,MATCH(DATE(T$5,$K327,$J327),daily_dates,0),MATCH($B$3,daily_items,0)))</f>
        <v>#N/A</v>
      </c>
      <c r="U327" s="1" t="str">
        <f t="array" ref="U327">IF(ISBLANK(INDEX(big_daily_table,MATCH(DATE(U$5,$K327,$J327),daily_dates,0),MATCH($B$3,daily_items,0))),NA(),INDEX(big_daily_table,MATCH(DATE(U$5,$K327,$J327),daily_dates,0),MATCH($B$3,daily_items,0)))</f>
        <v>#N/A</v>
      </c>
      <c r="V327" s="1" t="str">
        <f t="array" ref="V327">IF(ISBLANK(INDEX(big_daily_table,MATCH(DATE(V$5,$K327,$J327),daily_dates,0),MATCH($B$3,daily_items,0))),NA(),INDEX(big_daily_table,MATCH(DATE(V$5,$K327,$J327),daily_dates,0),MATCH($B$3,daily_items,0)))</f>
        <v>#N/A</v>
      </c>
      <c r="W327" s="1" t="str">
        <f t="array" ref="W327">IF(ISBLANK(INDEX(big_daily_table,MATCH(DATE(W$5,$K327,$J327),daily_dates,0),MATCH($B$3,daily_items,0))),NA(),INDEX(big_daily_table,MATCH(DATE(W$5,$K327,$J327),daily_dates,0),MATCH($B$3,daily_items,0)))</f>
        <v>#N/A</v>
      </c>
      <c r="X327" s="1" t="str">
        <f t="array" ref="X327">IF(ISBLANK(INDEX(big_daily_table,MATCH(DATE(X$5,$K327,$J327),daily_dates,0),MATCH($B$3,daily_items,0))),NA(),INDEX(big_daily_table,MATCH(DATE(X$5,$K327,$J327),daily_dates,0),MATCH($B$3,daily_items,0)))</f>
        <v>#N/A</v>
      </c>
      <c r="Y327" s="1" t="str">
        <f t="array" ref="Y327">IF(ISBLANK(INDEX(big_daily_table,MATCH(DATE(Y$5,$K327,$J327),daily_dates,0),MATCH($B$3,daily_items,0))),NA(),INDEX(big_daily_table,MATCH(DATE(Y$5,$K327,$J327),daily_dates,0),MATCH($B$3,daily_items,0)))</f>
        <v>#N/A</v>
      </c>
      <c r="Z327" s="1" t="str">
        <f t="array" ref="Z327">IF(ISBLANK(INDEX(big_daily_table,MATCH(DATE(Z$5,$K327,$J327),daily_dates,0),MATCH($B$3,daily_items,0))),NA(),INDEX(big_daily_table,MATCH(DATE(Z$5,$K327,$J327),daily_dates,0),MATCH($B$3,daily_items,0)))</f>
        <v>#N/A</v>
      </c>
      <c r="AA327" s="1" t="str">
        <f t="shared" si="5"/>
        <v>#NAME?</v>
      </c>
      <c r="AB327" s="1" t="str">
        <f t="shared" si="6"/>
        <v>#NAME?</v>
      </c>
      <c r="AC327" s="1" t="str">
        <f t="shared" si="7"/>
        <v>#NAME?</v>
      </c>
      <c r="AD327" s="1" t="str">
        <f t="shared" si="8"/>
        <v>#NAME?</v>
      </c>
    </row>
    <row r="328" ht="14.25" customHeight="1">
      <c r="H328" s="1">
        <f t="shared" si="9"/>
        <v>323</v>
      </c>
      <c r="I328" s="1">
        <f>WEEKDAY('daily graphs'!K328)</f>
        <v>7</v>
      </c>
      <c r="J328" s="1">
        <f t="shared" si="2"/>
        <v>11</v>
      </c>
      <c r="K328" s="1">
        <f t="shared" si="3"/>
        <v>11</v>
      </c>
      <c r="L328" s="23">
        <f>'daily graphs'!K328 - I328</f>
        <v>36841</v>
      </c>
      <c r="M328" s="24">
        <f t="shared" si="4"/>
        <v>1000000</v>
      </c>
      <c r="N328" s="24" t="str">
        <f t="array" ref="N328">IF(M328&gt;0,INDEX(big_daily_table,MATCH(DATE(O$5,$K328,$J328),daily_dates,0),MATCH($B$3,daily_items,0)),NA())</f>
        <v>#N/A</v>
      </c>
      <c r="O328" s="1" t="str">
        <f t="array" ref="O328">IF(M328&lt;0,INDEX(big_daily_table,MATCH(DATE(O$5,$K328,$J328),daily_dates,0),MATCH($B$3,daily_items,0)),NA())</f>
        <v>#N/A</v>
      </c>
      <c r="P328" s="1" t="str">
        <f t="array" ref="P328">IF(ISBLANK(INDEX(big_daily_table,MATCH(DATE(P$5,$K328,$J328),daily_dates,0),MATCH($B$3,daily_items,0))),NA(),INDEX(big_daily_table,MATCH(DATE(P$5,$K328,$J328),daily_dates,0),MATCH($B$3,daily_items,0)))</f>
        <v>#N/A</v>
      </c>
      <c r="Q328" s="1" t="str">
        <f t="array" ref="Q328">IF(ISBLANK(INDEX(big_daily_table,MATCH(DATE(Q$5,$K328,$J328),daily_dates,0),MATCH($B$3,daily_items,0))),NA(),INDEX(big_daily_table,MATCH(DATE(Q$5,$K328,$J328),daily_dates,0),MATCH($B$3,daily_items,0)))</f>
        <v>#N/A</v>
      </c>
      <c r="R328" s="1" t="str">
        <f t="array" ref="R328">IF(ISBLANK(INDEX(big_daily_table,MATCH(DATE(R$5,$K328,$J328),daily_dates,0),MATCH($B$3,daily_items,0))),NA(),INDEX(big_daily_table,MATCH(DATE(R$5,$K328,$J328),daily_dates,0),MATCH($B$3,daily_items,0)))</f>
        <v>#N/A</v>
      </c>
      <c r="S328" s="1" t="str">
        <f t="array" ref="S328">IF(ISBLANK(INDEX(big_daily_table,MATCH(DATE(S$5,$K328,$J328),daily_dates,0),MATCH($B$3,daily_items,0))),NA(),INDEX(big_daily_table,MATCH(DATE(S$5,$K328,$J328),daily_dates,0),MATCH($B$3,daily_items,0)))</f>
        <v>#N/A</v>
      </c>
      <c r="T328" s="1" t="str">
        <f t="array" ref="T328">IF(ISBLANK(INDEX(big_daily_table,MATCH(DATE(T$5,$K328,$J328),daily_dates,0),MATCH($B$3,daily_items,0))),NA(),INDEX(big_daily_table,MATCH(DATE(T$5,$K328,$J328),daily_dates,0),MATCH($B$3,daily_items,0)))</f>
        <v>#N/A</v>
      </c>
      <c r="U328" s="1" t="str">
        <f t="array" ref="U328">IF(ISBLANK(INDEX(big_daily_table,MATCH(DATE(U$5,$K328,$J328),daily_dates,0),MATCH($B$3,daily_items,0))),NA(),INDEX(big_daily_table,MATCH(DATE(U$5,$K328,$J328),daily_dates,0),MATCH($B$3,daily_items,0)))</f>
        <v>#N/A</v>
      </c>
      <c r="V328" s="1" t="str">
        <f t="array" ref="V328">IF(ISBLANK(INDEX(big_daily_table,MATCH(DATE(V$5,$K328,$J328),daily_dates,0),MATCH($B$3,daily_items,0))),NA(),INDEX(big_daily_table,MATCH(DATE(V$5,$K328,$J328),daily_dates,0),MATCH($B$3,daily_items,0)))</f>
        <v>#N/A</v>
      </c>
      <c r="W328" s="1" t="str">
        <f t="array" ref="W328">IF(ISBLANK(INDEX(big_daily_table,MATCH(DATE(W$5,$K328,$J328),daily_dates,0),MATCH($B$3,daily_items,0))),NA(),INDEX(big_daily_table,MATCH(DATE(W$5,$K328,$J328),daily_dates,0),MATCH($B$3,daily_items,0)))</f>
        <v>#N/A</v>
      </c>
      <c r="X328" s="1" t="str">
        <f t="array" ref="X328">IF(ISBLANK(INDEX(big_daily_table,MATCH(DATE(X$5,$K328,$J328),daily_dates,0),MATCH($B$3,daily_items,0))),NA(),INDEX(big_daily_table,MATCH(DATE(X$5,$K328,$J328),daily_dates,0),MATCH($B$3,daily_items,0)))</f>
        <v>#N/A</v>
      </c>
      <c r="Y328" s="1" t="str">
        <f t="array" ref="Y328">IF(ISBLANK(INDEX(big_daily_table,MATCH(DATE(Y$5,$K328,$J328),daily_dates,0),MATCH($B$3,daily_items,0))),NA(),INDEX(big_daily_table,MATCH(DATE(Y$5,$K328,$J328),daily_dates,0),MATCH($B$3,daily_items,0)))</f>
        <v>#N/A</v>
      </c>
      <c r="Z328" s="1" t="str">
        <f t="array" ref="Z328">IF(ISBLANK(INDEX(big_daily_table,MATCH(DATE(Z$5,$K328,$J328),daily_dates,0),MATCH($B$3,daily_items,0))),NA(),INDEX(big_daily_table,MATCH(DATE(Z$5,$K328,$J328),daily_dates,0),MATCH($B$3,daily_items,0)))</f>
        <v>#N/A</v>
      </c>
      <c r="AA328" s="1" t="str">
        <f t="shared" si="5"/>
        <v>#NAME?</v>
      </c>
      <c r="AB328" s="1" t="str">
        <f t="shared" si="6"/>
        <v>#NAME?</v>
      </c>
      <c r="AC328" s="1" t="str">
        <f t="shared" si="7"/>
        <v>#NAME?</v>
      </c>
      <c r="AD328" s="1" t="str">
        <f t="shared" si="8"/>
        <v>#NAME?</v>
      </c>
    </row>
    <row r="329" ht="14.25" customHeight="1">
      <c r="H329" s="1">
        <f t="shared" si="9"/>
        <v>324</v>
      </c>
      <c r="I329" s="1">
        <f>WEEKDAY('daily graphs'!K329)</f>
        <v>1</v>
      </c>
      <c r="J329" s="1">
        <f t="shared" si="2"/>
        <v>18</v>
      </c>
      <c r="K329" s="1">
        <f t="shared" si="3"/>
        <v>11</v>
      </c>
      <c r="L329" s="23">
        <f>'daily graphs'!K329 - I329</f>
        <v>36848</v>
      </c>
      <c r="M329" s="24">
        <f t="shared" si="4"/>
        <v>1000000</v>
      </c>
      <c r="N329" s="24" t="str">
        <f t="array" ref="N329">IF(M329&gt;0,INDEX(big_daily_table,MATCH(DATE(O$5,$K329,$J329),daily_dates,0),MATCH($B$3,daily_items,0)),NA())</f>
        <v>#N/A</v>
      </c>
      <c r="O329" s="1" t="str">
        <f t="array" ref="O329">IF(M329&lt;0,INDEX(big_daily_table,MATCH(DATE(O$5,$K329,$J329),daily_dates,0),MATCH($B$3,daily_items,0)),NA())</f>
        <v>#N/A</v>
      </c>
      <c r="P329" s="1" t="str">
        <f t="array" ref="P329">IF(ISBLANK(INDEX(big_daily_table,MATCH(DATE(P$5,$K329,$J329),daily_dates,0),MATCH($B$3,daily_items,0))),NA(),INDEX(big_daily_table,MATCH(DATE(P$5,$K329,$J329),daily_dates,0),MATCH($B$3,daily_items,0)))</f>
        <v>#N/A</v>
      </c>
      <c r="Q329" s="1" t="str">
        <f t="array" ref="Q329">IF(ISBLANK(INDEX(big_daily_table,MATCH(DATE(Q$5,$K329,$J329),daily_dates,0),MATCH($B$3,daily_items,0))),NA(),INDEX(big_daily_table,MATCH(DATE(Q$5,$K329,$J329),daily_dates,0),MATCH($B$3,daily_items,0)))</f>
        <v>#N/A</v>
      </c>
      <c r="R329" s="1" t="str">
        <f t="array" ref="R329">IF(ISBLANK(INDEX(big_daily_table,MATCH(DATE(R$5,$K329,$J329),daily_dates,0),MATCH($B$3,daily_items,0))),NA(),INDEX(big_daily_table,MATCH(DATE(R$5,$K329,$J329),daily_dates,0),MATCH($B$3,daily_items,0)))</f>
        <v>#N/A</v>
      </c>
      <c r="S329" s="1" t="str">
        <f t="array" ref="S329">IF(ISBLANK(INDEX(big_daily_table,MATCH(DATE(S$5,$K329,$J329),daily_dates,0),MATCH($B$3,daily_items,0))),NA(),INDEX(big_daily_table,MATCH(DATE(S$5,$K329,$J329),daily_dates,0),MATCH($B$3,daily_items,0)))</f>
        <v>#N/A</v>
      </c>
      <c r="T329" s="1" t="str">
        <f t="array" ref="T329">IF(ISBLANK(INDEX(big_daily_table,MATCH(DATE(T$5,$K329,$J329),daily_dates,0),MATCH($B$3,daily_items,0))),NA(),INDEX(big_daily_table,MATCH(DATE(T$5,$K329,$J329),daily_dates,0),MATCH($B$3,daily_items,0)))</f>
        <v>#N/A</v>
      </c>
      <c r="U329" s="1" t="str">
        <f t="array" ref="U329">IF(ISBLANK(INDEX(big_daily_table,MATCH(DATE(U$5,$K329,$J329),daily_dates,0),MATCH($B$3,daily_items,0))),NA(),INDEX(big_daily_table,MATCH(DATE(U$5,$K329,$J329),daily_dates,0),MATCH($B$3,daily_items,0)))</f>
        <v>#N/A</v>
      </c>
      <c r="V329" s="1" t="str">
        <f t="array" ref="V329">IF(ISBLANK(INDEX(big_daily_table,MATCH(DATE(V$5,$K329,$J329),daily_dates,0),MATCH($B$3,daily_items,0))),NA(),INDEX(big_daily_table,MATCH(DATE(V$5,$K329,$J329),daily_dates,0),MATCH($B$3,daily_items,0)))</f>
        <v>#N/A</v>
      </c>
      <c r="W329" s="1" t="str">
        <f t="array" ref="W329">IF(ISBLANK(INDEX(big_daily_table,MATCH(DATE(W$5,$K329,$J329),daily_dates,0),MATCH($B$3,daily_items,0))),NA(),INDEX(big_daily_table,MATCH(DATE(W$5,$K329,$J329),daily_dates,0),MATCH($B$3,daily_items,0)))</f>
        <v>#N/A</v>
      </c>
      <c r="X329" s="1" t="str">
        <f t="array" ref="X329">IF(ISBLANK(INDEX(big_daily_table,MATCH(DATE(X$5,$K329,$J329),daily_dates,0),MATCH($B$3,daily_items,0))),NA(),INDEX(big_daily_table,MATCH(DATE(X$5,$K329,$J329),daily_dates,0),MATCH($B$3,daily_items,0)))</f>
        <v>#N/A</v>
      </c>
      <c r="Y329" s="1" t="str">
        <f t="array" ref="Y329">IF(ISBLANK(INDEX(big_daily_table,MATCH(DATE(Y$5,$K329,$J329),daily_dates,0),MATCH($B$3,daily_items,0))),NA(),INDEX(big_daily_table,MATCH(DATE(Y$5,$K329,$J329),daily_dates,0),MATCH($B$3,daily_items,0)))</f>
        <v>#N/A</v>
      </c>
      <c r="Z329" s="1" t="str">
        <f t="array" ref="Z329">IF(ISBLANK(INDEX(big_daily_table,MATCH(DATE(Z$5,$K329,$J329),daily_dates,0),MATCH($B$3,daily_items,0))),NA(),INDEX(big_daily_table,MATCH(DATE(Z$5,$K329,$J329),daily_dates,0),MATCH($B$3,daily_items,0)))</f>
        <v>#N/A</v>
      </c>
      <c r="AA329" s="1" t="str">
        <f t="shared" si="5"/>
        <v>#NAME?</v>
      </c>
      <c r="AB329" s="1" t="str">
        <f t="shared" si="6"/>
        <v>#NAME?</v>
      </c>
      <c r="AC329" s="1" t="str">
        <f t="shared" si="7"/>
        <v>#NAME?</v>
      </c>
      <c r="AD329" s="1" t="str">
        <f t="shared" si="8"/>
        <v>#NAME?</v>
      </c>
    </row>
    <row r="330" ht="14.25" customHeight="1">
      <c r="H330" s="1">
        <f t="shared" si="9"/>
        <v>325</v>
      </c>
      <c r="I330" s="1">
        <f>WEEKDAY('daily graphs'!K330)</f>
        <v>2</v>
      </c>
      <c r="J330" s="1">
        <f t="shared" si="2"/>
        <v>18</v>
      </c>
      <c r="K330" s="1">
        <f t="shared" si="3"/>
        <v>11</v>
      </c>
      <c r="L330" s="23">
        <f>'daily graphs'!K330 - I330</f>
        <v>36848</v>
      </c>
      <c r="M330" s="24">
        <f t="shared" si="4"/>
        <v>1000000</v>
      </c>
      <c r="N330" s="24" t="str">
        <f t="array" ref="N330">IF(M330&gt;0,INDEX(big_daily_table,MATCH(DATE(O$5,$K330,$J330),daily_dates,0),MATCH($B$3,daily_items,0)),NA())</f>
        <v>#N/A</v>
      </c>
      <c r="O330" s="1" t="str">
        <f t="array" ref="O330">IF(M330&lt;0,INDEX(big_daily_table,MATCH(DATE(O$5,$K330,$J330),daily_dates,0),MATCH($B$3,daily_items,0)),NA())</f>
        <v>#N/A</v>
      </c>
      <c r="P330" s="1" t="str">
        <f t="array" ref="P330">IF(ISBLANK(INDEX(big_daily_table,MATCH(DATE(P$5,$K330,$J330),daily_dates,0),MATCH($B$3,daily_items,0))),NA(),INDEX(big_daily_table,MATCH(DATE(P$5,$K330,$J330),daily_dates,0),MATCH($B$3,daily_items,0)))</f>
        <v>#N/A</v>
      </c>
      <c r="Q330" s="1" t="str">
        <f t="array" ref="Q330">IF(ISBLANK(INDEX(big_daily_table,MATCH(DATE(Q$5,$K330,$J330),daily_dates,0),MATCH($B$3,daily_items,0))),NA(),INDEX(big_daily_table,MATCH(DATE(Q$5,$K330,$J330),daily_dates,0),MATCH($B$3,daily_items,0)))</f>
        <v>#N/A</v>
      </c>
      <c r="R330" s="1" t="str">
        <f t="array" ref="R330">IF(ISBLANK(INDEX(big_daily_table,MATCH(DATE(R$5,$K330,$J330),daily_dates,0),MATCH($B$3,daily_items,0))),NA(),INDEX(big_daily_table,MATCH(DATE(R$5,$K330,$J330),daily_dates,0),MATCH($B$3,daily_items,0)))</f>
        <v>#N/A</v>
      </c>
      <c r="S330" s="1" t="str">
        <f t="array" ref="S330">IF(ISBLANK(INDEX(big_daily_table,MATCH(DATE(S$5,$K330,$J330),daily_dates,0),MATCH($B$3,daily_items,0))),NA(),INDEX(big_daily_table,MATCH(DATE(S$5,$K330,$J330),daily_dates,0),MATCH($B$3,daily_items,0)))</f>
        <v>#N/A</v>
      </c>
      <c r="T330" s="1" t="str">
        <f t="array" ref="T330">IF(ISBLANK(INDEX(big_daily_table,MATCH(DATE(T$5,$K330,$J330),daily_dates,0),MATCH($B$3,daily_items,0))),NA(),INDEX(big_daily_table,MATCH(DATE(T$5,$K330,$J330),daily_dates,0),MATCH($B$3,daily_items,0)))</f>
        <v>#N/A</v>
      </c>
      <c r="U330" s="1" t="str">
        <f t="array" ref="U330">IF(ISBLANK(INDEX(big_daily_table,MATCH(DATE(U$5,$K330,$J330),daily_dates,0),MATCH($B$3,daily_items,0))),NA(),INDEX(big_daily_table,MATCH(DATE(U$5,$K330,$J330),daily_dates,0),MATCH($B$3,daily_items,0)))</f>
        <v>#N/A</v>
      </c>
      <c r="V330" s="1" t="str">
        <f t="array" ref="V330">IF(ISBLANK(INDEX(big_daily_table,MATCH(DATE(V$5,$K330,$J330),daily_dates,0),MATCH($B$3,daily_items,0))),NA(),INDEX(big_daily_table,MATCH(DATE(V$5,$K330,$J330),daily_dates,0),MATCH($B$3,daily_items,0)))</f>
        <v>#N/A</v>
      </c>
      <c r="W330" s="1" t="str">
        <f t="array" ref="W330">IF(ISBLANK(INDEX(big_daily_table,MATCH(DATE(W$5,$K330,$J330),daily_dates,0),MATCH($B$3,daily_items,0))),NA(),INDEX(big_daily_table,MATCH(DATE(W$5,$K330,$J330),daily_dates,0),MATCH($B$3,daily_items,0)))</f>
        <v>#N/A</v>
      </c>
      <c r="X330" s="1" t="str">
        <f t="array" ref="X330">IF(ISBLANK(INDEX(big_daily_table,MATCH(DATE(X$5,$K330,$J330),daily_dates,0),MATCH($B$3,daily_items,0))),NA(),INDEX(big_daily_table,MATCH(DATE(X$5,$K330,$J330),daily_dates,0),MATCH($B$3,daily_items,0)))</f>
        <v>#N/A</v>
      </c>
      <c r="Y330" s="1" t="str">
        <f t="array" ref="Y330">IF(ISBLANK(INDEX(big_daily_table,MATCH(DATE(Y$5,$K330,$J330),daily_dates,0),MATCH($B$3,daily_items,0))),NA(),INDEX(big_daily_table,MATCH(DATE(Y$5,$K330,$J330),daily_dates,0),MATCH($B$3,daily_items,0)))</f>
        <v>#N/A</v>
      </c>
      <c r="Z330" s="1" t="str">
        <f t="array" ref="Z330">IF(ISBLANK(INDEX(big_daily_table,MATCH(DATE(Z$5,$K330,$J330),daily_dates,0),MATCH($B$3,daily_items,0))),NA(),INDEX(big_daily_table,MATCH(DATE(Z$5,$K330,$J330),daily_dates,0),MATCH($B$3,daily_items,0)))</f>
        <v>#N/A</v>
      </c>
      <c r="AA330" s="1" t="str">
        <f t="shared" si="5"/>
        <v>#NAME?</v>
      </c>
      <c r="AB330" s="1" t="str">
        <f t="shared" si="6"/>
        <v>#NAME?</v>
      </c>
      <c r="AC330" s="1" t="str">
        <f t="shared" si="7"/>
        <v>#NAME?</v>
      </c>
      <c r="AD330" s="1" t="str">
        <f t="shared" si="8"/>
        <v>#NAME?</v>
      </c>
    </row>
    <row r="331" ht="14.25" customHeight="1">
      <c r="H331" s="1">
        <f t="shared" si="9"/>
        <v>326</v>
      </c>
      <c r="I331" s="1">
        <f>WEEKDAY('daily graphs'!K331)</f>
        <v>3</v>
      </c>
      <c r="J331" s="1">
        <f t="shared" si="2"/>
        <v>18</v>
      </c>
      <c r="K331" s="1">
        <f t="shared" si="3"/>
        <v>11</v>
      </c>
      <c r="L331" s="23">
        <f>'daily graphs'!K331 - I331</f>
        <v>36848</v>
      </c>
      <c r="M331" s="24">
        <f t="shared" si="4"/>
        <v>1000000</v>
      </c>
      <c r="N331" s="24" t="str">
        <f t="array" ref="N331">IF(M331&gt;0,INDEX(big_daily_table,MATCH(DATE(O$5,$K331,$J331),daily_dates,0),MATCH($B$3,daily_items,0)),NA())</f>
        <v>#N/A</v>
      </c>
      <c r="O331" s="1" t="str">
        <f t="array" ref="O331">IF(M331&lt;0,INDEX(big_daily_table,MATCH(DATE(O$5,$K331,$J331),daily_dates,0),MATCH($B$3,daily_items,0)),NA())</f>
        <v>#N/A</v>
      </c>
      <c r="P331" s="1" t="str">
        <f t="array" ref="P331">IF(ISBLANK(INDEX(big_daily_table,MATCH(DATE(P$5,$K331,$J331),daily_dates,0),MATCH($B$3,daily_items,0))),NA(),INDEX(big_daily_table,MATCH(DATE(P$5,$K331,$J331),daily_dates,0),MATCH($B$3,daily_items,0)))</f>
        <v>#N/A</v>
      </c>
      <c r="Q331" s="1" t="str">
        <f t="array" ref="Q331">IF(ISBLANK(INDEX(big_daily_table,MATCH(DATE(Q$5,$K331,$J331),daily_dates,0),MATCH($B$3,daily_items,0))),NA(),INDEX(big_daily_table,MATCH(DATE(Q$5,$K331,$J331),daily_dates,0),MATCH($B$3,daily_items,0)))</f>
        <v>#N/A</v>
      </c>
      <c r="R331" s="1" t="str">
        <f t="array" ref="R331">IF(ISBLANK(INDEX(big_daily_table,MATCH(DATE(R$5,$K331,$J331),daily_dates,0),MATCH($B$3,daily_items,0))),NA(),INDEX(big_daily_table,MATCH(DATE(R$5,$K331,$J331),daily_dates,0),MATCH($B$3,daily_items,0)))</f>
        <v>#N/A</v>
      </c>
      <c r="S331" s="1" t="str">
        <f t="array" ref="S331">IF(ISBLANK(INDEX(big_daily_table,MATCH(DATE(S$5,$K331,$J331),daily_dates,0),MATCH($B$3,daily_items,0))),NA(),INDEX(big_daily_table,MATCH(DATE(S$5,$K331,$J331),daily_dates,0),MATCH($B$3,daily_items,0)))</f>
        <v>#N/A</v>
      </c>
      <c r="T331" s="1" t="str">
        <f t="array" ref="T331">IF(ISBLANK(INDEX(big_daily_table,MATCH(DATE(T$5,$K331,$J331),daily_dates,0),MATCH($B$3,daily_items,0))),NA(),INDEX(big_daily_table,MATCH(DATE(T$5,$K331,$J331),daily_dates,0),MATCH($B$3,daily_items,0)))</f>
        <v>#N/A</v>
      </c>
      <c r="U331" s="1" t="str">
        <f t="array" ref="U331">IF(ISBLANK(INDEX(big_daily_table,MATCH(DATE(U$5,$K331,$J331),daily_dates,0),MATCH($B$3,daily_items,0))),NA(),INDEX(big_daily_table,MATCH(DATE(U$5,$K331,$J331),daily_dates,0),MATCH($B$3,daily_items,0)))</f>
        <v>#N/A</v>
      </c>
      <c r="V331" s="1" t="str">
        <f t="array" ref="V331">IF(ISBLANK(INDEX(big_daily_table,MATCH(DATE(V$5,$K331,$J331),daily_dates,0),MATCH($B$3,daily_items,0))),NA(),INDEX(big_daily_table,MATCH(DATE(V$5,$K331,$J331),daily_dates,0),MATCH($B$3,daily_items,0)))</f>
        <v>#N/A</v>
      </c>
      <c r="W331" s="1" t="str">
        <f t="array" ref="W331">IF(ISBLANK(INDEX(big_daily_table,MATCH(DATE(W$5,$K331,$J331),daily_dates,0),MATCH($B$3,daily_items,0))),NA(),INDEX(big_daily_table,MATCH(DATE(W$5,$K331,$J331),daily_dates,0),MATCH($B$3,daily_items,0)))</f>
        <v>#N/A</v>
      </c>
      <c r="X331" s="1" t="str">
        <f t="array" ref="X331">IF(ISBLANK(INDEX(big_daily_table,MATCH(DATE(X$5,$K331,$J331),daily_dates,0),MATCH($B$3,daily_items,0))),NA(),INDEX(big_daily_table,MATCH(DATE(X$5,$K331,$J331),daily_dates,0),MATCH($B$3,daily_items,0)))</f>
        <v>#N/A</v>
      </c>
      <c r="Y331" s="1" t="str">
        <f t="array" ref="Y331">IF(ISBLANK(INDEX(big_daily_table,MATCH(DATE(Y$5,$K331,$J331),daily_dates,0),MATCH($B$3,daily_items,0))),NA(),INDEX(big_daily_table,MATCH(DATE(Y$5,$K331,$J331),daily_dates,0),MATCH($B$3,daily_items,0)))</f>
        <v>#N/A</v>
      </c>
      <c r="Z331" s="1" t="str">
        <f t="array" ref="Z331">IF(ISBLANK(INDEX(big_daily_table,MATCH(DATE(Z$5,$K331,$J331),daily_dates,0),MATCH($B$3,daily_items,0))),NA(),INDEX(big_daily_table,MATCH(DATE(Z$5,$K331,$J331),daily_dates,0),MATCH($B$3,daily_items,0)))</f>
        <v>#N/A</v>
      </c>
      <c r="AA331" s="1" t="str">
        <f t="shared" si="5"/>
        <v>#NAME?</v>
      </c>
      <c r="AB331" s="1" t="str">
        <f t="shared" si="6"/>
        <v>#NAME?</v>
      </c>
      <c r="AC331" s="1" t="str">
        <f t="shared" si="7"/>
        <v>#NAME?</v>
      </c>
      <c r="AD331" s="1" t="str">
        <f t="shared" si="8"/>
        <v>#NAME?</v>
      </c>
    </row>
    <row r="332" ht="14.25" customHeight="1">
      <c r="H332" s="1">
        <f t="shared" si="9"/>
        <v>327</v>
      </c>
      <c r="I332" s="1">
        <f>WEEKDAY('daily graphs'!K332)</f>
        <v>4</v>
      </c>
      <c r="J332" s="1">
        <f t="shared" si="2"/>
        <v>18</v>
      </c>
      <c r="K332" s="1">
        <f t="shared" si="3"/>
        <v>11</v>
      </c>
      <c r="L332" s="23">
        <f>'daily graphs'!K332 - I332</f>
        <v>36848</v>
      </c>
      <c r="M332" s="24">
        <f t="shared" si="4"/>
        <v>1000000</v>
      </c>
      <c r="N332" s="24" t="str">
        <f t="array" ref="N332">IF(M332&gt;0,INDEX(big_daily_table,MATCH(DATE(O$5,$K332,$J332),daily_dates,0),MATCH($B$3,daily_items,0)),NA())</f>
        <v>#N/A</v>
      </c>
      <c r="O332" s="1" t="str">
        <f t="array" ref="O332">IF(M332&lt;0,INDEX(big_daily_table,MATCH(DATE(O$5,$K332,$J332),daily_dates,0),MATCH($B$3,daily_items,0)),NA())</f>
        <v>#N/A</v>
      </c>
      <c r="P332" s="1" t="str">
        <f t="array" ref="P332">IF(ISBLANK(INDEX(big_daily_table,MATCH(DATE(P$5,$K332,$J332),daily_dates,0),MATCH($B$3,daily_items,0))),NA(),INDEX(big_daily_table,MATCH(DATE(P$5,$K332,$J332),daily_dates,0),MATCH($B$3,daily_items,0)))</f>
        <v>#N/A</v>
      </c>
      <c r="Q332" s="1" t="str">
        <f t="array" ref="Q332">IF(ISBLANK(INDEX(big_daily_table,MATCH(DATE(Q$5,$K332,$J332),daily_dates,0),MATCH($B$3,daily_items,0))),NA(),INDEX(big_daily_table,MATCH(DATE(Q$5,$K332,$J332),daily_dates,0),MATCH($B$3,daily_items,0)))</f>
        <v>#N/A</v>
      </c>
      <c r="R332" s="1" t="str">
        <f t="array" ref="R332">IF(ISBLANK(INDEX(big_daily_table,MATCH(DATE(R$5,$K332,$J332),daily_dates,0),MATCH($B$3,daily_items,0))),NA(),INDEX(big_daily_table,MATCH(DATE(R$5,$K332,$J332),daily_dates,0),MATCH($B$3,daily_items,0)))</f>
        <v>#N/A</v>
      </c>
      <c r="S332" s="1" t="str">
        <f t="array" ref="S332">IF(ISBLANK(INDEX(big_daily_table,MATCH(DATE(S$5,$K332,$J332),daily_dates,0),MATCH($B$3,daily_items,0))),NA(),INDEX(big_daily_table,MATCH(DATE(S$5,$K332,$J332),daily_dates,0),MATCH($B$3,daily_items,0)))</f>
        <v>#N/A</v>
      </c>
      <c r="T332" s="1" t="str">
        <f t="array" ref="T332">IF(ISBLANK(INDEX(big_daily_table,MATCH(DATE(T$5,$K332,$J332),daily_dates,0),MATCH($B$3,daily_items,0))),NA(),INDEX(big_daily_table,MATCH(DATE(T$5,$K332,$J332),daily_dates,0),MATCH($B$3,daily_items,0)))</f>
        <v>#N/A</v>
      </c>
      <c r="U332" s="1" t="str">
        <f t="array" ref="U332">IF(ISBLANK(INDEX(big_daily_table,MATCH(DATE(U$5,$K332,$J332),daily_dates,0),MATCH($B$3,daily_items,0))),NA(),INDEX(big_daily_table,MATCH(DATE(U$5,$K332,$J332),daily_dates,0),MATCH($B$3,daily_items,0)))</f>
        <v>#N/A</v>
      </c>
      <c r="V332" s="1" t="str">
        <f t="array" ref="V332">IF(ISBLANK(INDEX(big_daily_table,MATCH(DATE(V$5,$K332,$J332),daily_dates,0),MATCH($B$3,daily_items,0))),NA(),INDEX(big_daily_table,MATCH(DATE(V$5,$K332,$J332),daily_dates,0),MATCH($B$3,daily_items,0)))</f>
        <v>#N/A</v>
      </c>
      <c r="W332" s="1" t="str">
        <f t="array" ref="W332">IF(ISBLANK(INDEX(big_daily_table,MATCH(DATE(W$5,$K332,$J332),daily_dates,0),MATCH($B$3,daily_items,0))),NA(),INDEX(big_daily_table,MATCH(DATE(W$5,$K332,$J332),daily_dates,0),MATCH($B$3,daily_items,0)))</f>
        <v>#N/A</v>
      </c>
      <c r="X332" s="1" t="str">
        <f t="array" ref="X332">IF(ISBLANK(INDEX(big_daily_table,MATCH(DATE(X$5,$K332,$J332),daily_dates,0),MATCH($B$3,daily_items,0))),NA(),INDEX(big_daily_table,MATCH(DATE(X$5,$K332,$J332),daily_dates,0),MATCH($B$3,daily_items,0)))</f>
        <v>#N/A</v>
      </c>
      <c r="Y332" s="1" t="str">
        <f t="array" ref="Y332">IF(ISBLANK(INDEX(big_daily_table,MATCH(DATE(Y$5,$K332,$J332),daily_dates,0),MATCH($B$3,daily_items,0))),NA(),INDEX(big_daily_table,MATCH(DATE(Y$5,$K332,$J332),daily_dates,0),MATCH($B$3,daily_items,0)))</f>
        <v>#N/A</v>
      </c>
      <c r="Z332" s="1" t="str">
        <f t="array" ref="Z332">IF(ISBLANK(INDEX(big_daily_table,MATCH(DATE(Z$5,$K332,$J332),daily_dates,0),MATCH($B$3,daily_items,0))),NA(),INDEX(big_daily_table,MATCH(DATE(Z$5,$K332,$J332),daily_dates,0),MATCH($B$3,daily_items,0)))</f>
        <v>#N/A</v>
      </c>
      <c r="AA332" s="1" t="str">
        <f t="shared" si="5"/>
        <v>#NAME?</v>
      </c>
      <c r="AB332" s="1" t="str">
        <f t="shared" si="6"/>
        <v>#NAME?</v>
      </c>
      <c r="AC332" s="1" t="str">
        <f t="shared" si="7"/>
        <v>#NAME?</v>
      </c>
      <c r="AD332" s="1" t="str">
        <f t="shared" si="8"/>
        <v>#NAME?</v>
      </c>
    </row>
    <row r="333" ht="14.25" customHeight="1">
      <c r="H333" s="1">
        <f t="shared" si="9"/>
        <v>328</v>
      </c>
      <c r="I333" s="1">
        <f>WEEKDAY('daily graphs'!K333)</f>
        <v>5</v>
      </c>
      <c r="J333" s="1">
        <f t="shared" si="2"/>
        <v>18</v>
      </c>
      <c r="K333" s="1">
        <f t="shared" si="3"/>
        <v>11</v>
      </c>
      <c r="L333" s="23">
        <f>'daily graphs'!K333 - I333</f>
        <v>36848</v>
      </c>
      <c r="M333" s="24">
        <f t="shared" si="4"/>
        <v>1000000</v>
      </c>
      <c r="N333" s="24" t="str">
        <f t="array" ref="N333">IF(M333&gt;0,INDEX(big_daily_table,MATCH(DATE(O$5,$K333,$J333),daily_dates,0),MATCH($B$3,daily_items,0)),NA())</f>
        <v>#N/A</v>
      </c>
      <c r="O333" s="1" t="str">
        <f t="array" ref="O333">IF(M333&lt;0,INDEX(big_daily_table,MATCH(DATE(O$5,$K333,$J333),daily_dates,0),MATCH($B$3,daily_items,0)),NA())</f>
        <v>#N/A</v>
      </c>
      <c r="P333" s="1" t="str">
        <f t="array" ref="P333">IF(ISBLANK(INDEX(big_daily_table,MATCH(DATE(P$5,$K333,$J333),daily_dates,0),MATCH($B$3,daily_items,0))),NA(),INDEX(big_daily_table,MATCH(DATE(P$5,$K333,$J333),daily_dates,0),MATCH($B$3,daily_items,0)))</f>
        <v>#N/A</v>
      </c>
      <c r="Q333" s="1" t="str">
        <f t="array" ref="Q333">IF(ISBLANK(INDEX(big_daily_table,MATCH(DATE(Q$5,$K333,$J333),daily_dates,0),MATCH($B$3,daily_items,0))),NA(),INDEX(big_daily_table,MATCH(DATE(Q$5,$K333,$J333),daily_dates,0),MATCH($B$3,daily_items,0)))</f>
        <v>#N/A</v>
      </c>
      <c r="R333" s="1" t="str">
        <f t="array" ref="R333">IF(ISBLANK(INDEX(big_daily_table,MATCH(DATE(R$5,$K333,$J333),daily_dates,0),MATCH($B$3,daily_items,0))),NA(),INDEX(big_daily_table,MATCH(DATE(R$5,$K333,$J333),daily_dates,0),MATCH($B$3,daily_items,0)))</f>
        <v>#N/A</v>
      </c>
      <c r="S333" s="1" t="str">
        <f t="array" ref="S333">IF(ISBLANK(INDEX(big_daily_table,MATCH(DATE(S$5,$K333,$J333),daily_dates,0),MATCH($B$3,daily_items,0))),NA(),INDEX(big_daily_table,MATCH(DATE(S$5,$K333,$J333),daily_dates,0),MATCH($B$3,daily_items,0)))</f>
        <v>#N/A</v>
      </c>
      <c r="T333" s="1" t="str">
        <f t="array" ref="T333">IF(ISBLANK(INDEX(big_daily_table,MATCH(DATE(T$5,$K333,$J333),daily_dates,0),MATCH($B$3,daily_items,0))),NA(),INDEX(big_daily_table,MATCH(DATE(T$5,$K333,$J333),daily_dates,0),MATCH($B$3,daily_items,0)))</f>
        <v>#N/A</v>
      </c>
      <c r="U333" s="1" t="str">
        <f t="array" ref="U333">IF(ISBLANK(INDEX(big_daily_table,MATCH(DATE(U$5,$K333,$J333),daily_dates,0),MATCH($B$3,daily_items,0))),NA(),INDEX(big_daily_table,MATCH(DATE(U$5,$K333,$J333),daily_dates,0),MATCH($B$3,daily_items,0)))</f>
        <v>#N/A</v>
      </c>
      <c r="V333" s="1" t="str">
        <f t="array" ref="V333">IF(ISBLANK(INDEX(big_daily_table,MATCH(DATE(V$5,$K333,$J333),daily_dates,0),MATCH($B$3,daily_items,0))),NA(),INDEX(big_daily_table,MATCH(DATE(V$5,$K333,$J333),daily_dates,0),MATCH($B$3,daily_items,0)))</f>
        <v>#N/A</v>
      </c>
      <c r="W333" s="1" t="str">
        <f t="array" ref="W333">IF(ISBLANK(INDEX(big_daily_table,MATCH(DATE(W$5,$K333,$J333),daily_dates,0),MATCH($B$3,daily_items,0))),NA(),INDEX(big_daily_table,MATCH(DATE(W$5,$K333,$J333),daily_dates,0),MATCH($B$3,daily_items,0)))</f>
        <v>#N/A</v>
      </c>
      <c r="X333" s="1" t="str">
        <f t="array" ref="X333">IF(ISBLANK(INDEX(big_daily_table,MATCH(DATE(X$5,$K333,$J333),daily_dates,0),MATCH($B$3,daily_items,0))),NA(),INDEX(big_daily_table,MATCH(DATE(X$5,$K333,$J333),daily_dates,0),MATCH($B$3,daily_items,0)))</f>
        <v>#N/A</v>
      </c>
      <c r="Y333" s="1" t="str">
        <f t="array" ref="Y333">IF(ISBLANK(INDEX(big_daily_table,MATCH(DATE(Y$5,$K333,$J333),daily_dates,0),MATCH($B$3,daily_items,0))),NA(),INDEX(big_daily_table,MATCH(DATE(Y$5,$K333,$J333),daily_dates,0),MATCH($B$3,daily_items,0)))</f>
        <v>#N/A</v>
      </c>
      <c r="Z333" s="1" t="str">
        <f t="array" ref="Z333">IF(ISBLANK(INDEX(big_daily_table,MATCH(DATE(Z$5,$K333,$J333),daily_dates,0),MATCH($B$3,daily_items,0))),NA(),INDEX(big_daily_table,MATCH(DATE(Z$5,$K333,$J333),daily_dates,0),MATCH($B$3,daily_items,0)))</f>
        <v>#N/A</v>
      </c>
      <c r="AA333" s="1" t="str">
        <f t="shared" si="5"/>
        <v>#NAME?</v>
      </c>
      <c r="AB333" s="1" t="str">
        <f t="shared" si="6"/>
        <v>#NAME?</v>
      </c>
      <c r="AC333" s="1" t="str">
        <f t="shared" si="7"/>
        <v>#NAME?</v>
      </c>
      <c r="AD333" s="1" t="str">
        <f t="shared" si="8"/>
        <v>#NAME?</v>
      </c>
    </row>
    <row r="334" ht="14.25" customHeight="1">
      <c r="H334" s="1">
        <f t="shared" si="9"/>
        <v>329</v>
      </c>
      <c r="I334" s="1">
        <f>WEEKDAY('daily graphs'!K334)</f>
        <v>6</v>
      </c>
      <c r="J334" s="1">
        <f t="shared" si="2"/>
        <v>18</v>
      </c>
      <c r="K334" s="1">
        <f t="shared" si="3"/>
        <v>11</v>
      </c>
      <c r="L334" s="23">
        <f>'daily graphs'!K334 - I334</f>
        <v>36848</v>
      </c>
      <c r="M334" s="24">
        <f t="shared" si="4"/>
        <v>1000000</v>
      </c>
      <c r="N334" s="24" t="str">
        <f t="array" ref="N334">IF(M334&gt;0,INDEX(big_daily_table,MATCH(DATE(O$5,$K334,$J334),daily_dates,0),MATCH($B$3,daily_items,0)),NA())</f>
        <v>#N/A</v>
      </c>
      <c r="O334" s="1" t="str">
        <f t="array" ref="O334">IF(M334&lt;0,INDEX(big_daily_table,MATCH(DATE(O$5,$K334,$J334),daily_dates,0),MATCH($B$3,daily_items,0)),NA())</f>
        <v>#N/A</v>
      </c>
      <c r="P334" s="1" t="str">
        <f t="array" ref="P334">IF(ISBLANK(INDEX(big_daily_table,MATCH(DATE(P$5,$K334,$J334),daily_dates,0),MATCH($B$3,daily_items,0))),NA(),INDEX(big_daily_table,MATCH(DATE(P$5,$K334,$J334),daily_dates,0),MATCH($B$3,daily_items,0)))</f>
        <v>#N/A</v>
      </c>
      <c r="Q334" s="1" t="str">
        <f t="array" ref="Q334">IF(ISBLANK(INDEX(big_daily_table,MATCH(DATE(Q$5,$K334,$J334),daily_dates,0),MATCH($B$3,daily_items,0))),NA(),INDEX(big_daily_table,MATCH(DATE(Q$5,$K334,$J334),daily_dates,0),MATCH($B$3,daily_items,0)))</f>
        <v>#N/A</v>
      </c>
      <c r="R334" s="1" t="str">
        <f t="array" ref="R334">IF(ISBLANK(INDEX(big_daily_table,MATCH(DATE(R$5,$K334,$J334),daily_dates,0),MATCH($B$3,daily_items,0))),NA(),INDEX(big_daily_table,MATCH(DATE(R$5,$K334,$J334),daily_dates,0),MATCH($B$3,daily_items,0)))</f>
        <v>#N/A</v>
      </c>
      <c r="S334" s="1" t="str">
        <f t="array" ref="S334">IF(ISBLANK(INDEX(big_daily_table,MATCH(DATE(S$5,$K334,$J334),daily_dates,0),MATCH($B$3,daily_items,0))),NA(),INDEX(big_daily_table,MATCH(DATE(S$5,$K334,$J334),daily_dates,0),MATCH($B$3,daily_items,0)))</f>
        <v>#N/A</v>
      </c>
      <c r="T334" s="1" t="str">
        <f t="array" ref="T334">IF(ISBLANK(INDEX(big_daily_table,MATCH(DATE(T$5,$K334,$J334),daily_dates,0),MATCH($B$3,daily_items,0))),NA(),INDEX(big_daily_table,MATCH(DATE(T$5,$K334,$J334),daily_dates,0),MATCH($B$3,daily_items,0)))</f>
        <v>#N/A</v>
      </c>
      <c r="U334" s="1" t="str">
        <f t="array" ref="U334">IF(ISBLANK(INDEX(big_daily_table,MATCH(DATE(U$5,$K334,$J334),daily_dates,0),MATCH($B$3,daily_items,0))),NA(),INDEX(big_daily_table,MATCH(DATE(U$5,$K334,$J334),daily_dates,0),MATCH($B$3,daily_items,0)))</f>
        <v>#N/A</v>
      </c>
      <c r="V334" s="1" t="str">
        <f t="array" ref="V334">IF(ISBLANK(INDEX(big_daily_table,MATCH(DATE(V$5,$K334,$J334),daily_dates,0),MATCH($B$3,daily_items,0))),NA(),INDEX(big_daily_table,MATCH(DATE(V$5,$K334,$J334),daily_dates,0),MATCH($B$3,daily_items,0)))</f>
        <v>#N/A</v>
      </c>
      <c r="W334" s="1" t="str">
        <f t="array" ref="W334">IF(ISBLANK(INDEX(big_daily_table,MATCH(DATE(W$5,$K334,$J334),daily_dates,0),MATCH($B$3,daily_items,0))),NA(),INDEX(big_daily_table,MATCH(DATE(W$5,$K334,$J334),daily_dates,0),MATCH($B$3,daily_items,0)))</f>
        <v>#N/A</v>
      </c>
      <c r="X334" s="1" t="str">
        <f t="array" ref="X334">IF(ISBLANK(INDEX(big_daily_table,MATCH(DATE(X$5,$K334,$J334),daily_dates,0),MATCH($B$3,daily_items,0))),NA(),INDEX(big_daily_table,MATCH(DATE(X$5,$K334,$J334),daily_dates,0),MATCH($B$3,daily_items,0)))</f>
        <v>#N/A</v>
      </c>
      <c r="Y334" s="1" t="str">
        <f t="array" ref="Y334">IF(ISBLANK(INDEX(big_daily_table,MATCH(DATE(Y$5,$K334,$J334),daily_dates,0),MATCH($B$3,daily_items,0))),NA(),INDEX(big_daily_table,MATCH(DATE(Y$5,$K334,$J334),daily_dates,0),MATCH($B$3,daily_items,0)))</f>
        <v>#N/A</v>
      </c>
      <c r="Z334" s="1" t="str">
        <f t="array" ref="Z334">IF(ISBLANK(INDEX(big_daily_table,MATCH(DATE(Z$5,$K334,$J334),daily_dates,0),MATCH($B$3,daily_items,0))),NA(),INDEX(big_daily_table,MATCH(DATE(Z$5,$K334,$J334),daily_dates,0),MATCH($B$3,daily_items,0)))</f>
        <v>#N/A</v>
      </c>
      <c r="AA334" s="1" t="str">
        <f t="shared" si="5"/>
        <v>#NAME?</v>
      </c>
      <c r="AB334" s="1" t="str">
        <f t="shared" si="6"/>
        <v>#NAME?</v>
      </c>
      <c r="AC334" s="1" t="str">
        <f t="shared" si="7"/>
        <v>#NAME?</v>
      </c>
      <c r="AD334" s="1" t="str">
        <f t="shared" si="8"/>
        <v>#NAME?</v>
      </c>
    </row>
    <row r="335" ht="14.25" customHeight="1">
      <c r="H335" s="1">
        <f t="shared" si="9"/>
        <v>330</v>
      </c>
      <c r="I335" s="1">
        <f>WEEKDAY('daily graphs'!K335)</f>
        <v>7</v>
      </c>
      <c r="J335" s="1">
        <f t="shared" si="2"/>
        <v>18</v>
      </c>
      <c r="K335" s="1">
        <f t="shared" si="3"/>
        <v>11</v>
      </c>
      <c r="L335" s="23">
        <f>'daily graphs'!K335 - I335</f>
        <v>36848</v>
      </c>
      <c r="M335" s="24">
        <f t="shared" si="4"/>
        <v>1000000</v>
      </c>
      <c r="N335" s="24" t="str">
        <f t="array" ref="N335">IF(M335&gt;0,INDEX(big_daily_table,MATCH(DATE(O$5,$K335,$J335),daily_dates,0),MATCH($B$3,daily_items,0)),NA())</f>
        <v>#N/A</v>
      </c>
      <c r="O335" s="1" t="str">
        <f t="array" ref="O335">IF(M335&lt;0,INDEX(big_daily_table,MATCH(DATE(O$5,$K335,$J335),daily_dates,0),MATCH($B$3,daily_items,0)),NA())</f>
        <v>#N/A</v>
      </c>
      <c r="P335" s="1" t="str">
        <f t="array" ref="P335">IF(ISBLANK(INDEX(big_daily_table,MATCH(DATE(P$5,$K335,$J335),daily_dates,0),MATCH($B$3,daily_items,0))),NA(),INDEX(big_daily_table,MATCH(DATE(P$5,$K335,$J335),daily_dates,0),MATCH($B$3,daily_items,0)))</f>
        <v>#N/A</v>
      </c>
      <c r="Q335" s="1" t="str">
        <f t="array" ref="Q335">IF(ISBLANK(INDEX(big_daily_table,MATCH(DATE(Q$5,$K335,$J335),daily_dates,0),MATCH($B$3,daily_items,0))),NA(),INDEX(big_daily_table,MATCH(DATE(Q$5,$K335,$J335),daily_dates,0),MATCH($B$3,daily_items,0)))</f>
        <v>#N/A</v>
      </c>
      <c r="R335" s="1" t="str">
        <f t="array" ref="R335">IF(ISBLANK(INDEX(big_daily_table,MATCH(DATE(R$5,$K335,$J335),daily_dates,0),MATCH($B$3,daily_items,0))),NA(),INDEX(big_daily_table,MATCH(DATE(R$5,$K335,$J335),daily_dates,0),MATCH($B$3,daily_items,0)))</f>
        <v>#N/A</v>
      </c>
      <c r="S335" s="1" t="str">
        <f t="array" ref="S335">IF(ISBLANK(INDEX(big_daily_table,MATCH(DATE(S$5,$K335,$J335),daily_dates,0),MATCH($B$3,daily_items,0))),NA(),INDEX(big_daily_table,MATCH(DATE(S$5,$K335,$J335),daily_dates,0),MATCH($B$3,daily_items,0)))</f>
        <v>#N/A</v>
      </c>
      <c r="T335" s="1" t="str">
        <f t="array" ref="T335">IF(ISBLANK(INDEX(big_daily_table,MATCH(DATE(T$5,$K335,$J335),daily_dates,0),MATCH($B$3,daily_items,0))),NA(),INDEX(big_daily_table,MATCH(DATE(T$5,$K335,$J335),daily_dates,0),MATCH($B$3,daily_items,0)))</f>
        <v>#N/A</v>
      </c>
      <c r="U335" s="1" t="str">
        <f t="array" ref="U335">IF(ISBLANK(INDEX(big_daily_table,MATCH(DATE(U$5,$K335,$J335),daily_dates,0),MATCH($B$3,daily_items,0))),NA(),INDEX(big_daily_table,MATCH(DATE(U$5,$K335,$J335),daily_dates,0),MATCH($B$3,daily_items,0)))</f>
        <v>#N/A</v>
      </c>
      <c r="V335" s="1" t="str">
        <f t="array" ref="V335">IF(ISBLANK(INDEX(big_daily_table,MATCH(DATE(V$5,$K335,$J335),daily_dates,0),MATCH($B$3,daily_items,0))),NA(),INDEX(big_daily_table,MATCH(DATE(V$5,$K335,$J335),daily_dates,0),MATCH($B$3,daily_items,0)))</f>
        <v>#N/A</v>
      </c>
      <c r="W335" s="1" t="str">
        <f t="array" ref="W335">IF(ISBLANK(INDEX(big_daily_table,MATCH(DATE(W$5,$K335,$J335),daily_dates,0),MATCH($B$3,daily_items,0))),NA(),INDEX(big_daily_table,MATCH(DATE(W$5,$K335,$J335),daily_dates,0),MATCH($B$3,daily_items,0)))</f>
        <v>#N/A</v>
      </c>
      <c r="X335" s="1" t="str">
        <f t="array" ref="X335">IF(ISBLANK(INDEX(big_daily_table,MATCH(DATE(X$5,$K335,$J335),daily_dates,0),MATCH($B$3,daily_items,0))),NA(),INDEX(big_daily_table,MATCH(DATE(X$5,$K335,$J335),daily_dates,0),MATCH($B$3,daily_items,0)))</f>
        <v>#N/A</v>
      </c>
      <c r="Y335" s="1" t="str">
        <f t="array" ref="Y335">IF(ISBLANK(INDEX(big_daily_table,MATCH(DATE(Y$5,$K335,$J335),daily_dates,0),MATCH($B$3,daily_items,0))),NA(),INDEX(big_daily_table,MATCH(DATE(Y$5,$K335,$J335),daily_dates,0),MATCH($B$3,daily_items,0)))</f>
        <v>#N/A</v>
      </c>
      <c r="Z335" s="1" t="str">
        <f t="array" ref="Z335">IF(ISBLANK(INDEX(big_daily_table,MATCH(DATE(Z$5,$K335,$J335),daily_dates,0),MATCH($B$3,daily_items,0))),NA(),INDEX(big_daily_table,MATCH(DATE(Z$5,$K335,$J335),daily_dates,0),MATCH($B$3,daily_items,0)))</f>
        <v>#N/A</v>
      </c>
      <c r="AA335" s="1" t="str">
        <f t="shared" si="5"/>
        <v>#NAME?</v>
      </c>
      <c r="AB335" s="1" t="str">
        <f t="shared" si="6"/>
        <v>#NAME?</v>
      </c>
      <c r="AC335" s="1" t="str">
        <f t="shared" si="7"/>
        <v>#NAME?</v>
      </c>
      <c r="AD335" s="1" t="str">
        <f t="shared" si="8"/>
        <v>#NAME?</v>
      </c>
    </row>
    <row r="336" ht="14.25" customHeight="1">
      <c r="H336" s="1">
        <f t="shared" si="9"/>
        <v>331</v>
      </c>
      <c r="I336" s="1">
        <f>WEEKDAY('daily graphs'!K336)</f>
        <v>1</v>
      </c>
      <c r="J336" s="1">
        <f t="shared" si="2"/>
        <v>25</v>
      </c>
      <c r="K336" s="1">
        <f t="shared" si="3"/>
        <v>11</v>
      </c>
      <c r="L336" s="23">
        <f>'daily graphs'!K336 - I336</f>
        <v>36855</v>
      </c>
      <c r="M336" s="24">
        <f t="shared" si="4"/>
        <v>1000000</v>
      </c>
      <c r="N336" s="24" t="str">
        <f t="array" ref="N336">IF(M336&gt;0,INDEX(big_daily_table,MATCH(DATE(O$5,$K336,$J336),daily_dates,0),MATCH($B$3,daily_items,0)),NA())</f>
        <v>#N/A</v>
      </c>
      <c r="O336" s="1" t="str">
        <f t="array" ref="O336">IF(M336&lt;0,INDEX(big_daily_table,MATCH(DATE(O$5,$K336,$J336),daily_dates,0),MATCH($B$3,daily_items,0)),NA())</f>
        <v>#N/A</v>
      </c>
      <c r="P336" s="1" t="str">
        <f t="array" ref="P336">IF(ISBLANK(INDEX(big_daily_table,MATCH(DATE(P$5,$K336,$J336),daily_dates,0),MATCH($B$3,daily_items,0))),NA(),INDEX(big_daily_table,MATCH(DATE(P$5,$K336,$J336),daily_dates,0),MATCH($B$3,daily_items,0)))</f>
        <v>#N/A</v>
      </c>
      <c r="Q336" s="1" t="str">
        <f t="array" ref="Q336">IF(ISBLANK(INDEX(big_daily_table,MATCH(DATE(Q$5,$K336,$J336),daily_dates,0),MATCH($B$3,daily_items,0))),NA(),INDEX(big_daily_table,MATCH(DATE(Q$5,$K336,$J336),daily_dates,0),MATCH($B$3,daily_items,0)))</f>
        <v>#N/A</v>
      </c>
      <c r="R336" s="1" t="str">
        <f t="array" ref="R336">IF(ISBLANK(INDEX(big_daily_table,MATCH(DATE(R$5,$K336,$J336),daily_dates,0),MATCH($B$3,daily_items,0))),NA(),INDEX(big_daily_table,MATCH(DATE(R$5,$K336,$J336),daily_dates,0),MATCH($B$3,daily_items,0)))</f>
        <v>#N/A</v>
      </c>
      <c r="S336" s="1" t="str">
        <f t="array" ref="S336">IF(ISBLANK(INDEX(big_daily_table,MATCH(DATE(S$5,$K336,$J336),daily_dates,0),MATCH($B$3,daily_items,0))),NA(),INDEX(big_daily_table,MATCH(DATE(S$5,$K336,$J336),daily_dates,0),MATCH($B$3,daily_items,0)))</f>
        <v>#N/A</v>
      </c>
      <c r="T336" s="1" t="str">
        <f t="array" ref="T336">IF(ISBLANK(INDEX(big_daily_table,MATCH(DATE(T$5,$K336,$J336),daily_dates,0),MATCH($B$3,daily_items,0))),NA(),INDEX(big_daily_table,MATCH(DATE(T$5,$K336,$J336),daily_dates,0),MATCH($B$3,daily_items,0)))</f>
        <v>#N/A</v>
      </c>
      <c r="U336" s="1" t="str">
        <f t="array" ref="U336">IF(ISBLANK(INDEX(big_daily_table,MATCH(DATE(U$5,$K336,$J336),daily_dates,0),MATCH($B$3,daily_items,0))),NA(),INDEX(big_daily_table,MATCH(DATE(U$5,$K336,$J336),daily_dates,0),MATCH($B$3,daily_items,0)))</f>
        <v>#N/A</v>
      </c>
      <c r="V336" s="1" t="str">
        <f t="array" ref="V336">IF(ISBLANK(INDEX(big_daily_table,MATCH(DATE(V$5,$K336,$J336),daily_dates,0),MATCH($B$3,daily_items,0))),NA(),INDEX(big_daily_table,MATCH(DATE(V$5,$K336,$J336),daily_dates,0),MATCH($B$3,daily_items,0)))</f>
        <v>#N/A</v>
      </c>
      <c r="W336" s="1" t="str">
        <f t="array" ref="W336">IF(ISBLANK(INDEX(big_daily_table,MATCH(DATE(W$5,$K336,$J336),daily_dates,0),MATCH($B$3,daily_items,0))),NA(),INDEX(big_daily_table,MATCH(DATE(W$5,$K336,$J336),daily_dates,0),MATCH($B$3,daily_items,0)))</f>
        <v>#N/A</v>
      </c>
      <c r="X336" s="1" t="str">
        <f t="array" ref="X336">IF(ISBLANK(INDEX(big_daily_table,MATCH(DATE(X$5,$K336,$J336),daily_dates,0),MATCH($B$3,daily_items,0))),NA(),INDEX(big_daily_table,MATCH(DATE(X$5,$K336,$J336),daily_dates,0),MATCH($B$3,daily_items,0)))</f>
        <v>#N/A</v>
      </c>
      <c r="Y336" s="1" t="str">
        <f t="array" ref="Y336">IF(ISBLANK(INDEX(big_daily_table,MATCH(DATE(Y$5,$K336,$J336),daily_dates,0),MATCH($B$3,daily_items,0))),NA(),INDEX(big_daily_table,MATCH(DATE(Y$5,$K336,$J336),daily_dates,0),MATCH($B$3,daily_items,0)))</f>
        <v>#N/A</v>
      </c>
      <c r="Z336" s="1" t="str">
        <f t="array" ref="Z336">IF(ISBLANK(INDEX(big_daily_table,MATCH(DATE(Z$5,$K336,$J336),daily_dates,0),MATCH($B$3,daily_items,0))),NA(),INDEX(big_daily_table,MATCH(DATE(Z$5,$K336,$J336),daily_dates,0),MATCH($B$3,daily_items,0)))</f>
        <v>#N/A</v>
      </c>
      <c r="AA336" s="1" t="str">
        <f t="shared" si="5"/>
        <v>#NAME?</v>
      </c>
      <c r="AB336" s="1" t="str">
        <f t="shared" si="6"/>
        <v>#NAME?</v>
      </c>
      <c r="AC336" s="1" t="str">
        <f t="shared" si="7"/>
        <v>#NAME?</v>
      </c>
      <c r="AD336" s="1" t="str">
        <f t="shared" si="8"/>
        <v>#NAME?</v>
      </c>
    </row>
    <row r="337" ht="14.25" customHeight="1">
      <c r="H337" s="1">
        <f t="shared" si="9"/>
        <v>332</v>
      </c>
      <c r="I337" s="1">
        <f>WEEKDAY('daily graphs'!K337)</f>
        <v>2</v>
      </c>
      <c r="J337" s="1">
        <f t="shared" si="2"/>
        <v>25</v>
      </c>
      <c r="K337" s="1">
        <f t="shared" si="3"/>
        <v>11</v>
      </c>
      <c r="L337" s="23">
        <f>'daily graphs'!K337 - I337</f>
        <v>36855</v>
      </c>
      <c r="M337" s="24">
        <f t="shared" si="4"/>
        <v>1000000</v>
      </c>
      <c r="N337" s="24" t="str">
        <f t="array" ref="N337">IF(M337&gt;0,INDEX(big_daily_table,MATCH(DATE(O$5,$K337,$J337),daily_dates,0),MATCH($B$3,daily_items,0)),NA())</f>
        <v>#N/A</v>
      </c>
      <c r="O337" s="1" t="str">
        <f t="array" ref="O337">IF(M337&lt;0,INDEX(big_daily_table,MATCH(DATE(O$5,$K337,$J337),daily_dates,0),MATCH($B$3,daily_items,0)),NA())</f>
        <v>#N/A</v>
      </c>
      <c r="P337" s="1" t="str">
        <f t="array" ref="P337">IF(ISBLANK(INDEX(big_daily_table,MATCH(DATE(P$5,$K337,$J337),daily_dates,0),MATCH($B$3,daily_items,0))),NA(),INDEX(big_daily_table,MATCH(DATE(P$5,$K337,$J337),daily_dates,0),MATCH($B$3,daily_items,0)))</f>
        <v>#N/A</v>
      </c>
      <c r="Q337" s="1" t="str">
        <f t="array" ref="Q337">IF(ISBLANK(INDEX(big_daily_table,MATCH(DATE(Q$5,$K337,$J337),daily_dates,0),MATCH($B$3,daily_items,0))),NA(),INDEX(big_daily_table,MATCH(DATE(Q$5,$K337,$J337),daily_dates,0),MATCH($B$3,daily_items,0)))</f>
        <v>#N/A</v>
      </c>
      <c r="R337" s="1" t="str">
        <f t="array" ref="R337">IF(ISBLANK(INDEX(big_daily_table,MATCH(DATE(R$5,$K337,$J337),daily_dates,0),MATCH($B$3,daily_items,0))),NA(),INDEX(big_daily_table,MATCH(DATE(R$5,$K337,$J337),daily_dates,0),MATCH($B$3,daily_items,0)))</f>
        <v>#N/A</v>
      </c>
      <c r="S337" s="1" t="str">
        <f t="array" ref="S337">IF(ISBLANK(INDEX(big_daily_table,MATCH(DATE(S$5,$K337,$J337),daily_dates,0),MATCH($B$3,daily_items,0))),NA(),INDEX(big_daily_table,MATCH(DATE(S$5,$K337,$J337),daily_dates,0),MATCH($B$3,daily_items,0)))</f>
        <v>#N/A</v>
      </c>
      <c r="T337" s="1" t="str">
        <f t="array" ref="T337">IF(ISBLANK(INDEX(big_daily_table,MATCH(DATE(T$5,$K337,$J337),daily_dates,0),MATCH($B$3,daily_items,0))),NA(),INDEX(big_daily_table,MATCH(DATE(T$5,$K337,$J337),daily_dates,0),MATCH($B$3,daily_items,0)))</f>
        <v>#N/A</v>
      </c>
      <c r="U337" s="1" t="str">
        <f t="array" ref="U337">IF(ISBLANK(INDEX(big_daily_table,MATCH(DATE(U$5,$K337,$J337),daily_dates,0),MATCH($B$3,daily_items,0))),NA(),INDEX(big_daily_table,MATCH(DATE(U$5,$K337,$J337),daily_dates,0),MATCH($B$3,daily_items,0)))</f>
        <v>#N/A</v>
      </c>
      <c r="V337" s="1" t="str">
        <f t="array" ref="V337">IF(ISBLANK(INDEX(big_daily_table,MATCH(DATE(V$5,$K337,$J337),daily_dates,0),MATCH($B$3,daily_items,0))),NA(),INDEX(big_daily_table,MATCH(DATE(V$5,$K337,$J337),daily_dates,0),MATCH($B$3,daily_items,0)))</f>
        <v>#N/A</v>
      </c>
      <c r="W337" s="1" t="str">
        <f t="array" ref="W337">IF(ISBLANK(INDEX(big_daily_table,MATCH(DATE(W$5,$K337,$J337),daily_dates,0),MATCH($B$3,daily_items,0))),NA(),INDEX(big_daily_table,MATCH(DATE(W$5,$K337,$J337),daily_dates,0),MATCH($B$3,daily_items,0)))</f>
        <v>#N/A</v>
      </c>
      <c r="X337" s="1" t="str">
        <f t="array" ref="X337">IF(ISBLANK(INDEX(big_daily_table,MATCH(DATE(X$5,$K337,$J337),daily_dates,0),MATCH($B$3,daily_items,0))),NA(),INDEX(big_daily_table,MATCH(DATE(X$5,$K337,$J337),daily_dates,0),MATCH($B$3,daily_items,0)))</f>
        <v>#N/A</v>
      </c>
      <c r="Y337" s="1" t="str">
        <f t="array" ref="Y337">IF(ISBLANK(INDEX(big_daily_table,MATCH(DATE(Y$5,$K337,$J337),daily_dates,0),MATCH($B$3,daily_items,0))),NA(),INDEX(big_daily_table,MATCH(DATE(Y$5,$K337,$J337),daily_dates,0),MATCH($B$3,daily_items,0)))</f>
        <v>#N/A</v>
      </c>
      <c r="Z337" s="1" t="str">
        <f t="array" ref="Z337">IF(ISBLANK(INDEX(big_daily_table,MATCH(DATE(Z$5,$K337,$J337),daily_dates,0),MATCH($B$3,daily_items,0))),NA(),INDEX(big_daily_table,MATCH(DATE(Z$5,$K337,$J337),daily_dates,0),MATCH($B$3,daily_items,0)))</f>
        <v>#N/A</v>
      </c>
      <c r="AA337" s="1" t="str">
        <f t="shared" si="5"/>
        <v>#NAME?</v>
      </c>
      <c r="AB337" s="1" t="str">
        <f t="shared" si="6"/>
        <v>#NAME?</v>
      </c>
      <c r="AC337" s="1" t="str">
        <f t="shared" si="7"/>
        <v>#NAME?</v>
      </c>
      <c r="AD337" s="1" t="str">
        <f t="shared" si="8"/>
        <v>#NAME?</v>
      </c>
    </row>
    <row r="338" ht="14.25" customHeight="1">
      <c r="H338" s="1">
        <f t="shared" si="9"/>
        <v>333</v>
      </c>
      <c r="I338" s="1">
        <f>WEEKDAY('daily graphs'!K338)</f>
        <v>3</v>
      </c>
      <c r="J338" s="1">
        <f t="shared" si="2"/>
        <v>25</v>
      </c>
      <c r="K338" s="1">
        <f t="shared" si="3"/>
        <v>11</v>
      </c>
      <c r="L338" s="23">
        <f>'daily graphs'!K338 - I338</f>
        <v>36855</v>
      </c>
      <c r="M338" s="24">
        <f t="shared" si="4"/>
        <v>1000000</v>
      </c>
      <c r="N338" s="24" t="str">
        <f t="array" ref="N338">IF(M338&gt;0,INDEX(big_daily_table,MATCH(DATE(O$5,$K338,$J338),daily_dates,0),MATCH($B$3,daily_items,0)),NA())</f>
        <v>#N/A</v>
      </c>
      <c r="O338" s="1" t="str">
        <f t="array" ref="O338">IF(M338&lt;0,INDEX(big_daily_table,MATCH(DATE(O$5,$K338,$J338),daily_dates,0),MATCH($B$3,daily_items,0)),NA())</f>
        <v>#N/A</v>
      </c>
      <c r="P338" s="1" t="str">
        <f t="array" ref="P338">IF(ISBLANK(INDEX(big_daily_table,MATCH(DATE(P$5,$K338,$J338),daily_dates,0),MATCH($B$3,daily_items,0))),NA(),INDEX(big_daily_table,MATCH(DATE(P$5,$K338,$J338),daily_dates,0),MATCH($B$3,daily_items,0)))</f>
        <v>#N/A</v>
      </c>
      <c r="Q338" s="1" t="str">
        <f t="array" ref="Q338">IF(ISBLANK(INDEX(big_daily_table,MATCH(DATE(Q$5,$K338,$J338),daily_dates,0),MATCH($B$3,daily_items,0))),NA(),INDEX(big_daily_table,MATCH(DATE(Q$5,$K338,$J338),daily_dates,0),MATCH($B$3,daily_items,0)))</f>
        <v>#N/A</v>
      </c>
      <c r="R338" s="1" t="str">
        <f t="array" ref="R338">IF(ISBLANK(INDEX(big_daily_table,MATCH(DATE(R$5,$K338,$J338),daily_dates,0),MATCH($B$3,daily_items,0))),NA(),INDEX(big_daily_table,MATCH(DATE(R$5,$K338,$J338),daily_dates,0),MATCH($B$3,daily_items,0)))</f>
        <v>#N/A</v>
      </c>
      <c r="S338" s="1" t="str">
        <f t="array" ref="S338">IF(ISBLANK(INDEX(big_daily_table,MATCH(DATE(S$5,$K338,$J338),daily_dates,0),MATCH($B$3,daily_items,0))),NA(),INDEX(big_daily_table,MATCH(DATE(S$5,$K338,$J338),daily_dates,0),MATCH($B$3,daily_items,0)))</f>
        <v>#N/A</v>
      </c>
      <c r="T338" s="1" t="str">
        <f t="array" ref="T338">IF(ISBLANK(INDEX(big_daily_table,MATCH(DATE(T$5,$K338,$J338),daily_dates,0),MATCH($B$3,daily_items,0))),NA(),INDEX(big_daily_table,MATCH(DATE(T$5,$K338,$J338),daily_dates,0),MATCH($B$3,daily_items,0)))</f>
        <v>#N/A</v>
      </c>
      <c r="U338" s="1" t="str">
        <f t="array" ref="U338">IF(ISBLANK(INDEX(big_daily_table,MATCH(DATE(U$5,$K338,$J338),daily_dates,0),MATCH($B$3,daily_items,0))),NA(),INDEX(big_daily_table,MATCH(DATE(U$5,$K338,$J338),daily_dates,0),MATCH($B$3,daily_items,0)))</f>
        <v>#N/A</v>
      </c>
      <c r="V338" s="1" t="str">
        <f t="array" ref="V338">IF(ISBLANK(INDEX(big_daily_table,MATCH(DATE(V$5,$K338,$J338),daily_dates,0),MATCH($B$3,daily_items,0))),NA(),INDEX(big_daily_table,MATCH(DATE(V$5,$K338,$J338),daily_dates,0),MATCH($B$3,daily_items,0)))</f>
        <v>#N/A</v>
      </c>
      <c r="W338" s="1" t="str">
        <f t="array" ref="W338">IF(ISBLANK(INDEX(big_daily_table,MATCH(DATE(W$5,$K338,$J338),daily_dates,0),MATCH($B$3,daily_items,0))),NA(),INDEX(big_daily_table,MATCH(DATE(W$5,$K338,$J338),daily_dates,0),MATCH($B$3,daily_items,0)))</f>
        <v>#N/A</v>
      </c>
      <c r="X338" s="1" t="str">
        <f t="array" ref="X338">IF(ISBLANK(INDEX(big_daily_table,MATCH(DATE(X$5,$K338,$J338),daily_dates,0),MATCH($B$3,daily_items,0))),NA(),INDEX(big_daily_table,MATCH(DATE(X$5,$K338,$J338),daily_dates,0),MATCH($B$3,daily_items,0)))</f>
        <v>#N/A</v>
      </c>
      <c r="Y338" s="1" t="str">
        <f t="array" ref="Y338">IF(ISBLANK(INDEX(big_daily_table,MATCH(DATE(Y$5,$K338,$J338),daily_dates,0),MATCH($B$3,daily_items,0))),NA(),INDEX(big_daily_table,MATCH(DATE(Y$5,$K338,$J338),daily_dates,0),MATCH($B$3,daily_items,0)))</f>
        <v>#N/A</v>
      </c>
      <c r="Z338" s="1" t="str">
        <f t="array" ref="Z338">IF(ISBLANK(INDEX(big_daily_table,MATCH(DATE(Z$5,$K338,$J338),daily_dates,0),MATCH($B$3,daily_items,0))),NA(),INDEX(big_daily_table,MATCH(DATE(Z$5,$K338,$J338),daily_dates,0),MATCH($B$3,daily_items,0)))</f>
        <v>#N/A</v>
      </c>
      <c r="AA338" s="1" t="str">
        <f t="shared" si="5"/>
        <v>#NAME?</v>
      </c>
      <c r="AB338" s="1" t="str">
        <f t="shared" si="6"/>
        <v>#NAME?</v>
      </c>
      <c r="AC338" s="1" t="str">
        <f t="shared" si="7"/>
        <v>#NAME?</v>
      </c>
      <c r="AD338" s="1" t="str">
        <f t="shared" si="8"/>
        <v>#NAME?</v>
      </c>
    </row>
    <row r="339" ht="14.25" customHeight="1">
      <c r="H339" s="1">
        <f t="shared" si="9"/>
        <v>334</v>
      </c>
      <c r="I339" s="1">
        <f>WEEKDAY('daily graphs'!K339)</f>
        <v>4</v>
      </c>
      <c r="J339" s="1">
        <f t="shared" si="2"/>
        <v>25</v>
      </c>
      <c r="K339" s="1">
        <f t="shared" si="3"/>
        <v>11</v>
      </c>
      <c r="L339" s="23">
        <f>'daily graphs'!K339 - I339</f>
        <v>36855</v>
      </c>
      <c r="M339" s="24">
        <f t="shared" si="4"/>
        <v>1000000</v>
      </c>
      <c r="N339" s="24" t="str">
        <f t="array" ref="N339">IF(M339&gt;0,INDEX(big_daily_table,MATCH(DATE(O$5,$K339,$J339),daily_dates,0),MATCH($B$3,daily_items,0)),NA())</f>
        <v>#N/A</v>
      </c>
      <c r="O339" s="1" t="str">
        <f t="array" ref="O339">IF(M339&lt;0,INDEX(big_daily_table,MATCH(DATE(O$5,$K339,$J339),daily_dates,0),MATCH($B$3,daily_items,0)),NA())</f>
        <v>#N/A</v>
      </c>
      <c r="P339" s="1" t="str">
        <f t="array" ref="P339">IF(ISBLANK(INDEX(big_daily_table,MATCH(DATE(P$5,$K339,$J339),daily_dates,0),MATCH($B$3,daily_items,0))),NA(),INDEX(big_daily_table,MATCH(DATE(P$5,$K339,$J339),daily_dates,0),MATCH($B$3,daily_items,0)))</f>
        <v>#N/A</v>
      </c>
      <c r="Q339" s="1" t="str">
        <f t="array" ref="Q339">IF(ISBLANK(INDEX(big_daily_table,MATCH(DATE(Q$5,$K339,$J339),daily_dates,0),MATCH($B$3,daily_items,0))),NA(),INDEX(big_daily_table,MATCH(DATE(Q$5,$K339,$J339),daily_dates,0),MATCH($B$3,daily_items,0)))</f>
        <v>#N/A</v>
      </c>
      <c r="R339" s="1" t="str">
        <f t="array" ref="R339">IF(ISBLANK(INDEX(big_daily_table,MATCH(DATE(R$5,$K339,$J339),daily_dates,0),MATCH($B$3,daily_items,0))),NA(),INDEX(big_daily_table,MATCH(DATE(R$5,$K339,$J339),daily_dates,0),MATCH($B$3,daily_items,0)))</f>
        <v>#N/A</v>
      </c>
      <c r="S339" s="1" t="str">
        <f t="array" ref="S339">IF(ISBLANK(INDEX(big_daily_table,MATCH(DATE(S$5,$K339,$J339),daily_dates,0),MATCH($B$3,daily_items,0))),NA(),INDEX(big_daily_table,MATCH(DATE(S$5,$K339,$J339),daily_dates,0),MATCH($B$3,daily_items,0)))</f>
        <v>#N/A</v>
      </c>
      <c r="T339" s="1" t="str">
        <f t="array" ref="T339">IF(ISBLANK(INDEX(big_daily_table,MATCH(DATE(T$5,$K339,$J339),daily_dates,0),MATCH($B$3,daily_items,0))),NA(),INDEX(big_daily_table,MATCH(DATE(T$5,$K339,$J339),daily_dates,0),MATCH($B$3,daily_items,0)))</f>
        <v>#N/A</v>
      </c>
      <c r="U339" s="1" t="str">
        <f t="array" ref="U339">IF(ISBLANK(INDEX(big_daily_table,MATCH(DATE(U$5,$K339,$J339),daily_dates,0),MATCH($B$3,daily_items,0))),NA(),INDEX(big_daily_table,MATCH(DATE(U$5,$K339,$J339),daily_dates,0),MATCH($B$3,daily_items,0)))</f>
        <v>#N/A</v>
      </c>
      <c r="V339" s="1" t="str">
        <f t="array" ref="V339">IF(ISBLANK(INDEX(big_daily_table,MATCH(DATE(V$5,$K339,$J339),daily_dates,0),MATCH($B$3,daily_items,0))),NA(),INDEX(big_daily_table,MATCH(DATE(V$5,$K339,$J339),daily_dates,0),MATCH($B$3,daily_items,0)))</f>
        <v>#N/A</v>
      </c>
      <c r="W339" s="1" t="str">
        <f t="array" ref="W339">IF(ISBLANK(INDEX(big_daily_table,MATCH(DATE(W$5,$K339,$J339),daily_dates,0),MATCH($B$3,daily_items,0))),NA(),INDEX(big_daily_table,MATCH(DATE(W$5,$K339,$J339),daily_dates,0),MATCH($B$3,daily_items,0)))</f>
        <v>#N/A</v>
      </c>
      <c r="X339" s="1" t="str">
        <f t="array" ref="X339">IF(ISBLANK(INDEX(big_daily_table,MATCH(DATE(X$5,$K339,$J339),daily_dates,0),MATCH($B$3,daily_items,0))),NA(),INDEX(big_daily_table,MATCH(DATE(X$5,$K339,$J339),daily_dates,0),MATCH($B$3,daily_items,0)))</f>
        <v>#N/A</v>
      </c>
      <c r="Y339" s="1" t="str">
        <f t="array" ref="Y339">IF(ISBLANK(INDEX(big_daily_table,MATCH(DATE(Y$5,$K339,$J339),daily_dates,0),MATCH($B$3,daily_items,0))),NA(),INDEX(big_daily_table,MATCH(DATE(Y$5,$K339,$J339),daily_dates,0),MATCH($B$3,daily_items,0)))</f>
        <v>#N/A</v>
      </c>
      <c r="Z339" s="1" t="str">
        <f t="array" ref="Z339">IF(ISBLANK(INDEX(big_daily_table,MATCH(DATE(Z$5,$K339,$J339),daily_dates,0),MATCH($B$3,daily_items,0))),NA(),INDEX(big_daily_table,MATCH(DATE(Z$5,$K339,$J339),daily_dates,0),MATCH($B$3,daily_items,0)))</f>
        <v>#N/A</v>
      </c>
      <c r="AA339" s="1" t="str">
        <f t="shared" si="5"/>
        <v>#NAME?</v>
      </c>
      <c r="AB339" s="1" t="str">
        <f t="shared" si="6"/>
        <v>#NAME?</v>
      </c>
      <c r="AC339" s="1" t="str">
        <f t="shared" si="7"/>
        <v>#NAME?</v>
      </c>
      <c r="AD339" s="1" t="str">
        <f t="shared" si="8"/>
        <v>#NAME?</v>
      </c>
    </row>
    <row r="340" ht="14.25" customHeight="1">
      <c r="H340" s="1">
        <f t="shared" si="9"/>
        <v>335</v>
      </c>
      <c r="I340" s="1">
        <f>WEEKDAY('daily graphs'!K340)</f>
        <v>5</v>
      </c>
      <c r="J340" s="1">
        <f t="shared" si="2"/>
        <v>25</v>
      </c>
      <c r="K340" s="1">
        <f t="shared" si="3"/>
        <v>11</v>
      </c>
      <c r="L340" s="23">
        <f>'daily graphs'!K340 - I340</f>
        <v>36855</v>
      </c>
      <c r="M340" s="24">
        <f t="shared" si="4"/>
        <v>1000000</v>
      </c>
      <c r="N340" s="24" t="str">
        <f t="array" ref="N340">IF(M340&gt;0,INDEX(big_daily_table,MATCH(DATE(O$5,$K340,$J340),daily_dates,0),MATCH($B$3,daily_items,0)),NA())</f>
        <v>#N/A</v>
      </c>
      <c r="O340" s="1" t="str">
        <f t="array" ref="O340">IF(M340&lt;0,INDEX(big_daily_table,MATCH(DATE(O$5,$K340,$J340),daily_dates,0),MATCH($B$3,daily_items,0)),NA())</f>
        <v>#N/A</v>
      </c>
      <c r="P340" s="1" t="str">
        <f t="array" ref="P340">IF(ISBLANK(INDEX(big_daily_table,MATCH(DATE(P$5,$K340,$J340),daily_dates,0),MATCH($B$3,daily_items,0))),NA(),INDEX(big_daily_table,MATCH(DATE(P$5,$K340,$J340),daily_dates,0),MATCH($B$3,daily_items,0)))</f>
        <v>#N/A</v>
      </c>
      <c r="Q340" s="1" t="str">
        <f t="array" ref="Q340">IF(ISBLANK(INDEX(big_daily_table,MATCH(DATE(Q$5,$K340,$J340),daily_dates,0),MATCH($B$3,daily_items,0))),NA(),INDEX(big_daily_table,MATCH(DATE(Q$5,$K340,$J340),daily_dates,0),MATCH($B$3,daily_items,0)))</f>
        <v>#N/A</v>
      </c>
      <c r="R340" s="1" t="str">
        <f t="array" ref="R340">IF(ISBLANK(INDEX(big_daily_table,MATCH(DATE(R$5,$K340,$J340),daily_dates,0),MATCH($B$3,daily_items,0))),NA(),INDEX(big_daily_table,MATCH(DATE(R$5,$K340,$J340),daily_dates,0),MATCH($B$3,daily_items,0)))</f>
        <v>#N/A</v>
      </c>
      <c r="S340" s="1" t="str">
        <f t="array" ref="S340">IF(ISBLANK(INDEX(big_daily_table,MATCH(DATE(S$5,$K340,$J340),daily_dates,0),MATCH($B$3,daily_items,0))),NA(),INDEX(big_daily_table,MATCH(DATE(S$5,$K340,$J340),daily_dates,0),MATCH($B$3,daily_items,0)))</f>
        <v>#N/A</v>
      </c>
      <c r="T340" s="1" t="str">
        <f t="array" ref="T340">IF(ISBLANK(INDEX(big_daily_table,MATCH(DATE(T$5,$K340,$J340),daily_dates,0),MATCH($B$3,daily_items,0))),NA(),INDEX(big_daily_table,MATCH(DATE(T$5,$K340,$J340),daily_dates,0),MATCH($B$3,daily_items,0)))</f>
        <v>#N/A</v>
      </c>
      <c r="U340" s="1" t="str">
        <f t="array" ref="U340">IF(ISBLANK(INDEX(big_daily_table,MATCH(DATE(U$5,$K340,$J340),daily_dates,0),MATCH($B$3,daily_items,0))),NA(),INDEX(big_daily_table,MATCH(DATE(U$5,$K340,$J340),daily_dates,0),MATCH($B$3,daily_items,0)))</f>
        <v>#N/A</v>
      </c>
      <c r="V340" s="1" t="str">
        <f t="array" ref="V340">IF(ISBLANK(INDEX(big_daily_table,MATCH(DATE(V$5,$K340,$J340),daily_dates,0),MATCH($B$3,daily_items,0))),NA(),INDEX(big_daily_table,MATCH(DATE(V$5,$K340,$J340),daily_dates,0),MATCH($B$3,daily_items,0)))</f>
        <v>#N/A</v>
      </c>
      <c r="W340" s="1" t="str">
        <f t="array" ref="W340">IF(ISBLANK(INDEX(big_daily_table,MATCH(DATE(W$5,$K340,$J340),daily_dates,0),MATCH($B$3,daily_items,0))),NA(),INDEX(big_daily_table,MATCH(DATE(W$5,$K340,$J340),daily_dates,0),MATCH($B$3,daily_items,0)))</f>
        <v>#N/A</v>
      </c>
      <c r="X340" s="1" t="str">
        <f t="array" ref="X340">IF(ISBLANK(INDEX(big_daily_table,MATCH(DATE(X$5,$K340,$J340),daily_dates,0),MATCH($B$3,daily_items,0))),NA(),INDEX(big_daily_table,MATCH(DATE(X$5,$K340,$J340),daily_dates,0),MATCH($B$3,daily_items,0)))</f>
        <v>#N/A</v>
      </c>
      <c r="Y340" s="1" t="str">
        <f t="array" ref="Y340">IF(ISBLANK(INDEX(big_daily_table,MATCH(DATE(Y$5,$K340,$J340),daily_dates,0),MATCH($B$3,daily_items,0))),NA(),INDEX(big_daily_table,MATCH(DATE(Y$5,$K340,$J340),daily_dates,0),MATCH($B$3,daily_items,0)))</f>
        <v>#N/A</v>
      </c>
      <c r="Z340" s="1" t="str">
        <f t="array" ref="Z340">IF(ISBLANK(INDEX(big_daily_table,MATCH(DATE(Z$5,$K340,$J340),daily_dates,0),MATCH($B$3,daily_items,0))),NA(),INDEX(big_daily_table,MATCH(DATE(Z$5,$K340,$J340),daily_dates,0),MATCH($B$3,daily_items,0)))</f>
        <v>#N/A</v>
      </c>
      <c r="AA340" s="1" t="str">
        <f t="shared" si="5"/>
        <v>#NAME?</v>
      </c>
      <c r="AB340" s="1" t="str">
        <f t="shared" si="6"/>
        <v>#NAME?</v>
      </c>
      <c r="AC340" s="1" t="str">
        <f t="shared" si="7"/>
        <v>#NAME?</v>
      </c>
      <c r="AD340" s="1" t="str">
        <f t="shared" si="8"/>
        <v>#NAME?</v>
      </c>
    </row>
    <row r="341" ht="14.25" customHeight="1">
      <c r="H341" s="1">
        <f t="shared" si="9"/>
        <v>336</v>
      </c>
      <c r="I341" s="1">
        <f>WEEKDAY('daily graphs'!K341)</f>
        <v>6</v>
      </c>
      <c r="J341" s="1">
        <f t="shared" si="2"/>
        <v>25</v>
      </c>
      <c r="K341" s="1">
        <f t="shared" si="3"/>
        <v>11</v>
      </c>
      <c r="L341" s="23">
        <f>'daily graphs'!K341 - I341</f>
        <v>36855</v>
      </c>
      <c r="M341" s="24">
        <f t="shared" si="4"/>
        <v>1000000</v>
      </c>
      <c r="N341" s="24" t="str">
        <f t="array" ref="N341">IF(M341&gt;0,INDEX(big_daily_table,MATCH(DATE(O$5,$K341,$J341),daily_dates,0),MATCH($B$3,daily_items,0)),NA())</f>
        <v>#N/A</v>
      </c>
      <c r="O341" s="1" t="str">
        <f t="array" ref="O341">IF(M341&lt;0,INDEX(big_daily_table,MATCH(DATE(O$5,$K341,$J341),daily_dates,0),MATCH($B$3,daily_items,0)),NA())</f>
        <v>#N/A</v>
      </c>
      <c r="P341" s="1" t="str">
        <f t="array" ref="P341">IF(ISBLANK(INDEX(big_daily_table,MATCH(DATE(P$5,$K341,$J341),daily_dates,0),MATCH($B$3,daily_items,0))),NA(),INDEX(big_daily_table,MATCH(DATE(P$5,$K341,$J341),daily_dates,0),MATCH($B$3,daily_items,0)))</f>
        <v>#N/A</v>
      </c>
      <c r="Q341" s="1" t="str">
        <f t="array" ref="Q341">IF(ISBLANK(INDEX(big_daily_table,MATCH(DATE(Q$5,$K341,$J341),daily_dates,0),MATCH($B$3,daily_items,0))),NA(),INDEX(big_daily_table,MATCH(DATE(Q$5,$K341,$J341),daily_dates,0),MATCH($B$3,daily_items,0)))</f>
        <v>#N/A</v>
      </c>
      <c r="R341" s="1" t="str">
        <f t="array" ref="R341">IF(ISBLANK(INDEX(big_daily_table,MATCH(DATE(R$5,$K341,$J341),daily_dates,0),MATCH($B$3,daily_items,0))),NA(),INDEX(big_daily_table,MATCH(DATE(R$5,$K341,$J341),daily_dates,0),MATCH($B$3,daily_items,0)))</f>
        <v>#N/A</v>
      </c>
      <c r="S341" s="1" t="str">
        <f t="array" ref="S341">IF(ISBLANK(INDEX(big_daily_table,MATCH(DATE(S$5,$K341,$J341),daily_dates,0),MATCH($B$3,daily_items,0))),NA(),INDEX(big_daily_table,MATCH(DATE(S$5,$K341,$J341),daily_dates,0),MATCH($B$3,daily_items,0)))</f>
        <v>#N/A</v>
      </c>
      <c r="T341" s="1" t="str">
        <f t="array" ref="T341">IF(ISBLANK(INDEX(big_daily_table,MATCH(DATE(T$5,$K341,$J341),daily_dates,0),MATCH($B$3,daily_items,0))),NA(),INDEX(big_daily_table,MATCH(DATE(T$5,$K341,$J341),daily_dates,0),MATCH($B$3,daily_items,0)))</f>
        <v>#N/A</v>
      </c>
      <c r="U341" s="1" t="str">
        <f t="array" ref="U341">IF(ISBLANK(INDEX(big_daily_table,MATCH(DATE(U$5,$K341,$J341),daily_dates,0),MATCH($B$3,daily_items,0))),NA(),INDEX(big_daily_table,MATCH(DATE(U$5,$K341,$J341),daily_dates,0),MATCH($B$3,daily_items,0)))</f>
        <v>#N/A</v>
      </c>
      <c r="V341" s="1" t="str">
        <f t="array" ref="V341">IF(ISBLANK(INDEX(big_daily_table,MATCH(DATE(V$5,$K341,$J341),daily_dates,0),MATCH($B$3,daily_items,0))),NA(),INDEX(big_daily_table,MATCH(DATE(V$5,$K341,$J341),daily_dates,0),MATCH($B$3,daily_items,0)))</f>
        <v>#N/A</v>
      </c>
      <c r="W341" s="1" t="str">
        <f t="array" ref="W341">IF(ISBLANK(INDEX(big_daily_table,MATCH(DATE(W$5,$K341,$J341),daily_dates,0),MATCH($B$3,daily_items,0))),NA(),INDEX(big_daily_table,MATCH(DATE(W$5,$K341,$J341),daily_dates,0),MATCH($B$3,daily_items,0)))</f>
        <v>#N/A</v>
      </c>
      <c r="X341" s="1" t="str">
        <f t="array" ref="X341">IF(ISBLANK(INDEX(big_daily_table,MATCH(DATE(X$5,$K341,$J341),daily_dates,0),MATCH($B$3,daily_items,0))),NA(),INDEX(big_daily_table,MATCH(DATE(X$5,$K341,$J341),daily_dates,0),MATCH($B$3,daily_items,0)))</f>
        <v>#N/A</v>
      </c>
      <c r="Y341" s="1" t="str">
        <f t="array" ref="Y341">IF(ISBLANK(INDEX(big_daily_table,MATCH(DATE(Y$5,$K341,$J341),daily_dates,0),MATCH($B$3,daily_items,0))),NA(),INDEX(big_daily_table,MATCH(DATE(Y$5,$K341,$J341),daily_dates,0),MATCH($B$3,daily_items,0)))</f>
        <v>#N/A</v>
      </c>
      <c r="Z341" s="1" t="str">
        <f t="array" ref="Z341">IF(ISBLANK(INDEX(big_daily_table,MATCH(DATE(Z$5,$K341,$J341),daily_dates,0),MATCH($B$3,daily_items,0))),NA(),INDEX(big_daily_table,MATCH(DATE(Z$5,$K341,$J341),daily_dates,0),MATCH($B$3,daily_items,0)))</f>
        <v>#N/A</v>
      </c>
      <c r="AA341" s="1" t="str">
        <f t="shared" si="5"/>
        <v>#NAME?</v>
      </c>
      <c r="AB341" s="1" t="str">
        <f t="shared" si="6"/>
        <v>#NAME?</v>
      </c>
      <c r="AC341" s="1" t="str">
        <f t="shared" si="7"/>
        <v>#NAME?</v>
      </c>
      <c r="AD341" s="1" t="str">
        <f t="shared" si="8"/>
        <v>#NAME?</v>
      </c>
    </row>
    <row r="342" ht="14.25" customHeight="1">
      <c r="H342" s="1">
        <f t="shared" si="9"/>
        <v>337</v>
      </c>
      <c r="I342" s="1">
        <f>WEEKDAY('daily graphs'!K342)</f>
        <v>7</v>
      </c>
      <c r="J342" s="1">
        <f t="shared" si="2"/>
        <v>25</v>
      </c>
      <c r="K342" s="1">
        <f t="shared" si="3"/>
        <v>11</v>
      </c>
      <c r="L342" s="23">
        <f>'daily graphs'!K342 - I342</f>
        <v>36855</v>
      </c>
      <c r="M342" s="24">
        <f t="shared" si="4"/>
        <v>1000000</v>
      </c>
      <c r="N342" s="24" t="str">
        <f t="array" ref="N342">IF(M342&gt;0,INDEX(big_daily_table,MATCH(DATE(O$5,$K342,$J342),daily_dates,0),MATCH($B$3,daily_items,0)),NA())</f>
        <v>#N/A</v>
      </c>
      <c r="O342" s="1" t="str">
        <f t="array" ref="O342">IF(M342&lt;0,INDEX(big_daily_table,MATCH(DATE(O$5,$K342,$J342),daily_dates,0),MATCH($B$3,daily_items,0)),NA())</f>
        <v>#N/A</v>
      </c>
      <c r="P342" s="1" t="str">
        <f t="array" ref="P342">IF(ISBLANK(INDEX(big_daily_table,MATCH(DATE(P$5,$K342,$J342),daily_dates,0),MATCH($B$3,daily_items,0))),NA(),INDEX(big_daily_table,MATCH(DATE(P$5,$K342,$J342),daily_dates,0),MATCH($B$3,daily_items,0)))</f>
        <v>#N/A</v>
      </c>
      <c r="Q342" s="1" t="str">
        <f t="array" ref="Q342">IF(ISBLANK(INDEX(big_daily_table,MATCH(DATE(Q$5,$K342,$J342),daily_dates,0),MATCH($B$3,daily_items,0))),NA(),INDEX(big_daily_table,MATCH(DATE(Q$5,$K342,$J342),daily_dates,0),MATCH($B$3,daily_items,0)))</f>
        <v>#N/A</v>
      </c>
      <c r="R342" s="1" t="str">
        <f t="array" ref="R342">IF(ISBLANK(INDEX(big_daily_table,MATCH(DATE(R$5,$K342,$J342),daily_dates,0),MATCH($B$3,daily_items,0))),NA(),INDEX(big_daily_table,MATCH(DATE(R$5,$K342,$J342),daily_dates,0),MATCH($B$3,daily_items,0)))</f>
        <v>#N/A</v>
      </c>
      <c r="S342" s="1" t="str">
        <f t="array" ref="S342">IF(ISBLANK(INDEX(big_daily_table,MATCH(DATE(S$5,$K342,$J342),daily_dates,0),MATCH($B$3,daily_items,0))),NA(),INDEX(big_daily_table,MATCH(DATE(S$5,$K342,$J342),daily_dates,0),MATCH($B$3,daily_items,0)))</f>
        <v>#N/A</v>
      </c>
      <c r="T342" s="1" t="str">
        <f t="array" ref="T342">IF(ISBLANK(INDEX(big_daily_table,MATCH(DATE(T$5,$K342,$J342),daily_dates,0),MATCH($B$3,daily_items,0))),NA(),INDEX(big_daily_table,MATCH(DATE(T$5,$K342,$J342),daily_dates,0),MATCH($B$3,daily_items,0)))</f>
        <v>#N/A</v>
      </c>
      <c r="U342" s="1" t="str">
        <f t="array" ref="U342">IF(ISBLANK(INDEX(big_daily_table,MATCH(DATE(U$5,$K342,$J342),daily_dates,0),MATCH($B$3,daily_items,0))),NA(),INDEX(big_daily_table,MATCH(DATE(U$5,$K342,$J342),daily_dates,0),MATCH($B$3,daily_items,0)))</f>
        <v>#N/A</v>
      </c>
      <c r="V342" s="1" t="str">
        <f t="array" ref="V342">IF(ISBLANK(INDEX(big_daily_table,MATCH(DATE(V$5,$K342,$J342),daily_dates,0),MATCH($B$3,daily_items,0))),NA(),INDEX(big_daily_table,MATCH(DATE(V$5,$K342,$J342),daily_dates,0),MATCH($B$3,daily_items,0)))</f>
        <v>#N/A</v>
      </c>
      <c r="W342" s="1" t="str">
        <f t="array" ref="W342">IF(ISBLANK(INDEX(big_daily_table,MATCH(DATE(W$5,$K342,$J342),daily_dates,0),MATCH($B$3,daily_items,0))),NA(),INDEX(big_daily_table,MATCH(DATE(W$5,$K342,$J342),daily_dates,0),MATCH($B$3,daily_items,0)))</f>
        <v>#N/A</v>
      </c>
      <c r="X342" s="1" t="str">
        <f t="array" ref="X342">IF(ISBLANK(INDEX(big_daily_table,MATCH(DATE(X$5,$K342,$J342),daily_dates,0),MATCH($B$3,daily_items,0))),NA(),INDEX(big_daily_table,MATCH(DATE(X$5,$K342,$J342),daily_dates,0),MATCH($B$3,daily_items,0)))</f>
        <v>#N/A</v>
      </c>
      <c r="Y342" s="1" t="str">
        <f t="array" ref="Y342">IF(ISBLANK(INDEX(big_daily_table,MATCH(DATE(Y$5,$K342,$J342),daily_dates,0),MATCH($B$3,daily_items,0))),NA(),INDEX(big_daily_table,MATCH(DATE(Y$5,$K342,$J342),daily_dates,0),MATCH($B$3,daily_items,0)))</f>
        <v>#N/A</v>
      </c>
      <c r="Z342" s="1" t="str">
        <f t="array" ref="Z342">IF(ISBLANK(INDEX(big_daily_table,MATCH(DATE(Z$5,$K342,$J342),daily_dates,0),MATCH($B$3,daily_items,0))),NA(),INDEX(big_daily_table,MATCH(DATE(Z$5,$K342,$J342),daily_dates,0),MATCH($B$3,daily_items,0)))</f>
        <v>#N/A</v>
      </c>
      <c r="AA342" s="1" t="str">
        <f t="shared" si="5"/>
        <v>#NAME?</v>
      </c>
      <c r="AB342" s="1" t="str">
        <f t="shared" si="6"/>
        <v>#NAME?</v>
      </c>
      <c r="AC342" s="1" t="str">
        <f t="shared" si="7"/>
        <v>#NAME?</v>
      </c>
      <c r="AD342" s="1" t="str">
        <f t="shared" si="8"/>
        <v>#NAME?</v>
      </c>
    </row>
    <row r="343" ht="14.25" customHeight="1">
      <c r="H343" s="1">
        <f t="shared" si="9"/>
        <v>338</v>
      </c>
      <c r="I343" s="1">
        <f>WEEKDAY('daily graphs'!K343)</f>
        <v>1</v>
      </c>
      <c r="J343" s="1">
        <f t="shared" si="2"/>
        <v>2</v>
      </c>
      <c r="K343" s="1">
        <f t="shared" si="3"/>
        <v>12</v>
      </c>
      <c r="L343" s="23">
        <f>'daily graphs'!K343 - I343</f>
        <v>36862</v>
      </c>
      <c r="M343" s="24">
        <f t="shared" si="4"/>
        <v>1000000</v>
      </c>
      <c r="N343" s="24" t="str">
        <f t="array" ref="N343">IF(M343&gt;0,INDEX(big_daily_table,MATCH(DATE(O$5,$K343,$J343),daily_dates,0),MATCH($B$3,daily_items,0)),NA())</f>
        <v>#N/A</v>
      </c>
      <c r="O343" s="1" t="str">
        <f t="array" ref="O343">IF(M343&lt;0,INDEX(big_daily_table,MATCH(DATE(O$5,$K343,$J343),daily_dates,0),MATCH($B$3,daily_items,0)),NA())</f>
        <v>#N/A</v>
      </c>
      <c r="P343" s="1" t="str">
        <f t="array" ref="P343">IF(ISBLANK(INDEX(big_daily_table,MATCH(DATE(P$5,$K343,$J343),daily_dates,0),MATCH($B$3,daily_items,0))),NA(),INDEX(big_daily_table,MATCH(DATE(P$5,$K343,$J343),daily_dates,0),MATCH($B$3,daily_items,0)))</f>
        <v>#N/A</v>
      </c>
      <c r="Q343" s="1" t="str">
        <f t="array" ref="Q343">IF(ISBLANK(INDEX(big_daily_table,MATCH(DATE(Q$5,$K343,$J343),daily_dates,0),MATCH($B$3,daily_items,0))),NA(),INDEX(big_daily_table,MATCH(DATE(Q$5,$K343,$J343),daily_dates,0),MATCH($B$3,daily_items,0)))</f>
        <v>#N/A</v>
      </c>
      <c r="R343" s="1" t="str">
        <f t="array" ref="R343">IF(ISBLANK(INDEX(big_daily_table,MATCH(DATE(R$5,$K343,$J343),daily_dates,0),MATCH($B$3,daily_items,0))),NA(),INDEX(big_daily_table,MATCH(DATE(R$5,$K343,$J343),daily_dates,0),MATCH($B$3,daily_items,0)))</f>
        <v>#N/A</v>
      </c>
      <c r="S343" s="1" t="str">
        <f t="array" ref="S343">IF(ISBLANK(INDEX(big_daily_table,MATCH(DATE(S$5,$K343,$J343),daily_dates,0),MATCH($B$3,daily_items,0))),NA(),INDEX(big_daily_table,MATCH(DATE(S$5,$K343,$J343),daily_dates,0),MATCH($B$3,daily_items,0)))</f>
        <v>#N/A</v>
      </c>
      <c r="T343" s="1" t="str">
        <f t="array" ref="T343">IF(ISBLANK(INDEX(big_daily_table,MATCH(DATE(T$5,$K343,$J343),daily_dates,0),MATCH($B$3,daily_items,0))),NA(),INDEX(big_daily_table,MATCH(DATE(T$5,$K343,$J343),daily_dates,0),MATCH($B$3,daily_items,0)))</f>
        <v>#N/A</v>
      </c>
      <c r="U343" s="1" t="str">
        <f t="array" ref="U343">IF(ISBLANK(INDEX(big_daily_table,MATCH(DATE(U$5,$K343,$J343),daily_dates,0),MATCH($B$3,daily_items,0))),NA(),INDEX(big_daily_table,MATCH(DATE(U$5,$K343,$J343),daily_dates,0),MATCH($B$3,daily_items,0)))</f>
        <v>#N/A</v>
      </c>
      <c r="V343" s="1" t="str">
        <f t="array" ref="V343">IF(ISBLANK(INDEX(big_daily_table,MATCH(DATE(V$5,$K343,$J343),daily_dates,0),MATCH($B$3,daily_items,0))),NA(),INDEX(big_daily_table,MATCH(DATE(V$5,$K343,$J343),daily_dates,0),MATCH($B$3,daily_items,0)))</f>
        <v>#N/A</v>
      </c>
      <c r="W343" s="1" t="str">
        <f t="array" ref="W343">IF(ISBLANK(INDEX(big_daily_table,MATCH(DATE(W$5,$K343,$J343),daily_dates,0),MATCH($B$3,daily_items,0))),NA(),INDEX(big_daily_table,MATCH(DATE(W$5,$K343,$J343),daily_dates,0),MATCH($B$3,daily_items,0)))</f>
        <v>#N/A</v>
      </c>
      <c r="X343" s="1" t="str">
        <f t="array" ref="X343">IF(ISBLANK(INDEX(big_daily_table,MATCH(DATE(X$5,$K343,$J343),daily_dates,0),MATCH($B$3,daily_items,0))),NA(),INDEX(big_daily_table,MATCH(DATE(X$5,$K343,$J343),daily_dates,0),MATCH($B$3,daily_items,0)))</f>
        <v>#N/A</v>
      </c>
      <c r="Y343" s="1" t="str">
        <f t="array" ref="Y343">IF(ISBLANK(INDEX(big_daily_table,MATCH(DATE(Y$5,$K343,$J343),daily_dates,0),MATCH($B$3,daily_items,0))),NA(),INDEX(big_daily_table,MATCH(DATE(Y$5,$K343,$J343),daily_dates,0),MATCH($B$3,daily_items,0)))</f>
        <v>#N/A</v>
      </c>
      <c r="Z343" s="1" t="str">
        <f t="array" ref="Z343">IF(ISBLANK(INDEX(big_daily_table,MATCH(DATE(Z$5,$K343,$J343),daily_dates,0),MATCH($B$3,daily_items,0))),NA(),INDEX(big_daily_table,MATCH(DATE(Z$5,$K343,$J343),daily_dates,0),MATCH($B$3,daily_items,0)))</f>
        <v>#N/A</v>
      </c>
      <c r="AA343" s="1" t="str">
        <f t="shared" si="5"/>
        <v>#NAME?</v>
      </c>
      <c r="AB343" s="1" t="str">
        <f t="shared" si="6"/>
        <v>#NAME?</v>
      </c>
      <c r="AC343" s="1" t="str">
        <f t="shared" si="7"/>
        <v>#NAME?</v>
      </c>
      <c r="AD343" s="1" t="str">
        <f t="shared" si="8"/>
        <v>#NAME?</v>
      </c>
    </row>
    <row r="344" ht="14.25" customHeight="1">
      <c r="H344" s="1">
        <f t="shared" si="9"/>
        <v>339</v>
      </c>
      <c r="I344" s="1">
        <f>WEEKDAY('daily graphs'!K344)</f>
        <v>2</v>
      </c>
      <c r="J344" s="1">
        <f t="shared" si="2"/>
        <v>2</v>
      </c>
      <c r="K344" s="1">
        <f t="shared" si="3"/>
        <v>12</v>
      </c>
      <c r="L344" s="23">
        <f>'daily graphs'!K344 - I344</f>
        <v>36862</v>
      </c>
      <c r="M344" s="24">
        <f t="shared" si="4"/>
        <v>1000000</v>
      </c>
      <c r="N344" s="24" t="str">
        <f t="array" ref="N344">IF(M344&gt;0,INDEX(big_daily_table,MATCH(DATE(O$5,$K344,$J344),daily_dates,0),MATCH($B$3,daily_items,0)),NA())</f>
        <v>#N/A</v>
      </c>
      <c r="O344" s="1" t="str">
        <f t="array" ref="O344">IF(M344&lt;0,INDEX(big_daily_table,MATCH(DATE(O$5,$K344,$J344),daily_dates,0),MATCH($B$3,daily_items,0)),NA())</f>
        <v>#N/A</v>
      </c>
      <c r="P344" s="1" t="str">
        <f t="array" ref="P344">IF(ISBLANK(INDEX(big_daily_table,MATCH(DATE(P$5,$K344,$J344),daily_dates,0),MATCH($B$3,daily_items,0))),NA(),INDEX(big_daily_table,MATCH(DATE(P$5,$K344,$J344),daily_dates,0),MATCH($B$3,daily_items,0)))</f>
        <v>#N/A</v>
      </c>
      <c r="Q344" s="1" t="str">
        <f t="array" ref="Q344">IF(ISBLANK(INDEX(big_daily_table,MATCH(DATE(Q$5,$K344,$J344),daily_dates,0),MATCH($B$3,daily_items,0))),NA(),INDEX(big_daily_table,MATCH(DATE(Q$5,$K344,$J344),daily_dates,0),MATCH($B$3,daily_items,0)))</f>
        <v>#N/A</v>
      </c>
      <c r="R344" s="1" t="str">
        <f t="array" ref="R344">IF(ISBLANK(INDEX(big_daily_table,MATCH(DATE(R$5,$K344,$J344),daily_dates,0),MATCH($B$3,daily_items,0))),NA(),INDEX(big_daily_table,MATCH(DATE(R$5,$K344,$J344),daily_dates,0),MATCH($B$3,daily_items,0)))</f>
        <v>#N/A</v>
      </c>
      <c r="S344" s="1" t="str">
        <f t="array" ref="S344">IF(ISBLANK(INDEX(big_daily_table,MATCH(DATE(S$5,$K344,$J344),daily_dates,0),MATCH($B$3,daily_items,0))),NA(),INDEX(big_daily_table,MATCH(DATE(S$5,$K344,$J344),daily_dates,0),MATCH($B$3,daily_items,0)))</f>
        <v>#N/A</v>
      </c>
      <c r="T344" s="1" t="str">
        <f t="array" ref="T344">IF(ISBLANK(INDEX(big_daily_table,MATCH(DATE(T$5,$K344,$J344),daily_dates,0),MATCH($B$3,daily_items,0))),NA(),INDEX(big_daily_table,MATCH(DATE(T$5,$K344,$J344),daily_dates,0),MATCH($B$3,daily_items,0)))</f>
        <v>#N/A</v>
      </c>
      <c r="U344" s="1" t="str">
        <f t="array" ref="U344">IF(ISBLANK(INDEX(big_daily_table,MATCH(DATE(U$5,$K344,$J344),daily_dates,0),MATCH($B$3,daily_items,0))),NA(),INDEX(big_daily_table,MATCH(DATE(U$5,$K344,$J344),daily_dates,0),MATCH($B$3,daily_items,0)))</f>
        <v>#N/A</v>
      </c>
      <c r="V344" s="1" t="str">
        <f t="array" ref="V344">IF(ISBLANK(INDEX(big_daily_table,MATCH(DATE(V$5,$K344,$J344),daily_dates,0),MATCH($B$3,daily_items,0))),NA(),INDEX(big_daily_table,MATCH(DATE(V$5,$K344,$J344),daily_dates,0),MATCH($B$3,daily_items,0)))</f>
        <v>#N/A</v>
      </c>
      <c r="W344" s="1" t="str">
        <f t="array" ref="W344">IF(ISBLANK(INDEX(big_daily_table,MATCH(DATE(W$5,$K344,$J344),daily_dates,0),MATCH($B$3,daily_items,0))),NA(),INDEX(big_daily_table,MATCH(DATE(W$5,$K344,$J344),daily_dates,0),MATCH($B$3,daily_items,0)))</f>
        <v>#N/A</v>
      </c>
      <c r="X344" s="1" t="str">
        <f t="array" ref="X344">IF(ISBLANK(INDEX(big_daily_table,MATCH(DATE(X$5,$K344,$J344),daily_dates,0),MATCH($B$3,daily_items,0))),NA(),INDEX(big_daily_table,MATCH(DATE(X$5,$K344,$J344),daily_dates,0),MATCH($B$3,daily_items,0)))</f>
        <v>#N/A</v>
      </c>
      <c r="Y344" s="1" t="str">
        <f t="array" ref="Y344">IF(ISBLANK(INDEX(big_daily_table,MATCH(DATE(Y$5,$K344,$J344),daily_dates,0),MATCH($B$3,daily_items,0))),NA(),INDEX(big_daily_table,MATCH(DATE(Y$5,$K344,$J344),daily_dates,0),MATCH($B$3,daily_items,0)))</f>
        <v>#N/A</v>
      </c>
      <c r="Z344" s="1" t="str">
        <f t="array" ref="Z344">IF(ISBLANK(INDEX(big_daily_table,MATCH(DATE(Z$5,$K344,$J344),daily_dates,0),MATCH($B$3,daily_items,0))),NA(),INDEX(big_daily_table,MATCH(DATE(Z$5,$K344,$J344),daily_dates,0),MATCH($B$3,daily_items,0)))</f>
        <v>#N/A</v>
      </c>
      <c r="AA344" s="1" t="str">
        <f t="shared" si="5"/>
        <v>#NAME?</v>
      </c>
      <c r="AB344" s="1" t="str">
        <f t="shared" si="6"/>
        <v>#NAME?</v>
      </c>
      <c r="AC344" s="1" t="str">
        <f t="shared" si="7"/>
        <v>#NAME?</v>
      </c>
      <c r="AD344" s="1" t="str">
        <f t="shared" si="8"/>
        <v>#NAME?</v>
      </c>
    </row>
    <row r="345" ht="14.25" customHeight="1">
      <c r="H345" s="1">
        <f t="shared" si="9"/>
        <v>340</v>
      </c>
      <c r="I345" s="1">
        <f>WEEKDAY('daily graphs'!K345)</f>
        <v>3</v>
      </c>
      <c r="J345" s="1">
        <f t="shared" si="2"/>
        <v>2</v>
      </c>
      <c r="K345" s="1">
        <f t="shared" si="3"/>
        <v>12</v>
      </c>
      <c r="L345" s="23">
        <f>'daily graphs'!K345 - I345</f>
        <v>36862</v>
      </c>
      <c r="M345" s="24">
        <f t="shared" si="4"/>
        <v>1000000</v>
      </c>
      <c r="N345" s="24" t="str">
        <f t="array" ref="N345">IF(M345&gt;0,INDEX(big_daily_table,MATCH(DATE(O$5,$K345,$J345),daily_dates,0),MATCH($B$3,daily_items,0)),NA())</f>
        <v>#N/A</v>
      </c>
      <c r="O345" s="1" t="str">
        <f t="array" ref="O345">IF(M345&lt;0,INDEX(big_daily_table,MATCH(DATE(O$5,$K345,$J345),daily_dates,0),MATCH($B$3,daily_items,0)),NA())</f>
        <v>#N/A</v>
      </c>
      <c r="P345" s="1" t="str">
        <f t="array" ref="P345">IF(ISBLANK(INDEX(big_daily_table,MATCH(DATE(P$5,$K345,$J345),daily_dates,0),MATCH($B$3,daily_items,0))),NA(),INDEX(big_daily_table,MATCH(DATE(P$5,$K345,$J345),daily_dates,0),MATCH($B$3,daily_items,0)))</f>
        <v>#N/A</v>
      </c>
      <c r="Q345" s="1" t="str">
        <f t="array" ref="Q345">IF(ISBLANK(INDEX(big_daily_table,MATCH(DATE(Q$5,$K345,$J345),daily_dates,0),MATCH($B$3,daily_items,0))),NA(),INDEX(big_daily_table,MATCH(DATE(Q$5,$K345,$J345),daily_dates,0),MATCH($B$3,daily_items,0)))</f>
        <v>#N/A</v>
      </c>
      <c r="R345" s="1" t="str">
        <f t="array" ref="R345">IF(ISBLANK(INDEX(big_daily_table,MATCH(DATE(R$5,$K345,$J345),daily_dates,0),MATCH($B$3,daily_items,0))),NA(),INDEX(big_daily_table,MATCH(DATE(R$5,$K345,$J345),daily_dates,0),MATCH($B$3,daily_items,0)))</f>
        <v>#N/A</v>
      </c>
      <c r="S345" s="1" t="str">
        <f t="array" ref="S345">IF(ISBLANK(INDEX(big_daily_table,MATCH(DATE(S$5,$K345,$J345),daily_dates,0),MATCH($B$3,daily_items,0))),NA(),INDEX(big_daily_table,MATCH(DATE(S$5,$K345,$J345),daily_dates,0),MATCH($B$3,daily_items,0)))</f>
        <v>#N/A</v>
      </c>
      <c r="T345" s="1" t="str">
        <f t="array" ref="T345">IF(ISBLANK(INDEX(big_daily_table,MATCH(DATE(T$5,$K345,$J345),daily_dates,0),MATCH($B$3,daily_items,0))),NA(),INDEX(big_daily_table,MATCH(DATE(T$5,$K345,$J345),daily_dates,0),MATCH($B$3,daily_items,0)))</f>
        <v>#N/A</v>
      </c>
      <c r="U345" s="1" t="str">
        <f t="array" ref="U345">IF(ISBLANK(INDEX(big_daily_table,MATCH(DATE(U$5,$K345,$J345),daily_dates,0),MATCH($B$3,daily_items,0))),NA(),INDEX(big_daily_table,MATCH(DATE(U$5,$K345,$J345),daily_dates,0),MATCH($B$3,daily_items,0)))</f>
        <v>#N/A</v>
      </c>
      <c r="V345" s="1" t="str">
        <f t="array" ref="V345">IF(ISBLANK(INDEX(big_daily_table,MATCH(DATE(V$5,$K345,$J345),daily_dates,0),MATCH($B$3,daily_items,0))),NA(),INDEX(big_daily_table,MATCH(DATE(V$5,$K345,$J345),daily_dates,0),MATCH($B$3,daily_items,0)))</f>
        <v>#N/A</v>
      </c>
      <c r="W345" s="1" t="str">
        <f t="array" ref="W345">IF(ISBLANK(INDEX(big_daily_table,MATCH(DATE(W$5,$K345,$J345),daily_dates,0),MATCH($B$3,daily_items,0))),NA(),INDEX(big_daily_table,MATCH(DATE(W$5,$K345,$J345),daily_dates,0),MATCH($B$3,daily_items,0)))</f>
        <v>#N/A</v>
      </c>
      <c r="X345" s="1" t="str">
        <f t="array" ref="X345">IF(ISBLANK(INDEX(big_daily_table,MATCH(DATE(X$5,$K345,$J345),daily_dates,0),MATCH($B$3,daily_items,0))),NA(),INDEX(big_daily_table,MATCH(DATE(X$5,$K345,$J345),daily_dates,0),MATCH($B$3,daily_items,0)))</f>
        <v>#N/A</v>
      </c>
      <c r="Y345" s="1" t="str">
        <f t="array" ref="Y345">IF(ISBLANK(INDEX(big_daily_table,MATCH(DATE(Y$5,$K345,$J345),daily_dates,0),MATCH($B$3,daily_items,0))),NA(),INDEX(big_daily_table,MATCH(DATE(Y$5,$K345,$J345),daily_dates,0),MATCH($B$3,daily_items,0)))</f>
        <v>#N/A</v>
      </c>
      <c r="Z345" s="1" t="str">
        <f t="array" ref="Z345">IF(ISBLANK(INDEX(big_daily_table,MATCH(DATE(Z$5,$K345,$J345),daily_dates,0),MATCH($B$3,daily_items,0))),NA(),INDEX(big_daily_table,MATCH(DATE(Z$5,$K345,$J345),daily_dates,0),MATCH($B$3,daily_items,0)))</f>
        <v>#N/A</v>
      </c>
      <c r="AA345" s="1" t="str">
        <f t="shared" si="5"/>
        <v>#NAME?</v>
      </c>
      <c r="AB345" s="1" t="str">
        <f t="shared" si="6"/>
        <v>#NAME?</v>
      </c>
      <c r="AC345" s="1" t="str">
        <f t="shared" si="7"/>
        <v>#NAME?</v>
      </c>
      <c r="AD345" s="1" t="str">
        <f t="shared" si="8"/>
        <v>#NAME?</v>
      </c>
    </row>
    <row r="346" ht="14.25" customHeight="1">
      <c r="H346" s="1">
        <f t="shared" si="9"/>
        <v>341</v>
      </c>
      <c r="I346" s="1">
        <f>WEEKDAY('daily graphs'!K346)</f>
        <v>4</v>
      </c>
      <c r="J346" s="1">
        <f t="shared" si="2"/>
        <v>2</v>
      </c>
      <c r="K346" s="1">
        <f t="shared" si="3"/>
        <v>12</v>
      </c>
      <c r="L346" s="23">
        <f>'daily graphs'!K346 - I346</f>
        <v>36862</v>
      </c>
      <c r="M346" s="24">
        <f t="shared" si="4"/>
        <v>1000000</v>
      </c>
      <c r="N346" s="24" t="str">
        <f t="array" ref="N346">IF(M346&gt;0,INDEX(big_daily_table,MATCH(DATE(O$5,$K346,$J346),daily_dates,0),MATCH($B$3,daily_items,0)),NA())</f>
        <v>#N/A</v>
      </c>
      <c r="O346" s="1" t="str">
        <f t="array" ref="O346">IF(M346&lt;0,INDEX(big_daily_table,MATCH(DATE(O$5,$K346,$J346),daily_dates,0),MATCH($B$3,daily_items,0)),NA())</f>
        <v>#N/A</v>
      </c>
      <c r="P346" s="1" t="str">
        <f t="array" ref="P346">IF(ISBLANK(INDEX(big_daily_table,MATCH(DATE(P$5,$K346,$J346),daily_dates,0),MATCH($B$3,daily_items,0))),NA(),INDEX(big_daily_table,MATCH(DATE(P$5,$K346,$J346),daily_dates,0),MATCH($B$3,daily_items,0)))</f>
        <v>#N/A</v>
      </c>
      <c r="Q346" s="1" t="str">
        <f t="array" ref="Q346">IF(ISBLANK(INDEX(big_daily_table,MATCH(DATE(Q$5,$K346,$J346),daily_dates,0),MATCH($B$3,daily_items,0))),NA(),INDEX(big_daily_table,MATCH(DATE(Q$5,$K346,$J346),daily_dates,0),MATCH($B$3,daily_items,0)))</f>
        <v>#N/A</v>
      </c>
      <c r="R346" s="1" t="str">
        <f t="array" ref="R346">IF(ISBLANK(INDEX(big_daily_table,MATCH(DATE(R$5,$K346,$J346),daily_dates,0),MATCH($B$3,daily_items,0))),NA(),INDEX(big_daily_table,MATCH(DATE(R$5,$K346,$J346),daily_dates,0),MATCH($B$3,daily_items,0)))</f>
        <v>#N/A</v>
      </c>
      <c r="S346" s="1" t="str">
        <f t="array" ref="S346">IF(ISBLANK(INDEX(big_daily_table,MATCH(DATE(S$5,$K346,$J346),daily_dates,0),MATCH($B$3,daily_items,0))),NA(),INDEX(big_daily_table,MATCH(DATE(S$5,$K346,$J346),daily_dates,0),MATCH($B$3,daily_items,0)))</f>
        <v>#N/A</v>
      </c>
      <c r="T346" s="1" t="str">
        <f t="array" ref="T346">IF(ISBLANK(INDEX(big_daily_table,MATCH(DATE(T$5,$K346,$J346),daily_dates,0),MATCH($B$3,daily_items,0))),NA(),INDEX(big_daily_table,MATCH(DATE(T$5,$K346,$J346),daily_dates,0),MATCH($B$3,daily_items,0)))</f>
        <v>#N/A</v>
      </c>
      <c r="U346" s="1" t="str">
        <f t="array" ref="U346">IF(ISBLANK(INDEX(big_daily_table,MATCH(DATE(U$5,$K346,$J346),daily_dates,0),MATCH($B$3,daily_items,0))),NA(),INDEX(big_daily_table,MATCH(DATE(U$5,$K346,$J346),daily_dates,0),MATCH($B$3,daily_items,0)))</f>
        <v>#N/A</v>
      </c>
      <c r="V346" s="1" t="str">
        <f t="array" ref="V346">IF(ISBLANK(INDEX(big_daily_table,MATCH(DATE(V$5,$K346,$J346),daily_dates,0),MATCH($B$3,daily_items,0))),NA(),INDEX(big_daily_table,MATCH(DATE(V$5,$K346,$J346),daily_dates,0),MATCH($B$3,daily_items,0)))</f>
        <v>#N/A</v>
      </c>
      <c r="W346" s="1" t="str">
        <f t="array" ref="W346">IF(ISBLANK(INDEX(big_daily_table,MATCH(DATE(W$5,$K346,$J346),daily_dates,0),MATCH($B$3,daily_items,0))),NA(),INDEX(big_daily_table,MATCH(DATE(W$5,$K346,$J346),daily_dates,0),MATCH($B$3,daily_items,0)))</f>
        <v>#N/A</v>
      </c>
      <c r="X346" s="1" t="str">
        <f t="array" ref="X346">IF(ISBLANK(INDEX(big_daily_table,MATCH(DATE(X$5,$K346,$J346),daily_dates,0),MATCH($B$3,daily_items,0))),NA(),INDEX(big_daily_table,MATCH(DATE(X$5,$K346,$J346),daily_dates,0),MATCH($B$3,daily_items,0)))</f>
        <v>#N/A</v>
      </c>
      <c r="Y346" s="1" t="str">
        <f t="array" ref="Y346">IF(ISBLANK(INDEX(big_daily_table,MATCH(DATE(Y$5,$K346,$J346),daily_dates,0),MATCH($B$3,daily_items,0))),NA(),INDEX(big_daily_table,MATCH(DATE(Y$5,$K346,$J346),daily_dates,0),MATCH($B$3,daily_items,0)))</f>
        <v>#N/A</v>
      </c>
      <c r="Z346" s="1" t="str">
        <f t="array" ref="Z346">IF(ISBLANK(INDEX(big_daily_table,MATCH(DATE(Z$5,$K346,$J346),daily_dates,0),MATCH($B$3,daily_items,0))),NA(),INDEX(big_daily_table,MATCH(DATE(Z$5,$K346,$J346),daily_dates,0),MATCH($B$3,daily_items,0)))</f>
        <v>#N/A</v>
      </c>
      <c r="AA346" s="1" t="str">
        <f t="shared" si="5"/>
        <v>#NAME?</v>
      </c>
      <c r="AB346" s="1" t="str">
        <f t="shared" si="6"/>
        <v>#NAME?</v>
      </c>
      <c r="AC346" s="1" t="str">
        <f t="shared" si="7"/>
        <v>#NAME?</v>
      </c>
      <c r="AD346" s="1" t="str">
        <f t="shared" si="8"/>
        <v>#NAME?</v>
      </c>
    </row>
    <row r="347" ht="14.25" customHeight="1">
      <c r="H347" s="1">
        <f t="shared" si="9"/>
        <v>342</v>
      </c>
      <c r="I347" s="1">
        <f>WEEKDAY('daily graphs'!K347)</f>
        <v>5</v>
      </c>
      <c r="J347" s="1">
        <f t="shared" si="2"/>
        <v>2</v>
      </c>
      <c r="K347" s="1">
        <f t="shared" si="3"/>
        <v>12</v>
      </c>
      <c r="L347" s="23">
        <f>'daily graphs'!K347 - I347</f>
        <v>36862</v>
      </c>
      <c r="M347" s="24">
        <f t="shared" si="4"/>
        <v>1000000</v>
      </c>
      <c r="N347" s="24" t="str">
        <f t="array" ref="N347">IF(M347&gt;0,INDEX(big_daily_table,MATCH(DATE(O$5,$K347,$J347),daily_dates,0),MATCH($B$3,daily_items,0)),NA())</f>
        <v>#N/A</v>
      </c>
      <c r="O347" s="1" t="str">
        <f t="array" ref="O347">IF(M347&lt;0,INDEX(big_daily_table,MATCH(DATE(O$5,$K347,$J347),daily_dates,0),MATCH($B$3,daily_items,0)),NA())</f>
        <v>#N/A</v>
      </c>
      <c r="P347" s="1" t="str">
        <f t="array" ref="P347">IF(ISBLANK(INDEX(big_daily_table,MATCH(DATE(P$5,$K347,$J347),daily_dates,0),MATCH($B$3,daily_items,0))),NA(),INDEX(big_daily_table,MATCH(DATE(P$5,$K347,$J347),daily_dates,0),MATCH($B$3,daily_items,0)))</f>
        <v>#N/A</v>
      </c>
      <c r="Q347" s="1" t="str">
        <f t="array" ref="Q347">IF(ISBLANK(INDEX(big_daily_table,MATCH(DATE(Q$5,$K347,$J347),daily_dates,0),MATCH($B$3,daily_items,0))),NA(),INDEX(big_daily_table,MATCH(DATE(Q$5,$K347,$J347),daily_dates,0),MATCH($B$3,daily_items,0)))</f>
        <v>#N/A</v>
      </c>
      <c r="R347" s="1" t="str">
        <f t="array" ref="R347">IF(ISBLANK(INDEX(big_daily_table,MATCH(DATE(R$5,$K347,$J347),daily_dates,0),MATCH($B$3,daily_items,0))),NA(),INDEX(big_daily_table,MATCH(DATE(R$5,$K347,$J347),daily_dates,0),MATCH($B$3,daily_items,0)))</f>
        <v>#N/A</v>
      </c>
      <c r="S347" s="1" t="str">
        <f t="array" ref="S347">IF(ISBLANK(INDEX(big_daily_table,MATCH(DATE(S$5,$K347,$J347),daily_dates,0),MATCH($B$3,daily_items,0))),NA(),INDEX(big_daily_table,MATCH(DATE(S$5,$K347,$J347),daily_dates,0),MATCH($B$3,daily_items,0)))</f>
        <v>#N/A</v>
      </c>
      <c r="T347" s="1" t="str">
        <f t="array" ref="T347">IF(ISBLANK(INDEX(big_daily_table,MATCH(DATE(T$5,$K347,$J347),daily_dates,0),MATCH($B$3,daily_items,0))),NA(),INDEX(big_daily_table,MATCH(DATE(T$5,$K347,$J347),daily_dates,0),MATCH($B$3,daily_items,0)))</f>
        <v>#N/A</v>
      </c>
      <c r="U347" s="1" t="str">
        <f t="array" ref="U347">IF(ISBLANK(INDEX(big_daily_table,MATCH(DATE(U$5,$K347,$J347),daily_dates,0),MATCH($B$3,daily_items,0))),NA(),INDEX(big_daily_table,MATCH(DATE(U$5,$K347,$J347),daily_dates,0),MATCH($B$3,daily_items,0)))</f>
        <v>#N/A</v>
      </c>
      <c r="V347" s="1" t="str">
        <f t="array" ref="V347">IF(ISBLANK(INDEX(big_daily_table,MATCH(DATE(V$5,$K347,$J347),daily_dates,0),MATCH($B$3,daily_items,0))),NA(),INDEX(big_daily_table,MATCH(DATE(V$5,$K347,$J347),daily_dates,0),MATCH($B$3,daily_items,0)))</f>
        <v>#N/A</v>
      </c>
      <c r="W347" s="1" t="str">
        <f t="array" ref="W347">IF(ISBLANK(INDEX(big_daily_table,MATCH(DATE(W$5,$K347,$J347),daily_dates,0),MATCH($B$3,daily_items,0))),NA(),INDEX(big_daily_table,MATCH(DATE(W$5,$K347,$J347),daily_dates,0),MATCH($B$3,daily_items,0)))</f>
        <v>#N/A</v>
      </c>
      <c r="X347" s="1" t="str">
        <f t="array" ref="X347">IF(ISBLANK(INDEX(big_daily_table,MATCH(DATE(X$5,$K347,$J347),daily_dates,0),MATCH($B$3,daily_items,0))),NA(),INDEX(big_daily_table,MATCH(DATE(X$5,$K347,$J347),daily_dates,0),MATCH($B$3,daily_items,0)))</f>
        <v>#N/A</v>
      </c>
      <c r="Y347" s="1" t="str">
        <f t="array" ref="Y347">IF(ISBLANK(INDEX(big_daily_table,MATCH(DATE(Y$5,$K347,$J347),daily_dates,0),MATCH($B$3,daily_items,0))),NA(),INDEX(big_daily_table,MATCH(DATE(Y$5,$K347,$J347),daily_dates,0),MATCH($B$3,daily_items,0)))</f>
        <v>#N/A</v>
      </c>
      <c r="Z347" s="1" t="str">
        <f t="array" ref="Z347">IF(ISBLANK(INDEX(big_daily_table,MATCH(DATE(Z$5,$K347,$J347),daily_dates,0),MATCH($B$3,daily_items,0))),NA(),INDEX(big_daily_table,MATCH(DATE(Z$5,$K347,$J347),daily_dates,0),MATCH($B$3,daily_items,0)))</f>
        <v>#N/A</v>
      </c>
      <c r="AA347" s="1" t="str">
        <f t="shared" si="5"/>
        <v>#NAME?</v>
      </c>
      <c r="AB347" s="1" t="str">
        <f t="shared" si="6"/>
        <v>#NAME?</v>
      </c>
      <c r="AC347" s="1" t="str">
        <f t="shared" si="7"/>
        <v>#NAME?</v>
      </c>
      <c r="AD347" s="1" t="str">
        <f t="shared" si="8"/>
        <v>#NAME?</v>
      </c>
    </row>
    <row r="348" ht="14.25" customHeight="1">
      <c r="H348" s="1">
        <f t="shared" si="9"/>
        <v>343</v>
      </c>
      <c r="I348" s="1">
        <f>WEEKDAY('daily graphs'!K348)</f>
        <v>6</v>
      </c>
      <c r="J348" s="1">
        <f t="shared" si="2"/>
        <v>2</v>
      </c>
      <c r="K348" s="1">
        <f t="shared" si="3"/>
        <v>12</v>
      </c>
      <c r="L348" s="23">
        <f>'daily graphs'!K348 - I348</f>
        <v>36862</v>
      </c>
      <c r="M348" s="24">
        <f t="shared" si="4"/>
        <v>1000000</v>
      </c>
      <c r="N348" s="24" t="str">
        <f t="array" ref="N348">IF(M348&gt;0,INDEX(big_daily_table,MATCH(DATE(O$5,$K348,$J348),daily_dates,0),MATCH($B$3,daily_items,0)),NA())</f>
        <v>#N/A</v>
      </c>
      <c r="O348" s="1" t="str">
        <f t="array" ref="O348">IF(M348&lt;0,INDEX(big_daily_table,MATCH(DATE(O$5,$K348,$J348),daily_dates,0),MATCH($B$3,daily_items,0)),NA())</f>
        <v>#N/A</v>
      </c>
      <c r="P348" s="1" t="str">
        <f t="array" ref="P348">IF(ISBLANK(INDEX(big_daily_table,MATCH(DATE(P$5,$K348,$J348),daily_dates,0),MATCH($B$3,daily_items,0))),NA(),INDEX(big_daily_table,MATCH(DATE(P$5,$K348,$J348),daily_dates,0),MATCH($B$3,daily_items,0)))</f>
        <v>#N/A</v>
      </c>
      <c r="Q348" s="1" t="str">
        <f t="array" ref="Q348">IF(ISBLANK(INDEX(big_daily_table,MATCH(DATE(Q$5,$K348,$J348),daily_dates,0),MATCH($B$3,daily_items,0))),NA(),INDEX(big_daily_table,MATCH(DATE(Q$5,$K348,$J348),daily_dates,0),MATCH($B$3,daily_items,0)))</f>
        <v>#N/A</v>
      </c>
      <c r="R348" s="1" t="str">
        <f t="array" ref="R348">IF(ISBLANK(INDEX(big_daily_table,MATCH(DATE(R$5,$K348,$J348),daily_dates,0),MATCH($B$3,daily_items,0))),NA(),INDEX(big_daily_table,MATCH(DATE(R$5,$K348,$J348),daily_dates,0),MATCH($B$3,daily_items,0)))</f>
        <v>#N/A</v>
      </c>
      <c r="S348" s="1" t="str">
        <f t="array" ref="S348">IF(ISBLANK(INDEX(big_daily_table,MATCH(DATE(S$5,$K348,$J348),daily_dates,0),MATCH($B$3,daily_items,0))),NA(),INDEX(big_daily_table,MATCH(DATE(S$5,$K348,$J348),daily_dates,0),MATCH($B$3,daily_items,0)))</f>
        <v>#N/A</v>
      </c>
      <c r="T348" s="1" t="str">
        <f t="array" ref="T348">IF(ISBLANK(INDEX(big_daily_table,MATCH(DATE(T$5,$K348,$J348),daily_dates,0),MATCH($B$3,daily_items,0))),NA(),INDEX(big_daily_table,MATCH(DATE(T$5,$K348,$J348),daily_dates,0),MATCH($B$3,daily_items,0)))</f>
        <v>#N/A</v>
      </c>
      <c r="U348" s="1" t="str">
        <f t="array" ref="U348">IF(ISBLANK(INDEX(big_daily_table,MATCH(DATE(U$5,$K348,$J348),daily_dates,0),MATCH($B$3,daily_items,0))),NA(),INDEX(big_daily_table,MATCH(DATE(U$5,$K348,$J348),daily_dates,0),MATCH($B$3,daily_items,0)))</f>
        <v>#N/A</v>
      </c>
      <c r="V348" s="1" t="str">
        <f t="array" ref="V348">IF(ISBLANK(INDEX(big_daily_table,MATCH(DATE(V$5,$K348,$J348),daily_dates,0),MATCH($B$3,daily_items,0))),NA(),INDEX(big_daily_table,MATCH(DATE(V$5,$K348,$J348),daily_dates,0),MATCH($B$3,daily_items,0)))</f>
        <v>#N/A</v>
      </c>
      <c r="W348" s="1" t="str">
        <f t="array" ref="W348">IF(ISBLANK(INDEX(big_daily_table,MATCH(DATE(W$5,$K348,$J348),daily_dates,0),MATCH($B$3,daily_items,0))),NA(),INDEX(big_daily_table,MATCH(DATE(W$5,$K348,$J348),daily_dates,0),MATCH($B$3,daily_items,0)))</f>
        <v>#N/A</v>
      </c>
      <c r="X348" s="1" t="str">
        <f t="array" ref="X348">IF(ISBLANK(INDEX(big_daily_table,MATCH(DATE(X$5,$K348,$J348),daily_dates,0),MATCH($B$3,daily_items,0))),NA(),INDEX(big_daily_table,MATCH(DATE(X$5,$K348,$J348),daily_dates,0),MATCH($B$3,daily_items,0)))</f>
        <v>#N/A</v>
      </c>
      <c r="Y348" s="1" t="str">
        <f t="array" ref="Y348">IF(ISBLANK(INDEX(big_daily_table,MATCH(DATE(Y$5,$K348,$J348),daily_dates,0),MATCH($B$3,daily_items,0))),NA(),INDEX(big_daily_table,MATCH(DATE(Y$5,$K348,$J348),daily_dates,0),MATCH($B$3,daily_items,0)))</f>
        <v>#N/A</v>
      </c>
      <c r="Z348" s="1" t="str">
        <f t="array" ref="Z348">IF(ISBLANK(INDEX(big_daily_table,MATCH(DATE(Z$5,$K348,$J348),daily_dates,0),MATCH($B$3,daily_items,0))),NA(),INDEX(big_daily_table,MATCH(DATE(Z$5,$K348,$J348),daily_dates,0),MATCH($B$3,daily_items,0)))</f>
        <v>#N/A</v>
      </c>
      <c r="AA348" s="1" t="str">
        <f t="shared" si="5"/>
        <v>#NAME?</v>
      </c>
      <c r="AB348" s="1" t="str">
        <f t="shared" si="6"/>
        <v>#NAME?</v>
      </c>
      <c r="AC348" s="1" t="str">
        <f t="shared" si="7"/>
        <v>#NAME?</v>
      </c>
      <c r="AD348" s="1" t="str">
        <f t="shared" si="8"/>
        <v>#NAME?</v>
      </c>
    </row>
    <row r="349" ht="14.25" customHeight="1">
      <c r="H349" s="1">
        <f t="shared" si="9"/>
        <v>344</v>
      </c>
      <c r="I349" s="1">
        <f>WEEKDAY('daily graphs'!K349)</f>
        <v>7</v>
      </c>
      <c r="J349" s="1">
        <f t="shared" si="2"/>
        <v>2</v>
      </c>
      <c r="K349" s="1">
        <f t="shared" si="3"/>
        <v>12</v>
      </c>
      <c r="L349" s="23">
        <f>'daily graphs'!K349 - I349</f>
        <v>36862</v>
      </c>
      <c r="M349" s="24">
        <f t="shared" si="4"/>
        <v>1000000</v>
      </c>
      <c r="N349" s="24" t="str">
        <f t="array" ref="N349">IF(M349&gt;0,INDEX(big_daily_table,MATCH(DATE(O$5,$K349,$J349),daily_dates,0),MATCH($B$3,daily_items,0)),NA())</f>
        <v>#N/A</v>
      </c>
      <c r="O349" s="1" t="str">
        <f t="array" ref="O349">IF(M349&lt;0,INDEX(big_daily_table,MATCH(DATE(O$5,$K349,$J349),daily_dates,0),MATCH($B$3,daily_items,0)),NA())</f>
        <v>#N/A</v>
      </c>
      <c r="P349" s="1" t="str">
        <f t="array" ref="P349">IF(ISBLANK(INDEX(big_daily_table,MATCH(DATE(P$5,$K349,$J349),daily_dates,0),MATCH($B$3,daily_items,0))),NA(),INDEX(big_daily_table,MATCH(DATE(P$5,$K349,$J349),daily_dates,0),MATCH($B$3,daily_items,0)))</f>
        <v>#N/A</v>
      </c>
      <c r="Q349" s="1" t="str">
        <f t="array" ref="Q349">IF(ISBLANK(INDEX(big_daily_table,MATCH(DATE(Q$5,$K349,$J349),daily_dates,0),MATCH($B$3,daily_items,0))),NA(),INDEX(big_daily_table,MATCH(DATE(Q$5,$K349,$J349),daily_dates,0),MATCH($B$3,daily_items,0)))</f>
        <v>#N/A</v>
      </c>
      <c r="R349" s="1" t="str">
        <f t="array" ref="R349">IF(ISBLANK(INDEX(big_daily_table,MATCH(DATE(R$5,$K349,$J349),daily_dates,0),MATCH($B$3,daily_items,0))),NA(),INDEX(big_daily_table,MATCH(DATE(R$5,$K349,$J349),daily_dates,0),MATCH($B$3,daily_items,0)))</f>
        <v>#N/A</v>
      </c>
      <c r="S349" s="1" t="str">
        <f t="array" ref="S349">IF(ISBLANK(INDEX(big_daily_table,MATCH(DATE(S$5,$K349,$J349),daily_dates,0),MATCH($B$3,daily_items,0))),NA(),INDEX(big_daily_table,MATCH(DATE(S$5,$K349,$J349),daily_dates,0),MATCH($B$3,daily_items,0)))</f>
        <v>#N/A</v>
      </c>
      <c r="T349" s="1" t="str">
        <f t="array" ref="T349">IF(ISBLANK(INDEX(big_daily_table,MATCH(DATE(T$5,$K349,$J349),daily_dates,0),MATCH($B$3,daily_items,0))),NA(),INDEX(big_daily_table,MATCH(DATE(T$5,$K349,$J349),daily_dates,0),MATCH($B$3,daily_items,0)))</f>
        <v>#N/A</v>
      </c>
      <c r="U349" s="1" t="str">
        <f t="array" ref="U349">IF(ISBLANK(INDEX(big_daily_table,MATCH(DATE(U$5,$K349,$J349),daily_dates,0),MATCH($B$3,daily_items,0))),NA(),INDEX(big_daily_table,MATCH(DATE(U$5,$K349,$J349),daily_dates,0),MATCH($B$3,daily_items,0)))</f>
        <v>#N/A</v>
      </c>
      <c r="V349" s="1" t="str">
        <f t="array" ref="V349">IF(ISBLANK(INDEX(big_daily_table,MATCH(DATE(V$5,$K349,$J349),daily_dates,0),MATCH($B$3,daily_items,0))),NA(),INDEX(big_daily_table,MATCH(DATE(V$5,$K349,$J349),daily_dates,0),MATCH($B$3,daily_items,0)))</f>
        <v>#N/A</v>
      </c>
      <c r="W349" s="1" t="str">
        <f t="array" ref="W349">IF(ISBLANK(INDEX(big_daily_table,MATCH(DATE(W$5,$K349,$J349),daily_dates,0),MATCH($B$3,daily_items,0))),NA(),INDEX(big_daily_table,MATCH(DATE(W$5,$K349,$J349),daily_dates,0),MATCH($B$3,daily_items,0)))</f>
        <v>#N/A</v>
      </c>
      <c r="X349" s="1" t="str">
        <f t="array" ref="X349">IF(ISBLANK(INDEX(big_daily_table,MATCH(DATE(X$5,$K349,$J349),daily_dates,0),MATCH($B$3,daily_items,0))),NA(),INDEX(big_daily_table,MATCH(DATE(X$5,$K349,$J349),daily_dates,0),MATCH($B$3,daily_items,0)))</f>
        <v>#N/A</v>
      </c>
      <c r="Y349" s="1" t="str">
        <f t="array" ref="Y349">IF(ISBLANK(INDEX(big_daily_table,MATCH(DATE(Y$5,$K349,$J349),daily_dates,0),MATCH($B$3,daily_items,0))),NA(),INDEX(big_daily_table,MATCH(DATE(Y$5,$K349,$J349),daily_dates,0),MATCH($B$3,daily_items,0)))</f>
        <v>#N/A</v>
      </c>
      <c r="Z349" s="1" t="str">
        <f t="array" ref="Z349">IF(ISBLANK(INDEX(big_daily_table,MATCH(DATE(Z$5,$K349,$J349),daily_dates,0),MATCH($B$3,daily_items,0))),NA(),INDEX(big_daily_table,MATCH(DATE(Z$5,$K349,$J349),daily_dates,0),MATCH($B$3,daily_items,0)))</f>
        <v>#N/A</v>
      </c>
      <c r="AA349" s="1" t="str">
        <f t="shared" si="5"/>
        <v>#NAME?</v>
      </c>
      <c r="AB349" s="1" t="str">
        <f t="shared" si="6"/>
        <v>#NAME?</v>
      </c>
      <c r="AC349" s="1" t="str">
        <f t="shared" si="7"/>
        <v>#NAME?</v>
      </c>
      <c r="AD349" s="1" t="str">
        <f t="shared" si="8"/>
        <v>#NAME?</v>
      </c>
    </row>
    <row r="350" ht="14.25" customHeight="1">
      <c r="H350" s="1">
        <f t="shared" si="9"/>
        <v>345</v>
      </c>
      <c r="I350" s="1">
        <f>WEEKDAY('daily graphs'!K350)</f>
        <v>1</v>
      </c>
      <c r="J350" s="1">
        <f t="shared" si="2"/>
        <v>9</v>
      </c>
      <c r="K350" s="1">
        <f t="shared" si="3"/>
        <v>12</v>
      </c>
      <c r="L350" s="23">
        <f>'daily graphs'!K350 - I350</f>
        <v>36869</v>
      </c>
      <c r="M350" s="24">
        <f t="shared" si="4"/>
        <v>1000000</v>
      </c>
      <c r="N350" s="24" t="str">
        <f t="array" ref="N350">IF(M350&gt;0,INDEX(big_daily_table,MATCH(DATE(O$5,$K350,$J350),daily_dates,0),MATCH($B$3,daily_items,0)),NA())</f>
        <v>#N/A</v>
      </c>
      <c r="O350" s="1" t="str">
        <f t="array" ref="O350">IF(M350&lt;0,INDEX(big_daily_table,MATCH(DATE(O$5,$K350,$J350),daily_dates,0),MATCH($B$3,daily_items,0)),NA())</f>
        <v>#N/A</v>
      </c>
      <c r="P350" s="1" t="str">
        <f t="array" ref="P350">IF(ISBLANK(INDEX(big_daily_table,MATCH(DATE(P$5,$K350,$J350),daily_dates,0),MATCH($B$3,daily_items,0))),NA(),INDEX(big_daily_table,MATCH(DATE(P$5,$K350,$J350),daily_dates,0),MATCH($B$3,daily_items,0)))</f>
        <v>#N/A</v>
      </c>
      <c r="Q350" s="1" t="str">
        <f t="array" ref="Q350">IF(ISBLANK(INDEX(big_daily_table,MATCH(DATE(Q$5,$K350,$J350),daily_dates,0),MATCH($B$3,daily_items,0))),NA(),INDEX(big_daily_table,MATCH(DATE(Q$5,$K350,$J350),daily_dates,0),MATCH($B$3,daily_items,0)))</f>
        <v>#N/A</v>
      </c>
      <c r="R350" s="1" t="str">
        <f t="array" ref="R350">IF(ISBLANK(INDEX(big_daily_table,MATCH(DATE(R$5,$K350,$J350),daily_dates,0),MATCH($B$3,daily_items,0))),NA(),INDEX(big_daily_table,MATCH(DATE(R$5,$K350,$J350),daily_dates,0),MATCH($B$3,daily_items,0)))</f>
        <v>#N/A</v>
      </c>
      <c r="S350" s="1" t="str">
        <f t="array" ref="S350">IF(ISBLANK(INDEX(big_daily_table,MATCH(DATE(S$5,$K350,$J350),daily_dates,0),MATCH($B$3,daily_items,0))),NA(),INDEX(big_daily_table,MATCH(DATE(S$5,$K350,$J350),daily_dates,0),MATCH($B$3,daily_items,0)))</f>
        <v>#N/A</v>
      </c>
      <c r="T350" s="1" t="str">
        <f t="array" ref="T350">IF(ISBLANK(INDEX(big_daily_table,MATCH(DATE(T$5,$K350,$J350),daily_dates,0),MATCH($B$3,daily_items,0))),NA(),INDEX(big_daily_table,MATCH(DATE(T$5,$K350,$J350),daily_dates,0),MATCH($B$3,daily_items,0)))</f>
        <v>#N/A</v>
      </c>
      <c r="U350" s="1" t="str">
        <f t="array" ref="U350">IF(ISBLANK(INDEX(big_daily_table,MATCH(DATE(U$5,$K350,$J350),daily_dates,0),MATCH($B$3,daily_items,0))),NA(),INDEX(big_daily_table,MATCH(DATE(U$5,$K350,$J350),daily_dates,0),MATCH($B$3,daily_items,0)))</f>
        <v>#N/A</v>
      </c>
      <c r="V350" s="1" t="str">
        <f t="array" ref="V350">IF(ISBLANK(INDEX(big_daily_table,MATCH(DATE(V$5,$K350,$J350),daily_dates,0),MATCH($B$3,daily_items,0))),NA(),INDEX(big_daily_table,MATCH(DATE(V$5,$K350,$J350),daily_dates,0),MATCH($B$3,daily_items,0)))</f>
        <v>#N/A</v>
      </c>
      <c r="W350" s="1" t="str">
        <f t="array" ref="W350">IF(ISBLANK(INDEX(big_daily_table,MATCH(DATE(W$5,$K350,$J350),daily_dates,0),MATCH($B$3,daily_items,0))),NA(),INDEX(big_daily_table,MATCH(DATE(W$5,$K350,$J350),daily_dates,0),MATCH($B$3,daily_items,0)))</f>
        <v>#N/A</v>
      </c>
      <c r="X350" s="1" t="str">
        <f t="array" ref="X350">IF(ISBLANK(INDEX(big_daily_table,MATCH(DATE(X$5,$K350,$J350),daily_dates,0),MATCH($B$3,daily_items,0))),NA(),INDEX(big_daily_table,MATCH(DATE(X$5,$K350,$J350),daily_dates,0),MATCH($B$3,daily_items,0)))</f>
        <v>#N/A</v>
      </c>
      <c r="Y350" s="1" t="str">
        <f t="array" ref="Y350">IF(ISBLANK(INDEX(big_daily_table,MATCH(DATE(Y$5,$K350,$J350),daily_dates,0),MATCH($B$3,daily_items,0))),NA(),INDEX(big_daily_table,MATCH(DATE(Y$5,$K350,$J350),daily_dates,0),MATCH($B$3,daily_items,0)))</f>
        <v>#N/A</v>
      </c>
      <c r="Z350" s="1" t="str">
        <f t="array" ref="Z350">IF(ISBLANK(INDEX(big_daily_table,MATCH(DATE(Z$5,$K350,$J350),daily_dates,0),MATCH($B$3,daily_items,0))),NA(),INDEX(big_daily_table,MATCH(DATE(Z$5,$K350,$J350),daily_dates,0),MATCH($B$3,daily_items,0)))</f>
        <v>#N/A</v>
      </c>
      <c r="AA350" s="1" t="str">
        <f t="shared" si="5"/>
        <v>#NAME?</v>
      </c>
      <c r="AB350" s="1" t="str">
        <f t="shared" si="6"/>
        <v>#NAME?</v>
      </c>
      <c r="AC350" s="1" t="str">
        <f t="shared" si="7"/>
        <v>#NAME?</v>
      </c>
      <c r="AD350" s="1" t="str">
        <f t="shared" si="8"/>
        <v>#NAME?</v>
      </c>
    </row>
    <row r="351" ht="14.25" customHeight="1">
      <c r="H351" s="1">
        <f t="shared" si="9"/>
        <v>346</v>
      </c>
      <c r="I351" s="1">
        <f>WEEKDAY('daily graphs'!K351)</f>
        <v>2</v>
      </c>
      <c r="J351" s="1">
        <f t="shared" si="2"/>
        <v>9</v>
      </c>
      <c r="K351" s="1">
        <f t="shared" si="3"/>
        <v>12</v>
      </c>
      <c r="L351" s="23">
        <f>'daily graphs'!K351 - I351</f>
        <v>36869</v>
      </c>
      <c r="M351" s="24">
        <f t="shared" si="4"/>
        <v>1000000</v>
      </c>
      <c r="N351" s="24" t="str">
        <f t="array" ref="N351">IF(M351&gt;0,INDEX(big_daily_table,MATCH(DATE(O$5,$K351,$J351),daily_dates,0),MATCH($B$3,daily_items,0)),NA())</f>
        <v>#N/A</v>
      </c>
      <c r="O351" s="1" t="str">
        <f t="array" ref="O351">IF(M351&lt;0,INDEX(big_daily_table,MATCH(DATE(O$5,$K351,$J351),daily_dates,0),MATCH($B$3,daily_items,0)),NA())</f>
        <v>#N/A</v>
      </c>
      <c r="P351" s="1" t="str">
        <f t="array" ref="P351">IF(ISBLANK(INDEX(big_daily_table,MATCH(DATE(P$5,$K351,$J351),daily_dates,0),MATCH($B$3,daily_items,0))),NA(),INDEX(big_daily_table,MATCH(DATE(P$5,$K351,$J351),daily_dates,0),MATCH($B$3,daily_items,0)))</f>
        <v>#N/A</v>
      </c>
      <c r="Q351" s="1" t="str">
        <f t="array" ref="Q351">IF(ISBLANK(INDEX(big_daily_table,MATCH(DATE(Q$5,$K351,$J351),daily_dates,0),MATCH($B$3,daily_items,0))),NA(),INDEX(big_daily_table,MATCH(DATE(Q$5,$K351,$J351),daily_dates,0),MATCH($B$3,daily_items,0)))</f>
        <v>#N/A</v>
      </c>
      <c r="R351" s="1" t="str">
        <f t="array" ref="R351">IF(ISBLANK(INDEX(big_daily_table,MATCH(DATE(R$5,$K351,$J351),daily_dates,0),MATCH($B$3,daily_items,0))),NA(),INDEX(big_daily_table,MATCH(DATE(R$5,$K351,$J351),daily_dates,0),MATCH($B$3,daily_items,0)))</f>
        <v>#N/A</v>
      </c>
      <c r="S351" s="1" t="str">
        <f t="array" ref="S351">IF(ISBLANK(INDEX(big_daily_table,MATCH(DATE(S$5,$K351,$J351),daily_dates,0),MATCH($B$3,daily_items,0))),NA(),INDEX(big_daily_table,MATCH(DATE(S$5,$K351,$J351),daily_dates,0),MATCH($B$3,daily_items,0)))</f>
        <v>#N/A</v>
      </c>
      <c r="T351" s="1" t="str">
        <f t="array" ref="T351">IF(ISBLANK(INDEX(big_daily_table,MATCH(DATE(T$5,$K351,$J351),daily_dates,0),MATCH($B$3,daily_items,0))),NA(),INDEX(big_daily_table,MATCH(DATE(T$5,$K351,$J351),daily_dates,0),MATCH($B$3,daily_items,0)))</f>
        <v>#N/A</v>
      </c>
      <c r="U351" s="1" t="str">
        <f t="array" ref="U351">IF(ISBLANK(INDEX(big_daily_table,MATCH(DATE(U$5,$K351,$J351),daily_dates,0),MATCH($B$3,daily_items,0))),NA(),INDEX(big_daily_table,MATCH(DATE(U$5,$K351,$J351),daily_dates,0),MATCH($B$3,daily_items,0)))</f>
        <v>#N/A</v>
      </c>
      <c r="V351" s="1" t="str">
        <f t="array" ref="V351">IF(ISBLANK(INDEX(big_daily_table,MATCH(DATE(V$5,$K351,$J351),daily_dates,0),MATCH($B$3,daily_items,0))),NA(),INDEX(big_daily_table,MATCH(DATE(V$5,$K351,$J351),daily_dates,0),MATCH($B$3,daily_items,0)))</f>
        <v>#N/A</v>
      </c>
      <c r="W351" s="1" t="str">
        <f t="array" ref="W351">IF(ISBLANK(INDEX(big_daily_table,MATCH(DATE(W$5,$K351,$J351),daily_dates,0),MATCH($B$3,daily_items,0))),NA(),INDEX(big_daily_table,MATCH(DATE(W$5,$K351,$J351),daily_dates,0),MATCH($B$3,daily_items,0)))</f>
        <v>#N/A</v>
      </c>
      <c r="X351" s="1" t="str">
        <f t="array" ref="X351">IF(ISBLANK(INDEX(big_daily_table,MATCH(DATE(X$5,$K351,$J351),daily_dates,0),MATCH($B$3,daily_items,0))),NA(),INDEX(big_daily_table,MATCH(DATE(X$5,$K351,$J351),daily_dates,0),MATCH($B$3,daily_items,0)))</f>
        <v>#N/A</v>
      </c>
      <c r="Y351" s="1" t="str">
        <f t="array" ref="Y351">IF(ISBLANK(INDEX(big_daily_table,MATCH(DATE(Y$5,$K351,$J351),daily_dates,0),MATCH($B$3,daily_items,0))),NA(),INDEX(big_daily_table,MATCH(DATE(Y$5,$K351,$J351),daily_dates,0),MATCH($B$3,daily_items,0)))</f>
        <v>#N/A</v>
      </c>
      <c r="Z351" s="1" t="str">
        <f t="array" ref="Z351">IF(ISBLANK(INDEX(big_daily_table,MATCH(DATE(Z$5,$K351,$J351),daily_dates,0),MATCH($B$3,daily_items,0))),NA(),INDEX(big_daily_table,MATCH(DATE(Z$5,$K351,$J351),daily_dates,0),MATCH($B$3,daily_items,0)))</f>
        <v>#N/A</v>
      </c>
      <c r="AA351" s="1" t="str">
        <f t="shared" si="5"/>
        <v>#NAME?</v>
      </c>
      <c r="AB351" s="1" t="str">
        <f t="shared" si="6"/>
        <v>#NAME?</v>
      </c>
      <c r="AC351" s="1" t="str">
        <f t="shared" si="7"/>
        <v>#NAME?</v>
      </c>
      <c r="AD351" s="1" t="str">
        <f t="shared" si="8"/>
        <v>#NAME?</v>
      </c>
    </row>
    <row r="352" ht="14.25" customHeight="1">
      <c r="H352" s="1">
        <f t="shared" si="9"/>
        <v>347</v>
      </c>
      <c r="I352" s="1">
        <f>WEEKDAY('daily graphs'!K352)</f>
        <v>3</v>
      </c>
      <c r="J352" s="1">
        <f t="shared" si="2"/>
        <v>9</v>
      </c>
      <c r="K352" s="1">
        <f t="shared" si="3"/>
        <v>12</v>
      </c>
      <c r="L352" s="23">
        <f>'daily graphs'!K352 - I352</f>
        <v>36869</v>
      </c>
      <c r="M352" s="24">
        <f t="shared" si="4"/>
        <v>1000000</v>
      </c>
      <c r="N352" s="24" t="str">
        <f t="array" ref="N352">IF(M352&gt;0,INDEX(big_daily_table,MATCH(DATE(O$5,$K352,$J352),daily_dates,0),MATCH($B$3,daily_items,0)),NA())</f>
        <v>#N/A</v>
      </c>
      <c r="O352" s="1" t="str">
        <f t="array" ref="O352">IF(M352&lt;0,INDEX(big_daily_table,MATCH(DATE(O$5,$K352,$J352),daily_dates,0),MATCH($B$3,daily_items,0)),NA())</f>
        <v>#N/A</v>
      </c>
      <c r="P352" s="1" t="str">
        <f t="array" ref="P352">IF(ISBLANK(INDEX(big_daily_table,MATCH(DATE(P$5,$K352,$J352),daily_dates,0),MATCH($B$3,daily_items,0))),NA(),INDEX(big_daily_table,MATCH(DATE(P$5,$K352,$J352),daily_dates,0),MATCH($B$3,daily_items,0)))</f>
        <v>#N/A</v>
      </c>
      <c r="Q352" s="1" t="str">
        <f t="array" ref="Q352">IF(ISBLANK(INDEX(big_daily_table,MATCH(DATE(Q$5,$K352,$J352),daily_dates,0),MATCH($B$3,daily_items,0))),NA(),INDEX(big_daily_table,MATCH(DATE(Q$5,$K352,$J352),daily_dates,0),MATCH($B$3,daily_items,0)))</f>
        <v>#N/A</v>
      </c>
      <c r="R352" s="1" t="str">
        <f t="array" ref="R352">IF(ISBLANK(INDEX(big_daily_table,MATCH(DATE(R$5,$K352,$J352),daily_dates,0),MATCH($B$3,daily_items,0))),NA(),INDEX(big_daily_table,MATCH(DATE(R$5,$K352,$J352),daily_dates,0),MATCH($B$3,daily_items,0)))</f>
        <v>#N/A</v>
      </c>
      <c r="S352" s="1" t="str">
        <f t="array" ref="S352">IF(ISBLANK(INDEX(big_daily_table,MATCH(DATE(S$5,$K352,$J352),daily_dates,0),MATCH($B$3,daily_items,0))),NA(),INDEX(big_daily_table,MATCH(DATE(S$5,$K352,$J352),daily_dates,0),MATCH($B$3,daily_items,0)))</f>
        <v>#N/A</v>
      </c>
      <c r="T352" s="1" t="str">
        <f t="array" ref="T352">IF(ISBLANK(INDEX(big_daily_table,MATCH(DATE(T$5,$K352,$J352),daily_dates,0),MATCH($B$3,daily_items,0))),NA(),INDEX(big_daily_table,MATCH(DATE(T$5,$K352,$J352),daily_dates,0),MATCH($B$3,daily_items,0)))</f>
        <v>#N/A</v>
      </c>
      <c r="U352" s="1" t="str">
        <f t="array" ref="U352">IF(ISBLANK(INDEX(big_daily_table,MATCH(DATE(U$5,$K352,$J352),daily_dates,0),MATCH($B$3,daily_items,0))),NA(),INDEX(big_daily_table,MATCH(DATE(U$5,$K352,$J352),daily_dates,0),MATCH($B$3,daily_items,0)))</f>
        <v>#N/A</v>
      </c>
      <c r="V352" s="1" t="str">
        <f t="array" ref="V352">IF(ISBLANK(INDEX(big_daily_table,MATCH(DATE(V$5,$K352,$J352),daily_dates,0),MATCH($B$3,daily_items,0))),NA(),INDEX(big_daily_table,MATCH(DATE(V$5,$K352,$J352),daily_dates,0),MATCH($B$3,daily_items,0)))</f>
        <v>#N/A</v>
      </c>
      <c r="W352" s="1" t="str">
        <f t="array" ref="W352">IF(ISBLANK(INDEX(big_daily_table,MATCH(DATE(W$5,$K352,$J352),daily_dates,0),MATCH($B$3,daily_items,0))),NA(),INDEX(big_daily_table,MATCH(DATE(W$5,$K352,$J352),daily_dates,0),MATCH($B$3,daily_items,0)))</f>
        <v>#N/A</v>
      </c>
      <c r="X352" s="1" t="str">
        <f t="array" ref="X352">IF(ISBLANK(INDEX(big_daily_table,MATCH(DATE(X$5,$K352,$J352),daily_dates,0),MATCH($B$3,daily_items,0))),NA(),INDEX(big_daily_table,MATCH(DATE(X$5,$K352,$J352),daily_dates,0),MATCH($B$3,daily_items,0)))</f>
        <v>#N/A</v>
      </c>
      <c r="Y352" s="1" t="str">
        <f t="array" ref="Y352">IF(ISBLANK(INDEX(big_daily_table,MATCH(DATE(Y$5,$K352,$J352),daily_dates,0),MATCH($B$3,daily_items,0))),NA(),INDEX(big_daily_table,MATCH(DATE(Y$5,$K352,$J352),daily_dates,0),MATCH($B$3,daily_items,0)))</f>
        <v>#N/A</v>
      </c>
      <c r="Z352" s="1" t="str">
        <f t="array" ref="Z352">IF(ISBLANK(INDEX(big_daily_table,MATCH(DATE(Z$5,$K352,$J352),daily_dates,0),MATCH($B$3,daily_items,0))),NA(),INDEX(big_daily_table,MATCH(DATE(Z$5,$K352,$J352),daily_dates,0),MATCH($B$3,daily_items,0)))</f>
        <v>#N/A</v>
      </c>
      <c r="AA352" s="1" t="str">
        <f t="shared" si="5"/>
        <v>#NAME?</v>
      </c>
      <c r="AB352" s="1" t="str">
        <f t="shared" si="6"/>
        <v>#NAME?</v>
      </c>
      <c r="AC352" s="1" t="str">
        <f t="shared" si="7"/>
        <v>#NAME?</v>
      </c>
      <c r="AD352" s="1" t="str">
        <f t="shared" si="8"/>
        <v>#NAME?</v>
      </c>
    </row>
    <row r="353" ht="14.25" customHeight="1">
      <c r="H353" s="1">
        <f t="shared" si="9"/>
        <v>348</v>
      </c>
      <c r="I353" s="1">
        <f>WEEKDAY('daily graphs'!K353)</f>
        <v>4</v>
      </c>
      <c r="J353" s="1">
        <f t="shared" si="2"/>
        <v>9</v>
      </c>
      <c r="K353" s="1">
        <f t="shared" si="3"/>
        <v>12</v>
      </c>
      <c r="L353" s="23">
        <f>'daily graphs'!K353 - I353</f>
        <v>36869</v>
      </c>
      <c r="M353" s="24">
        <f t="shared" si="4"/>
        <v>1000000</v>
      </c>
      <c r="N353" s="24" t="str">
        <f t="array" ref="N353">IF(M353&gt;0,INDEX(big_daily_table,MATCH(DATE(O$5,$K353,$J353),daily_dates,0),MATCH($B$3,daily_items,0)),NA())</f>
        <v>#N/A</v>
      </c>
      <c r="O353" s="1" t="str">
        <f t="array" ref="O353">IF(M353&lt;0,INDEX(big_daily_table,MATCH(DATE(O$5,$K353,$J353),daily_dates,0),MATCH($B$3,daily_items,0)),NA())</f>
        <v>#N/A</v>
      </c>
      <c r="P353" s="1" t="str">
        <f t="array" ref="P353">IF(ISBLANK(INDEX(big_daily_table,MATCH(DATE(P$5,$K353,$J353),daily_dates,0),MATCH($B$3,daily_items,0))),NA(),INDEX(big_daily_table,MATCH(DATE(P$5,$K353,$J353),daily_dates,0),MATCH($B$3,daily_items,0)))</f>
        <v>#N/A</v>
      </c>
      <c r="Q353" s="1" t="str">
        <f t="array" ref="Q353">IF(ISBLANK(INDEX(big_daily_table,MATCH(DATE(Q$5,$K353,$J353),daily_dates,0),MATCH($B$3,daily_items,0))),NA(),INDEX(big_daily_table,MATCH(DATE(Q$5,$K353,$J353),daily_dates,0),MATCH($B$3,daily_items,0)))</f>
        <v>#N/A</v>
      </c>
      <c r="R353" s="1" t="str">
        <f t="array" ref="R353">IF(ISBLANK(INDEX(big_daily_table,MATCH(DATE(R$5,$K353,$J353),daily_dates,0),MATCH($B$3,daily_items,0))),NA(),INDEX(big_daily_table,MATCH(DATE(R$5,$K353,$J353),daily_dates,0),MATCH($B$3,daily_items,0)))</f>
        <v>#N/A</v>
      </c>
      <c r="S353" s="1" t="str">
        <f t="array" ref="S353">IF(ISBLANK(INDEX(big_daily_table,MATCH(DATE(S$5,$K353,$J353),daily_dates,0),MATCH($B$3,daily_items,0))),NA(),INDEX(big_daily_table,MATCH(DATE(S$5,$K353,$J353),daily_dates,0),MATCH($B$3,daily_items,0)))</f>
        <v>#N/A</v>
      </c>
      <c r="T353" s="1" t="str">
        <f t="array" ref="T353">IF(ISBLANK(INDEX(big_daily_table,MATCH(DATE(T$5,$K353,$J353),daily_dates,0),MATCH($B$3,daily_items,0))),NA(),INDEX(big_daily_table,MATCH(DATE(T$5,$K353,$J353),daily_dates,0),MATCH($B$3,daily_items,0)))</f>
        <v>#N/A</v>
      </c>
      <c r="U353" s="1" t="str">
        <f t="array" ref="U353">IF(ISBLANK(INDEX(big_daily_table,MATCH(DATE(U$5,$K353,$J353),daily_dates,0),MATCH($B$3,daily_items,0))),NA(),INDEX(big_daily_table,MATCH(DATE(U$5,$K353,$J353),daily_dates,0),MATCH($B$3,daily_items,0)))</f>
        <v>#N/A</v>
      </c>
      <c r="V353" s="1" t="str">
        <f t="array" ref="V353">IF(ISBLANK(INDEX(big_daily_table,MATCH(DATE(V$5,$K353,$J353),daily_dates,0),MATCH($B$3,daily_items,0))),NA(),INDEX(big_daily_table,MATCH(DATE(V$5,$K353,$J353),daily_dates,0),MATCH($B$3,daily_items,0)))</f>
        <v>#N/A</v>
      </c>
      <c r="W353" s="1" t="str">
        <f t="array" ref="W353">IF(ISBLANK(INDEX(big_daily_table,MATCH(DATE(W$5,$K353,$J353),daily_dates,0),MATCH($B$3,daily_items,0))),NA(),INDEX(big_daily_table,MATCH(DATE(W$5,$K353,$J353),daily_dates,0),MATCH($B$3,daily_items,0)))</f>
        <v>#N/A</v>
      </c>
      <c r="X353" s="1" t="str">
        <f t="array" ref="X353">IF(ISBLANK(INDEX(big_daily_table,MATCH(DATE(X$5,$K353,$J353),daily_dates,0),MATCH($B$3,daily_items,0))),NA(),INDEX(big_daily_table,MATCH(DATE(X$5,$K353,$J353),daily_dates,0),MATCH($B$3,daily_items,0)))</f>
        <v>#N/A</v>
      </c>
      <c r="Y353" s="1" t="str">
        <f t="array" ref="Y353">IF(ISBLANK(INDEX(big_daily_table,MATCH(DATE(Y$5,$K353,$J353),daily_dates,0),MATCH($B$3,daily_items,0))),NA(),INDEX(big_daily_table,MATCH(DATE(Y$5,$K353,$J353),daily_dates,0),MATCH($B$3,daily_items,0)))</f>
        <v>#N/A</v>
      </c>
      <c r="Z353" s="1" t="str">
        <f t="array" ref="Z353">IF(ISBLANK(INDEX(big_daily_table,MATCH(DATE(Z$5,$K353,$J353),daily_dates,0),MATCH($B$3,daily_items,0))),NA(),INDEX(big_daily_table,MATCH(DATE(Z$5,$K353,$J353),daily_dates,0),MATCH($B$3,daily_items,0)))</f>
        <v>#N/A</v>
      </c>
      <c r="AA353" s="1" t="str">
        <f t="shared" si="5"/>
        <v>#NAME?</v>
      </c>
      <c r="AB353" s="1" t="str">
        <f t="shared" si="6"/>
        <v>#NAME?</v>
      </c>
      <c r="AC353" s="1" t="str">
        <f t="shared" si="7"/>
        <v>#NAME?</v>
      </c>
      <c r="AD353" s="1" t="str">
        <f t="shared" si="8"/>
        <v>#NAME?</v>
      </c>
    </row>
    <row r="354" ht="14.25" customHeight="1">
      <c r="H354" s="1">
        <f t="shared" si="9"/>
        <v>349</v>
      </c>
      <c r="I354" s="1">
        <f>WEEKDAY('daily graphs'!K354)</f>
        <v>5</v>
      </c>
      <c r="J354" s="1">
        <f t="shared" si="2"/>
        <v>9</v>
      </c>
      <c r="K354" s="1">
        <f t="shared" si="3"/>
        <v>12</v>
      </c>
      <c r="L354" s="23">
        <f>'daily graphs'!K354 - I354</f>
        <v>36869</v>
      </c>
      <c r="M354" s="24">
        <f t="shared" si="4"/>
        <v>1000000</v>
      </c>
      <c r="N354" s="24" t="str">
        <f t="array" ref="N354">IF(M354&gt;0,INDEX(big_daily_table,MATCH(DATE(O$5,$K354,$J354),daily_dates,0),MATCH($B$3,daily_items,0)),NA())</f>
        <v>#N/A</v>
      </c>
      <c r="O354" s="1" t="str">
        <f t="array" ref="O354">IF(M354&lt;0,INDEX(big_daily_table,MATCH(DATE(O$5,$K354,$J354),daily_dates,0),MATCH($B$3,daily_items,0)),NA())</f>
        <v>#N/A</v>
      </c>
      <c r="P354" s="1" t="str">
        <f t="array" ref="P354">IF(ISBLANK(INDEX(big_daily_table,MATCH(DATE(P$5,$K354,$J354),daily_dates,0),MATCH($B$3,daily_items,0))),NA(),INDEX(big_daily_table,MATCH(DATE(P$5,$K354,$J354),daily_dates,0),MATCH($B$3,daily_items,0)))</f>
        <v>#N/A</v>
      </c>
      <c r="Q354" s="1" t="str">
        <f t="array" ref="Q354">IF(ISBLANK(INDEX(big_daily_table,MATCH(DATE(Q$5,$K354,$J354),daily_dates,0),MATCH($B$3,daily_items,0))),NA(),INDEX(big_daily_table,MATCH(DATE(Q$5,$K354,$J354),daily_dates,0),MATCH($B$3,daily_items,0)))</f>
        <v>#N/A</v>
      </c>
      <c r="R354" s="1" t="str">
        <f t="array" ref="R354">IF(ISBLANK(INDEX(big_daily_table,MATCH(DATE(R$5,$K354,$J354),daily_dates,0),MATCH($B$3,daily_items,0))),NA(),INDEX(big_daily_table,MATCH(DATE(R$5,$K354,$J354),daily_dates,0),MATCH($B$3,daily_items,0)))</f>
        <v>#N/A</v>
      </c>
      <c r="S354" s="1" t="str">
        <f t="array" ref="S354">IF(ISBLANK(INDEX(big_daily_table,MATCH(DATE(S$5,$K354,$J354),daily_dates,0),MATCH($B$3,daily_items,0))),NA(),INDEX(big_daily_table,MATCH(DATE(S$5,$K354,$J354),daily_dates,0),MATCH($B$3,daily_items,0)))</f>
        <v>#N/A</v>
      </c>
      <c r="T354" s="1" t="str">
        <f t="array" ref="T354">IF(ISBLANK(INDEX(big_daily_table,MATCH(DATE(T$5,$K354,$J354),daily_dates,0),MATCH($B$3,daily_items,0))),NA(),INDEX(big_daily_table,MATCH(DATE(T$5,$K354,$J354),daily_dates,0),MATCH($B$3,daily_items,0)))</f>
        <v>#N/A</v>
      </c>
      <c r="U354" s="1" t="str">
        <f t="array" ref="U354">IF(ISBLANK(INDEX(big_daily_table,MATCH(DATE(U$5,$K354,$J354),daily_dates,0),MATCH($B$3,daily_items,0))),NA(),INDEX(big_daily_table,MATCH(DATE(U$5,$K354,$J354),daily_dates,0),MATCH($B$3,daily_items,0)))</f>
        <v>#N/A</v>
      </c>
      <c r="V354" s="1" t="str">
        <f t="array" ref="V354">IF(ISBLANK(INDEX(big_daily_table,MATCH(DATE(V$5,$K354,$J354),daily_dates,0),MATCH($B$3,daily_items,0))),NA(),INDEX(big_daily_table,MATCH(DATE(V$5,$K354,$J354),daily_dates,0),MATCH($B$3,daily_items,0)))</f>
        <v>#N/A</v>
      </c>
      <c r="W354" s="1" t="str">
        <f t="array" ref="W354">IF(ISBLANK(INDEX(big_daily_table,MATCH(DATE(W$5,$K354,$J354),daily_dates,0),MATCH($B$3,daily_items,0))),NA(),INDEX(big_daily_table,MATCH(DATE(W$5,$K354,$J354),daily_dates,0),MATCH($B$3,daily_items,0)))</f>
        <v>#N/A</v>
      </c>
      <c r="X354" s="1" t="str">
        <f t="array" ref="X354">IF(ISBLANK(INDEX(big_daily_table,MATCH(DATE(X$5,$K354,$J354),daily_dates,0),MATCH($B$3,daily_items,0))),NA(),INDEX(big_daily_table,MATCH(DATE(X$5,$K354,$J354),daily_dates,0),MATCH($B$3,daily_items,0)))</f>
        <v>#N/A</v>
      </c>
      <c r="Y354" s="1" t="str">
        <f t="array" ref="Y354">IF(ISBLANK(INDEX(big_daily_table,MATCH(DATE(Y$5,$K354,$J354),daily_dates,0),MATCH($B$3,daily_items,0))),NA(),INDEX(big_daily_table,MATCH(DATE(Y$5,$K354,$J354),daily_dates,0),MATCH($B$3,daily_items,0)))</f>
        <v>#N/A</v>
      </c>
      <c r="Z354" s="1" t="str">
        <f t="array" ref="Z354">IF(ISBLANK(INDEX(big_daily_table,MATCH(DATE(Z$5,$K354,$J354),daily_dates,0),MATCH($B$3,daily_items,0))),NA(),INDEX(big_daily_table,MATCH(DATE(Z$5,$K354,$J354),daily_dates,0),MATCH($B$3,daily_items,0)))</f>
        <v>#N/A</v>
      </c>
      <c r="AA354" s="1" t="str">
        <f t="shared" si="5"/>
        <v>#NAME?</v>
      </c>
      <c r="AB354" s="1" t="str">
        <f t="shared" si="6"/>
        <v>#NAME?</v>
      </c>
      <c r="AC354" s="1" t="str">
        <f t="shared" si="7"/>
        <v>#NAME?</v>
      </c>
      <c r="AD354" s="1" t="str">
        <f t="shared" si="8"/>
        <v>#NAME?</v>
      </c>
    </row>
    <row r="355" ht="14.25" customHeight="1">
      <c r="H355" s="1">
        <f t="shared" si="9"/>
        <v>350</v>
      </c>
      <c r="I355" s="1">
        <f>WEEKDAY('daily graphs'!K355)</f>
        <v>6</v>
      </c>
      <c r="J355" s="1">
        <f t="shared" si="2"/>
        <v>9</v>
      </c>
      <c r="K355" s="1">
        <f t="shared" si="3"/>
        <v>12</v>
      </c>
      <c r="L355" s="23">
        <f>'daily graphs'!K355 - I355</f>
        <v>36869</v>
      </c>
      <c r="M355" s="24">
        <f t="shared" si="4"/>
        <v>1000000</v>
      </c>
      <c r="N355" s="24" t="str">
        <f t="array" ref="N355">IF(M355&gt;0,INDEX(big_daily_table,MATCH(DATE(O$5,$K355,$J355),daily_dates,0),MATCH($B$3,daily_items,0)),NA())</f>
        <v>#N/A</v>
      </c>
      <c r="O355" s="1" t="str">
        <f t="array" ref="O355">IF(M355&lt;0,INDEX(big_daily_table,MATCH(DATE(O$5,$K355,$J355),daily_dates,0),MATCH($B$3,daily_items,0)),NA())</f>
        <v>#N/A</v>
      </c>
      <c r="P355" s="1" t="str">
        <f t="array" ref="P355">IF(ISBLANK(INDEX(big_daily_table,MATCH(DATE(P$5,$K355,$J355),daily_dates,0),MATCH($B$3,daily_items,0))),NA(),INDEX(big_daily_table,MATCH(DATE(P$5,$K355,$J355),daily_dates,0),MATCH($B$3,daily_items,0)))</f>
        <v>#N/A</v>
      </c>
      <c r="Q355" s="1" t="str">
        <f t="array" ref="Q355">IF(ISBLANK(INDEX(big_daily_table,MATCH(DATE(Q$5,$K355,$J355),daily_dates,0),MATCH($B$3,daily_items,0))),NA(),INDEX(big_daily_table,MATCH(DATE(Q$5,$K355,$J355),daily_dates,0),MATCH($B$3,daily_items,0)))</f>
        <v>#N/A</v>
      </c>
      <c r="R355" s="1" t="str">
        <f t="array" ref="R355">IF(ISBLANK(INDEX(big_daily_table,MATCH(DATE(R$5,$K355,$J355),daily_dates,0),MATCH($B$3,daily_items,0))),NA(),INDEX(big_daily_table,MATCH(DATE(R$5,$K355,$J355),daily_dates,0),MATCH($B$3,daily_items,0)))</f>
        <v>#N/A</v>
      </c>
      <c r="S355" s="1" t="str">
        <f t="array" ref="S355">IF(ISBLANK(INDEX(big_daily_table,MATCH(DATE(S$5,$K355,$J355),daily_dates,0),MATCH($B$3,daily_items,0))),NA(),INDEX(big_daily_table,MATCH(DATE(S$5,$K355,$J355),daily_dates,0),MATCH($B$3,daily_items,0)))</f>
        <v>#N/A</v>
      </c>
      <c r="T355" s="1" t="str">
        <f t="array" ref="T355">IF(ISBLANK(INDEX(big_daily_table,MATCH(DATE(T$5,$K355,$J355),daily_dates,0),MATCH($B$3,daily_items,0))),NA(),INDEX(big_daily_table,MATCH(DATE(T$5,$K355,$J355),daily_dates,0),MATCH($B$3,daily_items,0)))</f>
        <v>#N/A</v>
      </c>
      <c r="U355" s="1" t="str">
        <f t="array" ref="U355">IF(ISBLANK(INDEX(big_daily_table,MATCH(DATE(U$5,$K355,$J355),daily_dates,0),MATCH($B$3,daily_items,0))),NA(),INDEX(big_daily_table,MATCH(DATE(U$5,$K355,$J355),daily_dates,0),MATCH($B$3,daily_items,0)))</f>
        <v>#N/A</v>
      </c>
      <c r="V355" s="1" t="str">
        <f t="array" ref="V355">IF(ISBLANK(INDEX(big_daily_table,MATCH(DATE(V$5,$K355,$J355),daily_dates,0),MATCH($B$3,daily_items,0))),NA(),INDEX(big_daily_table,MATCH(DATE(V$5,$K355,$J355),daily_dates,0),MATCH($B$3,daily_items,0)))</f>
        <v>#N/A</v>
      </c>
      <c r="W355" s="1" t="str">
        <f t="array" ref="W355">IF(ISBLANK(INDEX(big_daily_table,MATCH(DATE(W$5,$K355,$J355),daily_dates,0),MATCH($B$3,daily_items,0))),NA(),INDEX(big_daily_table,MATCH(DATE(W$5,$K355,$J355),daily_dates,0),MATCH($B$3,daily_items,0)))</f>
        <v>#N/A</v>
      </c>
      <c r="X355" s="1" t="str">
        <f t="array" ref="X355">IF(ISBLANK(INDEX(big_daily_table,MATCH(DATE(X$5,$K355,$J355),daily_dates,0),MATCH($B$3,daily_items,0))),NA(),INDEX(big_daily_table,MATCH(DATE(X$5,$K355,$J355),daily_dates,0),MATCH($B$3,daily_items,0)))</f>
        <v>#N/A</v>
      </c>
      <c r="Y355" s="1" t="str">
        <f t="array" ref="Y355">IF(ISBLANK(INDEX(big_daily_table,MATCH(DATE(Y$5,$K355,$J355),daily_dates,0),MATCH($B$3,daily_items,0))),NA(),INDEX(big_daily_table,MATCH(DATE(Y$5,$K355,$J355),daily_dates,0),MATCH($B$3,daily_items,0)))</f>
        <v>#N/A</v>
      </c>
      <c r="Z355" s="1" t="str">
        <f t="array" ref="Z355">IF(ISBLANK(INDEX(big_daily_table,MATCH(DATE(Z$5,$K355,$J355),daily_dates,0),MATCH($B$3,daily_items,0))),NA(),INDEX(big_daily_table,MATCH(DATE(Z$5,$K355,$J355),daily_dates,0),MATCH($B$3,daily_items,0)))</f>
        <v>#N/A</v>
      </c>
      <c r="AA355" s="1" t="str">
        <f t="shared" si="5"/>
        <v>#NAME?</v>
      </c>
      <c r="AB355" s="1" t="str">
        <f t="shared" si="6"/>
        <v>#NAME?</v>
      </c>
      <c r="AC355" s="1" t="str">
        <f t="shared" si="7"/>
        <v>#NAME?</v>
      </c>
      <c r="AD355" s="1" t="str">
        <f t="shared" si="8"/>
        <v>#NAME?</v>
      </c>
    </row>
    <row r="356" ht="14.25" customHeight="1">
      <c r="H356" s="1">
        <f t="shared" si="9"/>
        <v>351</v>
      </c>
      <c r="I356" s="1">
        <f>WEEKDAY('daily graphs'!K356)</f>
        <v>7</v>
      </c>
      <c r="J356" s="1">
        <f t="shared" si="2"/>
        <v>9</v>
      </c>
      <c r="K356" s="1">
        <f t="shared" si="3"/>
        <v>12</v>
      </c>
      <c r="L356" s="23">
        <f>'daily graphs'!K356 - I356</f>
        <v>36869</v>
      </c>
      <c r="M356" s="24">
        <f t="shared" si="4"/>
        <v>1000000</v>
      </c>
      <c r="N356" s="24" t="str">
        <f t="array" ref="N356">IF(M356&gt;0,INDEX(big_daily_table,MATCH(DATE(O$5,$K356,$J356),daily_dates,0),MATCH($B$3,daily_items,0)),NA())</f>
        <v>#N/A</v>
      </c>
      <c r="O356" s="1" t="str">
        <f t="array" ref="O356">IF(M356&lt;0,INDEX(big_daily_table,MATCH(DATE(O$5,$K356,$J356),daily_dates,0),MATCH($B$3,daily_items,0)),NA())</f>
        <v>#N/A</v>
      </c>
      <c r="P356" s="1" t="str">
        <f t="array" ref="P356">IF(ISBLANK(INDEX(big_daily_table,MATCH(DATE(P$5,$K356,$J356),daily_dates,0),MATCH($B$3,daily_items,0))),NA(),INDEX(big_daily_table,MATCH(DATE(P$5,$K356,$J356),daily_dates,0),MATCH($B$3,daily_items,0)))</f>
        <v>#N/A</v>
      </c>
      <c r="Q356" s="1" t="str">
        <f t="array" ref="Q356">IF(ISBLANK(INDEX(big_daily_table,MATCH(DATE(Q$5,$K356,$J356),daily_dates,0),MATCH($B$3,daily_items,0))),NA(),INDEX(big_daily_table,MATCH(DATE(Q$5,$K356,$J356),daily_dates,0),MATCH($B$3,daily_items,0)))</f>
        <v>#N/A</v>
      </c>
      <c r="R356" s="1" t="str">
        <f t="array" ref="R356">IF(ISBLANK(INDEX(big_daily_table,MATCH(DATE(R$5,$K356,$J356),daily_dates,0),MATCH($B$3,daily_items,0))),NA(),INDEX(big_daily_table,MATCH(DATE(R$5,$K356,$J356),daily_dates,0),MATCH($B$3,daily_items,0)))</f>
        <v>#N/A</v>
      </c>
      <c r="S356" s="1" t="str">
        <f t="array" ref="S356">IF(ISBLANK(INDEX(big_daily_table,MATCH(DATE(S$5,$K356,$J356),daily_dates,0),MATCH($B$3,daily_items,0))),NA(),INDEX(big_daily_table,MATCH(DATE(S$5,$K356,$J356),daily_dates,0),MATCH($B$3,daily_items,0)))</f>
        <v>#N/A</v>
      </c>
      <c r="T356" s="1" t="str">
        <f t="array" ref="T356">IF(ISBLANK(INDEX(big_daily_table,MATCH(DATE(T$5,$K356,$J356),daily_dates,0),MATCH($B$3,daily_items,0))),NA(),INDEX(big_daily_table,MATCH(DATE(T$5,$K356,$J356),daily_dates,0),MATCH($B$3,daily_items,0)))</f>
        <v>#N/A</v>
      </c>
      <c r="U356" s="1" t="str">
        <f t="array" ref="U356">IF(ISBLANK(INDEX(big_daily_table,MATCH(DATE(U$5,$K356,$J356),daily_dates,0),MATCH($B$3,daily_items,0))),NA(),INDEX(big_daily_table,MATCH(DATE(U$5,$K356,$J356),daily_dates,0),MATCH($B$3,daily_items,0)))</f>
        <v>#N/A</v>
      </c>
      <c r="V356" s="1" t="str">
        <f t="array" ref="V356">IF(ISBLANK(INDEX(big_daily_table,MATCH(DATE(V$5,$K356,$J356),daily_dates,0),MATCH($B$3,daily_items,0))),NA(),INDEX(big_daily_table,MATCH(DATE(V$5,$K356,$J356),daily_dates,0),MATCH($B$3,daily_items,0)))</f>
        <v>#N/A</v>
      </c>
      <c r="W356" s="1" t="str">
        <f t="array" ref="W356">IF(ISBLANK(INDEX(big_daily_table,MATCH(DATE(W$5,$K356,$J356),daily_dates,0),MATCH($B$3,daily_items,0))),NA(),INDEX(big_daily_table,MATCH(DATE(W$5,$K356,$J356),daily_dates,0),MATCH($B$3,daily_items,0)))</f>
        <v>#N/A</v>
      </c>
      <c r="X356" s="1" t="str">
        <f t="array" ref="X356">IF(ISBLANK(INDEX(big_daily_table,MATCH(DATE(X$5,$K356,$J356),daily_dates,0),MATCH($B$3,daily_items,0))),NA(),INDEX(big_daily_table,MATCH(DATE(X$5,$K356,$J356),daily_dates,0),MATCH($B$3,daily_items,0)))</f>
        <v>#N/A</v>
      </c>
      <c r="Y356" s="1" t="str">
        <f t="array" ref="Y356">IF(ISBLANK(INDEX(big_daily_table,MATCH(DATE(Y$5,$K356,$J356),daily_dates,0),MATCH($B$3,daily_items,0))),NA(),INDEX(big_daily_table,MATCH(DATE(Y$5,$K356,$J356),daily_dates,0),MATCH($B$3,daily_items,0)))</f>
        <v>#N/A</v>
      </c>
      <c r="Z356" s="1" t="str">
        <f t="array" ref="Z356">IF(ISBLANK(INDEX(big_daily_table,MATCH(DATE(Z$5,$K356,$J356),daily_dates,0),MATCH($B$3,daily_items,0))),NA(),INDEX(big_daily_table,MATCH(DATE(Z$5,$K356,$J356),daily_dates,0),MATCH($B$3,daily_items,0)))</f>
        <v>#N/A</v>
      </c>
      <c r="AA356" s="1" t="str">
        <f t="shared" si="5"/>
        <v>#NAME?</v>
      </c>
      <c r="AB356" s="1" t="str">
        <f t="shared" si="6"/>
        <v>#NAME?</v>
      </c>
      <c r="AC356" s="1" t="str">
        <f t="shared" si="7"/>
        <v>#NAME?</v>
      </c>
      <c r="AD356" s="1" t="str">
        <f t="shared" si="8"/>
        <v>#NAME?</v>
      </c>
    </row>
    <row r="357" ht="14.25" customHeight="1">
      <c r="H357" s="1">
        <f t="shared" si="9"/>
        <v>352</v>
      </c>
      <c r="I357" s="1">
        <f>WEEKDAY('daily graphs'!K357)</f>
        <v>1</v>
      </c>
      <c r="J357" s="1">
        <f t="shared" si="2"/>
        <v>16</v>
      </c>
      <c r="K357" s="1">
        <f t="shared" si="3"/>
        <v>12</v>
      </c>
      <c r="L357" s="23">
        <f>'daily graphs'!K357 - I357</f>
        <v>36876</v>
      </c>
      <c r="M357" s="24">
        <f t="shared" si="4"/>
        <v>1000000</v>
      </c>
      <c r="N357" s="24" t="str">
        <f t="array" ref="N357">IF(M357&gt;0,INDEX(big_daily_table,MATCH(DATE(O$5,$K357,$J357),daily_dates,0),MATCH($B$3,daily_items,0)),NA())</f>
        <v>#N/A</v>
      </c>
      <c r="O357" s="1" t="str">
        <f t="array" ref="O357">IF(M357&lt;0,INDEX(big_daily_table,MATCH(DATE(O$5,$K357,$J357),daily_dates,0),MATCH($B$3,daily_items,0)),NA())</f>
        <v>#N/A</v>
      </c>
      <c r="P357" s="1" t="str">
        <f t="array" ref="P357">IF(ISBLANK(INDEX(big_daily_table,MATCH(DATE(P$5,$K357,$J357),daily_dates,0),MATCH($B$3,daily_items,0))),NA(),INDEX(big_daily_table,MATCH(DATE(P$5,$K357,$J357),daily_dates,0),MATCH($B$3,daily_items,0)))</f>
        <v>#N/A</v>
      </c>
      <c r="Q357" s="1" t="str">
        <f t="array" ref="Q357">IF(ISBLANK(INDEX(big_daily_table,MATCH(DATE(Q$5,$K357,$J357),daily_dates,0),MATCH($B$3,daily_items,0))),NA(),INDEX(big_daily_table,MATCH(DATE(Q$5,$K357,$J357),daily_dates,0),MATCH($B$3,daily_items,0)))</f>
        <v>#N/A</v>
      </c>
      <c r="R357" s="1" t="str">
        <f t="array" ref="R357">IF(ISBLANK(INDEX(big_daily_table,MATCH(DATE(R$5,$K357,$J357),daily_dates,0),MATCH($B$3,daily_items,0))),NA(),INDEX(big_daily_table,MATCH(DATE(R$5,$K357,$J357),daily_dates,0),MATCH($B$3,daily_items,0)))</f>
        <v>#N/A</v>
      </c>
      <c r="S357" s="1" t="str">
        <f t="array" ref="S357">IF(ISBLANK(INDEX(big_daily_table,MATCH(DATE(S$5,$K357,$J357),daily_dates,0),MATCH($B$3,daily_items,0))),NA(),INDEX(big_daily_table,MATCH(DATE(S$5,$K357,$J357),daily_dates,0),MATCH($B$3,daily_items,0)))</f>
        <v>#N/A</v>
      </c>
      <c r="T357" s="1" t="str">
        <f t="array" ref="T357">IF(ISBLANK(INDEX(big_daily_table,MATCH(DATE(T$5,$K357,$J357),daily_dates,0),MATCH($B$3,daily_items,0))),NA(),INDEX(big_daily_table,MATCH(DATE(T$5,$K357,$J357),daily_dates,0),MATCH($B$3,daily_items,0)))</f>
        <v>#N/A</v>
      </c>
      <c r="U357" s="1" t="str">
        <f t="array" ref="U357">IF(ISBLANK(INDEX(big_daily_table,MATCH(DATE(U$5,$K357,$J357),daily_dates,0),MATCH($B$3,daily_items,0))),NA(),INDEX(big_daily_table,MATCH(DATE(U$5,$K357,$J357),daily_dates,0),MATCH($B$3,daily_items,0)))</f>
        <v>#N/A</v>
      </c>
      <c r="V357" s="1" t="str">
        <f t="array" ref="V357">IF(ISBLANK(INDEX(big_daily_table,MATCH(DATE(V$5,$K357,$J357),daily_dates,0),MATCH($B$3,daily_items,0))),NA(),INDEX(big_daily_table,MATCH(DATE(V$5,$K357,$J357),daily_dates,0),MATCH($B$3,daily_items,0)))</f>
        <v>#N/A</v>
      </c>
      <c r="W357" s="1" t="str">
        <f t="array" ref="W357">IF(ISBLANK(INDEX(big_daily_table,MATCH(DATE(W$5,$K357,$J357),daily_dates,0),MATCH($B$3,daily_items,0))),NA(),INDEX(big_daily_table,MATCH(DATE(W$5,$K357,$J357),daily_dates,0),MATCH($B$3,daily_items,0)))</f>
        <v>#N/A</v>
      </c>
      <c r="X357" s="1" t="str">
        <f t="array" ref="X357">IF(ISBLANK(INDEX(big_daily_table,MATCH(DATE(X$5,$K357,$J357),daily_dates,0),MATCH($B$3,daily_items,0))),NA(),INDEX(big_daily_table,MATCH(DATE(X$5,$K357,$J357),daily_dates,0),MATCH($B$3,daily_items,0)))</f>
        <v>#N/A</v>
      </c>
      <c r="Y357" s="1" t="str">
        <f t="array" ref="Y357">IF(ISBLANK(INDEX(big_daily_table,MATCH(DATE(Y$5,$K357,$J357),daily_dates,0),MATCH($B$3,daily_items,0))),NA(),INDEX(big_daily_table,MATCH(DATE(Y$5,$K357,$J357),daily_dates,0),MATCH($B$3,daily_items,0)))</f>
        <v>#N/A</v>
      </c>
      <c r="Z357" s="1" t="str">
        <f t="array" ref="Z357">IF(ISBLANK(INDEX(big_daily_table,MATCH(DATE(Z$5,$K357,$J357),daily_dates,0),MATCH($B$3,daily_items,0))),NA(),INDEX(big_daily_table,MATCH(DATE(Z$5,$K357,$J357),daily_dates,0),MATCH($B$3,daily_items,0)))</f>
        <v>#N/A</v>
      </c>
      <c r="AA357" s="1" t="str">
        <f t="shared" si="5"/>
        <v>#NAME?</v>
      </c>
      <c r="AB357" s="1" t="str">
        <f t="shared" si="6"/>
        <v>#NAME?</v>
      </c>
      <c r="AC357" s="1" t="str">
        <f t="shared" si="7"/>
        <v>#NAME?</v>
      </c>
      <c r="AD357" s="1" t="str">
        <f t="shared" si="8"/>
        <v>#NAME?</v>
      </c>
    </row>
    <row r="358" ht="14.25" customHeight="1">
      <c r="H358" s="1">
        <f t="shared" si="9"/>
        <v>353</v>
      </c>
      <c r="I358" s="1">
        <f>WEEKDAY('daily graphs'!K358)</f>
        <v>2</v>
      </c>
      <c r="J358" s="1">
        <f t="shared" si="2"/>
        <v>16</v>
      </c>
      <c r="K358" s="1">
        <f t="shared" si="3"/>
        <v>12</v>
      </c>
      <c r="L358" s="23">
        <f>'daily graphs'!K358 - I358</f>
        <v>36876</v>
      </c>
      <c r="M358" s="24">
        <f t="shared" si="4"/>
        <v>1000000</v>
      </c>
      <c r="N358" s="24" t="str">
        <f t="array" ref="N358">IF(M358&gt;0,INDEX(big_daily_table,MATCH(DATE(O$5,$K358,$J358),daily_dates,0),MATCH($B$3,daily_items,0)),NA())</f>
        <v>#N/A</v>
      </c>
      <c r="O358" s="1" t="str">
        <f t="array" ref="O358">IF(M358&lt;0,INDEX(big_daily_table,MATCH(DATE(O$5,$K358,$J358),daily_dates,0),MATCH($B$3,daily_items,0)),NA())</f>
        <v>#N/A</v>
      </c>
      <c r="P358" s="1" t="str">
        <f t="array" ref="P358">IF(ISBLANK(INDEX(big_daily_table,MATCH(DATE(P$5,$K358,$J358),daily_dates,0),MATCH($B$3,daily_items,0))),NA(),INDEX(big_daily_table,MATCH(DATE(P$5,$K358,$J358),daily_dates,0),MATCH($B$3,daily_items,0)))</f>
        <v>#N/A</v>
      </c>
      <c r="Q358" s="1" t="str">
        <f t="array" ref="Q358">IF(ISBLANK(INDEX(big_daily_table,MATCH(DATE(Q$5,$K358,$J358),daily_dates,0),MATCH($B$3,daily_items,0))),NA(),INDEX(big_daily_table,MATCH(DATE(Q$5,$K358,$J358),daily_dates,0),MATCH($B$3,daily_items,0)))</f>
        <v>#N/A</v>
      </c>
      <c r="R358" s="1" t="str">
        <f t="array" ref="R358">IF(ISBLANK(INDEX(big_daily_table,MATCH(DATE(R$5,$K358,$J358),daily_dates,0),MATCH($B$3,daily_items,0))),NA(),INDEX(big_daily_table,MATCH(DATE(R$5,$K358,$J358),daily_dates,0),MATCH($B$3,daily_items,0)))</f>
        <v>#N/A</v>
      </c>
      <c r="S358" s="1" t="str">
        <f t="array" ref="S358">IF(ISBLANK(INDEX(big_daily_table,MATCH(DATE(S$5,$K358,$J358),daily_dates,0),MATCH($B$3,daily_items,0))),NA(),INDEX(big_daily_table,MATCH(DATE(S$5,$K358,$J358),daily_dates,0),MATCH($B$3,daily_items,0)))</f>
        <v>#N/A</v>
      </c>
      <c r="T358" s="1" t="str">
        <f t="array" ref="T358">IF(ISBLANK(INDEX(big_daily_table,MATCH(DATE(T$5,$K358,$J358),daily_dates,0),MATCH($B$3,daily_items,0))),NA(),INDEX(big_daily_table,MATCH(DATE(T$5,$K358,$J358),daily_dates,0),MATCH($B$3,daily_items,0)))</f>
        <v>#N/A</v>
      </c>
      <c r="U358" s="1" t="str">
        <f t="array" ref="U358">IF(ISBLANK(INDEX(big_daily_table,MATCH(DATE(U$5,$K358,$J358),daily_dates,0),MATCH($B$3,daily_items,0))),NA(),INDEX(big_daily_table,MATCH(DATE(U$5,$K358,$J358),daily_dates,0),MATCH($B$3,daily_items,0)))</f>
        <v>#N/A</v>
      </c>
      <c r="V358" s="1" t="str">
        <f t="array" ref="V358">IF(ISBLANK(INDEX(big_daily_table,MATCH(DATE(V$5,$K358,$J358),daily_dates,0),MATCH($B$3,daily_items,0))),NA(),INDEX(big_daily_table,MATCH(DATE(V$5,$K358,$J358),daily_dates,0),MATCH($B$3,daily_items,0)))</f>
        <v>#N/A</v>
      </c>
      <c r="W358" s="1" t="str">
        <f t="array" ref="W358">IF(ISBLANK(INDEX(big_daily_table,MATCH(DATE(W$5,$K358,$J358),daily_dates,0),MATCH($B$3,daily_items,0))),NA(),INDEX(big_daily_table,MATCH(DATE(W$5,$K358,$J358),daily_dates,0),MATCH($B$3,daily_items,0)))</f>
        <v>#N/A</v>
      </c>
      <c r="X358" s="1" t="str">
        <f t="array" ref="X358">IF(ISBLANK(INDEX(big_daily_table,MATCH(DATE(X$5,$K358,$J358),daily_dates,0),MATCH($B$3,daily_items,0))),NA(),INDEX(big_daily_table,MATCH(DATE(X$5,$K358,$J358),daily_dates,0),MATCH($B$3,daily_items,0)))</f>
        <v>#N/A</v>
      </c>
      <c r="Y358" s="1" t="str">
        <f t="array" ref="Y358">IF(ISBLANK(INDEX(big_daily_table,MATCH(DATE(Y$5,$K358,$J358),daily_dates,0),MATCH($B$3,daily_items,0))),NA(),INDEX(big_daily_table,MATCH(DATE(Y$5,$K358,$J358),daily_dates,0),MATCH($B$3,daily_items,0)))</f>
        <v>#N/A</v>
      </c>
      <c r="Z358" s="1" t="str">
        <f t="array" ref="Z358">IF(ISBLANK(INDEX(big_daily_table,MATCH(DATE(Z$5,$K358,$J358),daily_dates,0),MATCH($B$3,daily_items,0))),NA(),INDEX(big_daily_table,MATCH(DATE(Z$5,$K358,$J358),daily_dates,0),MATCH($B$3,daily_items,0)))</f>
        <v>#N/A</v>
      </c>
      <c r="AA358" s="1" t="str">
        <f t="shared" si="5"/>
        <v>#NAME?</v>
      </c>
      <c r="AB358" s="1" t="str">
        <f t="shared" si="6"/>
        <v>#NAME?</v>
      </c>
      <c r="AC358" s="1" t="str">
        <f t="shared" si="7"/>
        <v>#NAME?</v>
      </c>
      <c r="AD358" s="1" t="str">
        <f t="shared" si="8"/>
        <v>#NAME?</v>
      </c>
    </row>
    <row r="359" ht="14.25" customHeight="1">
      <c r="H359" s="1">
        <f t="shared" si="9"/>
        <v>354</v>
      </c>
      <c r="I359" s="1">
        <f>WEEKDAY('daily graphs'!K359)</f>
        <v>3</v>
      </c>
      <c r="J359" s="1">
        <f t="shared" si="2"/>
        <v>16</v>
      </c>
      <c r="K359" s="1">
        <f t="shared" si="3"/>
        <v>12</v>
      </c>
      <c r="L359" s="23">
        <f>'daily graphs'!K359 - I359</f>
        <v>36876</v>
      </c>
      <c r="M359" s="24">
        <f t="shared" si="4"/>
        <v>1000000</v>
      </c>
      <c r="N359" s="24" t="str">
        <f t="array" ref="N359">IF(M359&gt;0,INDEX(big_daily_table,MATCH(DATE(O$5,$K359,$J359),daily_dates,0),MATCH($B$3,daily_items,0)),NA())</f>
        <v>#N/A</v>
      </c>
      <c r="O359" s="1" t="str">
        <f t="array" ref="O359">IF(M359&lt;0,INDEX(big_daily_table,MATCH(DATE(O$5,$K359,$J359),daily_dates,0),MATCH($B$3,daily_items,0)),NA())</f>
        <v>#N/A</v>
      </c>
      <c r="P359" s="1" t="str">
        <f t="array" ref="P359">IF(ISBLANK(INDEX(big_daily_table,MATCH(DATE(P$5,$K359,$J359),daily_dates,0),MATCH($B$3,daily_items,0))),NA(),INDEX(big_daily_table,MATCH(DATE(P$5,$K359,$J359),daily_dates,0),MATCH($B$3,daily_items,0)))</f>
        <v>#N/A</v>
      </c>
      <c r="Q359" s="1" t="str">
        <f t="array" ref="Q359">IF(ISBLANK(INDEX(big_daily_table,MATCH(DATE(Q$5,$K359,$J359),daily_dates,0),MATCH($B$3,daily_items,0))),NA(),INDEX(big_daily_table,MATCH(DATE(Q$5,$K359,$J359),daily_dates,0),MATCH($B$3,daily_items,0)))</f>
        <v>#N/A</v>
      </c>
      <c r="R359" s="1" t="str">
        <f t="array" ref="R359">IF(ISBLANK(INDEX(big_daily_table,MATCH(DATE(R$5,$K359,$J359),daily_dates,0),MATCH($B$3,daily_items,0))),NA(),INDEX(big_daily_table,MATCH(DATE(R$5,$K359,$J359),daily_dates,0),MATCH($B$3,daily_items,0)))</f>
        <v>#N/A</v>
      </c>
      <c r="S359" s="1" t="str">
        <f t="array" ref="S359">IF(ISBLANK(INDEX(big_daily_table,MATCH(DATE(S$5,$K359,$J359),daily_dates,0),MATCH($B$3,daily_items,0))),NA(),INDEX(big_daily_table,MATCH(DATE(S$5,$K359,$J359),daily_dates,0),MATCH($B$3,daily_items,0)))</f>
        <v>#N/A</v>
      </c>
      <c r="T359" s="1" t="str">
        <f t="array" ref="T359">IF(ISBLANK(INDEX(big_daily_table,MATCH(DATE(T$5,$K359,$J359),daily_dates,0),MATCH($B$3,daily_items,0))),NA(),INDEX(big_daily_table,MATCH(DATE(T$5,$K359,$J359),daily_dates,0),MATCH($B$3,daily_items,0)))</f>
        <v>#N/A</v>
      </c>
      <c r="U359" s="1" t="str">
        <f t="array" ref="U359">IF(ISBLANK(INDEX(big_daily_table,MATCH(DATE(U$5,$K359,$J359),daily_dates,0),MATCH($B$3,daily_items,0))),NA(),INDEX(big_daily_table,MATCH(DATE(U$5,$K359,$J359),daily_dates,0),MATCH($B$3,daily_items,0)))</f>
        <v>#N/A</v>
      </c>
      <c r="V359" s="1" t="str">
        <f t="array" ref="V359">IF(ISBLANK(INDEX(big_daily_table,MATCH(DATE(V$5,$K359,$J359),daily_dates,0),MATCH($B$3,daily_items,0))),NA(),INDEX(big_daily_table,MATCH(DATE(V$5,$K359,$J359),daily_dates,0),MATCH($B$3,daily_items,0)))</f>
        <v>#N/A</v>
      </c>
      <c r="W359" s="1" t="str">
        <f t="array" ref="W359">IF(ISBLANK(INDEX(big_daily_table,MATCH(DATE(W$5,$K359,$J359),daily_dates,0),MATCH($B$3,daily_items,0))),NA(),INDEX(big_daily_table,MATCH(DATE(W$5,$K359,$J359),daily_dates,0),MATCH($B$3,daily_items,0)))</f>
        <v>#N/A</v>
      </c>
      <c r="X359" s="1" t="str">
        <f t="array" ref="X359">IF(ISBLANK(INDEX(big_daily_table,MATCH(DATE(X$5,$K359,$J359),daily_dates,0),MATCH($B$3,daily_items,0))),NA(),INDEX(big_daily_table,MATCH(DATE(X$5,$K359,$J359),daily_dates,0),MATCH($B$3,daily_items,0)))</f>
        <v>#N/A</v>
      </c>
      <c r="Y359" s="1" t="str">
        <f t="array" ref="Y359">IF(ISBLANK(INDEX(big_daily_table,MATCH(DATE(Y$5,$K359,$J359),daily_dates,0),MATCH($B$3,daily_items,0))),NA(),INDEX(big_daily_table,MATCH(DATE(Y$5,$K359,$J359),daily_dates,0),MATCH($B$3,daily_items,0)))</f>
        <v>#N/A</v>
      </c>
      <c r="Z359" s="1" t="str">
        <f t="array" ref="Z359">IF(ISBLANK(INDEX(big_daily_table,MATCH(DATE(Z$5,$K359,$J359),daily_dates,0),MATCH($B$3,daily_items,0))),NA(),INDEX(big_daily_table,MATCH(DATE(Z$5,$K359,$J359),daily_dates,0),MATCH($B$3,daily_items,0)))</f>
        <v>#N/A</v>
      </c>
      <c r="AA359" s="1" t="str">
        <f t="shared" si="5"/>
        <v>#NAME?</v>
      </c>
      <c r="AB359" s="1" t="str">
        <f t="shared" si="6"/>
        <v>#NAME?</v>
      </c>
      <c r="AC359" s="1" t="str">
        <f t="shared" si="7"/>
        <v>#NAME?</v>
      </c>
      <c r="AD359" s="1" t="str">
        <f t="shared" si="8"/>
        <v>#NAME?</v>
      </c>
    </row>
    <row r="360" ht="14.25" customHeight="1">
      <c r="H360" s="1">
        <f t="shared" si="9"/>
        <v>355</v>
      </c>
      <c r="I360" s="1">
        <f>WEEKDAY('daily graphs'!K360)</f>
        <v>4</v>
      </c>
      <c r="J360" s="1">
        <f t="shared" si="2"/>
        <v>16</v>
      </c>
      <c r="K360" s="1">
        <f t="shared" si="3"/>
        <v>12</v>
      </c>
      <c r="L360" s="23">
        <f>'daily graphs'!K360 - I360</f>
        <v>36876</v>
      </c>
      <c r="M360" s="24">
        <f t="shared" si="4"/>
        <v>1000000</v>
      </c>
      <c r="N360" s="24" t="str">
        <f t="array" ref="N360">IF(M360&gt;0,INDEX(big_daily_table,MATCH(DATE(O$5,$K360,$J360),daily_dates,0),MATCH($B$3,daily_items,0)),NA())</f>
        <v>#N/A</v>
      </c>
      <c r="O360" s="1" t="str">
        <f t="array" ref="O360">IF(M360&lt;0,INDEX(big_daily_table,MATCH(DATE(O$5,$K360,$J360),daily_dates,0),MATCH($B$3,daily_items,0)),NA())</f>
        <v>#N/A</v>
      </c>
      <c r="P360" s="1" t="str">
        <f t="array" ref="P360">IF(ISBLANK(INDEX(big_daily_table,MATCH(DATE(P$5,$K360,$J360),daily_dates,0),MATCH($B$3,daily_items,0))),NA(),INDEX(big_daily_table,MATCH(DATE(P$5,$K360,$J360),daily_dates,0),MATCH($B$3,daily_items,0)))</f>
        <v>#N/A</v>
      </c>
      <c r="Q360" s="1" t="str">
        <f t="array" ref="Q360">IF(ISBLANK(INDEX(big_daily_table,MATCH(DATE(Q$5,$K360,$J360),daily_dates,0),MATCH($B$3,daily_items,0))),NA(),INDEX(big_daily_table,MATCH(DATE(Q$5,$K360,$J360),daily_dates,0),MATCH($B$3,daily_items,0)))</f>
        <v>#N/A</v>
      </c>
      <c r="R360" s="1" t="str">
        <f t="array" ref="R360">IF(ISBLANK(INDEX(big_daily_table,MATCH(DATE(R$5,$K360,$J360),daily_dates,0),MATCH($B$3,daily_items,0))),NA(),INDEX(big_daily_table,MATCH(DATE(R$5,$K360,$J360),daily_dates,0),MATCH($B$3,daily_items,0)))</f>
        <v>#N/A</v>
      </c>
      <c r="S360" s="1" t="str">
        <f t="array" ref="S360">IF(ISBLANK(INDEX(big_daily_table,MATCH(DATE(S$5,$K360,$J360),daily_dates,0),MATCH($B$3,daily_items,0))),NA(),INDEX(big_daily_table,MATCH(DATE(S$5,$K360,$J360),daily_dates,0),MATCH($B$3,daily_items,0)))</f>
        <v>#N/A</v>
      </c>
      <c r="T360" s="1" t="str">
        <f t="array" ref="T360">IF(ISBLANK(INDEX(big_daily_table,MATCH(DATE(T$5,$K360,$J360),daily_dates,0),MATCH($B$3,daily_items,0))),NA(),INDEX(big_daily_table,MATCH(DATE(T$5,$K360,$J360),daily_dates,0),MATCH($B$3,daily_items,0)))</f>
        <v>#N/A</v>
      </c>
      <c r="U360" s="1" t="str">
        <f t="array" ref="U360">IF(ISBLANK(INDEX(big_daily_table,MATCH(DATE(U$5,$K360,$J360),daily_dates,0),MATCH($B$3,daily_items,0))),NA(),INDEX(big_daily_table,MATCH(DATE(U$5,$K360,$J360),daily_dates,0),MATCH($B$3,daily_items,0)))</f>
        <v>#N/A</v>
      </c>
      <c r="V360" s="1" t="str">
        <f t="array" ref="V360">IF(ISBLANK(INDEX(big_daily_table,MATCH(DATE(V$5,$K360,$J360),daily_dates,0),MATCH($B$3,daily_items,0))),NA(),INDEX(big_daily_table,MATCH(DATE(V$5,$K360,$J360),daily_dates,0),MATCH($B$3,daily_items,0)))</f>
        <v>#N/A</v>
      </c>
      <c r="W360" s="1" t="str">
        <f t="array" ref="W360">IF(ISBLANK(INDEX(big_daily_table,MATCH(DATE(W$5,$K360,$J360),daily_dates,0),MATCH($B$3,daily_items,0))),NA(),INDEX(big_daily_table,MATCH(DATE(W$5,$K360,$J360),daily_dates,0),MATCH($B$3,daily_items,0)))</f>
        <v>#N/A</v>
      </c>
      <c r="X360" s="1" t="str">
        <f t="array" ref="X360">IF(ISBLANK(INDEX(big_daily_table,MATCH(DATE(X$5,$K360,$J360),daily_dates,0),MATCH($B$3,daily_items,0))),NA(),INDEX(big_daily_table,MATCH(DATE(X$5,$K360,$J360),daily_dates,0),MATCH($B$3,daily_items,0)))</f>
        <v>#N/A</v>
      </c>
      <c r="Y360" s="1" t="str">
        <f t="array" ref="Y360">IF(ISBLANK(INDEX(big_daily_table,MATCH(DATE(Y$5,$K360,$J360),daily_dates,0),MATCH($B$3,daily_items,0))),NA(),INDEX(big_daily_table,MATCH(DATE(Y$5,$K360,$J360),daily_dates,0),MATCH($B$3,daily_items,0)))</f>
        <v>#N/A</v>
      </c>
      <c r="Z360" s="1" t="str">
        <f t="array" ref="Z360">IF(ISBLANK(INDEX(big_daily_table,MATCH(DATE(Z$5,$K360,$J360),daily_dates,0),MATCH($B$3,daily_items,0))),NA(),INDEX(big_daily_table,MATCH(DATE(Z$5,$K360,$J360),daily_dates,0),MATCH($B$3,daily_items,0)))</f>
        <v>#N/A</v>
      </c>
      <c r="AA360" s="1" t="str">
        <f t="shared" si="5"/>
        <v>#NAME?</v>
      </c>
      <c r="AB360" s="1" t="str">
        <f t="shared" si="6"/>
        <v>#NAME?</v>
      </c>
      <c r="AC360" s="1" t="str">
        <f t="shared" si="7"/>
        <v>#NAME?</v>
      </c>
      <c r="AD360" s="1" t="str">
        <f t="shared" si="8"/>
        <v>#NAME?</v>
      </c>
    </row>
    <row r="361" ht="14.25" customHeight="1">
      <c r="H361" s="1">
        <f t="shared" si="9"/>
        <v>356</v>
      </c>
      <c r="I361" s="1">
        <f>WEEKDAY('daily graphs'!K361)</f>
        <v>5</v>
      </c>
      <c r="J361" s="1">
        <f t="shared" si="2"/>
        <v>16</v>
      </c>
      <c r="K361" s="1">
        <f t="shared" si="3"/>
        <v>12</v>
      </c>
      <c r="L361" s="23">
        <f>'daily graphs'!K361 - I361</f>
        <v>36876</v>
      </c>
      <c r="M361" s="24">
        <f t="shared" si="4"/>
        <v>1000000</v>
      </c>
      <c r="N361" s="24" t="str">
        <f t="array" ref="N361">IF(M361&gt;0,INDEX(big_daily_table,MATCH(DATE(O$5,$K361,$J361),daily_dates,0),MATCH($B$3,daily_items,0)),NA())</f>
        <v>#N/A</v>
      </c>
      <c r="O361" s="1" t="str">
        <f t="array" ref="O361">IF(M361&lt;0,INDEX(big_daily_table,MATCH(DATE(O$5,$K361,$J361),daily_dates,0),MATCH($B$3,daily_items,0)),NA())</f>
        <v>#N/A</v>
      </c>
      <c r="P361" s="1" t="str">
        <f t="array" ref="P361">IF(ISBLANK(INDEX(big_daily_table,MATCH(DATE(P$5,$K361,$J361),daily_dates,0),MATCH($B$3,daily_items,0))),NA(),INDEX(big_daily_table,MATCH(DATE(P$5,$K361,$J361),daily_dates,0),MATCH($B$3,daily_items,0)))</f>
        <v>#N/A</v>
      </c>
      <c r="Q361" s="1" t="str">
        <f t="array" ref="Q361">IF(ISBLANK(INDEX(big_daily_table,MATCH(DATE(Q$5,$K361,$J361),daily_dates,0),MATCH($B$3,daily_items,0))),NA(),INDEX(big_daily_table,MATCH(DATE(Q$5,$K361,$J361),daily_dates,0),MATCH($B$3,daily_items,0)))</f>
        <v>#N/A</v>
      </c>
      <c r="R361" s="1" t="str">
        <f t="array" ref="R361">IF(ISBLANK(INDEX(big_daily_table,MATCH(DATE(R$5,$K361,$J361),daily_dates,0),MATCH($B$3,daily_items,0))),NA(),INDEX(big_daily_table,MATCH(DATE(R$5,$K361,$J361),daily_dates,0),MATCH($B$3,daily_items,0)))</f>
        <v>#N/A</v>
      </c>
      <c r="S361" s="1" t="str">
        <f t="array" ref="S361">IF(ISBLANK(INDEX(big_daily_table,MATCH(DATE(S$5,$K361,$J361),daily_dates,0),MATCH($B$3,daily_items,0))),NA(),INDEX(big_daily_table,MATCH(DATE(S$5,$K361,$J361),daily_dates,0),MATCH($B$3,daily_items,0)))</f>
        <v>#N/A</v>
      </c>
      <c r="T361" s="1" t="str">
        <f t="array" ref="T361">IF(ISBLANK(INDEX(big_daily_table,MATCH(DATE(T$5,$K361,$J361),daily_dates,0),MATCH($B$3,daily_items,0))),NA(),INDEX(big_daily_table,MATCH(DATE(T$5,$K361,$J361),daily_dates,0),MATCH($B$3,daily_items,0)))</f>
        <v>#N/A</v>
      </c>
      <c r="U361" s="1" t="str">
        <f t="array" ref="U361">IF(ISBLANK(INDEX(big_daily_table,MATCH(DATE(U$5,$K361,$J361),daily_dates,0),MATCH($B$3,daily_items,0))),NA(),INDEX(big_daily_table,MATCH(DATE(U$5,$K361,$J361),daily_dates,0),MATCH($B$3,daily_items,0)))</f>
        <v>#N/A</v>
      </c>
      <c r="V361" s="1" t="str">
        <f t="array" ref="V361">IF(ISBLANK(INDEX(big_daily_table,MATCH(DATE(V$5,$K361,$J361),daily_dates,0),MATCH($B$3,daily_items,0))),NA(),INDEX(big_daily_table,MATCH(DATE(V$5,$K361,$J361),daily_dates,0),MATCH($B$3,daily_items,0)))</f>
        <v>#N/A</v>
      </c>
      <c r="W361" s="1" t="str">
        <f t="array" ref="W361">IF(ISBLANK(INDEX(big_daily_table,MATCH(DATE(W$5,$K361,$J361),daily_dates,0),MATCH($B$3,daily_items,0))),NA(),INDEX(big_daily_table,MATCH(DATE(W$5,$K361,$J361),daily_dates,0),MATCH($B$3,daily_items,0)))</f>
        <v>#N/A</v>
      </c>
      <c r="X361" s="1" t="str">
        <f t="array" ref="X361">IF(ISBLANK(INDEX(big_daily_table,MATCH(DATE(X$5,$K361,$J361),daily_dates,0),MATCH($B$3,daily_items,0))),NA(),INDEX(big_daily_table,MATCH(DATE(X$5,$K361,$J361),daily_dates,0),MATCH($B$3,daily_items,0)))</f>
        <v>#N/A</v>
      </c>
      <c r="Y361" s="1" t="str">
        <f t="array" ref="Y361">IF(ISBLANK(INDEX(big_daily_table,MATCH(DATE(Y$5,$K361,$J361),daily_dates,0),MATCH($B$3,daily_items,0))),NA(),INDEX(big_daily_table,MATCH(DATE(Y$5,$K361,$J361),daily_dates,0),MATCH($B$3,daily_items,0)))</f>
        <v>#N/A</v>
      </c>
      <c r="Z361" s="1" t="str">
        <f t="array" ref="Z361">IF(ISBLANK(INDEX(big_daily_table,MATCH(DATE(Z$5,$K361,$J361),daily_dates,0),MATCH($B$3,daily_items,0))),NA(),INDEX(big_daily_table,MATCH(DATE(Z$5,$K361,$J361),daily_dates,0),MATCH($B$3,daily_items,0)))</f>
        <v>#N/A</v>
      </c>
      <c r="AA361" s="1" t="str">
        <f t="shared" si="5"/>
        <v>#NAME?</v>
      </c>
      <c r="AB361" s="1" t="str">
        <f t="shared" si="6"/>
        <v>#NAME?</v>
      </c>
      <c r="AC361" s="1" t="str">
        <f t="shared" si="7"/>
        <v>#NAME?</v>
      </c>
      <c r="AD361" s="1" t="str">
        <f t="shared" si="8"/>
        <v>#NAME?</v>
      </c>
    </row>
    <row r="362" ht="14.25" customHeight="1">
      <c r="H362" s="1">
        <f t="shared" si="9"/>
        <v>357</v>
      </c>
      <c r="I362" s="1">
        <f>WEEKDAY('daily graphs'!K362)</f>
        <v>6</v>
      </c>
      <c r="J362" s="1">
        <f t="shared" si="2"/>
        <v>16</v>
      </c>
      <c r="K362" s="1">
        <f t="shared" si="3"/>
        <v>12</v>
      </c>
      <c r="L362" s="23">
        <f>'daily graphs'!K362 - I362</f>
        <v>36876</v>
      </c>
      <c r="M362" s="24">
        <f t="shared" si="4"/>
        <v>1000000</v>
      </c>
      <c r="N362" s="24" t="str">
        <f t="array" ref="N362">IF(M362&gt;0,INDEX(big_daily_table,MATCH(DATE(O$5,$K362,$J362),daily_dates,0),MATCH($B$3,daily_items,0)),NA())</f>
        <v>#N/A</v>
      </c>
      <c r="O362" s="1" t="str">
        <f t="array" ref="O362">IF(M362&lt;0,INDEX(big_daily_table,MATCH(DATE(O$5,$K362,$J362),daily_dates,0),MATCH($B$3,daily_items,0)),NA())</f>
        <v>#N/A</v>
      </c>
      <c r="P362" s="1" t="str">
        <f t="array" ref="P362">IF(ISBLANK(INDEX(big_daily_table,MATCH(DATE(P$5,$K362,$J362),daily_dates,0),MATCH($B$3,daily_items,0))),NA(),INDEX(big_daily_table,MATCH(DATE(P$5,$K362,$J362),daily_dates,0),MATCH($B$3,daily_items,0)))</f>
        <v>#N/A</v>
      </c>
      <c r="Q362" s="1" t="str">
        <f t="array" ref="Q362">IF(ISBLANK(INDEX(big_daily_table,MATCH(DATE(Q$5,$K362,$J362),daily_dates,0),MATCH($B$3,daily_items,0))),NA(),INDEX(big_daily_table,MATCH(DATE(Q$5,$K362,$J362),daily_dates,0),MATCH($B$3,daily_items,0)))</f>
        <v>#N/A</v>
      </c>
      <c r="R362" s="1" t="str">
        <f t="array" ref="R362">IF(ISBLANK(INDEX(big_daily_table,MATCH(DATE(R$5,$K362,$J362),daily_dates,0),MATCH($B$3,daily_items,0))),NA(),INDEX(big_daily_table,MATCH(DATE(R$5,$K362,$J362),daily_dates,0),MATCH($B$3,daily_items,0)))</f>
        <v>#N/A</v>
      </c>
      <c r="S362" s="1" t="str">
        <f t="array" ref="S362">IF(ISBLANK(INDEX(big_daily_table,MATCH(DATE(S$5,$K362,$J362),daily_dates,0),MATCH($B$3,daily_items,0))),NA(),INDEX(big_daily_table,MATCH(DATE(S$5,$K362,$J362),daily_dates,0),MATCH($B$3,daily_items,0)))</f>
        <v>#N/A</v>
      </c>
      <c r="T362" s="1" t="str">
        <f t="array" ref="T362">IF(ISBLANK(INDEX(big_daily_table,MATCH(DATE(T$5,$K362,$J362),daily_dates,0),MATCH($B$3,daily_items,0))),NA(),INDEX(big_daily_table,MATCH(DATE(T$5,$K362,$J362),daily_dates,0),MATCH($B$3,daily_items,0)))</f>
        <v>#N/A</v>
      </c>
      <c r="U362" s="1" t="str">
        <f t="array" ref="U362">IF(ISBLANK(INDEX(big_daily_table,MATCH(DATE(U$5,$K362,$J362),daily_dates,0),MATCH($B$3,daily_items,0))),NA(),INDEX(big_daily_table,MATCH(DATE(U$5,$K362,$J362),daily_dates,0),MATCH($B$3,daily_items,0)))</f>
        <v>#N/A</v>
      </c>
      <c r="V362" s="1" t="str">
        <f t="array" ref="V362">IF(ISBLANK(INDEX(big_daily_table,MATCH(DATE(V$5,$K362,$J362),daily_dates,0),MATCH($B$3,daily_items,0))),NA(),INDEX(big_daily_table,MATCH(DATE(V$5,$K362,$J362),daily_dates,0),MATCH($B$3,daily_items,0)))</f>
        <v>#N/A</v>
      </c>
      <c r="W362" s="1" t="str">
        <f t="array" ref="W362">IF(ISBLANK(INDEX(big_daily_table,MATCH(DATE(W$5,$K362,$J362),daily_dates,0),MATCH($B$3,daily_items,0))),NA(),INDEX(big_daily_table,MATCH(DATE(W$5,$K362,$J362),daily_dates,0),MATCH($B$3,daily_items,0)))</f>
        <v>#N/A</v>
      </c>
      <c r="X362" s="1" t="str">
        <f t="array" ref="X362">IF(ISBLANK(INDEX(big_daily_table,MATCH(DATE(X$5,$K362,$J362),daily_dates,0),MATCH($B$3,daily_items,0))),NA(),INDEX(big_daily_table,MATCH(DATE(X$5,$K362,$J362),daily_dates,0),MATCH($B$3,daily_items,0)))</f>
        <v>#N/A</v>
      </c>
      <c r="Y362" s="1" t="str">
        <f t="array" ref="Y362">IF(ISBLANK(INDEX(big_daily_table,MATCH(DATE(Y$5,$K362,$J362),daily_dates,0),MATCH($B$3,daily_items,0))),NA(),INDEX(big_daily_table,MATCH(DATE(Y$5,$K362,$J362),daily_dates,0),MATCH($B$3,daily_items,0)))</f>
        <v>#N/A</v>
      </c>
      <c r="Z362" s="1" t="str">
        <f t="array" ref="Z362">IF(ISBLANK(INDEX(big_daily_table,MATCH(DATE(Z$5,$K362,$J362),daily_dates,0),MATCH($B$3,daily_items,0))),NA(),INDEX(big_daily_table,MATCH(DATE(Z$5,$K362,$J362),daily_dates,0),MATCH($B$3,daily_items,0)))</f>
        <v>#N/A</v>
      </c>
      <c r="AA362" s="1" t="str">
        <f t="shared" si="5"/>
        <v>#NAME?</v>
      </c>
      <c r="AB362" s="1" t="str">
        <f t="shared" si="6"/>
        <v>#NAME?</v>
      </c>
      <c r="AC362" s="1" t="str">
        <f t="shared" si="7"/>
        <v>#NAME?</v>
      </c>
      <c r="AD362" s="1" t="str">
        <f t="shared" si="8"/>
        <v>#NAME?</v>
      </c>
    </row>
    <row r="363" ht="14.25" customHeight="1">
      <c r="H363" s="1">
        <f t="shared" si="9"/>
        <v>358</v>
      </c>
      <c r="I363" s="1">
        <f>WEEKDAY('daily graphs'!K363)</f>
        <v>7</v>
      </c>
      <c r="J363" s="1">
        <f t="shared" si="2"/>
        <v>16</v>
      </c>
      <c r="K363" s="1">
        <f t="shared" si="3"/>
        <v>12</v>
      </c>
      <c r="L363" s="23">
        <f>'daily graphs'!K363 - I363</f>
        <v>36876</v>
      </c>
      <c r="M363" s="24">
        <f t="shared" si="4"/>
        <v>1000000</v>
      </c>
      <c r="N363" s="24" t="str">
        <f t="array" ref="N363">IF(M363&gt;0,INDEX(big_daily_table,MATCH(DATE(O$5,$K363,$J363),daily_dates,0),MATCH($B$3,daily_items,0)),NA())</f>
        <v>#N/A</v>
      </c>
      <c r="O363" s="1" t="str">
        <f t="array" ref="O363">IF(M363&lt;0,INDEX(big_daily_table,MATCH(DATE(O$5,$K363,$J363),daily_dates,0),MATCH($B$3,daily_items,0)),NA())</f>
        <v>#N/A</v>
      </c>
      <c r="P363" s="1" t="str">
        <f t="array" ref="P363">IF(ISBLANK(INDEX(big_daily_table,MATCH(DATE(P$5,$K363,$J363),daily_dates,0),MATCH($B$3,daily_items,0))),NA(),INDEX(big_daily_table,MATCH(DATE(P$5,$K363,$J363),daily_dates,0),MATCH($B$3,daily_items,0)))</f>
        <v>#N/A</v>
      </c>
      <c r="Q363" s="1" t="str">
        <f t="array" ref="Q363">IF(ISBLANK(INDEX(big_daily_table,MATCH(DATE(Q$5,$K363,$J363),daily_dates,0),MATCH($B$3,daily_items,0))),NA(),INDEX(big_daily_table,MATCH(DATE(Q$5,$K363,$J363),daily_dates,0),MATCH($B$3,daily_items,0)))</f>
        <v>#N/A</v>
      </c>
      <c r="R363" s="1" t="str">
        <f t="array" ref="R363">IF(ISBLANK(INDEX(big_daily_table,MATCH(DATE(R$5,$K363,$J363),daily_dates,0),MATCH($B$3,daily_items,0))),NA(),INDEX(big_daily_table,MATCH(DATE(R$5,$K363,$J363),daily_dates,0),MATCH($B$3,daily_items,0)))</f>
        <v>#N/A</v>
      </c>
      <c r="S363" s="1" t="str">
        <f t="array" ref="S363">IF(ISBLANK(INDEX(big_daily_table,MATCH(DATE(S$5,$K363,$J363),daily_dates,0),MATCH($B$3,daily_items,0))),NA(),INDEX(big_daily_table,MATCH(DATE(S$5,$K363,$J363),daily_dates,0),MATCH($B$3,daily_items,0)))</f>
        <v>#N/A</v>
      </c>
      <c r="T363" s="1" t="str">
        <f t="array" ref="T363">IF(ISBLANK(INDEX(big_daily_table,MATCH(DATE(T$5,$K363,$J363),daily_dates,0),MATCH($B$3,daily_items,0))),NA(),INDEX(big_daily_table,MATCH(DATE(T$5,$K363,$J363),daily_dates,0),MATCH($B$3,daily_items,0)))</f>
        <v>#N/A</v>
      </c>
      <c r="U363" s="1" t="str">
        <f t="array" ref="U363">IF(ISBLANK(INDEX(big_daily_table,MATCH(DATE(U$5,$K363,$J363),daily_dates,0),MATCH($B$3,daily_items,0))),NA(),INDEX(big_daily_table,MATCH(DATE(U$5,$K363,$J363),daily_dates,0),MATCH($B$3,daily_items,0)))</f>
        <v>#N/A</v>
      </c>
      <c r="V363" s="1" t="str">
        <f t="array" ref="V363">IF(ISBLANK(INDEX(big_daily_table,MATCH(DATE(V$5,$K363,$J363),daily_dates,0),MATCH($B$3,daily_items,0))),NA(),INDEX(big_daily_table,MATCH(DATE(V$5,$K363,$J363),daily_dates,0),MATCH($B$3,daily_items,0)))</f>
        <v>#N/A</v>
      </c>
      <c r="W363" s="1" t="str">
        <f t="array" ref="W363">IF(ISBLANK(INDEX(big_daily_table,MATCH(DATE(W$5,$K363,$J363),daily_dates,0),MATCH($B$3,daily_items,0))),NA(),INDEX(big_daily_table,MATCH(DATE(W$5,$K363,$J363),daily_dates,0),MATCH($B$3,daily_items,0)))</f>
        <v>#N/A</v>
      </c>
      <c r="X363" s="1" t="str">
        <f t="array" ref="X363">IF(ISBLANK(INDEX(big_daily_table,MATCH(DATE(X$5,$K363,$J363),daily_dates,0),MATCH($B$3,daily_items,0))),NA(),INDEX(big_daily_table,MATCH(DATE(X$5,$K363,$J363),daily_dates,0),MATCH($B$3,daily_items,0)))</f>
        <v>#N/A</v>
      </c>
      <c r="Y363" s="1" t="str">
        <f t="array" ref="Y363">IF(ISBLANK(INDEX(big_daily_table,MATCH(DATE(Y$5,$K363,$J363),daily_dates,0),MATCH($B$3,daily_items,0))),NA(),INDEX(big_daily_table,MATCH(DATE(Y$5,$K363,$J363),daily_dates,0),MATCH($B$3,daily_items,0)))</f>
        <v>#N/A</v>
      </c>
      <c r="Z363" s="1" t="str">
        <f t="array" ref="Z363">IF(ISBLANK(INDEX(big_daily_table,MATCH(DATE(Z$5,$K363,$J363),daily_dates,0),MATCH($B$3,daily_items,0))),NA(),INDEX(big_daily_table,MATCH(DATE(Z$5,$K363,$J363),daily_dates,0),MATCH($B$3,daily_items,0)))</f>
        <v>#N/A</v>
      </c>
      <c r="AA363" s="1" t="str">
        <f t="shared" si="5"/>
        <v>#NAME?</v>
      </c>
      <c r="AB363" s="1" t="str">
        <f t="shared" si="6"/>
        <v>#NAME?</v>
      </c>
      <c r="AC363" s="1" t="str">
        <f t="shared" si="7"/>
        <v>#NAME?</v>
      </c>
      <c r="AD363" s="1" t="str">
        <f t="shared" si="8"/>
        <v>#NAME?</v>
      </c>
    </row>
    <row r="364" ht="14.25" customHeight="1">
      <c r="H364" s="1">
        <f t="shared" si="9"/>
        <v>359</v>
      </c>
      <c r="I364" s="1">
        <f>WEEKDAY('daily graphs'!K364)</f>
        <v>1</v>
      </c>
      <c r="J364" s="1">
        <f t="shared" si="2"/>
        <v>23</v>
      </c>
      <c r="K364" s="1">
        <f t="shared" si="3"/>
        <v>12</v>
      </c>
      <c r="L364" s="23">
        <f>'daily graphs'!K364 - I364</f>
        <v>36883</v>
      </c>
      <c r="M364" s="24">
        <f t="shared" si="4"/>
        <v>1000000</v>
      </c>
      <c r="N364" s="24" t="str">
        <f t="array" ref="N364">IF(M364&gt;0,INDEX(big_daily_table,MATCH(DATE(O$5,$K364,$J364),daily_dates,0),MATCH($B$3,daily_items,0)),NA())</f>
        <v>#N/A</v>
      </c>
      <c r="O364" s="1" t="str">
        <f t="array" ref="O364">IF(M364&lt;0,INDEX(big_daily_table,MATCH(DATE(O$5,$K364,$J364),daily_dates,0),MATCH($B$3,daily_items,0)),NA())</f>
        <v>#N/A</v>
      </c>
      <c r="P364" s="1" t="str">
        <f t="array" ref="P364">IF(ISBLANK(INDEX(big_daily_table,MATCH(DATE(P$5,$K364,$J364),daily_dates,0),MATCH($B$3,daily_items,0))),NA(),INDEX(big_daily_table,MATCH(DATE(P$5,$K364,$J364),daily_dates,0),MATCH($B$3,daily_items,0)))</f>
        <v>#N/A</v>
      </c>
      <c r="Q364" s="1" t="str">
        <f t="array" ref="Q364">IF(ISBLANK(INDEX(big_daily_table,MATCH(DATE(Q$5,$K364,$J364),daily_dates,0),MATCH($B$3,daily_items,0))),NA(),INDEX(big_daily_table,MATCH(DATE(Q$5,$K364,$J364),daily_dates,0),MATCH($B$3,daily_items,0)))</f>
        <v>#N/A</v>
      </c>
      <c r="R364" s="1" t="str">
        <f t="array" ref="R364">IF(ISBLANK(INDEX(big_daily_table,MATCH(DATE(R$5,$K364,$J364),daily_dates,0),MATCH($B$3,daily_items,0))),NA(),INDEX(big_daily_table,MATCH(DATE(R$5,$K364,$J364),daily_dates,0),MATCH($B$3,daily_items,0)))</f>
        <v>#N/A</v>
      </c>
      <c r="S364" s="1" t="str">
        <f t="array" ref="S364">IF(ISBLANK(INDEX(big_daily_table,MATCH(DATE(S$5,$K364,$J364),daily_dates,0),MATCH($B$3,daily_items,0))),NA(),INDEX(big_daily_table,MATCH(DATE(S$5,$K364,$J364),daily_dates,0),MATCH($B$3,daily_items,0)))</f>
        <v>#N/A</v>
      </c>
      <c r="T364" s="1" t="str">
        <f t="array" ref="T364">IF(ISBLANK(INDEX(big_daily_table,MATCH(DATE(T$5,$K364,$J364),daily_dates,0),MATCH($B$3,daily_items,0))),NA(),INDEX(big_daily_table,MATCH(DATE(T$5,$K364,$J364),daily_dates,0),MATCH($B$3,daily_items,0)))</f>
        <v>#N/A</v>
      </c>
      <c r="U364" s="1" t="str">
        <f t="array" ref="U364">IF(ISBLANK(INDEX(big_daily_table,MATCH(DATE(U$5,$K364,$J364),daily_dates,0),MATCH($B$3,daily_items,0))),NA(),INDEX(big_daily_table,MATCH(DATE(U$5,$K364,$J364),daily_dates,0),MATCH($B$3,daily_items,0)))</f>
        <v>#N/A</v>
      </c>
      <c r="V364" s="1" t="str">
        <f t="array" ref="V364">IF(ISBLANK(INDEX(big_daily_table,MATCH(DATE(V$5,$K364,$J364),daily_dates,0),MATCH($B$3,daily_items,0))),NA(),INDEX(big_daily_table,MATCH(DATE(V$5,$K364,$J364),daily_dates,0),MATCH($B$3,daily_items,0)))</f>
        <v>#N/A</v>
      </c>
      <c r="W364" s="1" t="str">
        <f t="array" ref="W364">IF(ISBLANK(INDEX(big_daily_table,MATCH(DATE(W$5,$K364,$J364),daily_dates,0),MATCH($B$3,daily_items,0))),NA(),INDEX(big_daily_table,MATCH(DATE(W$5,$K364,$J364),daily_dates,0),MATCH($B$3,daily_items,0)))</f>
        <v>#N/A</v>
      </c>
      <c r="X364" s="1" t="str">
        <f t="array" ref="X364">IF(ISBLANK(INDEX(big_daily_table,MATCH(DATE(X$5,$K364,$J364),daily_dates,0),MATCH($B$3,daily_items,0))),NA(),INDEX(big_daily_table,MATCH(DATE(X$5,$K364,$J364),daily_dates,0),MATCH($B$3,daily_items,0)))</f>
        <v>#N/A</v>
      </c>
      <c r="Y364" s="1" t="str">
        <f t="array" ref="Y364">IF(ISBLANK(INDEX(big_daily_table,MATCH(DATE(Y$5,$K364,$J364),daily_dates,0),MATCH($B$3,daily_items,0))),NA(),INDEX(big_daily_table,MATCH(DATE(Y$5,$K364,$J364),daily_dates,0),MATCH($B$3,daily_items,0)))</f>
        <v>#N/A</v>
      </c>
      <c r="Z364" s="1" t="str">
        <f t="array" ref="Z364">IF(ISBLANK(INDEX(big_daily_table,MATCH(DATE(Z$5,$K364,$J364),daily_dates,0),MATCH($B$3,daily_items,0))),NA(),INDEX(big_daily_table,MATCH(DATE(Z$5,$K364,$J364),daily_dates,0),MATCH($B$3,daily_items,0)))</f>
        <v>#N/A</v>
      </c>
      <c r="AA364" s="1" t="str">
        <f t="shared" si="5"/>
        <v>#NAME?</v>
      </c>
      <c r="AB364" s="1" t="str">
        <f t="shared" si="6"/>
        <v>#NAME?</v>
      </c>
      <c r="AC364" s="1" t="str">
        <f t="shared" si="7"/>
        <v>#NAME?</v>
      </c>
      <c r="AD364" s="1" t="str">
        <f t="shared" si="8"/>
        <v>#NAME?</v>
      </c>
    </row>
    <row r="365" ht="14.25" customHeight="1">
      <c r="H365" s="1">
        <f t="shared" si="9"/>
        <v>360</v>
      </c>
      <c r="I365" s="1">
        <f>WEEKDAY('daily graphs'!K365)</f>
        <v>2</v>
      </c>
      <c r="J365" s="1">
        <f t="shared" si="2"/>
        <v>23</v>
      </c>
      <c r="K365" s="1">
        <f t="shared" si="3"/>
        <v>12</v>
      </c>
      <c r="L365" s="23">
        <f>'daily graphs'!K365 - I365</f>
        <v>36883</v>
      </c>
      <c r="M365" s="24">
        <f t="shared" si="4"/>
        <v>1000000</v>
      </c>
      <c r="N365" s="24" t="str">
        <f t="array" ref="N365">IF(M365&gt;0,INDEX(big_daily_table,MATCH(DATE(O$5,$K365,$J365),daily_dates,0),MATCH($B$3,daily_items,0)),NA())</f>
        <v>#N/A</v>
      </c>
      <c r="O365" s="1" t="str">
        <f t="array" ref="O365">IF(M365&lt;0,INDEX(big_daily_table,MATCH(DATE(O$5,$K365,$J365),daily_dates,0),MATCH($B$3,daily_items,0)),NA())</f>
        <v>#N/A</v>
      </c>
      <c r="P365" s="1" t="str">
        <f t="array" ref="P365">IF(ISBLANK(INDEX(big_daily_table,MATCH(DATE(P$5,$K365,$J365),daily_dates,0),MATCH($B$3,daily_items,0))),NA(),INDEX(big_daily_table,MATCH(DATE(P$5,$K365,$J365),daily_dates,0),MATCH($B$3,daily_items,0)))</f>
        <v>#N/A</v>
      </c>
      <c r="Q365" s="1" t="str">
        <f t="array" ref="Q365">IF(ISBLANK(INDEX(big_daily_table,MATCH(DATE(Q$5,$K365,$J365),daily_dates,0),MATCH($B$3,daily_items,0))),NA(),INDEX(big_daily_table,MATCH(DATE(Q$5,$K365,$J365),daily_dates,0),MATCH($B$3,daily_items,0)))</f>
        <v>#N/A</v>
      </c>
      <c r="R365" s="1" t="str">
        <f t="array" ref="R365">IF(ISBLANK(INDEX(big_daily_table,MATCH(DATE(R$5,$K365,$J365),daily_dates,0),MATCH($B$3,daily_items,0))),NA(),INDEX(big_daily_table,MATCH(DATE(R$5,$K365,$J365),daily_dates,0),MATCH($B$3,daily_items,0)))</f>
        <v>#N/A</v>
      </c>
      <c r="S365" s="1" t="str">
        <f t="array" ref="S365">IF(ISBLANK(INDEX(big_daily_table,MATCH(DATE(S$5,$K365,$J365),daily_dates,0),MATCH($B$3,daily_items,0))),NA(),INDEX(big_daily_table,MATCH(DATE(S$5,$K365,$J365),daily_dates,0),MATCH($B$3,daily_items,0)))</f>
        <v>#N/A</v>
      </c>
      <c r="T365" s="1" t="str">
        <f t="array" ref="T365">IF(ISBLANK(INDEX(big_daily_table,MATCH(DATE(T$5,$K365,$J365),daily_dates,0),MATCH($B$3,daily_items,0))),NA(),INDEX(big_daily_table,MATCH(DATE(T$5,$K365,$J365),daily_dates,0),MATCH($B$3,daily_items,0)))</f>
        <v>#N/A</v>
      </c>
      <c r="U365" s="1" t="str">
        <f t="array" ref="U365">IF(ISBLANK(INDEX(big_daily_table,MATCH(DATE(U$5,$K365,$J365),daily_dates,0),MATCH($B$3,daily_items,0))),NA(),INDEX(big_daily_table,MATCH(DATE(U$5,$K365,$J365),daily_dates,0),MATCH($B$3,daily_items,0)))</f>
        <v>#N/A</v>
      </c>
      <c r="V365" s="1" t="str">
        <f t="array" ref="V365">IF(ISBLANK(INDEX(big_daily_table,MATCH(DATE(V$5,$K365,$J365),daily_dates,0),MATCH($B$3,daily_items,0))),NA(),INDEX(big_daily_table,MATCH(DATE(V$5,$K365,$J365),daily_dates,0),MATCH($B$3,daily_items,0)))</f>
        <v>#N/A</v>
      </c>
      <c r="W365" s="1" t="str">
        <f t="array" ref="W365">IF(ISBLANK(INDEX(big_daily_table,MATCH(DATE(W$5,$K365,$J365),daily_dates,0),MATCH($B$3,daily_items,0))),NA(),INDEX(big_daily_table,MATCH(DATE(W$5,$K365,$J365),daily_dates,0),MATCH($B$3,daily_items,0)))</f>
        <v>#N/A</v>
      </c>
      <c r="X365" s="1" t="str">
        <f t="array" ref="X365">IF(ISBLANK(INDEX(big_daily_table,MATCH(DATE(X$5,$K365,$J365),daily_dates,0),MATCH($B$3,daily_items,0))),NA(),INDEX(big_daily_table,MATCH(DATE(X$5,$K365,$J365),daily_dates,0),MATCH($B$3,daily_items,0)))</f>
        <v>#N/A</v>
      </c>
      <c r="Y365" s="1" t="str">
        <f t="array" ref="Y365">IF(ISBLANK(INDEX(big_daily_table,MATCH(DATE(Y$5,$K365,$J365),daily_dates,0),MATCH($B$3,daily_items,0))),NA(),INDEX(big_daily_table,MATCH(DATE(Y$5,$K365,$J365),daily_dates,0),MATCH($B$3,daily_items,0)))</f>
        <v>#N/A</v>
      </c>
      <c r="Z365" s="1" t="str">
        <f t="array" ref="Z365">IF(ISBLANK(INDEX(big_daily_table,MATCH(DATE(Z$5,$K365,$J365),daily_dates,0),MATCH($B$3,daily_items,0))),NA(),INDEX(big_daily_table,MATCH(DATE(Z$5,$K365,$J365),daily_dates,0),MATCH($B$3,daily_items,0)))</f>
        <v>#N/A</v>
      </c>
      <c r="AA365" s="1" t="str">
        <f t="shared" si="5"/>
        <v>#NAME?</v>
      </c>
      <c r="AB365" s="1" t="str">
        <f t="shared" si="6"/>
        <v>#NAME?</v>
      </c>
      <c r="AC365" s="1" t="str">
        <f t="shared" si="7"/>
        <v>#NAME?</v>
      </c>
      <c r="AD365" s="1" t="str">
        <f t="shared" si="8"/>
        <v>#NAME?</v>
      </c>
    </row>
    <row r="366" ht="14.25" customHeight="1">
      <c r="H366" s="1">
        <f t="shared" si="9"/>
        <v>361</v>
      </c>
      <c r="I366" s="1">
        <f>WEEKDAY('daily graphs'!K366)</f>
        <v>3</v>
      </c>
      <c r="J366" s="1">
        <f t="shared" si="2"/>
        <v>23</v>
      </c>
      <c r="K366" s="1">
        <f t="shared" si="3"/>
        <v>12</v>
      </c>
      <c r="L366" s="23">
        <f>'daily graphs'!K366 - I366</f>
        <v>36883</v>
      </c>
      <c r="M366" s="24">
        <f t="shared" si="4"/>
        <v>1000000</v>
      </c>
      <c r="N366" s="24" t="str">
        <f t="array" ref="N366">IF(M366&gt;0,INDEX(big_daily_table,MATCH(DATE(O$5,$K366,$J366),daily_dates,0),MATCH($B$3,daily_items,0)),NA())</f>
        <v>#N/A</v>
      </c>
      <c r="O366" s="1" t="str">
        <f t="array" ref="O366">IF(M366&lt;0,INDEX(big_daily_table,MATCH(DATE(O$5,$K366,$J366),daily_dates,0),MATCH($B$3,daily_items,0)),NA())</f>
        <v>#N/A</v>
      </c>
      <c r="P366" s="1" t="str">
        <f t="array" ref="P366">IF(ISBLANK(INDEX(big_daily_table,MATCH(DATE(P$5,$K366,$J366),daily_dates,0),MATCH($B$3,daily_items,0))),NA(),INDEX(big_daily_table,MATCH(DATE(P$5,$K366,$J366),daily_dates,0),MATCH($B$3,daily_items,0)))</f>
        <v>#N/A</v>
      </c>
      <c r="Q366" s="1" t="str">
        <f t="array" ref="Q366">IF(ISBLANK(INDEX(big_daily_table,MATCH(DATE(Q$5,$K366,$J366),daily_dates,0),MATCH($B$3,daily_items,0))),NA(),INDEX(big_daily_table,MATCH(DATE(Q$5,$K366,$J366),daily_dates,0),MATCH($B$3,daily_items,0)))</f>
        <v>#N/A</v>
      </c>
      <c r="R366" s="1" t="str">
        <f t="array" ref="R366">IF(ISBLANK(INDEX(big_daily_table,MATCH(DATE(R$5,$K366,$J366),daily_dates,0),MATCH($B$3,daily_items,0))),NA(),INDEX(big_daily_table,MATCH(DATE(R$5,$K366,$J366),daily_dates,0),MATCH($B$3,daily_items,0)))</f>
        <v>#N/A</v>
      </c>
      <c r="S366" s="1" t="str">
        <f t="array" ref="S366">IF(ISBLANK(INDEX(big_daily_table,MATCH(DATE(S$5,$K366,$J366),daily_dates,0),MATCH($B$3,daily_items,0))),NA(),INDEX(big_daily_table,MATCH(DATE(S$5,$K366,$J366),daily_dates,0),MATCH($B$3,daily_items,0)))</f>
        <v>#N/A</v>
      </c>
      <c r="T366" s="1" t="str">
        <f t="array" ref="T366">IF(ISBLANK(INDEX(big_daily_table,MATCH(DATE(T$5,$K366,$J366),daily_dates,0),MATCH($B$3,daily_items,0))),NA(),INDEX(big_daily_table,MATCH(DATE(T$5,$K366,$J366),daily_dates,0),MATCH($B$3,daily_items,0)))</f>
        <v>#N/A</v>
      </c>
      <c r="U366" s="1" t="str">
        <f t="array" ref="U366">IF(ISBLANK(INDEX(big_daily_table,MATCH(DATE(U$5,$K366,$J366),daily_dates,0),MATCH($B$3,daily_items,0))),NA(),INDEX(big_daily_table,MATCH(DATE(U$5,$K366,$J366),daily_dates,0),MATCH($B$3,daily_items,0)))</f>
        <v>#N/A</v>
      </c>
      <c r="V366" s="1" t="str">
        <f t="array" ref="V366">IF(ISBLANK(INDEX(big_daily_table,MATCH(DATE(V$5,$K366,$J366),daily_dates,0),MATCH($B$3,daily_items,0))),NA(),INDEX(big_daily_table,MATCH(DATE(V$5,$K366,$J366),daily_dates,0),MATCH($B$3,daily_items,0)))</f>
        <v>#N/A</v>
      </c>
      <c r="W366" s="1" t="str">
        <f t="array" ref="W366">IF(ISBLANK(INDEX(big_daily_table,MATCH(DATE(W$5,$K366,$J366),daily_dates,0),MATCH($B$3,daily_items,0))),NA(),INDEX(big_daily_table,MATCH(DATE(W$5,$K366,$J366),daily_dates,0),MATCH($B$3,daily_items,0)))</f>
        <v>#N/A</v>
      </c>
      <c r="X366" s="1" t="str">
        <f t="array" ref="X366">IF(ISBLANK(INDEX(big_daily_table,MATCH(DATE(X$5,$K366,$J366),daily_dates,0),MATCH($B$3,daily_items,0))),NA(),INDEX(big_daily_table,MATCH(DATE(X$5,$K366,$J366),daily_dates,0),MATCH($B$3,daily_items,0)))</f>
        <v>#N/A</v>
      </c>
      <c r="Y366" s="1" t="str">
        <f t="array" ref="Y366">IF(ISBLANK(INDEX(big_daily_table,MATCH(DATE(Y$5,$K366,$J366),daily_dates,0),MATCH($B$3,daily_items,0))),NA(),INDEX(big_daily_table,MATCH(DATE(Y$5,$K366,$J366),daily_dates,0),MATCH($B$3,daily_items,0)))</f>
        <v>#N/A</v>
      </c>
      <c r="Z366" s="1" t="str">
        <f t="array" ref="Z366">IF(ISBLANK(INDEX(big_daily_table,MATCH(DATE(Z$5,$K366,$J366),daily_dates,0),MATCH($B$3,daily_items,0))),NA(),INDEX(big_daily_table,MATCH(DATE(Z$5,$K366,$J366),daily_dates,0),MATCH($B$3,daily_items,0)))</f>
        <v>#N/A</v>
      </c>
      <c r="AA366" s="1" t="str">
        <f t="shared" si="5"/>
        <v>#NAME?</v>
      </c>
      <c r="AB366" s="1" t="str">
        <f t="shared" si="6"/>
        <v>#NAME?</v>
      </c>
      <c r="AC366" s="1" t="str">
        <f t="shared" si="7"/>
        <v>#NAME?</v>
      </c>
      <c r="AD366" s="1" t="str">
        <f t="shared" si="8"/>
        <v>#NAME?</v>
      </c>
    </row>
    <row r="367" ht="14.25" customHeight="1">
      <c r="H367" s="1">
        <f t="shared" si="9"/>
        <v>362</v>
      </c>
      <c r="I367" s="1">
        <f>WEEKDAY('daily graphs'!K367)</f>
        <v>4</v>
      </c>
      <c r="J367" s="1">
        <f t="shared" si="2"/>
        <v>23</v>
      </c>
      <c r="K367" s="1">
        <f t="shared" si="3"/>
        <v>12</v>
      </c>
      <c r="L367" s="23">
        <f>'daily graphs'!K367 - I367</f>
        <v>36883</v>
      </c>
      <c r="M367" s="24">
        <f t="shared" si="4"/>
        <v>1000000</v>
      </c>
      <c r="N367" s="24" t="str">
        <f t="array" ref="N367">IF(M367&gt;0,INDEX(big_daily_table,MATCH(DATE(O$5,$K367,$J367),daily_dates,0),MATCH($B$3,daily_items,0)),NA())</f>
        <v>#N/A</v>
      </c>
      <c r="O367" s="1" t="str">
        <f t="array" ref="O367">IF(M367&lt;0,INDEX(big_daily_table,MATCH(DATE(O$5,$K367,$J367),daily_dates,0),MATCH($B$3,daily_items,0)),NA())</f>
        <v>#N/A</v>
      </c>
      <c r="P367" s="1" t="str">
        <f t="array" ref="P367">IF(ISBLANK(INDEX(big_daily_table,MATCH(DATE(P$5,$K367,$J367),daily_dates,0),MATCH($B$3,daily_items,0))),NA(),INDEX(big_daily_table,MATCH(DATE(P$5,$K367,$J367),daily_dates,0),MATCH($B$3,daily_items,0)))</f>
        <v>#N/A</v>
      </c>
      <c r="Q367" s="1" t="str">
        <f t="array" ref="Q367">IF(ISBLANK(INDEX(big_daily_table,MATCH(DATE(Q$5,$K367,$J367),daily_dates,0),MATCH($B$3,daily_items,0))),NA(),INDEX(big_daily_table,MATCH(DATE(Q$5,$K367,$J367),daily_dates,0),MATCH($B$3,daily_items,0)))</f>
        <v>#N/A</v>
      </c>
      <c r="R367" s="1" t="str">
        <f t="array" ref="R367">IF(ISBLANK(INDEX(big_daily_table,MATCH(DATE(R$5,$K367,$J367),daily_dates,0),MATCH($B$3,daily_items,0))),NA(),INDEX(big_daily_table,MATCH(DATE(R$5,$K367,$J367),daily_dates,0),MATCH($B$3,daily_items,0)))</f>
        <v>#N/A</v>
      </c>
      <c r="S367" s="1" t="str">
        <f t="array" ref="S367">IF(ISBLANK(INDEX(big_daily_table,MATCH(DATE(S$5,$K367,$J367),daily_dates,0),MATCH($B$3,daily_items,0))),NA(),INDEX(big_daily_table,MATCH(DATE(S$5,$K367,$J367),daily_dates,0),MATCH($B$3,daily_items,0)))</f>
        <v>#N/A</v>
      </c>
      <c r="T367" s="1" t="str">
        <f t="array" ref="T367">IF(ISBLANK(INDEX(big_daily_table,MATCH(DATE(T$5,$K367,$J367),daily_dates,0),MATCH($B$3,daily_items,0))),NA(),INDEX(big_daily_table,MATCH(DATE(T$5,$K367,$J367),daily_dates,0),MATCH($B$3,daily_items,0)))</f>
        <v>#N/A</v>
      </c>
      <c r="U367" s="1" t="str">
        <f t="array" ref="U367">IF(ISBLANK(INDEX(big_daily_table,MATCH(DATE(U$5,$K367,$J367),daily_dates,0),MATCH($B$3,daily_items,0))),NA(),INDEX(big_daily_table,MATCH(DATE(U$5,$K367,$J367),daily_dates,0),MATCH($B$3,daily_items,0)))</f>
        <v>#N/A</v>
      </c>
      <c r="V367" s="1" t="str">
        <f t="array" ref="V367">IF(ISBLANK(INDEX(big_daily_table,MATCH(DATE(V$5,$K367,$J367),daily_dates,0),MATCH($B$3,daily_items,0))),NA(),INDEX(big_daily_table,MATCH(DATE(V$5,$K367,$J367),daily_dates,0),MATCH($B$3,daily_items,0)))</f>
        <v>#N/A</v>
      </c>
      <c r="W367" s="1" t="str">
        <f t="array" ref="W367">IF(ISBLANK(INDEX(big_daily_table,MATCH(DATE(W$5,$K367,$J367),daily_dates,0),MATCH($B$3,daily_items,0))),NA(),INDEX(big_daily_table,MATCH(DATE(W$5,$K367,$J367),daily_dates,0),MATCH($B$3,daily_items,0)))</f>
        <v>#N/A</v>
      </c>
      <c r="X367" s="1" t="str">
        <f t="array" ref="X367">IF(ISBLANK(INDEX(big_daily_table,MATCH(DATE(X$5,$K367,$J367),daily_dates,0),MATCH($B$3,daily_items,0))),NA(),INDEX(big_daily_table,MATCH(DATE(X$5,$K367,$J367),daily_dates,0),MATCH($B$3,daily_items,0)))</f>
        <v>#N/A</v>
      </c>
      <c r="Y367" s="1" t="str">
        <f t="array" ref="Y367">IF(ISBLANK(INDEX(big_daily_table,MATCH(DATE(Y$5,$K367,$J367),daily_dates,0),MATCH($B$3,daily_items,0))),NA(),INDEX(big_daily_table,MATCH(DATE(Y$5,$K367,$J367),daily_dates,0),MATCH($B$3,daily_items,0)))</f>
        <v>#N/A</v>
      </c>
      <c r="Z367" s="1" t="str">
        <f t="array" ref="Z367">IF(ISBLANK(INDEX(big_daily_table,MATCH(DATE(Z$5,$K367,$J367),daily_dates,0),MATCH($B$3,daily_items,0))),NA(),INDEX(big_daily_table,MATCH(DATE(Z$5,$K367,$J367),daily_dates,0),MATCH($B$3,daily_items,0)))</f>
        <v>#N/A</v>
      </c>
      <c r="AA367" s="1" t="str">
        <f t="shared" si="5"/>
        <v>#NAME?</v>
      </c>
      <c r="AB367" s="1" t="str">
        <f t="shared" si="6"/>
        <v>#NAME?</v>
      </c>
      <c r="AC367" s="1" t="str">
        <f t="shared" si="7"/>
        <v>#NAME?</v>
      </c>
      <c r="AD367" s="1" t="str">
        <f t="shared" si="8"/>
        <v>#NAME?</v>
      </c>
    </row>
    <row r="368" ht="14.25" customHeight="1">
      <c r="H368" s="1">
        <f t="shared" si="9"/>
        <v>363</v>
      </c>
      <c r="I368" s="1">
        <f>WEEKDAY('daily graphs'!K368)</f>
        <v>5</v>
      </c>
      <c r="J368" s="1">
        <f t="shared" si="2"/>
        <v>23</v>
      </c>
      <c r="K368" s="1">
        <f t="shared" si="3"/>
        <v>12</v>
      </c>
      <c r="L368" s="23">
        <f>'daily graphs'!K368 - I368</f>
        <v>36883</v>
      </c>
      <c r="M368" s="24">
        <f t="shared" si="4"/>
        <v>1000000</v>
      </c>
      <c r="N368" s="24" t="str">
        <f t="array" ref="N368">IF(M368&gt;0,INDEX(big_daily_table,MATCH(DATE(O$5,$K368,$J368),daily_dates,0),MATCH($B$3,daily_items,0)),NA())</f>
        <v>#N/A</v>
      </c>
      <c r="O368" s="1" t="str">
        <f t="array" ref="O368">IF(M368&lt;0,INDEX(big_daily_table,MATCH(DATE(O$5,$K368,$J368),daily_dates,0),MATCH($B$3,daily_items,0)),NA())</f>
        <v>#N/A</v>
      </c>
      <c r="P368" s="1" t="str">
        <f t="array" ref="P368">IF(ISBLANK(INDEX(big_daily_table,MATCH(DATE(P$5,$K368,$J368),daily_dates,0),MATCH($B$3,daily_items,0))),NA(),INDEX(big_daily_table,MATCH(DATE(P$5,$K368,$J368),daily_dates,0),MATCH($B$3,daily_items,0)))</f>
        <v>#N/A</v>
      </c>
      <c r="Q368" s="1" t="str">
        <f t="array" ref="Q368">IF(ISBLANK(INDEX(big_daily_table,MATCH(DATE(Q$5,$K368,$J368),daily_dates,0),MATCH($B$3,daily_items,0))),NA(),INDEX(big_daily_table,MATCH(DATE(Q$5,$K368,$J368),daily_dates,0),MATCH($B$3,daily_items,0)))</f>
        <v>#N/A</v>
      </c>
      <c r="R368" s="1" t="str">
        <f t="array" ref="R368">IF(ISBLANK(INDEX(big_daily_table,MATCH(DATE(R$5,$K368,$J368),daily_dates,0),MATCH($B$3,daily_items,0))),NA(),INDEX(big_daily_table,MATCH(DATE(R$5,$K368,$J368),daily_dates,0),MATCH($B$3,daily_items,0)))</f>
        <v>#N/A</v>
      </c>
      <c r="S368" s="1" t="str">
        <f t="array" ref="S368">IF(ISBLANK(INDEX(big_daily_table,MATCH(DATE(S$5,$K368,$J368),daily_dates,0),MATCH($B$3,daily_items,0))),NA(),INDEX(big_daily_table,MATCH(DATE(S$5,$K368,$J368),daily_dates,0),MATCH($B$3,daily_items,0)))</f>
        <v>#N/A</v>
      </c>
      <c r="T368" s="1" t="str">
        <f t="array" ref="T368">IF(ISBLANK(INDEX(big_daily_table,MATCH(DATE(T$5,$K368,$J368),daily_dates,0),MATCH($B$3,daily_items,0))),NA(),INDEX(big_daily_table,MATCH(DATE(T$5,$K368,$J368),daily_dates,0),MATCH($B$3,daily_items,0)))</f>
        <v>#N/A</v>
      </c>
      <c r="U368" s="1" t="str">
        <f t="array" ref="U368">IF(ISBLANK(INDEX(big_daily_table,MATCH(DATE(U$5,$K368,$J368),daily_dates,0),MATCH($B$3,daily_items,0))),NA(),INDEX(big_daily_table,MATCH(DATE(U$5,$K368,$J368),daily_dates,0),MATCH($B$3,daily_items,0)))</f>
        <v>#N/A</v>
      </c>
      <c r="V368" s="1" t="str">
        <f t="array" ref="V368">IF(ISBLANK(INDEX(big_daily_table,MATCH(DATE(V$5,$K368,$J368),daily_dates,0),MATCH($B$3,daily_items,0))),NA(),INDEX(big_daily_table,MATCH(DATE(V$5,$K368,$J368),daily_dates,0),MATCH($B$3,daily_items,0)))</f>
        <v>#N/A</v>
      </c>
      <c r="W368" s="1" t="str">
        <f t="array" ref="W368">IF(ISBLANK(INDEX(big_daily_table,MATCH(DATE(W$5,$K368,$J368),daily_dates,0),MATCH($B$3,daily_items,0))),NA(),INDEX(big_daily_table,MATCH(DATE(W$5,$K368,$J368),daily_dates,0),MATCH($B$3,daily_items,0)))</f>
        <v>#N/A</v>
      </c>
      <c r="X368" s="1" t="str">
        <f t="array" ref="X368">IF(ISBLANK(INDEX(big_daily_table,MATCH(DATE(X$5,$K368,$J368),daily_dates,0),MATCH($B$3,daily_items,0))),NA(),INDEX(big_daily_table,MATCH(DATE(X$5,$K368,$J368),daily_dates,0),MATCH($B$3,daily_items,0)))</f>
        <v>#N/A</v>
      </c>
      <c r="Y368" s="1" t="str">
        <f t="array" ref="Y368">IF(ISBLANK(INDEX(big_daily_table,MATCH(DATE(Y$5,$K368,$J368),daily_dates,0),MATCH($B$3,daily_items,0))),NA(),INDEX(big_daily_table,MATCH(DATE(Y$5,$K368,$J368),daily_dates,0),MATCH($B$3,daily_items,0)))</f>
        <v>#N/A</v>
      </c>
      <c r="Z368" s="1" t="str">
        <f t="array" ref="Z368">IF(ISBLANK(INDEX(big_daily_table,MATCH(DATE(Z$5,$K368,$J368),daily_dates,0),MATCH($B$3,daily_items,0))),NA(),INDEX(big_daily_table,MATCH(DATE(Z$5,$K368,$J368),daily_dates,0),MATCH($B$3,daily_items,0)))</f>
        <v>#N/A</v>
      </c>
      <c r="AA368" s="1" t="str">
        <f t="shared" si="5"/>
        <v>#NAME?</v>
      </c>
      <c r="AB368" s="1" t="str">
        <f t="shared" si="6"/>
        <v>#NAME?</v>
      </c>
      <c r="AC368" s="1" t="str">
        <f t="shared" si="7"/>
        <v>#NAME?</v>
      </c>
      <c r="AD368" s="1" t="str">
        <f t="shared" si="8"/>
        <v>#NAME?</v>
      </c>
    </row>
    <row r="369" ht="14.25" customHeight="1">
      <c r="H369" s="1">
        <f t="shared" si="9"/>
        <v>364</v>
      </c>
      <c r="I369" s="1">
        <f>WEEKDAY('daily graphs'!K369)</f>
        <v>6</v>
      </c>
      <c r="J369" s="1">
        <f t="shared" si="2"/>
        <v>23</v>
      </c>
      <c r="K369" s="1">
        <f t="shared" si="3"/>
        <v>12</v>
      </c>
      <c r="L369" s="23">
        <f>'daily graphs'!K369 - I369</f>
        <v>36883</v>
      </c>
      <c r="M369" s="24">
        <f t="shared" si="4"/>
        <v>1000000</v>
      </c>
      <c r="N369" s="24" t="str">
        <f t="array" ref="N369">IF(M369&gt;0,INDEX(big_daily_table,MATCH(DATE(O$5,$K369,$J369),daily_dates,0),MATCH($B$3,daily_items,0)),NA())</f>
        <v>#N/A</v>
      </c>
      <c r="O369" s="1" t="str">
        <f t="array" ref="O369">IF(M369&lt;0,INDEX(big_daily_table,MATCH(DATE(O$5,$K369,$J369),daily_dates,0),MATCH($B$3,daily_items,0)),NA())</f>
        <v>#N/A</v>
      </c>
      <c r="P369" s="1" t="str">
        <f t="array" ref="P369">IF(ISBLANK(INDEX(big_daily_table,MATCH(DATE(P$5,$K369,$J369),daily_dates,0),MATCH($B$3,daily_items,0))),NA(),INDEX(big_daily_table,MATCH(DATE(P$5,$K369,$J369),daily_dates,0),MATCH($B$3,daily_items,0)))</f>
        <v>#N/A</v>
      </c>
      <c r="Q369" s="1" t="str">
        <f t="array" ref="Q369">IF(ISBLANK(INDEX(big_daily_table,MATCH(DATE(Q$5,$K369,$J369),daily_dates,0),MATCH($B$3,daily_items,0))),NA(),INDEX(big_daily_table,MATCH(DATE(Q$5,$K369,$J369),daily_dates,0),MATCH($B$3,daily_items,0)))</f>
        <v>#N/A</v>
      </c>
      <c r="R369" s="1" t="str">
        <f t="array" ref="R369">IF(ISBLANK(INDEX(big_daily_table,MATCH(DATE(R$5,$K369,$J369),daily_dates,0),MATCH($B$3,daily_items,0))),NA(),INDEX(big_daily_table,MATCH(DATE(R$5,$K369,$J369),daily_dates,0),MATCH($B$3,daily_items,0)))</f>
        <v>#N/A</v>
      </c>
      <c r="S369" s="1" t="str">
        <f t="array" ref="S369">IF(ISBLANK(INDEX(big_daily_table,MATCH(DATE(S$5,$K369,$J369),daily_dates,0),MATCH($B$3,daily_items,0))),NA(),INDEX(big_daily_table,MATCH(DATE(S$5,$K369,$J369),daily_dates,0),MATCH($B$3,daily_items,0)))</f>
        <v>#N/A</v>
      </c>
      <c r="T369" s="1" t="str">
        <f t="array" ref="T369">IF(ISBLANK(INDEX(big_daily_table,MATCH(DATE(T$5,$K369,$J369),daily_dates,0),MATCH($B$3,daily_items,0))),NA(),INDEX(big_daily_table,MATCH(DATE(T$5,$K369,$J369),daily_dates,0),MATCH($B$3,daily_items,0)))</f>
        <v>#N/A</v>
      </c>
      <c r="U369" s="1" t="str">
        <f t="array" ref="U369">IF(ISBLANK(INDEX(big_daily_table,MATCH(DATE(U$5,$K369,$J369),daily_dates,0),MATCH($B$3,daily_items,0))),NA(),INDEX(big_daily_table,MATCH(DATE(U$5,$K369,$J369),daily_dates,0),MATCH($B$3,daily_items,0)))</f>
        <v>#N/A</v>
      </c>
      <c r="V369" s="1" t="str">
        <f t="array" ref="V369">IF(ISBLANK(INDEX(big_daily_table,MATCH(DATE(V$5,$K369,$J369),daily_dates,0),MATCH($B$3,daily_items,0))),NA(),INDEX(big_daily_table,MATCH(DATE(V$5,$K369,$J369),daily_dates,0),MATCH($B$3,daily_items,0)))</f>
        <v>#N/A</v>
      </c>
      <c r="W369" s="1" t="str">
        <f t="array" ref="W369">IF(ISBLANK(INDEX(big_daily_table,MATCH(DATE(W$5,$K369,$J369),daily_dates,0),MATCH($B$3,daily_items,0))),NA(),INDEX(big_daily_table,MATCH(DATE(W$5,$K369,$J369),daily_dates,0),MATCH($B$3,daily_items,0)))</f>
        <v>#N/A</v>
      </c>
      <c r="X369" s="1" t="str">
        <f t="array" ref="X369">IF(ISBLANK(INDEX(big_daily_table,MATCH(DATE(X$5,$K369,$J369),daily_dates,0),MATCH($B$3,daily_items,0))),NA(),INDEX(big_daily_table,MATCH(DATE(X$5,$K369,$J369),daily_dates,0),MATCH($B$3,daily_items,0)))</f>
        <v>#N/A</v>
      </c>
      <c r="Y369" s="1" t="str">
        <f t="array" ref="Y369">IF(ISBLANK(INDEX(big_daily_table,MATCH(DATE(Y$5,$K369,$J369),daily_dates,0),MATCH($B$3,daily_items,0))),NA(),INDEX(big_daily_table,MATCH(DATE(Y$5,$K369,$J369),daily_dates,0),MATCH($B$3,daily_items,0)))</f>
        <v>#N/A</v>
      </c>
      <c r="Z369" s="1" t="str">
        <f t="array" ref="Z369">IF(ISBLANK(INDEX(big_daily_table,MATCH(DATE(Z$5,$K369,$J369),daily_dates,0),MATCH($B$3,daily_items,0))),NA(),INDEX(big_daily_table,MATCH(DATE(Z$5,$K369,$J369),daily_dates,0),MATCH($B$3,daily_items,0)))</f>
        <v>#N/A</v>
      </c>
      <c r="AA369" s="1" t="str">
        <f t="shared" si="5"/>
        <v>#NAME?</v>
      </c>
      <c r="AB369" s="1" t="str">
        <f t="shared" si="6"/>
        <v>#NAME?</v>
      </c>
      <c r="AC369" s="1" t="str">
        <f t="shared" si="7"/>
        <v>#NAME?</v>
      </c>
      <c r="AD369" s="1" t="str">
        <f t="shared" si="8"/>
        <v>#NAME?</v>
      </c>
    </row>
    <row r="370" ht="14.25" customHeight="1">
      <c r="H370" s="1">
        <f t="shared" si="9"/>
        <v>365</v>
      </c>
      <c r="I370" s="1">
        <f>WEEKDAY('daily graphs'!K370)</f>
        <v>7</v>
      </c>
      <c r="J370" s="1">
        <f t="shared" si="2"/>
        <v>23</v>
      </c>
      <c r="K370" s="1">
        <f t="shared" si="3"/>
        <v>12</v>
      </c>
      <c r="L370" s="23">
        <f>'daily graphs'!K370 - I370</f>
        <v>36883</v>
      </c>
      <c r="M370" s="24">
        <f t="shared" si="4"/>
        <v>1000000</v>
      </c>
      <c r="N370" s="24" t="str">
        <f t="array" ref="N370">IF(M370&gt;0,INDEX(big_daily_table,MATCH(DATE(O$5,$K370,$J370),daily_dates,0),MATCH($B$3,daily_items,0)),NA())</f>
        <v>#N/A</v>
      </c>
      <c r="O370" s="1" t="str">
        <f t="array" ref="O370">IF(M370&lt;0,INDEX(big_daily_table,MATCH(DATE(O$5,$K370,$J370),daily_dates,0),MATCH($B$3,daily_items,0)),NA())</f>
        <v>#N/A</v>
      </c>
      <c r="P370" s="1" t="str">
        <f t="array" ref="P370">IF(ISBLANK(INDEX(big_daily_table,MATCH(DATE(P$5,$K370,$J370),daily_dates,0),MATCH($B$3,daily_items,0))),NA(),INDEX(big_daily_table,MATCH(DATE(P$5,$K370,$J370),daily_dates,0),MATCH($B$3,daily_items,0)))</f>
        <v>#N/A</v>
      </c>
      <c r="Q370" s="1" t="str">
        <f t="array" ref="Q370">IF(ISBLANK(INDEX(big_daily_table,MATCH(DATE(Q$5,$K370,$J370),daily_dates,0),MATCH($B$3,daily_items,0))),NA(),INDEX(big_daily_table,MATCH(DATE(Q$5,$K370,$J370),daily_dates,0),MATCH($B$3,daily_items,0)))</f>
        <v>#N/A</v>
      </c>
      <c r="R370" s="1" t="str">
        <f t="array" ref="R370">IF(ISBLANK(INDEX(big_daily_table,MATCH(DATE(R$5,$K370,$J370),daily_dates,0),MATCH($B$3,daily_items,0))),NA(),INDEX(big_daily_table,MATCH(DATE(R$5,$K370,$J370),daily_dates,0),MATCH($B$3,daily_items,0)))</f>
        <v>#N/A</v>
      </c>
      <c r="S370" s="1" t="str">
        <f t="array" ref="S370">IF(ISBLANK(INDEX(big_daily_table,MATCH(DATE(S$5,$K370,$J370),daily_dates,0),MATCH($B$3,daily_items,0))),NA(),INDEX(big_daily_table,MATCH(DATE(S$5,$K370,$J370),daily_dates,0),MATCH($B$3,daily_items,0)))</f>
        <v>#N/A</v>
      </c>
      <c r="T370" s="1" t="str">
        <f t="array" ref="T370">IF(ISBLANK(INDEX(big_daily_table,MATCH(DATE(T$5,$K370,$J370),daily_dates,0),MATCH($B$3,daily_items,0))),NA(),INDEX(big_daily_table,MATCH(DATE(T$5,$K370,$J370),daily_dates,0),MATCH($B$3,daily_items,0)))</f>
        <v>#N/A</v>
      </c>
      <c r="U370" s="1" t="str">
        <f t="array" ref="U370">IF(ISBLANK(INDEX(big_daily_table,MATCH(DATE(U$5,$K370,$J370),daily_dates,0),MATCH($B$3,daily_items,0))),NA(),INDEX(big_daily_table,MATCH(DATE(U$5,$K370,$J370),daily_dates,0),MATCH($B$3,daily_items,0)))</f>
        <v>#N/A</v>
      </c>
      <c r="V370" s="1" t="str">
        <f t="array" ref="V370">IF(ISBLANK(INDEX(big_daily_table,MATCH(DATE(V$5,$K370,$J370),daily_dates,0),MATCH($B$3,daily_items,0))),NA(),INDEX(big_daily_table,MATCH(DATE(V$5,$K370,$J370),daily_dates,0),MATCH($B$3,daily_items,0)))</f>
        <v>#N/A</v>
      </c>
      <c r="W370" s="1" t="str">
        <f t="array" ref="W370">IF(ISBLANK(INDEX(big_daily_table,MATCH(DATE(W$5,$K370,$J370),daily_dates,0),MATCH($B$3,daily_items,0))),NA(),INDEX(big_daily_table,MATCH(DATE(W$5,$K370,$J370),daily_dates,0),MATCH($B$3,daily_items,0)))</f>
        <v>#N/A</v>
      </c>
      <c r="X370" s="1" t="str">
        <f t="array" ref="X370">IF(ISBLANK(INDEX(big_daily_table,MATCH(DATE(X$5,$K370,$J370),daily_dates,0),MATCH($B$3,daily_items,0))),NA(),INDEX(big_daily_table,MATCH(DATE(X$5,$K370,$J370),daily_dates,0),MATCH($B$3,daily_items,0)))</f>
        <v>#N/A</v>
      </c>
      <c r="Y370" s="1" t="str">
        <f t="array" ref="Y370">IF(ISBLANK(INDEX(big_daily_table,MATCH(DATE(Y$5,$K370,$J370),daily_dates,0),MATCH($B$3,daily_items,0))),NA(),INDEX(big_daily_table,MATCH(DATE(Y$5,$K370,$J370),daily_dates,0),MATCH($B$3,daily_items,0)))</f>
        <v>#N/A</v>
      </c>
      <c r="Z370" s="1" t="str">
        <f t="array" ref="Z370">IF(ISBLANK(INDEX(big_daily_table,MATCH(DATE(Z$5,$K370,$J370),daily_dates,0),MATCH($B$3,daily_items,0))),NA(),INDEX(big_daily_table,MATCH(DATE(Z$5,$K370,$J370),daily_dates,0),MATCH($B$3,daily_items,0)))</f>
        <v>#N/A</v>
      </c>
      <c r="AA370" s="1" t="str">
        <f t="shared" si="5"/>
        <v>#NAME?</v>
      </c>
      <c r="AB370" s="1" t="str">
        <f t="shared" si="6"/>
        <v>#NAME?</v>
      </c>
      <c r="AC370" s="1" t="str">
        <f t="shared" si="7"/>
        <v>#NAME?</v>
      </c>
      <c r="AD370" s="1" t="str">
        <f t="shared" si="8"/>
        <v>#NAME?</v>
      </c>
    </row>
    <row r="371" ht="14.25" customHeight="1">
      <c r="H371" s="1">
        <f t="shared" si="9"/>
        <v>366</v>
      </c>
      <c r="I371" s="1">
        <f>WEEKDAY('daily graphs'!K371)</f>
        <v>1</v>
      </c>
      <c r="J371" s="1">
        <f t="shared" si="2"/>
        <v>30</v>
      </c>
      <c r="K371" s="1">
        <f t="shared" si="3"/>
        <v>12</v>
      </c>
      <c r="L371" s="23">
        <f>'daily graphs'!K371 - I371</f>
        <v>36890</v>
      </c>
      <c r="M371" s="24">
        <f t="shared" si="4"/>
        <v>1000000</v>
      </c>
      <c r="N371" s="24" t="str">
        <f t="array" ref="N371">IF(M371&gt;0,INDEX(big_daily_table,MATCH(DATE(O$5,$K371,$J371),daily_dates,0),MATCH($B$3,daily_items,0)),NA())</f>
        <v>#N/A</v>
      </c>
      <c r="O371" s="1" t="str">
        <f t="array" ref="O371">IF(M371&lt;0,INDEX(big_daily_table,MATCH(DATE(O$5,$K371,$J371),daily_dates,0),MATCH($B$3,daily_items,0)),NA())</f>
        <v>#N/A</v>
      </c>
      <c r="P371" s="1" t="str">
        <f t="array" ref="P371">IF(ISBLANK(INDEX(big_daily_table,MATCH(DATE(P$5,$K371,$J371),daily_dates,0),MATCH($B$3,daily_items,0))),NA(),INDEX(big_daily_table,MATCH(DATE(P$5,$K371,$J371),daily_dates,0),MATCH($B$3,daily_items,0)))</f>
        <v>#N/A</v>
      </c>
      <c r="Q371" s="1" t="str">
        <f t="array" ref="Q371">IF(ISBLANK(INDEX(big_daily_table,MATCH(DATE(Q$5,$K371,$J371),daily_dates,0),MATCH($B$3,daily_items,0))),NA(),INDEX(big_daily_table,MATCH(DATE(Q$5,$K371,$J371),daily_dates,0),MATCH($B$3,daily_items,0)))</f>
        <v>#N/A</v>
      </c>
      <c r="R371" s="1" t="str">
        <f t="array" ref="R371">IF(ISBLANK(INDEX(big_daily_table,MATCH(DATE(R$5,$K371,$J371),daily_dates,0),MATCH($B$3,daily_items,0))),NA(),INDEX(big_daily_table,MATCH(DATE(R$5,$K371,$J371),daily_dates,0),MATCH($B$3,daily_items,0)))</f>
        <v>#N/A</v>
      </c>
      <c r="S371" s="1" t="str">
        <f t="array" ref="S371">IF(ISBLANK(INDEX(big_daily_table,MATCH(DATE(S$5,$K371,$J371),daily_dates,0),MATCH($B$3,daily_items,0))),NA(),INDEX(big_daily_table,MATCH(DATE(S$5,$K371,$J371),daily_dates,0),MATCH($B$3,daily_items,0)))</f>
        <v>#N/A</v>
      </c>
      <c r="T371" s="1" t="str">
        <f t="array" ref="T371">IF(ISBLANK(INDEX(big_daily_table,MATCH(DATE(T$5,$K371,$J371),daily_dates,0),MATCH($B$3,daily_items,0))),NA(),INDEX(big_daily_table,MATCH(DATE(T$5,$K371,$J371),daily_dates,0),MATCH($B$3,daily_items,0)))</f>
        <v>#N/A</v>
      </c>
      <c r="U371" s="1" t="str">
        <f t="array" ref="U371">IF(ISBLANK(INDEX(big_daily_table,MATCH(DATE(U$5,$K371,$J371),daily_dates,0),MATCH($B$3,daily_items,0))),NA(),INDEX(big_daily_table,MATCH(DATE(U$5,$K371,$J371),daily_dates,0),MATCH($B$3,daily_items,0)))</f>
        <v>#N/A</v>
      </c>
      <c r="V371" s="1" t="str">
        <f t="array" ref="V371">IF(ISBLANK(INDEX(big_daily_table,MATCH(DATE(V$5,$K371,$J371),daily_dates,0),MATCH($B$3,daily_items,0))),NA(),INDEX(big_daily_table,MATCH(DATE(V$5,$K371,$J371),daily_dates,0),MATCH($B$3,daily_items,0)))</f>
        <v>#N/A</v>
      </c>
      <c r="W371" s="1" t="str">
        <f t="array" ref="W371">IF(ISBLANK(INDEX(big_daily_table,MATCH(DATE(W$5,$K371,$J371),daily_dates,0),MATCH($B$3,daily_items,0))),NA(),INDEX(big_daily_table,MATCH(DATE(W$5,$K371,$J371),daily_dates,0),MATCH($B$3,daily_items,0)))</f>
        <v>#N/A</v>
      </c>
      <c r="X371" s="1" t="str">
        <f t="array" ref="X371">IF(ISBLANK(INDEX(big_daily_table,MATCH(DATE(X$5,$K371,$J371),daily_dates,0),MATCH($B$3,daily_items,0))),NA(),INDEX(big_daily_table,MATCH(DATE(X$5,$K371,$J371),daily_dates,0),MATCH($B$3,daily_items,0)))</f>
        <v>#N/A</v>
      </c>
      <c r="Y371" s="1" t="str">
        <f t="array" ref="Y371">IF(ISBLANK(INDEX(big_daily_table,MATCH(DATE(Y$5,$K371,$J371),daily_dates,0),MATCH($B$3,daily_items,0))),NA(),INDEX(big_daily_table,MATCH(DATE(Y$5,$K371,$J371),daily_dates,0),MATCH($B$3,daily_items,0)))</f>
        <v>#N/A</v>
      </c>
      <c r="Z371" s="1" t="str">
        <f t="array" ref="Z371">IF(ISBLANK(INDEX(big_daily_table,MATCH(DATE(Z$5,$K371,$J371),daily_dates,0),MATCH($B$3,daily_items,0))),NA(),INDEX(big_daily_table,MATCH(DATE(Z$5,$K371,$J371),daily_dates,0),MATCH($B$3,daily_items,0)))</f>
        <v>#N/A</v>
      </c>
      <c r="AA371" s="1" t="str">
        <f t="shared" si="5"/>
        <v>#NAME?</v>
      </c>
      <c r="AB371" s="1" t="str">
        <f t="shared" si="6"/>
        <v>#NAME?</v>
      </c>
      <c r="AC371" s="1" t="str">
        <f t="shared" si="7"/>
        <v>#NAME?</v>
      </c>
      <c r="AD371" s="1" t="str">
        <f t="shared" si="8"/>
        <v>#NAME?</v>
      </c>
    </row>
    <row r="372" ht="14.25" customHeight="1">
      <c r="L372" s="7"/>
      <c r="M372" s="7"/>
      <c r="N372" s="7"/>
    </row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B3">
      <formula1>daily_items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10.43"/>
    <col customWidth="1" min="3" max="14" width="8.71"/>
    <col customWidth="1" min="15" max="15" width="12.0"/>
    <col customWidth="1" min="16" max="34" width="8.71"/>
  </cols>
  <sheetData>
    <row r="1" ht="14.25" customHeight="1"/>
    <row r="2" ht="14.25" customHeight="1">
      <c r="I2" s="1" t="s">
        <v>2</v>
      </c>
      <c r="J2" s="18">
        <v>7.0</v>
      </c>
      <c r="K2" s="1" t="s">
        <v>3</v>
      </c>
    </row>
    <row r="3" ht="14.25" customHeight="1">
      <c r="B3" s="4" t="s">
        <v>18</v>
      </c>
    </row>
    <row r="4" ht="14.25" customHeight="1"/>
    <row r="5" ht="14.25" customHeight="1">
      <c r="C5" s="20" t="s">
        <v>1</v>
      </c>
      <c r="D5" s="20" t="str">
        <f>B3</f>
        <v>commercial_stocks</v>
      </c>
      <c r="E5" s="20"/>
      <c r="F5" s="20" t="s">
        <v>9</v>
      </c>
      <c r="G5" s="20" t="s">
        <v>10</v>
      </c>
      <c r="H5" s="20" t="s">
        <v>19</v>
      </c>
      <c r="I5" s="20" t="s">
        <v>11</v>
      </c>
      <c r="K5" s="20" t="s">
        <v>20</v>
      </c>
      <c r="L5" s="20" t="s">
        <v>21</v>
      </c>
      <c r="M5" s="20"/>
      <c r="N5" s="20"/>
      <c r="O5" s="20" t="s">
        <v>22</v>
      </c>
      <c r="P5" s="20" t="str">
        <f>Q5&amp;"F"</f>
        <v>2023F</v>
      </c>
      <c r="Q5" s="21">
        <v>2023.0</v>
      </c>
      <c r="R5" s="20">
        <f t="shared" ref="R5:AD5" si="1">Q5-1</f>
        <v>2022</v>
      </c>
      <c r="S5" s="20">
        <f t="shared" si="1"/>
        <v>2021</v>
      </c>
      <c r="T5" s="20">
        <f t="shared" si="1"/>
        <v>2020</v>
      </c>
      <c r="U5" s="20">
        <f t="shared" si="1"/>
        <v>2019</v>
      </c>
      <c r="V5" s="20">
        <f t="shared" si="1"/>
        <v>2018</v>
      </c>
      <c r="W5" s="20">
        <f t="shared" si="1"/>
        <v>2017</v>
      </c>
      <c r="X5" s="20">
        <f t="shared" si="1"/>
        <v>2016</v>
      </c>
      <c r="Y5" s="20">
        <f t="shared" si="1"/>
        <v>2015</v>
      </c>
      <c r="Z5" s="20">
        <f t="shared" si="1"/>
        <v>2014</v>
      </c>
      <c r="AA5" s="20">
        <f t="shared" si="1"/>
        <v>2013</v>
      </c>
      <c r="AB5" s="20">
        <f t="shared" si="1"/>
        <v>2012</v>
      </c>
      <c r="AC5" s="20">
        <f t="shared" si="1"/>
        <v>2011</v>
      </c>
      <c r="AD5" s="20">
        <f t="shared" si="1"/>
        <v>2010</v>
      </c>
      <c r="AE5" s="20" t="s">
        <v>9</v>
      </c>
      <c r="AF5" s="20" t="s">
        <v>10</v>
      </c>
      <c r="AG5" s="20" t="str">
        <f>"min-max (2019 -"&amp;OFFSET($T$5,0,$J$2)&amp; ")"</f>
        <v>min-max (2019 -2013)</v>
      </c>
      <c r="AH5" s="20" t="s">
        <v>11</v>
      </c>
    </row>
    <row r="6" ht="14.25" customHeight="1">
      <c r="C6" s="33">
        <v>41395.0</v>
      </c>
      <c r="D6" s="1" t="str">
        <f t="array" ref="D6">XLOOKUP($B$3,items,XLOOKUP(C6,dates,big_table))</f>
        <v>#N/A</v>
      </c>
      <c r="E6" s="1">
        <f t="array" ref="E6">IF(ISNA(XLOOKUP("jodi_last",items,XLOOKUP(C6,dates,big_table))),10^6,-100000)</f>
        <v>1000000</v>
      </c>
      <c r="F6" s="1" t="str">
        <f t="shared" ref="F6:I6" si="2">XLOOKUP(MONTH($C6),$M$6:$M$17,AE$6:AE$17)</f>
        <v>#NAME?</v>
      </c>
      <c r="G6" s="1" t="str">
        <f t="shared" si="2"/>
        <v>#NAME?</v>
      </c>
      <c r="H6" s="1" t="str">
        <f t="shared" si="2"/>
        <v>#NAME?</v>
      </c>
      <c r="I6" s="1" t="str">
        <f t="shared" si="2"/>
        <v>#NAME?</v>
      </c>
      <c r="K6" s="1" t="str">
        <f t="array" ref="K6">XLOOKUP("jodi_last",items,XLOOKUP(EOMONTH(DATE(Q$5,$M6,0),1)+1,dates,big_table))</f>
        <v>#N/A</v>
      </c>
      <c r="L6" s="1" t="str">
        <f t="array" ref="L6">XLOOKUP("jodi_last",items,XLOOKUP(DATE(Q$5,$M6,1),dates,big_table))</f>
        <v>#N/A</v>
      </c>
      <c r="M6" s="34">
        <v>1.0</v>
      </c>
      <c r="N6" s="1" t="str">
        <f t="shared" ref="N6:N17" si="4">TEXT(DATE(2000,M6,1),"MMM")</f>
        <v>janv.</v>
      </c>
      <c r="O6" s="1" t="str">
        <f t="array" ref="O6">XLOOKUP($B$3,items,XLOOKUP(DATE(Q$5,$M6,1),dates,big_table_as_of))</f>
        <v>#N/A</v>
      </c>
      <c r="P6" s="1" t="str">
        <f t="array" ref="P6">IF(ISNA($K6),XLOOKUP($B$3,items,XLOOKUP(DATE(Q$5,$M6,1),dates,big_table)),NA())</f>
        <v>#N/A</v>
      </c>
      <c r="Q6" s="1" t="str">
        <f t="array" ref="Q6">IF(ISNA($L6),NA(),XLOOKUP($B$3,items,XLOOKUP(DATE(Q$5,$M6,1),dates,big_table)))</f>
        <v>#N/A</v>
      </c>
      <c r="R6" s="1" t="str">
        <f t="array" ref="R6">IF(ISBLANK(XLOOKUP($B$3,items,XLOOKUP(DATE(R$5,$M6,1),dates,big_table))),NA(),XLOOKUP($B$3,items,XLOOKUP(DATE(R$5,$M6,1),dates,big_table)))</f>
        <v>#N/A</v>
      </c>
      <c r="S6" s="1" t="str">
        <f t="array" ref="S6">IF(ISBLANK(XLOOKUP($B$3,items,XLOOKUP(DATE(S$5,$M6,1),dates,big_table))),NA(),XLOOKUP($B$3,items,XLOOKUP(DATE(S$5,$M6,1),dates,big_table)))</f>
        <v>#N/A</v>
      </c>
      <c r="T6" s="1" t="str">
        <f t="array" ref="T6">IF(ISBLANK(XLOOKUP($B$3,items,XLOOKUP(DATE(T$5,$M6,1),dates,big_table))),NA(),XLOOKUP($B$3,items,XLOOKUP(DATE(T$5,$M6,1),dates,big_table)))</f>
        <v>#N/A</v>
      </c>
      <c r="U6" s="1" t="str">
        <f t="array" ref="U6">IF(ISBLANK(XLOOKUP($B$3,items,XLOOKUP(DATE(U$5,$M6,1),dates,big_table))),NA(),XLOOKUP($B$3,items,XLOOKUP(DATE(U$5,$M6,1),dates,big_table)))</f>
        <v>#N/A</v>
      </c>
      <c r="V6" s="1" t="str">
        <f t="array" ref="V6">IF(ISBLANK(XLOOKUP($B$3,items,XLOOKUP(DATE(V$5,$M6,1),dates,big_table))),NA(),XLOOKUP($B$3,items,XLOOKUP(DATE(V$5,$M6,1),dates,big_table)))</f>
        <v>#N/A</v>
      </c>
      <c r="W6" s="1" t="str">
        <f t="array" ref="W6">IF(ISBLANK(XLOOKUP($B$3,items,XLOOKUP(DATE(W$5,$M6,1),dates,big_table))),NA(),XLOOKUP($B$3,items,XLOOKUP(DATE(W$5,$M6,1),dates,big_table)))</f>
        <v>#N/A</v>
      </c>
      <c r="X6" s="1" t="str">
        <f t="array" ref="X6">IF(ISBLANK(XLOOKUP($B$3,items,XLOOKUP(DATE(X$5,$M6,1),dates,big_table))),NA(),XLOOKUP($B$3,items,XLOOKUP(DATE(X$5,$M6,1),dates,big_table)))</f>
        <v>#N/A</v>
      </c>
      <c r="Y6" s="1" t="str">
        <f t="array" ref="Y6">IF(ISBLANK(XLOOKUP($B$3,items,XLOOKUP(DATE(Y$5,$M6,1),dates,big_table))),NA(),XLOOKUP($B$3,items,XLOOKUP(DATE(Y$5,$M6,1),dates,big_table)))</f>
        <v>#N/A</v>
      </c>
      <c r="Z6" s="1" t="str">
        <f t="array" ref="Z6">IF(ISBLANK(XLOOKUP($B$3,items,XLOOKUP(DATE(Z$5,$M6,1),dates,big_table))),NA(),XLOOKUP($B$3,items,XLOOKUP(DATE(Z$5,$M6,1),dates,big_table)))</f>
        <v>#N/A</v>
      </c>
      <c r="AA6" s="1" t="str">
        <f t="array" ref="AA6">IF(ISBLANK(XLOOKUP($B$3,items,XLOOKUP(DATE(AA$5,$M6,1),dates,big_table))),NA(),XLOOKUP($B$3,items,XLOOKUP(DATE(AA$5,$M6,1),dates,big_table)))</f>
        <v>#N/A</v>
      </c>
      <c r="AB6" s="1" t="str">
        <f t="array" ref="AB6">IF(ISBLANK(XLOOKUP($B$3,items,XLOOKUP(DATE(AB$5,$M6,1),dates,big_table))),NA(),XLOOKUP($B$3,items,XLOOKUP(DATE(AB$5,$M6,1),dates,big_table)))</f>
        <v>#N/A</v>
      </c>
      <c r="AC6" s="1" t="str">
        <f t="array" ref="AC6">IF(ISBLANK(XLOOKUP($B$3,items,XLOOKUP(DATE(AC$5,$M6,1),dates,big_table))),NA(),XLOOKUP($B$3,items,XLOOKUP(DATE(AC$5,$M6,1),dates,big_table)))</f>
        <v>#N/A</v>
      </c>
      <c r="AD6" s="1" t="str">
        <f t="array" ref="AD6">IF(ISBLANK(XLOOKUP($B$3,items,XLOOKUP(DATE(AD$5,$M6,1),dates,big_table))),NA(),XLOOKUP($B$3,items,XLOOKUP(DATE(AD$5,$M6,1),dates,big_table)))</f>
        <v>#N/A</v>
      </c>
      <c r="AE6" s="1" t="str">
        <f t="shared" ref="AE6:AE17" si="5">AGGREGATE(5,6,OFFSET($T$5,M6,0,1,$J$2))</f>
        <v>#NAME?</v>
      </c>
      <c r="AF6" s="1" t="str">
        <f t="shared" ref="AF6:AF17" si="6">AGGREGATE(4,6,OFFSET($T$5,M6,0,1,$J$2))</f>
        <v>#NAME?</v>
      </c>
      <c r="AG6" s="1" t="str">
        <f t="shared" ref="AG6:AG17" si="7">AF6-AE6</f>
        <v>#NAME?</v>
      </c>
      <c r="AH6" s="1" t="str">
        <f t="shared" ref="AH6:AH17" si="8">AGGREGATE(1,6,OFFSET($T$5,M6,0,1,$J$2))</f>
        <v>#NAME?</v>
      </c>
    </row>
    <row r="7" ht="14.25" customHeight="1">
      <c r="C7" s="33">
        <f t="shared" ref="C7:C143" si="9">EOMONTH(C6,0)+1</f>
        <v>41426</v>
      </c>
      <c r="D7" s="1" t="str">
        <f t="array" ref="D7">XLOOKUP($B$3,items,XLOOKUP(C7,dates,big_table))</f>
        <v>#N/A</v>
      </c>
      <c r="E7" s="1">
        <f t="array" ref="E7">IF(ISNA(XLOOKUP("jodi_last",items,XLOOKUP(C7,dates,big_table))),10^6,-100000)</f>
        <v>1000000</v>
      </c>
      <c r="F7" s="1" t="str">
        <f t="shared" ref="F7:I7" si="3">XLOOKUP(MONTH($C7),$M$6:$M$17,AE$6:AE$17)</f>
        <v>#NAME?</v>
      </c>
      <c r="G7" s="1" t="str">
        <f t="shared" si="3"/>
        <v>#NAME?</v>
      </c>
      <c r="H7" s="1" t="str">
        <f t="shared" si="3"/>
        <v>#NAME?</v>
      </c>
      <c r="I7" s="1" t="str">
        <f t="shared" si="3"/>
        <v>#NAME?</v>
      </c>
      <c r="K7" s="1" t="str">
        <f t="array" ref="K7">XLOOKUP("jodi_last",items,XLOOKUP(EOMONTH(DATE(Q$5,$M7,0),1)+1,dates,big_table))</f>
        <v>#N/A</v>
      </c>
      <c r="L7" s="1" t="str">
        <f t="array" ref="L7">XLOOKUP("jodi_last",items,XLOOKUP(DATE(Q$5,$M7,1),dates,big_table))</f>
        <v>#N/A</v>
      </c>
      <c r="M7" s="1">
        <f t="shared" ref="M7:M17" si="11">M6+1</f>
        <v>2</v>
      </c>
      <c r="N7" s="1" t="str">
        <f t="shared" si="4"/>
        <v>févr.</v>
      </c>
      <c r="O7" s="1" t="str">
        <f t="array" ref="O7">XLOOKUP($B$3,items,XLOOKUP(DATE(Q$5,$M7,1),dates,big_table_as_of))</f>
        <v>#N/A</v>
      </c>
      <c r="P7" s="1" t="str">
        <f t="array" ref="P7">IF(ISNA($K7),XLOOKUP($B$3,items,XLOOKUP(DATE(Q$5,$M7,1),dates,big_table)),NA())</f>
        <v>#N/A</v>
      </c>
      <c r="Q7" s="1" t="str">
        <f t="array" ref="Q7">IF(ISNA($L7),NA(),XLOOKUP($B$3,items,XLOOKUP(DATE(Q$5,$M7,1),dates,big_table)))</f>
        <v>#N/A</v>
      </c>
      <c r="R7" s="1" t="str">
        <f t="array" ref="R7">IF(ISBLANK(XLOOKUP($B$3,items,XLOOKUP(DATE(R$5,$M7,1),dates,big_table))),NA(),XLOOKUP($B$3,items,XLOOKUP(DATE(R$5,$M7,1),dates,big_table)))</f>
        <v>#N/A</v>
      </c>
      <c r="S7" s="1" t="str">
        <f t="array" ref="S7">IF(ISBLANK(XLOOKUP($B$3,items,XLOOKUP(DATE(S$5,$M7,1),dates,big_table))),NA(),XLOOKUP($B$3,items,XLOOKUP(DATE(S$5,$M7,1),dates,big_table)))</f>
        <v>#N/A</v>
      </c>
      <c r="T7" s="1" t="str">
        <f t="array" ref="T7">IF(ISBLANK(XLOOKUP($B$3,items,XLOOKUP(DATE(T$5,$M7,1),dates,big_table))),NA(),XLOOKUP($B$3,items,XLOOKUP(DATE(T$5,$M7,1),dates,big_table)))</f>
        <v>#N/A</v>
      </c>
      <c r="U7" s="1" t="str">
        <f t="array" ref="U7">IF(ISBLANK(XLOOKUP($B$3,items,XLOOKUP(DATE(U$5,$M7,1),dates,big_table))),NA(),XLOOKUP($B$3,items,XLOOKUP(DATE(U$5,$M7,1),dates,big_table)))</f>
        <v>#N/A</v>
      </c>
      <c r="V7" s="1" t="str">
        <f t="array" ref="V7">IF(ISBLANK(XLOOKUP($B$3,items,XLOOKUP(DATE(V$5,$M7,1),dates,big_table))),NA(),XLOOKUP($B$3,items,XLOOKUP(DATE(V$5,$M7,1),dates,big_table)))</f>
        <v>#N/A</v>
      </c>
      <c r="W7" s="1" t="str">
        <f t="array" ref="W7">IF(ISBLANK(XLOOKUP($B$3,items,XLOOKUP(DATE(W$5,$M7,1),dates,big_table))),NA(),XLOOKUP($B$3,items,XLOOKUP(DATE(W$5,$M7,1),dates,big_table)))</f>
        <v>#N/A</v>
      </c>
      <c r="X7" s="1" t="str">
        <f t="array" ref="X7">IF(ISBLANK(XLOOKUP($B$3,items,XLOOKUP(DATE(X$5,$M7,1),dates,big_table))),NA(),XLOOKUP($B$3,items,XLOOKUP(DATE(X$5,$M7,1),dates,big_table)))</f>
        <v>#N/A</v>
      </c>
      <c r="Y7" s="1" t="str">
        <f t="array" ref="Y7">IF(ISBLANK(XLOOKUP($B$3,items,XLOOKUP(DATE(Y$5,$M7,1),dates,big_table))),NA(),XLOOKUP($B$3,items,XLOOKUP(DATE(Y$5,$M7,1),dates,big_table)))</f>
        <v>#N/A</v>
      </c>
      <c r="Z7" s="1" t="str">
        <f t="array" ref="Z7">IF(ISBLANK(XLOOKUP($B$3,items,XLOOKUP(DATE(Z$5,$M7,1),dates,big_table))),NA(),XLOOKUP($B$3,items,XLOOKUP(DATE(Z$5,$M7,1),dates,big_table)))</f>
        <v>#N/A</v>
      </c>
      <c r="AA7" s="1" t="str">
        <f t="array" ref="AA7">IF(ISBLANK(XLOOKUP($B$3,items,XLOOKUP(DATE(AA$5,$M7,1),dates,big_table))),NA(),XLOOKUP($B$3,items,XLOOKUP(DATE(AA$5,$M7,1),dates,big_table)))</f>
        <v>#N/A</v>
      </c>
      <c r="AB7" s="1" t="str">
        <f t="array" ref="AB7">IF(ISBLANK(XLOOKUP($B$3,items,XLOOKUP(DATE(AB$5,$M7,1),dates,big_table))),NA(),XLOOKUP($B$3,items,XLOOKUP(DATE(AB$5,$M7,1),dates,big_table)))</f>
        <v>#N/A</v>
      </c>
      <c r="AC7" s="1" t="str">
        <f t="array" ref="AC7">IF(ISBLANK(XLOOKUP($B$3,items,XLOOKUP(DATE(AC$5,$M7,1),dates,big_table))),NA(),XLOOKUP($B$3,items,XLOOKUP(DATE(AC$5,$M7,1),dates,big_table)))</f>
        <v>#N/A</v>
      </c>
      <c r="AD7" s="1" t="str">
        <f t="array" ref="AD7">IF(ISBLANK(XLOOKUP($B$3,items,XLOOKUP(DATE(AD$5,$M7,1),dates,big_table))),NA(),XLOOKUP($B$3,items,XLOOKUP(DATE(AD$5,$M7,1),dates,big_table)))</f>
        <v>#N/A</v>
      </c>
      <c r="AE7" s="1" t="str">
        <f t="shared" si="5"/>
        <v>#NAME?</v>
      </c>
      <c r="AF7" s="1" t="str">
        <f t="shared" si="6"/>
        <v>#NAME?</v>
      </c>
      <c r="AG7" s="1" t="str">
        <f t="shared" si="7"/>
        <v>#NAME?</v>
      </c>
      <c r="AH7" s="1" t="str">
        <f t="shared" si="8"/>
        <v>#NAME?</v>
      </c>
    </row>
    <row r="8" ht="14.25" customHeight="1">
      <c r="C8" s="33">
        <f t="shared" si="9"/>
        <v>41456</v>
      </c>
      <c r="D8" s="1" t="str">
        <f t="array" ref="D8">XLOOKUP($B$3,items,XLOOKUP(C8,dates,big_table))</f>
        <v>#N/A</v>
      </c>
      <c r="E8" s="1">
        <f t="array" ref="E8">IF(ISNA(XLOOKUP("jodi_last",items,XLOOKUP(C8,dates,big_table))),10^6,-100000)</f>
        <v>1000000</v>
      </c>
      <c r="F8" s="1" t="str">
        <f t="shared" ref="F8:I8" si="10">XLOOKUP(MONTH($C8),$M$6:$M$17,AE$6:AE$17)</f>
        <v>#NAME?</v>
      </c>
      <c r="G8" s="1" t="str">
        <f t="shared" si="10"/>
        <v>#NAME?</v>
      </c>
      <c r="H8" s="1" t="str">
        <f t="shared" si="10"/>
        <v>#NAME?</v>
      </c>
      <c r="I8" s="1" t="str">
        <f t="shared" si="10"/>
        <v>#NAME?</v>
      </c>
      <c r="K8" s="1" t="str">
        <f t="array" ref="K8">XLOOKUP("jodi_last",items,XLOOKUP(EOMONTH(DATE(Q$5,$M8,0),1)+1,dates,big_table))</f>
        <v>#N/A</v>
      </c>
      <c r="L8" s="1" t="str">
        <f t="array" ref="L8">XLOOKUP("jodi_last",items,XLOOKUP(DATE(Q$5,$M8,1),dates,big_table))</f>
        <v>#N/A</v>
      </c>
      <c r="M8" s="1">
        <f t="shared" si="11"/>
        <v>3</v>
      </c>
      <c r="N8" s="1" t="str">
        <f t="shared" si="4"/>
        <v>mars</v>
      </c>
      <c r="O8" s="1" t="str">
        <f t="array" ref="O8">XLOOKUP($B$3,items,XLOOKUP(DATE(Q$5,$M8,1),dates,big_table_as_of))</f>
        <v>#N/A</v>
      </c>
      <c r="P8" s="1" t="str">
        <f t="array" ref="P8">IF(ISNA($K8),XLOOKUP($B$3,items,XLOOKUP(DATE(Q$5,$M8,1),dates,big_table)),NA())</f>
        <v>#N/A</v>
      </c>
      <c r="Q8" s="1" t="str">
        <f t="array" ref="Q8">IF(ISNA($L8),NA(),XLOOKUP($B$3,items,XLOOKUP(DATE(Q$5,$M8,1),dates,big_table)))</f>
        <v>#N/A</v>
      </c>
      <c r="R8" s="1" t="str">
        <f t="array" ref="R8">IF(ISBLANK(XLOOKUP($B$3,items,XLOOKUP(DATE(R$5,$M8,1),dates,big_table))),NA(),XLOOKUP($B$3,items,XLOOKUP(DATE(R$5,$M8,1),dates,big_table)))</f>
        <v>#N/A</v>
      </c>
      <c r="S8" s="1" t="str">
        <f t="array" ref="S8">IF(ISBLANK(XLOOKUP($B$3,items,XLOOKUP(DATE(S$5,$M8,1),dates,big_table))),NA(),XLOOKUP($B$3,items,XLOOKUP(DATE(S$5,$M8,1),dates,big_table)))</f>
        <v>#N/A</v>
      </c>
      <c r="T8" s="1" t="str">
        <f t="array" ref="T8">IF(ISBLANK(XLOOKUP($B$3,items,XLOOKUP(DATE(T$5,$M8,1),dates,big_table))),NA(),XLOOKUP($B$3,items,XLOOKUP(DATE(T$5,$M8,1),dates,big_table)))</f>
        <v>#N/A</v>
      </c>
      <c r="U8" s="1" t="str">
        <f t="array" ref="U8">IF(ISBLANK(XLOOKUP($B$3,items,XLOOKUP(DATE(U$5,$M8,1),dates,big_table))),NA(),XLOOKUP($B$3,items,XLOOKUP(DATE(U$5,$M8,1),dates,big_table)))</f>
        <v>#N/A</v>
      </c>
      <c r="V8" s="1" t="str">
        <f t="array" ref="V8">IF(ISBLANK(XLOOKUP($B$3,items,XLOOKUP(DATE(V$5,$M8,1),dates,big_table))),NA(),XLOOKUP($B$3,items,XLOOKUP(DATE(V$5,$M8,1),dates,big_table)))</f>
        <v>#N/A</v>
      </c>
      <c r="W8" s="1" t="str">
        <f t="array" ref="W8">IF(ISBLANK(XLOOKUP($B$3,items,XLOOKUP(DATE(W$5,$M8,1),dates,big_table))),NA(),XLOOKUP($B$3,items,XLOOKUP(DATE(W$5,$M8,1),dates,big_table)))</f>
        <v>#N/A</v>
      </c>
      <c r="X8" s="1" t="str">
        <f t="array" ref="X8">IF(ISBLANK(XLOOKUP($B$3,items,XLOOKUP(DATE(X$5,$M8,1),dates,big_table))),NA(),XLOOKUP($B$3,items,XLOOKUP(DATE(X$5,$M8,1),dates,big_table)))</f>
        <v>#N/A</v>
      </c>
      <c r="Y8" s="1" t="str">
        <f t="array" ref="Y8">IF(ISBLANK(XLOOKUP($B$3,items,XLOOKUP(DATE(Y$5,$M8,1),dates,big_table))),NA(),XLOOKUP($B$3,items,XLOOKUP(DATE(Y$5,$M8,1),dates,big_table)))</f>
        <v>#N/A</v>
      </c>
      <c r="Z8" s="1" t="str">
        <f t="array" ref="Z8">IF(ISBLANK(XLOOKUP($B$3,items,XLOOKUP(DATE(Z$5,$M8,1),dates,big_table))),NA(),XLOOKUP($B$3,items,XLOOKUP(DATE(Z$5,$M8,1),dates,big_table)))</f>
        <v>#N/A</v>
      </c>
      <c r="AA8" s="1" t="str">
        <f t="array" ref="AA8">IF(ISBLANK(XLOOKUP($B$3,items,XLOOKUP(DATE(AA$5,$M8,1),dates,big_table))),NA(),XLOOKUP($B$3,items,XLOOKUP(DATE(AA$5,$M8,1),dates,big_table)))</f>
        <v>#N/A</v>
      </c>
      <c r="AB8" s="1" t="str">
        <f t="array" ref="AB8">IF(ISBLANK(XLOOKUP($B$3,items,XLOOKUP(DATE(AB$5,$M8,1),dates,big_table))),NA(),XLOOKUP($B$3,items,XLOOKUP(DATE(AB$5,$M8,1),dates,big_table)))</f>
        <v>#N/A</v>
      </c>
      <c r="AC8" s="1" t="str">
        <f t="array" ref="AC8">IF(ISBLANK(XLOOKUP($B$3,items,XLOOKUP(DATE(AC$5,$M8,1),dates,big_table))),NA(),XLOOKUP($B$3,items,XLOOKUP(DATE(AC$5,$M8,1),dates,big_table)))</f>
        <v>#N/A</v>
      </c>
      <c r="AD8" s="1" t="str">
        <f t="array" ref="AD8">IF(ISBLANK(XLOOKUP($B$3,items,XLOOKUP(DATE(AD$5,$M8,1),dates,big_table))),NA(),XLOOKUP($B$3,items,XLOOKUP(DATE(AD$5,$M8,1),dates,big_table)))</f>
        <v>#N/A</v>
      </c>
      <c r="AE8" s="1" t="str">
        <f t="shared" si="5"/>
        <v>#NAME?</v>
      </c>
      <c r="AF8" s="1" t="str">
        <f t="shared" si="6"/>
        <v>#NAME?</v>
      </c>
      <c r="AG8" s="1" t="str">
        <f t="shared" si="7"/>
        <v>#NAME?</v>
      </c>
      <c r="AH8" s="1" t="str">
        <f t="shared" si="8"/>
        <v>#NAME?</v>
      </c>
    </row>
    <row r="9" ht="14.25" customHeight="1">
      <c r="C9" s="33">
        <f t="shared" si="9"/>
        <v>41487</v>
      </c>
      <c r="D9" s="1" t="str">
        <f t="array" ref="D9">XLOOKUP($B$3,items,XLOOKUP(C9,dates,big_table))</f>
        <v>#N/A</v>
      </c>
      <c r="E9" s="1">
        <f t="array" ref="E9">IF(ISNA(XLOOKUP("jodi_last",items,XLOOKUP(C9,dates,big_table))),10^6,-100000)</f>
        <v>1000000</v>
      </c>
      <c r="F9" s="1" t="str">
        <f t="shared" ref="F9:I9" si="12">XLOOKUP(MONTH($C9),$M$6:$M$17,AE$6:AE$17)</f>
        <v>#NAME?</v>
      </c>
      <c r="G9" s="1" t="str">
        <f t="shared" si="12"/>
        <v>#NAME?</v>
      </c>
      <c r="H9" s="1" t="str">
        <f t="shared" si="12"/>
        <v>#NAME?</v>
      </c>
      <c r="I9" s="1" t="str">
        <f t="shared" si="12"/>
        <v>#NAME?</v>
      </c>
      <c r="K9" s="1" t="str">
        <f t="array" ref="K9">XLOOKUP("jodi_last",items,XLOOKUP(EOMONTH(DATE(Q$5,$M9,0),1)+1,dates,big_table))</f>
        <v>#N/A</v>
      </c>
      <c r="L9" s="1" t="str">
        <f t="array" ref="L9">XLOOKUP("jodi_last",items,XLOOKUP(DATE(Q$5,$M9,1),dates,big_table))</f>
        <v>#N/A</v>
      </c>
      <c r="M9" s="1">
        <f t="shared" si="11"/>
        <v>4</v>
      </c>
      <c r="N9" s="1" t="str">
        <f t="shared" si="4"/>
        <v>avr.</v>
      </c>
      <c r="O9" s="1" t="str">
        <f t="array" ref="O9">XLOOKUP($B$3,items,XLOOKUP(DATE(Q$5,$M9,1),dates,big_table_as_of))</f>
        <v>#N/A</v>
      </c>
      <c r="P9" s="1" t="str">
        <f t="array" ref="P9">IF(ISNA($K9),XLOOKUP($B$3,items,XLOOKUP(DATE(Q$5,$M9,1),dates,big_table)),NA())</f>
        <v>#N/A</v>
      </c>
      <c r="Q9" s="1" t="str">
        <f t="array" ref="Q9">IF(ISNA($L9),NA(),XLOOKUP($B$3,items,XLOOKUP(DATE(Q$5,$M9,1),dates,big_table)))</f>
        <v>#N/A</v>
      </c>
      <c r="R9" s="1" t="str">
        <f t="array" ref="R9">IF(ISBLANK(XLOOKUP($B$3,items,XLOOKUP(DATE(R$5,$M9,1),dates,big_table))),NA(),XLOOKUP($B$3,items,XLOOKUP(DATE(R$5,$M9,1),dates,big_table)))</f>
        <v>#N/A</v>
      </c>
      <c r="S9" s="1" t="str">
        <f t="array" ref="S9">IF(ISBLANK(XLOOKUP($B$3,items,XLOOKUP(DATE(S$5,$M9,1),dates,big_table))),NA(),XLOOKUP($B$3,items,XLOOKUP(DATE(S$5,$M9,1),dates,big_table)))</f>
        <v>#N/A</v>
      </c>
      <c r="T9" s="1" t="str">
        <f t="array" ref="T9">IF(ISBLANK(XLOOKUP($B$3,items,XLOOKUP(DATE(T$5,$M9,1),dates,big_table))),NA(),XLOOKUP($B$3,items,XLOOKUP(DATE(T$5,$M9,1),dates,big_table)))</f>
        <v>#N/A</v>
      </c>
      <c r="U9" s="1" t="str">
        <f t="array" ref="U9">IF(ISBLANK(XLOOKUP($B$3,items,XLOOKUP(DATE(U$5,$M9,1),dates,big_table))),NA(),XLOOKUP($B$3,items,XLOOKUP(DATE(U$5,$M9,1),dates,big_table)))</f>
        <v>#N/A</v>
      </c>
      <c r="V9" s="1" t="str">
        <f t="array" ref="V9">IF(ISBLANK(XLOOKUP($B$3,items,XLOOKUP(DATE(V$5,$M9,1),dates,big_table))),NA(),XLOOKUP($B$3,items,XLOOKUP(DATE(V$5,$M9,1),dates,big_table)))</f>
        <v>#N/A</v>
      </c>
      <c r="W9" s="1" t="str">
        <f t="array" ref="W9">IF(ISBLANK(XLOOKUP($B$3,items,XLOOKUP(DATE(W$5,$M9,1),dates,big_table))),NA(),XLOOKUP($B$3,items,XLOOKUP(DATE(W$5,$M9,1),dates,big_table)))</f>
        <v>#N/A</v>
      </c>
      <c r="X9" s="1" t="str">
        <f t="array" ref="X9">IF(ISBLANK(XLOOKUP($B$3,items,XLOOKUP(DATE(X$5,$M9,1),dates,big_table))),NA(),XLOOKUP($B$3,items,XLOOKUP(DATE(X$5,$M9,1),dates,big_table)))</f>
        <v>#N/A</v>
      </c>
      <c r="Y9" s="1" t="str">
        <f t="array" ref="Y9">IF(ISBLANK(XLOOKUP($B$3,items,XLOOKUP(DATE(Y$5,$M9,1),dates,big_table))),NA(),XLOOKUP($B$3,items,XLOOKUP(DATE(Y$5,$M9,1),dates,big_table)))</f>
        <v>#N/A</v>
      </c>
      <c r="Z9" s="1" t="str">
        <f t="array" ref="Z9">IF(ISBLANK(XLOOKUP($B$3,items,XLOOKUP(DATE(Z$5,$M9,1),dates,big_table))),NA(),XLOOKUP($B$3,items,XLOOKUP(DATE(Z$5,$M9,1),dates,big_table)))</f>
        <v>#N/A</v>
      </c>
      <c r="AA9" s="1" t="str">
        <f t="array" ref="AA9">IF(ISBLANK(XLOOKUP($B$3,items,XLOOKUP(DATE(AA$5,$M9,1),dates,big_table))),NA(),XLOOKUP($B$3,items,XLOOKUP(DATE(AA$5,$M9,1),dates,big_table)))</f>
        <v>#N/A</v>
      </c>
      <c r="AB9" s="1" t="str">
        <f t="array" ref="AB9">IF(ISBLANK(XLOOKUP($B$3,items,XLOOKUP(DATE(AB$5,$M9,1),dates,big_table))),NA(),XLOOKUP($B$3,items,XLOOKUP(DATE(AB$5,$M9,1),dates,big_table)))</f>
        <v>#N/A</v>
      </c>
      <c r="AC9" s="1" t="str">
        <f t="array" ref="AC9">IF(ISBLANK(XLOOKUP($B$3,items,XLOOKUP(DATE(AC$5,$M9,1),dates,big_table))),NA(),XLOOKUP($B$3,items,XLOOKUP(DATE(AC$5,$M9,1),dates,big_table)))</f>
        <v>#N/A</v>
      </c>
      <c r="AD9" s="1" t="str">
        <f t="array" ref="AD9">IF(ISBLANK(XLOOKUP($B$3,items,XLOOKUP(DATE(AD$5,$M9,1),dates,big_table))),NA(),XLOOKUP($B$3,items,XLOOKUP(DATE(AD$5,$M9,1),dates,big_table)))</f>
        <v>#N/A</v>
      </c>
      <c r="AE9" s="1" t="str">
        <f t="shared" si="5"/>
        <v>#NAME?</v>
      </c>
      <c r="AF9" s="1" t="str">
        <f t="shared" si="6"/>
        <v>#NAME?</v>
      </c>
      <c r="AG9" s="1" t="str">
        <f t="shared" si="7"/>
        <v>#NAME?</v>
      </c>
      <c r="AH9" s="1" t="str">
        <f t="shared" si="8"/>
        <v>#NAME?</v>
      </c>
    </row>
    <row r="10" ht="14.25" customHeight="1">
      <c r="C10" s="33">
        <f t="shared" si="9"/>
        <v>41518</v>
      </c>
      <c r="D10" s="1" t="str">
        <f t="array" ref="D10">XLOOKUP($B$3,items,XLOOKUP(C10,dates,big_table))</f>
        <v>#N/A</v>
      </c>
      <c r="E10" s="1">
        <f t="array" ref="E10">IF(ISNA(XLOOKUP("jodi_last",items,XLOOKUP(C10,dates,big_table))),10^6,-100000)</f>
        <v>1000000</v>
      </c>
      <c r="F10" s="1" t="str">
        <f t="shared" ref="F10:I10" si="13">XLOOKUP(MONTH($C10),$M$6:$M$17,AE$6:AE$17)</f>
        <v>#NAME?</v>
      </c>
      <c r="G10" s="1" t="str">
        <f t="shared" si="13"/>
        <v>#NAME?</v>
      </c>
      <c r="H10" s="1" t="str">
        <f t="shared" si="13"/>
        <v>#NAME?</v>
      </c>
      <c r="I10" s="1" t="str">
        <f t="shared" si="13"/>
        <v>#NAME?</v>
      </c>
      <c r="K10" s="1" t="str">
        <f t="array" ref="K10">XLOOKUP("jodi_last",items,XLOOKUP(EOMONTH(DATE(Q$5,$M10,0),1)+1,dates,big_table))</f>
        <v>#N/A</v>
      </c>
      <c r="L10" s="1" t="str">
        <f t="array" ref="L10">XLOOKUP("jodi_last",items,XLOOKUP(DATE(Q$5,$M10,1),dates,big_table))</f>
        <v>#N/A</v>
      </c>
      <c r="M10" s="1">
        <f t="shared" si="11"/>
        <v>5</v>
      </c>
      <c r="N10" s="1" t="str">
        <f t="shared" si="4"/>
        <v>mai</v>
      </c>
      <c r="O10" s="1" t="str">
        <f t="array" ref="O10">XLOOKUP($B$3,items,XLOOKUP(DATE(Q$5,$M10,1),dates,big_table_as_of))</f>
        <v>#N/A</v>
      </c>
      <c r="P10" s="1" t="str">
        <f t="array" ref="P10">IF(ISNA($K10),XLOOKUP($B$3,items,XLOOKUP(DATE(Q$5,$M10,1),dates,big_table)),NA())</f>
        <v>#N/A</v>
      </c>
      <c r="Q10" s="1" t="str">
        <f t="array" ref="Q10">IF(ISNA($L10),NA(),XLOOKUP($B$3,items,XLOOKUP(DATE(Q$5,$M10,1),dates,big_table)))</f>
        <v>#N/A</v>
      </c>
      <c r="R10" s="1" t="str">
        <f t="array" ref="R10">IF(ISBLANK(XLOOKUP($B$3,items,XLOOKUP(DATE(R$5,$M10,1),dates,big_table))),NA(),XLOOKUP($B$3,items,XLOOKUP(DATE(R$5,$M10,1),dates,big_table)))</f>
        <v>#N/A</v>
      </c>
      <c r="S10" s="1" t="str">
        <f t="array" ref="S10">IF(ISBLANK(XLOOKUP($B$3,items,XLOOKUP(DATE(S$5,$M10,1),dates,big_table))),NA(),XLOOKUP($B$3,items,XLOOKUP(DATE(S$5,$M10,1),dates,big_table)))</f>
        <v>#N/A</v>
      </c>
      <c r="T10" s="1" t="str">
        <f t="array" ref="T10">IF(ISBLANK(XLOOKUP($B$3,items,XLOOKUP(DATE(T$5,$M10,1),dates,big_table))),NA(),XLOOKUP($B$3,items,XLOOKUP(DATE(T$5,$M10,1),dates,big_table)))</f>
        <v>#N/A</v>
      </c>
      <c r="U10" s="1" t="str">
        <f t="array" ref="U10">IF(ISBLANK(XLOOKUP($B$3,items,XLOOKUP(DATE(U$5,$M10,1),dates,big_table))),NA(),XLOOKUP($B$3,items,XLOOKUP(DATE(U$5,$M10,1),dates,big_table)))</f>
        <v>#N/A</v>
      </c>
      <c r="V10" s="1" t="str">
        <f t="array" ref="V10">IF(ISBLANK(XLOOKUP($B$3,items,XLOOKUP(DATE(V$5,$M10,1),dates,big_table))),NA(),XLOOKUP($B$3,items,XLOOKUP(DATE(V$5,$M10,1),dates,big_table)))</f>
        <v>#N/A</v>
      </c>
      <c r="W10" s="1" t="str">
        <f t="array" ref="W10">IF(ISBLANK(XLOOKUP($B$3,items,XLOOKUP(DATE(W$5,$M10,1),dates,big_table))),NA(),XLOOKUP($B$3,items,XLOOKUP(DATE(W$5,$M10,1),dates,big_table)))</f>
        <v>#N/A</v>
      </c>
      <c r="X10" s="1" t="str">
        <f t="array" ref="X10">IF(ISBLANK(XLOOKUP($B$3,items,XLOOKUP(DATE(X$5,$M10,1),dates,big_table))),NA(),XLOOKUP($B$3,items,XLOOKUP(DATE(X$5,$M10,1),dates,big_table)))</f>
        <v>#N/A</v>
      </c>
      <c r="Y10" s="1" t="str">
        <f t="array" ref="Y10">IF(ISBLANK(XLOOKUP($B$3,items,XLOOKUP(DATE(Y$5,$M10,1),dates,big_table))),NA(),XLOOKUP($B$3,items,XLOOKUP(DATE(Y$5,$M10,1),dates,big_table)))</f>
        <v>#N/A</v>
      </c>
      <c r="Z10" s="1" t="str">
        <f t="array" ref="Z10">IF(ISBLANK(XLOOKUP($B$3,items,XLOOKUP(DATE(Z$5,$M10,1),dates,big_table))),NA(),XLOOKUP($B$3,items,XLOOKUP(DATE(Z$5,$M10,1),dates,big_table)))</f>
        <v>#N/A</v>
      </c>
      <c r="AA10" s="1" t="str">
        <f t="array" ref="AA10">IF(ISBLANK(XLOOKUP($B$3,items,XLOOKUP(DATE(AA$5,$M10,1),dates,big_table))),NA(),XLOOKUP($B$3,items,XLOOKUP(DATE(AA$5,$M10,1),dates,big_table)))</f>
        <v>#N/A</v>
      </c>
      <c r="AB10" s="1" t="str">
        <f t="array" ref="AB10">IF(ISBLANK(XLOOKUP($B$3,items,XLOOKUP(DATE(AB$5,$M10,1),dates,big_table))),NA(),XLOOKUP($B$3,items,XLOOKUP(DATE(AB$5,$M10,1),dates,big_table)))</f>
        <v>#N/A</v>
      </c>
      <c r="AC10" s="1" t="str">
        <f t="array" ref="AC10">IF(ISBLANK(XLOOKUP($B$3,items,XLOOKUP(DATE(AC$5,$M10,1),dates,big_table))),NA(),XLOOKUP($B$3,items,XLOOKUP(DATE(AC$5,$M10,1),dates,big_table)))</f>
        <v>#N/A</v>
      </c>
      <c r="AD10" s="1" t="str">
        <f t="array" ref="AD10">IF(ISBLANK(XLOOKUP($B$3,items,XLOOKUP(DATE(AD$5,$M10,1),dates,big_table))),NA(),XLOOKUP($B$3,items,XLOOKUP(DATE(AD$5,$M10,1),dates,big_table)))</f>
        <v>#N/A</v>
      </c>
      <c r="AE10" s="1" t="str">
        <f t="shared" si="5"/>
        <v>#NAME?</v>
      </c>
      <c r="AF10" s="1" t="str">
        <f t="shared" si="6"/>
        <v>#NAME?</v>
      </c>
      <c r="AG10" s="1" t="str">
        <f t="shared" si="7"/>
        <v>#NAME?</v>
      </c>
      <c r="AH10" s="1" t="str">
        <f t="shared" si="8"/>
        <v>#NAME?</v>
      </c>
    </row>
    <row r="11" ht="14.25" customHeight="1">
      <c r="C11" s="33">
        <f t="shared" si="9"/>
        <v>41548</v>
      </c>
      <c r="D11" s="1" t="str">
        <f t="array" ref="D11">XLOOKUP($B$3,items,XLOOKUP(C11,dates,big_table))</f>
        <v>#N/A</v>
      </c>
      <c r="E11" s="1">
        <f t="array" ref="E11">IF(ISNA(XLOOKUP("jodi_last",items,XLOOKUP(C11,dates,big_table))),10^6,-100000)</f>
        <v>1000000</v>
      </c>
      <c r="F11" s="1" t="str">
        <f t="shared" ref="F11:I11" si="14">XLOOKUP(MONTH($C11),$M$6:$M$17,AE$6:AE$17)</f>
        <v>#NAME?</v>
      </c>
      <c r="G11" s="1" t="str">
        <f t="shared" si="14"/>
        <v>#NAME?</v>
      </c>
      <c r="H11" s="1" t="str">
        <f t="shared" si="14"/>
        <v>#NAME?</v>
      </c>
      <c r="I11" s="1" t="str">
        <f t="shared" si="14"/>
        <v>#NAME?</v>
      </c>
      <c r="K11" s="1" t="str">
        <f t="array" ref="K11">XLOOKUP("jodi_last",items,XLOOKUP(EOMONTH(DATE(Q$5,$M11,0),1)+1,dates,big_table))</f>
        <v>#N/A</v>
      </c>
      <c r="L11" s="1" t="str">
        <f t="array" ref="L11">XLOOKUP("jodi_last",items,XLOOKUP(DATE(Q$5,$M11,1),dates,big_table))</f>
        <v>#N/A</v>
      </c>
      <c r="M11" s="1">
        <f t="shared" si="11"/>
        <v>6</v>
      </c>
      <c r="N11" s="1" t="str">
        <f t="shared" si="4"/>
        <v>juin</v>
      </c>
      <c r="O11" s="1" t="str">
        <f t="array" ref="O11">XLOOKUP($B$3,items,XLOOKUP(DATE(Q$5,$M11,1),dates,big_table_as_of))</f>
        <v>#N/A</v>
      </c>
      <c r="P11" s="1" t="str">
        <f t="array" ref="P11">IF(ISNA($K11),XLOOKUP($B$3,items,XLOOKUP(DATE(Q$5,$M11,1),dates,big_table)),NA())</f>
        <v>#N/A</v>
      </c>
      <c r="Q11" s="1" t="str">
        <f t="array" ref="Q11">IF(ISNA($L11),NA(),XLOOKUP($B$3,items,XLOOKUP(DATE(Q$5,$M11,1),dates,big_table)))</f>
        <v>#N/A</v>
      </c>
      <c r="R11" s="1" t="str">
        <f t="array" ref="R11">IF(ISBLANK(XLOOKUP($B$3,items,XLOOKUP(DATE(R$5,$M11,1),dates,big_table))),NA(),XLOOKUP($B$3,items,XLOOKUP(DATE(R$5,$M11,1),dates,big_table)))</f>
        <v>#N/A</v>
      </c>
      <c r="S11" s="1" t="str">
        <f t="array" ref="S11">IF(ISBLANK(XLOOKUP($B$3,items,XLOOKUP(DATE(S$5,$M11,1),dates,big_table))),NA(),XLOOKUP($B$3,items,XLOOKUP(DATE(S$5,$M11,1),dates,big_table)))</f>
        <v>#N/A</v>
      </c>
      <c r="T11" s="1" t="str">
        <f t="array" ref="T11">IF(ISBLANK(XLOOKUP($B$3,items,XLOOKUP(DATE(T$5,$M11,1),dates,big_table))),NA(),XLOOKUP($B$3,items,XLOOKUP(DATE(T$5,$M11,1),dates,big_table)))</f>
        <v>#N/A</v>
      </c>
      <c r="U11" s="1" t="str">
        <f t="array" ref="U11">IF(ISBLANK(XLOOKUP($B$3,items,XLOOKUP(DATE(U$5,$M11,1),dates,big_table))),NA(),XLOOKUP($B$3,items,XLOOKUP(DATE(U$5,$M11,1),dates,big_table)))</f>
        <v>#N/A</v>
      </c>
      <c r="V11" s="1" t="str">
        <f t="array" ref="V11">IF(ISBLANK(XLOOKUP($B$3,items,XLOOKUP(DATE(V$5,$M11,1),dates,big_table))),NA(),XLOOKUP($B$3,items,XLOOKUP(DATE(V$5,$M11,1),dates,big_table)))</f>
        <v>#N/A</v>
      </c>
      <c r="W11" s="1" t="str">
        <f t="array" ref="W11">IF(ISBLANK(XLOOKUP($B$3,items,XLOOKUP(DATE(W$5,$M11,1),dates,big_table))),NA(),XLOOKUP($B$3,items,XLOOKUP(DATE(W$5,$M11,1),dates,big_table)))</f>
        <v>#N/A</v>
      </c>
      <c r="X11" s="1" t="str">
        <f t="array" ref="X11">IF(ISBLANK(XLOOKUP($B$3,items,XLOOKUP(DATE(X$5,$M11,1),dates,big_table))),NA(),XLOOKUP($B$3,items,XLOOKUP(DATE(X$5,$M11,1),dates,big_table)))</f>
        <v>#N/A</v>
      </c>
      <c r="Y11" s="1" t="str">
        <f t="array" ref="Y11">IF(ISBLANK(XLOOKUP($B$3,items,XLOOKUP(DATE(Y$5,$M11,1),dates,big_table))),NA(),XLOOKUP($B$3,items,XLOOKUP(DATE(Y$5,$M11,1),dates,big_table)))</f>
        <v>#N/A</v>
      </c>
      <c r="Z11" s="1" t="str">
        <f t="array" ref="Z11">IF(ISBLANK(XLOOKUP($B$3,items,XLOOKUP(DATE(Z$5,$M11,1),dates,big_table))),NA(),XLOOKUP($B$3,items,XLOOKUP(DATE(Z$5,$M11,1),dates,big_table)))</f>
        <v>#N/A</v>
      </c>
      <c r="AA11" s="1" t="str">
        <f t="array" ref="AA11">IF(ISBLANK(XLOOKUP($B$3,items,XLOOKUP(DATE(AA$5,$M11,1),dates,big_table))),NA(),XLOOKUP($B$3,items,XLOOKUP(DATE(AA$5,$M11,1),dates,big_table)))</f>
        <v>#N/A</v>
      </c>
      <c r="AB11" s="1" t="str">
        <f t="array" ref="AB11">IF(ISBLANK(XLOOKUP($B$3,items,XLOOKUP(DATE(AB$5,$M11,1),dates,big_table))),NA(),XLOOKUP($B$3,items,XLOOKUP(DATE(AB$5,$M11,1),dates,big_table)))</f>
        <v>#N/A</v>
      </c>
      <c r="AC11" s="1" t="str">
        <f t="array" ref="AC11">IF(ISBLANK(XLOOKUP($B$3,items,XLOOKUP(DATE(AC$5,$M11,1),dates,big_table))),NA(),XLOOKUP($B$3,items,XLOOKUP(DATE(AC$5,$M11,1),dates,big_table)))</f>
        <v>#N/A</v>
      </c>
      <c r="AD11" s="1" t="str">
        <f t="array" ref="AD11">IF(ISBLANK(XLOOKUP($B$3,items,XLOOKUP(DATE(AD$5,$M11,1),dates,big_table))),NA(),XLOOKUP($B$3,items,XLOOKUP(DATE(AD$5,$M11,1),dates,big_table)))</f>
        <v>#N/A</v>
      </c>
      <c r="AE11" s="1" t="str">
        <f t="shared" si="5"/>
        <v>#NAME?</v>
      </c>
      <c r="AF11" s="1" t="str">
        <f t="shared" si="6"/>
        <v>#NAME?</v>
      </c>
      <c r="AG11" s="1" t="str">
        <f t="shared" si="7"/>
        <v>#NAME?</v>
      </c>
      <c r="AH11" s="1" t="str">
        <f t="shared" si="8"/>
        <v>#NAME?</v>
      </c>
    </row>
    <row r="12" ht="14.25" customHeight="1">
      <c r="C12" s="33">
        <f t="shared" si="9"/>
        <v>41579</v>
      </c>
      <c r="D12" s="1" t="str">
        <f t="array" ref="D12">XLOOKUP($B$3,items,XLOOKUP(C12,dates,big_table))</f>
        <v>#N/A</v>
      </c>
      <c r="E12" s="1">
        <f t="array" ref="E12">IF(ISNA(XLOOKUP("jodi_last",items,XLOOKUP(C12,dates,big_table))),10^6,-100000)</f>
        <v>1000000</v>
      </c>
      <c r="F12" s="1" t="str">
        <f t="shared" ref="F12:I12" si="15">XLOOKUP(MONTH($C12),$M$6:$M$17,AE$6:AE$17)</f>
        <v>#NAME?</v>
      </c>
      <c r="G12" s="1" t="str">
        <f t="shared" si="15"/>
        <v>#NAME?</v>
      </c>
      <c r="H12" s="1" t="str">
        <f t="shared" si="15"/>
        <v>#NAME?</v>
      </c>
      <c r="I12" s="1" t="str">
        <f t="shared" si="15"/>
        <v>#NAME?</v>
      </c>
      <c r="K12" s="1" t="str">
        <f t="array" ref="K12">XLOOKUP("jodi_last",items,XLOOKUP(EOMONTH(DATE(Q$5,$M12,0),1)+1,dates,big_table))</f>
        <v>#N/A</v>
      </c>
      <c r="L12" s="1" t="str">
        <f t="array" ref="L12">XLOOKUP("jodi_last",items,XLOOKUP(DATE(Q$5,$M12,1),dates,big_table))</f>
        <v>#N/A</v>
      </c>
      <c r="M12" s="1">
        <f t="shared" si="11"/>
        <v>7</v>
      </c>
      <c r="N12" s="1" t="str">
        <f t="shared" si="4"/>
        <v>juil.</v>
      </c>
      <c r="O12" s="1" t="str">
        <f t="array" ref="O12">XLOOKUP($B$3,items,XLOOKUP(DATE(Q$5,$M12,1),dates,big_table_as_of))</f>
        <v>#N/A</v>
      </c>
      <c r="P12" s="1" t="str">
        <f t="array" ref="P12">IF(ISNA($K12),XLOOKUP($B$3,items,XLOOKUP(DATE(Q$5,$M12,1),dates,big_table)),NA())</f>
        <v>#N/A</v>
      </c>
      <c r="Q12" s="1" t="str">
        <f t="array" ref="Q12">IF(ISNA($L12),NA(),XLOOKUP($B$3,items,XLOOKUP(DATE(Q$5,$M12,1),dates,big_table)))</f>
        <v>#N/A</v>
      </c>
      <c r="R12" s="1" t="str">
        <f t="array" ref="R12">IF(ISBLANK(XLOOKUP($B$3,items,XLOOKUP(DATE(R$5,$M12,1),dates,big_table))),NA(),XLOOKUP($B$3,items,XLOOKUP(DATE(R$5,$M12,1),dates,big_table)))</f>
        <v>#N/A</v>
      </c>
      <c r="S12" s="1" t="str">
        <f t="array" ref="S12">IF(ISBLANK(XLOOKUP($B$3,items,XLOOKUP(DATE(S$5,$M12,1),dates,big_table))),NA(),XLOOKUP($B$3,items,XLOOKUP(DATE(S$5,$M12,1),dates,big_table)))</f>
        <v>#N/A</v>
      </c>
      <c r="T12" s="1" t="str">
        <f t="array" ref="T12">IF(ISBLANK(XLOOKUP($B$3,items,XLOOKUP(DATE(T$5,$M12,1),dates,big_table))),NA(),XLOOKUP($B$3,items,XLOOKUP(DATE(T$5,$M12,1),dates,big_table)))</f>
        <v>#N/A</v>
      </c>
      <c r="U12" s="1" t="str">
        <f t="array" ref="U12">IF(ISBLANK(XLOOKUP($B$3,items,XLOOKUP(DATE(U$5,$M12,1),dates,big_table))),NA(),XLOOKUP($B$3,items,XLOOKUP(DATE(U$5,$M12,1),dates,big_table)))</f>
        <v>#N/A</v>
      </c>
      <c r="V12" s="1" t="str">
        <f t="array" ref="V12">IF(ISBLANK(XLOOKUP($B$3,items,XLOOKUP(DATE(V$5,$M12,1),dates,big_table))),NA(),XLOOKUP($B$3,items,XLOOKUP(DATE(V$5,$M12,1),dates,big_table)))</f>
        <v>#N/A</v>
      </c>
      <c r="W12" s="1" t="str">
        <f t="array" ref="W12">IF(ISBLANK(XLOOKUP($B$3,items,XLOOKUP(DATE(W$5,$M12,1),dates,big_table))),NA(),XLOOKUP($B$3,items,XLOOKUP(DATE(W$5,$M12,1),dates,big_table)))</f>
        <v>#N/A</v>
      </c>
      <c r="X12" s="1" t="str">
        <f t="array" ref="X12">IF(ISBLANK(XLOOKUP($B$3,items,XLOOKUP(DATE(X$5,$M12,1),dates,big_table))),NA(),XLOOKUP($B$3,items,XLOOKUP(DATE(X$5,$M12,1),dates,big_table)))</f>
        <v>#N/A</v>
      </c>
      <c r="Y12" s="1" t="str">
        <f t="array" ref="Y12">IF(ISBLANK(XLOOKUP($B$3,items,XLOOKUP(DATE(Y$5,$M12,1),dates,big_table))),NA(),XLOOKUP($B$3,items,XLOOKUP(DATE(Y$5,$M12,1),dates,big_table)))</f>
        <v>#N/A</v>
      </c>
      <c r="Z12" s="1" t="str">
        <f t="array" ref="Z12">IF(ISBLANK(XLOOKUP($B$3,items,XLOOKUP(DATE(Z$5,$M12,1),dates,big_table))),NA(),XLOOKUP($B$3,items,XLOOKUP(DATE(Z$5,$M12,1),dates,big_table)))</f>
        <v>#N/A</v>
      </c>
      <c r="AA12" s="1" t="str">
        <f t="array" ref="AA12">IF(ISBLANK(XLOOKUP($B$3,items,XLOOKUP(DATE(AA$5,$M12,1),dates,big_table))),NA(),XLOOKUP($B$3,items,XLOOKUP(DATE(AA$5,$M12,1),dates,big_table)))</f>
        <v>#N/A</v>
      </c>
      <c r="AB12" s="1" t="str">
        <f t="array" ref="AB12">IF(ISBLANK(XLOOKUP($B$3,items,XLOOKUP(DATE(AB$5,$M12,1),dates,big_table))),NA(),XLOOKUP($B$3,items,XLOOKUP(DATE(AB$5,$M12,1),dates,big_table)))</f>
        <v>#N/A</v>
      </c>
      <c r="AC12" s="1" t="str">
        <f t="array" ref="AC12">IF(ISBLANK(XLOOKUP($B$3,items,XLOOKUP(DATE(AC$5,$M12,1),dates,big_table))),NA(),XLOOKUP($B$3,items,XLOOKUP(DATE(AC$5,$M12,1),dates,big_table)))</f>
        <v>#N/A</v>
      </c>
      <c r="AD12" s="1" t="str">
        <f t="array" ref="AD12">IF(ISBLANK(XLOOKUP($B$3,items,XLOOKUP(DATE(AD$5,$M12,1),dates,big_table))),NA(),XLOOKUP($B$3,items,XLOOKUP(DATE(AD$5,$M12,1),dates,big_table)))</f>
        <v>#N/A</v>
      </c>
      <c r="AE12" s="1" t="str">
        <f t="shared" si="5"/>
        <v>#NAME?</v>
      </c>
      <c r="AF12" s="1" t="str">
        <f t="shared" si="6"/>
        <v>#NAME?</v>
      </c>
      <c r="AG12" s="1" t="str">
        <f t="shared" si="7"/>
        <v>#NAME?</v>
      </c>
      <c r="AH12" s="1" t="str">
        <f t="shared" si="8"/>
        <v>#NAME?</v>
      </c>
    </row>
    <row r="13" ht="14.25" customHeight="1">
      <c r="C13" s="33">
        <f t="shared" si="9"/>
        <v>41609</v>
      </c>
      <c r="D13" s="1" t="str">
        <f t="array" ref="D13">XLOOKUP($B$3,items,XLOOKUP(C13,dates,big_table))</f>
        <v>#N/A</v>
      </c>
      <c r="E13" s="1">
        <f t="array" ref="E13">IF(ISNA(XLOOKUP("jodi_last",items,XLOOKUP(C13,dates,big_table))),10^6,-100000)</f>
        <v>1000000</v>
      </c>
      <c r="F13" s="1" t="str">
        <f t="shared" ref="F13:I13" si="16">XLOOKUP(MONTH($C13),$M$6:$M$17,AE$6:AE$17)</f>
        <v>#NAME?</v>
      </c>
      <c r="G13" s="1" t="str">
        <f t="shared" si="16"/>
        <v>#NAME?</v>
      </c>
      <c r="H13" s="1" t="str">
        <f t="shared" si="16"/>
        <v>#NAME?</v>
      </c>
      <c r="I13" s="1" t="str">
        <f t="shared" si="16"/>
        <v>#NAME?</v>
      </c>
      <c r="K13" s="1" t="str">
        <f t="array" ref="K13">XLOOKUP("jodi_last",items,XLOOKUP(EOMONTH(DATE(Q$5,$M13,0),1)+1,dates,big_table))</f>
        <v>#N/A</v>
      </c>
      <c r="L13" s="1" t="str">
        <f t="array" ref="L13">XLOOKUP("jodi_last",items,XLOOKUP(DATE(Q$5,$M13,1),dates,big_table))</f>
        <v>#N/A</v>
      </c>
      <c r="M13" s="1">
        <f t="shared" si="11"/>
        <v>8</v>
      </c>
      <c r="N13" s="1" t="str">
        <f t="shared" si="4"/>
        <v>août</v>
      </c>
      <c r="O13" s="1" t="str">
        <f t="array" ref="O13">XLOOKUP($B$3,items,XLOOKUP(DATE(Q$5,$M13,1),dates,big_table_as_of))</f>
        <v>#N/A</v>
      </c>
      <c r="P13" s="1" t="str">
        <f t="array" ref="P13">IF(ISNA($K13),XLOOKUP($B$3,items,XLOOKUP(DATE(Q$5,$M13,1),dates,big_table)),NA())</f>
        <v>#N/A</v>
      </c>
      <c r="Q13" s="1" t="str">
        <f t="array" ref="Q13">IF(ISNA($L13),NA(),XLOOKUP($B$3,items,XLOOKUP(DATE(Q$5,$M13,1),dates,big_table)))</f>
        <v>#N/A</v>
      </c>
      <c r="R13" s="1" t="str">
        <f t="array" ref="R13">IF(ISBLANK(XLOOKUP($B$3,items,XLOOKUP(DATE(R$5,$M13,1),dates,big_table))),NA(),XLOOKUP($B$3,items,XLOOKUP(DATE(R$5,$M13,1),dates,big_table)))</f>
        <v>#N/A</v>
      </c>
      <c r="S13" s="1" t="str">
        <f t="array" ref="S13">IF(ISBLANK(XLOOKUP($B$3,items,XLOOKUP(DATE(S$5,$M13,1),dates,big_table))),NA(),XLOOKUP($B$3,items,XLOOKUP(DATE(S$5,$M13,1),dates,big_table)))</f>
        <v>#N/A</v>
      </c>
      <c r="T13" s="1" t="str">
        <f t="array" ref="T13">IF(ISBLANK(XLOOKUP($B$3,items,XLOOKUP(DATE(T$5,$M13,1),dates,big_table))),NA(),XLOOKUP($B$3,items,XLOOKUP(DATE(T$5,$M13,1),dates,big_table)))</f>
        <v>#N/A</v>
      </c>
      <c r="U13" s="1" t="str">
        <f t="array" ref="U13">IF(ISBLANK(XLOOKUP($B$3,items,XLOOKUP(DATE(U$5,$M13,1),dates,big_table))),NA(),XLOOKUP($B$3,items,XLOOKUP(DATE(U$5,$M13,1),dates,big_table)))</f>
        <v>#N/A</v>
      </c>
      <c r="V13" s="1" t="str">
        <f t="array" ref="V13">IF(ISBLANK(XLOOKUP($B$3,items,XLOOKUP(DATE(V$5,$M13,1),dates,big_table))),NA(),XLOOKUP($B$3,items,XLOOKUP(DATE(V$5,$M13,1),dates,big_table)))</f>
        <v>#N/A</v>
      </c>
      <c r="W13" s="1" t="str">
        <f t="array" ref="W13">IF(ISBLANK(XLOOKUP($B$3,items,XLOOKUP(DATE(W$5,$M13,1),dates,big_table))),NA(),XLOOKUP($B$3,items,XLOOKUP(DATE(W$5,$M13,1),dates,big_table)))</f>
        <v>#N/A</v>
      </c>
      <c r="X13" s="1" t="str">
        <f t="array" ref="X13">IF(ISBLANK(XLOOKUP($B$3,items,XLOOKUP(DATE(X$5,$M13,1),dates,big_table))),NA(),XLOOKUP($B$3,items,XLOOKUP(DATE(X$5,$M13,1),dates,big_table)))</f>
        <v>#N/A</v>
      </c>
      <c r="Y13" s="1" t="str">
        <f t="array" ref="Y13">IF(ISBLANK(XLOOKUP($B$3,items,XLOOKUP(DATE(Y$5,$M13,1),dates,big_table))),NA(),XLOOKUP($B$3,items,XLOOKUP(DATE(Y$5,$M13,1),dates,big_table)))</f>
        <v>#N/A</v>
      </c>
      <c r="Z13" s="1" t="str">
        <f t="array" ref="Z13">IF(ISBLANK(XLOOKUP($B$3,items,XLOOKUP(DATE(Z$5,$M13,1),dates,big_table))),NA(),XLOOKUP($B$3,items,XLOOKUP(DATE(Z$5,$M13,1),dates,big_table)))</f>
        <v>#N/A</v>
      </c>
      <c r="AA13" s="1" t="str">
        <f t="array" ref="AA13">IF(ISBLANK(XLOOKUP($B$3,items,XLOOKUP(DATE(AA$5,$M13,1),dates,big_table))),NA(),XLOOKUP($B$3,items,XLOOKUP(DATE(AA$5,$M13,1),dates,big_table)))</f>
        <v>#N/A</v>
      </c>
      <c r="AB13" s="1" t="str">
        <f t="array" ref="AB13">IF(ISBLANK(XLOOKUP($B$3,items,XLOOKUP(DATE(AB$5,$M13,1),dates,big_table))),NA(),XLOOKUP($B$3,items,XLOOKUP(DATE(AB$5,$M13,1),dates,big_table)))</f>
        <v>#N/A</v>
      </c>
      <c r="AC13" s="1" t="str">
        <f t="array" ref="AC13">IF(ISBLANK(XLOOKUP($B$3,items,XLOOKUP(DATE(AC$5,$M13,1),dates,big_table))),NA(),XLOOKUP($B$3,items,XLOOKUP(DATE(AC$5,$M13,1),dates,big_table)))</f>
        <v>#N/A</v>
      </c>
      <c r="AD13" s="1" t="str">
        <f t="array" ref="AD13">IF(ISBLANK(XLOOKUP($B$3,items,XLOOKUP(DATE(AD$5,$M13,1),dates,big_table))),NA(),XLOOKUP($B$3,items,XLOOKUP(DATE(AD$5,$M13,1),dates,big_table)))</f>
        <v>#N/A</v>
      </c>
      <c r="AE13" s="1" t="str">
        <f t="shared" si="5"/>
        <v>#NAME?</v>
      </c>
      <c r="AF13" s="1" t="str">
        <f t="shared" si="6"/>
        <v>#NAME?</v>
      </c>
      <c r="AG13" s="1" t="str">
        <f t="shared" si="7"/>
        <v>#NAME?</v>
      </c>
      <c r="AH13" s="1" t="str">
        <f t="shared" si="8"/>
        <v>#NAME?</v>
      </c>
    </row>
    <row r="14" ht="14.25" customHeight="1">
      <c r="C14" s="33">
        <f t="shared" si="9"/>
        <v>41640</v>
      </c>
      <c r="D14" s="1" t="str">
        <f t="array" ref="D14">XLOOKUP($B$3,items,XLOOKUP(C14,dates,big_table))</f>
        <v>#N/A</v>
      </c>
      <c r="E14" s="1">
        <f t="array" ref="E14">IF(ISNA(XLOOKUP("jodi_last",items,XLOOKUP(C14,dates,big_table))),10^6,-100000)</f>
        <v>1000000</v>
      </c>
      <c r="F14" s="1" t="str">
        <f t="shared" ref="F14:I14" si="17">XLOOKUP(MONTH($C14),$M$6:$M$17,AE$6:AE$17)</f>
        <v>#NAME?</v>
      </c>
      <c r="G14" s="1" t="str">
        <f t="shared" si="17"/>
        <v>#NAME?</v>
      </c>
      <c r="H14" s="1" t="str">
        <f t="shared" si="17"/>
        <v>#NAME?</v>
      </c>
      <c r="I14" s="1" t="str">
        <f t="shared" si="17"/>
        <v>#NAME?</v>
      </c>
      <c r="K14" s="1" t="str">
        <f t="array" ref="K14">XLOOKUP("jodi_last",items,XLOOKUP(EOMONTH(DATE(Q$5,$M14,0),1)+1,dates,big_table))</f>
        <v>#N/A</v>
      </c>
      <c r="L14" s="1" t="str">
        <f t="array" ref="L14">XLOOKUP("jodi_last",items,XLOOKUP(DATE(Q$5,$M14,1),dates,big_table))</f>
        <v>#N/A</v>
      </c>
      <c r="M14" s="1">
        <f t="shared" si="11"/>
        <v>9</v>
      </c>
      <c r="N14" s="1" t="str">
        <f t="shared" si="4"/>
        <v>sept.</v>
      </c>
      <c r="O14" s="1" t="str">
        <f t="array" ref="O14">XLOOKUP($B$3,items,XLOOKUP(DATE(Q$5,$M14,1),dates,big_table_as_of))</f>
        <v>#N/A</v>
      </c>
      <c r="P14" s="1" t="str">
        <f t="array" ref="P14">IF(ISNA($K14),XLOOKUP($B$3,items,XLOOKUP(DATE(Q$5,$M14,1),dates,big_table)),NA())</f>
        <v>#N/A</v>
      </c>
      <c r="Q14" s="1" t="str">
        <f t="array" ref="Q14">IF(ISNA($L14),NA(),XLOOKUP($B$3,items,XLOOKUP(DATE(Q$5,$M14,1),dates,big_table)))</f>
        <v>#N/A</v>
      </c>
      <c r="R14" s="1" t="str">
        <f t="array" ref="R14">IF(ISBLANK(XLOOKUP($B$3,items,XLOOKUP(DATE(R$5,$M14,1),dates,big_table))),NA(),XLOOKUP($B$3,items,XLOOKUP(DATE(R$5,$M14,1),dates,big_table)))</f>
        <v>#N/A</v>
      </c>
      <c r="S14" s="1" t="str">
        <f t="array" ref="S14">IF(ISBLANK(XLOOKUP($B$3,items,XLOOKUP(DATE(S$5,$M14,1),dates,big_table))),NA(),XLOOKUP($B$3,items,XLOOKUP(DATE(S$5,$M14,1),dates,big_table)))</f>
        <v>#N/A</v>
      </c>
      <c r="T14" s="1" t="str">
        <f t="array" ref="T14">IF(ISBLANK(XLOOKUP($B$3,items,XLOOKUP(DATE(T$5,$M14,1),dates,big_table))),NA(),XLOOKUP($B$3,items,XLOOKUP(DATE(T$5,$M14,1),dates,big_table)))</f>
        <v>#N/A</v>
      </c>
      <c r="U14" s="1" t="str">
        <f t="array" ref="U14">IF(ISBLANK(XLOOKUP($B$3,items,XLOOKUP(DATE(U$5,$M14,1),dates,big_table))),NA(),XLOOKUP($B$3,items,XLOOKUP(DATE(U$5,$M14,1),dates,big_table)))</f>
        <v>#N/A</v>
      </c>
      <c r="V14" s="1" t="str">
        <f t="array" ref="V14">IF(ISBLANK(XLOOKUP($B$3,items,XLOOKUP(DATE(V$5,$M14,1),dates,big_table))),NA(),XLOOKUP($B$3,items,XLOOKUP(DATE(V$5,$M14,1),dates,big_table)))</f>
        <v>#N/A</v>
      </c>
      <c r="W14" s="1" t="str">
        <f t="array" ref="W14">IF(ISBLANK(XLOOKUP($B$3,items,XLOOKUP(DATE(W$5,$M14,1),dates,big_table))),NA(),XLOOKUP($B$3,items,XLOOKUP(DATE(W$5,$M14,1),dates,big_table)))</f>
        <v>#N/A</v>
      </c>
      <c r="X14" s="1" t="str">
        <f t="array" ref="X14">IF(ISBLANK(XLOOKUP($B$3,items,XLOOKUP(DATE(X$5,$M14,1),dates,big_table))),NA(),XLOOKUP($B$3,items,XLOOKUP(DATE(X$5,$M14,1),dates,big_table)))</f>
        <v>#N/A</v>
      </c>
      <c r="Y14" s="1" t="str">
        <f t="array" ref="Y14">IF(ISBLANK(XLOOKUP($B$3,items,XLOOKUP(DATE(Y$5,$M14,1),dates,big_table))),NA(),XLOOKUP($B$3,items,XLOOKUP(DATE(Y$5,$M14,1),dates,big_table)))</f>
        <v>#N/A</v>
      </c>
      <c r="Z14" s="1" t="str">
        <f t="array" ref="Z14">IF(ISBLANK(XLOOKUP($B$3,items,XLOOKUP(DATE(Z$5,$M14,1),dates,big_table))),NA(),XLOOKUP($B$3,items,XLOOKUP(DATE(Z$5,$M14,1),dates,big_table)))</f>
        <v>#N/A</v>
      </c>
      <c r="AA14" s="1" t="str">
        <f t="array" ref="AA14">IF(ISBLANK(XLOOKUP($B$3,items,XLOOKUP(DATE(AA$5,$M14,1),dates,big_table))),NA(),XLOOKUP($B$3,items,XLOOKUP(DATE(AA$5,$M14,1),dates,big_table)))</f>
        <v>#N/A</v>
      </c>
      <c r="AB14" s="1" t="str">
        <f t="array" ref="AB14">IF(ISBLANK(XLOOKUP($B$3,items,XLOOKUP(DATE(AB$5,$M14,1),dates,big_table))),NA(),XLOOKUP($B$3,items,XLOOKUP(DATE(AB$5,$M14,1),dates,big_table)))</f>
        <v>#N/A</v>
      </c>
      <c r="AC14" s="1" t="str">
        <f t="array" ref="AC14">IF(ISBLANK(XLOOKUP($B$3,items,XLOOKUP(DATE(AC$5,$M14,1),dates,big_table))),NA(),XLOOKUP($B$3,items,XLOOKUP(DATE(AC$5,$M14,1),dates,big_table)))</f>
        <v>#N/A</v>
      </c>
      <c r="AD14" s="1" t="str">
        <f t="array" ref="AD14">IF(ISBLANK(XLOOKUP($B$3,items,XLOOKUP(DATE(AD$5,$M14,1),dates,big_table))),NA(),XLOOKUP($B$3,items,XLOOKUP(DATE(AD$5,$M14,1),dates,big_table)))</f>
        <v>#N/A</v>
      </c>
      <c r="AE14" s="1" t="str">
        <f t="shared" si="5"/>
        <v>#NAME?</v>
      </c>
      <c r="AF14" s="1" t="str">
        <f t="shared" si="6"/>
        <v>#NAME?</v>
      </c>
      <c r="AG14" s="1" t="str">
        <f t="shared" si="7"/>
        <v>#NAME?</v>
      </c>
      <c r="AH14" s="1" t="str">
        <f t="shared" si="8"/>
        <v>#NAME?</v>
      </c>
    </row>
    <row r="15" ht="14.25" customHeight="1">
      <c r="C15" s="33">
        <f t="shared" si="9"/>
        <v>41671</v>
      </c>
      <c r="D15" s="1" t="str">
        <f t="array" ref="D15">XLOOKUP($B$3,items,XLOOKUP(C15,dates,big_table))</f>
        <v>#N/A</v>
      </c>
      <c r="E15" s="1">
        <f t="array" ref="E15">IF(ISNA(XLOOKUP("jodi_last",items,XLOOKUP(C15,dates,big_table))),10^6,-100000)</f>
        <v>1000000</v>
      </c>
      <c r="F15" s="1" t="str">
        <f t="shared" ref="F15:I15" si="18">XLOOKUP(MONTH($C15),$M$6:$M$17,AE$6:AE$17)</f>
        <v>#NAME?</v>
      </c>
      <c r="G15" s="1" t="str">
        <f t="shared" si="18"/>
        <v>#NAME?</v>
      </c>
      <c r="H15" s="1" t="str">
        <f t="shared" si="18"/>
        <v>#NAME?</v>
      </c>
      <c r="I15" s="1" t="str">
        <f t="shared" si="18"/>
        <v>#NAME?</v>
      </c>
      <c r="K15" s="1" t="str">
        <f t="array" ref="K15">XLOOKUP("jodi_last",items,XLOOKUP(EOMONTH(DATE(Q$5,$M15,0),1)+1,dates,big_table))</f>
        <v>#N/A</v>
      </c>
      <c r="L15" s="1" t="str">
        <f t="array" ref="L15">XLOOKUP("jodi_last",items,XLOOKUP(DATE(Q$5,$M15,1),dates,big_table))</f>
        <v>#N/A</v>
      </c>
      <c r="M15" s="1">
        <f t="shared" si="11"/>
        <v>10</v>
      </c>
      <c r="N15" s="1" t="str">
        <f t="shared" si="4"/>
        <v>oct.</v>
      </c>
      <c r="O15" s="1" t="str">
        <f t="array" ref="O15">XLOOKUP($B$3,items,XLOOKUP(DATE(Q$5,$M15,1),dates,big_table_as_of))</f>
        <v>#N/A</v>
      </c>
      <c r="P15" s="1" t="str">
        <f t="array" ref="P15">IF(ISNA($K15),XLOOKUP($B$3,items,XLOOKUP(DATE(Q$5,$M15,1),dates,big_table)),NA())</f>
        <v>#N/A</v>
      </c>
      <c r="Q15" s="1" t="str">
        <f t="array" ref="Q15">IF(ISNA($L15),NA(),XLOOKUP($B$3,items,XLOOKUP(DATE(Q$5,$M15,1),dates,big_table)))</f>
        <v>#N/A</v>
      </c>
      <c r="R15" s="1" t="str">
        <f t="array" ref="R15">IF(ISBLANK(XLOOKUP($B$3,items,XLOOKUP(DATE(R$5,$M15,1),dates,big_table))),NA(),XLOOKUP($B$3,items,XLOOKUP(DATE(R$5,$M15,1),dates,big_table)))</f>
        <v>#N/A</v>
      </c>
      <c r="S15" s="1" t="str">
        <f t="array" ref="S15">IF(ISBLANK(XLOOKUP($B$3,items,XLOOKUP(DATE(S$5,$M15,1),dates,big_table))),NA(),XLOOKUP($B$3,items,XLOOKUP(DATE(S$5,$M15,1),dates,big_table)))</f>
        <v>#N/A</v>
      </c>
      <c r="T15" s="1" t="str">
        <f t="array" ref="T15">IF(ISBLANK(XLOOKUP($B$3,items,XLOOKUP(DATE(T$5,$M15,1),dates,big_table))),NA(),XLOOKUP($B$3,items,XLOOKUP(DATE(T$5,$M15,1),dates,big_table)))</f>
        <v>#N/A</v>
      </c>
      <c r="U15" s="1" t="str">
        <f t="array" ref="U15">IF(ISBLANK(XLOOKUP($B$3,items,XLOOKUP(DATE(U$5,$M15,1),dates,big_table))),NA(),XLOOKUP($B$3,items,XLOOKUP(DATE(U$5,$M15,1),dates,big_table)))</f>
        <v>#N/A</v>
      </c>
      <c r="V15" s="1" t="str">
        <f t="array" ref="V15">IF(ISBLANK(XLOOKUP($B$3,items,XLOOKUP(DATE(V$5,$M15,1),dates,big_table))),NA(),XLOOKUP($B$3,items,XLOOKUP(DATE(V$5,$M15,1),dates,big_table)))</f>
        <v>#N/A</v>
      </c>
      <c r="W15" s="1" t="str">
        <f t="array" ref="W15">IF(ISBLANK(XLOOKUP($B$3,items,XLOOKUP(DATE(W$5,$M15,1),dates,big_table))),NA(),XLOOKUP($B$3,items,XLOOKUP(DATE(W$5,$M15,1),dates,big_table)))</f>
        <v>#N/A</v>
      </c>
      <c r="X15" s="1" t="str">
        <f t="array" ref="X15">IF(ISBLANK(XLOOKUP($B$3,items,XLOOKUP(DATE(X$5,$M15,1),dates,big_table))),NA(),XLOOKUP($B$3,items,XLOOKUP(DATE(X$5,$M15,1),dates,big_table)))</f>
        <v>#N/A</v>
      </c>
      <c r="Y15" s="1" t="str">
        <f t="array" ref="Y15">IF(ISBLANK(XLOOKUP($B$3,items,XLOOKUP(DATE(Y$5,$M15,1),dates,big_table))),NA(),XLOOKUP($B$3,items,XLOOKUP(DATE(Y$5,$M15,1),dates,big_table)))</f>
        <v>#N/A</v>
      </c>
      <c r="Z15" s="1" t="str">
        <f t="array" ref="Z15">IF(ISBLANK(XLOOKUP($B$3,items,XLOOKUP(DATE(Z$5,$M15,1),dates,big_table))),NA(),XLOOKUP($B$3,items,XLOOKUP(DATE(Z$5,$M15,1),dates,big_table)))</f>
        <v>#N/A</v>
      </c>
      <c r="AA15" s="1" t="str">
        <f t="array" ref="AA15">IF(ISBLANK(XLOOKUP($B$3,items,XLOOKUP(DATE(AA$5,$M15,1),dates,big_table))),NA(),XLOOKUP($B$3,items,XLOOKUP(DATE(AA$5,$M15,1),dates,big_table)))</f>
        <v>#N/A</v>
      </c>
      <c r="AB15" s="1" t="str">
        <f t="array" ref="AB15">IF(ISBLANK(XLOOKUP($B$3,items,XLOOKUP(DATE(AB$5,$M15,1),dates,big_table))),NA(),XLOOKUP($B$3,items,XLOOKUP(DATE(AB$5,$M15,1),dates,big_table)))</f>
        <v>#N/A</v>
      </c>
      <c r="AC15" s="1" t="str">
        <f t="array" ref="AC15">IF(ISBLANK(XLOOKUP($B$3,items,XLOOKUP(DATE(AC$5,$M15,1),dates,big_table))),NA(),XLOOKUP($B$3,items,XLOOKUP(DATE(AC$5,$M15,1),dates,big_table)))</f>
        <v>#N/A</v>
      </c>
      <c r="AD15" s="1" t="str">
        <f t="array" ref="AD15">IF(ISBLANK(XLOOKUP($B$3,items,XLOOKUP(DATE(AD$5,$M15,1),dates,big_table))),NA(),XLOOKUP($B$3,items,XLOOKUP(DATE(AD$5,$M15,1),dates,big_table)))</f>
        <v>#N/A</v>
      </c>
      <c r="AE15" s="1" t="str">
        <f t="shared" si="5"/>
        <v>#NAME?</v>
      </c>
      <c r="AF15" s="1" t="str">
        <f t="shared" si="6"/>
        <v>#NAME?</v>
      </c>
      <c r="AG15" s="1" t="str">
        <f t="shared" si="7"/>
        <v>#NAME?</v>
      </c>
      <c r="AH15" s="1" t="str">
        <f t="shared" si="8"/>
        <v>#NAME?</v>
      </c>
    </row>
    <row r="16" ht="14.25" customHeight="1">
      <c r="C16" s="33">
        <f t="shared" si="9"/>
        <v>41699</v>
      </c>
      <c r="D16" s="1" t="str">
        <f t="array" ref="D16">XLOOKUP($B$3,items,XLOOKUP(C16,dates,big_table))</f>
        <v>#N/A</v>
      </c>
      <c r="E16" s="1">
        <f t="array" ref="E16">IF(ISNA(XLOOKUP("jodi_last",items,XLOOKUP(C16,dates,big_table))),10^6,-100000)</f>
        <v>1000000</v>
      </c>
      <c r="F16" s="1" t="str">
        <f t="shared" ref="F16:I16" si="19">XLOOKUP(MONTH($C16),$M$6:$M$17,AE$6:AE$17)</f>
        <v>#NAME?</v>
      </c>
      <c r="G16" s="1" t="str">
        <f t="shared" si="19"/>
        <v>#NAME?</v>
      </c>
      <c r="H16" s="1" t="str">
        <f t="shared" si="19"/>
        <v>#NAME?</v>
      </c>
      <c r="I16" s="1" t="str">
        <f t="shared" si="19"/>
        <v>#NAME?</v>
      </c>
      <c r="K16" s="1" t="str">
        <f t="array" ref="K16">XLOOKUP("jodi_last",items,XLOOKUP(EOMONTH(DATE(Q$5,$M16,0),1)+1,dates,big_table))</f>
        <v>#N/A</v>
      </c>
      <c r="L16" s="1" t="str">
        <f t="array" ref="L16">XLOOKUP("jodi_last",items,XLOOKUP(DATE(Q$5,$M16,1),dates,big_table))</f>
        <v>#N/A</v>
      </c>
      <c r="M16" s="1">
        <f t="shared" si="11"/>
        <v>11</v>
      </c>
      <c r="N16" s="1" t="str">
        <f t="shared" si="4"/>
        <v>nov.</v>
      </c>
      <c r="O16" s="1" t="str">
        <f t="array" ref="O16">XLOOKUP($B$3,items,XLOOKUP(DATE(Q$5,$M16,1),dates,big_table_as_of))</f>
        <v>#N/A</v>
      </c>
      <c r="P16" s="1" t="str">
        <f t="array" ref="P16">IF(ISNA($K16),XLOOKUP($B$3,items,XLOOKUP(DATE(Q$5,$M16,1),dates,big_table)),NA())</f>
        <v>#N/A</v>
      </c>
      <c r="Q16" s="1" t="str">
        <f t="array" ref="Q16">IF(ISNA($L16),NA(),XLOOKUP($B$3,items,XLOOKUP(DATE(Q$5,$M16,1),dates,big_table)))</f>
        <v>#N/A</v>
      </c>
      <c r="R16" s="1" t="str">
        <f t="array" ref="R16">IF(ISBLANK(XLOOKUP($B$3,items,XLOOKUP(DATE(R$5,$M16,1),dates,big_table))),NA(),XLOOKUP($B$3,items,XLOOKUP(DATE(R$5,$M16,1),dates,big_table)))</f>
        <v>#N/A</v>
      </c>
      <c r="S16" s="1" t="str">
        <f t="array" ref="S16">IF(ISBLANK(XLOOKUP($B$3,items,XLOOKUP(DATE(S$5,$M16,1),dates,big_table))),NA(),XLOOKUP($B$3,items,XLOOKUP(DATE(S$5,$M16,1),dates,big_table)))</f>
        <v>#N/A</v>
      </c>
      <c r="T16" s="1" t="str">
        <f t="array" ref="T16">IF(ISBLANK(XLOOKUP($B$3,items,XLOOKUP(DATE(T$5,$M16,1),dates,big_table))),NA(),XLOOKUP($B$3,items,XLOOKUP(DATE(T$5,$M16,1),dates,big_table)))</f>
        <v>#N/A</v>
      </c>
      <c r="U16" s="1" t="str">
        <f t="array" ref="U16">IF(ISBLANK(XLOOKUP($B$3,items,XLOOKUP(DATE(U$5,$M16,1),dates,big_table))),NA(),XLOOKUP($B$3,items,XLOOKUP(DATE(U$5,$M16,1),dates,big_table)))</f>
        <v>#N/A</v>
      </c>
      <c r="V16" s="1" t="str">
        <f t="array" ref="V16">IF(ISBLANK(XLOOKUP($B$3,items,XLOOKUP(DATE(V$5,$M16,1),dates,big_table))),NA(),XLOOKUP($B$3,items,XLOOKUP(DATE(V$5,$M16,1),dates,big_table)))</f>
        <v>#N/A</v>
      </c>
      <c r="W16" s="1" t="str">
        <f t="array" ref="W16">IF(ISBLANK(XLOOKUP($B$3,items,XLOOKUP(DATE(W$5,$M16,1),dates,big_table))),NA(),XLOOKUP($B$3,items,XLOOKUP(DATE(W$5,$M16,1),dates,big_table)))</f>
        <v>#N/A</v>
      </c>
      <c r="X16" s="1" t="str">
        <f t="array" ref="X16">IF(ISBLANK(XLOOKUP($B$3,items,XLOOKUP(DATE(X$5,$M16,1),dates,big_table))),NA(),XLOOKUP($B$3,items,XLOOKUP(DATE(X$5,$M16,1),dates,big_table)))</f>
        <v>#N/A</v>
      </c>
      <c r="Y16" s="1" t="str">
        <f t="array" ref="Y16">IF(ISBLANK(XLOOKUP($B$3,items,XLOOKUP(DATE(Y$5,$M16,1),dates,big_table))),NA(),XLOOKUP($B$3,items,XLOOKUP(DATE(Y$5,$M16,1),dates,big_table)))</f>
        <v>#N/A</v>
      </c>
      <c r="Z16" s="1" t="str">
        <f t="array" ref="Z16">IF(ISBLANK(XLOOKUP($B$3,items,XLOOKUP(DATE(Z$5,$M16,1),dates,big_table))),NA(),XLOOKUP($B$3,items,XLOOKUP(DATE(Z$5,$M16,1),dates,big_table)))</f>
        <v>#N/A</v>
      </c>
      <c r="AA16" s="1" t="str">
        <f t="array" ref="AA16">IF(ISBLANK(XLOOKUP($B$3,items,XLOOKUP(DATE(AA$5,$M16,1),dates,big_table))),NA(),XLOOKUP($B$3,items,XLOOKUP(DATE(AA$5,$M16,1),dates,big_table)))</f>
        <v>#N/A</v>
      </c>
      <c r="AB16" s="1" t="str">
        <f t="array" ref="AB16">IF(ISBLANK(XLOOKUP($B$3,items,XLOOKUP(DATE(AB$5,$M16,1),dates,big_table))),NA(),XLOOKUP($B$3,items,XLOOKUP(DATE(AB$5,$M16,1),dates,big_table)))</f>
        <v>#N/A</v>
      </c>
      <c r="AC16" s="1" t="str">
        <f t="array" ref="AC16">IF(ISBLANK(XLOOKUP($B$3,items,XLOOKUP(DATE(AC$5,$M16,1),dates,big_table))),NA(),XLOOKUP($B$3,items,XLOOKUP(DATE(AC$5,$M16,1),dates,big_table)))</f>
        <v>#N/A</v>
      </c>
      <c r="AD16" s="1" t="str">
        <f t="array" ref="AD16">IF(ISBLANK(XLOOKUP($B$3,items,XLOOKUP(DATE(AD$5,$M16,1),dates,big_table))),NA(),XLOOKUP($B$3,items,XLOOKUP(DATE(AD$5,$M16,1),dates,big_table)))</f>
        <v>#N/A</v>
      </c>
      <c r="AE16" s="1" t="str">
        <f t="shared" si="5"/>
        <v>#NAME?</v>
      </c>
      <c r="AF16" s="1" t="str">
        <f t="shared" si="6"/>
        <v>#NAME?</v>
      </c>
      <c r="AG16" s="1" t="str">
        <f t="shared" si="7"/>
        <v>#NAME?</v>
      </c>
      <c r="AH16" s="1" t="str">
        <f t="shared" si="8"/>
        <v>#NAME?</v>
      </c>
    </row>
    <row r="17" ht="14.25" customHeight="1">
      <c r="C17" s="33">
        <f t="shared" si="9"/>
        <v>41730</v>
      </c>
      <c r="D17" s="1" t="str">
        <f t="array" ref="D17">XLOOKUP($B$3,items,XLOOKUP(C17,dates,big_table))</f>
        <v>#N/A</v>
      </c>
      <c r="E17" s="1">
        <f t="array" ref="E17">IF(ISNA(XLOOKUP("jodi_last",items,XLOOKUP(C17,dates,big_table))),10^6,-100000)</f>
        <v>1000000</v>
      </c>
      <c r="F17" s="1" t="str">
        <f t="shared" ref="F17:I17" si="20">XLOOKUP(MONTH($C17),$M$6:$M$17,AE$6:AE$17)</f>
        <v>#NAME?</v>
      </c>
      <c r="G17" s="1" t="str">
        <f t="shared" si="20"/>
        <v>#NAME?</v>
      </c>
      <c r="H17" s="1" t="str">
        <f t="shared" si="20"/>
        <v>#NAME?</v>
      </c>
      <c r="I17" s="1" t="str">
        <f t="shared" si="20"/>
        <v>#NAME?</v>
      </c>
      <c r="K17" s="20" t="str">
        <f t="array" ref="K17">XLOOKUP("jodi_last",items,XLOOKUP(EOMONTH(DATE(Q$5,$M17,0),1)+1,dates,big_table))</f>
        <v>#N/A</v>
      </c>
      <c r="L17" s="20" t="str">
        <f t="array" ref="L17">XLOOKUP("jodi_last",items,XLOOKUP(DATE(Q$5,$M17,1),dates,big_table))</f>
        <v>#N/A</v>
      </c>
      <c r="M17" s="20">
        <f t="shared" si="11"/>
        <v>12</v>
      </c>
      <c r="N17" s="20" t="str">
        <f t="shared" si="4"/>
        <v>déc.</v>
      </c>
      <c r="O17" s="20" t="str">
        <f t="array" ref="O17">XLOOKUP($B$3,items,XLOOKUP(DATE(Q$5,$M17,1),dates,big_table_as_of))</f>
        <v>#N/A</v>
      </c>
      <c r="P17" s="20" t="str">
        <f t="array" ref="P17">IF(ISNA($K17),XLOOKUP($B$3,items,XLOOKUP(DATE(Q$5,$M17,1),dates,big_table)),NA())</f>
        <v>#N/A</v>
      </c>
      <c r="Q17" s="20" t="str">
        <f t="array" ref="Q17">IF(ISNA($L17),NA(),XLOOKUP($B$3,items,XLOOKUP(DATE(Q$5,$M17,1),dates,big_table)))</f>
        <v>#N/A</v>
      </c>
      <c r="R17" s="20" t="str">
        <f t="array" ref="R17">IF(ISBLANK(XLOOKUP($B$3,items,XLOOKUP(DATE(R$5,$M17,1),dates,big_table))),NA(),XLOOKUP($B$3,items,XLOOKUP(DATE(R$5,$M17,1),dates,big_table)))</f>
        <v>#N/A</v>
      </c>
      <c r="S17" s="20" t="str">
        <f t="array" ref="S17">IF(ISBLANK(XLOOKUP($B$3,items,XLOOKUP(DATE(S$5,$M17,1),dates,big_table))),NA(),XLOOKUP($B$3,items,XLOOKUP(DATE(S$5,$M17,1),dates,big_table)))</f>
        <v>#N/A</v>
      </c>
      <c r="T17" s="20" t="str">
        <f t="array" ref="T17">IF(ISBLANK(XLOOKUP($B$3,items,XLOOKUP(DATE(T$5,$M17,1),dates,big_table))),NA(),XLOOKUP($B$3,items,XLOOKUP(DATE(T$5,$M17,1),dates,big_table)))</f>
        <v>#N/A</v>
      </c>
      <c r="U17" s="20" t="str">
        <f t="array" ref="U17">IF(ISBLANK(XLOOKUP($B$3,items,XLOOKUP(DATE(U$5,$M17,1),dates,big_table))),NA(),XLOOKUP($B$3,items,XLOOKUP(DATE(U$5,$M17,1),dates,big_table)))</f>
        <v>#N/A</v>
      </c>
      <c r="V17" s="20" t="str">
        <f t="array" ref="V17">IF(ISBLANK(XLOOKUP($B$3,items,XLOOKUP(DATE(V$5,$M17,1),dates,big_table))),NA(),XLOOKUP($B$3,items,XLOOKUP(DATE(V$5,$M17,1),dates,big_table)))</f>
        <v>#N/A</v>
      </c>
      <c r="W17" s="20" t="str">
        <f t="array" ref="W17">IF(ISBLANK(XLOOKUP($B$3,items,XLOOKUP(DATE(W$5,$M17,1),dates,big_table))),NA(),XLOOKUP($B$3,items,XLOOKUP(DATE(W$5,$M17,1),dates,big_table)))</f>
        <v>#N/A</v>
      </c>
      <c r="X17" s="20" t="str">
        <f t="array" ref="X17">IF(ISBLANK(XLOOKUP($B$3,items,XLOOKUP(DATE(X$5,$M17,1),dates,big_table))),NA(),XLOOKUP($B$3,items,XLOOKUP(DATE(X$5,$M17,1),dates,big_table)))</f>
        <v>#N/A</v>
      </c>
      <c r="Y17" s="1" t="str">
        <f t="array" ref="Y17">IF(ISBLANK(XLOOKUP($B$3,items,XLOOKUP(DATE(Y$5,$M17,1),dates,big_table))),NA(),XLOOKUP($B$3,items,XLOOKUP(DATE(Y$5,$M17,1),dates,big_table)))</f>
        <v>#N/A</v>
      </c>
      <c r="Z17" s="1" t="str">
        <f t="array" ref="Z17">IF(ISBLANK(XLOOKUP($B$3,items,XLOOKUP(DATE(Z$5,$M17,1),dates,big_table))),NA(),XLOOKUP($B$3,items,XLOOKUP(DATE(Z$5,$M17,1),dates,big_table)))</f>
        <v>#N/A</v>
      </c>
      <c r="AA17" s="1" t="str">
        <f t="array" ref="AA17">IF(ISBLANK(XLOOKUP($B$3,items,XLOOKUP(DATE(AA$5,$M17,1),dates,big_table))),NA(),XLOOKUP($B$3,items,XLOOKUP(DATE(AA$5,$M17,1),dates,big_table)))</f>
        <v>#N/A</v>
      </c>
      <c r="AB17" s="1" t="str">
        <f t="array" ref="AB17">IF(ISBLANK(XLOOKUP($B$3,items,XLOOKUP(DATE(AB$5,$M17,1),dates,big_table))),NA(),XLOOKUP($B$3,items,XLOOKUP(DATE(AB$5,$M17,1),dates,big_table)))</f>
        <v>#N/A</v>
      </c>
      <c r="AC17" s="1" t="str">
        <f t="array" ref="AC17">IF(ISBLANK(XLOOKUP($B$3,items,XLOOKUP(DATE(AC$5,$M17,1),dates,big_table))),NA(),XLOOKUP($B$3,items,XLOOKUP(DATE(AC$5,$M17,1),dates,big_table)))</f>
        <v>#N/A</v>
      </c>
      <c r="AD17" s="1" t="str">
        <f t="array" ref="AD17">IF(ISBLANK(XLOOKUP($B$3,items,XLOOKUP(DATE(AD$5,$M17,1),dates,big_table))),NA(),XLOOKUP($B$3,items,XLOOKUP(DATE(AD$5,$M17,1),dates,big_table)))</f>
        <v>#N/A</v>
      </c>
      <c r="AE17" s="1" t="str">
        <f t="shared" si="5"/>
        <v>#NAME?</v>
      </c>
      <c r="AF17" s="1" t="str">
        <f t="shared" si="6"/>
        <v>#NAME?</v>
      </c>
      <c r="AG17" s="1" t="str">
        <f t="shared" si="7"/>
        <v>#NAME?</v>
      </c>
      <c r="AH17" s="1" t="str">
        <f t="shared" si="8"/>
        <v>#NAME?</v>
      </c>
    </row>
    <row r="18" ht="14.25" customHeight="1">
      <c r="C18" s="33">
        <f t="shared" si="9"/>
        <v>41760</v>
      </c>
      <c r="D18" s="1" t="str">
        <f t="array" ref="D18">XLOOKUP($B$3,items,XLOOKUP(C18,dates,big_table))</f>
        <v>#N/A</v>
      </c>
      <c r="E18" s="1">
        <f t="array" ref="E18">IF(ISNA(XLOOKUP("jodi_last",items,XLOOKUP(C18,dates,big_table))),10^6,-100000)</f>
        <v>1000000</v>
      </c>
      <c r="F18" s="1" t="str">
        <f t="shared" ref="F18:I18" si="21">XLOOKUP(MONTH($C18),$M$6:$M$17,AE$6:AE$17)</f>
        <v>#NAME?</v>
      </c>
      <c r="G18" s="1" t="str">
        <f t="shared" si="21"/>
        <v>#NAME?</v>
      </c>
      <c r="H18" s="1" t="str">
        <f t="shared" si="21"/>
        <v>#NAME?</v>
      </c>
      <c r="I18" s="1" t="str">
        <f t="shared" si="21"/>
        <v>#NAME?</v>
      </c>
      <c r="K18" s="1" t="s">
        <v>23</v>
      </c>
      <c r="Y18" s="25"/>
      <c r="Z18" s="26" t="str">
        <f>IFNA(MIN(AE6:AE17)+0.001,1)</f>
        <v>#NAME?</v>
      </c>
      <c r="AA18" s="26" t="str">
        <f>IFNA(MAX(AF6:AF17)+0.001,1)</f>
        <v>#NAME?</v>
      </c>
      <c r="AB18" s="26"/>
      <c r="AC18" s="27"/>
      <c r="AD18" s="26"/>
      <c r="AE18" s="26"/>
      <c r="AF18" s="26"/>
      <c r="AG18" s="26"/>
      <c r="AH18" s="28"/>
    </row>
    <row r="19" ht="14.25" customHeight="1">
      <c r="C19" s="33">
        <f t="shared" si="9"/>
        <v>41791</v>
      </c>
      <c r="D19" s="1" t="str">
        <f t="array" ref="D19">XLOOKUP($B$3,items,XLOOKUP(C19,dates,big_table))</f>
        <v>#N/A</v>
      </c>
      <c r="E19" s="1">
        <f t="array" ref="E19">IF(ISNA(XLOOKUP("jodi_last",items,XLOOKUP(C19,dates,big_table))),10^6,-100000)</f>
        <v>1000000</v>
      </c>
      <c r="F19" s="1" t="str">
        <f t="shared" ref="F19:I19" si="22">XLOOKUP(MONTH($C19),$M$6:$M$17,AE$6:AE$17)</f>
        <v>#NAME?</v>
      </c>
      <c r="G19" s="1" t="str">
        <f t="shared" si="22"/>
        <v>#NAME?</v>
      </c>
      <c r="H19" s="1" t="str">
        <f t="shared" si="22"/>
        <v>#NAME?</v>
      </c>
      <c r="I19" s="1" t="str">
        <f t="shared" si="22"/>
        <v>#NAME?</v>
      </c>
      <c r="Y19" s="29" t="s">
        <v>14</v>
      </c>
      <c r="Z19" s="1" t="str">
        <f>Z18</f>
        <v>#NAME?</v>
      </c>
      <c r="AB19" s="1" t="str">
        <f>LOG10(ABS(Z19))</f>
        <v>#NAME?</v>
      </c>
      <c r="AC19" s="1" t="str">
        <f>10^FLOOR(AB19,1)</f>
        <v>#NAME?</v>
      </c>
      <c r="AD19" s="1" t="str">
        <f t="shared" ref="AD19:AD20" si="24">AC19/2</f>
        <v>#NAME?</v>
      </c>
      <c r="AE19" s="1" t="str">
        <f t="shared" ref="AE19:AE20" si="25">ROUNDDOWN(Z19/AC19,0)*AC19</f>
        <v>#NAME?</v>
      </c>
      <c r="AF19" s="1" t="str">
        <f t="shared" ref="AF19:AF20" si="26">Z19-AE19</f>
        <v>#NAME?</v>
      </c>
      <c r="AG19" s="1" t="str">
        <f>IF(ABS(AF19)=AE19,ROUNDDOWN(AF19/AD19,0)+1,ROUNDUP(AF19/AD19,0)-1)*AD19</f>
        <v>#NAME?</v>
      </c>
      <c r="AH19" s="35" t="str">
        <f t="shared" ref="AH19:AH20" si="27">AG19+AE19</f>
        <v>#NAME?</v>
      </c>
    </row>
    <row r="20" ht="14.25" customHeight="1">
      <c r="C20" s="33">
        <f t="shared" si="9"/>
        <v>41821</v>
      </c>
      <c r="D20" s="1" t="str">
        <f t="array" ref="D20">XLOOKUP($B$3,items,XLOOKUP(C20,dates,big_table))</f>
        <v>#N/A</v>
      </c>
      <c r="E20" s="1">
        <f t="array" ref="E20">IF(ISNA(XLOOKUP("jodi_last",items,XLOOKUP(C20,dates,big_table))),10^6,-100000)</f>
        <v>1000000</v>
      </c>
      <c r="F20" s="1" t="str">
        <f t="shared" ref="F20:I20" si="23">XLOOKUP(MONTH($C20),$M$6:$M$17,AE$6:AE$17)</f>
        <v>#NAME?</v>
      </c>
      <c r="G20" s="1" t="str">
        <f t="shared" si="23"/>
        <v>#NAME?</v>
      </c>
      <c r="H20" s="1" t="str">
        <f t="shared" si="23"/>
        <v>#NAME?</v>
      </c>
      <c r="I20" s="1" t="str">
        <f t="shared" si="23"/>
        <v>#NAME?</v>
      </c>
      <c r="M20" s="22"/>
      <c r="N20" s="22"/>
      <c r="O20" s="22"/>
      <c r="P20" s="22"/>
      <c r="Q20" s="22"/>
      <c r="R20" s="22"/>
      <c r="S20" s="22"/>
      <c r="T20" s="22"/>
      <c r="Y20" s="31" t="s">
        <v>15</v>
      </c>
      <c r="Z20" s="20" t="str">
        <f>AA18</f>
        <v>#NAME?</v>
      </c>
      <c r="AA20" s="20"/>
      <c r="AB20" s="20" t="str">
        <f>LOG10(Z20)</f>
        <v>#NAME?</v>
      </c>
      <c r="AC20" s="20" t="str">
        <f>AC19</f>
        <v>#NAME?</v>
      </c>
      <c r="AD20" s="20" t="str">
        <f t="shared" si="24"/>
        <v>#NAME?</v>
      </c>
      <c r="AE20" s="20" t="str">
        <f t="shared" si="25"/>
        <v>#NAME?</v>
      </c>
      <c r="AF20" s="20" t="str">
        <f t="shared" si="26"/>
        <v>#NAME?</v>
      </c>
      <c r="AG20" s="20" t="str">
        <f>IF(ABS(AF20)=AE20,ROUNDDOWN(AF20/AD20,0),ROUNDUP(AF20/AD20,0))*AD20</f>
        <v>#NAME?</v>
      </c>
      <c r="AH20" s="34" t="str">
        <f t="shared" si="27"/>
        <v>#NAME?</v>
      </c>
    </row>
    <row r="21" ht="14.25" customHeight="1">
      <c r="C21" s="33">
        <f t="shared" si="9"/>
        <v>41852</v>
      </c>
      <c r="D21" s="1" t="str">
        <f t="array" ref="D21">XLOOKUP($B$3,items,XLOOKUP(C21,dates,big_table))</f>
        <v>#N/A</v>
      </c>
      <c r="E21" s="1">
        <f t="array" ref="E21">IF(ISNA(XLOOKUP("jodi_last",items,XLOOKUP(C21,dates,big_table))),10^6,-100000)</f>
        <v>1000000</v>
      </c>
      <c r="F21" s="1" t="str">
        <f t="shared" ref="F21:I21" si="28">XLOOKUP(MONTH($C21),$M$6:$M$17,AE$6:AE$17)</f>
        <v>#NAME?</v>
      </c>
      <c r="G21" s="1" t="str">
        <f t="shared" si="28"/>
        <v>#NAME?</v>
      </c>
      <c r="H21" s="1" t="str">
        <f t="shared" si="28"/>
        <v>#NAME?</v>
      </c>
      <c r="I21" s="1" t="str">
        <f t="shared" si="28"/>
        <v>#NAME?</v>
      </c>
    </row>
    <row r="22" ht="14.25" customHeight="1">
      <c r="C22" s="33">
        <f t="shared" si="9"/>
        <v>41883</v>
      </c>
      <c r="D22" s="1" t="str">
        <f t="array" ref="D22">XLOOKUP($B$3,items,XLOOKUP(C22,dates,big_table))</f>
        <v>#N/A</v>
      </c>
      <c r="E22" s="1">
        <f t="array" ref="E22">IF(ISNA(XLOOKUP("jodi_last",items,XLOOKUP(C22,dates,big_table))),10^6,-100000)</f>
        <v>1000000</v>
      </c>
      <c r="F22" s="1" t="str">
        <f t="shared" ref="F22:I22" si="29">XLOOKUP(MONTH($C22),$M$6:$M$17,AE$6:AE$17)</f>
        <v>#NAME?</v>
      </c>
      <c r="G22" s="1" t="str">
        <f t="shared" si="29"/>
        <v>#NAME?</v>
      </c>
      <c r="H22" s="1" t="str">
        <f t="shared" si="29"/>
        <v>#NAME?</v>
      </c>
      <c r="I22" s="1" t="str">
        <f t="shared" si="29"/>
        <v>#NAME?</v>
      </c>
    </row>
    <row r="23" ht="14.25" customHeight="1">
      <c r="C23" s="33">
        <f t="shared" si="9"/>
        <v>41913</v>
      </c>
      <c r="D23" s="1" t="str">
        <f t="array" ref="D23">XLOOKUP($B$3,items,XLOOKUP(C23,dates,big_table))</f>
        <v>#N/A</v>
      </c>
      <c r="E23" s="1">
        <f t="array" ref="E23">IF(ISNA(XLOOKUP("jodi_last",items,XLOOKUP(C23,dates,big_table))),10^6,-100000)</f>
        <v>1000000</v>
      </c>
      <c r="F23" s="1" t="str">
        <f t="shared" ref="F23:I23" si="30">XLOOKUP(MONTH($C23),$M$6:$M$17,AE$6:AE$17)</f>
        <v>#NAME?</v>
      </c>
      <c r="G23" s="1" t="str">
        <f t="shared" si="30"/>
        <v>#NAME?</v>
      </c>
      <c r="H23" s="1" t="str">
        <f t="shared" si="30"/>
        <v>#NAME?</v>
      </c>
      <c r="I23" s="1" t="str">
        <f t="shared" si="30"/>
        <v>#NAME?</v>
      </c>
      <c r="L23" s="22" t="s">
        <v>24</v>
      </c>
      <c r="U23" s="22" t="s">
        <v>25</v>
      </c>
    </row>
    <row r="24" ht="14.25" customHeight="1">
      <c r="C24" s="33">
        <f t="shared" si="9"/>
        <v>41944</v>
      </c>
      <c r="D24" s="1" t="str">
        <f t="array" ref="D24">XLOOKUP($B$3,items,XLOOKUP(C24,dates,big_table))</f>
        <v>#N/A</v>
      </c>
      <c r="E24" s="1">
        <f t="array" ref="E24">IF(ISNA(XLOOKUP("jodi_last",items,XLOOKUP(C24,dates,big_table))),10^6,-100000)</f>
        <v>1000000</v>
      </c>
      <c r="F24" s="1" t="str">
        <f t="shared" ref="F24:I24" si="31">XLOOKUP(MONTH($C24),$M$6:$M$17,AE$6:AE$17)</f>
        <v>#NAME?</v>
      </c>
      <c r="G24" s="1" t="str">
        <f t="shared" si="31"/>
        <v>#NAME?</v>
      </c>
      <c r="H24" s="1" t="str">
        <f t="shared" si="31"/>
        <v>#NAME?</v>
      </c>
      <c r="I24" s="1" t="str">
        <f t="shared" si="31"/>
        <v>#NAME?</v>
      </c>
    </row>
    <row r="25" ht="14.25" customHeight="1">
      <c r="C25" s="33">
        <f t="shared" si="9"/>
        <v>41974</v>
      </c>
      <c r="D25" s="1" t="str">
        <f t="array" ref="D25">XLOOKUP($B$3,items,XLOOKUP(C25,dates,big_table))</f>
        <v>#N/A</v>
      </c>
      <c r="E25" s="1">
        <f t="array" ref="E25">IF(ISNA(XLOOKUP("jodi_last",items,XLOOKUP(C25,dates,big_table))),10^6,-100000)</f>
        <v>1000000</v>
      </c>
      <c r="F25" s="1" t="str">
        <f t="shared" ref="F25:I25" si="32">XLOOKUP(MONTH($C25),$M$6:$M$17,AE$6:AE$17)</f>
        <v>#NAME?</v>
      </c>
      <c r="G25" s="1" t="str">
        <f t="shared" si="32"/>
        <v>#NAME?</v>
      </c>
      <c r="H25" s="1" t="str">
        <f t="shared" si="32"/>
        <v>#NAME?</v>
      </c>
      <c r="I25" s="1" t="str">
        <f t="shared" si="32"/>
        <v>#NAME?</v>
      </c>
    </row>
    <row r="26" ht="14.25" customHeight="1">
      <c r="C26" s="33">
        <f t="shared" si="9"/>
        <v>42005</v>
      </c>
      <c r="D26" s="1" t="str">
        <f t="array" ref="D26">XLOOKUP($B$3,items,XLOOKUP(C26,dates,big_table))</f>
        <v>#N/A</v>
      </c>
      <c r="E26" s="1">
        <f t="array" ref="E26">IF(ISNA(XLOOKUP("jodi_last",items,XLOOKUP(C26,dates,big_table))),10^6,-100000)</f>
        <v>1000000</v>
      </c>
      <c r="F26" s="1" t="str">
        <f t="shared" ref="F26:I26" si="33">XLOOKUP(MONTH($C26),$M$6:$M$17,AE$6:AE$17)</f>
        <v>#NAME?</v>
      </c>
      <c r="G26" s="1" t="str">
        <f t="shared" si="33"/>
        <v>#NAME?</v>
      </c>
      <c r="H26" s="1" t="str">
        <f t="shared" si="33"/>
        <v>#NAME?</v>
      </c>
      <c r="I26" s="1" t="str">
        <f t="shared" si="33"/>
        <v>#NAME?</v>
      </c>
    </row>
    <row r="27" ht="14.25" customHeight="1">
      <c r="C27" s="33">
        <f t="shared" si="9"/>
        <v>42036</v>
      </c>
      <c r="D27" s="1" t="str">
        <f t="array" ref="D27">XLOOKUP($B$3,items,XLOOKUP(C27,dates,big_table))</f>
        <v>#N/A</v>
      </c>
      <c r="E27" s="1">
        <f t="array" ref="E27">IF(ISNA(XLOOKUP("jodi_last",items,XLOOKUP(C27,dates,big_table))),10^6,-100000)</f>
        <v>1000000</v>
      </c>
      <c r="F27" s="1" t="str">
        <f t="shared" ref="F27:I27" si="34">XLOOKUP(MONTH($C27),$M$6:$M$17,AE$6:AE$17)</f>
        <v>#NAME?</v>
      </c>
      <c r="G27" s="1" t="str">
        <f t="shared" si="34"/>
        <v>#NAME?</v>
      </c>
      <c r="H27" s="1" t="str">
        <f t="shared" si="34"/>
        <v>#NAME?</v>
      </c>
      <c r="I27" s="1" t="str">
        <f t="shared" si="34"/>
        <v>#NAME?</v>
      </c>
    </row>
    <row r="28" ht="14.25" customHeight="1">
      <c r="C28" s="33">
        <f t="shared" si="9"/>
        <v>42064</v>
      </c>
      <c r="D28" s="1" t="str">
        <f t="array" ref="D28">XLOOKUP($B$3,items,XLOOKUP(C28,dates,big_table))</f>
        <v>#N/A</v>
      </c>
      <c r="E28" s="1">
        <f t="array" ref="E28">IF(ISNA(XLOOKUP("jodi_last",items,XLOOKUP(C28,dates,big_table))),10^6,-100000)</f>
        <v>1000000</v>
      </c>
      <c r="F28" s="1" t="str">
        <f t="shared" ref="F28:I28" si="35">XLOOKUP(MONTH($C28),$M$6:$M$17,AE$6:AE$17)</f>
        <v>#NAME?</v>
      </c>
      <c r="G28" s="1" t="str">
        <f t="shared" si="35"/>
        <v>#NAME?</v>
      </c>
      <c r="H28" s="1" t="str">
        <f t="shared" si="35"/>
        <v>#NAME?</v>
      </c>
      <c r="I28" s="1" t="str">
        <f t="shared" si="35"/>
        <v>#NAME?</v>
      </c>
    </row>
    <row r="29" ht="14.25" customHeight="1">
      <c r="C29" s="33">
        <f t="shared" si="9"/>
        <v>42095</v>
      </c>
      <c r="D29" s="1" t="str">
        <f t="array" ref="D29">XLOOKUP($B$3,items,XLOOKUP(C29,dates,big_table))</f>
        <v>#N/A</v>
      </c>
      <c r="E29" s="1">
        <f t="array" ref="E29">IF(ISNA(XLOOKUP("jodi_last",items,XLOOKUP(C29,dates,big_table))),10^6,-100000)</f>
        <v>1000000</v>
      </c>
      <c r="F29" s="1" t="str">
        <f t="shared" ref="F29:I29" si="36">XLOOKUP(MONTH($C29),$M$6:$M$17,AE$6:AE$17)</f>
        <v>#NAME?</v>
      </c>
      <c r="G29" s="1" t="str">
        <f t="shared" si="36"/>
        <v>#NAME?</v>
      </c>
      <c r="H29" s="1" t="str">
        <f t="shared" si="36"/>
        <v>#NAME?</v>
      </c>
      <c r="I29" s="1" t="str">
        <f t="shared" si="36"/>
        <v>#NAME?</v>
      </c>
    </row>
    <row r="30" ht="14.25" customHeight="1">
      <c r="C30" s="33">
        <f t="shared" si="9"/>
        <v>42125</v>
      </c>
      <c r="D30" s="1" t="str">
        <f t="array" ref="D30">XLOOKUP($B$3,items,XLOOKUP(C30,dates,big_table))</f>
        <v>#N/A</v>
      </c>
      <c r="E30" s="1">
        <f t="array" ref="E30">IF(ISNA(XLOOKUP("jodi_last",items,XLOOKUP(C30,dates,big_table))),10^6,-100000)</f>
        <v>1000000</v>
      </c>
      <c r="F30" s="1" t="str">
        <f t="shared" ref="F30:I30" si="37">XLOOKUP(MONTH($C30),$M$6:$M$17,AE$6:AE$17)</f>
        <v>#NAME?</v>
      </c>
      <c r="G30" s="1" t="str">
        <f t="shared" si="37"/>
        <v>#NAME?</v>
      </c>
      <c r="H30" s="1" t="str">
        <f t="shared" si="37"/>
        <v>#NAME?</v>
      </c>
      <c r="I30" s="1" t="str">
        <f t="shared" si="37"/>
        <v>#NAME?</v>
      </c>
    </row>
    <row r="31" ht="14.25" customHeight="1">
      <c r="C31" s="33">
        <f t="shared" si="9"/>
        <v>42156</v>
      </c>
      <c r="D31" s="1" t="str">
        <f t="array" ref="D31">XLOOKUP($B$3,items,XLOOKUP(C31,dates,big_table))</f>
        <v>#N/A</v>
      </c>
      <c r="E31" s="1">
        <f t="array" ref="E31">IF(ISNA(XLOOKUP("jodi_last",items,XLOOKUP(C31,dates,big_table))),10^6,-100000)</f>
        <v>1000000</v>
      </c>
      <c r="F31" s="1" t="str">
        <f t="shared" ref="F31:I31" si="38">XLOOKUP(MONTH($C31),$M$6:$M$17,AE$6:AE$17)</f>
        <v>#NAME?</v>
      </c>
      <c r="G31" s="1" t="str">
        <f t="shared" si="38"/>
        <v>#NAME?</v>
      </c>
      <c r="H31" s="1" t="str">
        <f t="shared" si="38"/>
        <v>#NAME?</v>
      </c>
      <c r="I31" s="1" t="str">
        <f t="shared" si="38"/>
        <v>#NAME?</v>
      </c>
    </row>
    <row r="32" ht="14.25" customHeight="1">
      <c r="C32" s="33">
        <f t="shared" si="9"/>
        <v>42186</v>
      </c>
      <c r="D32" s="1" t="str">
        <f t="array" ref="D32">XLOOKUP($B$3,items,XLOOKUP(C32,dates,big_table))</f>
        <v>#N/A</v>
      </c>
      <c r="E32" s="1">
        <f t="array" ref="E32">IF(ISNA(XLOOKUP("jodi_last",items,XLOOKUP(C32,dates,big_table))),10^6,-100000)</f>
        <v>1000000</v>
      </c>
      <c r="F32" s="1" t="str">
        <f t="shared" ref="F32:I32" si="39">XLOOKUP(MONTH($C32),$M$6:$M$17,AE$6:AE$17)</f>
        <v>#NAME?</v>
      </c>
      <c r="G32" s="1" t="str">
        <f t="shared" si="39"/>
        <v>#NAME?</v>
      </c>
      <c r="H32" s="1" t="str">
        <f t="shared" si="39"/>
        <v>#NAME?</v>
      </c>
      <c r="I32" s="1" t="str">
        <f t="shared" si="39"/>
        <v>#NAME?</v>
      </c>
    </row>
    <row r="33" ht="14.25" customHeight="1">
      <c r="C33" s="33">
        <f t="shared" si="9"/>
        <v>42217</v>
      </c>
      <c r="D33" s="1" t="str">
        <f t="array" ref="D33">XLOOKUP($B$3,items,XLOOKUP(C33,dates,big_table))</f>
        <v>#N/A</v>
      </c>
      <c r="E33" s="1">
        <f t="array" ref="E33">IF(ISNA(XLOOKUP("jodi_last",items,XLOOKUP(C33,dates,big_table))),10^6,-100000)</f>
        <v>1000000</v>
      </c>
      <c r="F33" s="1" t="str">
        <f t="shared" ref="F33:I33" si="40">XLOOKUP(MONTH($C33),$M$6:$M$17,AE$6:AE$17)</f>
        <v>#NAME?</v>
      </c>
      <c r="G33" s="1" t="str">
        <f t="shared" si="40"/>
        <v>#NAME?</v>
      </c>
      <c r="H33" s="1" t="str">
        <f t="shared" si="40"/>
        <v>#NAME?</v>
      </c>
      <c r="I33" s="1" t="str">
        <f t="shared" si="40"/>
        <v>#NAME?</v>
      </c>
    </row>
    <row r="34" ht="14.25" customHeight="1">
      <c r="C34" s="33">
        <f t="shared" si="9"/>
        <v>42248</v>
      </c>
      <c r="D34" s="1" t="str">
        <f t="array" ref="D34">XLOOKUP($B$3,items,XLOOKUP(C34,dates,big_table))</f>
        <v>#N/A</v>
      </c>
      <c r="E34" s="1">
        <f t="array" ref="E34">IF(ISNA(XLOOKUP("jodi_last",items,XLOOKUP(C34,dates,big_table))),10^6,-100000)</f>
        <v>1000000</v>
      </c>
      <c r="F34" s="1" t="str">
        <f t="shared" ref="F34:I34" si="41">XLOOKUP(MONTH($C34),$M$6:$M$17,AE$6:AE$17)</f>
        <v>#NAME?</v>
      </c>
      <c r="G34" s="1" t="str">
        <f t="shared" si="41"/>
        <v>#NAME?</v>
      </c>
      <c r="H34" s="1" t="str">
        <f t="shared" si="41"/>
        <v>#NAME?</v>
      </c>
      <c r="I34" s="1" t="str">
        <f t="shared" si="41"/>
        <v>#NAME?</v>
      </c>
    </row>
    <row r="35" ht="14.25" customHeight="1">
      <c r="C35" s="33">
        <f t="shared" si="9"/>
        <v>42278</v>
      </c>
      <c r="D35" s="1" t="str">
        <f t="array" ref="D35">XLOOKUP($B$3,items,XLOOKUP(C35,dates,big_table))</f>
        <v>#N/A</v>
      </c>
      <c r="E35" s="1">
        <f t="array" ref="E35">IF(ISNA(XLOOKUP("jodi_last",items,XLOOKUP(C35,dates,big_table))),10^6,-100000)</f>
        <v>1000000</v>
      </c>
      <c r="F35" s="1" t="str">
        <f t="shared" ref="F35:I35" si="42">XLOOKUP(MONTH($C35),$M$6:$M$17,AE$6:AE$17)</f>
        <v>#NAME?</v>
      </c>
      <c r="G35" s="1" t="str">
        <f t="shared" si="42"/>
        <v>#NAME?</v>
      </c>
      <c r="H35" s="1" t="str">
        <f t="shared" si="42"/>
        <v>#NAME?</v>
      </c>
      <c r="I35" s="1" t="str">
        <f t="shared" si="42"/>
        <v>#NAME?</v>
      </c>
    </row>
    <row r="36" ht="14.25" customHeight="1">
      <c r="C36" s="33">
        <f t="shared" si="9"/>
        <v>42309</v>
      </c>
      <c r="D36" s="1" t="str">
        <f t="array" ref="D36">XLOOKUP($B$3,items,XLOOKUP(C36,dates,big_table))</f>
        <v>#N/A</v>
      </c>
      <c r="E36" s="1">
        <f t="array" ref="E36">IF(ISNA(XLOOKUP("jodi_last",items,XLOOKUP(C36,dates,big_table))),10^6,-100000)</f>
        <v>1000000</v>
      </c>
      <c r="F36" s="1" t="str">
        <f t="shared" ref="F36:I36" si="43">XLOOKUP(MONTH($C36),$M$6:$M$17,AE$6:AE$17)</f>
        <v>#NAME?</v>
      </c>
      <c r="G36" s="1" t="str">
        <f t="shared" si="43"/>
        <v>#NAME?</v>
      </c>
      <c r="H36" s="1" t="str">
        <f t="shared" si="43"/>
        <v>#NAME?</v>
      </c>
      <c r="I36" s="1" t="str">
        <f t="shared" si="43"/>
        <v>#NAME?</v>
      </c>
    </row>
    <row r="37" ht="14.25" customHeight="1">
      <c r="C37" s="33">
        <f t="shared" si="9"/>
        <v>42339</v>
      </c>
      <c r="D37" s="1" t="str">
        <f t="array" ref="D37">XLOOKUP($B$3,items,XLOOKUP(C37,dates,big_table))</f>
        <v>#N/A</v>
      </c>
      <c r="E37" s="1">
        <f t="array" ref="E37">IF(ISNA(XLOOKUP("jodi_last",items,XLOOKUP(C37,dates,big_table))),10^6,-100000)</f>
        <v>1000000</v>
      </c>
      <c r="F37" s="1" t="str">
        <f t="shared" ref="F37:I37" si="44">XLOOKUP(MONTH($C37),$M$6:$M$17,AE$6:AE$17)</f>
        <v>#NAME?</v>
      </c>
      <c r="G37" s="1" t="str">
        <f t="shared" si="44"/>
        <v>#NAME?</v>
      </c>
      <c r="H37" s="1" t="str">
        <f t="shared" si="44"/>
        <v>#NAME?</v>
      </c>
      <c r="I37" s="1" t="str">
        <f t="shared" si="44"/>
        <v>#NAME?</v>
      </c>
    </row>
    <row r="38" ht="14.25" customHeight="1">
      <c r="C38" s="33">
        <f t="shared" si="9"/>
        <v>42370</v>
      </c>
      <c r="D38" s="1" t="str">
        <f t="array" ref="D38">XLOOKUP($B$3,items,XLOOKUP(C38,dates,big_table))</f>
        <v>#N/A</v>
      </c>
      <c r="E38" s="1">
        <f t="array" ref="E38">IF(ISNA(XLOOKUP("jodi_last",items,XLOOKUP(C38,dates,big_table))),10^6,-100000)</f>
        <v>1000000</v>
      </c>
      <c r="F38" s="1" t="str">
        <f t="shared" ref="F38:I38" si="45">XLOOKUP(MONTH($C38),$M$6:$M$17,AE$6:AE$17)</f>
        <v>#NAME?</v>
      </c>
      <c r="G38" s="1" t="str">
        <f t="shared" si="45"/>
        <v>#NAME?</v>
      </c>
      <c r="H38" s="1" t="str">
        <f t="shared" si="45"/>
        <v>#NAME?</v>
      </c>
      <c r="I38" s="1" t="str">
        <f t="shared" si="45"/>
        <v>#NAME?</v>
      </c>
    </row>
    <row r="39" ht="14.25" customHeight="1">
      <c r="C39" s="33">
        <f t="shared" si="9"/>
        <v>42401</v>
      </c>
      <c r="D39" s="1" t="str">
        <f t="array" ref="D39">XLOOKUP($B$3,items,XLOOKUP(C39,dates,big_table))</f>
        <v>#N/A</v>
      </c>
      <c r="E39" s="1">
        <f t="array" ref="E39">IF(ISNA(XLOOKUP("jodi_last",items,XLOOKUP(C39,dates,big_table))),10^6,-100000)</f>
        <v>1000000</v>
      </c>
      <c r="F39" s="1" t="str">
        <f t="shared" ref="F39:I39" si="46">XLOOKUP(MONTH($C39),$M$6:$M$17,AE$6:AE$17)</f>
        <v>#NAME?</v>
      </c>
      <c r="G39" s="1" t="str">
        <f t="shared" si="46"/>
        <v>#NAME?</v>
      </c>
      <c r="H39" s="1" t="str">
        <f t="shared" si="46"/>
        <v>#NAME?</v>
      </c>
      <c r="I39" s="1" t="str">
        <f t="shared" si="46"/>
        <v>#NAME?</v>
      </c>
    </row>
    <row r="40" ht="14.25" customHeight="1">
      <c r="C40" s="33">
        <f t="shared" si="9"/>
        <v>42430</v>
      </c>
      <c r="D40" s="1" t="str">
        <f t="array" ref="D40">XLOOKUP($B$3,items,XLOOKUP(C40,dates,big_table))</f>
        <v>#N/A</v>
      </c>
      <c r="E40" s="1">
        <f t="array" ref="E40">IF(ISNA(XLOOKUP("jodi_last",items,XLOOKUP(C40,dates,big_table))),10^6,-100000)</f>
        <v>1000000</v>
      </c>
      <c r="F40" s="1" t="str">
        <f t="shared" ref="F40:I40" si="47">XLOOKUP(MONTH($C40),$M$6:$M$17,AE$6:AE$17)</f>
        <v>#NAME?</v>
      </c>
      <c r="G40" s="1" t="str">
        <f t="shared" si="47"/>
        <v>#NAME?</v>
      </c>
      <c r="H40" s="1" t="str">
        <f t="shared" si="47"/>
        <v>#NAME?</v>
      </c>
      <c r="I40" s="1" t="str">
        <f t="shared" si="47"/>
        <v>#NAME?</v>
      </c>
    </row>
    <row r="41" ht="14.25" customHeight="1">
      <c r="C41" s="33">
        <f t="shared" si="9"/>
        <v>42461</v>
      </c>
      <c r="D41" s="1" t="str">
        <f t="array" ref="D41">XLOOKUP($B$3,items,XLOOKUP(C41,dates,big_table))</f>
        <v>#N/A</v>
      </c>
      <c r="E41" s="1">
        <f t="array" ref="E41">IF(ISNA(XLOOKUP("jodi_last",items,XLOOKUP(C41,dates,big_table))),10^6,-100000)</f>
        <v>1000000</v>
      </c>
      <c r="F41" s="1" t="str">
        <f t="shared" ref="F41:I41" si="48">XLOOKUP(MONTH($C41),$M$6:$M$17,AE$6:AE$17)</f>
        <v>#NAME?</v>
      </c>
      <c r="G41" s="1" t="str">
        <f t="shared" si="48"/>
        <v>#NAME?</v>
      </c>
      <c r="H41" s="1" t="str">
        <f t="shared" si="48"/>
        <v>#NAME?</v>
      </c>
      <c r="I41" s="1" t="str">
        <f t="shared" si="48"/>
        <v>#NAME?</v>
      </c>
    </row>
    <row r="42" ht="14.25" customHeight="1">
      <c r="C42" s="33">
        <f t="shared" si="9"/>
        <v>42491</v>
      </c>
      <c r="D42" s="1" t="str">
        <f t="array" ref="D42">XLOOKUP($B$3,items,XLOOKUP(C42,dates,big_table))</f>
        <v>#N/A</v>
      </c>
      <c r="E42" s="1">
        <f t="array" ref="E42">IF(ISNA(XLOOKUP("jodi_last",items,XLOOKUP(C42,dates,big_table))),10^6,-100000)</f>
        <v>1000000</v>
      </c>
      <c r="F42" s="1" t="str">
        <f t="shared" ref="F42:I42" si="49">XLOOKUP(MONTH($C42),$M$6:$M$17,AE$6:AE$17)</f>
        <v>#NAME?</v>
      </c>
      <c r="G42" s="1" t="str">
        <f t="shared" si="49"/>
        <v>#NAME?</v>
      </c>
      <c r="H42" s="1" t="str">
        <f t="shared" si="49"/>
        <v>#NAME?</v>
      </c>
      <c r="I42" s="1" t="str">
        <f t="shared" si="49"/>
        <v>#NAME?</v>
      </c>
    </row>
    <row r="43" ht="14.25" customHeight="1">
      <c r="C43" s="33">
        <f t="shared" si="9"/>
        <v>42522</v>
      </c>
      <c r="D43" s="1" t="str">
        <f t="array" ref="D43">XLOOKUP($B$3,items,XLOOKUP(C43,dates,big_table))</f>
        <v>#N/A</v>
      </c>
      <c r="E43" s="1">
        <f t="array" ref="E43">IF(ISNA(XLOOKUP("jodi_last",items,XLOOKUP(C43,dates,big_table))),10^6,-100000)</f>
        <v>1000000</v>
      </c>
      <c r="F43" s="1" t="str">
        <f t="shared" ref="F43:I43" si="50">XLOOKUP(MONTH($C43),$M$6:$M$17,AE$6:AE$17)</f>
        <v>#NAME?</v>
      </c>
      <c r="G43" s="1" t="str">
        <f t="shared" si="50"/>
        <v>#NAME?</v>
      </c>
      <c r="H43" s="1" t="str">
        <f t="shared" si="50"/>
        <v>#NAME?</v>
      </c>
      <c r="I43" s="1" t="str">
        <f t="shared" si="50"/>
        <v>#NAME?</v>
      </c>
    </row>
    <row r="44" ht="14.25" customHeight="1">
      <c r="C44" s="33">
        <f t="shared" si="9"/>
        <v>42552</v>
      </c>
      <c r="D44" s="1" t="str">
        <f t="array" ref="D44">XLOOKUP($B$3,items,XLOOKUP(C44,dates,big_table))</f>
        <v>#N/A</v>
      </c>
      <c r="E44" s="1">
        <f t="array" ref="E44">IF(ISNA(XLOOKUP("jodi_last",items,XLOOKUP(C44,dates,big_table))),10^6,-100000)</f>
        <v>1000000</v>
      </c>
      <c r="F44" s="1" t="str">
        <f t="shared" ref="F44:I44" si="51">XLOOKUP(MONTH($C44),$M$6:$M$17,AE$6:AE$17)</f>
        <v>#NAME?</v>
      </c>
      <c r="G44" s="1" t="str">
        <f t="shared" si="51"/>
        <v>#NAME?</v>
      </c>
      <c r="H44" s="1" t="str">
        <f t="shared" si="51"/>
        <v>#NAME?</v>
      </c>
      <c r="I44" s="1" t="str">
        <f t="shared" si="51"/>
        <v>#NAME?</v>
      </c>
    </row>
    <row r="45" ht="14.25" customHeight="1">
      <c r="C45" s="33">
        <f t="shared" si="9"/>
        <v>42583</v>
      </c>
      <c r="D45" s="1" t="str">
        <f t="array" ref="D45">XLOOKUP($B$3,items,XLOOKUP(C45,dates,big_table))</f>
        <v>#N/A</v>
      </c>
      <c r="E45" s="1">
        <f t="array" ref="E45">IF(ISNA(XLOOKUP("jodi_last",items,XLOOKUP(C45,dates,big_table))),10^6,-100000)</f>
        <v>1000000</v>
      </c>
      <c r="F45" s="1" t="str">
        <f t="shared" ref="F45:I45" si="52">XLOOKUP(MONTH($C45),$M$6:$M$17,AE$6:AE$17)</f>
        <v>#NAME?</v>
      </c>
      <c r="G45" s="1" t="str">
        <f t="shared" si="52"/>
        <v>#NAME?</v>
      </c>
      <c r="H45" s="1" t="str">
        <f t="shared" si="52"/>
        <v>#NAME?</v>
      </c>
      <c r="I45" s="1" t="str">
        <f t="shared" si="52"/>
        <v>#NAME?</v>
      </c>
    </row>
    <row r="46" ht="14.25" customHeight="1">
      <c r="C46" s="33">
        <f t="shared" si="9"/>
        <v>42614</v>
      </c>
      <c r="D46" s="1" t="str">
        <f t="array" ref="D46">XLOOKUP($B$3,items,XLOOKUP(C46,dates,big_table))</f>
        <v>#N/A</v>
      </c>
      <c r="E46" s="1">
        <f t="array" ref="E46">IF(ISNA(XLOOKUP("jodi_last",items,XLOOKUP(C46,dates,big_table))),10^6,-100000)</f>
        <v>1000000</v>
      </c>
      <c r="F46" s="1" t="str">
        <f t="shared" ref="F46:I46" si="53">XLOOKUP(MONTH($C46),$M$6:$M$17,AE$6:AE$17)</f>
        <v>#NAME?</v>
      </c>
      <c r="G46" s="1" t="str">
        <f t="shared" si="53"/>
        <v>#NAME?</v>
      </c>
      <c r="H46" s="1" t="str">
        <f t="shared" si="53"/>
        <v>#NAME?</v>
      </c>
      <c r="I46" s="1" t="str">
        <f t="shared" si="53"/>
        <v>#NAME?</v>
      </c>
    </row>
    <row r="47" ht="14.25" customHeight="1">
      <c r="C47" s="33">
        <f t="shared" si="9"/>
        <v>42644</v>
      </c>
      <c r="D47" s="1" t="str">
        <f t="array" ref="D47">XLOOKUP($B$3,items,XLOOKUP(C47,dates,big_table))</f>
        <v>#N/A</v>
      </c>
      <c r="E47" s="1">
        <f t="array" ref="E47">IF(ISNA(XLOOKUP("jodi_last",items,XLOOKUP(C47,dates,big_table))),10^6,-100000)</f>
        <v>1000000</v>
      </c>
      <c r="F47" s="1" t="str">
        <f t="shared" ref="F47:I47" si="54">XLOOKUP(MONTH($C47),$M$6:$M$17,AE$6:AE$17)</f>
        <v>#NAME?</v>
      </c>
      <c r="G47" s="1" t="str">
        <f t="shared" si="54"/>
        <v>#NAME?</v>
      </c>
      <c r="H47" s="1" t="str">
        <f t="shared" si="54"/>
        <v>#NAME?</v>
      </c>
      <c r="I47" s="1" t="str">
        <f t="shared" si="54"/>
        <v>#NAME?</v>
      </c>
    </row>
    <row r="48" ht="14.25" customHeight="1">
      <c r="C48" s="33">
        <f t="shared" si="9"/>
        <v>42675</v>
      </c>
      <c r="D48" s="1" t="str">
        <f t="array" ref="D48">XLOOKUP($B$3,items,XLOOKUP(C48,dates,big_table))</f>
        <v>#N/A</v>
      </c>
      <c r="E48" s="1">
        <f t="array" ref="E48">IF(ISNA(XLOOKUP("jodi_last",items,XLOOKUP(C48,dates,big_table))),10^6,-100000)</f>
        <v>1000000</v>
      </c>
      <c r="F48" s="1" t="str">
        <f t="shared" ref="F48:I48" si="55">XLOOKUP(MONTH($C48),$M$6:$M$17,AE$6:AE$17)</f>
        <v>#NAME?</v>
      </c>
      <c r="G48" s="1" t="str">
        <f t="shared" si="55"/>
        <v>#NAME?</v>
      </c>
      <c r="H48" s="1" t="str">
        <f t="shared" si="55"/>
        <v>#NAME?</v>
      </c>
      <c r="I48" s="1" t="str">
        <f t="shared" si="55"/>
        <v>#NAME?</v>
      </c>
    </row>
    <row r="49" ht="14.25" customHeight="1">
      <c r="C49" s="33">
        <f t="shared" si="9"/>
        <v>42705</v>
      </c>
      <c r="D49" s="1" t="str">
        <f t="array" ref="D49">XLOOKUP($B$3,items,XLOOKUP(C49,dates,big_table))</f>
        <v>#N/A</v>
      </c>
      <c r="E49" s="1">
        <f t="array" ref="E49">IF(ISNA(XLOOKUP("jodi_last",items,XLOOKUP(C49,dates,big_table))),10^6,-100000)</f>
        <v>1000000</v>
      </c>
      <c r="F49" s="1" t="str">
        <f t="shared" ref="F49:I49" si="56">XLOOKUP(MONTH($C49),$M$6:$M$17,AE$6:AE$17)</f>
        <v>#NAME?</v>
      </c>
      <c r="G49" s="1" t="str">
        <f t="shared" si="56"/>
        <v>#NAME?</v>
      </c>
      <c r="H49" s="1" t="str">
        <f t="shared" si="56"/>
        <v>#NAME?</v>
      </c>
      <c r="I49" s="1" t="str">
        <f t="shared" si="56"/>
        <v>#NAME?</v>
      </c>
    </row>
    <row r="50" ht="14.25" customHeight="1">
      <c r="C50" s="33">
        <f t="shared" si="9"/>
        <v>42736</v>
      </c>
      <c r="D50" s="1" t="str">
        <f t="array" ref="D50">XLOOKUP($B$3,items,XLOOKUP(C50,dates,big_table))</f>
        <v>#N/A</v>
      </c>
      <c r="E50" s="1">
        <f t="array" ref="E50">IF(ISNA(XLOOKUP("jodi_last",items,XLOOKUP(C50,dates,big_table))),10^6,-100000)</f>
        <v>1000000</v>
      </c>
      <c r="F50" s="1" t="str">
        <f t="shared" ref="F50:I50" si="57">XLOOKUP(MONTH($C50),$M$6:$M$17,AE$6:AE$17)</f>
        <v>#NAME?</v>
      </c>
      <c r="G50" s="1" t="str">
        <f t="shared" si="57"/>
        <v>#NAME?</v>
      </c>
      <c r="H50" s="1" t="str">
        <f t="shared" si="57"/>
        <v>#NAME?</v>
      </c>
      <c r="I50" s="1" t="str">
        <f t="shared" si="57"/>
        <v>#NAME?</v>
      </c>
    </row>
    <row r="51" ht="14.25" customHeight="1">
      <c r="C51" s="33">
        <f t="shared" si="9"/>
        <v>42767</v>
      </c>
      <c r="D51" s="1" t="str">
        <f t="array" ref="D51">XLOOKUP($B$3,items,XLOOKUP(C51,dates,big_table))</f>
        <v>#N/A</v>
      </c>
      <c r="E51" s="1">
        <f t="array" ref="E51">IF(ISNA(XLOOKUP("jodi_last",items,XLOOKUP(C51,dates,big_table))),10^6,-100000)</f>
        <v>1000000</v>
      </c>
      <c r="F51" s="1" t="str">
        <f t="shared" ref="F51:I51" si="58">XLOOKUP(MONTH($C51),$M$6:$M$17,AE$6:AE$17)</f>
        <v>#NAME?</v>
      </c>
      <c r="G51" s="1" t="str">
        <f t="shared" si="58"/>
        <v>#NAME?</v>
      </c>
      <c r="H51" s="1" t="str">
        <f t="shared" si="58"/>
        <v>#NAME?</v>
      </c>
      <c r="I51" s="1" t="str">
        <f t="shared" si="58"/>
        <v>#NAME?</v>
      </c>
    </row>
    <row r="52" ht="14.25" customHeight="1">
      <c r="C52" s="33">
        <f t="shared" si="9"/>
        <v>42795</v>
      </c>
      <c r="D52" s="1" t="str">
        <f t="array" ref="D52">XLOOKUP($B$3,items,XLOOKUP(C52,dates,big_table))</f>
        <v>#N/A</v>
      </c>
      <c r="E52" s="1">
        <f t="array" ref="E52">IF(ISNA(XLOOKUP("jodi_last",items,XLOOKUP(C52,dates,big_table))),10^6,-100000)</f>
        <v>1000000</v>
      </c>
      <c r="F52" s="1" t="str">
        <f t="shared" ref="F52:I52" si="59">XLOOKUP(MONTH($C52),$M$6:$M$17,AE$6:AE$17)</f>
        <v>#NAME?</v>
      </c>
      <c r="G52" s="1" t="str">
        <f t="shared" si="59"/>
        <v>#NAME?</v>
      </c>
      <c r="H52" s="1" t="str">
        <f t="shared" si="59"/>
        <v>#NAME?</v>
      </c>
      <c r="I52" s="1" t="str">
        <f t="shared" si="59"/>
        <v>#NAME?</v>
      </c>
    </row>
    <row r="53" ht="14.25" customHeight="1">
      <c r="C53" s="33">
        <f t="shared" si="9"/>
        <v>42826</v>
      </c>
      <c r="D53" s="1" t="str">
        <f t="array" ref="D53">XLOOKUP($B$3,items,XLOOKUP(C53,dates,big_table))</f>
        <v>#N/A</v>
      </c>
      <c r="E53" s="1">
        <f t="array" ref="E53">IF(ISNA(XLOOKUP("jodi_last",items,XLOOKUP(C53,dates,big_table))),10^6,-100000)</f>
        <v>1000000</v>
      </c>
      <c r="F53" s="1" t="str">
        <f t="shared" ref="F53:I53" si="60">XLOOKUP(MONTH($C53),$M$6:$M$17,AE$6:AE$17)</f>
        <v>#NAME?</v>
      </c>
      <c r="G53" s="1" t="str">
        <f t="shared" si="60"/>
        <v>#NAME?</v>
      </c>
      <c r="H53" s="1" t="str">
        <f t="shared" si="60"/>
        <v>#NAME?</v>
      </c>
      <c r="I53" s="1" t="str">
        <f t="shared" si="60"/>
        <v>#NAME?</v>
      </c>
    </row>
    <row r="54" ht="14.25" customHeight="1">
      <c r="C54" s="33">
        <f t="shared" si="9"/>
        <v>42856</v>
      </c>
      <c r="D54" s="1" t="str">
        <f t="array" ref="D54">XLOOKUP($B$3,items,XLOOKUP(C54,dates,big_table))</f>
        <v>#N/A</v>
      </c>
      <c r="E54" s="1">
        <f t="array" ref="E54">IF(ISNA(XLOOKUP("jodi_last",items,XLOOKUP(C54,dates,big_table))),10^6,-100000)</f>
        <v>1000000</v>
      </c>
      <c r="F54" s="1" t="str">
        <f t="shared" ref="F54:I54" si="61">XLOOKUP(MONTH($C54),$M$6:$M$17,AE$6:AE$17)</f>
        <v>#NAME?</v>
      </c>
      <c r="G54" s="1" t="str">
        <f t="shared" si="61"/>
        <v>#NAME?</v>
      </c>
      <c r="H54" s="1" t="str">
        <f t="shared" si="61"/>
        <v>#NAME?</v>
      </c>
      <c r="I54" s="1" t="str">
        <f t="shared" si="61"/>
        <v>#NAME?</v>
      </c>
    </row>
    <row r="55" ht="14.25" customHeight="1">
      <c r="C55" s="33">
        <f t="shared" si="9"/>
        <v>42887</v>
      </c>
      <c r="D55" s="1" t="str">
        <f t="array" ref="D55">XLOOKUP($B$3,items,XLOOKUP(C55,dates,big_table))</f>
        <v>#N/A</v>
      </c>
      <c r="E55" s="1">
        <f t="array" ref="E55">IF(ISNA(XLOOKUP("jodi_last",items,XLOOKUP(C55,dates,big_table))),10^6,-100000)</f>
        <v>1000000</v>
      </c>
      <c r="F55" s="1" t="str">
        <f t="shared" ref="F55:I55" si="62">XLOOKUP(MONTH($C55),$M$6:$M$17,AE$6:AE$17)</f>
        <v>#NAME?</v>
      </c>
      <c r="G55" s="1" t="str">
        <f t="shared" si="62"/>
        <v>#NAME?</v>
      </c>
      <c r="H55" s="1" t="str">
        <f t="shared" si="62"/>
        <v>#NAME?</v>
      </c>
      <c r="I55" s="1" t="str">
        <f t="shared" si="62"/>
        <v>#NAME?</v>
      </c>
    </row>
    <row r="56" ht="14.25" customHeight="1">
      <c r="C56" s="33">
        <f t="shared" si="9"/>
        <v>42917</v>
      </c>
      <c r="D56" s="1" t="str">
        <f t="array" ref="D56">XLOOKUP($B$3,items,XLOOKUP(C56,dates,big_table))</f>
        <v>#N/A</v>
      </c>
      <c r="E56" s="1">
        <f t="array" ref="E56">IF(ISNA(XLOOKUP("jodi_last",items,XLOOKUP(C56,dates,big_table))),10^6,-100000)</f>
        <v>1000000</v>
      </c>
      <c r="F56" s="1" t="str">
        <f t="shared" ref="F56:I56" si="63">XLOOKUP(MONTH($C56),$M$6:$M$17,AE$6:AE$17)</f>
        <v>#NAME?</v>
      </c>
      <c r="G56" s="1" t="str">
        <f t="shared" si="63"/>
        <v>#NAME?</v>
      </c>
      <c r="H56" s="1" t="str">
        <f t="shared" si="63"/>
        <v>#NAME?</v>
      </c>
      <c r="I56" s="1" t="str">
        <f t="shared" si="63"/>
        <v>#NAME?</v>
      </c>
    </row>
    <row r="57" ht="14.25" customHeight="1">
      <c r="C57" s="33">
        <f t="shared" si="9"/>
        <v>42948</v>
      </c>
      <c r="D57" s="1" t="str">
        <f t="array" ref="D57">XLOOKUP($B$3,items,XLOOKUP(C57,dates,big_table))</f>
        <v>#N/A</v>
      </c>
      <c r="E57" s="1">
        <f t="array" ref="E57">IF(ISNA(XLOOKUP("jodi_last",items,XLOOKUP(C57,dates,big_table))),10^6,-100000)</f>
        <v>1000000</v>
      </c>
      <c r="F57" s="1" t="str">
        <f t="shared" ref="F57:I57" si="64">XLOOKUP(MONTH($C57),$M$6:$M$17,AE$6:AE$17)</f>
        <v>#NAME?</v>
      </c>
      <c r="G57" s="1" t="str">
        <f t="shared" si="64"/>
        <v>#NAME?</v>
      </c>
      <c r="H57" s="1" t="str">
        <f t="shared" si="64"/>
        <v>#NAME?</v>
      </c>
      <c r="I57" s="1" t="str">
        <f t="shared" si="64"/>
        <v>#NAME?</v>
      </c>
    </row>
    <row r="58" ht="14.25" customHeight="1">
      <c r="C58" s="33">
        <f t="shared" si="9"/>
        <v>42979</v>
      </c>
      <c r="D58" s="1" t="str">
        <f t="array" ref="D58">XLOOKUP($B$3,items,XLOOKUP(C58,dates,big_table))</f>
        <v>#N/A</v>
      </c>
      <c r="E58" s="1">
        <f t="array" ref="E58">IF(ISNA(XLOOKUP("jodi_last",items,XLOOKUP(C58,dates,big_table))),10^6,-100000)</f>
        <v>1000000</v>
      </c>
      <c r="F58" s="1" t="str">
        <f t="shared" ref="F58:I58" si="65">XLOOKUP(MONTH($C58),$M$6:$M$17,AE$6:AE$17)</f>
        <v>#NAME?</v>
      </c>
      <c r="G58" s="1" t="str">
        <f t="shared" si="65"/>
        <v>#NAME?</v>
      </c>
      <c r="H58" s="1" t="str">
        <f t="shared" si="65"/>
        <v>#NAME?</v>
      </c>
      <c r="I58" s="1" t="str">
        <f t="shared" si="65"/>
        <v>#NAME?</v>
      </c>
    </row>
    <row r="59" ht="14.25" customHeight="1">
      <c r="C59" s="33">
        <f t="shared" si="9"/>
        <v>43009</v>
      </c>
      <c r="D59" s="1" t="str">
        <f t="array" ref="D59">XLOOKUP($B$3,items,XLOOKUP(C59,dates,big_table))</f>
        <v>#N/A</v>
      </c>
      <c r="E59" s="1">
        <f t="array" ref="E59">IF(ISNA(XLOOKUP("jodi_last",items,XLOOKUP(C59,dates,big_table))),10^6,-100000)</f>
        <v>1000000</v>
      </c>
      <c r="F59" s="1" t="str">
        <f t="shared" ref="F59:I59" si="66">XLOOKUP(MONTH($C59),$M$6:$M$17,AE$6:AE$17)</f>
        <v>#NAME?</v>
      </c>
      <c r="G59" s="1" t="str">
        <f t="shared" si="66"/>
        <v>#NAME?</v>
      </c>
      <c r="H59" s="1" t="str">
        <f t="shared" si="66"/>
        <v>#NAME?</v>
      </c>
      <c r="I59" s="1" t="str">
        <f t="shared" si="66"/>
        <v>#NAME?</v>
      </c>
    </row>
    <row r="60" ht="14.25" customHeight="1">
      <c r="C60" s="33">
        <f t="shared" si="9"/>
        <v>43040</v>
      </c>
      <c r="D60" s="1" t="str">
        <f t="array" ref="D60">XLOOKUP($B$3,items,XLOOKUP(C60,dates,big_table))</f>
        <v>#N/A</v>
      </c>
      <c r="E60" s="1">
        <f t="array" ref="E60">IF(ISNA(XLOOKUP("jodi_last",items,XLOOKUP(C60,dates,big_table))),10^6,-100000)</f>
        <v>1000000</v>
      </c>
      <c r="F60" s="1" t="str">
        <f t="shared" ref="F60:I60" si="67">XLOOKUP(MONTH($C60),$M$6:$M$17,AE$6:AE$17)</f>
        <v>#NAME?</v>
      </c>
      <c r="G60" s="1" t="str">
        <f t="shared" si="67"/>
        <v>#NAME?</v>
      </c>
      <c r="H60" s="1" t="str">
        <f t="shared" si="67"/>
        <v>#NAME?</v>
      </c>
      <c r="I60" s="1" t="str">
        <f t="shared" si="67"/>
        <v>#NAME?</v>
      </c>
    </row>
    <row r="61" ht="14.25" customHeight="1">
      <c r="C61" s="33">
        <f t="shared" si="9"/>
        <v>43070</v>
      </c>
      <c r="D61" s="1" t="str">
        <f t="array" ref="D61">XLOOKUP($B$3,items,XLOOKUP(C61,dates,big_table))</f>
        <v>#N/A</v>
      </c>
      <c r="E61" s="1">
        <f t="array" ref="E61">IF(ISNA(XLOOKUP("jodi_last",items,XLOOKUP(C61,dates,big_table))),10^6,-100000)</f>
        <v>1000000</v>
      </c>
      <c r="F61" s="1" t="str">
        <f t="shared" ref="F61:I61" si="68">XLOOKUP(MONTH($C61),$M$6:$M$17,AE$6:AE$17)</f>
        <v>#NAME?</v>
      </c>
      <c r="G61" s="1" t="str">
        <f t="shared" si="68"/>
        <v>#NAME?</v>
      </c>
      <c r="H61" s="1" t="str">
        <f t="shared" si="68"/>
        <v>#NAME?</v>
      </c>
      <c r="I61" s="1" t="str">
        <f t="shared" si="68"/>
        <v>#NAME?</v>
      </c>
    </row>
    <row r="62" ht="14.25" customHeight="1">
      <c r="C62" s="33">
        <f t="shared" si="9"/>
        <v>43101</v>
      </c>
      <c r="D62" s="1" t="str">
        <f t="array" ref="D62">XLOOKUP($B$3,items,XLOOKUP(C62,dates,big_table))</f>
        <v>#N/A</v>
      </c>
      <c r="E62" s="1">
        <f t="array" ref="E62">IF(ISNA(XLOOKUP("jodi_last",items,XLOOKUP(C62,dates,big_table))),10^6,-100000)</f>
        <v>1000000</v>
      </c>
      <c r="F62" s="1" t="str">
        <f t="shared" ref="F62:I62" si="69">XLOOKUP(MONTH($C62),$M$6:$M$17,AE$6:AE$17)</f>
        <v>#NAME?</v>
      </c>
      <c r="G62" s="1" t="str">
        <f t="shared" si="69"/>
        <v>#NAME?</v>
      </c>
      <c r="H62" s="1" t="str">
        <f t="shared" si="69"/>
        <v>#NAME?</v>
      </c>
      <c r="I62" s="1" t="str">
        <f t="shared" si="69"/>
        <v>#NAME?</v>
      </c>
    </row>
    <row r="63" ht="14.25" customHeight="1">
      <c r="C63" s="33">
        <f t="shared" si="9"/>
        <v>43132</v>
      </c>
      <c r="D63" s="1" t="str">
        <f t="array" ref="D63">XLOOKUP($B$3,items,XLOOKUP(C63,dates,big_table))</f>
        <v>#N/A</v>
      </c>
      <c r="E63" s="1">
        <f t="array" ref="E63">IF(ISNA(XLOOKUP("jodi_last",items,XLOOKUP(C63,dates,big_table))),10^6,-100000)</f>
        <v>1000000</v>
      </c>
      <c r="F63" s="1" t="str">
        <f t="shared" ref="F63:I63" si="70">XLOOKUP(MONTH($C63),$M$6:$M$17,AE$6:AE$17)</f>
        <v>#NAME?</v>
      </c>
      <c r="G63" s="1" t="str">
        <f t="shared" si="70"/>
        <v>#NAME?</v>
      </c>
      <c r="H63" s="1" t="str">
        <f t="shared" si="70"/>
        <v>#NAME?</v>
      </c>
      <c r="I63" s="1" t="str">
        <f t="shared" si="70"/>
        <v>#NAME?</v>
      </c>
    </row>
    <row r="64" ht="14.25" customHeight="1">
      <c r="C64" s="33">
        <f t="shared" si="9"/>
        <v>43160</v>
      </c>
      <c r="D64" s="1" t="str">
        <f t="array" ref="D64">XLOOKUP($B$3,items,XLOOKUP(C64,dates,big_table))</f>
        <v>#N/A</v>
      </c>
      <c r="E64" s="1">
        <f t="array" ref="E64">IF(ISNA(XLOOKUP("jodi_last",items,XLOOKUP(C64,dates,big_table))),10^6,-100000)</f>
        <v>1000000</v>
      </c>
      <c r="F64" s="1" t="str">
        <f t="shared" ref="F64:I64" si="71">XLOOKUP(MONTH($C64),$M$6:$M$17,AE$6:AE$17)</f>
        <v>#NAME?</v>
      </c>
      <c r="G64" s="1" t="str">
        <f t="shared" si="71"/>
        <v>#NAME?</v>
      </c>
      <c r="H64" s="1" t="str">
        <f t="shared" si="71"/>
        <v>#NAME?</v>
      </c>
      <c r="I64" s="1" t="str">
        <f t="shared" si="71"/>
        <v>#NAME?</v>
      </c>
    </row>
    <row r="65" ht="14.25" customHeight="1">
      <c r="C65" s="33">
        <f t="shared" si="9"/>
        <v>43191</v>
      </c>
      <c r="D65" s="1" t="str">
        <f t="array" ref="D65">XLOOKUP($B$3,items,XLOOKUP(C65,dates,big_table))</f>
        <v>#N/A</v>
      </c>
      <c r="E65" s="1">
        <f t="array" ref="E65">IF(ISNA(XLOOKUP("jodi_last",items,XLOOKUP(C65,dates,big_table))),10^6,-100000)</f>
        <v>1000000</v>
      </c>
      <c r="F65" s="1" t="str">
        <f t="shared" ref="F65:I65" si="72">XLOOKUP(MONTH($C65),$M$6:$M$17,AE$6:AE$17)</f>
        <v>#NAME?</v>
      </c>
      <c r="G65" s="1" t="str">
        <f t="shared" si="72"/>
        <v>#NAME?</v>
      </c>
      <c r="H65" s="1" t="str">
        <f t="shared" si="72"/>
        <v>#NAME?</v>
      </c>
      <c r="I65" s="1" t="str">
        <f t="shared" si="72"/>
        <v>#NAME?</v>
      </c>
    </row>
    <row r="66" ht="14.25" customHeight="1">
      <c r="C66" s="33">
        <f t="shared" si="9"/>
        <v>43221</v>
      </c>
      <c r="D66" s="1" t="str">
        <f t="array" ref="D66">XLOOKUP($B$3,items,XLOOKUP(C66,dates,big_table))</f>
        <v>#N/A</v>
      </c>
      <c r="E66" s="1">
        <f t="array" ref="E66">IF(ISNA(XLOOKUP("jodi_last",items,XLOOKUP(C66,dates,big_table))),10^6,-100000)</f>
        <v>1000000</v>
      </c>
      <c r="F66" s="1" t="str">
        <f t="shared" ref="F66:I66" si="73">XLOOKUP(MONTH($C66),$M$6:$M$17,AE$6:AE$17)</f>
        <v>#NAME?</v>
      </c>
      <c r="G66" s="1" t="str">
        <f t="shared" si="73"/>
        <v>#NAME?</v>
      </c>
      <c r="H66" s="1" t="str">
        <f t="shared" si="73"/>
        <v>#NAME?</v>
      </c>
      <c r="I66" s="1" t="str">
        <f t="shared" si="73"/>
        <v>#NAME?</v>
      </c>
    </row>
    <row r="67" ht="14.25" customHeight="1">
      <c r="C67" s="33">
        <f t="shared" si="9"/>
        <v>43252</v>
      </c>
      <c r="D67" s="1" t="str">
        <f t="array" ref="D67">XLOOKUP($B$3,items,XLOOKUP(C67,dates,big_table))</f>
        <v>#N/A</v>
      </c>
      <c r="E67" s="1">
        <f t="array" ref="E67">IF(ISNA(XLOOKUP("jodi_last",items,XLOOKUP(C67,dates,big_table))),10^6,-100000)</f>
        <v>1000000</v>
      </c>
      <c r="F67" s="1" t="str">
        <f t="shared" ref="F67:I67" si="74">XLOOKUP(MONTH($C67),$M$6:$M$17,AE$6:AE$17)</f>
        <v>#NAME?</v>
      </c>
      <c r="G67" s="1" t="str">
        <f t="shared" si="74"/>
        <v>#NAME?</v>
      </c>
      <c r="H67" s="1" t="str">
        <f t="shared" si="74"/>
        <v>#NAME?</v>
      </c>
      <c r="I67" s="1" t="str">
        <f t="shared" si="74"/>
        <v>#NAME?</v>
      </c>
    </row>
    <row r="68" ht="14.25" customHeight="1">
      <c r="C68" s="33">
        <f t="shared" si="9"/>
        <v>43282</v>
      </c>
      <c r="D68" s="1" t="str">
        <f t="array" ref="D68">XLOOKUP($B$3,items,XLOOKUP(C68,dates,big_table))</f>
        <v>#N/A</v>
      </c>
      <c r="E68" s="1">
        <f t="array" ref="E68">IF(ISNA(XLOOKUP("jodi_last",items,XLOOKUP(C68,dates,big_table))),10^6,-100000)</f>
        <v>1000000</v>
      </c>
      <c r="F68" s="1" t="str">
        <f t="shared" ref="F68:I68" si="75">XLOOKUP(MONTH($C68),$M$6:$M$17,AE$6:AE$17)</f>
        <v>#NAME?</v>
      </c>
      <c r="G68" s="1" t="str">
        <f t="shared" si="75"/>
        <v>#NAME?</v>
      </c>
      <c r="H68" s="1" t="str">
        <f t="shared" si="75"/>
        <v>#NAME?</v>
      </c>
      <c r="I68" s="1" t="str">
        <f t="shared" si="75"/>
        <v>#NAME?</v>
      </c>
    </row>
    <row r="69" ht="14.25" customHeight="1">
      <c r="C69" s="33">
        <f t="shared" si="9"/>
        <v>43313</v>
      </c>
      <c r="D69" s="1" t="str">
        <f t="array" ref="D69">XLOOKUP($B$3,items,XLOOKUP(C69,dates,big_table))</f>
        <v>#N/A</v>
      </c>
      <c r="E69" s="1">
        <f t="array" ref="E69">IF(ISNA(XLOOKUP("jodi_last",items,XLOOKUP(C69,dates,big_table))),10^6,-100000)</f>
        <v>1000000</v>
      </c>
      <c r="F69" s="1" t="str">
        <f t="shared" ref="F69:I69" si="76">XLOOKUP(MONTH($C69),$M$6:$M$17,AE$6:AE$17)</f>
        <v>#NAME?</v>
      </c>
      <c r="G69" s="1" t="str">
        <f t="shared" si="76"/>
        <v>#NAME?</v>
      </c>
      <c r="H69" s="1" t="str">
        <f t="shared" si="76"/>
        <v>#NAME?</v>
      </c>
      <c r="I69" s="1" t="str">
        <f t="shared" si="76"/>
        <v>#NAME?</v>
      </c>
    </row>
    <row r="70" ht="14.25" customHeight="1">
      <c r="C70" s="33">
        <f t="shared" si="9"/>
        <v>43344</v>
      </c>
      <c r="D70" s="1" t="str">
        <f t="array" ref="D70">XLOOKUP($B$3,items,XLOOKUP(C70,dates,big_table))</f>
        <v>#N/A</v>
      </c>
      <c r="E70" s="1">
        <f t="array" ref="E70">IF(ISNA(XLOOKUP("jodi_last",items,XLOOKUP(C70,dates,big_table))),10^6,-100000)</f>
        <v>1000000</v>
      </c>
      <c r="F70" s="1" t="str">
        <f t="shared" ref="F70:I70" si="77">XLOOKUP(MONTH($C70),$M$6:$M$17,AE$6:AE$17)</f>
        <v>#NAME?</v>
      </c>
      <c r="G70" s="1" t="str">
        <f t="shared" si="77"/>
        <v>#NAME?</v>
      </c>
      <c r="H70" s="1" t="str">
        <f t="shared" si="77"/>
        <v>#NAME?</v>
      </c>
      <c r="I70" s="1" t="str">
        <f t="shared" si="77"/>
        <v>#NAME?</v>
      </c>
    </row>
    <row r="71" ht="14.25" customHeight="1">
      <c r="C71" s="33">
        <f t="shared" si="9"/>
        <v>43374</v>
      </c>
      <c r="D71" s="1" t="str">
        <f t="array" ref="D71">XLOOKUP($B$3,items,XLOOKUP(C71,dates,big_table))</f>
        <v>#N/A</v>
      </c>
      <c r="E71" s="1">
        <f t="array" ref="E71">IF(ISNA(XLOOKUP("jodi_last",items,XLOOKUP(C71,dates,big_table))),10^6,-100000)</f>
        <v>1000000</v>
      </c>
      <c r="F71" s="1" t="str">
        <f t="shared" ref="F71:I71" si="78">XLOOKUP(MONTH($C71),$M$6:$M$17,AE$6:AE$17)</f>
        <v>#NAME?</v>
      </c>
      <c r="G71" s="1" t="str">
        <f t="shared" si="78"/>
        <v>#NAME?</v>
      </c>
      <c r="H71" s="1" t="str">
        <f t="shared" si="78"/>
        <v>#NAME?</v>
      </c>
      <c r="I71" s="1" t="str">
        <f t="shared" si="78"/>
        <v>#NAME?</v>
      </c>
    </row>
    <row r="72" ht="14.25" customHeight="1">
      <c r="C72" s="33">
        <f t="shared" si="9"/>
        <v>43405</v>
      </c>
      <c r="D72" s="1" t="str">
        <f t="array" ref="D72">XLOOKUP($B$3,items,XLOOKUP(C72,dates,big_table))</f>
        <v>#N/A</v>
      </c>
      <c r="E72" s="1">
        <f t="array" ref="E72">IF(ISNA(XLOOKUP("jodi_last",items,XLOOKUP(C72,dates,big_table))),10^6,-100000)</f>
        <v>1000000</v>
      </c>
      <c r="F72" s="1" t="str">
        <f t="shared" ref="F72:I72" si="79">XLOOKUP(MONTH($C72),$M$6:$M$17,AE$6:AE$17)</f>
        <v>#NAME?</v>
      </c>
      <c r="G72" s="1" t="str">
        <f t="shared" si="79"/>
        <v>#NAME?</v>
      </c>
      <c r="H72" s="1" t="str">
        <f t="shared" si="79"/>
        <v>#NAME?</v>
      </c>
      <c r="I72" s="1" t="str">
        <f t="shared" si="79"/>
        <v>#NAME?</v>
      </c>
    </row>
    <row r="73" ht="14.25" customHeight="1">
      <c r="C73" s="33">
        <f t="shared" si="9"/>
        <v>43435</v>
      </c>
      <c r="D73" s="1" t="str">
        <f t="array" ref="D73">XLOOKUP($B$3,items,XLOOKUP(C73,dates,big_table))</f>
        <v>#N/A</v>
      </c>
      <c r="E73" s="1">
        <f t="array" ref="E73">IF(ISNA(XLOOKUP("jodi_last",items,XLOOKUP(C73,dates,big_table))),10^6,-100000)</f>
        <v>1000000</v>
      </c>
      <c r="F73" s="1" t="str">
        <f t="shared" ref="F73:I73" si="80">XLOOKUP(MONTH($C73),$M$6:$M$17,AE$6:AE$17)</f>
        <v>#NAME?</v>
      </c>
      <c r="G73" s="1" t="str">
        <f t="shared" si="80"/>
        <v>#NAME?</v>
      </c>
      <c r="H73" s="1" t="str">
        <f t="shared" si="80"/>
        <v>#NAME?</v>
      </c>
      <c r="I73" s="1" t="str">
        <f t="shared" si="80"/>
        <v>#NAME?</v>
      </c>
    </row>
    <row r="74" ht="14.25" customHeight="1">
      <c r="C74" s="33">
        <f t="shared" si="9"/>
        <v>43466</v>
      </c>
      <c r="D74" s="1" t="str">
        <f t="array" ref="D74">XLOOKUP($B$3,items,XLOOKUP(C74,dates,big_table))</f>
        <v>#N/A</v>
      </c>
      <c r="E74" s="1">
        <f t="array" ref="E74">IF(ISNA(XLOOKUP("jodi_last",items,XLOOKUP(C74,dates,big_table))),10^6,-100000)</f>
        <v>1000000</v>
      </c>
      <c r="F74" s="1" t="str">
        <f t="shared" ref="F74:I74" si="81">XLOOKUP(MONTH($C74),$M$6:$M$17,AE$6:AE$17)</f>
        <v>#NAME?</v>
      </c>
      <c r="G74" s="1" t="str">
        <f t="shared" si="81"/>
        <v>#NAME?</v>
      </c>
      <c r="H74" s="1" t="str">
        <f t="shared" si="81"/>
        <v>#NAME?</v>
      </c>
      <c r="I74" s="1" t="str">
        <f t="shared" si="81"/>
        <v>#NAME?</v>
      </c>
    </row>
    <row r="75" ht="14.25" customHeight="1">
      <c r="C75" s="33">
        <f t="shared" si="9"/>
        <v>43497</v>
      </c>
      <c r="D75" s="1" t="str">
        <f t="array" ref="D75">XLOOKUP($B$3,items,XLOOKUP(C75,dates,big_table))</f>
        <v>#N/A</v>
      </c>
      <c r="E75" s="1">
        <f t="array" ref="E75">IF(ISNA(XLOOKUP("jodi_last",items,XLOOKUP(C75,dates,big_table))),10^6,-100000)</f>
        <v>1000000</v>
      </c>
      <c r="F75" s="1" t="str">
        <f t="shared" ref="F75:I75" si="82">XLOOKUP(MONTH($C75),$M$6:$M$17,AE$6:AE$17)</f>
        <v>#NAME?</v>
      </c>
      <c r="G75" s="1" t="str">
        <f t="shared" si="82"/>
        <v>#NAME?</v>
      </c>
      <c r="H75" s="1" t="str">
        <f t="shared" si="82"/>
        <v>#NAME?</v>
      </c>
      <c r="I75" s="1" t="str">
        <f t="shared" si="82"/>
        <v>#NAME?</v>
      </c>
    </row>
    <row r="76" ht="14.25" customHeight="1">
      <c r="C76" s="33">
        <f t="shared" si="9"/>
        <v>43525</v>
      </c>
      <c r="D76" s="1" t="str">
        <f t="array" ref="D76">XLOOKUP($B$3,items,XLOOKUP(C76,dates,big_table))</f>
        <v>#N/A</v>
      </c>
      <c r="E76" s="1">
        <f t="array" ref="E76">IF(ISNA(XLOOKUP("jodi_last",items,XLOOKUP(C76,dates,big_table))),10^6,-100000)</f>
        <v>1000000</v>
      </c>
      <c r="F76" s="1" t="str">
        <f t="shared" ref="F76:I76" si="83">XLOOKUP(MONTH($C76),$M$6:$M$17,AE$6:AE$17)</f>
        <v>#NAME?</v>
      </c>
      <c r="G76" s="1" t="str">
        <f t="shared" si="83"/>
        <v>#NAME?</v>
      </c>
      <c r="H76" s="1" t="str">
        <f t="shared" si="83"/>
        <v>#NAME?</v>
      </c>
      <c r="I76" s="1" t="str">
        <f t="shared" si="83"/>
        <v>#NAME?</v>
      </c>
    </row>
    <row r="77" ht="14.25" customHeight="1">
      <c r="C77" s="33">
        <f t="shared" si="9"/>
        <v>43556</v>
      </c>
      <c r="D77" s="1" t="str">
        <f t="array" ref="D77">XLOOKUP($B$3,items,XLOOKUP(C77,dates,big_table))</f>
        <v>#N/A</v>
      </c>
      <c r="E77" s="1">
        <f t="array" ref="E77">IF(ISNA(XLOOKUP("jodi_last",items,XLOOKUP(C77,dates,big_table))),10^6,-100000)</f>
        <v>1000000</v>
      </c>
      <c r="F77" s="1" t="str">
        <f t="shared" ref="F77:I77" si="84">XLOOKUP(MONTH($C77),$M$6:$M$17,AE$6:AE$17)</f>
        <v>#NAME?</v>
      </c>
      <c r="G77" s="1" t="str">
        <f t="shared" si="84"/>
        <v>#NAME?</v>
      </c>
      <c r="H77" s="1" t="str">
        <f t="shared" si="84"/>
        <v>#NAME?</v>
      </c>
      <c r="I77" s="1" t="str">
        <f t="shared" si="84"/>
        <v>#NAME?</v>
      </c>
    </row>
    <row r="78" ht="14.25" customHeight="1">
      <c r="C78" s="33">
        <f t="shared" si="9"/>
        <v>43586</v>
      </c>
      <c r="D78" s="1" t="str">
        <f t="array" ref="D78">XLOOKUP($B$3,items,XLOOKUP(C78,dates,big_table))</f>
        <v>#N/A</v>
      </c>
      <c r="E78" s="1">
        <f t="array" ref="E78">IF(ISNA(XLOOKUP("jodi_last",items,XLOOKUP(C78,dates,big_table))),10^6,-100000)</f>
        <v>1000000</v>
      </c>
      <c r="F78" s="1" t="str">
        <f t="shared" ref="F78:I78" si="85">XLOOKUP(MONTH($C78),$M$6:$M$17,AE$6:AE$17)</f>
        <v>#NAME?</v>
      </c>
      <c r="G78" s="1" t="str">
        <f t="shared" si="85"/>
        <v>#NAME?</v>
      </c>
      <c r="H78" s="1" t="str">
        <f t="shared" si="85"/>
        <v>#NAME?</v>
      </c>
      <c r="I78" s="1" t="str">
        <f t="shared" si="85"/>
        <v>#NAME?</v>
      </c>
    </row>
    <row r="79" ht="14.25" customHeight="1">
      <c r="C79" s="33">
        <f t="shared" si="9"/>
        <v>43617</v>
      </c>
      <c r="D79" s="1" t="str">
        <f t="array" ref="D79">XLOOKUP($B$3,items,XLOOKUP(C79,dates,big_table))</f>
        <v>#N/A</v>
      </c>
      <c r="E79" s="1">
        <f t="array" ref="E79">IF(ISNA(XLOOKUP("jodi_last",items,XLOOKUP(C79,dates,big_table))),10^6,-100000)</f>
        <v>1000000</v>
      </c>
      <c r="F79" s="1" t="str">
        <f t="shared" ref="F79:I79" si="86">XLOOKUP(MONTH($C79),$M$6:$M$17,AE$6:AE$17)</f>
        <v>#NAME?</v>
      </c>
      <c r="G79" s="1" t="str">
        <f t="shared" si="86"/>
        <v>#NAME?</v>
      </c>
      <c r="H79" s="1" t="str">
        <f t="shared" si="86"/>
        <v>#NAME?</v>
      </c>
      <c r="I79" s="1" t="str">
        <f t="shared" si="86"/>
        <v>#NAME?</v>
      </c>
    </row>
    <row r="80" ht="14.25" customHeight="1">
      <c r="C80" s="33">
        <f t="shared" si="9"/>
        <v>43647</v>
      </c>
      <c r="D80" s="1" t="str">
        <f t="array" ref="D80">XLOOKUP($B$3,items,XLOOKUP(C80,dates,big_table))</f>
        <v>#N/A</v>
      </c>
      <c r="E80" s="1">
        <f t="array" ref="E80">IF(ISNA(XLOOKUP("jodi_last",items,XLOOKUP(C80,dates,big_table))),10^6,-100000)</f>
        <v>1000000</v>
      </c>
      <c r="F80" s="1" t="str">
        <f t="shared" ref="F80:I80" si="87">XLOOKUP(MONTH($C80),$M$6:$M$17,AE$6:AE$17)</f>
        <v>#NAME?</v>
      </c>
      <c r="G80" s="1" t="str">
        <f t="shared" si="87"/>
        <v>#NAME?</v>
      </c>
      <c r="H80" s="1" t="str">
        <f t="shared" si="87"/>
        <v>#NAME?</v>
      </c>
      <c r="I80" s="1" t="str">
        <f t="shared" si="87"/>
        <v>#NAME?</v>
      </c>
    </row>
    <row r="81" ht="14.25" customHeight="1">
      <c r="C81" s="33">
        <f t="shared" si="9"/>
        <v>43678</v>
      </c>
      <c r="D81" s="1" t="str">
        <f t="array" ref="D81">XLOOKUP($B$3,items,XLOOKUP(C81,dates,big_table))</f>
        <v>#N/A</v>
      </c>
      <c r="E81" s="1">
        <f t="array" ref="E81">IF(ISNA(XLOOKUP("jodi_last",items,XLOOKUP(C81,dates,big_table))),10^6,-100000)</f>
        <v>1000000</v>
      </c>
      <c r="F81" s="1" t="str">
        <f t="shared" ref="F81:I81" si="88">XLOOKUP(MONTH($C81),$M$6:$M$17,AE$6:AE$17)</f>
        <v>#NAME?</v>
      </c>
      <c r="G81" s="1" t="str">
        <f t="shared" si="88"/>
        <v>#NAME?</v>
      </c>
      <c r="H81" s="1" t="str">
        <f t="shared" si="88"/>
        <v>#NAME?</v>
      </c>
      <c r="I81" s="1" t="str">
        <f t="shared" si="88"/>
        <v>#NAME?</v>
      </c>
    </row>
    <row r="82" ht="14.25" customHeight="1">
      <c r="C82" s="33">
        <f t="shared" si="9"/>
        <v>43709</v>
      </c>
      <c r="D82" s="1" t="str">
        <f t="array" ref="D82">XLOOKUP($B$3,items,XLOOKUP(C82,dates,big_table))</f>
        <v>#N/A</v>
      </c>
      <c r="E82" s="1">
        <f t="array" ref="E82">IF(ISNA(XLOOKUP("jodi_last",items,XLOOKUP(C82,dates,big_table))),10^6,-100000)</f>
        <v>1000000</v>
      </c>
      <c r="F82" s="1" t="str">
        <f t="shared" ref="F82:I82" si="89">XLOOKUP(MONTH($C82),$M$6:$M$17,AE$6:AE$17)</f>
        <v>#NAME?</v>
      </c>
      <c r="G82" s="1" t="str">
        <f t="shared" si="89"/>
        <v>#NAME?</v>
      </c>
      <c r="H82" s="1" t="str">
        <f t="shared" si="89"/>
        <v>#NAME?</v>
      </c>
      <c r="I82" s="1" t="str">
        <f t="shared" si="89"/>
        <v>#NAME?</v>
      </c>
    </row>
    <row r="83" ht="14.25" customHeight="1">
      <c r="C83" s="33">
        <f t="shared" si="9"/>
        <v>43739</v>
      </c>
      <c r="D83" s="1" t="str">
        <f t="array" ref="D83">XLOOKUP($B$3,items,XLOOKUP(C83,dates,big_table))</f>
        <v>#N/A</v>
      </c>
      <c r="E83" s="1">
        <f t="array" ref="E83">IF(ISNA(XLOOKUP("jodi_last",items,XLOOKUP(C83,dates,big_table))),10^6,-100000)</f>
        <v>1000000</v>
      </c>
      <c r="F83" s="1" t="str">
        <f t="shared" ref="F83:I83" si="90">XLOOKUP(MONTH($C83),$M$6:$M$17,AE$6:AE$17)</f>
        <v>#NAME?</v>
      </c>
      <c r="G83" s="1" t="str">
        <f t="shared" si="90"/>
        <v>#NAME?</v>
      </c>
      <c r="H83" s="1" t="str">
        <f t="shared" si="90"/>
        <v>#NAME?</v>
      </c>
      <c r="I83" s="1" t="str">
        <f t="shared" si="90"/>
        <v>#NAME?</v>
      </c>
    </row>
    <row r="84" ht="14.25" customHeight="1">
      <c r="C84" s="33">
        <f t="shared" si="9"/>
        <v>43770</v>
      </c>
      <c r="D84" s="1" t="str">
        <f t="array" ref="D84">XLOOKUP($B$3,items,XLOOKUP(C84,dates,big_table))</f>
        <v>#N/A</v>
      </c>
      <c r="E84" s="1">
        <f t="array" ref="E84">IF(ISNA(XLOOKUP("jodi_last",items,XLOOKUP(C84,dates,big_table))),10^6,-100000)</f>
        <v>1000000</v>
      </c>
      <c r="F84" s="1" t="str">
        <f t="shared" ref="F84:I84" si="91">XLOOKUP(MONTH($C84),$M$6:$M$17,AE$6:AE$17)</f>
        <v>#NAME?</v>
      </c>
      <c r="G84" s="1" t="str">
        <f t="shared" si="91"/>
        <v>#NAME?</v>
      </c>
      <c r="H84" s="1" t="str">
        <f t="shared" si="91"/>
        <v>#NAME?</v>
      </c>
      <c r="I84" s="1" t="str">
        <f t="shared" si="91"/>
        <v>#NAME?</v>
      </c>
    </row>
    <row r="85" ht="14.25" customHeight="1">
      <c r="C85" s="33">
        <f t="shared" si="9"/>
        <v>43800</v>
      </c>
      <c r="D85" s="1" t="str">
        <f t="array" ref="D85">XLOOKUP($B$3,items,XLOOKUP(C85,dates,big_table))</f>
        <v>#N/A</v>
      </c>
      <c r="E85" s="1">
        <f t="array" ref="E85">IF(ISNA(XLOOKUP("jodi_last",items,XLOOKUP(C85,dates,big_table))),10^6,-100000)</f>
        <v>1000000</v>
      </c>
      <c r="F85" s="1" t="str">
        <f t="shared" ref="F85:I85" si="92">XLOOKUP(MONTH($C85),$M$6:$M$17,AE$6:AE$17)</f>
        <v>#NAME?</v>
      </c>
      <c r="G85" s="1" t="str">
        <f t="shared" si="92"/>
        <v>#NAME?</v>
      </c>
      <c r="H85" s="1" t="str">
        <f t="shared" si="92"/>
        <v>#NAME?</v>
      </c>
      <c r="I85" s="1" t="str">
        <f t="shared" si="92"/>
        <v>#NAME?</v>
      </c>
    </row>
    <row r="86" ht="14.25" customHeight="1">
      <c r="C86" s="33">
        <f t="shared" si="9"/>
        <v>43831</v>
      </c>
      <c r="D86" s="1" t="str">
        <f t="array" ref="D86">XLOOKUP($B$3,items,XLOOKUP(C86,dates,big_table))</f>
        <v>#N/A</v>
      </c>
      <c r="E86" s="1">
        <f t="array" ref="E86">IF(ISNA(XLOOKUP("jodi_last",items,XLOOKUP(C86,dates,big_table))),10^6,-100000)</f>
        <v>1000000</v>
      </c>
      <c r="F86" s="1" t="str">
        <f t="shared" ref="F86:I86" si="93">XLOOKUP(MONTH($C86),$M$6:$M$17,AE$6:AE$17)</f>
        <v>#NAME?</v>
      </c>
      <c r="G86" s="1" t="str">
        <f t="shared" si="93"/>
        <v>#NAME?</v>
      </c>
      <c r="H86" s="1" t="str">
        <f t="shared" si="93"/>
        <v>#NAME?</v>
      </c>
      <c r="I86" s="1" t="str">
        <f t="shared" si="93"/>
        <v>#NAME?</v>
      </c>
    </row>
    <row r="87" ht="14.25" customHeight="1">
      <c r="C87" s="33">
        <f t="shared" si="9"/>
        <v>43862</v>
      </c>
      <c r="D87" s="1" t="str">
        <f t="array" ref="D87">XLOOKUP($B$3,items,XLOOKUP(C87,dates,big_table))</f>
        <v>#N/A</v>
      </c>
      <c r="E87" s="1">
        <f t="array" ref="E87">IF(ISNA(XLOOKUP("jodi_last",items,XLOOKUP(C87,dates,big_table))),10^6,-100000)</f>
        <v>1000000</v>
      </c>
      <c r="F87" s="1" t="str">
        <f t="shared" ref="F87:I87" si="94">XLOOKUP(MONTH($C87),$M$6:$M$17,AE$6:AE$17)</f>
        <v>#NAME?</v>
      </c>
      <c r="G87" s="1" t="str">
        <f t="shared" si="94"/>
        <v>#NAME?</v>
      </c>
      <c r="H87" s="1" t="str">
        <f t="shared" si="94"/>
        <v>#NAME?</v>
      </c>
      <c r="I87" s="1" t="str">
        <f t="shared" si="94"/>
        <v>#NAME?</v>
      </c>
    </row>
    <row r="88" ht="14.25" customHeight="1">
      <c r="C88" s="33">
        <f t="shared" si="9"/>
        <v>43891</v>
      </c>
      <c r="D88" s="1" t="str">
        <f t="array" ref="D88">XLOOKUP($B$3,items,XLOOKUP(C88,dates,big_table))</f>
        <v>#N/A</v>
      </c>
      <c r="E88" s="1">
        <f t="array" ref="E88">IF(ISNA(XLOOKUP("jodi_last",items,XLOOKUP(C88,dates,big_table))),10^6,-100000)</f>
        <v>1000000</v>
      </c>
      <c r="F88" s="1" t="str">
        <f t="shared" ref="F88:I88" si="95">XLOOKUP(MONTH($C88),$M$6:$M$17,AE$6:AE$17)</f>
        <v>#NAME?</v>
      </c>
      <c r="G88" s="1" t="str">
        <f t="shared" si="95"/>
        <v>#NAME?</v>
      </c>
      <c r="H88" s="1" t="str">
        <f t="shared" si="95"/>
        <v>#NAME?</v>
      </c>
      <c r="I88" s="1" t="str">
        <f t="shared" si="95"/>
        <v>#NAME?</v>
      </c>
    </row>
    <row r="89" ht="14.25" customHeight="1">
      <c r="C89" s="33">
        <f t="shared" si="9"/>
        <v>43922</v>
      </c>
      <c r="D89" s="1" t="str">
        <f t="array" ref="D89">XLOOKUP($B$3,items,XLOOKUP(C89,dates,big_table))</f>
        <v>#N/A</v>
      </c>
      <c r="E89" s="1">
        <f t="array" ref="E89">IF(ISNA(XLOOKUP("jodi_last",items,XLOOKUP(C89,dates,big_table))),10^6,-100000)</f>
        <v>1000000</v>
      </c>
      <c r="F89" s="1" t="str">
        <f t="shared" ref="F89:I89" si="96">XLOOKUP(MONTH($C89),$M$6:$M$17,AE$6:AE$17)</f>
        <v>#NAME?</v>
      </c>
      <c r="G89" s="1" t="str">
        <f t="shared" si="96"/>
        <v>#NAME?</v>
      </c>
      <c r="H89" s="1" t="str">
        <f t="shared" si="96"/>
        <v>#NAME?</v>
      </c>
      <c r="I89" s="1" t="str">
        <f t="shared" si="96"/>
        <v>#NAME?</v>
      </c>
    </row>
    <row r="90" ht="14.25" customHeight="1">
      <c r="C90" s="33">
        <f t="shared" si="9"/>
        <v>43952</v>
      </c>
      <c r="D90" s="1" t="str">
        <f t="array" ref="D90">XLOOKUP($B$3,items,XLOOKUP(C90,dates,big_table))</f>
        <v>#N/A</v>
      </c>
      <c r="E90" s="1">
        <f t="array" ref="E90">IF(ISNA(XLOOKUP("jodi_last",items,XLOOKUP(C90,dates,big_table))),10^6,-100000)</f>
        <v>1000000</v>
      </c>
      <c r="F90" s="1" t="str">
        <f t="shared" ref="F90:I90" si="97">XLOOKUP(MONTH($C90),$M$6:$M$17,AE$6:AE$17)</f>
        <v>#NAME?</v>
      </c>
      <c r="G90" s="1" t="str">
        <f t="shared" si="97"/>
        <v>#NAME?</v>
      </c>
      <c r="H90" s="1" t="str">
        <f t="shared" si="97"/>
        <v>#NAME?</v>
      </c>
      <c r="I90" s="1" t="str">
        <f t="shared" si="97"/>
        <v>#NAME?</v>
      </c>
    </row>
    <row r="91" ht="14.25" customHeight="1">
      <c r="C91" s="33">
        <f t="shared" si="9"/>
        <v>43983</v>
      </c>
      <c r="D91" s="1" t="str">
        <f t="array" ref="D91">XLOOKUP($B$3,items,XLOOKUP(C91,dates,big_table))</f>
        <v>#N/A</v>
      </c>
      <c r="E91" s="1">
        <f t="array" ref="E91">IF(ISNA(XLOOKUP("jodi_last",items,XLOOKUP(C91,dates,big_table))),10^6,-100000)</f>
        <v>1000000</v>
      </c>
      <c r="F91" s="1" t="str">
        <f t="shared" ref="F91:I91" si="98">XLOOKUP(MONTH($C91),$M$6:$M$17,AE$6:AE$17)</f>
        <v>#NAME?</v>
      </c>
      <c r="G91" s="1" t="str">
        <f t="shared" si="98"/>
        <v>#NAME?</v>
      </c>
      <c r="H91" s="1" t="str">
        <f t="shared" si="98"/>
        <v>#NAME?</v>
      </c>
      <c r="I91" s="1" t="str">
        <f t="shared" si="98"/>
        <v>#NAME?</v>
      </c>
    </row>
    <row r="92" ht="14.25" customHeight="1">
      <c r="C92" s="33">
        <f t="shared" si="9"/>
        <v>44013</v>
      </c>
      <c r="D92" s="1" t="str">
        <f t="array" ref="D92">XLOOKUP($B$3,items,XLOOKUP(C92,dates,big_table))</f>
        <v>#N/A</v>
      </c>
      <c r="E92" s="1">
        <f t="array" ref="E92">IF(ISNA(XLOOKUP("jodi_last",items,XLOOKUP(C92,dates,big_table))),10^6,-100000)</f>
        <v>1000000</v>
      </c>
      <c r="F92" s="1" t="str">
        <f t="shared" ref="F92:I92" si="99">XLOOKUP(MONTH($C92),$M$6:$M$17,AE$6:AE$17)</f>
        <v>#NAME?</v>
      </c>
      <c r="G92" s="1" t="str">
        <f t="shared" si="99"/>
        <v>#NAME?</v>
      </c>
      <c r="H92" s="1" t="str">
        <f t="shared" si="99"/>
        <v>#NAME?</v>
      </c>
      <c r="I92" s="1" t="str">
        <f t="shared" si="99"/>
        <v>#NAME?</v>
      </c>
    </row>
    <row r="93" ht="14.25" customHeight="1">
      <c r="C93" s="33">
        <f t="shared" si="9"/>
        <v>44044</v>
      </c>
      <c r="D93" s="1" t="str">
        <f t="array" ref="D93">XLOOKUP($B$3,items,XLOOKUP(C93,dates,big_table))</f>
        <v>#N/A</v>
      </c>
      <c r="E93" s="1">
        <f t="array" ref="E93">IF(ISNA(XLOOKUP("jodi_last",items,XLOOKUP(C93,dates,big_table))),10^6,-100000)</f>
        <v>1000000</v>
      </c>
      <c r="F93" s="1" t="str">
        <f t="shared" ref="F93:I93" si="100">XLOOKUP(MONTH($C93),$M$6:$M$17,AE$6:AE$17)</f>
        <v>#NAME?</v>
      </c>
      <c r="G93" s="1" t="str">
        <f t="shared" si="100"/>
        <v>#NAME?</v>
      </c>
      <c r="H93" s="1" t="str">
        <f t="shared" si="100"/>
        <v>#NAME?</v>
      </c>
      <c r="I93" s="1" t="str">
        <f t="shared" si="100"/>
        <v>#NAME?</v>
      </c>
    </row>
    <row r="94" ht="14.25" customHeight="1">
      <c r="C94" s="33">
        <f t="shared" si="9"/>
        <v>44075</v>
      </c>
      <c r="D94" s="1" t="str">
        <f t="array" ref="D94">XLOOKUP($B$3,items,XLOOKUP(C94,dates,big_table))</f>
        <v>#N/A</v>
      </c>
      <c r="E94" s="1">
        <f t="array" ref="E94">IF(ISNA(XLOOKUP("jodi_last",items,XLOOKUP(C94,dates,big_table))),10^6,-100000)</f>
        <v>1000000</v>
      </c>
      <c r="F94" s="1" t="str">
        <f t="shared" ref="F94:I94" si="101">XLOOKUP(MONTH($C94),$M$6:$M$17,AE$6:AE$17)</f>
        <v>#NAME?</v>
      </c>
      <c r="G94" s="1" t="str">
        <f t="shared" si="101"/>
        <v>#NAME?</v>
      </c>
      <c r="H94" s="1" t="str">
        <f t="shared" si="101"/>
        <v>#NAME?</v>
      </c>
      <c r="I94" s="1" t="str">
        <f t="shared" si="101"/>
        <v>#NAME?</v>
      </c>
    </row>
    <row r="95" ht="14.25" customHeight="1">
      <c r="C95" s="33">
        <f t="shared" si="9"/>
        <v>44105</v>
      </c>
      <c r="D95" s="1" t="str">
        <f t="array" ref="D95">XLOOKUP($B$3,items,XLOOKUP(C95,dates,big_table))</f>
        <v>#N/A</v>
      </c>
      <c r="E95" s="1">
        <f t="array" ref="E95">IF(ISNA(XLOOKUP("jodi_last",items,XLOOKUP(C95,dates,big_table))),10^6,-100000)</f>
        <v>1000000</v>
      </c>
      <c r="F95" s="1" t="str">
        <f t="shared" ref="F95:I95" si="102">XLOOKUP(MONTH($C95),$M$6:$M$17,AE$6:AE$17)</f>
        <v>#NAME?</v>
      </c>
      <c r="G95" s="1" t="str">
        <f t="shared" si="102"/>
        <v>#NAME?</v>
      </c>
      <c r="H95" s="1" t="str">
        <f t="shared" si="102"/>
        <v>#NAME?</v>
      </c>
      <c r="I95" s="1" t="str">
        <f t="shared" si="102"/>
        <v>#NAME?</v>
      </c>
    </row>
    <row r="96" ht="14.25" customHeight="1">
      <c r="C96" s="33">
        <f t="shared" si="9"/>
        <v>44136</v>
      </c>
      <c r="D96" s="1" t="str">
        <f t="array" ref="D96">XLOOKUP($B$3,items,XLOOKUP(C96,dates,big_table))</f>
        <v>#N/A</v>
      </c>
      <c r="E96" s="1">
        <f t="array" ref="E96">IF(ISNA(XLOOKUP("jodi_last",items,XLOOKUP(C96,dates,big_table))),10^6,-100000)</f>
        <v>1000000</v>
      </c>
      <c r="F96" s="1" t="str">
        <f t="shared" ref="F96:I96" si="103">XLOOKUP(MONTH($C96),$M$6:$M$17,AE$6:AE$17)</f>
        <v>#NAME?</v>
      </c>
      <c r="G96" s="1" t="str">
        <f t="shared" si="103"/>
        <v>#NAME?</v>
      </c>
      <c r="H96" s="1" t="str">
        <f t="shared" si="103"/>
        <v>#NAME?</v>
      </c>
      <c r="I96" s="1" t="str">
        <f t="shared" si="103"/>
        <v>#NAME?</v>
      </c>
    </row>
    <row r="97" ht="14.25" customHeight="1">
      <c r="C97" s="33">
        <f t="shared" si="9"/>
        <v>44166</v>
      </c>
      <c r="D97" s="1" t="str">
        <f t="array" ref="D97">XLOOKUP($B$3,items,XLOOKUP(C97,dates,big_table))</f>
        <v>#N/A</v>
      </c>
      <c r="E97" s="1">
        <f t="array" ref="E97">IF(ISNA(XLOOKUP("jodi_last",items,XLOOKUP(C97,dates,big_table))),10^6,-100000)</f>
        <v>1000000</v>
      </c>
      <c r="F97" s="1" t="str">
        <f t="shared" ref="F97:I97" si="104">XLOOKUP(MONTH($C97),$M$6:$M$17,AE$6:AE$17)</f>
        <v>#NAME?</v>
      </c>
      <c r="G97" s="1" t="str">
        <f t="shared" si="104"/>
        <v>#NAME?</v>
      </c>
      <c r="H97" s="1" t="str">
        <f t="shared" si="104"/>
        <v>#NAME?</v>
      </c>
      <c r="I97" s="1" t="str">
        <f t="shared" si="104"/>
        <v>#NAME?</v>
      </c>
    </row>
    <row r="98" ht="14.25" customHeight="1">
      <c r="C98" s="33">
        <f t="shared" si="9"/>
        <v>44197</v>
      </c>
      <c r="D98" s="1" t="str">
        <f t="array" ref="D98">XLOOKUP($B$3,items,XLOOKUP(C98,dates,big_table))</f>
        <v>#N/A</v>
      </c>
      <c r="E98" s="1">
        <f t="array" ref="E98">IF(ISNA(XLOOKUP("jodi_last",items,XLOOKUP(C98,dates,big_table))),10^6,-100000)</f>
        <v>1000000</v>
      </c>
      <c r="F98" s="1" t="str">
        <f t="shared" ref="F98:I98" si="105">XLOOKUP(MONTH($C98),$M$6:$M$17,AE$6:AE$17)</f>
        <v>#NAME?</v>
      </c>
      <c r="G98" s="1" t="str">
        <f t="shared" si="105"/>
        <v>#NAME?</v>
      </c>
      <c r="H98" s="1" t="str">
        <f t="shared" si="105"/>
        <v>#NAME?</v>
      </c>
      <c r="I98" s="1" t="str">
        <f t="shared" si="105"/>
        <v>#NAME?</v>
      </c>
    </row>
    <row r="99" ht="14.25" customHeight="1">
      <c r="C99" s="33">
        <f t="shared" si="9"/>
        <v>44228</v>
      </c>
      <c r="D99" s="1" t="str">
        <f t="array" ref="D99">XLOOKUP($B$3,items,XLOOKUP(C99,dates,big_table))</f>
        <v>#N/A</v>
      </c>
      <c r="E99" s="1">
        <f t="array" ref="E99">IF(ISNA(XLOOKUP("jodi_last",items,XLOOKUP(C99,dates,big_table))),10^6,-100000)</f>
        <v>1000000</v>
      </c>
      <c r="F99" s="1" t="str">
        <f t="shared" ref="F99:I99" si="106">XLOOKUP(MONTH($C99),$M$6:$M$17,AE$6:AE$17)</f>
        <v>#NAME?</v>
      </c>
      <c r="G99" s="1" t="str">
        <f t="shared" si="106"/>
        <v>#NAME?</v>
      </c>
      <c r="H99" s="1" t="str">
        <f t="shared" si="106"/>
        <v>#NAME?</v>
      </c>
      <c r="I99" s="1" t="str">
        <f t="shared" si="106"/>
        <v>#NAME?</v>
      </c>
    </row>
    <row r="100" ht="14.25" customHeight="1">
      <c r="C100" s="33">
        <f t="shared" si="9"/>
        <v>44256</v>
      </c>
      <c r="D100" s="1" t="str">
        <f t="array" ref="D100">XLOOKUP($B$3,items,XLOOKUP(C100,dates,big_table))</f>
        <v>#N/A</v>
      </c>
      <c r="E100" s="1">
        <f t="array" ref="E100">IF(ISNA(XLOOKUP("jodi_last",items,XLOOKUP(C100,dates,big_table))),10^6,-100000)</f>
        <v>1000000</v>
      </c>
      <c r="F100" s="1" t="str">
        <f t="shared" ref="F100:I100" si="107">XLOOKUP(MONTH($C100),$M$6:$M$17,AE$6:AE$17)</f>
        <v>#NAME?</v>
      </c>
      <c r="G100" s="1" t="str">
        <f t="shared" si="107"/>
        <v>#NAME?</v>
      </c>
      <c r="H100" s="1" t="str">
        <f t="shared" si="107"/>
        <v>#NAME?</v>
      </c>
      <c r="I100" s="1" t="str">
        <f t="shared" si="107"/>
        <v>#NAME?</v>
      </c>
    </row>
    <row r="101" ht="14.25" customHeight="1">
      <c r="C101" s="33">
        <f t="shared" si="9"/>
        <v>44287</v>
      </c>
      <c r="D101" s="1" t="str">
        <f t="array" ref="D101">XLOOKUP($B$3,items,XLOOKUP(C101,dates,big_table))</f>
        <v>#N/A</v>
      </c>
      <c r="E101" s="1">
        <f t="array" ref="E101">IF(ISNA(XLOOKUP("jodi_last",items,XLOOKUP(C101,dates,big_table))),10^6,-100000)</f>
        <v>1000000</v>
      </c>
      <c r="F101" s="1" t="str">
        <f t="shared" ref="F101:I101" si="108">XLOOKUP(MONTH($C101),$M$6:$M$17,AE$6:AE$17)</f>
        <v>#NAME?</v>
      </c>
      <c r="G101" s="1" t="str">
        <f t="shared" si="108"/>
        <v>#NAME?</v>
      </c>
      <c r="H101" s="1" t="str">
        <f t="shared" si="108"/>
        <v>#NAME?</v>
      </c>
      <c r="I101" s="1" t="str">
        <f t="shared" si="108"/>
        <v>#NAME?</v>
      </c>
    </row>
    <row r="102" ht="14.25" customHeight="1">
      <c r="C102" s="33">
        <f t="shared" si="9"/>
        <v>44317</v>
      </c>
      <c r="D102" s="1" t="str">
        <f t="array" ref="D102">XLOOKUP($B$3,items,XLOOKUP(C102,dates,big_table))</f>
        <v>#N/A</v>
      </c>
      <c r="E102" s="1">
        <f t="array" ref="E102">IF(ISNA(XLOOKUP("jodi_last",items,XLOOKUP(C102,dates,big_table))),10^6,-100000)</f>
        <v>1000000</v>
      </c>
      <c r="F102" s="1" t="str">
        <f t="shared" ref="F102:I102" si="109">XLOOKUP(MONTH($C102),$M$6:$M$17,AE$6:AE$17)</f>
        <v>#NAME?</v>
      </c>
      <c r="G102" s="1" t="str">
        <f t="shared" si="109"/>
        <v>#NAME?</v>
      </c>
      <c r="H102" s="1" t="str">
        <f t="shared" si="109"/>
        <v>#NAME?</v>
      </c>
      <c r="I102" s="1" t="str">
        <f t="shared" si="109"/>
        <v>#NAME?</v>
      </c>
    </row>
    <row r="103" ht="14.25" customHeight="1">
      <c r="C103" s="33">
        <f t="shared" si="9"/>
        <v>44348</v>
      </c>
      <c r="D103" s="1" t="str">
        <f t="array" ref="D103">XLOOKUP($B$3,items,XLOOKUP(C103,dates,big_table))</f>
        <v>#N/A</v>
      </c>
      <c r="E103" s="1">
        <f t="array" ref="E103">IF(ISNA(XLOOKUP("jodi_last",items,XLOOKUP(C103,dates,big_table))),10^6,-100000)</f>
        <v>1000000</v>
      </c>
      <c r="F103" s="1" t="str">
        <f t="shared" ref="F103:I103" si="110">XLOOKUP(MONTH($C103),$M$6:$M$17,AE$6:AE$17)</f>
        <v>#NAME?</v>
      </c>
      <c r="G103" s="1" t="str">
        <f t="shared" si="110"/>
        <v>#NAME?</v>
      </c>
      <c r="H103" s="1" t="str">
        <f t="shared" si="110"/>
        <v>#NAME?</v>
      </c>
      <c r="I103" s="1" t="str">
        <f t="shared" si="110"/>
        <v>#NAME?</v>
      </c>
    </row>
    <row r="104" ht="14.25" customHeight="1">
      <c r="C104" s="33">
        <f t="shared" si="9"/>
        <v>44378</v>
      </c>
      <c r="D104" s="1" t="str">
        <f t="array" ref="D104">XLOOKUP($B$3,items,XLOOKUP(C104,dates,big_table))</f>
        <v>#N/A</v>
      </c>
      <c r="E104" s="1">
        <f t="array" ref="E104">IF(ISNA(XLOOKUP("jodi_last",items,XLOOKUP(C104,dates,big_table))),10^6,-100000)</f>
        <v>1000000</v>
      </c>
      <c r="F104" s="1" t="str">
        <f t="shared" ref="F104:I104" si="111">XLOOKUP(MONTH($C104),$M$6:$M$17,AE$6:AE$17)</f>
        <v>#NAME?</v>
      </c>
      <c r="G104" s="1" t="str">
        <f t="shared" si="111"/>
        <v>#NAME?</v>
      </c>
      <c r="H104" s="1" t="str">
        <f t="shared" si="111"/>
        <v>#NAME?</v>
      </c>
      <c r="I104" s="1" t="str">
        <f t="shared" si="111"/>
        <v>#NAME?</v>
      </c>
    </row>
    <row r="105" ht="14.25" customHeight="1">
      <c r="C105" s="33">
        <f t="shared" si="9"/>
        <v>44409</v>
      </c>
      <c r="D105" s="1" t="str">
        <f t="array" ref="D105">XLOOKUP($B$3,items,XLOOKUP(C105,dates,big_table))</f>
        <v>#N/A</v>
      </c>
      <c r="E105" s="1">
        <f t="array" ref="E105">IF(ISNA(XLOOKUP("jodi_last",items,XLOOKUP(C105,dates,big_table))),10^6,-100000)</f>
        <v>1000000</v>
      </c>
      <c r="F105" s="1" t="str">
        <f t="shared" ref="F105:I105" si="112">XLOOKUP(MONTH($C105),$M$6:$M$17,AE$6:AE$17)</f>
        <v>#NAME?</v>
      </c>
      <c r="G105" s="1" t="str">
        <f t="shared" si="112"/>
        <v>#NAME?</v>
      </c>
      <c r="H105" s="1" t="str">
        <f t="shared" si="112"/>
        <v>#NAME?</v>
      </c>
      <c r="I105" s="1" t="str">
        <f t="shared" si="112"/>
        <v>#NAME?</v>
      </c>
    </row>
    <row r="106" ht="14.25" customHeight="1">
      <c r="C106" s="33">
        <f t="shared" si="9"/>
        <v>44440</v>
      </c>
      <c r="D106" s="1" t="str">
        <f t="array" ref="D106">XLOOKUP($B$3,items,XLOOKUP(C106,dates,big_table))</f>
        <v>#N/A</v>
      </c>
      <c r="E106" s="1">
        <f t="array" ref="E106">IF(ISNA(XLOOKUP("jodi_last",items,XLOOKUP(C106,dates,big_table))),10^6,-100000)</f>
        <v>1000000</v>
      </c>
      <c r="F106" s="1" t="str">
        <f t="shared" ref="F106:I106" si="113">XLOOKUP(MONTH($C106),$M$6:$M$17,AE$6:AE$17)</f>
        <v>#NAME?</v>
      </c>
      <c r="G106" s="1" t="str">
        <f t="shared" si="113"/>
        <v>#NAME?</v>
      </c>
      <c r="H106" s="1" t="str">
        <f t="shared" si="113"/>
        <v>#NAME?</v>
      </c>
      <c r="I106" s="1" t="str">
        <f t="shared" si="113"/>
        <v>#NAME?</v>
      </c>
    </row>
    <row r="107" ht="14.25" customHeight="1">
      <c r="C107" s="33">
        <f t="shared" si="9"/>
        <v>44470</v>
      </c>
      <c r="D107" s="1" t="str">
        <f t="array" ref="D107">XLOOKUP($B$3,items,XLOOKUP(C107,dates,big_table))</f>
        <v>#N/A</v>
      </c>
      <c r="E107" s="1">
        <f t="array" ref="E107">IF(ISNA(XLOOKUP("jodi_last",items,XLOOKUP(C107,dates,big_table))),10^6,-100000)</f>
        <v>1000000</v>
      </c>
      <c r="F107" s="1" t="str">
        <f t="shared" ref="F107:I107" si="114">XLOOKUP(MONTH($C107),$M$6:$M$17,AE$6:AE$17)</f>
        <v>#NAME?</v>
      </c>
      <c r="G107" s="1" t="str">
        <f t="shared" si="114"/>
        <v>#NAME?</v>
      </c>
      <c r="H107" s="1" t="str">
        <f t="shared" si="114"/>
        <v>#NAME?</v>
      </c>
      <c r="I107" s="1" t="str">
        <f t="shared" si="114"/>
        <v>#NAME?</v>
      </c>
    </row>
    <row r="108" ht="14.25" customHeight="1">
      <c r="C108" s="33">
        <f t="shared" si="9"/>
        <v>44501</v>
      </c>
      <c r="D108" s="1" t="str">
        <f t="array" ref="D108">XLOOKUP($B$3,items,XLOOKUP(C108,dates,big_table))</f>
        <v>#N/A</v>
      </c>
      <c r="E108" s="1">
        <f t="array" ref="E108">IF(ISNA(XLOOKUP("jodi_last",items,XLOOKUP(C108,dates,big_table))),10^6,-100000)</f>
        <v>1000000</v>
      </c>
      <c r="F108" s="1" t="str">
        <f t="shared" ref="F108:I108" si="115">XLOOKUP(MONTH($C108),$M$6:$M$17,AE$6:AE$17)</f>
        <v>#NAME?</v>
      </c>
      <c r="G108" s="1" t="str">
        <f t="shared" si="115"/>
        <v>#NAME?</v>
      </c>
      <c r="H108" s="1" t="str">
        <f t="shared" si="115"/>
        <v>#NAME?</v>
      </c>
      <c r="I108" s="1" t="str">
        <f t="shared" si="115"/>
        <v>#NAME?</v>
      </c>
    </row>
    <row r="109" ht="14.25" customHeight="1">
      <c r="C109" s="33">
        <f t="shared" si="9"/>
        <v>44531</v>
      </c>
      <c r="D109" s="1" t="str">
        <f t="array" ref="D109">XLOOKUP($B$3,items,XLOOKUP(C109,dates,big_table))</f>
        <v>#N/A</v>
      </c>
      <c r="E109" s="1">
        <f t="array" ref="E109">IF(ISNA(XLOOKUP("jodi_last",items,XLOOKUP(C109,dates,big_table))),10^6,-100000)</f>
        <v>1000000</v>
      </c>
      <c r="F109" s="1" t="str">
        <f t="shared" ref="F109:I109" si="116">XLOOKUP(MONTH($C109),$M$6:$M$17,AE$6:AE$17)</f>
        <v>#NAME?</v>
      </c>
      <c r="G109" s="1" t="str">
        <f t="shared" si="116"/>
        <v>#NAME?</v>
      </c>
      <c r="H109" s="1" t="str">
        <f t="shared" si="116"/>
        <v>#NAME?</v>
      </c>
      <c r="I109" s="1" t="str">
        <f t="shared" si="116"/>
        <v>#NAME?</v>
      </c>
    </row>
    <row r="110" ht="14.25" customHeight="1">
      <c r="C110" s="33">
        <f t="shared" si="9"/>
        <v>44562</v>
      </c>
      <c r="D110" s="1" t="str">
        <f t="array" ref="D110">XLOOKUP($B$3,items,XLOOKUP(C110,dates,big_table))</f>
        <v>#N/A</v>
      </c>
      <c r="E110" s="1">
        <f t="array" ref="E110">IF(ISNA(XLOOKUP("jodi_last",items,XLOOKUP(C110,dates,big_table))),10^6,-100000)</f>
        <v>1000000</v>
      </c>
      <c r="F110" s="1" t="str">
        <f t="shared" ref="F110:I110" si="117">XLOOKUP(MONTH($C110),$M$6:$M$17,AE$6:AE$17)</f>
        <v>#NAME?</v>
      </c>
      <c r="G110" s="1" t="str">
        <f t="shared" si="117"/>
        <v>#NAME?</v>
      </c>
      <c r="H110" s="1" t="str">
        <f t="shared" si="117"/>
        <v>#NAME?</v>
      </c>
      <c r="I110" s="1" t="str">
        <f t="shared" si="117"/>
        <v>#NAME?</v>
      </c>
    </row>
    <row r="111" ht="14.25" customHeight="1">
      <c r="C111" s="33">
        <f t="shared" si="9"/>
        <v>44593</v>
      </c>
      <c r="D111" s="1" t="str">
        <f t="array" ref="D111">XLOOKUP($B$3,items,XLOOKUP(C111,dates,big_table))</f>
        <v>#N/A</v>
      </c>
      <c r="E111" s="1">
        <f t="array" ref="E111">IF(ISNA(XLOOKUP("jodi_last",items,XLOOKUP(C111,dates,big_table))),10^6,-100000)</f>
        <v>1000000</v>
      </c>
      <c r="F111" s="1" t="str">
        <f t="shared" ref="F111:I111" si="118">XLOOKUP(MONTH($C111),$M$6:$M$17,AE$6:AE$17)</f>
        <v>#NAME?</v>
      </c>
      <c r="G111" s="1" t="str">
        <f t="shared" si="118"/>
        <v>#NAME?</v>
      </c>
      <c r="H111" s="1" t="str">
        <f t="shared" si="118"/>
        <v>#NAME?</v>
      </c>
      <c r="I111" s="1" t="str">
        <f t="shared" si="118"/>
        <v>#NAME?</v>
      </c>
    </row>
    <row r="112" ht="14.25" customHeight="1">
      <c r="C112" s="33">
        <f t="shared" si="9"/>
        <v>44621</v>
      </c>
      <c r="D112" s="1" t="str">
        <f t="array" ref="D112">XLOOKUP($B$3,items,XLOOKUP(C112,dates,big_table))</f>
        <v>#N/A</v>
      </c>
      <c r="E112" s="1">
        <f t="array" ref="E112">IF(ISNA(XLOOKUP("jodi_last",items,XLOOKUP(C112,dates,big_table))),10^6,-100000)</f>
        <v>1000000</v>
      </c>
      <c r="F112" s="1" t="str">
        <f t="shared" ref="F112:I112" si="119">XLOOKUP(MONTH($C112),$M$6:$M$17,AE$6:AE$17)</f>
        <v>#NAME?</v>
      </c>
      <c r="G112" s="1" t="str">
        <f t="shared" si="119"/>
        <v>#NAME?</v>
      </c>
      <c r="H112" s="1" t="str">
        <f t="shared" si="119"/>
        <v>#NAME?</v>
      </c>
      <c r="I112" s="1" t="str">
        <f t="shared" si="119"/>
        <v>#NAME?</v>
      </c>
    </row>
    <row r="113" ht="14.25" customHeight="1">
      <c r="C113" s="33">
        <f t="shared" si="9"/>
        <v>44652</v>
      </c>
      <c r="D113" s="1" t="str">
        <f t="array" ref="D113">XLOOKUP($B$3,items,XLOOKUP(C113,dates,big_table))</f>
        <v>#N/A</v>
      </c>
      <c r="E113" s="1">
        <f t="array" ref="E113">IF(ISNA(XLOOKUP("jodi_last",items,XLOOKUP(C113,dates,big_table))),10^6,-100000)</f>
        <v>1000000</v>
      </c>
      <c r="F113" s="1" t="str">
        <f t="shared" ref="F113:I113" si="120">XLOOKUP(MONTH($C113),$M$6:$M$17,AE$6:AE$17)</f>
        <v>#NAME?</v>
      </c>
      <c r="G113" s="1" t="str">
        <f t="shared" si="120"/>
        <v>#NAME?</v>
      </c>
      <c r="H113" s="1" t="str">
        <f t="shared" si="120"/>
        <v>#NAME?</v>
      </c>
      <c r="I113" s="1" t="str">
        <f t="shared" si="120"/>
        <v>#NAME?</v>
      </c>
    </row>
    <row r="114" ht="14.25" customHeight="1">
      <c r="C114" s="33">
        <f t="shared" si="9"/>
        <v>44682</v>
      </c>
      <c r="D114" s="1" t="str">
        <f t="array" ref="D114">XLOOKUP($B$3,items,XLOOKUP(C114,dates,big_table))</f>
        <v>#N/A</v>
      </c>
      <c r="E114" s="1">
        <f t="array" ref="E114">IF(ISNA(XLOOKUP("jodi_last",items,XLOOKUP(C114,dates,big_table))),10^6,-100000)</f>
        <v>1000000</v>
      </c>
      <c r="F114" s="1" t="str">
        <f t="shared" ref="F114:I114" si="121">XLOOKUP(MONTH($C114),$M$6:$M$17,AE$6:AE$17)</f>
        <v>#NAME?</v>
      </c>
      <c r="G114" s="1" t="str">
        <f t="shared" si="121"/>
        <v>#NAME?</v>
      </c>
      <c r="H114" s="1" t="str">
        <f t="shared" si="121"/>
        <v>#NAME?</v>
      </c>
      <c r="I114" s="1" t="str">
        <f t="shared" si="121"/>
        <v>#NAME?</v>
      </c>
    </row>
    <row r="115" ht="14.25" customHeight="1">
      <c r="C115" s="33">
        <f t="shared" si="9"/>
        <v>44713</v>
      </c>
      <c r="D115" s="1" t="str">
        <f t="array" ref="D115">XLOOKUP($B$3,items,XLOOKUP(C115,dates,big_table))</f>
        <v>#N/A</v>
      </c>
      <c r="E115" s="1">
        <f t="array" ref="E115">IF(ISNA(XLOOKUP("jodi_last",items,XLOOKUP(C115,dates,big_table))),10^6,-100000)</f>
        <v>1000000</v>
      </c>
      <c r="F115" s="1" t="str">
        <f t="shared" ref="F115:I115" si="122">XLOOKUP(MONTH($C115),$M$6:$M$17,AE$6:AE$17)</f>
        <v>#NAME?</v>
      </c>
      <c r="G115" s="1" t="str">
        <f t="shared" si="122"/>
        <v>#NAME?</v>
      </c>
      <c r="H115" s="1" t="str">
        <f t="shared" si="122"/>
        <v>#NAME?</v>
      </c>
      <c r="I115" s="1" t="str">
        <f t="shared" si="122"/>
        <v>#NAME?</v>
      </c>
    </row>
    <row r="116" ht="14.25" customHeight="1">
      <c r="C116" s="33">
        <f t="shared" si="9"/>
        <v>44743</v>
      </c>
      <c r="D116" s="1" t="str">
        <f t="array" ref="D116">XLOOKUP($B$3,items,XLOOKUP(C116,dates,big_table))</f>
        <v>#N/A</v>
      </c>
      <c r="E116" s="1">
        <f t="array" ref="E116">IF(ISNA(XLOOKUP("jodi_last",items,XLOOKUP(C116,dates,big_table))),10^6,-100000)</f>
        <v>1000000</v>
      </c>
      <c r="F116" s="1" t="str">
        <f t="shared" ref="F116:I116" si="123">XLOOKUP(MONTH($C116),$M$6:$M$17,AE$6:AE$17)</f>
        <v>#NAME?</v>
      </c>
      <c r="G116" s="1" t="str">
        <f t="shared" si="123"/>
        <v>#NAME?</v>
      </c>
      <c r="H116" s="1" t="str">
        <f t="shared" si="123"/>
        <v>#NAME?</v>
      </c>
      <c r="I116" s="1" t="str">
        <f t="shared" si="123"/>
        <v>#NAME?</v>
      </c>
    </row>
    <row r="117" ht="14.25" customHeight="1">
      <c r="C117" s="33">
        <f t="shared" si="9"/>
        <v>44774</v>
      </c>
      <c r="D117" s="1" t="str">
        <f t="array" ref="D117">XLOOKUP($B$3,items,XLOOKUP(C117,dates,big_table))</f>
        <v>#N/A</v>
      </c>
      <c r="E117" s="1">
        <f t="array" ref="E117">IF(ISNA(XLOOKUP("jodi_last",items,XLOOKUP(C117,dates,big_table))),10^6,-100000)</f>
        <v>1000000</v>
      </c>
      <c r="F117" s="1" t="str">
        <f t="shared" ref="F117:I117" si="124">XLOOKUP(MONTH($C117),$M$6:$M$17,AE$6:AE$17)</f>
        <v>#NAME?</v>
      </c>
      <c r="G117" s="1" t="str">
        <f t="shared" si="124"/>
        <v>#NAME?</v>
      </c>
      <c r="H117" s="1" t="str">
        <f t="shared" si="124"/>
        <v>#NAME?</v>
      </c>
      <c r="I117" s="1" t="str">
        <f t="shared" si="124"/>
        <v>#NAME?</v>
      </c>
    </row>
    <row r="118" ht="14.25" customHeight="1">
      <c r="C118" s="33">
        <f t="shared" si="9"/>
        <v>44805</v>
      </c>
      <c r="D118" s="1" t="str">
        <f t="array" ref="D118">XLOOKUP($B$3,items,XLOOKUP(C118,dates,big_table))</f>
        <v>#N/A</v>
      </c>
      <c r="E118" s="1">
        <f t="array" ref="E118">IF(ISNA(XLOOKUP("jodi_last",items,XLOOKUP(C118,dates,big_table))),10^6,-100000)</f>
        <v>1000000</v>
      </c>
      <c r="F118" s="1" t="str">
        <f t="shared" ref="F118:I118" si="125">XLOOKUP(MONTH($C118),$M$6:$M$17,AE$6:AE$17)</f>
        <v>#NAME?</v>
      </c>
      <c r="G118" s="1" t="str">
        <f t="shared" si="125"/>
        <v>#NAME?</v>
      </c>
      <c r="H118" s="1" t="str">
        <f t="shared" si="125"/>
        <v>#NAME?</v>
      </c>
      <c r="I118" s="1" t="str">
        <f t="shared" si="125"/>
        <v>#NAME?</v>
      </c>
    </row>
    <row r="119" ht="14.25" customHeight="1">
      <c r="C119" s="33">
        <f t="shared" si="9"/>
        <v>44835</v>
      </c>
      <c r="D119" s="1" t="str">
        <f t="array" ref="D119">XLOOKUP($B$3,items,XLOOKUP(C119,dates,big_table))</f>
        <v>#N/A</v>
      </c>
      <c r="E119" s="1">
        <f t="array" ref="E119">IF(ISNA(XLOOKUP("jodi_last",items,XLOOKUP(C119,dates,big_table))),10^6,-100000)</f>
        <v>1000000</v>
      </c>
      <c r="F119" s="1" t="str">
        <f t="shared" ref="F119:I119" si="126">XLOOKUP(MONTH($C119),$M$6:$M$17,AE$6:AE$17)</f>
        <v>#NAME?</v>
      </c>
      <c r="G119" s="1" t="str">
        <f t="shared" si="126"/>
        <v>#NAME?</v>
      </c>
      <c r="H119" s="1" t="str">
        <f t="shared" si="126"/>
        <v>#NAME?</v>
      </c>
      <c r="I119" s="1" t="str">
        <f t="shared" si="126"/>
        <v>#NAME?</v>
      </c>
    </row>
    <row r="120" ht="14.25" customHeight="1">
      <c r="C120" s="33">
        <f t="shared" si="9"/>
        <v>44866</v>
      </c>
      <c r="D120" s="1" t="str">
        <f t="array" ref="D120">XLOOKUP($B$3,items,XLOOKUP(C120,dates,big_table))</f>
        <v>#N/A</v>
      </c>
      <c r="E120" s="1">
        <f t="array" ref="E120">IF(ISNA(XLOOKUP("jodi_last",items,XLOOKUP(C120,dates,big_table))),10^6,-100000)</f>
        <v>1000000</v>
      </c>
      <c r="F120" s="1" t="str">
        <f t="shared" ref="F120:I120" si="127">XLOOKUP(MONTH($C120),$M$6:$M$17,AE$6:AE$17)</f>
        <v>#NAME?</v>
      </c>
      <c r="G120" s="1" t="str">
        <f t="shared" si="127"/>
        <v>#NAME?</v>
      </c>
      <c r="H120" s="1" t="str">
        <f t="shared" si="127"/>
        <v>#NAME?</v>
      </c>
      <c r="I120" s="1" t="str">
        <f t="shared" si="127"/>
        <v>#NAME?</v>
      </c>
    </row>
    <row r="121" ht="14.25" customHeight="1">
      <c r="C121" s="33">
        <f t="shared" si="9"/>
        <v>44896</v>
      </c>
      <c r="D121" s="1" t="str">
        <f t="array" ref="D121">XLOOKUP($B$3,items,XLOOKUP(C121,dates,big_table))</f>
        <v>#N/A</v>
      </c>
      <c r="E121" s="1">
        <f t="array" ref="E121">IF(ISNA(XLOOKUP("jodi_last",items,XLOOKUP(C121,dates,big_table))),10^6,-100000)</f>
        <v>1000000</v>
      </c>
      <c r="F121" s="1" t="str">
        <f t="shared" ref="F121:I121" si="128">XLOOKUP(MONTH($C121),$M$6:$M$17,AE$6:AE$17)</f>
        <v>#NAME?</v>
      </c>
      <c r="G121" s="1" t="str">
        <f t="shared" si="128"/>
        <v>#NAME?</v>
      </c>
      <c r="H121" s="1" t="str">
        <f t="shared" si="128"/>
        <v>#NAME?</v>
      </c>
      <c r="I121" s="1" t="str">
        <f t="shared" si="128"/>
        <v>#NAME?</v>
      </c>
    </row>
    <row r="122" ht="14.25" customHeight="1">
      <c r="C122" s="33">
        <f t="shared" si="9"/>
        <v>44927</v>
      </c>
      <c r="D122" s="1" t="str">
        <f t="array" ref="D122">XLOOKUP($B$3,items,XLOOKUP(C122,dates,big_table))</f>
        <v>#N/A</v>
      </c>
      <c r="E122" s="1">
        <f t="array" ref="E122">IF(ISNA(XLOOKUP("jodi_last",items,XLOOKUP(C122,dates,big_table))),10^6,-100000)</f>
        <v>1000000</v>
      </c>
      <c r="F122" s="1" t="str">
        <f t="shared" ref="F122:I122" si="129">XLOOKUP(MONTH($C122),$M$6:$M$17,AE$6:AE$17)</f>
        <v>#NAME?</v>
      </c>
      <c r="G122" s="1" t="str">
        <f t="shared" si="129"/>
        <v>#NAME?</v>
      </c>
      <c r="H122" s="1" t="str">
        <f t="shared" si="129"/>
        <v>#NAME?</v>
      </c>
      <c r="I122" s="1" t="str">
        <f t="shared" si="129"/>
        <v>#NAME?</v>
      </c>
    </row>
    <row r="123" ht="14.25" customHeight="1">
      <c r="C123" s="33">
        <f t="shared" si="9"/>
        <v>44958</v>
      </c>
      <c r="D123" s="1" t="str">
        <f t="array" ref="D123">XLOOKUP($B$3,items,XLOOKUP(C123,dates,big_table))</f>
        <v>#N/A</v>
      </c>
      <c r="E123" s="1">
        <f t="array" ref="E123">IF(ISNA(XLOOKUP("jodi_last",items,XLOOKUP(C123,dates,big_table))),10^6,-100000)</f>
        <v>1000000</v>
      </c>
      <c r="F123" s="1" t="str">
        <f t="shared" ref="F123:I123" si="130">XLOOKUP(MONTH($C123),$M$6:$M$17,AE$6:AE$17)</f>
        <v>#NAME?</v>
      </c>
      <c r="G123" s="1" t="str">
        <f t="shared" si="130"/>
        <v>#NAME?</v>
      </c>
      <c r="H123" s="1" t="str">
        <f t="shared" si="130"/>
        <v>#NAME?</v>
      </c>
      <c r="I123" s="1" t="str">
        <f t="shared" si="130"/>
        <v>#NAME?</v>
      </c>
    </row>
    <row r="124" ht="14.25" customHeight="1">
      <c r="C124" s="33">
        <f t="shared" si="9"/>
        <v>44986</v>
      </c>
      <c r="D124" s="1" t="str">
        <f t="array" ref="D124">XLOOKUP($B$3,items,XLOOKUP(C124,dates,big_table))</f>
        <v>#N/A</v>
      </c>
      <c r="E124" s="1">
        <f t="array" ref="E124">IF(ISNA(XLOOKUP("jodi_last",items,XLOOKUP(C124,dates,big_table))),10^6,-100000)</f>
        <v>1000000</v>
      </c>
      <c r="F124" s="1" t="str">
        <f t="shared" ref="F124:I124" si="131">XLOOKUP(MONTH($C124),$M$6:$M$17,AE$6:AE$17)</f>
        <v>#NAME?</v>
      </c>
      <c r="G124" s="1" t="str">
        <f t="shared" si="131"/>
        <v>#NAME?</v>
      </c>
      <c r="H124" s="1" t="str">
        <f t="shared" si="131"/>
        <v>#NAME?</v>
      </c>
      <c r="I124" s="1" t="str">
        <f t="shared" si="131"/>
        <v>#NAME?</v>
      </c>
    </row>
    <row r="125" ht="14.25" customHeight="1">
      <c r="C125" s="33">
        <f t="shared" si="9"/>
        <v>45017</v>
      </c>
      <c r="D125" s="1" t="str">
        <f t="array" ref="D125">XLOOKUP($B$3,items,XLOOKUP(C125,dates,big_table))</f>
        <v>#N/A</v>
      </c>
      <c r="E125" s="1">
        <f t="array" ref="E125">IF(ISNA(XLOOKUP("jodi_last",items,XLOOKUP(C125,dates,big_table))),10^6,-100000)</f>
        <v>1000000</v>
      </c>
      <c r="F125" s="1" t="str">
        <f t="shared" ref="F125:I125" si="132">XLOOKUP(MONTH($C125),$M$6:$M$17,AE$6:AE$17)</f>
        <v>#NAME?</v>
      </c>
      <c r="G125" s="1" t="str">
        <f t="shared" si="132"/>
        <v>#NAME?</v>
      </c>
      <c r="H125" s="1" t="str">
        <f t="shared" si="132"/>
        <v>#NAME?</v>
      </c>
      <c r="I125" s="1" t="str">
        <f t="shared" si="132"/>
        <v>#NAME?</v>
      </c>
    </row>
    <row r="126" ht="14.25" customHeight="1">
      <c r="C126" s="33">
        <f t="shared" si="9"/>
        <v>45047</v>
      </c>
      <c r="D126" s="1" t="str">
        <f t="array" ref="D126">XLOOKUP($B$3,items,XLOOKUP(C126,dates,big_table))</f>
        <v>#N/A</v>
      </c>
      <c r="E126" s="1">
        <f t="array" ref="E126">IF(ISNA(XLOOKUP("jodi_last",items,XLOOKUP(C126,dates,big_table))),10^6,-100000)</f>
        <v>1000000</v>
      </c>
      <c r="F126" s="1" t="str">
        <f t="shared" ref="F126:I126" si="133">XLOOKUP(MONTH($C126),$M$6:$M$17,AE$6:AE$17)</f>
        <v>#NAME?</v>
      </c>
      <c r="G126" s="1" t="str">
        <f t="shared" si="133"/>
        <v>#NAME?</v>
      </c>
      <c r="H126" s="1" t="str">
        <f t="shared" si="133"/>
        <v>#NAME?</v>
      </c>
      <c r="I126" s="1" t="str">
        <f t="shared" si="133"/>
        <v>#NAME?</v>
      </c>
    </row>
    <row r="127" ht="14.25" customHeight="1">
      <c r="C127" s="33">
        <f t="shared" si="9"/>
        <v>45078</v>
      </c>
      <c r="D127" s="1" t="str">
        <f t="array" ref="D127">XLOOKUP($B$3,items,XLOOKUP(C127,dates,big_table))</f>
        <v>#N/A</v>
      </c>
      <c r="E127" s="1">
        <f t="array" ref="E127">IF(ISNA(XLOOKUP("jodi_last",items,XLOOKUP(C127,dates,big_table))),10^6,-100000)</f>
        <v>1000000</v>
      </c>
      <c r="F127" s="1" t="str">
        <f t="shared" ref="F127:I127" si="134">XLOOKUP(MONTH($C127),$M$6:$M$17,AE$6:AE$17)</f>
        <v>#NAME?</v>
      </c>
      <c r="G127" s="1" t="str">
        <f t="shared" si="134"/>
        <v>#NAME?</v>
      </c>
      <c r="H127" s="1" t="str">
        <f t="shared" si="134"/>
        <v>#NAME?</v>
      </c>
      <c r="I127" s="1" t="str">
        <f t="shared" si="134"/>
        <v>#NAME?</v>
      </c>
    </row>
    <row r="128" ht="14.25" customHeight="1">
      <c r="C128" s="33">
        <f t="shared" si="9"/>
        <v>45108</v>
      </c>
      <c r="D128" s="1" t="str">
        <f t="array" ref="D128">XLOOKUP($B$3,items,XLOOKUP(C128,dates,big_table))</f>
        <v>#N/A</v>
      </c>
      <c r="E128" s="1">
        <f t="array" ref="E128">IF(ISNA(XLOOKUP("jodi_last",items,XLOOKUP(C128,dates,big_table))),10^6,-100000)</f>
        <v>1000000</v>
      </c>
      <c r="F128" s="1" t="str">
        <f t="shared" ref="F128:I128" si="135">XLOOKUP(MONTH($C128),$M$6:$M$17,AE$6:AE$17)</f>
        <v>#NAME?</v>
      </c>
      <c r="G128" s="1" t="str">
        <f t="shared" si="135"/>
        <v>#NAME?</v>
      </c>
      <c r="H128" s="1" t="str">
        <f t="shared" si="135"/>
        <v>#NAME?</v>
      </c>
      <c r="I128" s="1" t="str">
        <f t="shared" si="135"/>
        <v>#NAME?</v>
      </c>
    </row>
    <row r="129" ht="14.25" customHeight="1">
      <c r="C129" s="33">
        <f t="shared" si="9"/>
        <v>45139</v>
      </c>
      <c r="D129" s="1" t="str">
        <f t="array" ref="D129">XLOOKUP($B$3,items,XLOOKUP(C129,dates,big_table))</f>
        <v>#N/A</v>
      </c>
      <c r="E129" s="1">
        <f t="array" ref="E129">IF(ISNA(XLOOKUP("jodi_last",items,XLOOKUP(C129,dates,big_table))),10^6,-100000)</f>
        <v>1000000</v>
      </c>
      <c r="F129" s="1" t="str">
        <f t="shared" ref="F129:I129" si="136">XLOOKUP(MONTH($C129),$M$6:$M$17,AE$6:AE$17)</f>
        <v>#NAME?</v>
      </c>
      <c r="G129" s="1" t="str">
        <f t="shared" si="136"/>
        <v>#NAME?</v>
      </c>
      <c r="H129" s="1" t="str">
        <f t="shared" si="136"/>
        <v>#NAME?</v>
      </c>
      <c r="I129" s="1" t="str">
        <f t="shared" si="136"/>
        <v>#NAME?</v>
      </c>
    </row>
    <row r="130" ht="14.25" customHeight="1">
      <c r="C130" s="33">
        <f t="shared" si="9"/>
        <v>45170</v>
      </c>
      <c r="D130" s="1" t="str">
        <f t="array" ref="D130">XLOOKUP($B$3,items,XLOOKUP(C130,dates,big_table))</f>
        <v>#N/A</v>
      </c>
      <c r="E130" s="1">
        <f t="array" ref="E130">IF(ISNA(XLOOKUP("jodi_last",items,XLOOKUP(C130,dates,big_table))),10^6,-100000)</f>
        <v>1000000</v>
      </c>
      <c r="F130" s="1" t="str">
        <f t="shared" ref="F130:I130" si="137">XLOOKUP(MONTH($C130),$M$6:$M$17,AE$6:AE$17)</f>
        <v>#NAME?</v>
      </c>
      <c r="G130" s="1" t="str">
        <f t="shared" si="137"/>
        <v>#NAME?</v>
      </c>
      <c r="H130" s="1" t="str">
        <f t="shared" si="137"/>
        <v>#NAME?</v>
      </c>
      <c r="I130" s="1" t="str">
        <f t="shared" si="137"/>
        <v>#NAME?</v>
      </c>
    </row>
    <row r="131" ht="14.25" customHeight="1">
      <c r="C131" s="33">
        <f t="shared" si="9"/>
        <v>45200</v>
      </c>
      <c r="D131" s="1" t="str">
        <f t="array" ref="D131">XLOOKUP($B$3,items,XLOOKUP(C131,dates,big_table))</f>
        <v>#N/A</v>
      </c>
      <c r="E131" s="1">
        <f t="array" ref="E131">IF(ISNA(XLOOKUP("jodi_last",items,XLOOKUP(C131,dates,big_table))),10^6,-100000)</f>
        <v>1000000</v>
      </c>
      <c r="F131" s="1" t="str">
        <f t="shared" ref="F131:I131" si="138">XLOOKUP(MONTH($C131),$M$6:$M$17,AE$6:AE$17)</f>
        <v>#NAME?</v>
      </c>
      <c r="G131" s="1" t="str">
        <f t="shared" si="138"/>
        <v>#NAME?</v>
      </c>
      <c r="H131" s="1" t="str">
        <f t="shared" si="138"/>
        <v>#NAME?</v>
      </c>
      <c r="I131" s="1" t="str">
        <f t="shared" si="138"/>
        <v>#NAME?</v>
      </c>
    </row>
    <row r="132" ht="14.25" customHeight="1">
      <c r="C132" s="33">
        <f t="shared" si="9"/>
        <v>45231</v>
      </c>
      <c r="D132" s="1" t="str">
        <f t="array" ref="D132">XLOOKUP($B$3,items,XLOOKUP(C132,dates,big_table))</f>
        <v>#N/A</v>
      </c>
      <c r="E132" s="1">
        <f t="array" ref="E132">IF(ISNA(XLOOKUP("jodi_last",items,XLOOKUP(C132,dates,big_table))),10^6,-100000)</f>
        <v>1000000</v>
      </c>
      <c r="F132" s="1" t="str">
        <f t="shared" ref="F132:I132" si="139">XLOOKUP(MONTH($C132),$M$6:$M$17,AE$6:AE$17)</f>
        <v>#NAME?</v>
      </c>
      <c r="G132" s="1" t="str">
        <f t="shared" si="139"/>
        <v>#NAME?</v>
      </c>
      <c r="H132" s="1" t="str">
        <f t="shared" si="139"/>
        <v>#NAME?</v>
      </c>
      <c r="I132" s="1" t="str">
        <f t="shared" si="139"/>
        <v>#NAME?</v>
      </c>
    </row>
    <row r="133" ht="14.25" customHeight="1">
      <c r="C133" s="33">
        <f t="shared" si="9"/>
        <v>45261</v>
      </c>
      <c r="D133" s="1" t="str">
        <f t="array" ref="D133">XLOOKUP($B$3,items,XLOOKUP(C133,dates,big_table))</f>
        <v>#N/A</v>
      </c>
      <c r="E133" s="1">
        <f t="array" ref="E133">IF(ISNA(XLOOKUP("jodi_last",items,XLOOKUP(C133,dates,big_table))),10^6,-100000)</f>
        <v>1000000</v>
      </c>
      <c r="F133" s="1" t="str">
        <f t="shared" ref="F133:I133" si="140">XLOOKUP(MONTH($C133),$M$6:$M$17,AE$6:AE$17)</f>
        <v>#NAME?</v>
      </c>
      <c r="G133" s="1" t="str">
        <f t="shared" si="140"/>
        <v>#NAME?</v>
      </c>
      <c r="H133" s="1" t="str">
        <f t="shared" si="140"/>
        <v>#NAME?</v>
      </c>
      <c r="I133" s="1" t="str">
        <f t="shared" si="140"/>
        <v>#NAME?</v>
      </c>
    </row>
    <row r="134" ht="14.25" customHeight="1">
      <c r="C134" s="33">
        <f t="shared" si="9"/>
        <v>45292</v>
      </c>
      <c r="D134" s="1" t="str">
        <f t="array" ref="D134">XLOOKUP($B$3,items,XLOOKUP(C134,dates,big_table))</f>
        <v>#N/A</v>
      </c>
      <c r="E134" s="1">
        <f t="array" ref="E134">IF(ISNA(XLOOKUP("jodi_last",items,XLOOKUP(C134,dates,big_table))),10^6,-100000)</f>
        <v>1000000</v>
      </c>
      <c r="F134" s="1" t="str">
        <f t="shared" ref="F134:I134" si="141">XLOOKUP(MONTH($C134),$M$6:$M$17,AE$6:AE$17)</f>
        <v>#NAME?</v>
      </c>
      <c r="G134" s="1" t="str">
        <f t="shared" si="141"/>
        <v>#NAME?</v>
      </c>
      <c r="H134" s="1" t="str">
        <f t="shared" si="141"/>
        <v>#NAME?</v>
      </c>
      <c r="I134" s="1" t="str">
        <f t="shared" si="141"/>
        <v>#NAME?</v>
      </c>
    </row>
    <row r="135" ht="14.25" customHeight="1">
      <c r="C135" s="33">
        <f t="shared" si="9"/>
        <v>45323</v>
      </c>
      <c r="D135" s="1" t="str">
        <f t="array" ref="D135">XLOOKUP($B$3,items,XLOOKUP(C135,dates,big_table))</f>
        <v>#N/A</v>
      </c>
      <c r="E135" s="1">
        <f t="array" ref="E135">IF(ISNA(XLOOKUP("jodi_last",items,XLOOKUP(C135,dates,big_table))),10^6,-100000)</f>
        <v>1000000</v>
      </c>
      <c r="F135" s="1" t="str">
        <f t="shared" ref="F135:I135" si="142">XLOOKUP(MONTH($C135),$M$6:$M$17,AE$6:AE$17)</f>
        <v>#NAME?</v>
      </c>
      <c r="G135" s="1" t="str">
        <f t="shared" si="142"/>
        <v>#NAME?</v>
      </c>
      <c r="H135" s="1" t="str">
        <f t="shared" si="142"/>
        <v>#NAME?</v>
      </c>
      <c r="I135" s="1" t="str">
        <f t="shared" si="142"/>
        <v>#NAME?</v>
      </c>
    </row>
    <row r="136" ht="14.25" customHeight="1">
      <c r="C136" s="33">
        <f t="shared" si="9"/>
        <v>45352</v>
      </c>
      <c r="D136" s="1" t="str">
        <f t="array" ref="D136">XLOOKUP($B$3,items,XLOOKUP(C136,dates,big_table))</f>
        <v>#N/A</v>
      </c>
      <c r="E136" s="1">
        <f t="array" ref="E136">IF(ISNA(XLOOKUP("jodi_last",items,XLOOKUP(C136,dates,big_table))),10^6,-100000)</f>
        <v>1000000</v>
      </c>
      <c r="F136" s="1" t="str">
        <f t="shared" ref="F136:I136" si="143">XLOOKUP(MONTH($C136),$M$6:$M$17,AE$6:AE$17)</f>
        <v>#NAME?</v>
      </c>
      <c r="G136" s="1" t="str">
        <f t="shared" si="143"/>
        <v>#NAME?</v>
      </c>
      <c r="H136" s="1" t="str">
        <f t="shared" si="143"/>
        <v>#NAME?</v>
      </c>
      <c r="I136" s="1" t="str">
        <f t="shared" si="143"/>
        <v>#NAME?</v>
      </c>
    </row>
    <row r="137" ht="14.25" customHeight="1">
      <c r="C137" s="33">
        <f t="shared" si="9"/>
        <v>45383</v>
      </c>
      <c r="D137" s="1" t="str">
        <f t="array" ref="D137">XLOOKUP($B$3,items,XLOOKUP(C137,dates,big_table))</f>
        <v>#N/A</v>
      </c>
      <c r="E137" s="1">
        <f t="array" ref="E137">IF(ISNA(XLOOKUP("jodi_last",items,XLOOKUP(C137,dates,big_table))),10^6,-100000)</f>
        <v>1000000</v>
      </c>
      <c r="F137" s="1" t="str">
        <f t="shared" ref="F137:I137" si="144">XLOOKUP(MONTH($C137),$M$6:$M$17,AE$6:AE$17)</f>
        <v>#NAME?</v>
      </c>
      <c r="G137" s="1" t="str">
        <f t="shared" si="144"/>
        <v>#NAME?</v>
      </c>
      <c r="H137" s="1" t="str">
        <f t="shared" si="144"/>
        <v>#NAME?</v>
      </c>
      <c r="I137" s="1" t="str">
        <f t="shared" si="144"/>
        <v>#NAME?</v>
      </c>
    </row>
    <row r="138" ht="14.25" customHeight="1">
      <c r="C138" s="33">
        <f t="shared" si="9"/>
        <v>45413</v>
      </c>
      <c r="D138" s="1" t="str">
        <f t="array" ref="D138">XLOOKUP($B$3,items,XLOOKUP(C138,dates,big_table))</f>
        <v>#N/A</v>
      </c>
      <c r="E138" s="1">
        <f t="array" ref="E138">IF(ISNA(XLOOKUP("jodi_last",items,XLOOKUP(C138,dates,big_table))),10^6,-100000)</f>
        <v>1000000</v>
      </c>
      <c r="F138" s="1" t="str">
        <f t="shared" ref="F138:I138" si="145">XLOOKUP(MONTH($C138),$M$6:$M$17,AE$6:AE$17)</f>
        <v>#NAME?</v>
      </c>
      <c r="G138" s="1" t="str">
        <f t="shared" si="145"/>
        <v>#NAME?</v>
      </c>
      <c r="H138" s="1" t="str">
        <f t="shared" si="145"/>
        <v>#NAME?</v>
      </c>
      <c r="I138" s="1" t="str">
        <f t="shared" si="145"/>
        <v>#NAME?</v>
      </c>
    </row>
    <row r="139" ht="14.25" customHeight="1">
      <c r="C139" s="33">
        <f t="shared" si="9"/>
        <v>45444</v>
      </c>
      <c r="D139" s="1" t="str">
        <f t="array" ref="D139">XLOOKUP($B$3,items,XLOOKUP(C139,dates,big_table))</f>
        <v>#N/A</v>
      </c>
      <c r="E139" s="1">
        <f t="array" ref="E139">IF(ISNA(XLOOKUP("jodi_last",items,XLOOKUP(C139,dates,big_table))),10^6,-100000)</f>
        <v>1000000</v>
      </c>
      <c r="F139" s="1" t="str">
        <f t="shared" ref="F139:I139" si="146">XLOOKUP(MONTH($C139),$M$6:$M$17,AE$6:AE$17)</f>
        <v>#NAME?</v>
      </c>
      <c r="G139" s="1" t="str">
        <f t="shared" si="146"/>
        <v>#NAME?</v>
      </c>
      <c r="H139" s="1" t="str">
        <f t="shared" si="146"/>
        <v>#NAME?</v>
      </c>
      <c r="I139" s="1" t="str">
        <f t="shared" si="146"/>
        <v>#NAME?</v>
      </c>
    </row>
    <row r="140" ht="14.25" customHeight="1">
      <c r="C140" s="33">
        <f t="shared" si="9"/>
        <v>45474</v>
      </c>
      <c r="D140" s="1" t="str">
        <f t="array" ref="D140">XLOOKUP($B$3,items,XLOOKUP(C140,dates,big_table))</f>
        <v>#N/A</v>
      </c>
      <c r="E140" s="1">
        <f t="array" ref="E140">IF(ISNA(XLOOKUP("jodi_last",items,XLOOKUP(C140,dates,big_table))),10^6,-100000)</f>
        <v>1000000</v>
      </c>
      <c r="F140" s="1" t="str">
        <f t="shared" ref="F140:I140" si="147">XLOOKUP(MONTH($C140),$M$6:$M$17,AE$6:AE$17)</f>
        <v>#NAME?</v>
      </c>
      <c r="G140" s="1" t="str">
        <f t="shared" si="147"/>
        <v>#NAME?</v>
      </c>
      <c r="H140" s="1" t="str">
        <f t="shared" si="147"/>
        <v>#NAME?</v>
      </c>
      <c r="I140" s="1" t="str">
        <f t="shared" si="147"/>
        <v>#NAME?</v>
      </c>
    </row>
    <row r="141" ht="14.25" customHeight="1">
      <c r="C141" s="33">
        <f t="shared" si="9"/>
        <v>45505</v>
      </c>
      <c r="D141" s="1" t="str">
        <f t="array" ref="D141">XLOOKUP($B$3,items,XLOOKUP(C141,dates,big_table))</f>
        <v>#N/A</v>
      </c>
      <c r="E141" s="1">
        <f t="array" ref="E141">IF(ISNA(XLOOKUP("jodi_last",items,XLOOKUP(C141,dates,big_table))),10^6,-100000)</f>
        <v>1000000</v>
      </c>
      <c r="F141" s="1" t="str">
        <f t="shared" ref="F141:I141" si="148">XLOOKUP(MONTH($C141),$M$6:$M$17,AE$6:AE$17)</f>
        <v>#NAME?</v>
      </c>
      <c r="G141" s="1" t="str">
        <f t="shared" si="148"/>
        <v>#NAME?</v>
      </c>
      <c r="H141" s="1" t="str">
        <f t="shared" si="148"/>
        <v>#NAME?</v>
      </c>
      <c r="I141" s="1" t="str">
        <f t="shared" si="148"/>
        <v>#NAME?</v>
      </c>
    </row>
    <row r="142" ht="14.25" customHeight="1">
      <c r="C142" s="33">
        <f t="shared" si="9"/>
        <v>45536</v>
      </c>
      <c r="D142" s="1" t="str">
        <f t="array" ref="D142">XLOOKUP($B$3,items,XLOOKUP(C142,dates,big_table))</f>
        <v>#N/A</v>
      </c>
      <c r="E142" s="1">
        <f t="array" ref="E142">IF(ISNA(XLOOKUP("jodi_last",items,XLOOKUP(C142,dates,big_table))),10^6,-100000)</f>
        <v>1000000</v>
      </c>
      <c r="F142" s="1" t="str">
        <f t="shared" ref="F142:I142" si="149">XLOOKUP(MONTH($C142),$M$6:$M$17,AE$6:AE$17)</f>
        <v>#NAME?</v>
      </c>
      <c r="G142" s="1" t="str">
        <f t="shared" si="149"/>
        <v>#NAME?</v>
      </c>
      <c r="H142" s="1" t="str">
        <f t="shared" si="149"/>
        <v>#NAME?</v>
      </c>
      <c r="I142" s="1" t="str">
        <f t="shared" si="149"/>
        <v>#NAME?</v>
      </c>
    </row>
    <row r="143" ht="14.25" customHeight="1">
      <c r="C143" s="33">
        <f t="shared" si="9"/>
        <v>45566</v>
      </c>
      <c r="D143" s="1" t="str">
        <f t="array" ref="D143">XLOOKUP($B$3,items,XLOOKUP(C143,dates,big_table))</f>
        <v>#N/A</v>
      </c>
      <c r="E143" s="1">
        <f t="array" ref="E143">IF(ISNA(XLOOKUP("jodi_last",items,XLOOKUP(C143,dates,big_table))),10^6,-100000)</f>
        <v>1000000</v>
      </c>
      <c r="F143" s="1" t="str">
        <f t="shared" ref="F143:I143" si="150">XLOOKUP(MONTH($C143),$M$6:$M$17,AE$6:AE$17)</f>
        <v>#NAME?</v>
      </c>
      <c r="G143" s="1" t="str">
        <f t="shared" si="150"/>
        <v>#NAME?</v>
      </c>
      <c r="H143" s="1" t="str">
        <f t="shared" si="150"/>
        <v>#NAME?</v>
      </c>
      <c r="I143" s="1" t="str">
        <f t="shared" si="150"/>
        <v>#NAME?</v>
      </c>
    </row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B3">
      <formula1>items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3" width="10.71"/>
    <col customWidth="1" min="4" max="4" width="24.86"/>
    <col customWidth="1" min="5" max="5" width="28.29"/>
    <col customWidth="1" min="6" max="18" width="8.71"/>
  </cols>
  <sheetData>
    <row r="1" ht="14.25" customHeight="1"/>
    <row r="2" ht="14.25" customHeight="1"/>
    <row r="3" ht="14.25" customHeight="1">
      <c r="B3" s="20" t="str">
        <f t="array" ref="B3:B4386">daily_dates</f>
        <v/>
      </c>
      <c r="C3" s="20" t="s">
        <v>26</v>
      </c>
      <c r="D3" s="36" t="s">
        <v>27</v>
      </c>
      <c r="E3" s="36" t="s">
        <v>28</v>
      </c>
    </row>
    <row r="4" ht="14.25" customHeight="1">
      <c r="B4" s="7">
        <v>40909.0</v>
      </c>
      <c r="C4" s="7">
        <f t="shared" ref="C4:C4386" si="1">B4-WEEKDAY(B4)+1</f>
        <v>40909</v>
      </c>
      <c r="D4" s="1" t="str">
        <f t="array" ref="D4">IF(ISBLANK(XLOOKUP(D$3,daily_items,XLOOKUP($C4,daily_dates,big_daily_table))),NA(),XLOOKUP(D$3,daily_items,XLOOKUP($C4,daily_dates,big_daily_table)))</f>
        <v>#N/A</v>
      </c>
      <c r="E4" s="1" t="str">
        <f t="array" ref="E4">IF(ISBLANK(XLOOKUP(E$3,daily_items,XLOOKUP($C4,daily_dates,big_daily_table))),NA(),XLOOKUP(E$3,daily_items,XLOOKUP($C4,daily_dates,big_daily_table)))</f>
        <v>#N/A</v>
      </c>
    </row>
    <row r="5" ht="14.25" customHeight="1">
      <c r="B5" s="7">
        <v>40910.0</v>
      </c>
      <c r="C5" s="7">
        <f t="shared" si="1"/>
        <v>40909</v>
      </c>
      <c r="D5" s="1" t="str">
        <f t="array" ref="D5">IF(ISBLANK(XLOOKUP(D$3,daily_items,XLOOKUP($C5,daily_dates,big_daily_table))),NA(),XLOOKUP(D$3,daily_items,XLOOKUP($C5,daily_dates,big_daily_table)))</f>
        <v>#N/A</v>
      </c>
      <c r="E5" s="1" t="str">
        <f t="array" ref="E5">IF(ISBLANK(XLOOKUP(E$3,daily_items,XLOOKUP($C5,daily_dates,big_daily_table))),NA(),XLOOKUP(E$3,daily_items,XLOOKUP($C5,daily_dates,big_daily_table)))</f>
        <v>#N/A</v>
      </c>
    </row>
    <row r="6" ht="14.25" customHeight="1">
      <c r="B6" s="7">
        <v>40911.0</v>
      </c>
      <c r="C6" s="7">
        <f t="shared" si="1"/>
        <v>40909</v>
      </c>
      <c r="D6" s="1" t="str">
        <f t="array" ref="D6">IF(ISBLANK(XLOOKUP(D$3,daily_items,XLOOKUP($C6,daily_dates,big_daily_table))),NA(),XLOOKUP(D$3,daily_items,XLOOKUP($C6,daily_dates,big_daily_table)))</f>
        <v>#N/A</v>
      </c>
      <c r="E6" s="1" t="str">
        <f t="array" ref="E6">IF(ISBLANK(XLOOKUP(E$3,daily_items,XLOOKUP($C6,daily_dates,big_daily_table))),NA(),XLOOKUP(E$3,daily_items,XLOOKUP($C6,daily_dates,big_daily_table)))</f>
        <v>#N/A</v>
      </c>
    </row>
    <row r="7" ht="14.25" customHeight="1">
      <c r="B7" s="7">
        <v>40912.0</v>
      </c>
      <c r="C7" s="7">
        <f t="shared" si="1"/>
        <v>40909</v>
      </c>
      <c r="D7" s="1" t="str">
        <f t="array" ref="D7">IF(ISBLANK(XLOOKUP(D$3,daily_items,XLOOKUP($C7,daily_dates,big_daily_table))),NA(),XLOOKUP(D$3,daily_items,XLOOKUP($C7,daily_dates,big_daily_table)))</f>
        <v>#N/A</v>
      </c>
      <c r="E7" s="1" t="str">
        <f t="array" ref="E7">IF(ISBLANK(XLOOKUP(E$3,daily_items,XLOOKUP($C7,daily_dates,big_daily_table))),NA(),XLOOKUP(E$3,daily_items,XLOOKUP($C7,daily_dates,big_daily_table)))</f>
        <v>#N/A</v>
      </c>
    </row>
    <row r="8" ht="14.25" customHeight="1">
      <c r="B8" s="7">
        <v>40913.0</v>
      </c>
      <c r="C8" s="7">
        <f t="shared" si="1"/>
        <v>40909</v>
      </c>
      <c r="D8" s="1" t="str">
        <f t="array" ref="D8">IF(ISBLANK(XLOOKUP(D$3,daily_items,XLOOKUP($C8,daily_dates,big_daily_table))),NA(),XLOOKUP(D$3,daily_items,XLOOKUP($C8,daily_dates,big_daily_table)))</f>
        <v>#N/A</v>
      </c>
      <c r="E8" s="1" t="str">
        <f t="array" ref="E8">IF(ISBLANK(XLOOKUP(E$3,daily_items,XLOOKUP($C8,daily_dates,big_daily_table))),NA(),XLOOKUP(E$3,daily_items,XLOOKUP($C8,daily_dates,big_daily_table)))</f>
        <v>#N/A</v>
      </c>
    </row>
    <row r="9" ht="14.25" customHeight="1">
      <c r="B9" s="7">
        <v>40914.0</v>
      </c>
      <c r="C9" s="7">
        <f t="shared" si="1"/>
        <v>40909</v>
      </c>
      <c r="D9" s="1" t="str">
        <f t="array" ref="D9">IF(ISBLANK(XLOOKUP(D$3,daily_items,XLOOKUP($C9,daily_dates,big_daily_table))),NA(),XLOOKUP(D$3,daily_items,XLOOKUP($C9,daily_dates,big_daily_table)))</f>
        <v>#N/A</v>
      </c>
      <c r="E9" s="1" t="str">
        <f t="array" ref="E9">IF(ISBLANK(XLOOKUP(E$3,daily_items,XLOOKUP($C9,daily_dates,big_daily_table))),NA(),XLOOKUP(E$3,daily_items,XLOOKUP($C9,daily_dates,big_daily_table)))</f>
        <v>#N/A</v>
      </c>
    </row>
    <row r="10" ht="14.25" customHeight="1">
      <c r="B10" s="7">
        <v>40915.0</v>
      </c>
      <c r="C10" s="7">
        <f t="shared" si="1"/>
        <v>40909</v>
      </c>
      <c r="D10" s="1" t="str">
        <f t="array" ref="D10">IF(ISBLANK(XLOOKUP(D$3,daily_items,XLOOKUP($C10,daily_dates,big_daily_table))),NA(),XLOOKUP(D$3,daily_items,XLOOKUP($C10,daily_dates,big_daily_table)))</f>
        <v>#N/A</v>
      </c>
      <c r="E10" s="1" t="str">
        <f t="array" ref="E10">IF(ISBLANK(XLOOKUP(E$3,daily_items,XLOOKUP($C10,daily_dates,big_daily_table))),NA(),XLOOKUP(E$3,daily_items,XLOOKUP($C10,daily_dates,big_daily_table)))</f>
        <v>#N/A</v>
      </c>
    </row>
    <row r="11" ht="14.25" customHeight="1">
      <c r="B11" s="7">
        <v>40916.0</v>
      </c>
      <c r="C11" s="7">
        <f t="shared" si="1"/>
        <v>40916</v>
      </c>
      <c r="D11" s="1" t="str">
        <f t="array" ref="D11">IF(ISBLANK(XLOOKUP(D$3,daily_items,XLOOKUP($C11,daily_dates,big_daily_table))),NA(),XLOOKUP(D$3,daily_items,XLOOKUP($C11,daily_dates,big_daily_table)))</f>
        <v>#N/A</v>
      </c>
      <c r="E11" s="1" t="str">
        <f t="array" ref="E11">IF(ISBLANK(XLOOKUP(E$3,daily_items,XLOOKUP($C11,daily_dates,big_daily_table))),NA(),XLOOKUP(E$3,daily_items,XLOOKUP($C11,daily_dates,big_daily_table)))</f>
        <v>#N/A</v>
      </c>
    </row>
    <row r="12" ht="14.25" customHeight="1">
      <c r="B12" s="7">
        <v>40917.0</v>
      </c>
      <c r="C12" s="7">
        <f t="shared" si="1"/>
        <v>40916</v>
      </c>
      <c r="D12" s="1" t="str">
        <f t="array" ref="D12">IF(ISBLANK(XLOOKUP(D$3,daily_items,XLOOKUP($C12,daily_dates,big_daily_table))),NA(),XLOOKUP(D$3,daily_items,XLOOKUP($C12,daily_dates,big_daily_table)))</f>
        <v>#N/A</v>
      </c>
      <c r="E12" s="1" t="str">
        <f t="array" ref="E12">IF(ISBLANK(XLOOKUP(E$3,daily_items,XLOOKUP($C12,daily_dates,big_daily_table))),NA(),XLOOKUP(E$3,daily_items,XLOOKUP($C12,daily_dates,big_daily_table)))</f>
        <v>#N/A</v>
      </c>
    </row>
    <row r="13" ht="14.25" customHeight="1">
      <c r="B13" s="7">
        <v>40918.0</v>
      </c>
      <c r="C13" s="7">
        <f t="shared" si="1"/>
        <v>40916</v>
      </c>
      <c r="D13" s="1" t="str">
        <f t="array" ref="D13">IF(ISBLANK(XLOOKUP(D$3,daily_items,XLOOKUP($C13,daily_dates,big_daily_table))),NA(),XLOOKUP(D$3,daily_items,XLOOKUP($C13,daily_dates,big_daily_table)))</f>
        <v>#N/A</v>
      </c>
      <c r="E13" s="1" t="str">
        <f t="array" ref="E13">IF(ISBLANK(XLOOKUP(E$3,daily_items,XLOOKUP($C13,daily_dates,big_daily_table))),NA(),XLOOKUP(E$3,daily_items,XLOOKUP($C13,daily_dates,big_daily_table)))</f>
        <v>#N/A</v>
      </c>
      <c r="R13" s="1" t="s">
        <v>29</v>
      </c>
    </row>
    <row r="14" ht="14.25" customHeight="1">
      <c r="B14" s="7">
        <v>40919.0</v>
      </c>
      <c r="C14" s="7">
        <f t="shared" si="1"/>
        <v>40916</v>
      </c>
      <c r="D14" s="1" t="str">
        <f t="array" ref="D14">IF(ISBLANK(XLOOKUP(D$3,daily_items,XLOOKUP($C14,daily_dates,big_daily_table))),NA(),XLOOKUP(D$3,daily_items,XLOOKUP($C14,daily_dates,big_daily_table)))</f>
        <v>#N/A</v>
      </c>
      <c r="E14" s="1" t="str">
        <f t="array" ref="E14">IF(ISBLANK(XLOOKUP(E$3,daily_items,XLOOKUP($C14,daily_dates,big_daily_table))),NA(),XLOOKUP(E$3,daily_items,XLOOKUP($C14,daily_dates,big_daily_table)))</f>
        <v>#N/A</v>
      </c>
    </row>
    <row r="15" ht="14.25" customHeight="1">
      <c r="B15" s="7">
        <v>40920.0</v>
      </c>
      <c r="C15" s="7">
        <f t="shared" si="1"/>
        <v>40916</v>
      </c>
      <c r="D15" s="1" t="str">
        <f t="array" ref="D15">IF(ISBLANK(XLOOKUP(D$3,daily_items,XLOOKUP($C15,daily_dates,big_daily_table))),NA(),XLOOKUP(D$3,daily_items,XLOOKUP($C15,daily_dates,big_daily_table)))</f>
        <v>#N/A</v>
      </c>
      <c r="E15" s="1" t="str">
        <f t="array" ref="E15">IF(ISBLANK(XLOOKUP(E$3,daily_items,XLOOKUP($C15,daily_dates,big_daily_table))),NA(),XLOOKUP(E$3,daily_items,XLOOKUP($C15,daily_dates,big_daily_table)))</f>
        <v>#N/A</v>
      </c>
    </row>
    <row r="16" ht="14.25" customHeight="1">
      <c r="B16" s="7">
        <v>40921.0</v>
      </c>
      <c r="C16" s="7">
        <f t="shared" si="1"/>
        <v>40916</v>
      </c>
      <c r="D16" s="1" t="str">
        <f t="array" ref="D16">IF(ISBLANK(XLOOKUP(D$3,daily_items,XLOOKUP($C16,daily_dates,big_daily_table))),NA(),XLOOKUP(D$3,daily_items,XLOOKUP($C16,daily_dates,big_daily_table)))</f>
        <v>#N/A</v>
      </c>
      <c r="E16" s="1" t="str">
        <f t="array" ref="E16">IF(ISBLANK(XLOOKUP(E$3,daily_items,XLOOKUP($C16,daily_dates,big_daily_table))),NA(),XLOOKUP(E$3,daily_items,XLOOKUP($C16,daily_dates,big_daily_table)))</f>
        <v>#N/A</v>
      </c>
    </row>
    <row r="17" ht="14.25" customHeight="1">
      <c r="B17" s="7">
        <v>40922.0</v>
      </c>
      <c r="C17" s="7">
        <f t="shared" si="1"/>
        <v>40916</v>
      </c>
      <c r="D17" s="1" t="str">
        <f t="array" ref="D17">IF(ISBLANK(XLOOKUP(D$3,daily_items,XLOOKUP($C17,daily_dates,big_daily_table))),NA(),XLOOKUP(D$3,daily_items,XLOOKUP($C17,daily_dates,big_daily_table)))</f>
        <v>#N/A</v>
      </c>
      <c r="E17" s="1" t="str">
        <f t="array" ref="E17">IF(ISBLANK(XLOOKUP(E$3,daily_items,XLOOKUP($C17,daily_dates,big_daily_table))),NA(),XLOOKUP(E$3,daily_items,XLOOKUP($C17,daily_dates,big_daily_table)))</f>
        <v>#N/A</v>
      </c>
    </row>
    <row r="18" ht="14.25" customHeight="1">
      <c r="B18" s="7">
        <v>40923.0</v>
      </c>
      <c r="C18" s="7">
        <f t="shared" si="1"/>
        <v>40923</v>
      </c>
      <c r="D18" s="1" t="str">
        <f t="array" ref="D18">IF(ISBLANK(XLOOKUP(D$3,daily_items,XLOOKUP($C18,daily_dates,big_daily_table))),NA(),XLOOKUP(D$3,daily_items,XLOOKUP($C18,daily_dates,big_daily_table)))</f>
        <v>#N/A</v>
      </c>
      <c r="E18" s="1" t="str">
        <f t="array" ref="E18">IF(ISBLANK(XLOOKUP(E$3,daily_items,XLOOKUP($C18,daily_dates,big_daily_table))),NA(),XLOOKUP(E$3,daily_items,XLOOKUP($C18,daily_dates,big_daily_table)))</f>
        <v>#N/A</v>
      </c>
    </row>
    <row r="19" ht="14.25" customHeight="1">
      <c r="B19" s="7">
        <v>40924.0</v>
      </c>
      <c r="C19" s="7">
        <f t="shared" si="1"/>
        <v>40923</v>
      </c>
      <c r="D19" s="1" t="str">
        <f t="array" ref="D19">IF(ISBLANK(XLOOKUP(D$3,daily_items,XLOOKUP($C19,daily_dates,big_daily_table))),NA(),XLOOKUP(D$3,daily_items,XLOOKUP($C19,daily_dates,big_daily_table)))</f>
        <v>#N/A</v>
      </c>
      <c r="E19" s="1" t="str">
        <f t="array" ref="E19">IF(ISBLANK(XLOOKUP(E$3,daily_items,XLOOKUP($C19,daily_dates,big_daily_table))),NA(),XLOOKUP(E$3,daily_items,XLOOKUP($C19,daily_dates,big_daily_table)))</f>
        <v>#N/A</v>
      </c>
    </row>
    <row r="20" ht="14.25" customHeight="1">
      <c r="B20" s="7">
        <v>40925.0</v>
      </c>
      <c r="C20" s="7">
        <f t="shared" si="1"/>
        <v>40923</v>
      </c>
      <c r="D20" s="1" t="str">
        <f t="array" ref="D20">IF(ISBLANK(XLOOKUP(D$3,daily_items,XLOOKUP($C20,daily_dates,big_daily_table))),NA(),XLOOKUP(D$3,daily_items,XLOOKUP($C20,daily_dates,big_daily_table)))</f>
        <v>#N/A</v>
      </c>
      <c r="E20" s="1" t="str">
        <f t="array" ref="E20">IF(ISBLANK(XLOOKUP(E$3,daily_items,XLOOKUP($C20,daily_dates,big_daily_table))),NA(),XLOOKUP(E$3,daily_items,XLOOKUP($C20,daily_dates,big_daily_table)))</f>
        <v>#N/A</v>
      </c>
    </row>
    <row r="21" ht="14.25" customHeight="1">
      <c r="B21" s="7">
        <v>40926.0</v>
      </c>
      <c r="C21" s="7">
        <f t="shared" si="1"/>
        <v>40923</v>
      </c>
      <c r="D21" s="1" t="str">
        <f t="array" ref="D21">IF(ISBLANK(XLOOKUP(D$3,daily_items,XLOOKUP($C21,daily_dates,big_daily_table))),NA(),XLOOKUP(D$3,daily_items,XLOOKUP($C21,daily_dates,big_daily_table)))</f>
        <v>#N/A</v>
      </c>
      <c r="E21" s="1" t="str">
        <f t="array" ref="E21">IF(ISBLANK(XLOOKUP(E$3,daily_items,XLOOKUP($C21,daily_dates,big_daily_table))),NA(),XLOOKUP(E$3,daily_items,XLOOKUP($C21,daily_dates,big_daily_table)))</f>
        <v>#N/A</v>
      </c>
    </row>
    <row r="22" ht="14.25" customHeight="1">
      <c r="B22" s="7">
        <v>40927.0</v>
      </c>
      <c r="C22" s="7">
        <f t="shared" si="1"/>
        <v>40923</v>
      </c>
      <c r="D22" s="1" t="str">
        <f t="array" ref="D22">IF(ISBLANK(XLOOKUP(D$3,daily_items,XLOOKUP($C22,daily_dates,big_daily_table))),NA(),XLOOKUP(D$3,daily_items,XLOOKUP($C22,daily_dates,big_daily_table)))</f>
        <v>#N/A</v>
      </c>
      <c r="E22" s="1" t="str">
        <f t="array" ref="E22">IF(ISBLANK(XLOOKUP(E$3,daily_items,XLOOKUP($C22,daily_dates,big_daily_table))),NA(),XLOOKUP(E$3,daily_items,XLOOKUP($C22,daily_dates,big_daily_table)))</f>
        <v>#N/A</v>
      </c>
    </row>
    <row r="23" ht="14.25" customHeight="1">
      <c r="B23" s="7">
        <v>40928.0</v>
      </c>
      <c r="C23" s="7">
        <f t="shared" si="1"/>
        <v>40923</v>
      </c>
      <c r="D23" s="1" t="str">
        <f t="array" ref="D23">IF(ISBLANK(XLOOKUP(D$3,daily_items,XLOOKUP($C23,daily_dates,big_daily_table))),NA(),XLOOKUP(D$3,daily_items,XLOOKUP($C23,daily_dates,big_daily_table)))</f>
        <v>#N/A</v>
      </c>
      <c r="E23" s="1" t="str">
        <f t="array" ref="E23">IF(ISBLANK(XLOOKUP(E$3,daily_items,XLOOKUP($C23,daily_dates,big_daily_table))),NA(),XLOOKUP(E$3,daily_items,XLOOKUP($C23,daily_dates,big_daily_table)))</f>
        <v>#N/A</v>
      </c>
    </row>
    <row r="24" ht="14.25" customHeight="1">
      <c r="B24" s="7">
        <v>40929.0</v>
      </c>
      <c r="C24" s="7">
        <f t="shared" si="1"/>
        <v>40923</v>
      </c>
      <c r="D24" s="1" t="str">
        <f t="array" ref="D24">IF(ISBLANK(XLOOKUP(D$3,daily_items,XLOOKUP($C24,daily_dates,big_daily_table))),NA(),XLOOKUP(D$3,daily_items,XLOOKUP($C24,daily_dates,big_daily_table)))</f>
        <v>#N/A</v>
      </c>
      <c r="E24" s="1" t="str">
        <f t="array" ref="E24">IF(ISBLANK(XLOOKUP(E$3,daily_items,XLOOKUP($C24,daily_dates,big_daily_table))),NA(),XLOOKUP(E$3,daily_items,XLOOKUP($C24,daily_dates,big_daily_table)))</f>
        <v>#N/A</v>
      </c>
    </row>
    <row r="25" ht="14.25" customHeight="1">
      <c r="B25" s="7">
        <v>40930.0</v>
      </c>
      <c r="C25" s="7">
        <f t="shared" si="1"/>
        <v>40930</v>
      </c>
      <c r="D25" s="1" t="str">
        <f t="array" ref="D25">IF(ISBLANK(XLOOKUP(D$3,daily_items,XLOOKUP($C25,daily_dates,big_daily_table))),NA(),XLOOKUP(D$3,daily_items,XLOOKUP($C25,daily_dates,big_daily_table)))</f>
        <v>#N/A</v>
      </c>
      <c r="E25" s="1" t="str">
        <f t="array" ref="E25">IF(ISBLANK(XLOOKUP(E$3,daily_items,XLOOKUP($C25,daily_dates,big_daily_table))),NA(),XLOOKUP(E$3,daily_items,XLOOKUP($C25,daily_dates,big_daily_table)))</f>
        <v>#N/A</v>
      </c>
    </row>
    <row r="26" ht="14.25" customHeight="1">
      <c r="B26" s="7">
        <v>40931.0</v>
      </c>
      <c r="C26" s="7">
        <f t="shared" si="1"/>
        <v>40930</v>
      </c>
      <c r="D26" s="1" t="str">
        <f t="array" ref="D26">IF(ISBLANK(XLOOKUP(D$3,daily_items,XLOOKUP($C26,daily_dates,big_daily_table))),NA(),XLOOKUP(D$3,daily_items,XLOOKUP($C26,daily_dates,big_daily_table)))</f>
        <v>#N/A</v>
      </c>
      <c r="E26" s="1" t="str">
        <f t="array" ref="E26">IF(ISBLANK(XLOOKUP(E$3,daily_items,XLOOKUP($C26,daily_dates,big_daily_table))),NA(),XLOOKUP(E$3,daily_items,XLOOKUP($C26,daily_dates,big_daily_table)))</f>
        <v>#N/A</v>
      </c>
    </row>
    <row r="27" ht="14.25" customHeight="1">
      <c r="B27" s="7">
        <v>40932.0</v>
      </c>
      <c r="C27" s="7">
        <f t="shared" si="1"/>
        <v>40930</v>
      </c>
      <c r="D27" s="1" t="str">
        <f t="array" ref="D27">IF(ISBLANK(XLOOKUP(D$3,daily_items,XLOOKUP($C27,daily_dates,big_daily_table))),NA(),XLOOKUP(D$3,daily_items,XLOOKUP($C27,daily_dates,big_daily_table)))</f>
        <v>#N/A</v>
      </c>
      <c r="E27" s="1" t="str">
        <f t="array" ref="E27">IF(ISBLANK(XLOOKUP(E$3,daily_items,XLOOKUP($C27,daily_dates,big_daily_table))),NA(),XLOOKUP(E$3,daily_items,XLOOKUP($C27,daily_dates,big_daily_table)))</f>
        <v>#N/A</v>
      </c>
    </row>
    <row r="28" ht="14.25" customHeight="1">
      <c r="B28" s="7">
        <v>40933.0</v>
      </c>
      <c r="C28" s="7">
        <f t="shared" si="1"/>
        <v>40930</v>
      </c>
      <c r="D28" s="1" t="str">
        <f t="array" ref="D28">IF(ISBLANK(XLOOKUP(D$3,daily_items,XLOOKUP($C28,daily_dates,big_daily_table))),NA(),XLOOKUP(D$3,daily_items,XLOOKUP($C28,daily_dates,big_daily_table)))</f>
        <v>#N/A</v>
      </c>
      <c r="E28" s="1" t="str">
        <f t="array" ref="E28">IF(ISBLANK(XLOOKUP(E$3,daily_items,XLOOKUP($C28,daily_dates,big_daily_table))),NA(),XLOOKUP(E$3,daily_items,XLOOKUP($C28,daily_dates,big_daily_table)))</f>
        <v>#N/A</v>
      </c>
    </row>
    <row r="29" ht="14.25" customHeight="1">
      <c r="B29" s="7">
        <v>40934.0</v>
      </c>
      <c r="C29" s="7">
        <f t="shared" si="1"/>
        <v>40930</v>
      </c>
      <c r="D29" s="1" t="str">
        <f t="array" ref="D29">IF(ISBLANK(XLOOKUP(D$3,daily_items,XLOOKUP($C29,daily_dates,big_daily_table))),NA(),XLOOKUP(D$3,daily_items,XLOOKUP($C29,daily_dates,big_daily_table)))</f>
        <v>#N/A</v>
      </c>
      <c r="E29" s="1" t="str">
        <f t="array" ref="E29">IF(ISBLANK(XLOOKUP(E$3,daily_items,XLOOKUP($C29,daily_dates,big_daily_table))),NA(),XLOOKUP(E$3,daily_items,XLOOKUP($C29,daily_dates,big_daily_table)))</f>
        <v>#N/A</v>
      </c>
    </row>
    <row r="30" ht="14.25" customHeight="1">
      <c r="B30" s="7">
        <v>40935.0</v>
      </c>
      <c r="C30" s="7">
        <f t="shared" si="1"/>
        <v>40930</v>
      </c>
      <c r="D30" s="1" t="str">
        <f t="array" ref="D30">IF(ISBLANK(XLOOKUP(D$3,daily_items,XLOOKUP($C30,daily_dates,big_daily_table))),NA(),XLOOKUP(D$3,daily_items,XLOOKUP($C30,daily_dates,big_daily_table)))</f>
        <v>#N/A</v>
      </c>
      <c r="E30" s="1" t="str">
        <f t="array" ref="E30">IF(ISBLANK(XLOOKUP(E$3,daily_items,XLOOKUP($C30,daily_dates,big_daily_table))),NA(),XLOOKUP(E$3,daily_items,XLOOKUP($C30,daily_dates,big_daily_table)))</f>
        <v>#N/A</v>
      </c>
    </row>
    <row r="31" ht="14.25" customHeight="1">
      <c r="B31" s="7">
        <v>40936.0</v>
      </c>
      <c r="C31" s="7">
        <f t="shared" si="1"/>
        <v>40930</v>
      </c>
      <c r="D31" s="1" t="str">
        <f t="array" ref="D31">IF(ISBLANK(XLOOKUP(D$3,daily_items,XLOOKUP($C31,daily_dates,big_daily_table))),NA(),XLOOKUP(D$3,daily_items,XLOOKUP($C31,daily_dates,big_daily_table)))</f>
        <v>#N/A</v>
      </c>
      <c r="E31" s="1" t="str">
        <f t="array" ref="E31">IF(ISBLANK(XLOOKUP(E$3,daily_items,XLOOKUP($C31,daily_dates,big_daily_table))),NA(),XLOOKUP(E$3,daily_items,XLOOKUP($C31,daily_dates,big_daily_table)))</f>
        <v>#N/A</v>
      </c>
    </row>
    <row r="32" ht="14.25" customHeight="1">
      <c r="B32" s="7">
        <v>40937.0</v>
      </c>
      <c r="C32" s="7">
        <f t="shared" si="1"/>
        <v>40937</v>
      </c>
      <c r="D32" s="1" t="str">
        <f t="array" ref="D32">IF(ISBLANK(XLOOKUP(D$3,daily_items,XLOOKUP($C32,daily_dates,big_daily_table))),NA(),XLOOKUP(D$3,daily_items,XLOOKUP($C32,daily_dates,big_daily_table)))</f>
        <v>#N/A</v>
      </c>
      <c r="E32" s="1" t="str">
        <f t="array" ref="E32">IF(ISBLANK(XLOOKUP(E$3,daily_items,XLOOKUP($C32,daily_dates,big_daily_table))),NA(),XLOOKUP(E$3,daily_items,XLOOKUP($C32,daily_dates,big_daily_table)))</f>
        <v>#N/A</v>
      </c>
    </row>
    <row r="33" ht="14.25" customHeight="1">
      <c r="B33" s="7">
        <v>40938.0</v>
      </c>
      <c r="C33" s="7">
        <f t="shared" si="1"/>
        <v>40937</v>
      </c>
      <c r="D33" s="1" t="str">
        <f t="array" ref="D33">IF(ISBLANK(XLOOKUP(D$3,daily_items,XLOOKUP($C33,daily_dates,big_daily_table))),NA(),XLOOKUP(D$3,daily_items,XLOOKUP($C33,daily_dates,big_daily_table)))</f>
        <v>#N/A</v>
      </c>
      <c r="E33" s="1" t="str">
        <f t="array" ref="E33">IF(ISBLANK(XLOOKUP(E$3,daily_items,XLOOKUP($C33,daily_dates,big_daily_table))),NA(),XLOOKUP(E$3,daily_items,XLOOKUP($C33,daily_dates,big_daily_table)))</f>
        <v>#N/A</v>
      </c>
    </row>
    <row r="34" ht="14.25" customHeight="1">
      <c r="B34" s="7">
        <v>40939.0</v>
      </c>
      <c r="C34" s="7">
        <f t="shared" si="1"/>
        <v>40937</v>
      </c>
      <c r="D34" s="1" t="str">
        <f t="array" ref="D34">IF(ISBLANK(XLOOKUP(D$3,daily_items,XLOOKUP($C34,daily_dates,big_daily_table))),NA(),XLOOKUP(D$3,daily_items,XLOOKUP($C34,daily_dates,big_daily_table)))</f>
        <v>#N/A</v>
      </c>
      <c r="E34" s="1" t="str">
        <f t="array" ref="E34">IF(ISBLANK(XLOOKUP(E$3,daily_items,XLOOKUP($C34,daily_dates,big_daily_table))),NA(),XLOOKUP(E$3,daily_items,XLOOKUP($C34,daily_dates,big_daily_table)))</f>
        <v>#N/A</v>
      </c>
    </row>
    <row r="35" ht="14.25" customHeight="1">
      <c r="B35" s="7">
        <v>40940.0</v>
      </c>
      <c r="C35" s="7">
        <f t="shared" si="1"/>
        <v>40937</v>
      </c>
      <c r="D35" s="1" t="str">
        <f t="array" ref="D35">IF(ISBLANK(XLOOKUP(D$3,daily_items,XLOOKUP($C35,daily_dates,big_daily_table))),NA(),XLOOKUP(D$3,daily_items,XLOOKUP($C35,daily_dates,big_daily_table)))</f>
        <v>#N/A</v>
      </c>
      <c r="E35" s="1" t="str">
        <f t="array" ref="E35">IF(ISBLANK(XLOOKUP(E$3,daily_items,XLOOKUP($C35,daily_dates,big_daily_table))),NA(),XLOOKUP(E$3,daily_items,XLOOKUP($C35,daily_dates,big_daily_table)))</f>
        <v>#N/A</v>
      </c>
    </row>
    <row r="36" ht="14.25" customHeight="1">
      <c r="B36" s="7">
        <v>40941.0</v>
      </c>
      <c r="C36" s="7">
        <f t="shared" si="1"/>
        <v>40937</v>
      </c>
      <c r="D36" s="1" t="str">
        <f t="array" ref="D36">IF(ISBLANK(XLOOKUP(D$3,daily_items,XLOOKUP($C36,daily_dates,big_daily_table))),NA(),XLOOKUP(D$3,daily_items,XLOOKUP($C36,daily_dates,big_daily_table)))</f>
        <v>#N/A</v>
      </c>
      <c r="E36" s="1" t="str">
        <f t="array" ref="E36">IF(ISBLANK(XLOOKUP(E$3,daily_items,XLOOKUP($C36,daily_dates,big_daily_table))),NA(),XLOOKUP(E$3,daily_items,XLOOKUP($C36,daily_dates,big_daily_table)))</f>
        <v>#N/A</v>
      </c>
    </row>
    <row r="37" ht="14.25" customHeight="1">
      <c r="B37" s="7">
        <v>40942.0</v>
      </c>
      <c r="C37" s="7">
        <f t="shared" si="1"/>
        <v>40937</v>
      </c>
      <c r="D37" s="1" t="str">
        <f t="array" ref="D37">IF(ISBLANK(XLOOKUP(D$3,daily_items,XLOOKUP($C37,daily_dates,big_daily_table))),NA(),XLOOKUP(D$3,daily_items,XLOOKUP($C37,daily_dates,big_daily_table)))</f>
        <v>#N/A</v>
      </c>
      <c r="E37" s="1" t="str">
        <f t="array" ref="E37">IF(ISBLANK(XLOOKUP(E$3,daily_items,XLOOKUP($C37,daily_dates,big_daily_table))),NA(),XLOOKUP(E$3,daily_items,XLOOKUP($C37,daily_dates,big_daily_table)))</f>
        <v>#N/A</v>
      </c>
    </row>
    <row r="38" ht="14.25" customHeight="1">
      <c r="B38" s="7">
        <v>40943.0</v>
      </c>
      <c r="C38" s="7">
        <f t="shared" si="1"/>
        <v>40937</v>
      </c>
      <c r="D38" s="1" t="str">
        <f t="array" ref="D38">IF(ISBLANK(XLOOKUP(D$3,daily_items,XLOOKUP($C38,daily_dates,big_daily_table))),NA(),XLOOKUP(D$3,daily_items,XLOOKUP($C38,daily_dates,big_daily_table)))</f>
        <v>#N/A</v>
      </c>
      <c r="E38" s="1" t="str">
        <f t="array" ref="E38">IF(ISBLANK(XLOOKUP(E$3,daily_items,XLOOKUP($C38,daily_dates,big_daily_table))),NA(),XLOOKUP(E$3,daily_items,XLOOKUP($C38,daily_dates,big_daily_table)))</f>
        <v>#N/A</v>
      </c>
    </row>
    <row r="39" ht="14.25" customHeight="1">
      <c r="B39" s="7">
        <v>40944.0</v>
      </c>
      <c r="C39" s="7">
        <f t="shared" si="1"/>
        <v>40944</v>
      </c>
      <c r="D39" s="1" t="str">
        <f t="array" ref="D39">IF(ISBLANK(XLOOKUP(D$3,daily_items,XLOOKUP($C39,daily_dates,big_daily_table))),NA(),XLOOKUP(D$3,daily_items,XLOOKUP($C39,daily_dates,big_daily_table)))</f>
        <v>#N/A</v>
      </c>
      <c r="E39" s="1" t="str">
        <f t="array" ref="E39">IF(ISBLANK(XLOOKUP(E$3,daily_items,XLOOKUP($C39,daily_dates,big_daily_table))),NA(),XLOOKUP(E$3,daily_items,XLOOKUP($C39,daily_dates,big_daily_table)))</f>
        <v>#N/A</v>
      </c>
    </row>
    <row r="40" ht="14.25" customHeight="1">
      <c r="B40" s="7">
        <v>40945.0</v>
      </c>
      <c r="C40" s="7">
        <f t="shared" si="1"/>
        <v>40944</v>
      </c>
      <c r="D40" s="1" t="str">
        <f t="array" ref="D40">IF(ISBLANK(XLOOKUP(D$3,daily_items,XLOOKUP($C40,daily_dates,big_daily_table))),NA(),XLOOKUP(D$3,daily_items,XLOOKUP($C40,daily_dates,big_daily_table)))</f>
        <v>#N/A</v>
      </c>
      <c r="E40" s="1" t="str">
        <f t="array" ref="E40">IF(ISBLANK(XLOOKUP(E$3,daily_items,XLOOKUP($C40,daily_dates,big_daily_table))),NA(),XLOOKUP(E$3,daily_items,XLOOKUP($C40,daily_dates,big_daily_table)))</f>
        <v>#N/A</v>
      </c>
    </row>
    <row r="41" ht="14.25" customHeight="1">
      <c r="B41" s="7">
        <v>40946.0</v>
      </c>
      <c r="C41" s="7">
        <f t="shared" si="1"/>
        <v>40944</v>
      </c>
      <c r="D41" s="1" t="str">
        <f t="array" ref="D41">IF(ISBLANK(XLOOKUP(D$3,daily_items,XLOOKUP($C41,daily_dates,big_daily_table))),NA(),XLOOKUP(D$3,daily_items,XLOOKUP($C41,daily_dates,big_daily_table)))</f>
        <v>#N/A</v>
      </c>
      <c r="E41" s="1" t="str">
        <f t="array" ref="E41">IF(ISBLANK(XLOOKUP(E$3,daily_items,XLOOKUP($C41,daily_dates,big_daily_table))),NA(),XLOOKUP(E$3,daily_items,XLOOKUP($C41,daily_dates,big_daily_table)))</f>
        <v>#N/A</v>
      </c>
    </row>
    <row r="42" ht="14.25" customHeight="1">
      <c r="B42" s="7">
        <v>40947.0</v>
      </c>
      <c r="C42" s="7">
        <f t="shared" si="1"/>
        <v>40944</v>
      </c>
      <c r="D42" s="1" t="str">
        <f t="array" ref="D42">IF(ISBLANK(XLOOKUP(D$3,daily_items,XLOOKUP($C42,daily_dates,big_daily_table))),NA(),XLOOKUP(D$3,daily_items,XLOOKUP($C42,daily_dates,big_daily_table)))</f>
        <v>#N/A</v>
      </c>
      <c r="E42" s="1" t="str">
        <f t="array" ref="E42">IF(ISBLANK(XLOOKUP(E$3,daily_items,XLOOKUP($C42,daily_dates,big_daily_table))),NA(),XLOOKUP(E$3,daily_items,XLOOKUP($C42,daily_dates,big_daily_table)))</f>
        <v>#N/A</v>
      </c>
    </row>
    <row r="43" ht="14.25" customHeight="1">
      <c r="B43" s="7">
        <v>40948.0</v>
      </c>
      <c r="C43" s="7">
        <f t="shared" si="1"/>
        <v>40944</v>
      </c>
      <c r="D43" s="1" t="str">
        <f t="array" ref="D43">IF(ISBLANK(XLOOKUP(D$3,daily_items,XLOOKUP($C43,daily_dates,big_daily_table))),NA(),XLOOKUP(D$3,daily_items,XLOOKUP($C43,daily_dates,big_daily_table)))</f>
        <v>#N/A</v>
      </c>
      <c r="E43" s="1" t="str">
        <f t="array" ref="E43">IF(ISBLANK(XLOOKUP(E$3,daily_items,XLOOKUP($C43,daily_dates,big_daily_table))),NA(),XLOOKUP(E$3,daily_items,XLOOKUP($C43,daily_dates,big_daily_table)))</f>
        <v>#N/A</v>
      </c>
    </row>
    <row r="44" ht="14.25" customHeight="1">
      <c r="B44" s="7">
        <v>40949.0</v>
      </c>
      <c r="C44" s="7">
        <f t="shared" si="1"/>
        <v>40944</v>
      </c>
      <c r="D44" s="1" t="str">
        <f t="array" ref="D44">IF(ISBLANK(XLOOKUP(D$3,daily_items,XLOOKUP($C44,daily_dates,big_daily_table))),NA(),XLOOKUP(D$3,daily_items,XLOOKUP($C44,daily_dates,big_daily_table)))</f>
        <v>#N/A</v>
      </c>
      <c r="E44" s="1" t="str">
        <f t="array" ref="E44">IF(ISBLANK(XLOOKUP(E$3,daily_items,XLOOKUP($C44,daily_dates,big_daily_table))),NA(),XLOOKUP(E$3,daily_items,XLOOKUP($C44,daily_dates,big_daily_table)))</f>
        <v>#N/A</v>
      </c>
    </row>
    <row r="45" ht="14.25" customHeight="1">
      <c r="B45" s="7">
        <v>40950.0</v>
      </c>
      <c r="C45" s="7">
        <f t="shared" si="1"/>
        <v>40944</v>
      </c>
      <c r="D45" s="1" t="str">
        <f t="array" ref="D45">IF(ISBLANK(XLOOKUP(D$3,daily_items,XLOOKUP($C45,daily_dates,big_daily_table))),NA(),XLOOKUP(D$3,daily_items,XLOOKUP($C45,daily_dates,big_daily_table)))</f>
        <v>#N/A</v>
      </c>
      <c r="E45" s="1" t="str">
        <f t="array" ref="E45">IF(ISBLANK(XLOOKUP(E$3,daily_items,XLOOKUP($C45,daily_dates,big_daily_table))),NA(),XLOOKUP(E$3,daily_items,XLOOKUP($C45,daily_dates,big_daily_table)))</f>
        <v>#N/A</v>
      </c>
    </row>
    <row r="46" ht="14.25" customHeight="1">
      <c r="B46" s="7">
        <v>40951.0</v>
      </c>
      <c r="C46" s="7">
        <f t="shared" si="1"/>
        <v>40951</v>
      </c>
      <c r="D46" s="1" t="str">
        <f t="array" ref="D46">IF(ISBLANK(XLOOKUP(D$3,daily_items,XLOOKUP($C46,daily_dates,big_daily_table))),NA(),XLOOKUP(D$3,daily_items,XLOOKUP($C46,daily_dates,big_daily_table)))</f>
        <v>#N/A</v>
      </c>
      <c r="E46" s="1" t="str">
        <f t="array" ref="E46">IF(ISBLANK(XLOOKUP(E$3,daily_items,XLOOKUP($C46,daily_dates,big_daily_table))),NA(),XLOOKUP(E$3,daily_items,XLOOKUP($C46,daily_dates,big_daily_table)))</f>
        <v>#N/A</v>
      </c>
    </row>
    <row r="47" ht="14.25" customHeight="1">
      <c r="B47" s="7">
        <v>40952.0</v>
      </c>
      <c r="C47" s="7">
        <f t="shared" si="1"/>
        <v>40951</v>
      </c>
      <c r="D47" s="1" t="str">
        <f t="array" ref="D47">IF(ISBLANK(XLOOKUP(D$3,daily_items,XLOOKUP($C47,daily_dates,big_daily_table))),NA(),XLOOKUP(D$3,daily_items,XLOOKUP($C47,daily_dates,big_daily_table)))</f>
        <v>#N/A</v>
      </c>
      <c r="E47" s="1" t="str">
        <f t="array" ref="E47">IF(ISBLANK(XLOOKUP(E$3,daily_items,XLOOKUP($C47,daily_dates,big_daily_table))),NA(),XLOOKUP(E$3,daily_items,XLOOKUP($C47,daily_dates,big_daily_table)))</f>
        <v>#N/A</v>
      </c>
    </row>
    <row r="48" ht="14.25" customHeight="1">
      <c r="B48" s="7">
        <v>40953.0</v>
      </c>
      <c r="C48" s="7">
        <f t="shared" si="1"/>
        <v>40951</v>
      </c>
      <c r="D48" s="1" t="str">
        <f t="array" ref="D48">IF(ISBLANK(XLOOKUP(D$3,daily_items,XLOOKUP($C48,daily_dates,big_daily_table))),NA(),XLOOKUP(D$3,daily_items,XLOOKUP($C48,daily_dates,big_daily_table)))</f>
        <v>#N/A</v>
      </c>
      <c r="E48" s="1" t="str">
        <f t="array" ref="E48">IF(ISBLANK(XLOOKUP(E$3,daily_items,XLOOKUP($C48,daily_dates,big_daily_table))),NA(),XLOOKUP(E$3,daily_items,XLOOKUP($C48,daily_dates,big_daily_table)))</f>
        <v>#N/A</v>
      </c>
    </row>
    <row r="49" ht="14.25" customHeight="1">
      <c r="B49" s="7">
        <v>40954.0</v>
      </c>
      <c r="C49" s="7">
        <f t="shared" si="1"/>
        <v>40951</v>
      </c>
      <c r="D49" s="1" t="str">
        <f t="array" ref="D49">IF(ISBLANK(XLOOKUP(D$3,daily_items,XLOOKUP($C49,daily_dates,big_daily_table))),NA(),XLOOKUP(D$3,daily_items,XLOOKUP($C49,daily_dates,big_daily_table)))</f>
        <v>#N/A</v>
      </c>
      <c r="E49" s="1" t="str">
        <f t="array" ref="E49">IF(ISBLANK(XLOOKUP(E$3,daily_items,XLOOKUP($C49,daily_dates,big_daily_table))),NA(),XLOOKUP(E$3,daily_items,XLOOKUP($C49,daily_dates,big_daily_table)))</f>
        <v>#N/A</v>
      </c>
    </row>
    <row r="50" ht="14.25" customHeight="1">
      <c r="B50" s="7">
        <v>40955.0</v>
      </c>
      <c r="C50" s="7">
        <f t="shared" si="1"/>
        <v>40951</v>
      </c>
      <c r="D50" s="1" t="str">
        <f t="array" ref="D50">IF(ISBLANK(XLOOKUP(D$3,daily_items,XLOOKUP($C50,daily_dates,big_daily_table))),NA(),XLOOKUP(D$3,daily_items,XLOOKUP($C50,daily_dates,big_daily_table)))</f>
        <v>#N/A</v>
      </c>
      <c r="E50" s="1" t="str">
        <f t="array" ref="E50">IF(ISBLANK(XLOOKUP(E$3,daily_items,XLOOKUP($C50,daily_dates,big_daily_table))),NA(),XLOOKUP(E$3,daily_items,XLOOKUP($C50,daily_dates,big_daily_table)))</f>
        <v>#N/A</v>
      </c>
    </row>
    <row r="51" ht="14.25" customHeight="1">
      <c r="B51" s="7">
        <v>40956.0</v>
      </c>
      <c r="C51" s="7">
        <f t="shared" si="1"/>
        <v>40951</v>
      </c>
      <c r="D51" s="1" t="str">
        <f t="array" ref="D51">IF(ISBLANK(XLOOKUP(D$3,daily_items,XLOOKUP($C51,daily_dates,big_daily_table))),NA(),XLOOKUP(D$3,daily_items,XLOOKUP($C51,daily_dates,big_daily_table)))</f>
        <v>#N/A</v>
      </c>
      <c r="E51" s="1" t="str">
        <f t="array" ref="E51">IF(ISBLANK(XLOOKUP(E$3,daily_items,XLOOKUP($C51,daily_dates,big_daily_table))),NA(),XLOOKUP(E$3,daily_items,XLOOKUP($C51,daily_dates,big_daily_table)))</f>
        <v>#N/A</v>
      </c>
    </row>
    <row r="52" ht="14.25" customHeight="1">
      <c r="B52" s="7">
        <v>40957.0</v>
      </c>
      <c r="C52" s="7">
        <f t="shared" si="1"/>
        <v>40951</v>
      </c>
      <c r="D52" s="1" t="str">
        <f t="array" ref="D52">IF(ISBLANK(XLOOKUP(D$3,daily_items,XLOOKUP($C52,daily_dates,big_daily_table))),NA(),XLOOKUP(D$3,daily_items,XLOOKUP($C52,daily_dates,big_daily_table)))</f>
        <v>#N/A</v>
      </c>
      <c r="E52" s="1" t="str">
        <f t="array" ref="E52">IF(ISBLANK(XLOOKUP(E$3,daily_items,XLOOKUP($C52,daily_dates,big_daily_table))),NA(),XLOOKUP(E$3,daily_items,XLOOKUP($C52,daily_dates,big_daily_table)))</f>
        <v>#N/A</v>
      </c>
    </row>
    <row r="53" ht="14.25" customHeight="1">
      <c r="B53" s="7">
        <v>40958.0</v>
      </c>
      <c r="C53" s="7">
        <f t="shared" si="1"/>
        <v>40958</v>
      </c>
      <c r="D53" s="1" t="str">
        <f t="array" ref="D53">IF(ISBLANK(XLOOKUP(D$3,daily_items,XLOOKUP($C53,daily_dates,big_daily_table))),NA(),XLOOKUP(D$3,daily_items,XLOOKUP($C53,daily_dates,big_daily_table)))</f>
        <v>#N/A</v>
      </c>
      <c r="E53" s="1" t="str">
        <f t="array" ref="E53">IF(ISBLANK(XLOOKUP(E$3,daily_items,XLOOKUP($C53,daily_dates,big_daily_table))),NA(),XLOOKUP(E$3,daily_items,XLOOKUP($C53,daily_dates,big_daily_table)))</f>
        <v>#N/A</v>
      </c>
    </row>
    <row r="54" ht="14.25" customHeight="1">
      <c r="B54" s="7">
        <v>40959.0</v>
      </c>
      <c r="C54" s="7">
        <f t="shared" si="1"/>
        <v>40958</v>
      </c>
      <c r="D54" s="1" t="str">
        <f t="array" ref="D54">IF(ISBLANK(XLOOKUP(D$3,daily_items,XLOOKUP($C54,daily_dates,big_daily_table))),NA(),XLOOKUP(D$3,daily_items,XLOOKUP($C54,daily_dates,big_daily_table)))</f>
        <v>#N/A</v>
      </c>
      <c r="E54" s="1" t="str">
        <f t="array" ref="E54">IF(ISBLANK(XLOOKUP(E$3,daily_items,XLOOKUP($C54,daily_dates,big_daily_table))),NA(),XLOOKUP(E$3,daily_items,XLOOKUP($C54,daily_dates,big_daily_table)))</f>
        <v>#N/A</v>
      </c>
    </row>
    <row r="55" ht="14.25" customHeight="1">
      <c r="B55" s="7">
        <v>40960.0</v>
      </c>
      <c r="C55" s="7">
        <f t="shared" si="1"/>
        <v>40958</v>
      </c>
      <c r="D55" s="1" t="str">
        <f t="array" ref="D55">IF(ISBLANK(XLOOKUP(D$3,daily_items,XLOOKUP($C55,daily_dates,big_daily_table))),NA(),XLOOKUP(D$3,daily_items,XLOOKUP($C55,daily_dates,big_daily_table)))</f>
        <v>#N/A</v>
      </c>
      <c r="E55" s="1" t="str">
        <f t="array" ref="E55">IF(ISBLANK(XLOOKUP(E$3,daily_items,XLOOKUP($C55,daily_dates,big_daily_table))),NA(),XLOOKUP(E$3,daily_items,XLOOKUP($C55,daily_dates,big_daily_table)))</f>
        <v>#N/A</v>
      </c>
    </row>
    <row r="56" ht="14.25" customHeight="1">
      <c r="B56" s="7">
        <v>40961.0</v>
      </c>
      <c r="C56" s="7">
        <f t="shared" si="1"/>
        <v>40958</v>
      </c>
      <c r="D56" s="1" t="str">
        <f t="array" ref="D56">IF(ISBLANK(XLOOKUP(D$3,daily_items,XLOOKUP($C56,daily_dates,big_daily_table))),NA(),XLOOKUP(D$3,daily_items,XLOOKUP($C56,daily_dates,big_daily_table)))</f>
        <v>#N/A</v>
      </c>
      <c r="E56" s="1" t="str">
        <f t="array" ref="E56">IF(ISBLANK(XLOOKUP(E$3,daily_items,XLOOKUP($C56,daily_dates,big_daily_table))),NA(),XLOOKUP(E$3,daily_items,XLOOKUP($C56,daily_dates,big_daily_table)))</f>
        <v>#N/A</v>
      </c>
    </row>
    <row r="57" ht="14.25" customHeight="1">
      <c r="B57" s="7">
        <v>40962.0</v>
      </c>
      <c r="C57" s="7">
        <f t="shared" si="1"/>
        <v>40958</v>
      </c>
      <c r="D57" s="1" t="str">
        <f t="array" ref="D57">IF(ISBLANK(XLOOKUP(D$3,daily_items,XLOOKUP($C57,daily_dates,big_daily_table))),NA(),XLOOKUP(D$3,daily_items,XLOOKUP($C57,daily_dates,big_daily_table)))</f>
        <v>#N/A</v>
      </c>
      <c r="E57" s="1" t="str">
        <f t="array" ref="E57">IF(ISBLANK(XLOOKUP(E$3,daily_items,XLOOKUP($C57,daily_dates,big_daily_table))),NA(),XLOOKUP(E$3,daily_items,XLOOKUP($C57,daily_dates,big_daily_table)))</f>
        <v>#N/A</v>
      </c>
    </row>
    <row r="58" ht="14.25" customHeight="1">
      <c r="B58" s="7">
        <v>40963.0</v>
      </c>
      <c r="C58" s="7">
        <f t="shared" si="1"/>
        <v>40958</v>
      </c>
      <c r="D58" s="1" t="str">
        <f t="array" ref="D58">IF(ISBLANK(XLOOKUP(D$3,daily_items,XLOOKUP($C58,daily_dates,big_daily_table))),NA(),XLOOKUP(D$3,daily_items,XLOOKUP($C58,daily_dates,big_daily_table)))</f>
        <v>#N/A</v>
      </c>
      <c r="E58" s="1" t="str">
        <f t="array" ref="E58">IF(ISBLANK(XLOOKUP(E$3,daily_items,XLOOKUP($C58,daily_dates,big_daily_table))),NA(),XLOOKUP(E$3,daily_items,XLOOKUP($C58,daily_dates,big_daily_table)))</f>
        <v>#N/A</v>
      </c>
    </row>
    <row r="59" ht="14.25" customHeight="1">
      <c r="B59" s="7">
        <v>40964.0</v>
      </c>
      <c r="C59" s="7">
        <f t="shared" si="1"/>
        <v>40958</v>
      </c>
      <c r="D59" s="1" t="str">
        <f t="array" ref="D59">IF(ISBLANK(XLOOKUP(D$3,daily_items,XLOOKUP($C59,daily_dates,big_daily_table))),NA(),XLOOKUP(D$3,daily_items,XLOOKUP($C59,daily_dates,big_daily_table)))</f>
        <v>#N/A</v>
      </c>
      <c r="E59" s="1" t="str">
        <f t="array" ref="E59">IF(ISBLANK(XLOOKUP(E$3,daily_items,XLOOKUP($C59,daily_dates,big_daily_table))),NA(),XLOOKUP(E$3,daily_items,XLOOKUP($C59,daily_dates,big_daily_table)))</f>
        <v>#N/A</v>
      </c>
    </row>
    <row r="60" ht="14.25" customHeight="1">
      <c r="B60" s="7">
        <v>40965.0</v>
      </c>
      <c r="C60" s="7">
        <f t="shared" si="1"/>
        <v>40965</v>
      </c>
      <c r="D60" s="1" t="str">
        <f t="array" ref="D60">IF(ISBLANK(XLOOKUP(D$3,daily_items,XLOOKUP($C60,daily_dates,big_daily_table))),NA(),XLOOKUP(D$3,daily_items,XLOOKUP($C60,daily_dates,big_daily_table)))</f>
        <v>#N/A</v>
      </c>
      <c r="E60" s="1" t="str">
        <f t="array" ref="E60">IF(ISBLANK(XLOOKUP(E$3,daily_items,XLOOKUP($C60,daily_dates,big_daily_table))),NA(),XLOOKUP(E$3,daily_items,XLOOKUP($C60,daily_dates,big_daily_table)))</f>
        <v>#N/A</v>
      </c>
    </row>
    <row r="61" ht="14.25" customHeight="1">
      <c r="B61" s="7">
        <v>40966.0</v>
      </c>
      <c r="C61" s="7">
        <f t="shared" si="1"/>
        <v>40965</v>
      </c>
      <c r="D61" s="1" t="str">
        <f t="array" ref="D61">IF(ISBLANK(XLOOKUP(D$3,daily_items,XLOOKUP($C61,daily_dates,big_daily_table))),NA(),XLOOKUP(D$3,daily_items,XLOOKUP($C61,daily_dates,big_daily_table)))</f>
        <v>#N/A</v>
      </c>
      <c r="E61" s="1" t="str">
        <f t="array" ref="E61">IF(ISBLANK(XLOOKUP(E$3,daily_items,XLOOKUP($C61,daily_dates,big_daily_table))),NA(),XLOOKUP(E$3,daily_items,XLOOKUP($C61,daily_dates,big_daily_table)))</f>
        <v>#N/A</v>
      </c>
    </row>
    <row r="62" ht="14.25" customHeight="1">
      <c r="B62" s="7">
        <v>40967.0</v>
      </c>
      <c r="C62" s="7">
        <f t="shared" si="1"/>
        <v>40965</v>
      </c>
      <c r="D62" s="1" t="str">
        <f t="array" ref="D62">IF(ISBLANK(XLOOKUP(D$3,daily_items,XLOOKUP($C62,daily_dates,big_daily_table))),NA(),XLOOKUP(D$3,daily_items,XLOOKUP($C62,daily_dates,big_daily_table)))</f>
        <v>#N/A</v>
      </c>
      <c r="E62" s="1" t="str">
        <f t="array" ref="E62">IF(ISBLANK(XLOOKUP(E$3,daily_items,XLOOKUP($C62,daily_dates,big_daily_table))),NA(),XLOOKUP(E$3,daily_items,XLOOKUP($C62,daily_dates,big_daily_table)))</f>
        <v>#N/A</v>
      </c>
    </row>
    <row r="63" ht="14.25" customHeight="1">
      <c r="B63" s="7">
        <v>40968.0</v>
      </c>
      <c r="C63" s="7">
        <f t="shared" si="1"/>
        <v>40965</v>
      </c>
      <c r="D63" s="1" t="str">
        <f t="array" ref="D63">IF(ISBLANK(XLOOKUP(D$3,daily_items,XLOOKUP($C63,daily_dates,big_daily_table))),NA(),XLOOKUP(D$3,daily_items,XLOOKUP($C63,daily_dates,big_daily_table)))</f>
        <v>#N/A</v>
      </c>
      <c r="E63" s="1" t="str">
        <f t="array" ref="E63">IF(ISBLANK(XLOOKUP(E$3,daily_items,XLOOKUP($C63,daily_dates,big_daily_table))),NA(),XLOOKUP(E$3,daily_items,XLOOKUP($C63,daily_dates,big_daily_table)))</f>
        <v>#N/A</v>
      </c>
    </row>
    <row r="64" ht="14.25" customHeight="1">
      <c r="B64" s="7">
        <v>40969.0</v>
      </c>
      <c r="C64" s="7">
        <f t="shared" si="1"/>
        <v>40965</v>
      </c>
      <c r="D64" s="1" t="str">
        <f t="array" ref="D64">IF(ISBLANK(XLOOKUP(D$3,daily_items,XLOOKUP($C64,daily_dates,big_daily_table))),NA(),XLOOKUP(D$3,daily_items,XLOOKUP($C64,daily_dates,big_daily_table)))</f>
        <v>#N/A</v>
      </c>
      <c r="E64" s="1" t="str">
        <f t="array" ref="E64">IF(ISBLANK(XLOOKUP(E$3,daily_items,XLOOKUP($C64,daily_dates,big_daily_table))),NA(),XLOOKUP(E$3,daily_items,XLOOKUP($C64,daily_dates,big_daily_table)))</f>
        <v>#N/A</v>
      </c>
    </row>
    <row r="65" ht="14.25" customHeight="1">
      <c r="B65" s="7">
        <v>40970.0</v>
      </c>
      <c r="C65" s="7">
        <f t="shared" si="1"/>
        <v>40965</v>
      </c>
      <c r="D65" s="1" t="str">
        <f t="array" ref="D65">IF(ISBLANK(XLOOKUP(D$3,daily_items,XLOOKUP($C65,daily_dates,big_daily_table))),NA(),XLOOKUP(D$3,daily_items,XLOOKUP($C65,daily_dates,big_daily_table)))</f>
        <v>#N/A</v>
      </c>
      <c r="E65" s="1" t="str">
        <f t="array" ref="E65">IF(ISBLANK(XLOOKUP(E$3,daily_items,XLOOKUP($C65,daily_dates,big_daily_table))),NA(),XLOOKUP(E$3,daily_items,XLOOKUP($C65,daily_dates,big_daily_table)))</f>
        <v>#N/A</v>
      </c>
    </row>
    <row r="66" ht="14.25" customHeight="1">
      <c r="B66" s="7">
        <v>40971.0</v>
      </c>
      <c r="C66" s="7">
        <f t="shared" si="1"/>
        <v>40965</v>
      </c>
      <c r="D66" s="1" t="str">
        <f t="array" ref="D66">IF(ISBLANK(XLOOKUP(D$3,daily_items,XLOOKUP($C66,daily_dates,big_daily_table))),NA(),XLOOKUP(D$3,daily_items,XLOOKUP($C66,daily_dates,big_daily_table)))</f>
        <v>#N/A</v>
      </c>
      <c r="E66" s="1" t="str">
        <f t="array" ref="E66">IF(ISBLANK(XLOOKUP(E$3,daily_items,XLOOKUP($C66,daily_dates,big_daily_table))),NA(),XLOOKUP(E$3,daily_items,XLOOKUP($C66,daily_dates,big_daily_table)))</f>
        <v>#N/A</v>
      </c>
    </row>
    <row r="67" ht="14.25" customHeight="1">
      <c r="B67" s="7">
        <v>40972.0</v>
      </c>
      <c r="C67" s="7">
        <f t="shared" si="1"/>
        <v>40972</v>
      </c>
      <c r="D67" s="1" t="str">
        <f t="array" ref="D67">IF(ISBLANK(XLOOKUP(D$3,daily_items,XLOOKUP($C67,daily_dates,big_daily_table))),NA(),XLOOKUP(D$3,daily_items,XLOOKUP($C67,daily_dates,big_daily_table)))</f>
        <v>#N/A</v>
      </c>
      <c r="E67" s="1" t="str">
        <f t="array" ref="E67">IF(ISBLANK(XLOOKUP(E$3,daily_items,XLOOKUP($C67,daily_dates,big_daily_table))),NA(),XLOOKUP(E$3,daily_items,XLOOKUP($C67,daily_dates,big_daily_table)))</f>
        <v>#N/A</v>
      </c>
    </row>
    <row r="68" ht="14.25" customHeight="1">
      <c r="B68" s="7">
        <v>40973.0</v>
      </c>
      <c r="C68" s="7">
        <f t="shared" si="1"/>
        <v>40972</v>
      </c>
      <c r="D68" s="1" t="str">
        <f t="array" ref="D68">IF(ISBLANK(XLOOKUP(D$3,daily_items,XLOOKUP($C68,daily_dates,big_daily_table))),NA(),XLOOKUP(D$3,daily_items,XLOOKUP($C68,daily_dates,big_daily_table)))</f>
        <v>#N/A</v>
      </c>
      <c r="E68" s="1" t="str">
        <f t="array" ref="E68">IF(ISBLANK(XLOOKUP(E$3,daily_items,XLOOKUP($C68,daily_dates,big_daily_table))),NA(),XLOOKUP(E$3,daily_items,XLOOKUP($C68,daily_dates,big_daily_table)))</f>
        <v>#N/A</v>
      </c>
    </row>
    <row r="69" ht="14.25" customHeight="1">
      <c r="B69" s="7">
        <v>40974.0</v>
      </c>
      <c r="C69" s="7">
        <f t="shared" si="1"/>
        <v>40972</v>
      </c>
      <c r="D69" s="1" t="str">
        <f t="array" ref="D69">IF(ISBLANK(XLOOKUP(D$3,daily_items,XLOOKUP($C69,daily_dates,big_daily_table))),NA(),XLOOKUP(D$3,daily_items,XLOOKUP($C69,daily_dates,big_daily_table)))</f>
        <v>#N/A</v>
      </c>
      <c r="E69" s="1" t="str">
        <f t="array" ref="E69">IF(ISBLANK(XLOOKUP(E$3,daily_items,XLOOKUP($C69,daily_dates,big_daily_table))),NA(),XLOOKUP(E$3,daily_items,XLOOKUP($C69,daily_dates,big_daily_table)))</f>
        <v>#N/A</v>
      </c>
    </row>
    <row r="70" ht="14.25" customHeight="1">
      <c r="B70" s="7">
        <v>40975.0</v>
      </c>
      <c r="C70" s="7">
        <f t="shared" si="1"/>
        <v>40972</v>
      </c>
      <c r="D70" s="1" t="str">
        <f t="array" ref="D70">IF(ISBLANK(XLOOKUP(D$3,daily_items,XLOOKUP($C70,daily_dates,big_daily_table))),NA(),XLOOKUP(D$3,daily_items,XLOOKUP($C70,daily_dates,big_daily_table)))</f>
        <v>#N/A</v>
      </c>
      <c r="E70" s="1" t="str">
        <f t="array" ref="E70">IF(ISBLANK(XLOOKUP(E$3,daily_items,XLOOKUP($C70,daily_dates,big_daily_table))),NA(),XLOOKUP(E$3,daily_items,XLOOKUP($C70,daily_dates,big_daily_table)))</f>
        <v>#N/A</v>
      </c>
    </row>
    <row r="71" ht="14.25" customHeight="1">
      <c r="B71" s="7">
        <v>40976.0</v>
      </c>
      <c r="C71" s="7">
        <f t="shared" si="1"/>
        <v>40972</v>
      </c>
      <c r="D71" s="1" t="str">
        <f t="array" ref="D71">IF(ISBLANK(XLOOKUP(D$3,daily_items,XLOOKUP($C71,daily_dates,big_daily_table))),NA(),XLOOKUP(D$3,daily_items,XLOOKUP($C71,daily_dates,big_daily_table)))</f>
        <v>#N/A</v>
      </c>
      <c r="E71" s="1" t="str">
        <f t="array" ref="E71">IF(ISBLANK(XLOOKUP(E$3,daily_items,XLOOKUP($C71,daily_dates,big_daily_table))),NA(),XLOOKUP(E$3,daily_items,XLOOKUP($C71,daily_dates,big_daily_table)))</f>
        <v>#N/A</v>
      </c>
    </row>
    <row r="72" ht="14.25" customHeight="1">
      <c r="B72" s="7">
        <v>40977.0</v>
      </c>
      <c r="C72" s="7">
        <f t="shared" si="1"/>
        <v>40972</v>
      </c>
      <c r="D72" s="1" t="str">
        <f t="array" ref="D72">IF(ISBLANK(XLOOKUP(D$3,daily_items,XLOOKUP($C72,daily_dates,big_daily_table))),NA(),XLOOKUP(D$3,daily_items,XLOOKUP($C72,daily_dates,big_daily_table)))</f>
        <v>#N/A</v>
      </c>
      <c r="E72" s="1" t="str">
        <f t="array" ref="E72">IF(ISBLANK(XLOOKUP(E$3,daily_items,XLOOKUP($C72,daily_dates,big_daily_table))),NA(),XLOOKUP(E$3,daily_items,XLOOKUP($C72,daily_dates,big_daily_table)))</f>
        <v>#N/A</v>
      </c>
    </row>
    <row r="73" ht="14.25" customHeight="1">
      <c r="B73" s="7">
        <v>40978.0</v>
      </c>
      <c r="C73" s="7">
        <f t="shared" si="1"/>
        <v>40972</v>
      </c>
      <c r="D73" s="1" t="str">
        <f t="array" ref="D73">IF(ISBLANK(XLOOKUP(D$3,daily_items,XLOOKUP($C73,daily_dates,big_daily_table))),NA(),XLOOKUP(D$3,daily_items,XLOOKUP($C73,daily_dates,big_daily_table)))</f>
        <v>#N/A</v>
      </c>
      <c r="E73" s="1" t="str">
        <f t="array" ref="E73">IF(ISBLANK(XLOOKUP(E$3,daily_items,XLOOKUP($C73,daily_dates,big_daily_table))),NA(),XLOOKUP(E$3,daily_items,XLOOKUP($C73,daily_dates,big_daily_table)))</f>
        <v>#N/A</v>
      </c>
    </row>
    <row r="74" ht="14.25" customHeight="1">
      <c r="B74" s="7">
        <v>40979.0</v>
      </c>
      <c r="C74" s="7">
        <f t="shared" si="1"/>
        <v>40979</v>
      </c>
      <c r="D74" s="1" t="str">
        <f t="array" ref="D74">IF(ISBLANK(XLOOKUP(D$3,daily_items,XLOOKUP($C74,daily_dates,big_daily_table))),NA(),XLOOKUP(D$3,daily_items,XLOOKUP($C74,daily_dates,big_daily_table)))</f>
        <v>#N/A</v>
      </c>
      <c r="E74" s="1" t="str">
        <f t="array" ref="E74">IF(ISBLANK(XLOOKUP(E$3,daily_items,XLOOKUP($C74,daily_dates,big_daily_table))),NA(),XLOOKUP(E$3,daily_items,XLOOKUP($C74,daily_dates,big_daily_table)))</f>
        <v>#N/A</v>
      </c>
    </row>
    <row r="75" ht="14.25" customHeight="1">
      <c r="B75" s="7">
        <v>40980.0</v>
      </c>
      <c r="C75" s="7">
        <f t="shared" si="1"/>
        <v>40979</v>
      </c>
      <c r="D75" s="1" t="str">
        <f t="array" ref="D75">IF(ISBLANK(XLOOKUP(D$3,daily_items,XLOOKUP($C75,daily_dates,big_daily_table))),NA(),XLOOKUP(D$3,daily_items,XLOOKUP($C75,daily_dates,big_daily_table)))</f>
        <v>#N/A</v>
      </c>
      <c r="E75" s="1" t="str">
        <f t="array" ref="E75">IF(ISBLANK(XLOOKUP(E$3,daily_items,XLOOKUP($C75,daily_dates,big_daily_table))),NA(),XLOOKUP(E$3,daily_items,XLOOKUP($C75,daily_dates,big_daily_table)))</f>
        <v>#N/A</v>
      </c>
    </row>
    <row r="76" ht="14.25" customHeight="1">
      <c r="B76" s="7">
        <v>40981.0</v>
      </c>
      <c r="C76" s="7">
        <f t="shared" si="1"/>
        <v>40979</v>
      </c>
      <c r="D76" s="1" t="str">
        <f t="array" ref="D76">IF(ISBLANK(XLOOKUP(D$3,daily_items,XLOOKUP($C76,daily_dates,big_daily_table))),NA(),XLOOKUP(D$3,daily_items,XLOOKUP($C76,daily_dates,big_daily_table)))</f>
        <v>#N/A</v>
      </c>
      <c r="E76" s="1" t="str">
        <f t="array" ref="E76">IF(ISBLANK(XLOOKUP(E$3,daily_items,XLOOKUP($C76,daily_dates,big_daily_table))),NA(),XLOOKUP(E$3,daily_items,XLOOKUP($C76,daily_dates,big_daily_table)))</f>
        <v>#N/A</v>
      </c>
    </row>
    <row r="77" ht="14.25" customHeight="1">
      <c r="B77" s="7">
        <v>40982.0</v>
      </c>
      <c r="C77" s="7">
        <f t="shared" si="1"/>
        <v>40979</v>
      </c>
      <c r="D77" s="1" t="str">
        <f t="array" ref="D77">IF(ISBLANK(XLOOKUP(D$3,daily_items,XLOOKUP($C77,daily_dates,big_daily_table))),NA(),XLOOKUP(D$3,daily_items,XLOOKUP($C77,daily_dates,big_daily_table)))</f>
        <v>#N/A</v>
      </c>
      <c r="E77" s="1" t="str">
        <f t="array" ref="E77">IF(ISBLANK(XLOOKUP(E$3,daily_items,XLOOKUP($C77,daily_dates,big_daily_table))),NA(),XLOOKUP(E$3,daily_items,XLOOKUP($C77,daily_dates,big_daily_table)))</f>
        <v>#N/A</v>
      </c>
    </row>
    <row r="78" ht="14.25" customHeight="1">
      <c r="B78" s="7">
        <v>40983.0</v>
      </c>
      <c r="C78" s="7">
        <f t="shared" si="1"/>
        <v>40979</v>
      </c>
      <c r="D78" s="1" t="str">
        <f t="array" ref="D78">IF(ISBLANK(XLOOKUP(D$3,daily_items,XLOOKUP($C78,daily_dates,big_daily_table))),NA(),XLOOKUP(D$3,daily_items,XLOOKUP($C78,daily_dates,big_daily_table)))</f>
        <v>#N/A</v>
      </c>
      <c r="E78" s="1" t="str">
        <f t="array" ref="E78">IF(ISBLANK(XLOOKUP(E$3,daily_items,XLOOKUP($C78,daily_dates,big_daily_table))),NA(),XLOOKUP(E$3,daily_items,XLOOKUP($C78,daily_dates,big_daily_table)))</f>
        <v>#N/A</v>
      </c>
    </row>
    <row r="79" ht="14.25" customHeight="1">
      <c r="B79" s="7">
        <v>40984.0</v>
      </c>
      <c r="C79" s="7">
        <f t="shared" si="1"/>
        <v>40979</v>
      </c>
      <c r="D79" s="1" t="str">
        <f t="array" ref="D79">IF(ISBLANK(XLOOKUP(D$3,daily_items,XLOOKUP($C79,daily_dates,big_daily_table))),NA(),XLOOKUP(D$3,daily_items,XLOOKUP($C79,daily_dates,big_daily_table)))</f>
        <v>#N/A</v>
      </c>
      <c r="E79" s="1" t="str">
        <f t="array" ref="E79">IF(ISBLANK(XLOOKUP(E$3,daily_items,XLOOKUP($C79,daily_dates,big_daily_table))),NA(),XLOOKUP(E$3,daily_items,XLOOKUP($C79,daily_dates,big_daily_table)))</f>
        <v>#N/A</v>
      </c>
    </row>
    <row r="80" ht="14.25" customHeight="1">
      <c r="B80" s="7">
        <v>40985.0</v>
      </c>
      <c r="C80" s="7">
        <f t="shared" si="1"/>
        <v>40979</v>
      </c>
      <c r="D80" s="1" t="str">
        <f t="array" ref="D80">IF(ISBLANK(XLOOKUP(D$3,daily_items,XLOOKUP($C80,daily_dates,big_daily_table))),NA(),XLOOKUP(D$3,daily_items,XLOOKUP($C80,daily_dates,big_daily_table)))</f>
        <v>#N/A</v>
      </c>
      <c r="E80" s="1" t="str">
        <f t="array" ref="E80">IF(ISBLANK(XLOOKUP(E$3,daily_items,XLOOKUP($C80,daily_dates,big_daily_table))),NA(),XLOOKUP(E$3,daily_items,XLOOKUP($C80,daily_dates,big_daily_table)))</f>
        <v>#N/A</v>
      </c>
    </row>
    <row r="81" ht="14.25" customHeight="1">
      <c r="B81" s="7">
        <v>40986.0</v>
      </c>
      <c r="C81" s="7">
        <f t="shared" si="1"/>
        <v>40986</v>
      </c>
      <c r="D81" s="1" t="str">
        <f t="array" ref="D81">IF(ISBLANK(XLOOKUP(D$3,daily_items,XLOOKUP($C81,daily_dates,big_daily_table))),NA(),XLOOKUP(D$3,daily_items,XLOOKUP($C81,daily_dates,big_daily_table)))</f>
        <v>#N/A</v>
      </c>
      <c r="E81" s="1" t="str">
        <f t="array" ref="E81">IF(ISBLANK(XLOOKUP(E$3,daily_items,XLOOKUP($C81,daily_dates,big_daily_table))),NA(),XLOOKUP(E$3,daily_items,XLOOKUP($C81,daily_dates,big_daily_table)))</f>
        <v>#N/A</v>
      </c>
    </row>
    <row r="82" ht="14.25" customHeight="1">
      <c r="B82" s="7">
        <v>40987.0</v>
      </c>
      <c r="C82" s="7">
        <f t="shared" si="1"/>
        <v>40986</v>
      </c>
      <c r="D82" s="1" t="str">
        <f t="array" ref="D82">IF(ISBLANK(XLOOKUP(D$3,daily_items,XLOOKUP($C82,daily_dates,big_daily_table))),NA(),XLOOKUP(D$3,daily_items,XLOOKUP($C82,daily_dates,big_daily_table)))</f>
        <v>#N/A</v>
      </c>
      <c r="E82" s="1" t="str">
        <f t="array" ref="E82">IF(ISBLANK(XLOOKUP(E$3,daily_items,XLOOKUP($C82,daily_dates,big_daily_table))),NA(),XLOOKUP(E$3,daily_items,XLOOKUP($C82,daily_dates,big_daily_table)))</f>
        <v>#N/A</v>
      </c>
    </row>
    <row r="83" ht="14.25" customHeight="1">
      <c r="B83" s="7">
        <v>40988.0</v>
      </c>
      <c r="C83" s="7">
        <f t="shared" si="1"/>
        <v>40986</v>
      </c>
      <c r="D83" s="1" t="str">
        <f t="array" ref="D83">IF(ISBLANK(XLOOKUP(D$3,daily_items,XLOOKUP($C83,daily_dates,big_daily_table))),NA(),XLOOKUP(D$3,daily_items,XLOOKUP($C83,daily_dates,big_daily_table)))</f>
        <v>#N/A</v>
      </c>
      <c r="E83" s="1" t="str">
        <f t="array" ref="E83">IF(ISBLANK(XLOOKUP(E$3,daily_items,XLOOKUP($C83,daily_dates,big_daily_table))),NA(),XLOOKUP(E$3,daily_items,XLOOKUP($C83,daily_dates,big_daily_table)))</f>
        <v>#N/A</v>
      </c>
    </row>
    <row r="84" ht="14.25" customHeight="1">
      <c r="B84" s="7">
        <v>40989.0</v>
      </c>
      <c r="C84" s="7">
        <f t="shared" si="1"/>
        <v>40986</v>
      </c>
      <c r="D84" s="1" t="str">
        <f t="array" ref="D84">IF(ISBLANK(XLOOKUP(D$3,daily_items,XLOOKUP($C84,daily_dates,big_daily_table))),NA(),XLOOKUP(D$3,daily_items,XLOOKUP($C84,daily_dates,big_daily_table)))</f>
        <v>#N/A</v>
      </c>
      <c r="E84" s="1" t="str">
        <f t="array" ref="E84">IF(ISBLANK(XLOOKUP(E$3,daily_items,XLOOKUP($C84,daily_dates,big_daily_table))),NA(),XLOOKUP(E$3,daily_items,XLOOKUP($C84,daily_dates,big_daily_table)))</f>
        <v>#N/A</v>
      </c>
    </row>
    <row r="85" ht="14.25" customHeight="1">
      <c r="B85" s="7">
        <v>40990.0</v>
      </c>
      <c r="C85" s="7">
        <f t="shared" si="1"/>
        <v>40986</v>
      </c>
      <c r="D85" s="1" t="str">
        <f t="array" ref="D85">IF(ISBLANK(XLOOKUP(D$3,daily_items,XLOOKUP($C85,daily_dates,big_daily_table))),NA(),XLOOKUP(D$3,daily_items,XLOOKUP($C85,daily_dates,big_daily_table)))</f>
        <v>#N/A</v>
      </c>
      <c r="E85" s="1" t="str">
        <f t="array" ref="E85">IF(ISBLANK(XLOOKUP(E$3,daily_items,XLOOKUP($C85,daily_dates,big_daily_table))),NA(),XLOOKUP(E$3,daily_items,XLOOKUP($C85,daily_dates,big_daily_table)))</f>
        <v>#N/A</v>
      </c>
    </row>
    <row r="86" ht="14.25" customHeight="1">
      <c r="B86" s="7">
        <v>40991.0</v>
      </c>
      <c r="C86" s="7">
        <f t="shared" si="1"/>
        <v>40986</v>
      </c>
      <c r="D86" s="1" t="str">
        <f t="array" ref="D86">IF(ISBLANK(XLOOKUP(D$3,daily_items,XLOOKUP($C86,daily_dates,big_daily_table))),NA(),XLOOKUP(D$3,daily_items,XLOOKUP($C86,daily_dates,big_daily_table)))</f>
        <v>#N/A</v>
      </c>
      <c r="E86" s="1" t="str">
        <f t="array" ref="E86">IF(ISBLANK(XLOOKUP(E$3,daily_items,XLOOKUP($C86,daily_dates,big_daily_table))),NA(),XLOOKUP(E$3,daily_items,XLOOKUP($C86,daily_dates,big_daily_table)))</f>
        <v>#N/A</v>
      </c>
    </row>
    <row r="87" ht="14.25" customHeight="1">
      <c r="B87" s="7">
        <v>40992.0</v>
      </c>
      <c r="C87" s="7">
        <f t="shared" si="1"/>
        <v>40986</v>
      </c>
      <c r="D87" s="1" t="str">
        <f t="array" ref="D87">IF(ISBLANK(XLOOKUP(D$3,daily_items,XLOOKUP($C87,daily_dates,big_daily_table))),NA(),XLOOKUP(D$3,daily_items,XLOOKUP($C87,daily_dates,big_daily_table)))</f>
        <v>#N/A</v>
      </c>
      <c r="E87" s="1" t="str">
        <f t="array" ref="E87">IF(ISBLANK(XLOOKUP(E$3,daily_items,XLOOKUP($C87,daily_dates,big_daily_table))),NA(),XLOOKUP(E$3,daily_items,XLOOKUP($C87,daily_dates,big_daily_table)))</f>
        <v>#N/A</v>
      </c>
    </row>
    <row r="88" ht="14.25" customHeight="1">
      <c r="B88" s="7">
        <v>40993.0</v>
      </c>
      <c r="C88" s="7">
        <f t="shared" si="1"/>
        <v>40993</v>
      </c>
      <c r="D88" s="1" t="str">
        <f t="array" ref="D88">IF(ISBLANK(XLOOKUP(D$3,daily_items,XLOOKUP($C88,daily_dates,big_daily_table))),NA(),XLOOKUP(D$3,daily_items,XLOOKUP($C88,daily_dates,big_daily_table)))</f>
        <v>#N/A</v>
      </c>
      <c r="E88" s="1" t="str">
        <f t="array" ref="E88">IF(ISBLANK(XLOOKUP(E$3,daily_items,XLOOKUP($C88,daily_dates,big_daily_table))),NA(),XLOOKUP(E$3,daily_items,XLOOKUP($C88,daily_dates,big_daily_table)))</f>
        <v>#N/A</v>
      </c>
    </row>
    <row r="89" ht="14.25" customHeight="1">
      <c r="B89" s="7">
        <v>40994.0</v>
      </c>
      <c r="C89" s="7">
        <f t="shared" si="1"/>
        <v>40993</v>
      </c>
      <c r="D89" s="1" t="str">
        <f t="array" ref="D89">IF(ISBLANK(XLOOKUP(D$3,daily_items,XLOOKUP($C89,daily_dates,big_daily_table))),NA(),XLOOKUP(D$3,daily_items,XLOOKUP($C89,daily_dates,big_daily_table)))</f>
        <v>#N/A</v>
      </c>
      <c r="E89" s="1" t="str">
        <f t="array" ref="E89">IF(ISBLANK(XLOOKUP(E$3,daily_items,XLOOKUP($C89,daily_dates,big_daily_table))),NA(),XLOOKUP(E$3,daily_items,XLOOKUP($C89,daily_dates,big_daily_table)))</f>
        <v>#N/A</v>
      </c>
    </row>
    <row r="90" ht="14.25" customHeight="1">
      <c r="B90" s="7">
        <v>40995.0</v>
      </c>
      <c r="C90" s="7">
        <f t="shared" si="1"/>
        <v>40993</v>
      </c>
      <c r="D90" s="1" t="str">
        <f t="array" ref="D90">IF(ISBLANK(XLOOKUP(D$3,daily_items,XLOOKUP($C90,daily_dates,big_daily_table))),NA(),XLOOKUP(D$3,daily_items,XLOOKUP($C90,daily_dates,big_daily_table)))</f>
        <v>#N/A</v>
      </c>
      <c r="E90" s="1" t="str">
        <f t="array" ref="E90">IF(ISBLANK(XLOOKUP(E$3,daily_items,XLOOKUP($C90,daily_dates,big_daily_table))),NA(),XLOOKUP(E$3,daily_items,XLOOKUP($C90,daily_dates,big_daily_table)))</f>
        <v>#N/A</v>
      </c>
    </row>
    <row r="91" ht="14.25" customHeight="1">
      <c r="B91" s="7">
        <v>40996.0</v>
      </c>
      <c r="C91" s="7">
        <f t="shared" si="1"/>
        <v>40993</v>
      </c>
      <c r="D91" s="1" t="str">
        <f t="array" ref="D91">IF(ISBLANK(XLOOKUP(D$3,daily_items,XLOOKUP($C91,daily_dates,big_daily_table))),NA(),XLOOKUP(D$3,daily_items,XLOOKUP($C91,daily_dates,big_daily_table)))</f>
        <v>#N/A</v>
      </c>
      <c r="E91" s="1" t="str">
        <f t="array" ref="E91">IF(ISBLANK(XLOOKUP(E$3,daily_items,XLOOKUP($C91,daily_dates,big_daily_table))),NA(),XLOOKUP(E$3,daily_items,XLOOKUP($C91,daily_dates,big_daily_table)))</f>
        <v>#N/A</v>
      </c>
    </row>
    <row r="92" ht="14.25" customHeight="1">
      <c r="B92" s="7">
        <v>40997.0</v>
      </c>
      <c r="C92" s="7">
        <f t="shared" si="1"/>
        <v>40993</v>
      </c>
      <c r="D92" s="1" t="str">
        <f t="array" ref="D92">IF(ISBLANK(XLOOKUP(D$3,daily_items,XLOOKUP($C92,daily_dates,big_daily_table))),NA(),XLOOKUP(D$3,daily_items,XLOOKUP($C92,daily_dates,big_daily_table)))</f>
        <v>#N/A</v>
      </c>
      <c r="E92" s="1" t="str">
        <f t="array" ref="E92">IF(ISBLANK(XLOOKUP(E$3,daily_items,XLOOKUP($C92,daily_dates,big_daily_table))),NA(),XLOOKUP(E$3,daily_items,XLOOKUP($C92,daily_dates,big_daily_table)))</f>
        <v>#N/A</v>
      </c>
    </row>
    <row r="93" ht="14.25" customHeight="1">
      <c r="B93" s="7">
        <v>40998.0</v>
      </c>
      <c r="C93" s="7">
        <f t="shared" si="1"/>
        <v>40993</v>
      </c>
      <c r="D93" s="1" t="str">
        <f t="array" ref="D93">IF(ISBLANK(XLOOKUP(D$3,daily_items,XLOOKUP($C93,daily_dates,big_daily_table))),NA(),XLOOKUP(D$3,daily_items,XLOOKUP($C93,daily_dates,big_daily_table)))</f>
        <v>#N/A</v>
      </c>
      <c r="E93" s="1" t="str">
        <f t="array" ref="E93">IF(ISBLANK(XLOOKUP(E$3,daily_items,XLOOKUP($C93,daily_dates,big_daily_table))),NA(),XLOOKUP(E$3,daily_items,XLOOKUP($C93,daily_dates,big_daily_table)))</f>
        <v>#N/A</v>
      </c>
    </row>
    <row r="94" ht="14.25" customHeight="1">
      <c r="B94" s="7">
        <v>40999.0</v>
      </c>
      <c r="C94" s="7">
        <f t="shared" si="1"/>
        <v>40993</v>
      </c>
      <c r="D94" s="1" t="str">
        <f t="array" ref="D94">IF(ISBLANK(XLOOKUP(D$3,daily_items,XLOOKUP($C94,daily_dates,big_daily_table))),NA(),XLOOKUP(D$3,daily_items,XLOOKUP($C94,daily_dates,big_daily_table)))</f>
        <v>#N/A</v>
      </c>
      <c r="E94" s="1" t="str">
        <f t="array" ref="E94">IF(ISBLANK(XLOOKUP(E$3,daily_items,XLOOKUP($C94,daily_dates,big_daily_table))),NA(),XLOOKUP(E$3,daily_items,XLOOKUP($C94,daily_dates,big_daily_table)))</f>
        <v>#N/A</v>
      </c>
    </row>
    <row r="95" ht="14.25" customHeight="1">
      <c r="B95" s="7">
        <v>41000.0</v>
      </c>
      <c r="C95" s="7">
        <f t="shared" si="1"/>
        <v>41000</v>
      </c>
      <c r="D95" s="1" t="str">
        <f t="array" ref="D95">IF(ISBLANK(XLOOKUP(D$3,daily_items,XLOOKUP($C95,daily_dates,big_daily_table))),NA(),XLOOKUP(D$3,daily_items,XLOOKUP($C95,daily_dates,big_daily_table)))</f>
        <v>#N/A</v>
      </c>
      <c r="E95" s="1" t="str">
        <f t="array" ref="E95">IF(ISBLANK(XLOOKUP(E$3,daily_items,XLOOKUP($C95,daily_dates,big_daily_table))),NA(),XLOOKUP(E$3,daily_items,XLOOKUP($C95,daily_dates,big_daily_table)))</f>
        <v>#N/A</v>
      </c>
    </row>
    <row r="96" ht="14.25" customHeight="1">
      <c r="B96" s="7">
        <v>41001.0</v>
      </c>
      <c r="C96" s="7">
        <f t="shared" si="1"/>
        <v>41000</v>
      </c>
      <c r="D96" s="1" t="str">
        <f t="array" ref="D96">IF(ISBLANK(XLOOKUP(D$3,daily_items,XLOOKUP($C96,daily_dates,big_daily_table))),NA(),XLOOKUP(D$3,daily_items,XLOOKUP($C96,daily_dates,big_daily_table)))</f>
        <v>#N/A</v>
      </c>
      <c r="E96" s="1" t="str">
        <f t="array" ref="E96">IF(ISBLANK(XLOOKUP(E$3,daily_items,XLOOKUP($C96,daily_dates,big_daily_table))),NA(),XLOOKUP(E$3,daily_items,XLOOKUP($C96,daily_dates,big_daily_table)))</f>
        <v>#N/A</v>
      </c>
    </row>
    <row r="97" ht="14.25" customHeight="1">
      <c r="B97" s="7">
        <v>41002.0</v>
      </c>
      <c r="C97" s="7">
        <f t="shared" si="1"/>
        <v>41000</v>
      </c>
      <c r="D97" s="1" t="str">
        <f t="array" ref="D97">IF(ISBLANK(XLOOKUP(D$3,daily_items,XLOOKUP($C97,daily_dates,big_daily_table))),NA(),XLOOKUP(D$3,daily_items,XLOOKUP($C97,daily_dates,big_daily_table)))</f>
        <v>#N/A</v>
      </c>
      <c r="E97" s="1" t="str">
        <f t="array" ref="E97">IF(ISBLANK(XLOOKUP(E$3,daily_items,XLOOKUP($C97,daily_dates,big_daily_table))),NA(),XLOOKUP(E$3,daily_items,XLOOKUP($C97,daily_dates,big_daily_table)))</f>
        <v>#N/A</v>
      </c>
    </row>
    <row r="98" ht="14.25" customHeight="1">
      <c r="B98" s="7">
        <v>41003.0</v>
      </c>
      <c r="C98" s="7">
        <f t="shared" si="1"/>
        <v>41000</v>
      </c>
      <c r="D98" s="1" t="str">
        <f t="array" ref="D98">IF(ISBLANK(XLOOKUP(D$3,daily_items,XLOOKUP($C98,daily_dates,big_daily_table))),NA(),XLOOKUP(D$3,daily_items,XLOOKUP($C98,daily_dates,big_daily_table)))</f>
        <v>#N/A</v>
      </c>
      <c r="E98" s="1" t="str">
        <f t="array" ref="E98">IF(ISBLANK(XLOOKUP(E$3,daily_items,XLOOKUP($C98,daily_dates,big_daily_table))),NA(),XLOOKUP(E$3,daily_items,XLOOKUP($C98,daily_dates,big_daily_table)))</f>
        <v>#N/A</v>
      </c>
    </row>
    <row r="99" ht="14.25" customHeight="1">
      <c r="B99" s="7">
        <v>41004.0</v>
      </c>
      <c r="C99" s="7">
        <f t="shared" si="1"/>
        <v>41000</v>
      </c>
      <c r="D99" s="1" t="str">
        <f t="array" ref="D99">IF(ISBLANK(XLOOKUP(D$3,daily_items,XLOOKUP($C99,daily_dates,big_daily_table))),NA(),XLOOKUP(D$3,daily_items,XLOOKUP($C99,daily_dates,big_daily_table)))</f>
        <v>#N/A</v>
      </c>
      <c r="E99" s="1" t="str">
        <f t="array" ref="E99">IF(ISBLANK(XLOOKUP(E$3,daily_items,XLOOKUP($C99,daily_dates,big_daily_table))),NA(),XLOOKUP(E$3,daily_items,XLOOKUP($C99,daily_dates,big_daily_table)))</f>
        <v>#N/A</v>
      </c>
    </row>
    <row r="100" ht="14.25" customHeight="1">
      <c r="B100" s="7">
        <v>41005.0</v>
      </c>
      <c r="C100" s="7">
        <f t="shared" si="1"/>
        <v>41000</v>
      </c>
      <c r="D100" s="1" t="str">
        <f t="array" ref="D100">IF(ISBLANK(XLOOKUP(D$3,daily_items,XLOOKUP($C100,daily_dates,big_daily_table))),NA(),XLOOKUP(D$3,daily_items,XLOOKUP($C100,daily_dates,big_daily_table)))</f>
        <v>#N/A</v>
      </c>
      <c r="E100" s="1" t="str">
        <f t="array" ref="E100">IF(ISBLANK(XLOOKUP(E$3,daily_items,XLOOKUP($C100,daily_dates,big_daily_table))),NA(),XLOOKUP(E$3,daily_items,XLOOKUP($C100,daily_dates,big_daily_table)))</f>
        <v>#N/A</v>
      </c>
    </row>
    <row r="101" ht="14.25" customHeight="1">
      <c r="B101" s="7">
        <v>41006.0</v>
      </c>
      <c r="C101" s="7">
        <f t="shared" si="1"/>
        <v>41000</v>
      </c>
      <c r="D101" s="1" t="str">
        <f t="array" ref="D101">IF(ISBLANK(XLOOKUP(D$3,daily_items,XLOOKUP($C101,daily_dates,big_daily_table))),NA(),XLOOKUP(D$3,daily_items,XLOOKUP($C101,daily_dates,big_daily_table)))</f>
        <v>#N/A</v>
      </c>
      <c r="E101" s="1" t="str">
        <f t="array" ref="E101">IF(ISBLANK(XLOOKUP(E$3,daily_items,XLOOKUP($C101,daily_dates,big_daily_table))),NA(),XLOOKUP(E$3,daily_items,XLOOKUP($C101,daily_dates,big_daily_table)))</f>
        <v>#N/A</v>
      </c>
    </row>
    <row r="102" ht="14.25" customHeight="1">
      <c r="B102" s="7">
        <v>41007.0</v>
      </c>
      <c r="C102" s="7">
        <f t="shared" si="1"/>
        <v>41007</v>
      </c>
      <c r="D102" s="1" t="str">
        <f t="array" ref="D102">IF(ISBLANK(XLOOKUP(D$3,daily_items,XLOOKUP($C102,daily_dates,big_daily_table))),NA(),XLOOKUP(D$3,daily_items,XLOOKUP($C102,daily_dates,big_daily_table)))</f>
        <v>#N/A</v>
      </c>
      <c r="E102" s="1" t="str">
        <f t="array" ref="E102">IF(ISBLANK(XLOOKUP(E$3,daily_items,XLOOKUP($C102,daily_dates,big_daily_table))),NA(),XLOOKUP(E$3,daily_items,XLOOKUP($C102,daily_dates,big_daily_table)))</f>
        <v>#N/A</v>
      </c>
    </row>
    <row r="103" ht="14.25" customHeight="1">
      <c r="B103" s="7">
        <v>41008.0</v>
      </c>
      <c r="C103" s="7">
        <f t="shared" si="1"/>
        <v>41007</v>
      </c>
      <c r="D103" s="1" t="str">
        <f t="array" ref="D103">IF(ISBLANK(XLOOKUP(D$3,daily_items,XLOOKUP($C103,daily_dates,big_daily_table))),NA(),XLOOKUP(D$3,daily_items,XLOOKUP($C103,daily_dates,big_daily_table)))</f>
        <v>#N/A</v>
      </c>
      <c r="E103" s="1" t="str">
        <f t="array" ref="E103">IF(ISBLANK(XLOOKUP(E$3,daily_items,XLOOKUP($C103,daily_dates,big_daily_table))),NA(),XLOOKUP(E$3,daily_items,XLOOKUP($C103,daily_dates,big_daily_table)))</f>
        <v>#N/A</v>
      </c>
    </row>
    <row r="104" ht="14.25" customHeight="1">
      <c r="B104" s="7">
        <v>41009.0</v>
      </c>
      <c r="C104" s="7">
        <f t="shared" si="1"/>
        <v>41007</v>
      </c>
      <c r="D104" s="1" t="str">
        <f t="array" ref="D104">IF(ISBLANK(XLOOKUP(D$3,daily_items,XLOOKUP($C104,daily_dates,big_daily_table))),NA(),XLOOKUP(D$3,daily_items,XLOOKUP($C104,daily_dates,big_daily_table)))</f>
        <v>#N/A</v>
      </c>
      <c r="E104" s="1" t="str">
        <f t="array" ref="E104">IF(ISBLANK(XLOOKUP(E$3,daily_items,XLOOKUP($C104,daily_dates,big_daily_table))),NA(),XLOOKUP(E$3,daily_items,XLOOKUP($C104,daily_dates,big_daily_table)))</f>
        <v>#N/A</v>
      </c>
    </row>
    <row r="105" ht="14.25" customHeight="1">
      <c r="B105" s="7">
        <v>41010.0</v>
      </c>
      <c r="C105" s="7">
        <f t="shared" si="1"/>
        <v>41007</v>
      </c>
      <c r="D105" s="1" t="str">
        <f t="array" ref="D105">IF(ISBLANK(XLOOKUP(D$3,daily_items,XLOOKUP($C105,daily_dates,big_daily_table))),NA(),XLOOKUP(D$3,daily_items,XLOOKUP($C105,daily_dates,big_daily_table)))</f>
        <v>#N/A</v>
      </c>
      <c r="E105" s="1" t="str">
        <f t="array" ref="E105">IF(ISBLANK(XLOOKUP(E$3,daily_items,XLOOKUP($C105,daily_dates,big_daily_table))),NA(),XLOOKUP(E$3,daily_items,XLOOKUP($C105,daily_dates,big_daily_table)))</f>
        <v>#N/A</v>
      </c>
    </row>
    <row r="106" ht="14.25" customHeight="1">
      <c r="B106" s="7">
        <v>41011.0</v>
      </c>
      <c r="C106" s="7">
        <f t="shared" si="1"/>
        <v>41007</v>
      </c>
      <c r="D106" s="1" t="str">
        <f t="array" ref="D106">IF(ISBLANK(XLOOKUP(D$3,daily_items,XLOOKUP($C106,daily_dates,big_daily_table))),NA(),XLOOKUP(D$3,daily_items,XLOOKUP($C106,daily_dates,big_daily_table)))</f>
        <v>#N/A</v>
      </c>
      <c r="E106" s="1" t="str">
        <f t="array" ref="E106">IF(ISBLANK(XLOOKUP(E$3,daily_items,XLOOKUP($C106,daily_dates,big_daily_table))),NA(),XLOOKUP(E$3,daily_items,XLOOKUP($C106,daily_dates,big_daily_table)))</f>
        <v>#N/A</v>
      </c>
    </row>
    <row r="107" ht="14.25" customHeight="1">
      <c r="B107" s="7">
        <v>41012.0</v>
      </c>
      <c r="C107" s="7">
        <f t="shared" si="1"/>
        <v>41007</v>
      </c>
      <c r="D107" s="1" t="str">
        <f t="array" ref="D107">IF(ISBLANK(XLOOKUP(D$3,daily_items,XLOOKUP($C107,daily_dates,big_daily_table))),NA(),XLOOKUP(D$3,daily_items,XLOOKUP($C107,daily_dates,big_daily_table)))</f>
        <v>#N/A</v>
      </c>
      <c r="E107" s="1" t="str">
        <f t="array" ref="E107">IF(ISBLANK(XLOOKUP(E$3,daily_items,XLOOKUP($C107,daily_dates,big_daily_table))),NA(),XLOOKUP(E$3,daily_items,XLOOKUP($C107,daily_dates,big_daily_table)))</f>
        <v>#N/A</v>
      </c>
    </row>
    <row r="108" ht="14.25" customHeight="1">
      <c r="B108" s="7">
        <v>41013.0</v>
      </c>
      <c r="C108" s="7">
        <f t="shared" si="1"/>
        <v>41007</v>
      </c>
      <c r="D108" s="1" t="str">
        <f t="array" ref="D108">IF(ISBLANK(XLOOKUP(D$3,daily_items,XLOOKUP($C108,daily_dates,big_daily_table))),NA(),XLOOKUP(D$3,daily_items,XLOOKUP($C108,daily_dates,big_daily_table)))</f>
        <v>#N/A</v>
      </c>
      <c r="E108" s="1" t="str">
        <f t="array" ref="E108">IF(ISBLANK(XLOOKUP(E$3,daily_items,XLOOKUP($C108,daily_dates,big_daily_table))),NA(),XLOOKUP(E$3,daily_items,XLOOKUP($C108,daily_dates,big_daily_table)))</f>
        <v>#N/A</v>
      </c>
    </row>
    <row r="109" ht="14.25" customHeight="1">
      <c r="B109" s="7">
        <v>41014.0</v>
      </c>
      <c r="C109" s="7">
        <f t="shared" si="1"/>
        <v>41014</v>
      </c>
      <c r="D109" s="1" t="str">
        <f t="array" ref="D109">IF(ISBLANK(XLOOKUP(D$3,daily_items,XLOOKUP($C109,daily_dates,big_daily_table))),NA(),XLOOKUP(D$3,daily_items,XLOOKUP($C109,daily_dates,big_daily_table)))</f>
        <v>#N/A</v>
      </c>
      <c r="E109" s="1" t="str">
        <f t="array" ref="E109">IF(ISBLANK(XLOOKUP(E$3,daily_items,XLOOKUP($C109,daily_dates,big_daily_table))),NA(),XLOOKUP(E$3,daily_items,XLOOKUP($C109,daily_dates,big_daily_table)))</f>
        <v>#N/A</v>
      </c>
    </row>
    <row r="110" ht="14.25" customHeight="1">
      <c r="B110" s="7">
        <v>41015.0</v>
      </c>
      <c r="C110" s="7">
        <f t="shared" si="1"/>
        <v>41014</v>
      </c>
      <c r="D110" s="1" t="str">
        <f t="array" ref="D110">IF(ISBLANK(XLOOKUP(D$3,daily_items,XLOOKUP($C110,daily_dates,big_daily_table))),NA(),XLOOKUP(D$3,daily_items,XLOOKUP($C110,daily_dates,big_daily_table)))</f>
        <v>#N/A</v>
      </c>
      <c r="E110" s="1" t="str">
        <f t="array" ref="E110">IF(ISBLANK(XLOOKUP(E$3,daily_items,XLOOKUP($C110,daily_dates,big_daily_table))),NA(),XLOOKUP(E$3,daily_items,XLOOKUP($C110,daily_dates,big_daily_table)))</f>
        <v>#N/A</v>
      </c>
    </row>
    <row r="111" ht="14.25" customHeight="1">
      <c r="B111" s="7">
        <v>41016.0</v>
      </c>
      <c r="C111" s="7">
        <f t="shared" si="1"/>
        <v>41014</v>
      </c>
      <c r="D111" s="1" t="str">
        <f t="array" ref="D111">IF(ISBLANK(XLOOKUP(D$3,daily_items,XLOOKUP($C111,daily_dates,big_daily_table))),NA(),XLOOKUP(D$3,daily_items,XLOOKUP($C111,daily_dates,big_daily_table)))</f>
        <v>#N/A</v>
      </c>
      <c r="E111" s="1" t="str">
        <f t="array" ref="E111">IF(ISBLANK(XLOOKUP(E$3,daily_items,XLOOKUP($C111,daily_dates,big_daily_table))),NA(),XLOOKUP(E$3,daily_items,XLOOKUP($C111,daily_dates,big_daily_table)))</f>
        <v>#N/A</v>
      </c>
    </row>
    <row r="112" ht="14.25" customHeight="1">
      <c r="B112" s="7">
        <v>41017.0</v>
      </c>
      <c r="C112" s="7">
        <f t="shared" si="1"/>
        <v>41014</v>
      </c>
      <c r="D112" s="1" t="str">
        <f t="array" ref="D112">IF(ISBLANK(XLOOKUP(D$3,daily_items,XLOOKUP($C112,daily_dates,big_daily_table))),NA(),XLOOKUP(D$3,daily_items,XLOOKUP($C112,daily_dates,big_daily_table)))</f>
        <v>#N/A</v>
      </c>
      <c r="E112" s="1" t="str">
        <f t="array" ref="E112">IF(ISBLANK(XLOOKUP(E$3,daily_items,XLOOKUP($C112,daily_dates,big_daily_table))),NA(),XLOOKUP(E$3,daily_items,XLOOKUP($C112,daily_dates,big_daily_table)))</f>
        <v>#N/A</v>
      </c>
    </row>
    <row r="113" ht="14.25" customHeight="1">
      <c r="B113" s="7">
        <v>41018.0</v>
      </c>
      <c r="C113" s="7">
        <f t="shared" si="1"/>
        <v>41014</v>
      </c>
      <c r="D113" s="1" t="str">
        <f t="array" ref="D113">IF(ISBLANK(XLOOKUP(D$3,daily_items,XLOOKUP($C113,daily_dates,big_daily_table))),NA(),XLOOKUP(D$3,daily_items,XLOOKUP($C113,daily_dates,big_daily_table)))</f>
        <v>#N/A</v>
      </c>
      <c r="E113" s="1" t="str">
        <f t="array" ref="E113">IF(ISBLANK(XLOOKUP(E$3,daily_items,XLOOKUP($C113,daily_dates,big_daily_table))),NA(),XLOOKUP(E$3,daily_items,XLOOKUP($C113,daily_dates,big_daily_table)))</f>
        <v>#N/A</v>
      </c>
    </row>
    <row r="114" ht="14.25" customHeight="1">
      <c r="B114" s="7">
        <v>41019.0</v>
      </c>
      <c r="C114" s="7">
        <f t="shared" si="1"/>
        <v>41014</v>
      </c>
      <c r="D114" s="1" t="str">
        <f t="array" ref="D114">IF(ISBLANK(XLOOKUP(D$3,daily_items,XLOOKUP($C114,daily_dates,big_daily_table))),NA(),XLOOKUP(D$3,daily_items,XLOOKUP($C114,daily_dates,big_daily_table)))</f>
        <v>#N/A</v>
      </c>
      <c r="E114" s="1" t="str">
        <f t="array" ref="E114">IF(ISBLANK(XLOOKUP(E$3,daily_items,XLOOKUP($C114,daily_dates,big_daily_table))),NA(),XLOOKUP(E$3,daily_items,XLOOKUP($C114,daily_dates,big_daily_table)))</f>
        <v>#N/A</v>
      </c>
    </row>
    <row r="115" ht="14.25" customHeight="1">
      <c r="B115" s="7">
        <v>41020.0</v>
      </c>
      <c r="C115" s="7">
        <f t="shared" si="1"/>
        <v>41014</v>
      </c>
      <c r="D115" s="1" t="str">
        <f t="array" ref="D115">IF(ISBLANK(XLOOKUP(D$3,daily_items,XLOOKUP($C115,daily_dates,big_daily_table))),NA(),XLOOKUP(D$3,daily_items,XLOOKUP($C115,daily_dates,big_daily_table)))</f>
        <v>#N/A</v>
      </c>
      <c r="E115" s="1" t="str">
        <f t="array" ref="E115">IF(ISBLANK(XLOOKUP(E$3,daily_items,XLOOKUP($C115,daily_dates,big_daily_table))),NA(),XLOOKUP(E$3,daily_items,XLOOKUP($C115,daily_dates,big_daily_table)))</f>
        <v>#N/A</v>
      </c>
    </row>
    <row r="116" ht="14.25" customHeight="1">
      <c r="B116" s="7">
        <v>41021.0</v>
      </c>
      <c r="C116" s="7">
        <f t="shared" si="1"/>
        <v>41021</v>
      </c>
      <c r="D116" s="1" t="str">
        <f t="array" ref="D116">IF(ISBLANK(XLOOKUP(D$3,daily_items,XLOOKUP($C116,daily_dates,big_daily_table))),NA(),XLOOKUP(D$3,daily_items,XLOOKUP($C116,daily_dates,big_daily_table)))</f>
        <v>#N/A</v>
      </c>
      <c r="E116" s="1" t="str">
        <f t="array" ref="E116">IF(ISBLANK(XLOOKUP(E$3,daily_items,XLOOKUP($C116,daily_dates,big_daily_table))),NA(),XLOOKUP(E$3,daily_items,XLOOKUP($C116,daily_dates,big_daily_table)))</f>
        <v>#N/A</v>
      </c>
    </row>
    <row r="117" ht="14.25" customHeight="1">
      <c r="B117" s="7">
        <v>41022.0</v>
      </c>
      <c r="C117" s="7">
        <f t="shared" si="1"/>
        <v>41021</v>
      </c>
      <c r="D117" s="1" t="str">
        <f t="array" ref="D117">IF(ISBLANK(XLOOKUP(D$3,daily_items,XLOOKUP($C117,daily_dates,big_daily_table))),NA(),XLOOKUP(D$3,daily_items,XLOOKUP($C117,daily_dates,big_daily_table)))</f>
        <v>#N/A</v>
      </c>
      <c r="E117" s="1" t="str">
        <f t="array" ref="E117">IF(ISBLANK(XLOOKUP(E$3,daily_items,XLOOKUP($C117,daily_dates,big_daily_table))),NA(),XLOOKUP(E$3,daily_items,XLOOKUP($C117,daily_dates,big_daily_table)))</f>
        <v>#N/A</v>
      </c>
    </row>
    <row r="118" ht="14.25" customHeight="1">
      <c r="B118" s="7">
        <v>41023.0</v>
      </c>
      <c r="C118" s="7">
        <f t="shared" si="1"/>
        <v>41021</v>
      </c>
      <c r="D118" s="1" t="str">
        <f t="array" ref="D118">IF(ISBLANK(XLOOKUP(D$3,daily_items,XLOOKUP($C118,daily_dates,big_daily_table))),NA(),XLOOKUP(D$3,daily_items,XLOOKUP($C118,daily_dates,big_daily_table)))</f>
        <v>#N/A</v>
      </c>
      <c r="E118" s="1" t="str">
        <f t="array" ref="E118">IF(ISBLANK(XLOOKUP(E$3,daily_items,XLOOKUP($C118,daily_dates,big_daily_table))),NA(),XLOOKUP(E$3,daily_items,XLOOKUP($C118,daily_dates,big_daily_table)))</f>
        <v>#N/A</v>
      </c>
    </row>
    <row r="119" ht="14.25" customHeight="1">
      <c r="B119" s="7">
        <v>41024.0</v>
      </c>
      <c r="C119" s="7">
        <f t="shared" si="1"/>
        <v>41021</v>
      </c>
      <c r="D119" s="1" t="str">
        <f t="array" ref="D119">IF(ISBLANK(XLOOKUP(D$3,daily_items,XLOOKUP($C119,daily_dates,big_daily_table))),NA(),XLOOKUP(D$3,daily_items,XLOOKUP($C119,daily_dates,big_daily_table)))</f>
        <v>#N/A</v>
      </c>
      <c r="E119" s="1" t="str">
        <f t="array" ref="E119">IF(ISBLANK(XLOOKUP(E$3,daily_items,XLOOKUP($C119,daily_dates,big_daily_table))),NA(),XLOOKUP(E$3,daily_items,XLOOKUP($C119,daily_dates,big_daily_table)))</f>
        <v>#N/A</v>
      </c>
    </row>
    <row r="120" ht="14.25" customHeight="1">
      <c r="B120" s="7">
        <v>41025.0</v>
      </c>
      <c r="C120" s="7">
        <f t="shared" si="1"/>
        <v>41021</v>
      </c>
      <c r="D120" s="1" t="str">
        <f t="array" ref="D120">IF(ISBLANK(XLOOKUP(D$3,daily_items,XLOOKUP($C120,daily_dates,big_daily_table))),NA(),XLOOKUP(D$3,daily_items,XLOOKUP($C120,daily_dates,big_daily_table)))</f>
        <v>#N/A</v>
      </c>
      <c r="E120" s="1" t="str">
        <f t="array" ref="E120">IF(ISBLANK(XLOOKUP(E$3,daily_items,XLOOKUP($C120,daily_dates,big_daily_table))),NA(),XLOOKUP(E$3,daily_items,XLOOKUP($C120,daily_dates,big_daily_table)))</f>
        <v>#N/A</v>
      </c>
    </row>
    <row r="121" ht="14.25" customHeight="1">
      <c r="B121" s="7">
        <v>41026.0</v>
      </c>
      <c r="C121" s="7">
        <f t="shared" si="1"/>
        <v>41021</v>
      </c>
      <c r="D121" s="1" t="str">
        <f t="array" ref="D121">IF(ISBLANK(XLOOKUP(D$3,daily_items,XLOOKUP($C121,daily_dates,big_daily_table))),NA(),XLOOKUP(D$3,daily_items,XLOOKUP($C121,daily_dates,big_daily_table)))</f>
        <v>#N/A</v>
      </c>
      <c r="E121" s="1" t="str">
        <f t="array" ref="E121">IF(ISBLANK(XLOOKUP(E$3,daily_items,XLOOKUP($C121,daily_dates,big_daily_table))),NA(),XLOOKUP(E$3,daily_items,XLOOKUP($C121,daily_dates,big_daily_table)))</f>
        <v>#N/A</v>
      </c>
    </row>
    <row r="122" ht="14.25" customHeight="1">
      <c r="B122" s="7">
        <v>41027.0</v>
      </c>
      <c r="C122" s="7">
        <f t="shared" si="1"/>
        <v>41021</v>
      </c>
      <c r="D122" s="1" t="str">
        <f t="array" ref="D122">IF(ISBLANK(XLOOKUP(D$3,daily_items,XLOOKUP($C122,daily_dates,big_daily_table))),NA(),XLOOKUP(D$3,daily_items,XLOOKUP($C122,daily_dates,big_daily_table)))</f>
        <v>#N/A</v>
      </c>
      <c r="E122" s="1" t="str">
        <f t="array" ref="E122">IF(ISBLANK(XLOOKUP(E$3,daily_items,XLOOKUP($C122,daily_dates,big_daily_table))),NA(),XLOOKUP(E$3,daily_items,XLOOKUP($C122,daily_dates,big_daily_table)))</f>
        <v>#N/A</v>
      </c>
    </row>
    <row r="123" ht="14.25" customHeight="1">
      <c r="B123" s="7">
        <v>41028.0</v>
      </c>
      <c r="C123" s="7">
        <f t="shared" si="1"/>
        <v>41028</v>
      </c>
      <c r="D123" s="1" t="str">
        <f t="array" ref="D123">IF(ISBLANK(XLOOKUP(D$3,daily_items,XLOOKUP($C123,daily_dates,big_daily_table))),NA(),XLOOKUP(D$3,daily_items,XLOOKUP($C123,daily_dates,big_daily_table)))</f>
        <v>#N/A</v>
      </c>
      <c r="E123" s="1" t="str">
        <f t="array" ref="E123">IF(ISBLANK(XLOOKUP(E$3,daily_items,XLOOKUP($C123,daily_dates,big_daily_table))),NA(),XLOOKUP(E$3,daily_items,XLOOKUP($C123,daily_dates,big_daily_table)))</f>
        <v>#N/A</v>
      </c>
    </row>
    <row r="124" ht="14.25" customHeight="1">
      <c r="B124" s="7">
        <v>41029.0</v>
      </c>
      <c r="C124" s="7">
        <f t="shared" si="1"/>
        <v>41028</v>
      </c>
      <c r="D124" s="1" t="str">
        <f t="array" ref="D124">IF(ISBLANK(XLOOKUP(D$3,daily_items,XLOOKUP($C124,daily_dates,big_daily_table))),NA(),XLOOKUP(D$3,daily_items,XLOOKUP($C124,daily_dates,big_daily_table)))</f>
        <v>#N/A</v>
      </c>
      <c r="E124" s="1" t="str">
        <f t="array" ref="E124">IF(ISBLANK(XLOOKUP(E$3,daily_items,XLOOKUP($C124,daily_dates,big_daily_table))),NA(),XLOOKUP(E$3,daily_items,XLOOKUP($C124,daily_dates,big_daily_table)))</f>
        <v>#N/A</v>
      </c>
    </row>
    <row r="125" ht="14.25" customHeight="1">
      <c r="B125" s="7">
        <v>41030.0</v>
      </c>
      <c r="C125" s="7">
        <f t="shared" si="1"/>
        <v>41028</v>
      </c>
      <c r="D125" s="1" t="str">
        <f t="array" ref="D125">IF(ISBLANK(XLOOKUP(D$3,daily_items,XLOOKUP($C125,daily_dates,big_daily_table))),NA(),XLOOKUP(D$3,daily_items,XLOOKUP($C125,daily_dates,big_daily_table)))</f>
        <v>#N/A</v>
      </c>
      <c r="E125" s="1" t="str">
        <f t="array" ref="E125">IF(ISBLANK(XLOOKUP(E$3,daily_items,XLOOKUP($C125,daily_dates,big_daily_table))),NA(),XLOOKUP(E$3,daily_items,XLOOKUP($C125,daily_dates,big_daily_table)))</f>
        <v>#N/A</v>
      </c>
    </row>
    <row r="126" ht="14.25" customHeight="1">
      <c r="B126" s="7">
        <v>41031.0</v>
      </c>
      <c r="C126" s="7">
        <f t="shared" si="1"/>
        <v>41028</v>
      </c>
      <c r="D126" s="1" t="str">
        <f t="array" ref="D126">IF(ISBLANK(XLOOKUP(D$3,daily_items,XLOOKUP($C126,daily_dates,big_daily_table))),NA(),XLOOKUP(D$3,daily_items,XLOOKUP($C126,daily_dates,big_daily_table)))</f>
        <v>#N/A</v>
      </c>
      <c r="E126" s="1" t="str">
        <f t="array" ref="E126">IF(ISBLANK(XLOOKUP(E$3,daily_items,XLOOKUP($C126,daily_dates,big_daily_table))),NA(),XLOOKUP(E$3,daily_items,XLOOKUP($C126,daily_dates,big_daily_table)))</f>
        <v>#N/A</v>
      </c>
    </row>
    <row r="127" ht="14.25" customHeight="1">
      <c r="B127" s="7">
        <v>41032.0</v>
      </c>
      <c r="C127" s="7">
        <f t="shared" si="1"/>
        <v>41028</v>
      </c>
      <c r="D127" s="1" t="str">
        <f t="array" ref="D127">IF(ISBLANK(XLOOKUP(D$3,daily_items,XLOOKUP($C127,daily_dates,big_daily_table))),NA(),XLOOKUP(D$3,daily_items,XLOOKUP($C127,daily_dates,big_daily_table)))</f>
        <v>#N/A</v>
      </c>
      <c r="E127" s="1" t="str">
        <f t="array" ref="E127">IF(ISBLANK(XLOOKUP(E$3,daily_items,XLOOKUP($C127,daily_dates,big_daily_table))),NA(),XLOOKUP(E$3,daily_items,XLOOKUP($C127,daily_dates,big_daily_table)))</f>
        <v>#N/A</v>
      </c>
    </row>
    <row r="128" ht="14.25" customHeight="1">
      <c r="B128" s="7">
        <v>41033.0</v>
      </c>
      <c r="C128" s="7">
        <f t="shared" si="1"/>
        <v>41028</v>
      </c>
      <c r="D128" s="1" t="str">
        <f t="array" ref="D128">IF(ISBLANK(XLOOKUP(D$3,daily_items,XLOOKUP($C128,daily_dates,big_daily_table))),NA(),XLOOKUP(D$3,daily_items,XLOOKUP($C128,daily_dates,big_daily_table)))</f>
        <v>#N/A</v>
      </c>
      <c r="E128" s="1" t="str">
        <f t="array" ref="E128">IF(ISBLANK(XLOOKUP(E$3,daily_items,XLOOKUP($C128,daily_dates,big_daily_table))),NA(),XLOOKUP(E$3,daily_items,XLOOKUP($C128,daily_dates,big_daily_table)))</f>
        <v>#N/A</v>
      </c>
    </row>
    <row r="129" ht="14.25" customHeight="1">
      <c r="B129" s="7">
        <v>41034.0</v>
      </c>
      <c r="C129" s="7">
        <f t="shared" si="1"/>
        <v>41028</v>
      </c>
      <c r="D129" s="1" t="str">
        <f t="array" ref="D129">IF(ISBLANK(XLOOKUP(D$3,daily_items,XLOOKUP($C129,daily_dates,big_daily_table))),NA(),XLOOKUP(D$3,daily_items,XLOOKUP($C129,daily_dates,big_daily_table)))</f>
        <v>#N/A</v>
      </c>
      <c r="E129" s="1" t="str">
        <f t="array" ref="E129">IF(ISBLANK(XLOOKUP(E$3,daily_items,XLOOKUP($C129,daily_dates,big_daily_table))),NA(),XLOOKUP(E$3,daily_items,XLOOKUP($C129,daily_dates,big_daily_table)))</f>
        <v>#N/A</v>
      </c>
    </row>
    <row r="130" ht="14.25" customHeight="1">
      <c r="B130" s="7">
        <v>41035.0</v>
      </c>
      <c r="C130" s="7">
        <f t="shared" si="1"/>
        <v>41035</v>
      </c>
      <c r="D130" s="1" t="str">
        <f t="array" ref="D130">IF(ISBLANK(XLOOKUP(D$3,daily_items,XLOOKUP($C130,daily_dates,big_daily_table))),NA(),XLOOKUP(D$3,daily_items,XLOOKUP($C130,daily_dates,big_daily_table)))</f>
        <v>#N/A</v>
      </c>
      <c r="E130" s="1" t="str">
        <f t="array" ref="E130">IF(ISBLANK(XLOOKUP(E$3,daily_items,XLOOKUP($C130,daily_dates,big_daily_table))),NA(),XLOOKUP(E$3,daily_items,XLOOKUP($C130,daily_dates,big_daily_table)))</f>
        <v>#N/A</v>
      </c>
    </row>
    <row r="131" ht="14.25" customHeight="1">
      <c r="B131" s="7">
        <v>41036.0</v>
      </c>
      <c r="C131" s="7">
        <f t="shared" si="1"/>
        <v>41035</v>
      </c>
      <c r="D131" s="1" t="str">
        <f t="array" ref="D131">IF(ISBLANK(XLOOKUP(D$3,daily_items,XLOOKUP($C131,daily_dates,big_daily_table))),NA(),XLOOKUP(D$3,daily_items,XLOOKUP($C131,daily_dates,big_daily_table)))</f>
        <v>#N/A</v>
      </c>
      <c r="E131" s="1" t="str">
        <f t="array" ref="E131">IF(ISBLANK(XLOOKUP(E$3,daily_items,XLOOKUP($C131,daily_dates,big_daily_table))),NA(),XLOOKUP(E$3,daily_items,XLOOKUP($C131,daily_dates,big_daily_table)))</f>
        <v>#N/A</v>
      </c>
    </row>
    <row r="132" ht="14.25" customHeight="1">
      <c r="B132" s="7">
        <v>41037.0</v>
      </c>
      <c r="C132" s="7">
        <f t="shared" si="1"/>
        <v>41035</v>
      </c>
      <c r="D132" s="1" t="str">
        <f t="array" ref="D132">IF(ISBLANK(XLOOKUP(D$3,daily_items,XLOOKUP($C132,daily_dates,big_daily_table))),NA(),XLOOKUP(D$3,daily_items,XLOOKUP($C132,daily_dates,big_daily_table)))</f>
        <v>#N/A</v>
      </c>
      <c r="E132" s="1" t="str">
        <f t="array" ref="E132">IF(ISBLANK(XLOOKUP(E$3,daily_items,XLOOKUP($C132,daily_dates,big_daily_table))),NA(),XLOOKUP(E$3,daily_items,XLOOKUP($C132,daily_dates,big_daily_table)))</f>
        <v>#N/A</v>
      </c>
    </row>
    <row r="133" ht="14.25" customHeight="1">
      <c r="B133" s="7">
        <v>41038.0</v>
      </c>
      <c r="C133" s="7">
        <f t="shared" si="1"/>
        <v>41035</v>
      </c>
      <c r="D133" s="1" t="str">
        <f t="array" ref="D133">IF(ISBLANK(XLOOKUP(D$3,daily_items,XLOOKUP($C133,daily_dates,big_daily_table))),NA(),XLOOKUP(D$3,daily_items,XLOOKUP($C133,daily_dates,big_daily_table)))</f>
        <v>#N/A</v>
      </c>
      <c r="E133" s="1" t="str">
        <f t="array" ref="E133">IF(ISBLANK(XLOOKUP(E$3,daily_items,XLOOKUP($C133,daily_dates,big_daily_table))),NA(),XLOOKUP(E$3,daily_items,XLOOKUP($C133,daily_dates,big_daily_table)))</f>
        <v>#N/A</v>
      </c>
    </row>
    <row r="134" ht="14.25" customHeight="1">
      <c r="B134" s="7">
        <v>41039.0</v>
      </c>
      <c r="C134" s="7">
        <f t="shared" si="1"/>
        <v>41035</v>
      </c>
      <c r="D134" s="1" t="str">
        <f t="array" ref="D134">IF(ISBLANK(XLOOKUP(D$3,daily_items,XLOOKUP($C134,daily_dates,big_daily_table))),NA(),XLOOKUP(D$3,daily_items,XLOOKUP($C134,daily_dates,big_daily_table)))</f>
        <v>#N/A</v>
      </c>
      <c r="E134" s="1" t="str">
        <f t="array" ref="E134">IF(ISBLANK(XLOOKUP(E$3,daily_items,XLOOKUP($C134,daily_dates,big_daily_table))),NA(),XLOOKUP(E$3,daily_items,XLOOKUP($C134,daily_dates,big_daily_table)))</f>
        <v>#N/A</v>
      </c>
    </row>
    <row r="135" ht="14.25" customHeight="1">
      <c r="B135" s="7">
        <v>41040.0</v>
      </c>
      <c r="C135" s="7">
        <f t="shared" si="1"/>
        <v>41035</v>
      </c>
      <c r="D135" s="1" t="str">
        <f t="array" ref="D135">IF(ISBLANK(XLOOKUP(D$3,daily_items,XLOOKUP($C135,daily_dates,big_daily_table))),NA(),XLOOKUP(D$3,daily_items,XLOOKUP($C135,daily_dates,big_daily_table)))</f>
        <v>#N/A</v>
      </c>
      <c r="E135" s="1" t="str">
        <f t="array" ref="E135">IF(ISBLANK(XLOOKUP(E$3,daily_items,XLOOKUP($C135,daily_dates,big_daily_table))),NA(),XLOOKUP(E$3,daily_items,XLOOKUP($C135,daily_dates,big_daily_table)))</f>
        <v>#N/A</v>
      </c>
    </row>
    <row r="136" ht="14.25" customHeight="1">
      <c r="B136" s="7">
        <v>41041.0</v>
      </c>
      <c r="C136" s="7">
        <f t="shared" si="1"/>
        <v>41035</v>
      </c>
      <c r="D136" s="1" t="str">
        <f t="array" ref="D136">IF(ISBLANK(XLOOKUP(D$3,daily_items,XLOOKUP($C136,daily_dates,big_daily_table))),NA(),XLOOKUP(D$3,daily_items,XLOOKUP($C136,daily_dates,big_daily_table)))</f>
        <v>#N/A</v>
      </c>
      <c r="E136" s="1" t="str">
        <f t="array" ref="E136">IF(ISBLANK(XLOOKUP(E$3,daily_items,XLOOKUP($C136,daily_dates,big_daily_table))),NA(),XLOOKUP(E$3,daily_items,XLOOKUP($C136,daily_dates,big_daily_table)))</f>
        <v>#N/A</v>
      </c>
    </row>
    <row r="137" ht="14.25" customHeight="1">
      <c r="B137" s="7">
        <v>41042.0</v>
      </c>
      <c r="C137" s="7">
        <f t="shared" si="1"/>
        <v>41042</v>
      </c>
      <c r="D137" s="1" t="str">
        <f t="array" ref="D137">IF(ISBLANK(XLOOKUP(D$3,daily_items,XLOOKUP($C137,daily_dates,big_daily_table))),NA(),XLOOKUP(D$3,daily_items,XLOOKUP($C137,daily_dates,big_daily_table)))</f>
        <v>#N/A</v>
      </c>
      <c r="E137" s="1" t="str">
        <f t="array" ref="E137">IF(ISBLANK(XLOOKUP(E$3,daily_items,XLOOKUP($C137,daily_dates,big_daily_table))),NA(),XLOOKUP(E$3,daily_items,XLOOKUP($C137,daily_dates,big_daily_table)))</f>
        <v>#N/A</v>
      </c>
    </row>
    <row r="138" ht="14.25" customHeight="1">
      <c r="B138" s="7">
        <v>41043.0</v>
      </c>
      <c r="C138" s="7">
        <f t="shared" si="1"/>
        <v>41042</v>
      </c>
      <c r="D138" s="1" t="str">
        <f t="array" ref="D138">IF(ISBLANK(XLOOKUP(D$3,daily_items,XLOOKUP($C138,daily_dates,big_daily_table))),NA(),XLOOKUP(D$3,daily_items,XLOOKUP($C138,daily_dates,big_daily_table)))</f>
        <v>#N/A</v>
      </c>
      <c r="E138" s="1" t="str">
        <f t="array" ref="E138">IF(ISBLANK(XLOOKUP(E$3,daily_items,XLOOKUP($C138,daily_dates,big_daily_table))),NA(),XLOOKUP(E$3,daily_items,XLOOKUP($C138,daily_dates,big_daily_table)))</f>
        <v>#N/A</v>
      </c>
    </row>
    <row r="139" ht="14.25" customHeight="1">
      <c r="B139" s="7">
        <v>41044.0</v>
      </c>
      <c r="C139" s="7">
        <f t="shared" si="1"/>
        <v>41042</v>
      </c>
      <c r="D139" s="1" t="str">
        <f t="array" ref="D139">IF(ISBLANK(XLOOKUP(D$3,daily_items,XLOOKUP($C139,daily_dates,big_daily_table))),NA(),XLOOKUP(D$3,daily_items,XLOOKUP($C139,daily_dates,big_daily_table)))</f>
        <v>#N/A</v>
      </c>
      <c r="E139" s="1" t="str">
        <f t="array" ref="E139">IF(ISBLANK(XLOOKUP(E$3,daily_items,XLOOKUP($C139,daily_dates,big_daily_table))),NA(),XLOOKUP(E$3,daily_items,XLOOKUP($C139,daily_dates,big_daily_table)))</f>
        <v>#N/A</v>
      </c>
    </row>
    <row r="140" ht="14.25" customHeight="1">
      <c r="B140" s="7">
        <v>41045.0</v>
      </c>
      <c r="C140" s="7">
        <f t="shared" si="1"/>
        <v>41042</v>
      </c>
      <c r="D140" s="1" t="str">
        <f t="array" ref="D140">IF(ISBLANK(XLOOKUP(D$3,daily_items,XLOOKUP($C140,daily_dates,big_daily_table))),NA(),XLOOKUP(D$3,daily_items,XLOOKUP($C140,daily_dates,big_daily_table)))</f>
        <v>#N/A</v>
      </c>
      <c r="E140" s="1" t="str">
        <f t="array" ref="E140">IF(ISBLANK(XLOOKUP(E$3,daily_items,XLOOKUP($C140,daily_dates,big_daily_table))),NA(),XLOOKUP(E$3,daily_items,XLOOKUP($C140,daily_dates,big_daily_table)))</f>
        <v>#N/A</v>
      </c>
    </row>
    <row r="141" ht="14.25" customHeight="1">
      <c r="B141" s="7">
        <v>41046.0</v>
      </c>
      <c r="C141" s="7">
        <f t="shared" si="1"/>
        <v>41042</v>
      </c>
      <c r="D141" s="1" t="str">
        <f t="array" ref="D141">IF(ISBLANK(XLOOKUP(D$3,daily_items,XLOOKUP($C141,daily_dates,big_daily_table))),NA(),XLOOKUP(D$3,daily_items,XLOOKUP($C141,daily_dates,big_daily_table)))</f>
        <v>#N/A</v>
      </c>
      <c r="E141" s="1" t="str">
        <f t="array" ref="E141">IF(ISBLANK(XLOOKUP(E$3,daily_items,XLOOKUP($C141,daily_dates,big_daily_table))),NA(),XLOOKUP(E$3,daily_items,XLOOKUP($C141,daily_dates,big_daily_table)))</f>
        <v>#N/A</v>
      </c>
    </row>
    <row r="142" ht="14.25" customHeight="1">
      <c r="B142" s="7">
        <v>41047.0</v>
      </c>
      <c r="C142" s="7">
        <f t="shared" si="1"/>
        <v>41042</v>
      </c>
      <c r="D142" s="1" t="str">
        <f t="array" ref="D142">IF(ISBLANK(XLOOKUP(D$3,daily_items,XLOOKUP($C142,daily_dates,big_daily_table))),NA(),XLOOKUP(D$3,daily_items,XLOOKUP($C142,daily_dates,big_daily_table)))</f>
        <v>#N/A</v>
      </c>
      <c r="E142" s="1" t="str">
        <f t="array" ref="E142">IF(ISBLANK(XLOOKUP(E$3,daily_items,XLOOKUP($C142,daily_dates,big_daily_table))),NA(),XLOOKUP(E$3,daily_items,XLOOKUP($C142,daily_dates,big_daily_table)))</f>
        <v>#N/A</v>
      </c>
    </row>
    <row r="143" ht="14.25" customHeight="1">
      <c r="B143" s="7">
        <v>41048.0</v>
      </c>
      <c r="C143" s="7">
        <f t="shared" si="1"/>
        <v>41042</v>
      </c>
      <c r="D143" s="1" t="str">
        <f t="array" ref="D143">IF(ISBLANK(XLOOKUP(D$3,daily_items,XLOOKUP($C143,daily_dates,big_daily_table))),NA(),XLOOKUP(D$3,daily_items,XLOOKUP($C143,daily_dates,big_daily_table)))</f>
        <v>#N/A</v>
      </c>
      <c r="E143" s="1" t="str">
        <f t="array" ref="E143">IF(ISBLANK(XLOOKUP(E$3,daily_items,XLOOKUP($C143,daily_dates,big_daily_table))),NA(),XLOOKUP(E$3,daily_items,XLOOKUP($C143,daily_dates,big_daily_table)))</f>
        <v>#N/A</v>
      </c>
    </row>
    <row r="144" ht="14.25" customHeight="1">
      <c r="B144" s="7">
        <v>41049.0</v>
      </c>
      <c r="C144" s="7">
        <f t="shared" si="1"/>
        <v>41049</v>
      </c>
      <c r="D144" s="1" t="str">
        <f t="array" ref="D144">IF(ISBLANK(XLOOKUP(D$3,daily_items,XLOOKUP($C144,daily_dates,big_daily_table))),NA(),XLOOKUP(D$3,daily_items,XLOOKUP($C144,daily_dates,big_daily_table)))</f>
        <v>#N/A</v>
      </c>
      <c r="E144" s="1" t="str">
        <f t="array" ref="E144">IF(ISBLANK(XLOOKUP(E$3,daily_items,XLOOKUP($C144,daily_dates,big_daily_table))),NA(),XLOOKUP(E$3,daily_items,XLOOKUP($C144,daily_dates,big_daily_table)))</f>
        <v>#N/A</v>
      </c>
    </row>
    <row r="145" ht="14.25" customHeight="1">
      <c r="B145" s="7">
        <v>41050.0</v>
      </c>
      <c r="C145" s="7">
        <f t="shared" si="1"/>
        <v>41049</v>
      </c>
      <c r="D145" s="1" t="str">
        <f t="array" ref="D145">IF(ISBLANK(XLOOKUP(D$3,daily_items,XLOOKUP($C145,daily_dates,big_daily_table))),NA(),XLOOKUP(D$3,daily_items,XLOOKUP($C145,daily_dates,big_daily_table)))</f>
        <v>#N/A</v>
      </c>
      <c r="E145" s="1" t="str">
        <f t="array" ref="E145">IF(ISBLANK(XLOOKUP(E$3,daily_items,XLOOKUP($C145,daily_dates,big_daily_table))),NA(),XLOOKUP(E$3,daily_items,XLOOKUP($C145,daily_dates,big_daily_table)))</f>
        <v>#N/A</v>
      </c>
    </row>
    <row r="146" ht="14.25" customHeight="1">
      <c r="B146" s="7">
        <v>41051.0</v>
      </c>
      <c r="C146" s="7">
        <f t="shared" si="1"/>
        <v>41049</v>
      </c>
      <c r="D146" s="1" t="str">
        <f t="array" ref="D146">IF(ISBLANK(XLOOKUP(D$3,daily_items,XLOOKUP($C146,daily_dates,big_daily_table))),NA(),XLOOKUP(D$3,daily_items,XLOOKUP($C146,daily_dates,big_daily_table)))</f>
        <v>#N/A</v>
      </c>
      <c r="E146" s="1" t="str">
        <f t="array" ref="E146">IF(ISBLANK(XLOOKUP(E$3,daily_items,XLOOKUP($C146,daily_dates,big_daily_table))),NA(),XLOOKUP(E$3,daily_items,XLOOKUP($C146,daily_dates,big_daily_table)))</f>
        <v>#N/A</v>
      </c>
    </row>
    <row r="147" ht="14.25" customHeight="1">
      <c r="B147" s="7">
        <v>41052.0</v>
      </c>
      <c r="C147" s="7">
        <f t="shared" si="1"/>
        <v>41049</v>
      </c>
      <c r="D147" s="1" t="str">
        <f t="array" ref="D147">IF(ISBLANK(XLOOKUP(D$3,daily_items,XLOOKUP($C147,daily_dates,big_daily_table))),NA(),XLOOKUP(D$3,daily_items,XLOOKUP($C147,daily_dates,big_daily_table)))</f>
        <v>#N/A</v>
      </c>
      <c r="E147" s="1" t="str">
        <f t="array" ref="E147">IF(ISBLANK(XLOOKUP(E$3,daily_items,XLOOKUP($C147,daily_dates,big_daily_table))),NA(),XLOOKUP(E$3,daily_items,XLOOKUP($C147,daily_dates,big_daily_table)))</f>
        <v>#N/A</v>
      </c>
    </row>
    <row r="148" ht="14.25" customHeight="1">
      <c r="B148" s="7">
        <v>41053.0</v>
      </c>
      <c r="C148" s="7">
        <f t="shared" si="1"/>
        <v>41049</v>
      </c>
      <c r="D148" s="1" t="str">
        <f t="array" ref="D148">IF(ISBLANK(XLOOKUP(D$3,daily_items,XLOOKUP($C148,daily_dates,big_daily_table))),NA(),XLOOKUP(D$3,daily_items,XLOOKUP($C148,daily_dates,big_daily_table)))</f>
        <v>#N/A</v>
      </c>
      <c r="E148" s="1" t="str">
        <f t="array" ref="E148">IF(ISBLANK(XLOOKUP(E$3,daily_items,XLOOKUP($C148,daily_dates,big_daily_table))),NA(),XLOOKUP(E$3,daily_items,XLOOKUP($C148,daily_dates,big_daily_table)))</f>
        <v>#N/A</v>
      </c>
    </row>
    <row r="149" ht="14.25" customHeight="1">
      <c r="B149" s="7">
        <v>41054.0</v>
      </c>
      <c r="C149" s="7">
        <f t="shared" si="1"/>
        <v>41049</v>
      </c>
      <c r="D149" s="1" t="str">
        <f t="array" ref="D149">IF(ISBLANK(XLOOKUP(D$3,daily_items,XLOOKUP($C149,daily_dates,big_daily_table))),NA(),XLOOKUP(D$3,daily_items,XLOOKUP($C149,daily_dates,big_daily_table)))</f>
        <v>#N/A</v>
      </c>
      <c r="E149" s="1" t="str">
        <f t="array" ref="E149">IF(ISBLANK(XLOOKUP(E$3,daily_items,XLOOKUP($C149,daily_dates,big_daily_table))),NA(),XLOOKUP(E$3,daily_items,XLOOKUP($C149,daily_dates,big_daily_table)))</f>
        <v>#N/A</v>
      </c>
    </row>
    <row r="150" ht="14.25" customHeight="1">
      <c r="B150" s="7">
        <v>41055.0</v>
      </c>
      <c r="C150" s="7">
        <f t="shared" si="1"/>
        <v>41049</v>
      </c>
      <c r="D150" s="1" t="str">
        <f t="array" ref="D150">IF(ISBLANK(XLOOKUP(D$3,daily_items,XLOOKUP($C150,daily_dates,big_daily_table))),NA(),XLOOKUP(D$3,daily_items,XLOOKUP($C150,daily_dates,big_daily_table)))</f>
        <v>#N/A</v>
      </c>
      <c r="E150" s="1" t="str">
        <f t="array" ref="E150">IF(ISBLANK(XLOOKUP(E$3,daily_items,XLOOKUP($C150,daily_dates,big_daily_table))),NA(),XLOOKUP(E$3,daily_items,XLOOKUP($C150,daily_dates,big_daily_table)))</f>
        <v>#N/A</v>
      </c>
    </row>
    <row r="151" ht="14.25" customHeight="1">
      <c r="B151" s="7">
        <v>41056.0</v>
      </c>
      <c r="C151" s="7">
        <f t="shared" si="1"/>
        <v>41056</v>
      </c>
      <c r="D151" s="1" t="str">
        <f t="array" ref="D151">IF(ISBLANK(XLOOKUP(D$3,daily_items,XLOOKUP($C151,daily_dates,big_daily_table))),NA(),XLOOKUP(D$3,daily_items,XLOOKUP($C151,daily_dates,big_daily_table)))</f>
        <v>#N/A</v>
      </c>
      <c r="E151" s="1" t="str">
        <f t="array" ref="E151">IF(ISBLANK(XLOOKUP(E$3,daily_items,XLOOKUP($C151,daily_dates,big_daily_table))),NA(),XLOOKUP(E$3,daily_items,XLOOKUP($C151,daily_dates,big_daily_table)))</f>
        <v>#N/A</v>
      </c>
    </row>
    <row r="152" ht="14.25" customHeight="1">
      <c r="B152" s="7">
        <v>41057.0</v>
      </c>
      <c r="C152" s="7">
        <f t="shared" si="1"/>
        <v>41056</v>
      </c>
      <c r="D152" s="1" t="str">
        <f t="array" ref="D152">IF(ISBLANK(XLOOKUP(D$3,daily_items,XLOOKUP($C152,daily_dates,big_daily_table))),NA(),XLOOKUP(D$3,daily_items,XLOOKUP($C152,daily_dates,big_daily_table)))</f>
        <v>#N/A</v>
      </c>
      <c r="E152" s="1" t="str">
        <f t="array" ref="E152">IF(ISBLANK(XLOOKUP(E$3,daily_items,XLOOKUP($C152,daily_dates,big_daily_table))),NA(),XLOOKUP(E$3,daily_items,XLOOKUP($C152,daily_dates,big_daily_table)))</f>
        <v>#N/A</v>
      </c>
    </row>
    <row r="153" ht="14.25" customHeight="1">
      <c r="B153" s="7">
        <v>41058.0</v>
      </c>
      <c r="C153" s="7">
        <f t="shared" si="1"/>
        <v>41056</v>
      </c>
      <c r="D153" s="1" t="str">
        <f t="array" ref="D153">IF(ISBLANK(XLOOKUP(D$3,daily_items,XLOOKUP($C153,daily_dates,big_daily_table))),NA(),XLOOKUP(D$3,daily_items,XLOOKUP($C153,daily_dates,big_daily_table)))</f>
        <v>#N/A</v>
      </c>
      <c r="E153" s="1" t="str">
        <f t="array" ref="E153">IF(ISBLANK(XLOOKUP(E$3,daily_items,XLOOKUP($C153,daily_dates,big_daily_table))),NA(),XLOOKUP(E$3,daily_items,XLOOKUP($C153,daily_dates,big_daily_table)))</f>
        <v>#N/A</v>
      </c>
    </row>
    <row r="154" ht="14.25" customHeight="1">
      <c r="B154" s="7">
        <v>41059.0</v>
      </c>
      <c r="C154" s="7">
        <f t="shared" si="1"/>
        <v>41056</v>
      </c>
      <c r="D154" s="1" t="str">
        <f t="array" ref="D154">IF(ISBLANK(XLOOKUP(D$3,daily_items,XLOOKUP($C154,daily_dates,big_daily_table))),NA(),XLOOKUP(D$3,daily_items,XLOOKUP($C154,daily_dates,big_daily_table)))</f>
        <v>#N/A</v>
      </c>
      <c r="E154" s="1" t="str">
        <f t="array" ref="E154">IF(ISBLANK(XLOOKUP(E$3,daily_items,XLOOKUP($C154,daily_dates,big_daily_table))),NA(),XLOOKUP(E$3,daily_items,XLOOKUP($C154,daily_dates,big_daily_table)))</f>
        <v>#N/A</v>
      </c>
    </row>
    <row r="155" ht="14.25" customHeight="1">
      <c r="B155" s="7">
        <v>41060.0</v>
      </c>
      <c r="C155" s="7">
        <f t="shared" si="1"/>
        <v>41056</v>
      </c>
      <c r="D155" s="1" t="str">
        <f t="array" ref="D155">IF(ISBLANK(XLOOKUP(D$3,daily_items,XLOOKUP($C155,daily_dates,big_daily_table))),NA(),XLOOKUP(D$3,daily_items,XLOOKUP($C155,daily_dates,big_daily_table)))</f>
        <v>#N/A</v>
      </c>
      <c r="E155" s="1" t="str">
        <f t="array" ref="E155">IF(ISBLANK(XLOOKUP(E$3,daily_items,XLOOKUP($C155,daily_dates,big_daily_table))),NA(),XLOOKUP(E$3,daily_items,XLOOKUP($C155,daily_dates,big_daily_table)))</f>
        <v>#N/A</v>
      </c>
    </row>
    <row r="156" ht="14.25" customHeight="1">
      <c r="B156" s="7">
        <v>41061.0</v>
      </c>
      <c r="C156" s="7">
        <f t="shared" si="1"/>
        <v>41056</v>
      </c>
      <c r="D156" s="1" t="str">
        <f t="array" ref="D156">IF(ISBLANK(XLOOKUP(D$3,daily_items,XLOOKUP($C156,daily_dates,big_daily_table))),NA(),XLOOKUP(D$3,daily_items,XLOOKUP($C156,daily_dates,big_daily_table)))</f>
        <v>#N/A</v>
      </c>
      <c r="E156" s="1" t="str">
        <f t="array" ref="E156">IF(ISBLANK(XLOOKUP(E$3,daily_items,XLOOKUP($C156,daily_dates,big_daily_table))),NA(),XLOOKUP(E$3,daily_items,XLOOKUP($C156,daily_dates,big_daily_table)))</f>
        <v>#N/A</v>
      </c>
    </row>
    <row r="157" ht="14.25" customHeight="1">
      <c r="B157" s="7">
        <v>41062.0</v>
      </c>
      <c r="C157" s="7">
        <f t="shared" si="1"/>
        <v>41056</v>
      </c>
      <c r="D157" s="1" t="str">
        <f t="array" ref="D157">IF(ISBLANK(XLOOKUP(D$3,daily_items,XLOOKUP($C157,daily_dates,big_daily_table))),NA(),XLOOKUP(D$3,daily_items,XLOOKUP($C157,daily_dates,big_daily_table)))</f>
        <v>#N/A</v>
      </c>
      <c r="E157" s="1" t="str">
        <f t="array" ref="E157">IF(ISBLANK(XLOOKUP(E$3,daily_items,XLOOKUP($C157,daily_dates,big_daily_table))),NA(),XLOOKUP(E$3,daily_items,XLOOKUP($C157,daily_dates,big_daily_table)))</f>
        <v>#N/A</v>
      </c>
    </row>
    <row r="158" ht="14.25" customHeight="1">
      <c r="B158" s="7">
        <v>41063.0</v>
      </c>
      <c r="C158" s="7">
        <f t="shared" si="1"/>
        <v>41063</v>
      </c>
      <c r="D158" s="1" t="str">
        <f t="array" ref="D158">IF(ISBLANK(XLOOKUP(D$3,daily_items,XLOOKUP($C158,daily_dates,big_daily_table))),NA(),XLOOKUP(D$3,daily_items,XLOOKUP($C158,daily_dates,big_daily_table)))</f>
        <v>#N/A</v>
      </c>
      <c r="E158" s="1" t="str">
        <f t="array" ref="E158">IF(ISBLANK(XLOOKUP(E$3,daily_items,XLOOKUP($C158,daily_dates,big_daily_table))),NA(),XLOOKUP(E$3,daily_items,XLOOKUP($C158,daily_dates,big_daily_table)))</f>
        <v>#N/A</v>
      </c>
    </row>
    <row r="159" ht="14.25" customHeight="1">
      <c r="B159" s="7">
        <v>41064.0</v>
      </c>
      <c r="C159" s="7">
        <f t="shared" si="1"/>
        <v>41063</v>
      </c>
      <c r="D159" s="1" t="str">
        <f t="array" ref="D159">IF(ISBLANK(XLOOKUP(D$3,daily_items,XLOOKUP($C159,daily_dates,big_daily_table))),NA(),XLOOKUP(D$3,daily_items,XLOOKUP($C159,daily_dates,big_daily_table)))</f>
        <v>#N/A</v>
      </c>
      <c r="E159" s="1" t="str">
        <f t="array" ref="E159">IF(ISBLANK(XLOOKUP(E$3,daily_items,XLOOKUP($C159,daily_dates,big_daily_table))),NA(),XLOOKUP(E$3,daily_items,XLOOKUP($C159,daily_dates,big_daily_table)))</f>
        <v>#N/A</v>
      </c>
    </row>
    <row r="160" ht="14.25" customHeight="1">
      <c r="B160" s="7">
        <v>41065.0</v>
      </c>
      <c r="C160" s="7">
        <f t="shared" si="1"/>
        <v>41063</v>
      </c>
      <c r="D160" s="1" t="str">
        <f t="array" ref="D160">IF(ISBLANK(XLOOKUP(D$3,daily_items,XLOOKUP($C160,daily_dates,big_daily_table))),NA(),XLOOKUP(D$3,daily_items,XLOOKUP($C160,daily_dates,big_daily_table)))</f>
        <v>#N/A</v>
      </c>
      <c r="E160" s="1" t="str">
        <f t="array" ref="E160">IF(ISBLANK(XLOOKUP(E$3,daily_items,XLOOKUP($C160,daily_dates,big_daily_table))),NA(),XLOOKUP(E$3,daily_items,XLOOKUP($C160,daily_dates,big_daily_table)))</f>
        <v>#N/A</v>
      </c>
    </row>
    <row r="161" ht="14.25" customHeight="1">
      <c r="B161" s="7">
        <v>41066.0</v>
      </c>
      <c r="C161" s="7">
        <f t="shared" si="1"/>
        <v>41063</v>
      </c>
      <c r="D161" s="1" t="str">
        <f t="array" ref="D161">IF(ISBLANK(XLOOKUP(D$3,daily_items,XLOOKUP($C161,daily_dates,big_daily_table))),NA(),XLOOKUP(D$3,daily_items,XLOOKUP($C161,daily_dates,big_daily_table)))</f>
        <v>#N/A</v>
      </c>
      <c r="E161" s="1" t="str">
        <f t="array" ref="E161">IF(ISBLANK(XLOOKUP(E$3,daily_items,XLOOKUP($C161,daily_dates,big_daily_table))),NA(),XLOOKUP(E$3,daily_items,XLOOKUP($C161,daily_dates,big_daily_table)))</f>
        <v>#N/A</v>
      </c>
    </row>
    <row r="162" ht="14.25" customHeight="1">
      <c r="B162" s="7">
        <v>41067.0</v>
      </c>
      <c r="C162" s="7">
        <f t="shared" si="1"/>
        <v>41063</v>
      </c>
      <c r="D162" s="1" t="str">
        <f t="array" ref="D162">IF(ISBLANK(XLOOKUP(D$3,daily_items,XLOOKUP($C162,daily_dates,big_daily_table))),NA(),XLOOKUP(D$3,daily_items,XLOOKUP($C162,daily_dates,big_daily_table)))</f>
        <v>#N/A</v>
      </c>
      <c r="E162" s="1" t="str">
        <f t="array" ref="E162">IF(ISBLANK(XLOOKUP(E$3,daily_items,XLOOKUP($C162,daily_dates,big_daily_table))),NA(),XLOOKUP(E$3,daily_items,XLOOKUP($C162,daily_dates,big_daily_table)))</f>
        <v>#N/A</v>
      </c>
    </row>
    <row r="163" ht="14.25" customHeight="1">
      <c r="B163" s="7">
        <v>41068.0</v>
      </c>
      <c r="C163" s="7">
        <f t="shared" si="1"/>
        <v>41063</v>
      </c>
      <c r="D163" s="1" t="str">
        <f t="array" ref="D163">IF(ISBLANK(XLOOKUP(D$3,daily_items,XLOOKUP($C163,daily_dates,big_daily_table))),NA(),XLOOKUP(D$3,daily_items,XLOOKUP($C163,daily_dates,big_daily_table)))</f>
        <v>#N/A</v>
      </c>
      <c r="E163" s="1" t="str">
        <f t="array" ref="E163">IF(ISBLANK(XLOOKUP(E$3,daily_items,XLOOKUP($C163,daily_dates,big_daily_table))),NA(),XLOOKUP(E$3,daily_items,XLOOKUP($C163,daily_dates,big_daily_table)))</f>
        <v>#N/A</v>
      </c>
    </row>
    <row r="164" ht="14.25" customHeight="1">
      <c r="B164" s="7">
        <v>41069.0</v>
      </c>
      <c r="C164" s="7">
        <f t="shared" si="1"/>
        <v>41063</v>
      </c>
      <c r="D164" s="1" t="str">
        <f t="array" ref="D164">IF(ISBLANK(XLOOKUP(D$3,daily_items,XLOOKUP($C164,daily_dates,big_daily_table))),NA(),XLOOKUP(D$3,daily_items,XLOOKUP($C164,daily_dates,big_daily_table)))</f>
        <v>#N/A</v>
      </c>
      <c r="E164" s="1" t="str">
        <f t="array" ref="E164">IF(ISBLANK(XLOOKUP(E$3,daily_items,XLOOKUP($C164,daily_dates,big_daily_table))),NA(),XLOOKUP(E$3,daily_items,XLOOKUP($C164,daily_dates,big_daily_table)))</f>
        <v>#N/A</v>
      </c>
    </row>
    <row r="165" ht="14.25" customHeight="1">
      <c r="B165" s="7">
        <v>41070.0</v>
      </c>
      <c r="C165" s="7">
        <f t="shared" si="1"/>
        <v>41070</v>
      </c>
      <c r="D165" s="1" t="str">
        <f t="array" ref="D165">IF(ISBLANK(XLOOKUP(D$3,daily_items,XLOOKUP($C165,daily_dates,big_daily_table))),NA(),XLOOKUP(D$3,daily_items,XLOOKUP($C165,daily_dates,big_daily_table)))</f>
        <v>#N/A</v>
      </c>
      <c r="E165" s="1" t="str">
        <f t="array" ref="E165">IF(ISBLANK(XLOOKUP(E$3,daily_items,XLOOKUP($C165,daily_dates,big_daily_table))),NA(),XLOOKUP(E$3,daily_items,XLOOKUP($C165,daily_dates,big_daily_table)))</f>
        <v>#N/A</v>
      </c>
    </row>
    <row r="166" ht="14.25" customHeight="1">
      <c r="B166" s="7">
        <v>41071.0</v>
      </c>
      <c r="C166" s="7">
        <f t="shared" si="1"/>
        <v>41070</v>
      </c>
      <c r="D166" s="1" t="str">
        <f t="array" ref="D166">IF(ISBLANK(XLOOKUP(D$3,daily_items,XLOOKUP($C166,daily_dates,big_daily_table))),NA(),XLOOKUP(D$3,daily_items,XLOOKUP($C166,daily_dates,big_daily_table)))</f>
        <v>#N/A</v>
      </c>
      <c r="E166" s="1" t="str">
        <f t="array" ref="E166">IF(ISBLANK(XLOOKUP(E$3,daily_items,XLOOKUP($C166,daily_dates,big_daily_table))),NA(),XLOOKUP(E$3,daily_items,XLOOKUP($C166,daily_dates,big_daily_table)))</f>
        <v>#N/A</v>
      </c>
    </row>
    <row r="167" ht="14.25" customHeight="1">
      <c r="B167" s="7">
        <v>41072.0</v>
      </c>
      <c r="C167" s="7">
        <f t="shared" si="1"/>
        <v>41070</v>
      </c>
      <c r="D167" s="1" t="str">
        <f t="array" ref="D167">IF(ISBLANK(XLOOKUP(D$3,daily_items,XLOOKUP($C167,daily_dates,big_daily_table))),NA(),XLOOKUP(D$3,daily_items,XLOOKUP($C167,daily_dates,big_daily_table)))</f>
        <v>#N/A</v>
      </c>
      <c r="E167" s="1" t="str">
        <f t="array" ref="E167">IF(ISBLANK(XLOOKUP(E$3,daily_items,XLOOKUP($C167,daily_dates,big_daily_table))),NA(),XLOOKUP(E$3,daily_items,XLOOKUP($C167,daily_dates,big_daily_table)))</f>
        <v>#N/A</v>
      </c>
    </row>
    <row r="168" ht="14.25" customHeight="1">
      <c r="B168" s="7">
        <v>41073.0</v>
      </c>
      <c r="C168" s="7">
        <f t="shared" si="1"/>
        <v>41070</v>
      </c>
      <c r="D168" s="1" t="str">
        <f t="array" ref="D168">IF(ISBLANK(XLOOKUP(D$3,daily_items,XLOOKUP($C168,daily_dates,big_daily_table))),NA(),XLOOKUP(D$3,daily_items,XLOOKUP($C168,daily_dates,big_daily_table)))</f>
        <v>#N/A</v>
      </c>
      <c r="E168" s="1" t="str">
        <f t="array" ref="E168">IF(ISBLANK(XLOOKUP(E$3,daily_items,XLOOKUP($C168,daily_dates,big_daily_table))),NA(),XLOOKUP(E$3,daily_items,XLOOKUP($C168,daily_dates,big_daily_table)))</f>
        <v>#N/A</v>
      </c>
    </row>
    <row r="169" ht="14.25" customHeight="1">
      <c r="B169" s="7">
        <v>41074.0</v>
      </c>
      <c r="C169" s="7">
        <f t="shared" si="1"/>
        <v>41070</v>
      </c>
      <c r="D169" s="1" t="str">
        <f t="array" ref="D169">IF(ISBLANK(XLOOKUP(D$3,daily_items,XLOOKUP($C169,daily_dates,big_daily_table))),NA(),XLOOKUP(D$3,daily_items,XLOOKUP($C169,daily_dates,big_daily_table)))</f>
        <v>#N/A</v>
      </c>
      <c r="E169" s="1" t="str">
        <f t="array" ref="E169">IF(ISBLANK(XLOOKUP(E$3,daily_items,XLOOKUP($C169,daily_dates,big_daily_table))),NA(),XLOOKUP(E$3,daily_items,XLOOKUP($C169,daily_dates,big_daily_table)))</f>
        <v>#N/A</v>
      </c>
    </row>
    <row r="170" ht="14.25" customHeight="1">
      <c r="B170" s="7">
        <v>41075.0</v>
      </c>
      <c r="C170" s="7">
        <f t="shared" si="1"/>
        <v>41070</v>
      </c>
      <c r="D170" s="1" t="str">
        <f t="array" ref="D170">IF(ISBLANK(XLOOKUP(D$3,daily_items,XLOOKUP($C170,daily_dates,big_daily_table))),NA(),XLOOKUP(D$3,daily_items,XLOOKUP($C170,daily_dates,big_daily_table)))</f>
        <v>#N/A</v>
      </c>
      <c r="E170" s="1" t="str">
        <f t="array" ref="E170">IF(ISBLANK(XLOOKUP(E$3,daily_items,XLOOKUP($C170,daily_dates,big_daily_table))),NA(),XLOOKUP(E$3,daily_items,XLOOKUP($C170,daily_dates,big_daily_table)))</f>
        <v>#N/A</v>
      </c>
    </row>
    <row r="171" ht="14.25" customHeight="1">
      <c r="B171" s="7">
        <v>41076.0</v>
      </c>
      <c r="C171" s="7">
        <f t="shared" si="1"/>
        <v>41070</v>
      </c>
      <c r="D171" s="1" t="str">
        <f t="array" ref="D171">IF(ISBLANK(XLOOKUP(D$3,daily_items,XLOOKUP($C171,daily_dates,big_daily_table))),NA(),XLOOKUP(D$3,daily_items,XLOOKUP($C171,daily_dates,big_daily_table)))</f>
        <v>#N/A</v>
      </c>
      <c r="E171" s="1" t="str">
        <f t="array" ref="E171">IF(ISBLANK(XLOOKUP(E$3,daily_items,XLOOKUP($C171,daily_dates,big_daily_table))),NA(),XLOOKUP(E$3,daily_items,XLOOKUP($C171,daily_dates,big_daily_table)))</f>
        <v>#N/A</v>
      </c>
    </row>
    <row r="172" ht="14.25" customHeight="1">
      <c r="B172" s="7">
        <v>41077.0</v>
      </c>
      <c r="C172" s="7">
        <f t="shared" si="1"/>
        <v>41077</v>
      </c>
      <c r="D172" s="1" t="str">
        <f t="array" ref="D172">IF(ISBLANK(XLOOKUP(D$3,daily_items,XLOOKUP($C172,daily_dates,big_daily_table))),NA(),XLOOKUP(D$3,daily_items,XLOOKUP($C172,daily_dates,big_daily_table)))</f>
        <v>#N/A</v>
      </c>
      <c r="E172" s="1" t="str">
        <f t="array" ref="E172">IF(ISBLANK(XLOOKUP(E$3,daily_items,XLOOKUP($C172,daily_dates,big_daily_table))),NA(),XLOOKUP(E$3,daily_items,XLOOKUP($C172,daily_dates,big_daily_table)))</f>
        <v>#N/A</v>
      </c>
    </row>
    <row r="173" ht="14.25" customHeight="1">
      <c r="B173" s="7">
        <v>41078.0</v>
      </c>
      <c r="C173" s="7">
        <f t="shared" si="1"/>
        <v>41077</v>
      </c>
      <c r="D173" s="1" t="str">
        <f t="array" ref="D173">IF(ISBLANK(XLOOKUP(D$3,daily_items,XLOOKUP($C173,daily_dates,big_daily_table))),NA(),XLOOKUP(D$3,daily_items,XLOOKUP($C173,daily_dates,big_daily_table)))</f>
        <v>#N/A</v>
      </c>
      <c r="E173" s="1" t="str">
        <f t="array" ref="E173">IF(ISBLANK(XLOOKUP(E$3,daily_items,XLOOKUP($C173,daily_dates,big_daily_table))),NA(),XLOOKUP(E$3,daily_items,XLOOKUP($C173,daily_dates,big_daily_table)))</f>
        <v>#N/A</v>
      </c>
    </row>
    <row r="174" ht="14.25" customHeight="1">
      <c r="B174" s="7">
        <v>41079.0</v>
      </c>
      <c r="C174" s="7">
        <f t="shared" si="1"/>
        <v>41077</v>
      </c>
      <c r="D174" s="1" t="str">
        <f t="array" ref="D174">IF(ISBLANK(XLOOKUP(D$3,daily_items,XLOOKUP($C174,daily_dates,big_daily_table))),NA(),XLOOKUP(D$3,daily_items,XLOOKUP($C174,daily_dates,big_daily_table)))</f>
        <v>#N/A</v>
      </c>
      <c r="E174" s="1" t="str">
        <f t="array" ref="E174">IF(ISBLANK(XLOOKUP(E$3,daily_items,XLOOKUP($C174,daily_dates,big_daily_table))),NA(),XLOOKUP(E$3,daily_items,XLOOKUP($C174,daily_dates,big_daily_table)))</f>
        <v>#N/A</v>
      </c>
    </row>
    <row r="175" ht="14.25" customHeight="1">
      <c r="B175" s="7">
        <v>41080.0</v>
      </c>
      <c r="C175" s="7">
        <f t="shared" si="1"/>
        <v>41077</v>
      </c>
      <c r="D175" s="1" t="str">
        <f t="array" ref="D175">IF(ISBLANK(XLOOKUP(D$3,daily_items,XLOOKUP($C175,daily_dates,big_daily_table))),NA(),XLOOKUP(D$3,daily_items,XLOOKUP($C175,daily_dates,big_daily_table)))</f>
        <v>#N/A</v>
      </c>
      <c r="E175" s="1" t="str">
        <f t="array" ref="E175">IF(ISBLANK(XLOOKUP(E$3,daily_items,XLOOKUP($C175,daily_dates,big_daily_table))),NA(),XLOOKUP(E$3,daily_items,XLOOKUP($C175,daily_dates,big_daily_table)))</f>
        <v>#N/A</v>
      </c>
    </row>
    <row r="176" ht="14.25" customHeight="1">
      <c r="B176" s="7">
        <v>41081.0</v>
      </c>
      <c r="C176" s="7">
        <f t="shared" si="1"/>
        <v>41077</v>
      </c>
      <c r="D176" s="1" t="str">
        <f t="array" ref="D176">IF(ISBLANK(XLOOKUP(D$3,daily_items,XLOOKUP($C176,daily_dates,big_daily_table))),NA(),XLOOKUP(D$3,daily_items,XLOOKUP($C176,daily_dates,big_daily_table)))</f>
        <v>#N/A</v>
      </c>
      <c r="E176" s="1" t="str">
        <f t="array" ref="E176">IF(ISBLANK(XLOOKUP(E$3,daily_items,XLOOKUP($C176,daily_dates,big_daily_table))),NA(),XLOOKUP(E$3,daily_items,XLOOKUP($C176,daily_dates,big_daily_table)))</f>
        <v>#N/A</v>
      </c>
    </row>
    <row r="177" ht="14.25" customHeight="1">
      <c r="B177" s="7">
        <v>41082.0</v>
      </c>
      <c r="C177" s="7">
        <f t="shared" si="1"/>
        <v>41077</v>
      </c>
      <c r="D177" s="1" t="str">
        <f t="array" ref="D177">IF(ISBLANK(XLOOKUP(D$3,daily_items,XLOOKUP($C177,daily_dates,big_daily_table))),NA(),XLOOKUP(D$3,daily_items,XLOOKUP($C177,daily_dates,big_daily_table)))</f>
        <v>#N/A</v>
      </c>
      <c r="E177" s="1" t="str">
        <f t="array" ref="E177">IF(ISBLANK(XLOOKUP(E$3,daily_items,XLOOKUP($C177,daily_dates,big_daily_table))),NA(),XLOOKUP(E$3,daily_items,XLOOKUP($C177,daily_dates,big_daily_table)))</f>
        <v>#N/A</v>
      </c>
    </row>
    <row r="178" ht="14.25" customHeight="1">
      <c r="B178" s="7">
        <v>41083.0</v>
      </c>
      <c r="C178" s="7">
        <f t="shared" si="1"/>
        <v>41077</v>
      </c>
      <c r="D178" s="1" t="str">
        <f t="array" ref="D178">IF(ISBLANK(XLOOKUP(D$3,daily_items,XLOOKUP($C178,daily_dates,big_daily_table))),NA(),XLOOKUP(D$3,daily_items,XLOOKUP($C178,daily_dates,big_daily_table)))</f>
        <v>#N/A</v>
      </c>
      <c r="E178" s="1" t="str">
        <f t="array" ref="E178">IF(ISBLANK(XLOOKUP(E$3,daily_items,XLOOKUP($C178,daily_dates,big_daily_table))),NA(),XLOOKUP(E$3,daily_items,XLOOKUP($C178,daily_dates,big_daily_table)))</f>
        <v>#N/A</v>
      </c>
    </row>
    <row r="179" ht="14.25" customHeight="1">
      <c r="B179" s="7">
        <v>41084.0</v>
      </c>
      <c r="C179" s="7">
        <f t="shared" si="1"/>
        <v>41084</v>
      </c>
      <c r="D179" s="1" t="str">
        <f t="array" ref="D179">IF(ISBLANK(XLOOKUP(D$3,daily_items,XLOOKUP($C179,daily_dates,big_daily_table))),NA(),XLOOKUP(D$3,daily_items,XLOOKUP($C179,daily_dates,big_daily_table)))</f>
        <v>#N/A</v>
      </c>
      <c r="E179" s="1" t="str">
        <f t="array" ref="E179">IF(ISBLANK(XLOOKUP(E$3,daily_items,XLOOKUP($C179,daily_dates,big_daily_table))),NA(),XLOOKUP(E$3,daily_items,XLOOKUP($C179,daily_dates,big_daily_table)))</f>
        <v>#N/A</v>
      </c>
    </row>
    <row r="180" ht="14.25" customHeight="1">
      <c r="B180" s="7">
        <v>41085.0</v>
      </c>
      <c r="C180" s="7">
        <f t="shared" si="1"/>
        <v>41084</v>
      </c>
      <c r="D180" s="1" t="str">
        <f t="array" ref="D180">IF(ISBLANK(XLOOKUP(D$3,daily_items,XLOOKUP($C180,daily_dates,big_daily_table))),NA(),XLOOKUP(D$3,daily_items,XLOOKUP($C180,daily_dates,big_daily_table)))</f>
        <v>#N/A</v>
      </c>
      <c r="E180" s="1" t="str">
        <f t="array" ref="E180">IF(ISBLANK(XLOOKUP(E$3,daily_items,XLOOKUP($C180,daily_dates,big_daily_table))),NA(),XLOOKUP(E$3,daily_items,XLOOKUP($C180,daily_dates,big_daily_table)))</f>
        <v>#N/A</v>
      </c>
    </row>
    <row r="181" ht="14.25" customHeight="1">
      <c r="B181" s="7">
        <v>41086.0</v>
      </c>
      <c r="C181" s="7">
        <f t="shared" si="1"/>
        <v>41084</v>
      </c>
      <c r="D181" s="1" t="str">
        <f t="array" ref="D181">IF(ISBLANK(XLOOKUP(D$3,daily_items,XLOOKUP($C181,daily_dates,big_daily_table))),NA(),XLOOKUP(D$3,daily_items,XLOOKUP($C181,daily_dates,big_daily_table)))</f>
        <v>#N/A</v>
      </c>
      <c r="E181" s="1" t="str">
        <f t="array" ref="E181">IF(ISBLANK(XLOOKUP(E$3,daily_items,XLOOKUP($C181,daily_dates,big_daily_table))),NA(),XLOOKUP(E$3,daily_items,XLOOKUP($C181,daily_dates,big_daily_table)))</f>
        <v>#N/A</v>
      </c>
    </row>
    <row r="182" ht="14.25" customHeight="1">
      <c r="B182" s="7">
        <v>41087.0</v>
      </c>
      <c r="C182" s="7">
        <f t="shared" si="1"/>
        <v>41084</v>
      </c>
      <c r="D182" s="1" t="str">
        <f t="array" ref="D182">IF(ISBLANK(XLOOKUP(D$3,daily_items,XLOOKUP($C182,daily_dates,big_daily_table))),NA(),XLOOKUP(D$3,daily_items,XLOOKUP($C182,daily_dates,big_daily_table)))</f>
        <v>#N/A</v>
      </c>
      <c r="E182" s="1" t="str">
        <f t="array" ref="E182">IF(ISBLANK(XLOOKUP(E$3,daily_items,XLOOKUP($C182,daily_dates,big_daily_table))),NA(),XLOOKUP(E$3,daily_items,XLOOKUP($C182,daily_dates,big_daily_table)))</f>
        <v>#N/A</v>
      </c>
    </row>
    <row r="183" ht="14.25" customHeight="1">
      <c r="B183" s="7">
        <v>41088.0</v>
      </c>
      <c r="C183" s="7">
        <f t="shared" si="1"/>
        <v>41084</v>
      </c>
      <c r="D183" s="1" t="str">
        <f t="array" ref="D183">IF(ISBLANK(XLOOKUP(D$3,daily_items,XLOOKUP($C183,daily_dates,big_daily_table))),NA(),XLOOKUP(D$3,daily_items,XLOOKUP($C183,daily_dates,big_daily_table)))</f>
        <v>#N/A</v>
      </c>
      <c r="E183" s="1" t="str">
        <f t="array" ref="E183">IF(ISBLANK(XLOOKUP(E$3,daily_items,XLOOKUP($C183,daily_dates,big_daily_table))),NA(),XLOOKUP(E$3,daily_items,XLOOKUP($C183,daily_dates,big_daily_table)))</f>
        <v>#N/A</v>
      </c>
    </row>
    <row r="184" ht="14.25" customHeight="1">
      <c r="B184" s="7">
        <v>41089.0</v>
      </c>
      <c r="C184" s="7">
        <f t="shared" si="1"/>
        <v>41084</v>
      </c>
      <c r="D184" s="1" t="str">
        <f t="array" ref="D184">IF(ISBLANK(XLOOKUP(D$3,daily_items,XLOOKUP($C184,daily_dates,big_daily_table))),NA(),XLOOKUP(D$3,daily_items,XLOOKUP($C184,daily_dates,big_daily_table)))</f>
        <v>#N/A</v>
      </c>
      <c r="E184" s="1" t="str">
        <f t="array" ref="E184">IF(ISBLANK(XLOOKUP(E$3,daily_items,XLOOKUP($C184,daily_dates,big_daily_table))),NA(),XLOOKUP(E$3,daily_items,XLOOKUP($C184,daily_dates,big_daily_table)))</f>
        <v>#N/A</v>
      </c>
    </row>
    <row r="185" ht="14.25" customHeight="1">
      <c r="B185" s="7">
        <v>41090.0</v>
      </c>
      <c r="C185" s="7">
        <f t="shared" si="1"/>
        <v>41084</v>
      </c>
      <c r="D185" s="1" t="str">
        <f t="array" ref="D185">IF(ISBLANK(XLOOKUP(D$3,daily_items,XLOOKUP($C185,daily_dates,big_daily_table))),NA(),XLOOKUP(D$3,daily_items,XLOOKUP($C185,daily_dates,big_daily_table)))</f>
        <v>#N/A</v>
      </c>
      <c r="E185" s="1" t="str">
        <f t="array" ref="E185">IF(ISBLANK(XLOOKUP(E$3,daily_items,XLOOKUP($C185,daily_dates,big_daily_table))),NA(),XLOOKUP(E$3,daily_items,XLOOKUP($C185,daily_dates,big_daily_table)))</f>
        <v>#N/A</v>
      </c>
    </row>
    <row r="186" ht="14.25" customHeight="1">
      <c r="B186" s="7">
        <v>41091.0</v>
      </c>
      <c r="C186" s="7">
        <f t="shared" si="1"/>
        <v>41091</v>
      </c>
      <c r="D186" s="1" t="str">
        <f t="array" ref="D186">IF(ISBLANK(XLOOKUP(D$3,daily_items,XLOOKUP($C186,daily_dates,big_daily_table))),NA(),XLOOKUP(D$3,daily_items,XLOOKUP($C186,daily_dates,big_daily_table)))</f>
        <v>#N/A</v>
      </c>
      <c r="E186" s="1" t="str">
        <f t="array" ref="E186">IF(ISBLANK(XLOOKUP(E$3,daily_items,XLOOKUP($C186,daily_dates,big_daily_table))),NA(),XLOOKUP(E$3,daily_items,XLOOKUP($C186,daily_dates,big_daily_table)))</f>
        <v>#N/A</v>
      </c>
    </row>
    <row r="187" ht="14.25" customHeight="1">
      <c r="B187" s="7">
        <v>41092.0</v>
      </c>
      <c r="C187" s="7">
        <f t="shared" si="1"/>
        <v>41091</v>
      </c>
      <c r="D187" s="1" t="str">
        <f t="array" ref="D187">IF(ISBLANK(XLOOKUP(D$3,daily_items,XLOOKUP($C187,daily_dates,big_daily_table))),NA(),XLOOKUP(D$3,daily_items,XLOOKUP($C187,daily_dates,big_daily_table)))</f>
        <v>#N/A</v>
      </c>
      <c r="E187" s="1" t="str">
        <f t="array" ref="E187">IF(ISBLANK(XLOOKUP(E$3,daily_items,XLOOKUP($C187,daily_dates,big_daily_table))),NA(),XLOOKUP(E$3,daily_items,XLOOKUP($C187,daily_dates,big_daily_table)))</f>
        <v>#N/A</v>
      </c>
    </row>
    <row r="188" ht="14.25" customHeight="1">
      <c r="B188" s="7">
        <v>41093.0</v>
      </c>
      <c r="C188" s="7">
        <f t="shared" si="1"/>
        <v>41091</v>
      </c>
      <c r="D188" s="1" t="str">
        <f t="array" ref="D188">IF(ISBLANK(XLOOKUP(D$3,daily_items,XLOOKUP($C188,daily_dates,big_daily_table))),NA(),XLOOKUP(D$3,daily_items,XLOOKUP($C188,daily_dates,big_daily_table)))</f>
        <v>#N/A</v>
      </c>
      <c r="E188" s="1" t="str">
        <f t="array" ref="E188">IF(ISBLANK(XLOOKUP(E$3,daily_items,XLOOKUP($C188,daily_dates,big_daily_table))),NA(),XLOOKUP(E$3,daily_items,XLOOKUP($C188,daily_dates,big_daily_table)))</f>
        <v>#N/A</v>
      </c>
    </row>
    <row r="189" ht="14.25" customHeight="1">
      <c r="B189" s="7">
        <v>41094.0</v>
      </c>
      <c r="C189" s="7">
        <f t="shared" si="1"/>
        <v>41091</v>
      </c>
      <c r="D189" s="1" t="str">
        <f t="array" ref="D189">IF(ISBLANK(XLOOKUP(D$3,daily_items,XLOOKUP($C189,daily_dates,big_daily_table))),NA(),XLOOKUP(D$3,daily_items,XLOOKUP($C189,daily_dates,big_daily_table)))</f>
        <v>#N/A</v>
      </c>
      <c r="E189" s="1" t="str">
        <f t="array" ref="E189">IF(ISBLANK(XLOOKUP(E$3,daily_items,XLOOKUP($C189,daily_dates,big_daily_table))),NA(),XLOOKUP(E$3,daily_items,XLOOKUP($C189,daily_dates,big_daily_table)))</f>
        <v>#N/A</v>
      </c>
    </row>
    <row r="190" ht="14.25" customHeight="1">
      <c r="B190" s="7">
        <v>41095.0</v>
      </c>
      <c r="C190" s="7">
        <f t="shared" si="1"/>
        <v>41091</v>
      </c>
      <c r="D190" s="1" t="str">
        <f t="array" ref="D190">IF(ISBLANK(XLOOKUP(D$3,daily_items,XLOOKUP($C190,daily_dates,big_daily_table))),NA(),XLOOKUP(D$3,daily_items,XLOOKUP($C190,daily_dates,big_daily_table)))</f>
        <v>#N/A</v>
      </c>
      <c r="E190" s="1" t="str">
        <f t="array" ref="E190">IF(ISBLANK(XLOOKUP(E$3,daily_items,XLOOKUP($C190,daily_dates,big_daily_table))),NA(),XLOOKUP(E$3,daily_items,XLOOKUP($C190,daily_dates,big_daily_table)))</f>
        <v>#N/A</v>
      </c>
    </row>
    <row r="191" ht="14.25" customHeight="1">
      <c r="B191" s="7">
        <v>41096.0</v>
      </c>
      <c r="C191" s="7">
        <f t="shared" si="1"/>
        <v>41091</v>
      </c>
      <c r="D191" s="1" t="str">
        <f t="array" ref="D191">IF(ISBLANK(XLOOKUP(D$3,daily_items,XLOOKUP($C191,daily_dates,big_daily_table))),NA(),XLOOKUP(D$3,daily_items,XLOOKUP($C191,daily_dates,big_daily_table)))</f>
        <v>#N/A</v>
      </c>
      <c r="E191" s="1" t="str">
        <f t="array" ref="E191">IF(ISBLANK(XLOOKUP(E$3,daily_items,XLOOKUP($C191,daily_dates,big_daily_table))),NA(),XLOOKUP(E$3,daily_items,XLOOKUP($C191,daily_dates,big_daily_table)))</f>
        <v>#N/A</v>
      </c>
    </row>
    <row r="192" ht="14.25" customHeight="1">
      <c r="B192" s="7">
        <v>41097.0</v>
      </c>
      <c r="C192" s="7">
        <f t="shared" si="1"/>
        <v>41091</v>
      </c>
      <c r="D192" s="1" t="str">
        <f t="array" ref="D192">IF(ISBLANK(XLOOKUP(D$3,daily_items,XLOOKUP($C192,daily_dates,big_daily_table))),NA(),XLOOKUP(D$3,daily_items,XLOOKUP($C192,daily_dates,big_daily_table)))</f>
        <v>#N/A</v>
      </c>
      <c r="E192" s="1" t="str">
        <f t="array" ref="E192">IF(ISBLANK(XLOOKUP(E$3,daily_items,XLOOKUP($C192,daily_dates,big_daily_table))),NA(),XLOOKUP(E$3,daily_items,XLOOKUP($C192,daily_dates,big_daily_table)))</f>
        <v>#N/A</v>
      </c>
    </row>
    <row r="193" ht="14.25" customHeight="1">
      <c r="B193" s="7">
        <v>41098.0</v>
      </c>
      <c r="C193" s="7">
        <f t="shared" si="1"/>
        <v>41098</v>
      </c>
      <c r="D193" s="1" t="str">
        <f t="array" ref="D193">IF(ISBLANK(XLOOKUP(D$3,daily_items,XLOOKUP($C193,daily_dates,big_daily_table))),NA(),XLOOKUP(D$3,daily_items,XLOOKUP($C193,daily_dates,big_daily_table)))</f>
        <v>#N/A</v>
      </c>
      <c r="E193" s="1" t="str">
        <f t="array" ref="E193">IF(ISBLANK(XLOOKUP(E$3,daily_items,XLOOKUP($C193,daily_dates,big_daily_table))),NA(),XLOOKUP(E$3,daily_items,XLOOKUP($C193,daily_dates,big_daily_table)))</f>
        <v>#N/A</v>
      </c>
    </row>
    <row r="194" ht="14.25" customHeight="1">
      <c r="B194" s="7">
        <v>41099.0</v>
      </c>
      <c r="C194" s="7">
        <f t="shared" si="1"/>
        <v>41098</v>
      </c>
      <c r="D194" s="1" t="str">
        <f t="array" ref="D194">IF(ISBLANK(XLOOKUP(D$3,daily_items,XLOOKUP($C194,daily_dates,big_daily_table))),NA(),XLOOKUP(D$3,daily_items,XLOOKUP($C194,daily_dates,big_daily_table)))</f>
        <v>#N/A</v>
      </c>
      <c r="E194" s="1" t="str">
        <f t="array" ref="E194">IF(ISBLANK(XLOOKUP(E$3,daily_items,XLOOKUP($C194,daily_dates,big_daily_table))),NA(),XLOOKUP(E$3,daily_items,XLOOKUP($C194,daily_dates,big_daily_table)))</f>
        <v>#N/A</v>
      </c>
    </row>
    <row r="195" ht="14.25" customHeight="1">
      <c r="B195" s="7">
        <v>41100.0</v>
      </c>
      <c r="C195" s="7">
        <f t="shared" si="1"/>
        <v>41098</v>
      </c>
      <c r="D195" s="1" t="str">
        <f t="array" ref="D195">IF(ISBLANK(XLOOKUP(D$3,daily_items,XLOOKUP($C195,daily_dates,big_daily_table))),NA(),XLOOKUP(D$3,daily_items,XLOOKUP($C195,daily_dates,big_daily_table)))</f>
        <v>#N/A</v>
      </c>
      <c r="E195" s="1" t="str">
        <f t="array" ref="E195">IF(ISBLANK(XLOOKUP(E$3,daily_items,XLOOKUP($C195,daily_dates,big_daily_table))),NA(),XLOOKUP(E$3,daily_items,XLOOKUP($C195,daily_dates,big_daily_table)))</f>
        <v>#N/A</v>
      </c>
    </row>
    <row r="196" ht="14.25" customHeight="1">
      <c r="B196" s="7">
        <v>41101.0</v>
      </c>
      <c r="C196" s="7">
        <f t="shared" si="1"/>
        <v>41098</v>
      </c>
      <c r="D196" s="1" t="str">
        <f t="array" ref="D196">IF(ISBLANK(XLOOKUP(D$3,daily_items,XLOOKUP($C196,daily_dates,big_daily_table))),NA(),XLOOKUP(D$3,daily_items,XLOOKUP($C196,daily_dates,big_daily_table)))</f>
        <v>#N/A</v>
      </c>
      <c r="E196" s="1" t="str">
        <f t="array" ref="E196">IF(ISBLANK(XLOOKUP(E$3,daily_items,XLOOKUP($C196,daily_dates,big_daily_table))),NA(),XLOOKUP(E$3,daily_items,XLOOKUP($C196,daily_dates,big_daily_table)))</f>
        <v>#N/A</v>
      </c>
    </row>
    <row r="197" ht="14.25" customHeight="1">
      <c r="B197" s="7">
        <v>41102.0</v>
      </c>
      <c r="C197" s="7">
        <f t="shared" si="1"/>
        <v>41098</v>
      </c>
      <c r="D197" s="1" t="str">
        <f t="array" ref="D197">IF(ISBLANK(XLOOKUP(D$3,daily_items,XLOOKUP($C197,daily_dates,big_daily_table))),NA(),XLOOKUP(D$3,daily_items,XLOOKUP($C197,daily_dates,big_daily_table)))</f>
        <v>#N/A</v>
      </c>
      <c r="E197" s="1" t="str">
        <f t="array" ref="E197">IF(ISBLANK(XLOOKUP(E$3,daily_items,XLOOKUP($C197,daily_dates,big_daily_table))),NA(),XLOOKUP(E$3,daily_items,XLOOKUP($C197,daily_dates,big_daily_table)))</f>
        <v>#N/A</v>
      </c>
    </row>
    <row r="198" ht="14.25" customHeight="1">
      <c r="B198" s="7">
        <v>41103.0</v>
      </c>
      <c r="C198" s="7">
        <f t="shared" si="1"/>
        <v>41098</v>
      </c>
      <c r="D198" s="1" t="str">
        <f t="array" ref="D198">IF(ISBLANK(XLOOKUP(D$3,daily_items,XLOOKUP($C198,daily_dates,big_daily_table))),NA(),XLOOKUP(D$3,daily_items,XLOOKUP($C198,daily_dates,big_daily_table)))</f>
        <v>#N/A</v>
      </c>
      <c r="E198" s="1" t="str">
        <f t="array" ref="E198">IF(ISBLANK(XLOOKUP(E$3,daily_items,XLOOKUP($C198,daily_dates,big_daily_table))),NA(),XLOOKUP(E$3,daily_items,XLOOKUP($C198,daily_dates,big_daily_table)))</f>
        <v>#N/A</v>
      </c>
    </row>
    <row r="199" ht="14.25" customHeight="1">
      <c r="B199" s="7">
        <v>41104.0</v>
      </c>
      <c r="C199" s="7">
        <f t="shared" si="1"/>
        <v>41098</v>
      </c>
      <c r="D199" s="1" t="str">
        <f t="array" ref="D199">IF(ISBLANK(XLOOKUP(D$3,daily_items,XLOOKUP($C199,daily_dates,big_daily_table))),NA(),XLOOKUP(D$3,daily_items,XLOOKUP($C199,daily_dates,big_daily_table)))</f>
        <v>#N/A</v>
      </c>
      <c r="E199" s="1" t="str">
        <f t="array" ref="E199">IF(ISBLANK(XLOOKUP(E$3,daily_items,XLOOKUP($C199,daily_dates,big_daily_table))),NA(),XLOOKUP(E$3,daily_items,XLOOKUP($C199,daily_dates,big_daily_table)))</f>
        <v>#N/A</v>
      </c>
    </row>
    <row r="200" ht="14.25" customHeight="1">
      <c r="B200" s="7">
        <v>41105.0</v>
      </c>
      <c r="C200" s="7">
        <f t="shared" si="1"/>
        <v>41105</v>
      </c>
      <c r="D200" s="1" t="str">
        <f t="array" ref="D200">IF(ISBLANK(XLOOKUP(D$3,daily_items,XLOOKUP($C200,daily_dates,big_daily_table))),NA(),XLOOKUP(D$3,daily_items,XLOOKUP($C200,daily_dates,big_daily_table)))</f>
        <v>#N/A</v>
      </c>
      <c r="E200" s="1" t="str">
        <f t="array" ref="E200">IF(ISBLANK(XLOOKUP(E$3,daily_items,XLOOKUP($C200,daily_dates,big_daily_table))),NA(),XLOOKUP(E$3,daily_items,XLOOKUP($C200,daily_dates,big_daily_table)))</f>
        <v>#N/A</v>
      </c>
    </row>
    <row r="201" ht="14.25" customHeight="1">
      <c r="B201" s="7">
        <v>41106.0</v>
      </c>
      <c r="C201" s="7">
        <f t="shared" si="1"/>
        <v>41105</v>
      </c>
      <c r="D201" s="1" t="str">
        <f t="array" ref="D201">IF(ISBLANK(XLOOKUP(D$3,daily_items,XLOOKUP($C201,daily_dates,big_daily_table))),NA(),XLOOKUP(D$3,daily_items,XLOOKUP($C201,daily_dates,big_daily_table)))</f>
        <v>#N/A</v>
      </c>
      <c r="E201" s="1" t="str">
        <f t="array" ref="E201">IF(ISBLANK(XLOOKUP(E$3,daily_items,XLOOKUP($C201,daily_dates,big_daily_table))),NA(),XLOOKUP(E$3,daily_items,XLOOKUP($C201,daily_dates,big_daily_table)))</f>
        <v>#N/A</v>
      </c>
    </row>
    <row r="202" ht="14.25" customHeight="1">
      <c r="B202" s="7">
        <v>41107.0</v>
      </c>
      <c r="C202" s="7">
        <f t="shared" si="1"/>
        <v>41105</v>
      </c>
      <c r="D202" s="1" t="str">
        <f t="array" ref="D202">IF(ISBLANK(XLOOKUP(D$3,daily_items,XLOOKUP($C202,daily_dates,big_daily_table))),NA(),XLOOKUP(D$3,daily_items,XLOOKUP($C202,daily_dates,big_daily_table)))</f>
        <v>#N/A</v>
      </c>
      <c r="E202" s="1" t="str">
        <f t="array" ref="E202">IF(ISBLANK(XLOOKUP(E$3,daily_items,XLOOKUP($C202,daily_dates,big_daily_table))),NA(),XLOOKUP(E$3,daily_items,XLOOKUP($C202,daily_dates,big_daily_table)))</f>
        <v>#N/A</v>
      </c>
    </row>
    <row r="203" ht="14.25" customHeight="1">
      <c r="B203" s="7">
        <v>41108.0</v>
      </c>
      <c r="C203" s="7">
        <f t="shared" si="1"/>
        <v>41105</v>
      </c>
      <c r="D203" s="1" t="str">
        <f t="array" ref="D203">IF(ISBLANK(XLOOKUP(D$3,daily_items,XLOOKUP($C203,daily_dates,big_daily_table))),NA(),XLOOKUP(D$3,daily_items,XLOOKUP($C203,daily_dates,big_daily_table)))</f>
        <v>#N/A</v>
      </c>
      <c r="E203" s="1" t="str">
        <f t="array" ref="E203">IF(ISBLANK(XLOOKUP(E$3,daily_items,XLOOKUP($C203,daily_dates,big_daily_table))),NA(),XLOOKUP(E$3,daily_items,XLOOKUP($C203,daily_dates,big_daily_table)))</f>
        <v>#N/A</v>
      </c>
    </row>
    <row r="204" ht="14.25" customHeight="1">
      <c r="B204" s="7">
        <v>41109.0</v>
      </c>
      <c r="C204" s="7">
        <f t="shared" si="1"/>
        <v>41105</v>
      </c>
      <c r="D204" s="1" t="str">
        <f t="array" ref="D204">IF(ISBLANK(XLOOKUP(D$3,daily_items,XLOOKUP($C204,daily_dates,big_daily_table))),NA(),XLOOKUP(D$3,daily_items,XLOOKUP($C204,daily_dates,big_daily_table)))</f>
        <v>#N/A</v>
      </c>
      <c r="E204" s="1" t="str">
        <f t="array" ref="E204">IF(ISBLANK(XLOOKUP(E$3,daily_items,XLOOKUP($C204,daily_dates,big_daily_table))),NA(),XLOOKUP(E$3,daily_items,XLOOKUP($C204,daily_dates,big_daily_table)))</f>
        <v>#N/A</v>
      </c>
    </row>
    <row r="205" ht="14.25" customHeight="1">
      <c r="B205" s="7">
        <v>41110.0</v>
      </c>
      <c r="C205" s="7">
        <f t="shared" si="1"/>
        <v>41105</v>
      </c>
      <c r="D205" s="1" t="str">
        <f t="array" ref="D205">IF(ISBLANK(XLOOKUP(D$3,daily_items,XLOOKUP($C205,daily_dates,big_daily_table))),NA(),XLOOKUP(D$3,daily_items,XLOOKUP($C205,daily_dates,big_daily_table)))</f>
        <v>#N/A</v>
      </c>
      <c r="E205" s="1" t="str">
        <f t="array" ref="E205">IF(ISBLANK(XLOOKUP(E$3,daily_items,XLOOKUP($C205,daily_dates,big_daily_table))),NA(),XLOOKUP(E$3,daily_items,XLOOKUP($C205,daily_dates,big_daily_table)))</f>
        <v>#N/A</v>
      </c>
    </row>
    <row r="206" ht="14.25" customHeight="1">
      <c r="B206" s="7">
        <v>41111.0</v>
      </c>
      <c r="C206" s="7">
        <f t="shared" si="1"/>
        <v>41105</v>
      </c>
      <c r="D206" s="1" t="str">
        <f t="array" ref="D206">IF(ISBLANK(XLOOKUP(D$3,daily_items,XLOOKUP($C206,daily_dates,big_daily_table))),NA(),XLOOKUP(D$3,daily_items,XLOOKUP($C206,daily_dates,big_daily_table)))</f>
        <v>#N/A</v>
      </c>
      <c r="E206" s="1" t="str">
        <f t="array" ref="E206">IF(ISBLANK(XLOOKUP(E$3,daily_items,XLOOKUP($C206,daily_dates,big_daily_table))),NA(),XLOOKUP(E$3,daily_items,XLOOKUP($C206,daily_dates,big_daily_table)))</f>
        <v>#N/A</v>
      </c>
    </row>
    <row r="207" ht="14.25" customHeight="1">
      <c r="B207" s="7">
        <v>41112.0</v>
      </c>
      <c r="C207" s="7">
        <f t="shared" si="1"/>
        <v>41112</v>
      </c>
      <c r="D207" s="1" t="str">
        <f t="array" ref="D207">IF(ISBLANK(XLOOKUP(D$3,daily_items,XLOOKUP($C207,daily_dates,big_daily_table))),NA(),XLOOKUP(D$3,daily_items,XLOOKUP($C207,daily_dates,big_daily_table)))</f>
        <v>#N/A</v>
      </c>
      <c r="E207" s="1" t="str">
        <f t="array" ref="E207">IF(ISBLANK(XLOOKUP(E$3,daily_items,XLOOKUP($C207,daily_dates,big_daily_table))),NA(),XLOOKUP(E$3,daily_items,XLOOKUP($C207,daily_dates,big_daily_table)))</f>
        <v>#N/A</v>
      </c>
    </row>
    <row r="208" ht="14.25" customHeight="1">
      <c r="B208" s="7">
        <v>41113.0</v>
      </c>
      <c r="C208" s="7">
        <f t="shared" si="1"/>
        <v>41112</v>
      </c>
      <c r="D208" s="1" t="str">
        <f t="array" ref="D208">IF(ISBLANK(XLOOKUP(D$3,daily_items,XLOOKUP($C208,daily_dates,big_daily_table))),NA(),XLOOKUP(D$3,daily_items,XLOOKUP($C208,daily_dates,big_daily_table)))</f>
        <v>#N/A</v>
      </c>
      <c r="E208" s="1" t="str">
        <f t="array" ref="E208">IF(ISBLANK(XLOOKUP(E$3,daily_items,XLOOKUP($C208,daily_dates,big_daily_table))),NA(),XLOOKUP(E$3,daily_items,XLOOKUP($C208,daily_dates,big_daily_table)))</f>
        <v>#N/A</v>
      </c>
    </row>
    <row r="209" ht="14.25" customHeight="1">
      <c r="B209" s="7">
        <v>41114.0</v>
      </c>
      <c r="C209" s="7">
        <f t="shared" si="1"/>
        <v>41112</v>
      </c>
      <c r="D209" s="1" t="str">
        <f t="array" ref="D209">IF(ISBLANK(XLOOKUP(D$3,daily_items,XLOOKUP($C209,daily_dates,big_daily_table))),NA(),XLOOKUP(D$3,daily_items,XLOOKUP($C209,daily_dates,big_daily_table)))</f>
        <v>#N/A</v>
      </c>
      <c r="E209" s="1" t="str">
        <f t="array" ref="E209">IF(ISBLANK(XLOOKUP(E$3,daily_items,XLOOKUP($C209,daily_dates,big_daily_table))),NA(),XLOOKUP(E$3,daily_items,XLOOKUP($C209,daily_dates,big_daily_table)))</f>
        <v>#N/A</v>
      </c>
    </row>
    <row r="210" ht="14.25" customHeight="1">
      <c r="B210" s="7">
        <v>41115.0</v>
      </c>
      <c r="C210" s="7">
        <f t="shared" si="1"/>
        <v>41112</v>
      </c>
      <c r="D210" s="1" t="str">
        <f t="array" ref="D210">IF(ISBLANK(XLOOKUP(D$3,daily_items,XLOOKUP($C210,daily_dates,big_daily_table))),NA(),XLOOKUP(D$3,daily_items,XLOOKUP($C210,daily_dates,big_daily_table)))</f>
        <v>#N/A</v>
      </c>
      <c r="E210" s="1" t="str">
        <f t="array" ref="E210">IF(ISBLANK(XLOOKUP(E$3,daily_items,XLOOKUP($C210,daily_dates,big_daily_table))),NA(),XLOOKUP(E$3,daily_items,XLOOKUP($C210,daily_dates,big_daily_table)))</f>
        <v>#N/A</v>
      </c>
    </row>
    <row r="211" ht="14.25" customHeight="1">
      <c r="B211" s="7">
        <v>41116.0</v>
      </c>
      <c r="C211" s="7">
        <f t="shared" si="1"/>
        <v>41112</v>
      </c>
      <c r="D211" s="1" t="str">
        <f t="array" ref="D211">IF(ISBLANK(XLOOKUP(D$3,daily_items,XLOOKUP($C211,daily_dates,big_daily_table))),NA(),XLOOKUP(D$3,daily_items,XLOOKUP($C211,daily_dates,big_daily_table)))</f>
        <v>#N/A</v>
      </c>
      <c r="E211" s="1" t="str">
        <f t="array" ref="E211">IF(ISBLANK(XLOOKUP(E$3,daily_items,XLOOKUP($C211,daily_dates,big_daily_table))),NA(),XLOOKUP(E$3,daily_items,XLOOKUP($C211,daily_dates,big_daily_table)))</f>
        <v>#N/A</v>
      </c>
    </row>
    <row r="212" ht="14.25" customHeight="1">
      <c r="B212" s="7">
        <v>41117.0</v>
      </c>
      <c r="C212" s="7">
        <f t="shared" si="1"/>
        <v>41112</v>
      </c>
      <c r="D212" s="1" t="str">
        <f t="array" ref="D212">IF(ISBLANK(XLOOKUP(D$3,daily_items,XLOOKUP($C212,daily_dates,big_daily_table))),NA(),XLOOKUP(D$3,daily_items,XLOOKUP($C212,daily_dates,big_daily_table)))</f>
        <v>#N/A</v>
      </c>
      <c r="E212" s="1" t="str">
        <f t="array" ref="E212">IF(ISBLANK(XLOOKUP(E$3,daily_items,XLOOKUP($C212,daily_dates,big_daily_table))),NA(),XLOOKUP(E$3,daily_items,XLOOKUP($C212,daily_dates,big_daily_table)))</f>
        <v>#N/A</v>
      </c>
    </row>
    <row r="213" ht="14.25" customHeight="1">
      <c r="B213" s="7">
        <v>41118.0</v>
      </c>
      <c r="C213" s="7">
        <f t="shared" si="1"/>
        <v>41112</v>
      </c>
      <c r="D213" s="1" t="str">
        <f t="array" ref="D213">IF(ISBLANK(XLOOKUP(D$3,daily_items,XLOOKUP($C213,daily_dates,big_daily_table))),NA(),XLOOKUP(D$3,daily_items,XLOOKUP($C213,daily_dates,big_daily_table)))</f>
        <v>#N/A</v>
      </c>
      <c r="E213" s="1" t="str">
        <f t="array" ref="E213">IF(ISBLANK(XLOOKUP(E$3,daily_items,XLOOKUP($C213,daily_dates,big_daily_table))),NA(),XLOOKUP(E$3,daily_items,XLOOKUP($C213,daily_dates,big_daily_table)))</f>
        <v>#N/A</v>
      </c>
    </row>
    <row r="214" ht="14.25" customHeight="1">
      <c r="B214" s="7">
        <v>41119.0</v>
      </c>
      <c r="C214" s="7">
        <f t="shared" si="1"/>
        <v>41119</v>
      </c>
      <c r="D214" s="1" t="str">
        <f t="array" ref="D214">IF(ISBLANK(XLOOKUP(D$3,daily_items,XLOOKUP($C214,daily_dates,big_daily_table))),NA(),XLOOKUP(D$3,daily_items,XLOOKUP($C214,daily_dates,big_daily_table)))</f>
        <v>#N/A</v>
      </c>
      <c r="E214" s="1" t="str">
        <f t="array" ref="E214">IF(ISBLANK(XLOOKUP(E$3,daily_items,XLOOKUP($C214,daily_dates,big_daily_table))),NA(),XLOOKUP(E$3,daily_items,XLOOKUP($C214,daily_dates,big_daily_table)))</f>
        <v>#N/A</v>
      </c>
    </row>
    <row r="215" ht="14.25" customHeight="1">
      <c r="B215" s="7">
        <v>41120.0</v>
      </c>
      <c r="C215" s="7">
        <f t="shared" si="1"/>
        <v>41119</v>
      </c>
      <c r="D215" s="1" t="str">
        <f t="array" ref="D215">IF(ISBLANK(XLOOKUP(D$3,daily_items,XLOOKUP($C215,daily_dates,big_daily_table))),NA(),XLOOKUP(D$3,daily_items,XLOOKUP($C215,daily_dates,big_daily_table)))</f>
        <v>#N/A</v>
      </c>
      <c r="E215" s="1" t="str">
        <f t="array" ref="E215">IF(ISBLANK(XLOOKUP(E$3,daily_items,XLOOKUP($C215,daily_dates,big_daily_table))),NA(),XLOOKUP(E$3,daily_items,XLOOKUP($C215,daily_dates,big_daily_table)))</f>
        <v>#N/A</v>
      </c>
    </row>
    <row r="216" ht="14.25" customHeight="1">
      <c r="B216" s="7">
        <v>41121.0</v>
      </c>
      <c r="C216" s="7">
        <f t="shared" si="1"/>
        <v>41119</v>
      </c>
      <c r="D216" s="1" t="str">
        <f t="array" ref="D216">IF(ISBLANK(XLOOKUP(D$3,daily_items,XLOOKUP($C216,daily_dates,big_daily_table))),NA(),XLOOKUP(D$3,daily_items,XLOOKUP($C216,daily_dates,big_daily_table)))</f>
        <v>#N/A</v>
      </c>
      <c r="E216" s="1" t="str">
        <f t="array" ref="E216">IF(ISBLANK(XLOOKUP(E$3,daily_items,XLOOKUP($C216,daily_dates,big_daily_table))),NA(),XLOOKUP(E$3,daily_items,XLOOKUP($C216,daily_dates,big_daily_table)))</f>
        <v>#N/A</v>
      </c>
    </row>
    <row r="217" ht="14.25" customHeight="1">
      <c r="B217" s="7">
        <v>41122.0</v>
      </c>
      <c r="C217" s="7">
        <f t="shared" si="1"/>
        <v>41119</v>
      </c>
      <c r="D217" s="1" t="str">
        <f t="array" ref="D217">IF(ISBLANK(XLOOKUP(D$3,daily_items,XLOOKUP($C217,daily_dates,big_daily_table))),NA(),XLOOKUP(D$3,daily_items,XLOOKUP($C217,daily_dates,big_daily_table)))</f>
        <v>#N/A</v>
      </c>
      <c r="E217" s="1" t="str">
        <f t="array" ref="E217">IF(ISBLANK(XLOOKUP(E$3,daily_items,XLOOKUP($C217,daily_dates,big_daily_table))),NA(),XLOOKUP(E$3,daily_items,XLOOKUP($C217,daily_dates,big_daily_table)))</f>
        <v>#N/A</v>
      </c>
    </row>
    <row r="218" ht="14.25" customHeight="1">
      <c r="B218" s="7">
        <v>41123.0</v>
      </c>
      <c r="C218" s="7">
        <f t="shared" si="1"/>
        <v>41119</v>
      </c>
      <c r="D218" s="1" t="str">
        <f t="array" ref="D218">IF(ISBLANK(XLOOKUP(D$3,daily_items,XLOOKUP($C218,daily_dates,big_daily_table))),NA(),XLOOKUP(D$3,daily_items,XLOOKUP($C218,daily_dates,big_daily_table)))</f>
        <v>#N/A</v>
      </c>
      <c r="E218" s="1" t="str">
        <f t="array" ref="E218">IF(ISBLANK(XLOOKUP(E$3,daily_items,XLOOKUP($C218,daily_dates,big_daily_table))),NA(),XLOOKUP(E$3,daily_items,XLOOKUP($C218,daily_dates,big_daily_table)))</f>
        <v>#N/A</v>
      </c>
    </row>
    <row r="219" ht="14.25" customHeight="1">
      <c r="B219" s="7">
        <v>41124.0</v>
      </c>
      <c r="C219" s="7">
        <f t="shared" si="1"/>
        <v>41119</v>
      </c>
      <c r="D219" s="1" t="str">
        <f t="array" ref="D219">IF(ISBLANK(XLOOKUP(D$3,daily_items,XLOOKUP($C219,daily_dates,big_daily_table))),NA(),XLOOKUP(D$3,daily_items,XLOOKUP($C219,daily_dates,big_daily_table)))</f>
        <v>#N/A</v>
      </c>
      <c r="E219" s="1" t="str">
        <f t="array" ref="E219">IF(ISBLANK(XLOOKUP(E$3,daily_items,XLOOKUP($C219,daily_dates,big_daily_table))),NA(),XLOOKUP(E$3,daily_items,XLOOKUP($C219,daily_dates,big_daily_table)))</f>
        <v>#N/A</v>
      </c>
    </row>
    <row r="220" ht="14.25" customHeight="1">
      <c r="B220" s="7">
        <v>41125.0</v>
      </c>
      <c r="C220" s="7">
        <f t="shared" si="1"/>
        <v>41119</v>
      </c>
      <c r="D220" s="1" t="str">
        <f t="array" ref="D220">IF(ISBLANK(XLOOKUP(D$3,daily_items,XLOOKUP($C220,daily_dates,big_daily_table))),NA(),XLOOKUP(D$3,daily_items,XLOOKUP($C220,daily_dates,big_daily_table)))</f>
        <v>#N/A</v>
      </c>
      <c r="E220" s="1" t="str">
        <f t="array" ref="E220">IF(ISBLANK(XLOOKUP(E$3,daily_items,XLOOKUP($C220,daily_dates,big_daily_table))),NA(),XLOOKUP(E$3,daily_items,XLOOKUP($C220,daily_dates,big_daily_table)))</f>
        <v>#N/A</v>
      </c>
    </row>
    <row r="221" ht="14.25" customHeight="1">
      <c r="B221" s="7">
        <v>41126.0</v>
      </c>
      <c r="C221" s="7">
        <f t="shared" si="1"/>
        <v>41126</v>
      </c>
      <c r="D221" s="1" t="str">
        <f t="array" ref="D221">IF(ISBLANK(XLOOKUP(D$3,daily_items,XLOOKUP($C221,daily_dates,big_daily_table))),NA(),XLOOKUP(D$3,daily_items,XLOOKUP($C221,daily_dates,big_daily_table)))</f>
        <v>#N/A</v>
      </c>
      <c r="E221" s="1" t="str">
        <f t="array" ref="E221">IF(ISBLANK(XLOOKUP(E$3,daily_items,XLOOKUP($C221,daily_dates,big_daily_table))),NA(),XLOOKUP(E$3,daily_items,XLOOKUP($C221,daily_dates,big_daily_table)))</f>
        <v>#N/A</v>
      </c>
    </row>
    <row r="222" ht="14.25" customHeight="1">
      <c r="B222" s="7">
        <v>41127.0</v>
      </c>
      <c r="C222" s="7">
        <f t="shared" si="1"/>
        <v>41126</v>
      </c>
      <c r="D222" s="1" t="str">
        <f t="array" ref="D222">IF(ISBLANK(XLOOKUP(D$3,daily_items,XLOOKUP($C222,daily_dates,big_daily_table))),NA(),XLOOKUP(D$3,daily_items,XLOOKUP($C222,daily_dates,big_daily_table)))</f>
        <v>#N/A</v>
      </c>
      <c r="E222" s="1" t="str">
        <f t="array" ref="E222">IF(ISBLANK(XLOOKUP(E$3,daily_items,XLOOKUP($C222,daily_dates,big_daily_table))),NA(),XLOOKUP(E$3,daily_items,XLOOKUP($C222,daily_dates,big_daily_table)))</f>
        <v>#N/A</v>
      </c>
    </row>
    <row r="223" ht="14.25" customHeight="1">
      <c r="B223" s="7">
        <v>41128.0</v>
      </c>
      <c r="C223" s="7">
        <f t="shared" si="1"/>
        <v>41126</v>
      </c>
      <c r="D223" s="1" t="str">
        <f t="array" ref="D223">IF(ISBLANK(XLOOKUP(D$3,daily_items,XLOOKUP($C223,daily_dates,big_daily_table))),NA(),XLOOKUP(D$3,daily_items,XLOOKUP($C223,daily_dates,big_daily_table)))</f>
        <v>#N/A</v>
      </c>
      <c r="E223" s="1" t="str">
        <f t="array" ref="E223">IF(ISBLANK(XLOOKUP(E$3,daily_items,XLOOKUP($C223,daily_dates,big_daily_table))),NA(),XLOOKUP(E$3,daily_items,XLOOKUP($C223,daily_dates,big_daily_table)))</f>
        <v>#N/A</v>
      </c>
    </row>
    <row r="224" ht="14.25" customHeight="1">
      <c r="B224" s="7">
        <v>41129.0</v>
      </c>
      <c r="C224" s="7">
        <f t="shared" si="1"/>
        <v>41126</v>
      </c>
      <c r="D224" s="1" t="str">
        <f t="array" ref="D224">IF(ISBLANK(XLOOKUP(D$3,daily_items,XLOOKUP($C224,daily_dates,big_daily_table))),NA(),XLOOKUP(D$3,daily_items,XLOOKUP($C224,daily_dates,big_daily_table)))</f>
        <v>#N/A</v>
      </c>
      <c r="E224" s="1" t="str">
        <f t="array" ref="E224">IF(ISBLANK(XLOOKUP(E$3,daily_items,XLOOKUP($C224,daily_dates,big_daily_table))),NA(),XLOOKUP(E$3,daily_items,XLOOKUP($C224,daily_dates,big_daily_table)))</f>
        <v>#N/A</v>
      </c>
    </row>
    <row r="225" ht="14.25" customHeight="1">
      <c r="B225" s="7">
        <v>41130.0</v>
      </c>
      <c r="C225" s="7">
        <f t="shared" si="1"/>
        <v>41126</v>
      </c>
      <c r="D225" s="1" t="str">
        <f t="array" ref="D225">IF(ISBLANK(XLOOKUP(D$3,daily_items,XLOOKUP($C225,daily_dates,big_daily_table))),NA(),XLOOKUP(D$3,daily_items,XLOOKUP($C225,daily_dates,big_daily_table)))</f>
        <v>#N/A</v>
      </c>
      <c r="E225" s="1" t="str">
        <f t="array" ref="E225">IF(ISBLANK(XLOOKUP(E$3,daily_items,XLOOKUP($C225,daily_dates,big_daily_table))),NA(),XLOOKUP(E$3,daily_items,XLOOKUP($C225,daily_dates,big_daily_table)))</f>
        <v>#N/A</v>
      </c>
    </row>
    <row r="226" ht="14.25" customHeight="1">
      <c r="B226" s="7">
        <v>41131.0</v>
      </c>
      <c r="C226" s="7">
        <f t="shared" si="1"/>
        <v>41126</v>
      </c>
      <c r="D226" s="1" t="str">
        <f t="array" ref="D226">IF(ISBLANK(XLOOKUP(D$3,daily_items,XLOOKUP($C226,daily_dates,big_daily_table))),NA(),XLOOKUP(D$3,daily_items,XLOOKUP($C226,daily_dates,big_daily_table)))</f>
        <v>#N/A</v>
      </c>
      <c r="E226" s="1" t="str">
        <f t="array" ref="E226">IF(ISBLANK(XLOOKUP(E$3,daily_items,XLOOKUP($C226,daily_dates,big_daily_table))),NA(),XLOOKUP(E$3,daily_items,XLOOKUP($C226,daily_dates,big_daily_table)))</f>
        <v>#N/A</v>
      </c>
    </row>
    <row r="227" ht="14.25" customHeight="1">
      <c r="B227" s="7">
        <v>41132.0</v>
      </c>
      <c r="C227" s="7">
        <f t="shared" si="1"/>
        <v>41126</v>
      </c>
      <c r="D227" s="1" t="str">
        <f t="array" ref="D227">IF(ISBLANK(XLOOKUP(D$3,daily_items,XLOOKUP($C227,daily_dates,big_daily_table))),NA(),XLOOKUP(D$3,daily_items,XLOOKUP($C227,daily_dates,big_daily_table)))</f>
        <v>#N/A</v>
      </c>
      <c r="E227" s="1" t="str">
        <f t="array" ref="E227">IF(ISBLANK(XLOOKUP(E$3,daily_items,XLOOKUP($C227,daily_dates,big_daily_table))),NA(),XLOOKUP(E$3,daily_items,XLOOKUP($C227,daily_dates,big_daily_table)))</f>
        <v>#N/A</v>
      </c>
    </row>
    <row r="228" ht="14.25" customHeight="1">
      <c r="B228" s="7">
        <v>41133.0</v>
      </c>
      <c r="C228" s="7">
        <f t="shared" si="1"/>
        <v>41133</v>
      </c>
      <c r="D228" s="1" t="str">
        <f t="array" ref="D228">IF(ISBLANK(XLOOKUP(D$3,daily_items,XLOOKUP($C228,daily_dates,big_daily_table))),NA(),XLOOKUP(D$3,daily_items,XLOOKUP($C228,daily_dates,big_daily_table)))</f>
        <v>#N/A</v>
      </c>
      <c r="E228" s="1" t="str">
        <f t="array" ref="E228">IF(ISBLANK(XLOOKUP(E$3,daily_items,XLOOKUP($C228,daily_dates,big_daily_table))),NA(),XLOOKUP(E$3,daily_items,XLOOKUP($C228,daily_dates,big_daily_table)))</f>
        <v>#N/A</v>
      </c>
    </row>
    <row r="229" ht="14.25" customHeight="1">
      <c r="B229" s="7">
        <v>41134.0</v>
      </c>
      <c r="C229" s="7">
        <f t="shared" si="1"/>
        <v>41133</v>
      </c>
      <c r="D229" s="1" t="str">
        <f t="array" ref="D229">IF(ISBLANK(XLOOKUP(D$3,daily_items,XLOOKUP($C229,daily_dates,big_daily_table))),NA(),XLOOKUP(D$3,daily_items,XLOOKUP($C229,daily_dates,big_daily_table)))</f>
        <v>#N/A</v>
      </c>
      <c r="E229" s="1" t="str">
        <f t="array" ref="E229">IF(ISBLANK(XLOOKUP(E$3,daily_items,XLOOKUP($C229,daily_dates,big_daily_table))),NA(),XLOOKUP(E$3,daily_items,XLOOKUP($C229,daily_dates,big_daily_table)))</f>
        <v>#N/A</v>
      </c>
    </row>
    <row r="230" ht="14.25" customHeight="1">
      <c r="B230" s="7">
        <v>41135.0</v>
      </c>
      <c r="C230" s="7">
        <f t="shared" si="1"/>
        <v>41133</v>
      </c>
      <c r="D230" s="1" t="str">
        <f t="array" ref="D230">IF(ISBLANK(XLOOKUP(D$3,daily_items,XLOOKUP($C230,daily_dates,big_daily_table))),NA(),XLOOKUP(D$3,daily_items,XLOOKUP($C230,daily_dates,big_daily_table)))</f>
        <v>#N/A</v>
      </c>
      <c r="E230" s="1" t="str">
        <f t="array" ref="E230">IF(ISBLANK(XLOOKUP(E$3,daily_items,XLOOKUP($C230,daily_dates,big_daily_table))),NA(),XLOOKUP(E$3,daily_items,XLOOKUP($C230,daily_dates,big_daily_table)))</f>
        <v>#N/A</v>
      </c>
    </row>
    <row r="231" ht="14.25" customHeight="1">
      <c r="B231" s="7">
        <v>41136.0</v>
      </c>
      <c r="C231" s="7">
        <f t="shared" si="1"/>
        <v>41133</v>
      </c>
      <c r="D231" s="1" t="str">
        <f t="array" ref="D231">IF(ISBLANK(XLOOKUP(D$3,daily_items,XLOOKUP($C231,daily_dates,big_daily_table))),NA(),XLOOKUP(D$3,daily_items,XLOOKUP($C231,daily_dates,big_daily_table)))</f>
        <v>#N/A</v>
      </c>
      <c r="E231" s="1" t="str">
        <f t="array" ref="E231">IF(ISBLANK(XLOOKUP(E$3,daily_items,XLOOKUP($C231,daily_dates,big_daily_table))),NA(),XLOOKUP(E$3,daily_items,XLOOKUP($C231,daily_dates,big_daily_table)))</f>
        <v>#N/A</v>
      </c>
    </row>
    <row r="232" ht="14.25" customHeight="1">
      <c r="B232" s="7">
        <v>41137.0</v>
      </c>
      <c r="C232" s="7">
        <f t="shared" si="1"/>
        <v>41133</v>
      </c>
      <c r="D232" s="1" t="str">
        <f t="array" ref="D232">IF(ISBLANK(XLOOKUP(D$3,daily_items,XLOOKUP($C232,daily_dates,big_daily_table))),NA(),XLOOKUP(D$3,daily_items,XLOOKUP($C232,daily_dates,big_daily_table)))</f>
        <v>#N/A</v>
      </c>
      <c r="E232" s="1" t="str">
        <f t="array" ref="E232">IF(ISBLANK(XLOOKUP(E$3,daily_items,XLOOKUP($C232,daily_dates,big_daily_table))),NA(),XLOOKUP(E$3,daily_items,XLOOKUP($C232,daily_dates,big_daily_table)))</f>
        <v>#N/A</v>
      </c>
    </row>
    <row r="233" ht="14.25" customHeight="1">
      <c r="B233" s="7">
        <v>41138.0</v>
      </c>
      <c r="C233" s="7">
        <f t="shared" si="1"/>
        <v>41133</v>
      </c>
      <c r="D233" s="1" t="str">
        <f t="array" ref="D233">IF(ISBLANK(XLOOKUP(D$3,daily_items,XLOOKUP($C233,daily_dates,big_daily_table))),NA(),XLOOKUP(D$3,daily_items,XLOOKUP($C233,daily_dates,big_daily_table)))</f>
        <v>#N/A</v>
      </c>
      <c r="E233" s="1" t="str">
        <f t="array" ref="E233">IF(ISBLANK(XLOOKUP(E$3,daily_items,XLOOKUP($C233,daily_dates,big_daily_table))),NA(),XLOOKUP(E$3,daily_items,XLOOKUP($C233,daily_dates,big_daily_table)))</f>
        <v>#N/A</v>
      </c>
    </row>
    <row r="234" ht="14.25" customHeight="1">
      <c r="B234" s="7">
        <v>41139.0</v>
      </c>
      <c r="C234" s="7">
        <f t="shared" si="1"/>
        <v>41133</v>
      </c>
      <c r="D234" s="1" t="str">
        <f t="array" ref="D234">IF(ISBLANK(XLOOKUP(D$3,daily_items,XLOOKUP($C234,daily_dates,big_daily_table))),NA(),XLOOKUP(D$3,daily_items,XLOOKUP($C234,daily_dates,big_daily_table)))</f>
        <v>#N/A</v>
      </c>
      <c r="E234" s="1" t="str">
        <f t="array" ref="E234">IF(ISBLANK(XLOOKUP(E$3,daily_items,XLOOKUP($C234,daily_dates,big_daily_table))),NA(),XLOOKUP(E$3,daily_items,XLOOKUP($C234,daily_dates,big_daily_table)))</f>
        <v>#N/A</v>
      </c>
    </row>
    <row r="235" ht="14.25" customHeight="1">
      <c r="B235" s="7">
        <v>41140.0</v>
      </c>
      <c r="C235" s="7">
        <f t="shared" si="1"/>
        <v>41140</v>
      </c>
      <c r="D235" s="1" t="str">
        <f t="array" ref="D235">IF(ISBLANK(XLOOKUP(D$3,daily_items,XLOOKUP($C235,daily_dates,big_daily_table))),NA(),XLOOKUP(D$3,daily_items,XLOOKUP($C235,daily_dates,big_daily_table)))</f>
        <v>#N/A</v>
      </c>
      <c r="E235" s="1" t="str">
        <f t="array" ref="E235">IF(ISBLANK(XLOOKUP(E$3,daily_items,XLOOKUP($C235,daily_dates,big_daily_table))),NA(),XLOOKUP(E$3,daily_items,XLOOKUP($C235,daily_dates,big_daily_table)))</f>
        <v>#N/A</v>
      </c>
    </row>
    <row r="236" ht="14.25" customHeight="1">
      <c r="B236" s="7">
        <v>41141.0</v>
      </c>
      <c r="C236" s="7">
        <f t="shared" si="1"/>
        <v>41140</v>
      </c>
      <c r="D236" s="1" t="str">
        <f t="array" ref="D236">IF(ISBLANK(XLOOKUP(D$3,daily_items,XLOOKUP($C236,daily_dates,big_daily_table))),NA(),XLOOKUP(D$3,daily_items,XLOOKUP($C236,daily_dates,big_daily_table)))</f>
        <v>#N/A</v>
      </c>
      <c r="E236" s="1" t="str">
        <f t="array" ref="E236">IF(ISBLANK(XLOOKUP(E$3,daily_items,XLOOKUP($C236,daily_dates,big_daily_table))),NA(),XLOOKUP(E$3,daily_items,XLOOKUP($C236,daily_dates,big_daily_table)))</f>
        <v>#N/A</v>
      </c>
    </row>
    <row r="237" ht="14.25" customHeight="1">
      <c r="B237" s="7">
        <v>41142.0</v>
      </c>
      <c r="C237" s="7">
        <f t="shared" si="1"/>
        <v>41140</v>
      </c>
      <c r="D237" s="1" t="str">
        <f t="array" ref="D237">IF(ISBLANK(XLOOKUP(D$3,daily_items,XLOOKUP($C237,daily_dates,big_daily_table))),NA(),XLOOKUP(D$3,daily_items,XLOOKUP($C237,daily_dates,big_daily_table)))</f>
        <v>#N/A</v>
      </c>
      <c r="E237" s="1" t="str">
        <f t="array" ref="E237">IF(ISBLANK(XLOOKUP(E$3,daily_items,XLOOKUP($C237,daily_dates,big_daily_table))),NA(),XLOOKUP(E$3,daily_items,XLOOKUP($C237,daily_dates,big_daily_table)))</f>
        <v>#N/A</v>
      </c>
    </row>
    <row r="238" ht="14.25" customHeight="1">
      <c r="B238" s="7">
        <v>41143.0</v>
      </c>
      <c r="C238" s="7">
        <f t="shared" si="1"/>
        <v>41140</v>
      </c>
      <c r="D238" s="1" t="str">
        <f t="array" ref="D238">IF(ISBLANK(XLOOKUP(D$3,daily_items,XLOOKUP($C238,daily_dates,big_daily_table))),NA(),XLOOKUP(D$3,daily_items,XLOOKUP($C238,daily_dates,big_daily_table)))</f>
        <v>#N/A</v>
      </c>
      <c r="E238" s="1" t="str">
        <f t="array" ref="E238">IF(ISBLANK(XLOOKUP(E$3,daily_items,XLOOKUP($C238,daily_dates,big_daily_table))),NA(),XLOOKUP(E$3,daily_items,XLOOKUP($C238,daily_dates,big_daily_table)))</f>
        <v>#N/A</v>
      </c>
    </row>
    <row r="239" ht="14.25" customHeight="1">
      <c r="B239" s="7">
        <v>41144.0</v>
      </c>
      <c r="C239" s="7">
        <f t="shared" si="1"/>
        <v>41140</v>
      </c>
      <c r="D239" s="1" t="str">
        <f t="array" ref="D239">IF(ISBLANK(XLOOKUP(D$3,daily_items,XLOOKUP($C239,daily_dates,big_daily_table))),NA(),XLOOKUP(D$3,daily_items,XLOOKUP($C239,daily_dates,big_daily_table)))</f>
        <v>#N/A</v>
      </c>
      <c r="E239" s="1" t="str">
        <f t="array" ref="E239">IF(ISBLANK(XLOOKUP(E$3,daily_items,XLOOKUP($C239,daily_dates,big_daily_table))),NA(),XLOOKUP(E$3,daily_items,XLOOKUP($C239,daily_dates,big_daily_table)))</f>
        <v>#N/A</v>
      </c>
    </row>
    <row r="240" ht="14.25" customHeight="1">
      <c r="B240" s="7">
        <v>41145.0</v>
      </c>
      <c r="C240" s="7">
        <f t="shared" si="1"/>
        <v>41140</v>
      </c>
      <c r="D240" s="1" t="str">
        <f t="array" ref="D240">IF(ISBLANK(XLOOKUP(D$3,daily_items,XLOOKUP($C240,daily_dates,big_daily_table))),NA(),XLOOKUP(D$3,daily_items,XLOOKUP($C240,daily_dates,big_daily_table)))</f>
        <v>#N/A</v>
      </c>
      <c r="E240" s="1" t="str">
        <f t="array" ref="E240">IF(ISBLANK(XLOOKUP(E$3,daily_items,XLOOKUP($C240,daily_dates,big_daily_table))),NA(),XLOOKUP(E$3,daily_items,XLOOKUP($C240,daily_dates,big_daily_table)))</f>
        <v>#N/A</v>
      </c>
    </row>
    <row r="241" ht="14.25" customHeight="1">
      <c r="B241" s="7">
        <v>41146.0</v>
      </c>
      <c r="C241" s="7">
        <f t="shared" si="1"/>
        <v>41140</v>
      </c>
      <c r="D241" s="1" t="str">
        <f t="array" ref="D241">IF(ISBLANK(XLOOKUP(D$3,daily_items,XLOOKUP($C241,daily_dates,big_daily_table))),NA(),XLOOKUP(D$3,daily_items,XLOOKUP($C241,daily_dates,big_daily_table)))</f>
        <v>#N/A</v>
      </c>
      <c r="E241" s="1" t="str">
        <f t="array" ref="E241">IF(ISBLANK(XLOOKUP(E$3,daily_items,XLOOKUP($C241,daily_dates,big_daily_table))),NA(),XLOOKUP(E$3,daily_items,XLOOKUP($C241,daily_dates,big_daily_table)))</f>
        <v>#N/A</v>
      </c>
    </row>
    <row r="242" ht="14.25" customHeight="1">
      <c r="B242" s="7">
        <v>41147.0</v>
      </c>
      <c r="C242" s="7">
        <f t="shared" si="1"/>
        <v>41147</v>
      </c>
      <c r="D242" s="1" t="str">
        <f t="array" ref="D242">IF(ISBLANK(XLOOKUP(D$3,daily_items,XLOOKUP($C242,daily_dates,big_daily_table))),NA(),XLOOKUP(D$3,daily_items,XLOOKUP($C242,daily_dates,big_daily_table)))</f>
        <v>#N/A</v>
      </c>
      <c r="E242" s="1" t="str">
        <f t="array" ref="E242">IF(ISBLANK(XLOOKUP(E$3,daily_items,XLOOKUP($C242,daily_dates,big_daily_table))),NA(),XLOOKUP(E$3,daily_items,XLOOKUP($C242,daily_dates,big_daily_table)))</f>
        <v>#N/A</v>
      </c>
    </row>
    <row r="243" ht="14.25" customHeight="1">
      <c r="B243" s="7">
        <v>41148.0</v>
      </c>
      <c r="C243" s="7">
        <f t="shared" si="1"/>
        <v>41147</v>
      </c>
      <c r="D243" s="1" t="str">
        <f t="array" ref="D243">IF(ISBLANK(XLOOKUP(D$3,daily_items,XLOOKUP($C243,daily_dates,big_daily_table))),NA(),XLOOKUP(D$3,daily_items,XLOOKUP($C243,daily_dates,big_daily_table)))</f>
        <v>#N/A</v>
      </c>
      <c r="E243" s="1" t="str">
        <f t="array" ref="E243">IF(ISBLANK(XLOOKUP(E$3,daily_items,XLOOKUP($C243,daily_dates,big_daily_table))),NA(),XLOOKUP(E$3,daily_items,XLOOKUP($C243,daily_dates,big_daily_table)))</f>
        <v>#N/A</v>
      </c>
    </row>
    <row r="244" ht="14.25" customHeight="1">
      <c r="B244" s="7">
        <v>41149.0</v>
      </c>
      <c r="C244" s="7">
        <f t="shared" si="1"/>
        <v>41147</v>
      </c>
      <c r="D244" s="1" t="str">
        <f t="array" ref="D244">IF(ISBLANK(XLOOKUP(D$3,daily_items,XLOOKUP($C244,daily_dates,big_daily_table))),NA(),XLOOKUP(D$3,daily_items,XLOOKUP($C244,daily_dates,big_daily_table)))</f>
        <v>#N/A</v>
      </c>
      <c r="E244" s="1" t="str">
        <f t="array" ref="E244">IF(ISBLANK(XLOOKUP(E$3,daily_items,XLOOKUP($C244,daily_dates,big_daily_table))),NA(),XLOOKUP(E$3,daily_items,XLOOKUP($C244,daily_dates,big_daily_table)))</f>
        <v>#N/A</v>
      </c>
    </row>
    <row r="245" ht="14.25" customHeight="1">
      <c r="B245" s="7">
        <v>41150.0</v>
      </c>
      <c r="C245" s="7">
        <f t="shared" si="1"/>
        <v>41147</v>
      </c>
      <c r="D245" s="1" t="str">
        <f t="array" ref="D245">IF(ISBLANK(XLOOKUP(D$3,daily_items,XLOOKUP($C245,daily_dates,big_daily_table))),NA(),XLOOKUP(D$3,daily_items,XLOOKUP($C245,daily_dates,big_daily_table)))</f>
        <v>#N/A</v>
      </c>
      <c r="E245" s="1" t="str">
        <f t="array" ref="E245">IF(ISBLANK(XLOOKUP(E$3,daily_items,XLOOKUP($C245,daily_dates,big_daily_table))),NA(),XLOOKUP(E$3,daily_items,XLOOKUP($C245,daily_dates,big_daily_table)))</f>
        <v>#N/A</v>
      </c>
    </row>
    <row r="246" ht="14.25" customHeight="1">
      <c r="B246" s="7">
        <v>41151.0</v>
      </c>
      <c r="C246" s="7">
        <f t="shared" si="1"/>
        <v>41147</v>
      </c>
      <c r="D246" s="1" t="str">
        <f t="array" ref="D246">IF(ISBLANK(XLOOKUP(D$3,daily_items,XLOOKUP($C246,daily_dates,big_daily_table))),NA(),XLOOKUP(D$3,daily_items,XLOOKUP($C246,daily_dates,big_daily_table)))</f>
        <v>#N/A</v>
      </c>
      <c r="E246" s="1" t="str">
        <f t="array" ref="E246">IF(ISBLANK(XLOOKUP(E$3,daily_items,XLOOKUP($C246,daily_dates,big_daily_table))),NA(),XLOOKUP(E$3,daily_items,XLOOKUP($C246,daily_dates,big_daily_table)))</f>
        <v>#N/A</v>
      </c>
    </row>
    <row r="247" ht="14.25" customHeight="1">
      <c r="B247" s="7">
        <v>41152.0</v>
      </c>
      <c r="C247" s="7">
        <f t="shared" si="1"/>
        <v>41147</v>
      </c>
      <c r="D247" s="1" t="str">
        <f t="array" ref="D247">IF(ISBLANK(XLOOKUP(D$3,daily_items,XLOOKUP($C247,daily_dates,big_daily_table))),NA(),XLOOKUP(D$3,daily_items,XLOOKUP($C247,daily_dates,big_daily_table)))</f>
        <v>#N/A</v>
      </c>
      <c r="E247" s="1" t="str">
        <f t="array" ref="E247">IF(ISBLANK(XLOOKUP(E$3,daily_items,XLOOKUP($C247,daily_dates,big_daily_table))),NA(),XLOOKUP(E$3,daily_items,XLOOKUP($C247,daily_dates,big_daily_table)))</f>
        <v>#N/A</v>
      </c>
    </row>
    <row r="248" ht="14.25" customHeight="1">
      <c r="B248" s="7">
        <v>41153.0</v>
      </c>
      <c r="C248" s="7">
        <f t="shared" si="1"/>
        <v>41147</v>
      </c>
      <c r="D248" s="1" t="str">
        <f t="array" ref="D248">IF(ISBLANK(XLOOKUP(D$3,daily_items,XLOOKUP($C248,daily_dates,big_daily_table))),NA(),XLOOKUP(D$3,daily_items,XLOOKUP($C248,daily_dates,big_daily_table)))</f>
        <v>#N/A</v>
      </c>
      <c r="E248" s="1" t="str">
        <f t="array" ref="E248">IF(ISBLANK(XLOOKUP(E$3,daily_items,XLOOKUP($C248,daily_dates,big_daily_table))),NA(),XLOOKUP(E$3,daily_items,XLOOKUP($C248,daily_dates,big_daily_table)))</f>
        <v>#N/A</v>
      </c>
    </row>
    <row r="249" ht="14.25" customHeight="1">
      <c r="B249" s="7">
        <v>41154.0</v>
      </c>
      <c r="C249" s="7">
        <f t="shared" si="1"/>
        <v>41154</v>
      </c>
      <c r="D249" s="1" t="str">
        <f t="array" ref="D249">IF(ISBLANK(XLOOKUP(D$3,daily_items,XLOOKUP($C249,daily_dates,big_daily_table))),NA(),XLOOKUP(D$3,daily_items,XLOOKUP($C249,daily_dates,big_daily_table)))</f>
        <v>#N/A</v>
      </c>
      <c r="E249" s="1" t="str">
        <f t="array" ref="E249">IF(ISBLANK(XLOOKUP(E$3,daily_items,XLOOKUP($C249,daily_dates,big_daily_table))),NA(),XLOOKUP(E$3,daily_items,XLOOKUP($C249,daily_dates,big_daily_table)))</f>
        <v>#N/A</v>
      </c>
    </row>
    <row r="250" ht="14.25" customHeight="1">
      <c r="B250" s="7">
        <v>41155.0</v>
      </c>
      <c r="C250" s="7">
        <f t="shared" si="1"/>
        <v>41154</v>
      </c>
      <c r="D250" s="1" t="str">
        <f t="array" ref="D250">IF(ISBLANK(XLOOKUP(D$3,daily_items,XLOOKUP($C250,daily_dates,big_daily_table))),NA(),XLOOKUP(D$3,daily_items,XLOOKUP($C250,daily_dates,big_daily_table)))</f>
        <v>#N/A</v>
      </c>
      <c r="E250" s="1" t="str">
        <f t="array" ref="E250">IF(ISBLANK(XLOOKUP(E$3,daily_items,XLOOKUP($C250,daily_dates,big_daily_table))),NA(),XLOOKUP(E$3,daily_items,XLOOKUP($C250,daily_dates,big_daily_table)))</f>
        <v>#N/A</v>
      </c>
    </row>
    <row r="251" ht="14.25" customHeight="1">
      <c r="B251" s="7">
        <v>41156.0</v>
      </c>
      <c r="C251" s="7">
        <f t="shared" si="1"/>
        <v>41154</v>
      </c>
      <c r="D251" s="1" t="str">
        <f t="array" ref="D251">IF(ISBLANK(XLOOKUP(D$3,daily_items,XLOOKUP($C251,daily_dates,big_daily_table))),NA(),XLOOKUP(D$3,daily_items,XLOOKUP($C251,daily_dates,big_daily_table)))</f>
        <v>#N/A</v>
      </c>
      <c r="E251" s="1" t="str">
        <f t="array" ref="E251">IF(ISBLANK(XLOOKUP(E$3,daily_items,XLOOKUP($C251,daily_dates,big_daily_table))),NA(),XLOOKUP(E$3,daily_items,XLOOKUP($C251,daily_dates,big_daily_table)))</f>
        <v>#N/A</v>
      </c>
    </row>
    <row r="252" ht="14.25" customHeight="1">
      <c r="B252" s="7">
        <v>41157.0</v>
      </c>
      <c r="C252" s="7">
        <f t="shared" si="1"/>
        <v>41154</v>
      </c>
      <c r="D252" s="1" t="str">
        <f t="array" ref="D252">IF(ISBLANK(XLOOKUP(D$3,daily_items,XLOOKUP($C252,daily_dates,big_daily_table))),NA(),XLOOKUP(D$3,daily_items,XLOOKUP($C252,daily_dates,big_daily_table)))</f>
        <v>#N/A</v>
      </c>
      <c r="E252" s="1" t="str">
        <f t="array" ref="E252">IF(ISBLANK(XLOOKUP(E$3,daily_items,XLOOKUP($C252,daily_dates,big_daily_table))),NA(),XLOOKUP(E$3,daily_items,XLOOKUP($C252,daily_dates,big_daily_table)))</f>
        <v>#N/A</v>
      </c>
    </row>
    <row r="253" ht="14.25" customHeight="1">
      <c r="B253" s="7">
        <v>41158.0</v>
      </c>
      <c r="C253" s="7">
        <f t="shared" si="1"/>
        <v>41154</v>
      </c>
      <c r="D253" s="1" t="str">
        <f t="array" ref="D253">IF(ISBLANK(XLOOKUP(D$3,daily_items,XLOOKUP($C253,daily_dates,big_daily_table))),NA(),XLOOKUP(D$3,daily_items,XLOOKUP($C253,daily_dates,big_daily_table)))</f>
        <v>#N/A</v>
      </c>
      <c r="E253" s="1" t="str">
        <f t="array" ref="E253">IF(ISBLANK(XLOOKUP(E$3,daily_items,XLOOKUP($C253,daily_dates,big_daily_table))),NA(),XLOOKUP(E$3,daily_items,XLOOKUP($C253,daily_dates,big_daily_table)))</f>
        <v>#N/A</v>
      </c>
    </row>
    <row r="254" ht="14.25" customHeight="1">
      <c r="B254" s="7">
        <v>41159.0</v>
      </c>
      <c r="C254" s="7">
        <f t="shared" si="1"/>
        <v>41154</v>
      </c>
      <c r="D254" s="1" t="str">
        <f t="array" ref="D254">IF(ISBLANK(XLOOKUP(D$3,daily_items,XLOOKUP($C254,daily_dates,big_daily_table))),NA(),XLOOKUP(D$3,daily_items,XLOOKUP($C254,daily_dates,big_daily_table)))</f>
        <v>#N/A</v>
      </c>
      <c r="E254" s="1" t="str">
        <f t="array" ref="E254">IF(ISBLANK(XLOOKUP(E$3,daily_items,XLOOKUP($C254,daily_dates,big_daily_table))),NA(),XLOOKUP(E$3,daily_items,XLOOKUP($C254,daily_dates,big_daily_table)))</f>
        <v>#N/A</v>
      </c>
    </row>
    <row r="255" ht="14.25" customHeight="1">
      <c r="B255" s="7">
        <v>41160.0</v>
      </c>
      <c r="C255" s="7">
        <f t="shared" si="1"/>
        <v>41154</v>
      </c>
      <c r="D255" s="1" t="str">
        <f t="array" ref="D255">IF(ISBLANK(XLOOKUP(D$3,daily_items,XLOOKUP($C255,daily_dates,big_daily_table))),NA(),XLOOKUP(D$3,daily_items,XLOOKUP($C255,daily_dates,big_daily_table)))</f>
        <v>#N/A</v>
      </c>
      <c r="E255" s="1" t="str">
        <f t="array" ref="E255">IF(ISBLANK(XLOOKUP(E$3,daily_items,XLOOKUP($C255,daily_dates,big_daily_table))),NA(),XLOOKUP(E$3,daily_items,XLOOKUP($C255,daily_dates,big_daily_table)))</f>
        <v>#N/A</v>
      </c>
    </row>
    <row r="256" ht="14.25" customHeight="1">
      <c r="B256" s="7">
        <v>41161.0</v>
      </c>
      <c r="C256" s="7">
        <f t="shared" si="1"/>
        <v>41161</v>
      </c>
      <c r="D256" s="1" t="str">
        <f t="array" ref="D256">IF(ISBLANK(XLOOKUP(D$3,daily_items,XLOOKUP($C256,daily_dates,big_daily_table))),NA(),XLOOKUP(D$3,daily_items,XLOOKUP($C256,daily_dates,big_daily_table)))</f>
        <v>#N/A</v>
      </c>
      <c r="E256" s="1" t="str">
        <f t="array" ref="E256">IF(ISBLANK(XLOOKUP(E$3,daily_items,XLOOKUP($C256,daily_dates,big_daily_table))),NA(),XLOOKUP(E$3,daily_items,XLOOKUP($C256,daily_dates,big_daily_table)))</f>
        <v>#N/A</v>
      </c>
    </row>
    <row r="257" ht="14.25" customHeight="1">
      <c r="B257" s="7">
        <v>41162.0</v>
      </c>
      <c r="C257" s="7">
        <f t="shared" si="1"/>
        <v>41161</v>
      </c>
      <c r="D257" s="1" t="str">
        <f t="array" ref="D257">IF(ISBLANK(XLOOKUP(D$3,daily_items,XLOOKUP($C257,daily_dates,big_daily_table))),NA(),XLOOKUP(D$3,daily_items,XLOOKUP($C257,daily_dates,big_daily_table)))</f>
        <v>#N/A</v>
      </c>
      <c r="E257" s="1" t="str">
        <f t="array" ref="E257">IF(ISBLANK(XLOOKUP(E$3,daily_items,XLOOKUP($C257,daily_dates,big_daily_table))),NA(),XLOOKUP(E$3,daily_items,XLOOKUP($C257,daily_dates,big_daily_table)))</f>
        <v>#N/A</v>
      </c>
    </row>
    <row r="258" ht="14.25" customHeight="1">
      <c r="B258" s="7">
        <v>41163.0</v>
      </c>
      <c r="C258" s="7">
        <f t="shared" si="1"/>
        <v>41161</v>
      </c>
      <c r="D258" s="1" t="str">
        <f t="array" ref="D258">IF(ISBLANK(XLOOKUP(D$3,daily_items,XLOOKUP($C258,daily_dates,big_daily_table))),NA(),XLOOKUP(D$3,daily_items,XLOOKUP($C258,daily_dates,big_daily_table)))</f>
        <v>#N/A</v>
      </c>
      <c r="E258" s="1" t="str">
        <f t="array" ref="E258">IF(ISBLANK(XLOOKUP(E$3,daily_items,XLOOKUP($C258,daily_dates,big_daily_table))),NA(),XLOOKUP(E$3,daily_items,XLOOKUP($C258,daily_dates,big_daily_table)))</f>
        <v>#N/A</v>
      </c>
    </row>
    <row r="259" ht="14.25" customHeight="1">
      <c r="B259" s="7">
        <v>41164.0</v>
      </c>
      <c r="C259" s="7">
        <f t="shared" si="1"/>
        <v>41161</v>
      </c>
      <c r="D259" s="1" t="str">
        <f t="array" ref="D259">IF(ISBLANK(XLOOKUP(D$3,daily_items,XLOOKUP($C259,daily_dates,big_daily_table))),NA(),XLOOKUP(D$3,daily_items,XLOOKUP($C259,daily_dates,big_daily_table)))</f>
        <v>#N/A</v>
      </c>
      <c r="E259" s="1" t="str">
        <f t="array" ref="E259">IF(ISBLANK(XLOOKUP(E$3,daily_items,XLOOKUP($C259,daily_dates,big_daily_table))),NA(),XLOOKUP(E$3,daily_items,XLOOKUP($C259,daily_dates,big_daily_table)))</f>
        <v>#N/A</v>
      </c>
    </row>
    <row r="260" ht="14.25" customHeight="1">
      <c r="B260" s="7">
        <v>41165.0</v>
      </c>
      <c r="C260" s="7">
        <f t="shared" si="1"/>
        <v>41161</v>
      </c>
      <c r="D260" s="1" t="str">
        <f t="array" ref="D260">IF(ISBLANK(XLOOKUP(D$3,daily_items,XLOOKUP($C260,daily_dates,big_daily_table))),NA(),XLOOKUP(D$3,daily_items,XLOOKUP($C260,daily_dates,big_daily_table)))</f>
        <v>#N/A</v>
      </c>
      <c r="E260" s="1" t="str">
        <f t="array" ref="E260">IF(ISBLANK(XLOOKUP(E$3,daily_items,XLOOKUP($C260,daily_dates,big_daily_table))),NA(),XLOOKUP(E$3,daily_items,XLOOKUP($C260,daily_dates,big_daily_table)))</f>
        <v>#N/A</v>
      </c>
    </row>
    <row r="261" ht="14.25" customHeight="1">
      <c r="B261" s="7">
        <v>41166.0</v>
      </c>
      <c r="C261" s="7">
        <f t="shared" si="1"/>
        <v>41161</v>
      </c>
      <c r="D261" s="1" t="str">
        <f t="array" ref="D261">IF(ISBLANK(XLOOKUP(D$3,daily_items,XLOOKUP($C261,daily_dates,big_daily_table))),NA(),XLOOKUP(D$3,daily_items,XLOOKUP($C261,daily_dates,big_daily_table)))</f>
        <v>#N/A</v>
      </c>
      <c r="E261" s="1" t="str">
        <f t="array" ref="E261">IF(ISBLANK(XLOOKUP(E$3,daily_items,XLOOKUP($C261,daily_dates,big_daily_table))),NA(),XLOOKUP(E$3,daily_items,XLOOKUP($C261,daily_dates,big_daily_table)))</f>
        <v>#N/A</v>
      </c>
    </row>
    <row r="262" ht="14.25" customHeight="1">
      <c r="B262" s="7">
        <v>41167.0</v>
      </c>
      <c r="C262" s="7">
        <f t="shared" si="1"/>
        <v>41161</v>
      </c>
      <c r="D262" s="1" t="str">
        <f t="array" ref="D262">IF(ISBLANK(XLOOKUP(D$3,daily_items,XLOOKUP($C262,daily_dates,big_daily_table))),NA(),XLOOKUP(D$3,daily_items,XLOOKUP($C262,daily_dates,big_daily_table)))</f>
        <v>#N/A</v>
      </c>
      <c r="E262" s="1" t="str">
        <f t="array" ref="E262">IF(ISBLANK(XLOOKUP(E$3,daily_items,XLOOKUP($C262,daily_dates,big_daily_table))),NA(),XLOOKUP(E$3,daily_items,XLOOKUP($C262,daily_dates,big_daily_table)))</f>
        <v>#N/A</v>
      </c>
    </row>
    <row r="263" ht="14.25" customHeight="1">
      <c r="B263" s="7">
        <v>41168.0</v>
      </c>
      <c r="C263" s="7">
        <f t="shared" si="1"/>
        <v>41168</v>
      </c>
      <c r="D263" s="1" t="str">
        <f t="array" ref="D263">IF(ISBLANK(XLOOKUP(D$3,daily_items,XLOOKUP($C263,daily_dates,big_daily_table))),NA(),XLOOKUP(D$3,daily_items,XLOOKUP($C263,daily_dates,big_daily_table)))</f>
        <v>#N/A</v>
      </c>
      <c r="E263" s="1" t="str">
        <f t="array" ref="E263">IF(ISBLANK(XLOOKUP(E$3,daily_items,XLOOKUP($C263,daily_dates,big_daily_table))),NA(),XLOOKUP(E$3,daily_items,XLOOKUP($C263,daily_dates,big_daily_table)))</f>
        <v>#N/A</v>
      </c>
    </row>
    <row r="264" ht="14.25" customHeight="1">
      <c r="B264" s="7">
        <v>41169.0</v>
      </c>
      <c r="C264" s="7">
        <f t="shared" si="1"/>
        <v>41168</v>
      </c>
      <c r="D264" s="1" t="str">
        <f t="array" ref="D264">IF(ISBLANK(XLOOKUP(D$3,daily_items,XLOOKUP($C264,daily_dates,big_daily_table))),NA(),XLOOKUP(D$3,daily_items,XLOOKUP($C264,daily_dates,big_daily_table)))</f>
        <v>#N/A</v>
      </c>
      <c r="E264" s="1" t="str">
        <f t="array" ref="E264">IF(ISBLANK(XLOOKUP(E$3,daily_items,XLOOKUP($C264,daily_dates,big_daily_table))),NA(),XLOOKUP(E$3,daily_items,XLOOKUP($C264,daily_dates,big_daily_table)))</f>
        <v>#N/A</v>
      </c>
    </row>
    <row r="265" ht="14.25" customHeight="1">
      <c r="B265" s="7">
        <v>41170.0</v>
      </c>
      <c r="C265" s="7">
        <f t="shared" si="1"/>
        <v>41168</v>
      </c>
      <c r="D265" s="1" t="str">
        <f t="array" ref="D265">IF(ISBLANK(XLOOKUP(D$3,daily_items,XLOOKUP($C265,daily_dates,big_daily_table))),NA(),XLOOKUP(D$3,daily_items,XLOOKUP($C265,daily_dates,big_daily_table)))</f>
        <v>#N/A</v>
      </c>
      <c r="E265" s="1" t="str">
        <f t="array" ref="E265">IF(ISBLANK(XLOOKUP(E$3,daily_items,XLOOKUP($C265,daily_dates,big_daily_table))),NA(),XLOOKUP(E$3,daily_items,XLOOKUP($C265,daily_dates,big_daily_table)))</f>
        <v>#N/A</v>
      </c>
    </row>
    <row r="266" ht="14.25" customHeight="1">
      <c r="B266" s="7">
        <v>41171.0</v>
      </c>
      <c r="C266" s="7">
        <f t="shared" si="1"/>
        <v>41168</v>
      </c>
      <c r="D266" s="1" t="str">
        <f t="array" ref="D266">IF(ISBLANK(XLOOKUP(D$3,daily_items,XLOOKUP($C266,daily_dates,big_daily_table))),NA(),XLOOKUP(D$3,daily_items,XLOOKUP($C266,daily_dates,big_daily_table)))</f>
        <v>#N/A</v>
      </c>
      <c r="E266" s="1" t="str">
        <f t="array" ref="E266">IF(ISBLANK(XLOOKUP(E$3,daily_items,XLOOKUP($C266,daily_dates,big_daily_table))),NA(),XLOOKUP(E$3,daily_items,XLOOKUP($C266,daily_dates,big_daily_table)))</f>
        <v>#N/A</v>
      </c>
    </row>
    <row r="267" ht="14.25" customHeight="1">
      <c r="B267" s="7">
        <v>41172.0</v>
      </c>
      <c r="C267" s="7">
        <f t="shared" si="1"/>
        <v>41168</v>
      </c>
      <c r="D267" s="1" t="str">
        <f t="array" ref="D267">IF(ISBLANK(XLOOKUP(D$3,daily_items,XLOOKUP($C267,daily_dates,big_daily_table))),NA(),XLOOKUP(D$3,daily_items,XLOOKUP($C267,daily_dates,big_daily_table)))</f>
        <v>#N/A</v>
      </c>
      <c r="E267" s="1" t="str">
        <f t="array" ref="E267">IF(ISBLANK(XLOOKUP(E$3,daily_items,XLOOKUP($C267,daily_dates,big_daily_table))),NA(),XLOOKUP(E$3,daily_items,XLOOKUP($C267,daily_dates,big_daily_table)))</f>
        <v>#N/A</v>
      </c>
    </row>
    <row r="268" ht="14.25" customHeight="1">
      <c r="B268" s="7">
        <v>41173.0</v>
      </c>
      <c r="C268" s="7">
        <f t="shared" si="1"/>
        <v>41168</v>
      </c>
      <c r="D268" s="1" t="str">
        <f t="array" ref="D268">IF(ISBLANK(XLOOKUP(D$3,daily_items,XLOOKUP($C268,daily_dates,big_daily_table))),NA(),XLOOKUP(D$3,daily_items,XLOOKUP($C268,daily_dates,big_daily_table)))</f>
        <v>#N/A</v>
      </c>
      <c r="E268" s="1" t="str">
        <f t="array" ref="E268">IF(ISBLANK(XLOOKUP(E$3,daily_items,XLOOKUP($C268,daily_dates,big_daily_table))),NA(),XLOOKUP(E$3,daily_items,XLOOKUP($C268,daily_dates,big_daily_table)))</f>
        <v>#N/A</v>
      </c>
    </row>
    <row r="269" ht="14.25" customHeight="1">
      <c r="B269" s="7">
        <v>41174.0</v>
      </c>
      <c r="C269" s="7">
        <f t="shared" si="1"/>
        <v>41168</v>
      </c>
      <c r="D269" s="1" t="str">
        <f t="array" ref="D269">IF(ISBLANK(XLOOKUP(D$3,daily_items,XLOOKUP($C269,daily_dates,big_daily_table))),NA(),XLOOKUP(D$3,daily_items,XLOOKUP($C269,daily_dates,big_daily_table)))</f>
        <v>#N/A</v>
      </c>
      <c r="E269" s="1" t="str">
        <f t="array" ref="E269">IF(ISBLANK(XLOOKUP(E$3,daily_items,XLOOKUP($C269,daily_dates,big_daily_table))),NA(),XLOOKUP(E$3,daily_items,XLOOKUP($C269,daily_dates,big_daily_table)))</f>
        <v>#N/A</v>
      </c>
    </row>
    <row r="270" ht="14.25" customHeight="1">
      <c r="B270" s="7">
        <v>41175.0</v>
      </c>
      <c r="C270" s="7">
        <f t="shared" si="1"/>
        <v>41175</v>
      </c>
      <c r="D270" s="1" t="str">
        <f t="array" ref="D270">IF(ISBLANK(XLOOKUP(D$3,daily_items,XLOOKUP($C270,daily_dates,big_daily_table))),NA(),XLOOKUP(D$3,daily_items,XLOOKUP($C270,daily_dates,big_daily_table)))</f>
        <v>#N/A</v>
      </c>
      <c r="E270" s="1" t="str">
        <f t="array" ref="E270">IF(ISBLANK(XLOOKUP(E$3,daily_items,XLOOKUP($C270,daily_dates,big_daily_table))),NA(),XLOOKUP(E$3,daily_items,XLOOKUP($C270,daily_dates,big_daily_table)))</f>
        <v>#N/A</v>
      </c>
    </row>
    <row r="271" ht="14.25" customHeight="1">
      <c r="B271" s="7">
        <v>41176.0</v>
      </c>
      <c r="C271" s="7">
        <f t="shared" si="1"/>
        <v>41175</v>
      </c>
      <c r="D271" s="1" t="str">
        <f t="array" ref="D271">IF(ISBLANK(XLOOKUP(D$3,daily_items,XLOOKUP($C271,daily_dates,big_daily_table))),NA(),XLOOKUP(D$3,daily_items,XLOOKUP($C271,daily_dates,big_daily_table)))</f>
        <v>#N/A</v>
      </c>
      <c r="E271" s="1" t="str">
        <f t="array" ref="E271">IF(ISBLANK(XLOOKUP(E$3,daily_items,XLOOKUP($C271,daily_dates,big_daily_table))),NA(),XLOOKUP(E$3,daily_items,XLOOKUP($C271,daily_dates,big_daily_table)))</f>
        <v>#N/A</v>
      </c>
    </row>
    <row r="272" ht="14.25" customHeight="1">
      <c r="B272" s="7">
        <v>41177.0</v>
      </c>
      <c r="C272" s="7">
        <f t="shared" si="1"/>
        <v>41175</v>
      </c>
      <c r="D272" s="1" t="str">
        <f t="array" ref="D272">IF(ISBLANK(XLOOKUP(D$3,daily_items,XLOOKUP($C272,daily_dates,big_daily_table))),NA(),XLOOKUP(D$3,daily_items,XLOOKUP($C272,daily_dates,big_daily_table)))</f>
        <v>#N/A</v>
      </c>
      <c r="E272" s="1" t="str">
        <f t="array" ref="E272">IF(ISBLANK(XLOOKUP(E$3,daily_items,XLOOKUP($C272,daily_dates,big_daily_table))),NA(),XLOOKUP(E$3,daily_items,XLOOKUP($C272,daily_dates,big_daily_table)))</f>
        <v>#N/A</v>
      </c>
    </row>
    <row r="273" ht="14.25" customHeight="1">
      <c r="B273" s="7">
        <v>41178.0</v>
      </c>
      <c r="C273" s="7">
        <f t="shared" si="1"/>
        <v>41175</v>
      </c>
      <c r="D273" s="1" t="str">
        <f t="array" ref="D273">IF(ISBLANK(XLOOKUP(D$3,daily_items,XLOOKUP($C273,daily_dates,big_daily_table))),NA(),XLOOKUP(D$3,daily_items,XLOOKUP($C273,daily_dates,big_daily_table)))</f>
        <v>#N/A</v>
      </c>
      <c r="E273" s="1" t="str">
        <f t="array" ref="E273">IF(ISBLANK(XLOOKUP(E$3,daily_items,XLOOKUP($C273,daily_dates,big_daily_table))),NA(),XLOOKUP(E$3,daily_items,XLOOKUP($C273,daily_dates,big_daily_table)))</f>
        <v>#N/A</v>
      </c>
    </row>
    <row r="274" ht="14.25" customHeight="1">
      <c r="B274" s="7">
        <v>41179.0</v>
      </c>
      <c r="C274" s="7">
        <f t="shared" si="1"/>
        <v>41175</v>
      </c>
      <c r="D274" s="1" t="str">
        <f t="array" ref="D274">IF(ISBLANK(XLOOKUP(D$3,daily_items,XLOOKUP($C274,daily_dates,big_daily_table))),NA(),XLOOKUP(D$3,daily_items,XLOOKUP($C274,daily_dates,big_daily_table)))</f>
        <v>#N/A</v>
      </c>
      <c r="E274" s="1" t="str">
        <f t="array" ref="E274">IF(ISBLANK(XLOOKUP(E$3,daily_items,XLOOKUP($C274,daily_dates,big_daily_table))),NA(),XLOOKUP(E$3,daily_items,XLOOKUP($C274,daily_dates,big_daily_table)))</f>
        <v>#N/A</v>
      </c>
    </row>
    <row r="275" ht="14.25" customHeight="1">
      <c r="B275" s="7">
        <v>41180.0</v>
      </c>
      <c r="C275" s="7">
        <f t="shared" si="1"/>
        <v>41175</v>
      </c>
      <c r="D275" s="1" t="str">
        <f t="array" ref="D275">IF(ISBLANK(XLOOKUP(D$3,daily_items,XLOOKUP($C275,daily_dates,big_daily_table))),NA(),XLOOKUP(D$3,daily_items,XLOOKUP($C275,daily_dates,big_daily_table)))</f>
        <v>#N/A</v>
      </c>
      <c r="E275" s="1" t="str">
        <f t="array" ref="E275">IF(ISBLANK(XLOOKUP(E$3,daily_items,XLOOKUP($C275,daily_dates,big_daily_table))),NA(),XLOOKUP(E$3,daily_items,XLOOKUP($C275,daily_dates,big_daily_table)))</f>
        <v>#N/A</v>
      </c>
    </row>
    <row r="276" ht="14.25" customHeight="1">
      <c r="B276" s="7">
        <v>41181.0</v>
      </c>
      <c r="C276" s="7">
        <f t="shared" si="1"/>
        <v>41175</v>
      </c>
      <c r="D276" s="1" t="str">
        <f t="array" ref="D276">IF(ISBLANK(XLOOKUP(D$3,daily_items,XLOOKUP($C276,daily_dates,big_daily_table))),NA(),XLOOKUP(D$3,daily_items,XLOOKUP($C276,daily_dates,big_daily_table)))</f>
        <v>#N/A</v>
      </c>
      <c r="E276" s="1" t="str">
        <f t="array" ref="E276">IF(ISBLANK(XLOOKUP(E$3,daily_items,XLOOKUP($C276,daily_dates,big_daily_table))),NA(),XLOOKUP(E$3,daily_items,XLOOKUP($C276,daily_dates,big_daily_table)))</f>
        <v>#N/A</v>
      </c>
    </row>
    <row r="277" ht="14.25" customHeight="1">
      <c r="B277" s="7">
        <v>41182.0</v>
      </c>
      <c r="C277" s="7">
        <f t="shared" si="1"/>
        <v>41182</v>
      </c>
      <c r="D277" s="1" t="str">
        <f t="array" ref="D277">IF(ISBLANK(XLOOKUP(D$3,daily_items,XLOOKUP($C277,daily_dates,big_daily_table))),NA(),XLOOKUP(D$3,daily_items,XLOOKUP($C277,daily_dates,big_daily_table)))</f>
        <v>#N/A</v>
      </c>
      <c r="E277" s="1" t="str">
        <f t="array" ref="E277">IF(ISBLANK(XLOOKUP(E$3,daily_items,XLOOKUP($C277,daily_dates,big_daily_table))),NA(),XLOOKUP(E$3,daily_items,XLOOKUP($C277,daily_dates,big_daily_table)))</f>
        <v>#N/A</v>
      </c>
    </row>
    <row r="278" ht="14.25" customHeight="1">
      <c r="B278" s="7">
        <v>41183.0</v>
      </c>
      <c r="C278" s="7">
        <f t="shared" si="1"/>
        <v>41182</v>
      </c>
      <c r="D278" s="1" t="str">
        <f t="array" ref="D278">IF(ISBLANK(XLOOKUP(D$3,daily_items,XLOOKUP($C278,daily_dates,big_daily_table))),NA(),XLOOKUP(D$3,daily_items,XLOOKUP($C278,daily_dates,big_daily_table)))</f>
        <v>#N/A</v>
      </c>
      <c r="E278" s="1" t="str">
        <f t="array" ref="E278">IF(ISBLANK(XLOOKUP(E$3,daily_items,XLOOKUP($C278,daily_dates,big_daily_table))),NA(),XLOOKUP(E$3,daily_items,XLOOKUP($C278,daily_dates,big_daily_table)))</f>
        <v>#N/A</v>
      </c>
    </row>
    <row r="279" ht="14.25" customHeight="1">
      <c r="B279" s="7">
        <v>41184.0</v>
      </c>
      <c r="C279" s="7">
        <f t="shared" si="1"/>
        <v>41182</v>
      </c>
      <c r="D279" s="1" t="str">
        <f t="array" ref="D279">IF(ISBLANK(XLOOKUP(D$3,daily_items,XLOOKUP($C279,daily_dates,big_daily_table))),NA(),XLOOKUP(D$3,daily_items,XLOOKUP($C279,daily_dates,big_daily_table)))</f>
        <v>#N/A</v>
      </c>
      <c r="E279" s="1" t="str">
        <f t="array" ref="E279">IF(ISBLANK(XLOOKUP(E$3,daily_items,XLOOKUP($C279,daily_dates,big_daily_table))),NA(),XLOOKUP(E$3,daily_items,XLOOKUP($C279,daily_dates,big_daily_table)))</f>
        <v>#N/A</v>
      </c>
    </row>
    <row r="280" ht="14.25" customHeight="1">
      <c r="B280" s="7">
        <v>41185.0</v>
      </c>
      <c r="C280" s="7">
        <f t="shared" si="1"/>
        <v>41182</v>
      </c>
      <c r="D280" s="1" t="str">
        <f t="array" ref="D280">IF(ISBLANK(XLOOKUP(D$3,daily_items,XLOOKUP($C280,daily_dates,big_daily_table))),NA(),XLOOKUP(D$3,daily_items,XLOOKUP($C280,daily_dates,big_daily_table)))</f>
        <v>#N/A</v>
      </c>
      <c r="E280" s="1" t="str">
        <f t="array" ref="E280">IF(ISBLANK(XLOOKUP(E$3,daily_items,XLOOKUP($C280,daily_dates,big_daily_table))),NA(),XLOOKUP(E$3,daily_items,XLOOKUP($C280,daily_dates,big_daily_table)))</f>
        <v>#N/A</v>
      </c>
    </row>
    <row r="281" ht="14.25" customHeight="1">
      <c r="B281" s="7">
        <v>41186.0</v>
      </c>
      <c r="C281" s="7">
        <f t="shared" si="1"/>
        <v>41182</v>
      </c>
      <c r="D281" s="1" t="str">
        <f t="array" ref="D281">IF(ISBLANK(XLOOKUP(D$3,daily_items,XLOOKUP($C281,daily_dates,big_daily_table))),NA(),XLOOKUP(D$3,daily_items,XLOOKUP($C281,daily_dates,big_daily_table)))</f>
        <v>#N/A</v>
      </c>
      <c r="E281" s="1" t="str">
        <f t="array" ref="E281">IF(ISBLANK(XLOOKUP(E$3,daily_items,XLOOKUP($C281,daily_dates,big_daily_table))),NA(),XLOOKUP(E$3,daily_items,XLOOKUP($C281,daily_dates,big_daily_table)))</f>
        <v>#N/A</v>
      </c>
    </row>
    <row r="282" ht="14.25" customHeight="1">
      <c r="B282" s="7">
        <v>41187.0</v>
      </c>
      <c r="C282" s="7">
        <f t="shared" si="1"/>
        <v>41182</v>
      </c>
      <c r="D282" s="1" t="str">
        <f t="array" ref="D282">IF(ISBLANK(XLOOKUP(D$3,daily_items,XLOOKUP($C282,daily_dates,big_daily_table))),NA(),XLOOKUP(D$3,daily_items,XLOOKUP($C282,daily_dates,big_daily_table)))</f>
        <v>#N/A</v>
      </c>
      <c r="E282" s="1" t="str">
        <f t="array" ref="E282">IF(ISBLANK(XLOOKUP(E$3,daily_items,XLOOKUP($C282,daily_dates,big_daily_table))),NA(),XLOOKUP(E$3,daily_items,XLOOKUP($C282,daily_dates,big_daily_table)))</f>
        <v>#N/A</v>
      </c>
    </row>
    <row r="283" ht="14.25" customHeight="1">
      <c r="B283" s="7">
        <v>41188.0</v>
      </c>
      <c r="C283" s="7">
        <f t="shared" si="1"/>
        <v>41182</v>
      </c>
      <c r="D283" s="1" t="str">
        <f t="array" ref="D283">IF(ISBLANK(XLOOKUP(D$3,daily_items,XLOOKUP($C283,daily_dates,big_daily_table))),NA(),XLOOKUP(D$3,daily_items,XLOOKUP($C283,daily_dates,big_daily_table)))</f>
        <v>#N/A</v>
      </c>
      <c r="E283" s="1" t="str">
        <f t="array" ref="E283">IF(ISBLANK(XLOOKUP(E$3,daily_items,XLOOKUP($C283,daily_dates,big_daily_table))),NA(),XLOOKUP(E$3,daily_items,XLOOKUP($C283,daily_dates,big_daily_table)))</f>
        <v>#N/A</v>
      </c>
    </row>
    <row r="284" ht="14.25" customHeight="1">
      <c r="B284" s="7">
        <v>41189.0</v>
      </c>
      <c r="C284" s="7">
        <f t="shared" si="1"/>
        <v>41189</v>
      </c>
      <c r="D284" s="1" t="str">
        <f t="array" ref="D284">IF(ISBLANK(XLOOKUP(D$3,daily_items,XLOOKUP($C284,daily_dates,big_daily_table))),NA(),XLOOKUP(D$3,daily_items,XLOOKUP($C284,daily_dates,big_daily_table)))</f>
        <v>#N/A</v>
      </c>
      <c r="E284" s="1" t="str">
        <f t="array" ref="E284">IF(ISBLANK(XLOOKUP(E$3,daily_items,XLOOKUP($C284,daily_dates,big_daily_table))),NA(),XLOOKUP(E$3,daily_items,XLOOKUP($C284,daily_dates,big_daily_table)))</f>
        <v>#N/A</v>
      </c>
    </row>
    <row r="285" ht="14.25" customHeight="1">
      <c r="B285" s="7">
        <v>41190.0</v>
      </c>
      <c r="C285" s="7">
        <f t="shared" si="1"/>
        <v>41189</v>
      </c>
      <c r="D285" s="1" t="str">
        <f t="array" ref="D285">IF(ISBLANK(XLOOKUP(D$3,daily_items,XLOOKUP($C285,daily_dates,big_daily_table))),NA(),XLOOKUP(D$3,daily_items,XLOOKUP($C285,daily_dates,big_daily_table)))</f>
        <v>#N/A</v>
      </c>
      <c r="E285" s="1" t="str">
        <f t="array" ref="E285">IF(ISBLANK(XLOOKUP(E$3,daily_items,XLOOKUP($C285,daily_dates,big_daily_table))),NA(),XLOOKUP(E$3,daily_items,XLOOKUP($C285,daily_dates,big_daily_table)))</f>
        <v>#N/A</v>
      </c>
    </row>
    <row r="286" ht="14.25" customHeight="1">
      <c r="B286" s="7">
        <v>41191.0</v>
      </c>
      <c r="C286" s="7">
        <f t="shared" si="1"/>
        <v>41189</v>
      </c>
      <c r="D286" s="1" t="str">
        <f t="array" ref="D286">IF(ISBLANK(XLOOKUP(D$3,daily_items,XLOOKUP($C286,daily_dates,big_daily_table))),NA(),XLOOKUP(D$3,daily_items,XLOOKUP($C286,daily_dates,big_daily_table)))</f>
        <v>#N/A</v>
      </c>
      <c r="E286" s="1" t="str">
        <f t="array" ref="E286">IF(ISBLANK(XLOOKUP(E$3,daily_items,XLOOKUP($C286,daily_dates,big_daily_table))),NA(),XLOOKUP(E$3,daily_items,XLOOKUP($C286,daily_dates,big_daily_table)))</f>
        <v>#N/A</v>
      </c>
    </row>
    <row r="287" ht="14.25" customHeight="1">
      <c r="B287" s="7">
        <v>41192.0</v>
      </c>
      <c r="C287" s="7">
        <f t="shared" si="1"/>
        <v>41189</v>
      </c>
      <c r="D287" s="1" t="str">
        <f t="array" ref="D287">IF(ISBLANK(XLOOKUP(D$3,daily_items,XLOOKUP($C287,daily_dates,big_daily_table))),NA(),XLOOKUP(D$3,daily_items,XLOOKUP($C287,daily_dates,big_daily_table)))</f>
        <v>#N/A</v>
      </c>
      <c r="E287" s="1" t="str">
        <f t="array" ref="E287">IF(ISBLANK(XLOOKUP(E$3,daily_items,XLOOKUP($C287,daily_dates,big_daily_table))),NA(),XLOOKUP(E$3,daily_items,XLOOKUP($C287,daily_dates,big_daily_table)))</f>
        <v>#N/A</v>
      </c>
    </row>
    <row r="288" ht="14.25" customHeight="1">
      <c r="B288" s="7">
        <v>41193.0</v>
      </c>
      <c r="C288" s="7">
        <f t="shared" si="1"/>
        <v>41189</v>
      </c>
      <c r="D288" s="1" t="str">
        <f t="array" ref="D288">IF(ISBLANK(XLOOKUP(D$3,daily_items,XLOOKUP($C288,daily_dates,big_daily_table))),NA(),XLOOKUP(D$3,daily_items,XLOOKUP($C288,daily_dates,big_daily_table)))</f>
        <v>#N/A</v>
      </c>
      <c r="E288" s="1" t="str">
        <f t="array" ref="E288">IF(ISBLANK(XLOOKUP(E$3,daily_items,XLOOKUP($C288,daily_dates,big_daily_table))),NA(),XLOOKUP(E$3,daily_items,XLOOKUP($C288,daily_dates,big_daily_table)))</f>
        <v>#N/A</v>
      </c>
    </row>
    <row r="289" ht="14.25" customHeight="1">
      <c r="B289" s="7">
        <v>41194.0</v>
      </c>
      <c r="C289" s="7">
        <f t="shared" si="1"/>
        <v>41189</v>
      </c>
      <c r="D289" s="1" t="str">
        <f t="array" ref="D289">IF(ISBLANK(XLOOKUP(D$3,daily_items,XLOOKUP($C289,daily_dates,big_daily_table))),NA(),XLOOKUP(D$3,daily_items,XLOOKUP($C289,daily_dates,big_daily_table)))</f>
        <v>#N/A</v>
      </c>
      <c r="E289" s="1" t="str">
        <f t="array" ref="E289">IF(ISBLANK(XLOOKUP(E$3,daily_items,XLOOKUP($C289,daily_dates,big_daily_table))),NA(),XLOOKUP(E$3,daily_items,XLOOKUP($C289,daily_dates,big_daily_table)))</f>
        <v>#N/A</v>
      </c>
    </row>
    <row r="290" ht="14.25" customHeight="1">
      <c r="B290" s="7">
        <v>41195.0</v>
      </c>
      <c r="C290" s="7">
        <f t="shared" si="1"/>
        <v>41189</v>
      </c>
      <c r="D290" s="1" t="str">
        <f t="array" ref="D290">IF(ISBLANK(XLOOKUP(D$3,daily_items,XLOOKUP($C290,daily_dates,big_daily_table))),NA(),XLOOKUP(D$3,daily_items,XLOOKUP($C290,daily_dates,big_daily_table)))</f>
        <v>#N/A</v>
      </c>
      <c r="E290" s="1" t="str">
        <f t="array" ref="E290">IF(ISBLANK(XLOOKUP(E$3,daily_items,XLOOKUP($C290,daily_dates,big_daily_table))),NA(),XLOOKUP(E$3,daily_items,XLOOKUP($C290,daily_dates,big_daily_table)))</f>
        <v>#N/A</v>
      </c>
    </row>
    <row r="291" ht="14.25" customHeight="1">
      <c r="B291" s="7">
        <v>41196.0</v>
      </c>
      <c r="C291" s="7">
        <f t="shared" si="1"/>
        <v>41196</v>
      </c>
      <c r="D291" s="1" t="str">
        <f t="array" ref="D291">IF(ISBLANK(XLOOKUP(D$3,daily_items,XLOOKUP($C291,daily_dates,big_daily_table))),NA(),XLOOKUP(D$3,daily_items,XLOOKUP($C291,daily_dates,big_daily_table)))</f>
        <v>#N/A</v>
      </c>
      <c r="E291" s="1" t="str">
        <f t="array" ref="E291">IF(ISBLANK(XLOOKUP(E$3,daily_items,XLOOKUP($C291,daily_dates,big_daily_table))),NA(),XLOOKUP(E$3,daily_items,XLOOKUP($C291,daily_dates,big_daily_table)))</f>
        <v>#N/A</v>
      </c>
    </row>
    <row r="292" ht="14.25" customHeight="1">
      <c r="B292" s="7">
        <v>41197.0</v>
      </c>
      <c r="C292" s="7">
        <f t="shared" si="1"/>
        <v>41196</v>
      </c>
      <c r="D292" s="1" t="str">
        <f t="array" ref="D292">IF(ISBLANK(XLOOKUP(D$3,daily_items,XLOOKUP($C292,daily_dates,big_daily_table))),NA(),XLOOKUP(D$3,daily_items,XLOOKUP($C292,daily_dates,big_daily_table)))</f>
        <v>#N/A</v>
      </c>
      <c r="E292" s="1" t="str">
        <f t="array" ref="E292">IF(ISBLANK(XLOOKUP(E$3,daily_items,XLOOKUP($C292,daily_dates,big_daily_table))),NA(),XLOOKUP(E$3,daily_items,XLOOKUP($C292,daily_dates,big_daily_table)))</f>
        <v>#N/A</v>
      </c>
    </row>
    <row r="293" ht="14.25" customHeight="1">
      <c r="B293" s="7">
        <v>41198.0</v>
      </c>
      <c r="C293" s="7">
        <f t="shared" si="1"/>
        <v>41196</v>
      </c>
      <c r="D293" s="1" t="str">
        <f t="array" ref="D293">IF(ISBLANK(XLOOKUP(D$3,daily_items,XLOOKUP($C293,daily_dates,big_daily_table))),NA(),XLOOKUP(D$3,daily_items,XLOOKUP($C293,daily_dates,big_daily_table)))</f>
        <v>#N/A</v>
      </c>
      <c r="E293" s="1" t="str">
        <f t="array" ref="E293">IF(ISBLANK(XLOOKUP(E$3,daily_items,XLOOKUP($C293,daily_dates,big_daily_table))),NA(),XLOOKUP(E$3,daily_items,XLOOKUP($C293,daily_dates,big_daily_table)))</f>
        <v>#N/A</v>
      </c>
    </row>
    <row r="294" ht="14.25" customHeight="1">
      <c r="B294" s="7">
        <v>41199.0</v>
      </c>
      <c r="C294" s="7">
        <f t="shared" si="1"/>
        <v>41196</v>
      </c>
      <c r="D294" s="1" t="str">
        <f t="array" ref="D294">IF(ISBLANK(XLOOKUP(D$3,daily_items,XLOOKUP($C294,daily_dates,big_daily_table))),NA(),XLOOKUP(D$3,daily_items,XLOOKUP($C294,daily_dates,big_daily_table)))</f>
        <v>#N/A</v>
      </c>
      <c r="E294" s="1" t="str">
        <f t="array" ref="E294">IF(ISBLANK(XLOOKUP(E$3,daily_items,XLOOKUP($C294,daily_dates,big_daily_table))),NA(),XLOOKUP(E$3,daily_items,XLOOKUP($C294,daily_dates,big_daily_table)))</f>
        <v>#N/A</v>
      </c>
    </row>
    <row r="295" ht="14.25" customHeight="1">
      <c r="B295" s="7">
        <v>41200.0</v>
      </c>
      <c r="C295" s="7">
        <f t="shared" si="1"/>
        <v>41196</v>
      </c>
      <c r="D295" s="1" t="str">
        <f t="array" ref="D295">IF(ISBLANK(XLOOKUP(D$3,daily_items,XLOOKUP($C295,daily_dates,big_daily_table))),NA(),XLOOKUP(D$3,daily_items,XLOOKUP($C295,daily_dates,big_daily_table)))</f>
        <v>#N/A</v>
      </c>
      <c r="E295" s="1" t="str">
        <f t="array" ref="E295">IF(ISBLANK(XLOOKUP(E$3,daily_items,XLOOKUP($C295,daily_dates,big_daily_table))),NA(),XLOOKUP(E$3,daily_items,XLOOKUP($C295,daily_dates,big_daily_table)))</f>
        <v>#N/A</v>
      </c>
    </row>
    <row r="296" ht="14.25" customHeight="1">
      <c r="B296" s="7">
        <v>41201.0</v>
      </c>
      <c r="C296" s="7">
        <f t="shared" si="1"/>
        <v>41196</v>
      </c>
      <c r="D296" s="1" t="str">
        <f t="array" ref="D296">IF(ISBLANK(XLOOKUP(D$3,daily_items,XLOOKUP($C296,daily_dates,big_daily_table))),NA(),XLOOKUP(D$3,daily_items,XLOOKUP($C296,daily_dates,big_daily_table)))</f>
        <v>#N/A</v>
      </c>
      <c r="E296" s="1" t="str">
        <f t="array" ref="E296">IF(ISBLANK(XLOOKUP(E$3,daily_items,XLOOKUP($C296,daily_dates,big_daily_table))),NA(),XLOOKUP(E$3,daily_items,XLOOKUP($C296,daily_dates,big_daily_table)))</f>
        <v>#N/A</v>
      </c>
    </row>
    <row r="297" ht="14.25" customHeight="1">
      <c r="B297" s="7">
        <v>41202.0</v>
      </c>
      <c r="C297" s="7">
        <f t="shared" si="1"/>
        <v>41196</v>
      </c>
      <c r="D297" s="1" t="str">
        <f t="array" ref="D297">IF(ISBLANK(XLOOKUP(D$3,daily_items,XLOOKUP($C297,daily_dates,big_daily_table))),NA(),XLOOKUP(D$3,daily_items,XLOOKUP($C297,daily_dates,big_daily_table)))</f>
        <v>#N/A</v>
      </c>
      <c r="E297" s="1" t="str">
        <f t="array" ref="E297">IF(ISBLANK(XLOOKUP(E$3,daily_items,XLOOKUP($C297,daily_dates,big_daily_table))),NA(),XLOOKUP(E$3,daily_items,XLOOKUP($C297,daily_dates,big_daily_table)))</f>
        <v>#N/A</v>
      </c>
    </row>
    <row r="298" ht="14.25" customHeight="1">
      <c r="B298" s="7">
        <v>41203.0</v>
      </c>
      <c r="C298" s="7">
        <f t="shared" si="1"/>
        <v>41203</v>
      </c>
      <c r="D298" s="1" t="str">
        <f t="array" ref="D298">IF(ISBLANK(XLOOKUP(D$3,daily_items,XLOOKUP($C298,daily_dates,big_daily_table))),NA(),XLOOKUP(D$3,daily_items,XLOOKUP($C298,daily_dates,big_daily_table)))</f>
        <v>#N/A</v>
      </c>
      <c r="E298" s="1" t="str">
        <f t="array" ref="E298">IF(ISBLANK(XLOOKUP(E$3,daily_items,XLOOKUP($C298,daily_dates,big_daily_table))),NA(),XLOOKUP(E$3,daily_items,XLOOKUP($C298,daily_dates,big_daily_table)))</f>
        <v>#N/A</v>
      </c>
    </row>
    <row r="299" ht="14.25" customHeight="1">
      <c r="B299" s="7">
        <v>41204.0</v>
      </c>
      <c r="C299" s="7">
        <f t="shared" si="1"/>
        <v>41203</v>
      </c>
      <c r="D299" s="1" t="str">
        <f t="array" ref="D299">IF(ISBLANK(XLOOKUP(D$3,daily_items,XLOOKUP($C299,daily_dates,big_daily_table))),NA(),XLOOKUP(D$3,daily_items,XLOOKUP($C299,daily_dates,big_daily_table)))</f>
        <v>#N/A</v>
      </c>
      <c r="E299" s="1" t="str">
        <f t="array" ref="E299">IF(ISBLANK(XLOOKUP(E$3,daily_items,XLOOKUP($C299,daily_dates,big_daily_table))),NA(),XLOOKUP(E$3,daily_items,XLOOKUP($C299,daily_dates,big_daily_table)))</f>
        <v>#N/A</v>
      </c>
    </row>
    <row r="300" ht="14.25" customHeight="1">
      <c r="B300" s="7">
        <v>41205.0</v>
      </c>
      <c r="C300" s="7">
        <f t="shared" si="1"/>
        <v>41203</v>
      </c>
      <c r="D300" s="1" t="str">
        <f t="array" ref="D300">IF(ISBLANK(XLOOKUP(D$3,daily_items,XLOOKUP($C300,daily_dates,big_daily_table))),NA(),XLOOKUP(D$3,daily_items,XLOOKUP($C300,daily_dates,big_daily_table)))</f>
        <v>#N/A</v>
      </c>
      <c r="E300" s="1" t="str">
        <f t="array" ref="E300">IF(ISBLANK(XLOOKUP(E$3,daily_items,XLOOKUP($C300,daily_dates,big_daily_table))),NA(),XLOOKUP(E$3,daily_items,XLOOKUP($C300,daily_dates,big_daily_table)))</f>
        <v>#N/A</v>
      </c>
    </row>
    <row r="301" ht="14.25" customHeight="1">
      <c r="B301" s="7">
        <v>41206.0</v>
      </c>
      <c r="C301" s="7">
        <f t="shared" si="1"/>
        <v>41203</v>
      </c>
      <c r="D301" s="1" t="str">
        <f t="array" ref="D301">IF(ISBLANK(XLOOKUP(D$3,daily_items,XLOOKUP($C301,daily_dates,big_daily_table))),NA(),XLOOKUP(D$3,daily_items,XLOOKUP($C301,daily_dates,big_daily_table)))</f>
        <v>#N/A</v>
      </c>
      <c r="E301" s="1" t="str">
        <f t="array" ref="E301">IF(ISBLANK(XLOOKUP(E$3,daily_items,XLOOKUP($C301,daily_dates,big_daily_table))),NA(),XLOOKUP(E$3,daily_items,XLOOKUP($C301,daily_dates,big_daily_table)))</f>
        <v>#N/A</v>
      </c>
    </row>
    <row r="302" ht="14.25" customHeight="1">
      <c r="B302" s="7">
        <v>41207.0</v>
      </c>
      <c r="C302" s="7">
        <f t="shared" si="1"/>
        <v>41203</v>
      </c>
      <c r="D302" s="1" t="str">
        <f t="array" ref="D302">IF(ISBLANK(XLOOKUP(D$3,daily_items,XLOOKUP($C302,daily_dates,big_daily_table))),NA(),XLOOKUP(D$3,daily_items,XLOOKUP($C302,daily_dates,big_daily_table)))</f>
        <v>#N/A</v>
      </c>
      <c r="E302" s="1" t="str">
        <f t="array" ref="E302">IF(ISBLANK(XLOOKUP(E$3,daily_items,XLOOKUP($C302,daily_dates,big_daily_table))),NA(),XLOOKUP(E$3,daily_items,XLOOKUP($C302,daily_dates,big_daily_table)))</f>
        <v>#N/A</v>
      </c>
    </row>
    <row r="303" ht="14.25" customHeight="1">
      <c r="B303" s="7">
        <v>41208.0</v>
      </c>
      <c r="C303" s="7">
        <f t="shared" si="1"/>
        <v>41203</v>
      </c>
      <c r="D303" s="1" t="str">
        <f t="array" ref="D303">IF(ISBLANK(XLOOKUP(D$3,daily_items,XLOOKUP($C303,daily_dates,big_daily_table))),NA(),XLOOKUP(D$3,daily_items,XLOOKUP($C303,daily_dates,big_daily_table)))</f>
        <v>#N/A</v>
      </c>
      <c r="E303" s="1" t="str">
        <f t="array" ref="E303">IF(ISBLANK(XLOOKUP(E$3,daily_items,XLOOKUP($C303,daily_dates,big_daily_table))),NA(),XLOOKUP(E$3,daily_items,XLOOKUP($C303,daily_dates,big_daily_table)))</f>
        <v>#N/A</v>
      </c>
    </row>
    <row r="304" ht="14.25" customHeight="1">
      <c r="B304" s="7">
        <v>41209.0</v>
      </c>
      <c r="C304" s="7">
        <f t="shared" si="1"/>
        <v>41203</v>
      </c>
      <c r="D304" s="1" t="str">
        <f t="array" ref="D304">IF(ISBLANK(XLOOKUP(D$3,daily_items,XLOOKUP($C304,daily_dates,big_daily_table))),NA(),XLOOKUP(D$3,daily_items,XLOOKUP($C304,daily_dates,big_daily_table)))</f>
        <v>#N/A</v>
      </c>
      <c r="E304" s="1" t="str">
        <f t="array" ref="E304">IF(ISBLANK(XLOOKUP(E$3,daily_items,XLOOKUP($C304,daily_dates,big_daily_table))),NA(),XLOOKUP(E$3,daily_items,XLOOKUP($C304,daily_dates,big_daily_table)))</f>
        <v>#N/A</v>
      </c>
    </row>
    <row r="305" ht="14.25" customHeight="1">
      <c r="B305" s="7">
        <v>41210.0</v>
      </c>
      <c r="C305" s="7">
        <f t="shared" si="1"/>
        <v>41210</v>
      </c>
      <c r="D305" s="1" t="str">
        <f t="array" ref="D305">IF(ISBLANK(XLOOKUP(D$3,daily_items,XLOOKUP($C305,daily_dates,big_daily_table))),NA(),XLOOKUP(D$3,daily_items,XLOOKUP($C305,daily_dates,big_daily_table)))</f>
        <v>#N/A</v>
      </c>
      <c r="E305" s="1" t="str">
        <f t="array" ref="E305">IF(ISBLANK(XLOOKUP(E$3,daily_items,XLOOKUP($C305,daily_dates,big_daily_table))),NA(),XLOOKUP(E$3,daily_items,XLOOKUP($C305,daily_dates,big_daily_table)))</f>
        <v>#N/A</v>
      </c>
    </row>
    <row r="306" ht="14.25" customHeight="1">
      <c r="B306" s="7">
        <v>41211.0</v>
      </c>
      <c r="C306" s="7">
        <f t="shared" si="1"/>
        <v>41210</v>
      </c>
      <c r="D306" s="1" t="str">
        <f t="array" ref="D306">IF(ISBLANK(XLOOKUP(D$3,daily_items,XLOOKUP($C306,daily_dates,big_daily_table))),NA(),XLOOKUP(D$3,daily_items,XLOOKUP($C306,daily_dates,big_daily_table)))</f>
        <v>#N/A</v>
      </c>
      <c r="E306" s="1" t="str">
        <f t="array" ref="E306">IF(ISBLANK(XLOOKUP(E$3,daily_items,XLOOKUP($C306,daily_dates,big_daily_table))),NA(),XLOOKUP(E$3,daily_items,XLOOKUP($C306,daily_dates,big_daily_table)))</f>
        <v>#N/A</v>
      </c>
    </row>
    <row r="307" ht="14.25" customHeight="1">
      <c r="B307" s="7">
        <v>41212.0</v>
      </c>
      <c r="C307" s="7">
        <f t="shared" si="1"/>
        <v>41210</v>
      </c>
      <c r="D307" s="1" t="str">
        <f t="array" ref="D307">IF(ISBLANK(XLOOKUP(D$3,daily_items,XLOOKUP($C307,daily_dates,big_daily_table))),NA(),XLOOKUP(D$3,daily_items,XLOOKUP($C307,daily_dates,big_daily_table)))</f>
        <v>#N/A</v>
      </c>
      <c r="E307" s="1" t="str">
        <f t="array" ref="E307">IF(ISBLANK(XLOOKUP(E$3,daily_items,XLOOKUP($C307,daily_dates,big_daily_table))),NA(),XLOOKUP(E$3,daily_items,XLOOKUP($C307,daily_dates,big_daily_table)))</f>
        <v>#N/A</v>
      </c>
    </row>
    <row r="308" ht="14.25" customHeight="1">
      <c r="B308" s="7">
        <v>41213.0</v>
      </c>
      <c r="C308" s="7">
        <f t="shared" si="1"/>
        <v>41210</v>
      </c>
      <c r="D308" s="1" t="str">
        <f t="array" ref="D308">IF(ISBLANK(XLOOKUP(D$3,daily_items,XLOOKUP($C308,daily_dates,big_daily_table))),NA(),XLOOKUP(D$3,daily_items,XLOOKUP($C308,daily_dates,big_daily_table)))</f>
        <v>#N/A</v>
      </c>
      <c r="E308" s="1" t="str">
        <f t="array" ref="E308">IF(ISBLANK(XLOOKUP(E$3,daily_items,XLOOKUP($C308,daily_dates,big_daily_table))),NA(),XLOOKUP(E$3,daily_items,XLOOKUP($C308,daily_dates,big_daily_table)))</f>
        <v>#N/A</v>
      </c>
    </row>
    <row r="309" ht="14.25" customHeight="1">
      <c r="B309" s="7">
        <v>41214.0</v>
      </c>
      <c r="C309" s="7">
        <f t="shared" si="1"/>
        <v>41210</v>
      </c>
      <c r="D309" s="1" t="str">
        <f t="array" ref="D309">IF(ISBLANK(XLOOKUP(D$3,daily_items,XLOOKUP($C309,daily_dates,big_daily_table))),NA(),XLOOKUP(D$3,daily_items,XLOOKUP($C309,daily_dates,big_daily_table)))</f>
        <v>#N/A</v>
      </c>
      <c r="E309" s="1" t="str">
        <f t="array" ref="E309">IF(ISBLANK(XLOOKUP(E$3,daily_items,XLOOKUP($C309,daily_dates,big_daily_table))),NA(),XLOOKUP(E$3,daily_items,XLOOKUP($C309,daily_dates,big_daily_table)))</f>
        <v>#N/A</v>
      </c>
    </row>
    <row r="310" ht="14.25" customHeight="1">
      <c r="B310" s="7">
        <v>41215.0</v>
      </c>
      <c r="C310" s="7">
        <f t="shared" si="1"/>
        <v>41210</v>
      </c>
      <c r="D310" s="1" t="str">
        <f t="array" ref="D310">IF(ISBLANK(XLOOKUP(D$3,daily_items,XLOOKUP($C310,daily_dates,big_daily_table))),NA(),XLOOKUP(D$3,daily_items,XLOOKUP($C310,daily_dates,big_daily_table)))</f>
        <v>#N/A</v>
      </c>
      <c r="E310" s="1" t="str">
        <f t="array" ref="E310">IF(ISBLANK(XLOOKUP(E$3,daily_items,XLOOKUP($C310,daily_dates,big_daily_table))),NA(),XLOOKUP(E$3,daily_items,XLOOKUP($C310,daily_dates,big_daily_table)))</f>
        <v>#N/A</v>
      </c>
    </row>
    <row r="311" ht="14.25" customHeight="1">
      <c r="B311" s="7">
        <v>41216.0</v>
      </c>
      <c r="C311" s="7">
        <f t="shared" si="1"/>
        <v>41210</v>
      </c>
      <c r="D311" s="1" t="str">
        <f t="array" ref="D311">IF(ISBLANK(XLOOKUP(D$3,daily_items,XLOOKUP($C311,daily_dates,big_daily_table))),NA(),XLOOKUP(D$3,daily_items,XLOOKUP($C311,daily_dates,big_daily_table)))</f>
        <v>#N/A</v>
      </c>
      <c r="E311" s="1" t="str">
        <f t="array" ref="E311">IF(ISBLANK(XLOOKUP(E$3,daily_items,XLOOKUP($C311,daily_dates,big_daily_table))),NA(),XLOOKUP(E$3,daily_items,XLOOKUP($C311,daily_dates,big_daily_table)))</f>
        <v>#N/A</v>
      </c>
    </row>
    <row r="312" ht="14.25" customHeight="1">
      <c r="B312" s="7">
        <v>41217.0</v>
      </c>
      <c r="C312" s="7">
        <f t="shared" si="1"/>
        <v>41217</v>
      </c>
      <c r="D312" s="1" t="str">
        <f t="array" ref="D312">IF(ISBLANK(XLOOKUP(D$3,daily_items,XLOOKUP($C312,daily_dates,big_daily_table))),NA(),XLOOKUP(D$3,daily_items,XLOOKUP($C312,daily_dates,big_daily_table)))</f>
        <v>#N/A</v>
      </c>
      <c r="E312" s="1" t="str">
        <f t="array" ref="E312">IF(ISBLANK(XLOOKUP(E$3,daily_items,XLOOKUP($C312,daily_dates,big_daily_table))),NA(),XLOOKUP(E$3,daily_items,XLOOKUP($C312,daily_dates,big_daily_table)))</f>
        <v>#N/A</v>
      </c>
    </row>
    <row r="313" ht="14.25" customHeight="1">
      <c r="B313" s="7">
        <v>41218.0</v>
      </c>
      <c r="C313" s="7">
        <f t="shared" si="1"/>
        <v>41217</v>
      </c>
      <c r="D313" s="1" t="str">
        <f t="array" ref="D313">IF(ISBLANK(XLOOKUP(D$3,daily_items,XLOOKUP($C313,daily_dates,big_daily_table))),NA(),XLOOKUP(D$3,daily_items,XLOOKUP($C313,daily_dates,big_daily_table)))</f>
        <v>#N/A</v>
      </c>
      <c r="E313" s="1" t="str">
        <f t="array" ref="E313">IF(ISBLANK(XLOOKUP(E$3,daily_items,XLOOKUP($C313,daily_dates,big_daily_table))),NA(),XLOOKUP(E$3,daily_items,XLOOKUP($C313,daily_dates,big_daily_table)))</f>
        <v>#N/A</v>
      </c>
    </row>
    <row r="314" ht="14.25" customHeight="1">
      <c r="B314" s="7">
        <v>41219.0</v>
      </c>
      <c r="C314" s="7">
        <f t="shared" si="1"/>
        <v>41217</v>
      </c>
      <c r="D314" s="1" t="str">
        <f t="array" ref="D314">IF(ISBLANK(XLOOKUP(D$3,daily_items,XLOOKUP($C314,daily_dates,big_daily_table))),NA(),XLOOKUP(D$3,daily_items,XLOOKUP($C314,daily_dates,big_daily_table)))</f>
        <v>#N/A</v>
      </c>
      <c r="E314" s="1" t="str">
        <f t="array" ref="E314">IF(ISBLANK(XLOOKUP(E$3,daily_items,XLOOKUP($C314,daily_dates,big_daily_table))),NA(),XLOOKUP(E$3,daily_items,XLOOKUP($C314,daily_dates,big_daily_table)))</f>
        <v>#N/A</v>
      </c>
    </row>
    <row r="315" ht="14.25" customHeight="1">
      <c r="B315" s="7">
        <v>41220.0</v>
      </c>
      <c r="C315" s="7">
        <f t="shared" si="1"/>
        <v>41217</v>
      </c>
      <c r="D315" s="1" t="str">
        <f t="array" ref="D315">IF(ISBLANK(XLOOKUP(D$3,daily_items,XLOOKUP($C315,daily_dates,big_daily_table))),NA(),XLOOKUP(D$3,daily_items,XLOOKUP($C315,daily_dates,big_daily_table)))</f>
        <v>#N/A</v>
      </c>
      <c r="E315" s="1" t="str">
        <f t="array" ref="E315">IF(ISBLANK(XLOOKUP(E$3,daily_items,XLOOKUP($C315,daily_dates,big_daily_table))),NA(),XLOOKUP(E$3,daily_items,XLOOKUP($C315,daily_dates,big_daily_table)))</f>
        <v>#N/A</v>
      </c>
    </row>
    <row r="316" ht="14.25" customHeight="1">
      <c r="B316" s="7">
        <v>41221.0</v>
      </c>
      <c r="C316" s="7">
        <f t="shared" si="1"/>
        <v>41217</v>
      </c>
      <c r="D316" s="1" t="str">
        <f t="array" ref="D316">IF(ISBLANK(XLOOKUP(D$3,daily_items,XLOOKUP($C316,daily_dates,big_daily_table))),NA(),XLOOKUP(D$3,daily_items,XLOOKUP($C316,daily_dates,big_daily_table)))</f>
        <v>#N/A</v>
      </c>
      <c r="E316" s="1" t="str">
        <f t="array" ref="E316">IF(ISBLANK(XLOOKUP(E$3,daily_items,XLOOKUP($C316,daily_dates,big_daily_table))),NA(),XLOOKUP(E$3,daily_items,XLOOKUP($C316,daily_dates,big_daily_table)))</f>
        <v>#N/A</v>
      </c>
    </row>
    <row r="317" ht="14.25" customHeight="1">
      <c r="B317" s="7">
        <v>41222.0</v>
      </c>
      <c r="C317" s="7">
        <f t="shared" si="1"/>
        <v>41217</v>
      </c>
      <c r="D317" s="1" t="str">
        <f t="array" ref="D317">IF(ISBLANK(XLOOKUP(D$3,daily_items,XLOOKUP($C317,daily_dates,big_daily_table))),NA(),XLOOKUP(D$3,daily_items,XLOOKUP($C317,daily_dates,big_daily_table)))</f>
        <v>#N/A</v>
      </c>
      <c r="E317" s="1" t="str">
        <f t="array" ref="E317">IF(ISBLANK(XLOOKUP(E$3,daily_items,XLOOKUP($C317,daily_dates,big_daily_table))),NA(),XLOOKUP(E$3,daily_items,XLOOKUP($C317,daily_dates,big_daily_table)))</f>
        <v>#N/A</v>
      </c>
    </row>
    <row r="318" ht="14.25" customHeight="1">
      <c r="B318" s="7">
        <v>41223.0</v>
      </c>
      <c r="C318" s="7">
        <f t="shared" si="1"/>
        <v>41217</v>
      </c>
      <c r="D318" s="1" t="str">
        <f t="array" ref="D318">IF(ISBLANK(XLOOKUP(D$3,daily_items,XLOOKUP($C318,daily_dates,big_daily_table))),NA(),XLOOKUP(D$3,daily_items,XLOOKUP($C318,daily_dates,big_daily_table)))</f>
        <v>#N/A</v>
      </c>
      <c r="E318" s="1" t="str">
        <f t="array" ref="E318">IF(ISBLANK(XLOOKUP(E$3,daily_items,XLOOKUP($C318,daily_dates,big_daily_table))),NA(),XLOOKUP(E$3,daily_items,XLOOKUP($C318,daily_dates,big_daily_table)))</f>
        <v>#N/A</v>
      </c>
    </row>
    <row r="319" ht="14.25" customHeight="1">
      <c r="B319" s="7">
        <v>41224.0</v>
      </c>
      <c r="C319" s="7">
        <f t="shared" si="1"/>
        <v>41224</v>
      </c>
      <c r="D319" s="1" t="str">
        <f t="array" ref="D319">IF(ISBLANK(XLOOKUP(D$3,daily_items,XLOOKUP($C319,daily_dates,big_daily_table))),NA(),XLOOKUP(D$3,daily_items,XLOOKUP($C319,daily_dates,big_daily_table)))</f>
        <v>#N/A</v>
      </c>
      <c r="E319" s="1" t="str">
        <f t="array" ref="E319">IF(ISBLANK(XLOOKUP(E$3,daily_items,XLOOKUP($C319,daily_dates,big_daily_table))),NA(),XLOOKUP(E$3,daily_items,XLOOKUP($C319,daily_dates,big_daily_table)))</f>
        <v>#N/A</v>
      </c>
    </row>
    <row r="320" ht="14.25" customHeight="1">
      <c r="B320" s="7">
        <v>41225.0</v>
      </c>
      <c r="C320" s="7">
        <f t="shared" si="1"/>
        <v>41224</v>
      </c>
      <c r="D320" s="1" t="str">
        <f t="array" ref="D320">IF(ISBLANK(XLOOKUP(D$3,daily_items,XLOOKUP($C320,daily_dates,big_daily_table))),NA(),XLOOKUP(D$3,daily_items,XLOOKUP($C320,daily_dates,big_daily_table)))</f>
        <v>#N/A</v>
      </c>
      <c r="E320" s="1" t="str">
        <f t="array" ref="E320">IF(ISBLANK(XLOOKUP(E$3,daily_items,XLOOKUP($C320,daily_dates,big_daily_table))),NA(),XLOOKUP(E$3,daily_items,XLOOKUP($C320,daily_dates,big_daily_table)))</f>
        <v>#N/A</v>
      </c>
    </row>
    <row r="321" ht="14.25" customHeight="1">
      <c r="B321" s="7">
        <v>41226.0</v>
      </c>
      <c r="C321" s="7">
        <f t="shared" si="1"/>
        <v>41224</v>
      </c>
      <c r="D321" s="1" t="str">
        <f t="array" ref="D321">IF(ISBLANK(XLOOKUP(D$3,daily_items,XLOOKUP($C321,daily_dates,big_daily_table))),NA(),XLOOKUP(D$3,daily_items,XLOOKUP($C321,daily_dates,big_daily_table)))</f>
        <v>#N/A</v>
      </c>
      <c r="E321" s="1" t="str">
        <f t="array" ref="E321">IF(ISBLANK(XLOOKUP(E$3,daily_items,XLOOKUP($C321,daily_dates,big_daily_table))),NA(),XLOOKUP(E$3,daily_items,XLOOKUP($C321,daily_dates,big_daily_table)))</f>
        <v>#N/A</v>
      </c>
    </row>
    <row r="322" ht="14.25" customHeight="1">
      <c r="B322" s="7">
        <v>41227.0</v>
      </c>
      <c r="C322" s="7">
        <f t="shared" si="1"/>
        <v>41224</v>
      </c>
      <c r="D322" s="1" t="str">
        <f t="array" ref="D322">IF(ISBLANK(XLOOKUP(D$3,daily_items,XLOOKUP($C322,daily_dates,big_daily_table))),NA(),XLOOKUP(D$3,daily_items,XLOOKUP($C322,daily_dates,big_daily_table)))</f>
        <v>#N/A</v>
      </c>
      <c r="E322" s="1" t="str">
        <f t="array" ref="E322">IF(ISBLANK(XLOOKUP(E$3,daily_items,XLOOKUP($C322,daily_dates,big_daily_table))),NA(),XLOOKUP(E$3,daily_items,XLOOKUP($C322,daily_dates,big_daily_table)))</f>
        <v>#N/A</v>
      </c>
    </row>
    <row r="323" ht="14.25" customHeight="1">
      <c r="B323" s="7">
        <v>41228.0</v>
      </c>
      <c r="C323" s="7">
        <f t="shared" si="1"/>
        <v>41224</v>
      </c>
      <c r="D323" s="1" t="str">
        <f t="array" ref="D323">IF(ISBLANK(XLOOKUP(D$3,daily_items,XLOOKUP($C323,daily_dates,big_daily_table))),NA(),XLOOKUP(D$3,daily_items,XLOOKUP($C323,daily_dates,big_daily_table)))</f>
        <v>#N/A</v>
      </c>
      <c r="E323" s="1" t="str">
        <f t="array" ref="E323">IF(ISBLANK(XLOOKUP(E$3,daily_items,XLOOKUP($C323,daily_dates,big_daily_table))),NA(),XLOOKUP(E$3,daily_items,XLOOKUP($C323,daily_dates,big_daily_table)))</f>
        <v>#N/A</v>
      </c>
    </row>
    <row r="324" ht="14.25" customHeight="1">
      <c r="B324" s="7">
        <v>41229.0</v>
      </c>
      <c r="C324" s="7">
        <f t="shared" si="1"/>
        <v>41224</v>
      </c>
      <c r="D324" s="1" t="str">
        <f t="array" ref="D324">IF(ISBLANK(XLOOKUP(D$3,daily_items,XLOOKUP($C324,daily_dates,big_daily_table))),NA(),XLOOKUP(D$3,daily_items,XLOOKUP($C324,daily_dates,big_daily_table)))</f>
        <v>#N/A</v>
      </c>
      <c r="E324" s="1" t="str">
        <f t="array" ref="E324">IF(ISBLANK(XLOOKUP(E$3,daily_items,XLOOKUP($C324,daily_dates,big_daily_table))),NA(),XLOOKUP(E$3,daily_items,XLOOKUP($C324,daily_dates,big_daily_table)))</f>
        <v>#N/A</v>
      </c>
    </row>
    <row r="325" ht="14.25" customHeight="1">
      <c r="B325" s="7">
        <v>41230.0</v>
      </c>
      <c r="C325" s="7">
        <f t="shared" si="1"/>
        <v>41224</v>
      </c>
      <c r="D325" s="1" t="str">
        <f t="array" ref="D325">IF(ISBLANK(XLOOKUP(D$3,daily_items,XLOOKUP($C325,daily_dates,big_daily_table))),NA(),XLOOKUP(D$3,daily_items,XLOOKUP($C325,daily_dates,big_daily_table)))</f>
        <v>#N/A</v>
      </c>
      <c r="E325" s="1" t="str">
        <f t="array" ref="E325">IF(ISBLANK(XLOOKUP(E$3,daily_items,XLOOKUP($C325,daily_dates,big_daily_table))),NA(),XLOOKUP(E$3,daily_items,XLOOKUP($C325,daily_dates,big_daily_table)))</f>
        <v>#N/A</v>
      </c>
    </row>
    <row r="326" ht="14.25" customHeight="1">
      <c r="B326" s="7">
        <v>41231.0</v>
      </c>
      <c r="C326" s="7">
        <f t="shared" si="1"/>
        <v>41231</v>
      </c>
      <c r="D326" s="1" t="str">
        <f t="array" ref="D326">IF(ISBLANK(XLOOKUP(D$3,daily_items,XLOOKUP($C326,daily_dates,big_daily_table))),NA(),XLOOKUP(D$3,daily_items,XLOOKUP($C326,daily_dates,big_daily_table)))</f>
        <v>#N/A</v>
      </c>
      <c r="E326" s="1" t="str">
        <f t="array" ref="E326">IF(ISBLANK(XLOOKUP(E$3,daily_items,XLOOKUP($C326,daily_dates,big_daily_table))),NA(),XLOOKUP(E$3,daily_items,XLOOKUP($C326,daily_dates,big_daily_table)))</f>
        <v>#N/A</v>
      </c>
    </row>
    <row r="327" ht="14.25" customHeight="1">
      <c r="B327" s="7">
        <v>41232.0</v>
      </c>
      <c r="C327" s="7">
        <f t="shared" si="1"/>
        <v>41231</v>
      </c>
      <c r="D327" s="1" t="str">
        <f t="array" ref="D327">IF(ISBLANK(XLOOKUP(D$3,daily_items,XLOOKUP($C327,daily_dates,big_daily_table))),NA(),XLOOKUP(D$3,daily_items,XLOOKUP($C327,daily_dates,big_daily_table)))</f>
        <v>#N/A</v>
      </c>
      <c r="E327" s="1" t="str">
        <f t="array" ref="E327">IF(ISBLANK(XLOOKUP(E$3,daily_items,XLOOKUP($C327,daily_dates,big_daily_table))),NA(),XLOOKUP(E$3,daily_items,XLOOKUP($C327,daily_dates,big_daily_table)))</f>
        <v>#N/A</v>
      </c>
    </row>
    <row r="328" ht="14.25" customHeight="1">
      <c r="B328" s="7">
        <v>41233.0</v>
      </c>
      <c r="C328" s="7">
        <f t="shared" si="1"/>
        <v>41231</v>
      </c>
      <c r="D328" s="1" t="str">
        <f t="array" ref="D328">IF(ISBLANK(XLOOKUP(D$3,daily_items,XLOOKUP($C328,daily_dates,big_daily_table))),NA(),XLOOKUP(D$3,daily_items,XLOOKUP($C328,daily_dates,big_daily_table)))</f>
        <v>#N/A</v>
      </c>
      <c r="E328" s="1" t="str">
        <f t="array" ref="E328">IF(ISBLANK(XLOOKUP(E$3,daily_items,XLOOKUP($C328,daily_dates,big_daily_table))),NA(),XLOOKUP(E$3,daily_items,XLOOKUP($C328,daily_dates,big_daily_table)))</f>
        <v>#N/A</v>
      </c>
    </row>
    <row r="329" ht="14.25" customHeight="1">
      <c r="B329" s="7">
        <v>41234.0</v>
      </c>
      <c r="C329" s="7">
        <f t="shared" si="1"/>
        <v>41231</v>
      </c>
      <c r="D329" s="1" t="str">
        <f t="array" ref="D329">IF(ISBLANK(XLOOKUP(D$3,daily_items,XLOOKUP($C329,daily_dates,big_daily_table))),NA(),XLOOKUP(D$3,daily_items,XLOOKUP($C329,daily_dates,big_daily_table)))</f>
        <v>#N/A</v>
      </c>
      <c r="E329" s="1" t="str">
        <f t="array" ref="E329">IF(ISBLANK(XLOOKUP(E$3,daily_items,XLOOKUP($C329,daily_dates,big_daily_table))),NA(),XLOOKUP(E$3,daily_items,XLOOKUP($C329,daily_dates,big_daily_table)))</f>
        <v>#N/A</v>
      </c>
    </row>
    <row r="330" ht="14.25" customHeight="1">
      <c r="B330" s="7">
        <v>41235.0</v>
      </c>
      <c r="C330" s="7">
        <f t="shared" si="1"/>
        <v>41231</v>
      </c>
      <c r="D330" s="1" t="str">
        <f t="array" ref="D330">IF(ISBLANK(XLOOKUP(D$3,daily_items,XLOOKUP($C330,daily_dates,big_daily_table))),NA(),XLOOKUP(D$3,daily_items,XLOOKUP($C330,daily_dates,big_daily_table)))</f>
        <v>#N/A</v>
      </c>
      <c r="E330" s="1" t="str">
        <f t="array" ref="E330">IF(ISBLANK(XLOOKUP(E$3,daily_items,XLOOKUP($C330,daily_dates,big_daily_table))),NA(),XLOOKUP(E$3,daily_items,XLOOKUP($C330,daily_dates,big_daily_table)))</f>
        <v>#N/A</v>
      </c>
    </row>
    <row r="331" ht="14.25" customHeight="1">
      <c r="B331" s="7">
        <v>41236.0</v>
      </c>
      <c r="C331" s="7">
        <f t="shared" si="1"/>
        <v>41231</v>
      </c>
      <c r="D331" s="1" t="str">
        <f t="array" ref="D331">IF(ISBLANK(XLOOKUP(D$3,daily_items,XLOOKUP($C331,daily_dates,big_daily_table))),NA(),XLOOKUP(D$3,daily_items,XLOOKUP($C331,daily_dates,big_daily_table)))</f>
        <v>#N/A</v>
      </c>
      <c r="E331" s="1" t="str">
        <f t="array" ref="E331">IF(ISBLANK(XLOOKUP(E$3,daily_items,XLOOKUP($C331,daily_dates,big_daily_table))),NA(),XLOOKUP(E$3,daily_items,XLOOKUP($C331,daily_dates,big_daily_table)))</f>
        <v>#N/A</v>
      </c>
    </row>
    <row r="332" ht="14.25" customHeight="1">
      <c r="B332" s="7">
        <v>41237.0</v>
      </c>
      <c r="C332" s="7">
        <f t="shared" si="1"/>
        <v>41231</v>
      </c>
      <c r="D332" s="1" t="str">
        <f t="array" ref="D332">IF(ISBLANK(XLOOKUP(D$3,daily_items,XLOOKUP($C332,daily_dates,big_daily_table))),NA(),XLOOKUP(D$3,daily_items,XLOOKUP($C332,daily_dates,big_daily_table)))</f>
        <v>#N/A</v>
      </c>
      <c r="E332" s="1" t="str">
        <f t="array" ref="E332">IF(ISBLANK(XLOOKUP(E$3,daily_items,XLOOKUP($C332,daily_dates,big_daily_table))),NA(),XLOOKUP(E$3,daily_items,XLOOKUP($C332,daily_dates,big_daily_table)))</f>
        <v>#N/A</v>
      </c>
    </row>
    <row r="333" ht="14.25" customHeight="1">
      <c r="B333" s="7">
        <v>41238.0</v>
      </c>
      <c r="C333" s="7">
        <f t="shared" si="1"/>
        <v>41238</v>
      </c>
      <c r="D333" s="1" t="str">
        <f t="array" ref="D333">IF(ISBLANK(XLOOKUP(D$3,daily_items,XLOOKUP($C333,daily_dates,big_daily_table))),NA(),XLOOKUP(D$3,daily_items,XLOOKUP($C333,daily_dates,big_daily_table)))</f>
        <v>#N/A</v>
      </c>
      <c r="E333" s="1" t="str">
        <f t="array" ref="E333">IF(ISBLANK(XLOOKUP(E$3,daily_items,XLOOKUP($C333,daily_dates,big_daily_table))),NA(),XLOOKUP(E$3,daily_items,XLOOKUP($C333,daily_dates,big_daily_table)))</f>
        <v>#N/A</v>
      </c>
    </row>
    <row r="334" ht="14.25" customHeight="1">
      <c r="B334" s="7">
        <v>41239.0</v>
      </c>
      <c r="C334" s="7">
        <f t="shared" si="1"/>
        <v>41238</v>
      </c>
      <c r="D334" s="1" t="str">
        <f t="array" ref="D334">IF(ISBLANK(XLOOKUP(D$3,daily_items,XLOOKUP($C334,daily_dates,big_daily_table))),NA(),XLOOKUP(D$3,daily_items,XLOOKUP($C334,daily_dates,big_daily_table)))</f>
        <v>#N/A</v>
      </c>
      <c r="E334" s="1" t="str">
        <f t="array" ref="E334">IF(ISBLANK(XLOOKUP(E$3,daily_items,XLOOKUP($C334,daily_dates,big_daily_table))),NA(),XLOOKUP(E$3,daily_items,XLOOKUP($C334,daily_dates,big_daily_table)))</f>
        <v>#N/A</v>
      </c>
    </row>
    <row r="335" ht="14.25" customHeight="1">
      <c r="B335" s="7">
        <v>41240.0</v>
      </c>
      <c r="C335" s="7">
        <f t="shared" si="1"/>
        <v>41238</v>
      </c>
      <c r="D335" s="1" t="str">
        <f t="array" ref="D335">IF(ISBLANK(XLOOKUP(D$3,daily_items,XLOOKUP($C335,daily_dates,big_daily_table))),NA(),XLOOKUP(D$3,daily_items,XLOOKUP($C335,daily_dates,big_daily_table)))</f>
        <v>#N/A</v>
      </c>
      <c r="E335" s="1" t="str">
        <f t="array" ref="E335">IF(ISBLANK(XLOOKUP(E$3,daily_items,XLOOKUP($C335,daily_dates,big_daily_table))),NA(),XLOOKUP(E$3,daily_items,XLOOKUP($C335,daily_dates,big_daily_table)))</f>
        <v>#N/A</v>
      </c>
    </row>
    <row r="336" ht="14.25" customHeight="1">
      <c r="B336" s="7">
        <v>41241.0</v>
      </c>
      <c r="C336" s="7">
        <f t="shared" si="1"/>
        <v>41238</v>
      </c>
      <c r="D336" s="1" t="str">
        <f t="array" ref="D336">IF(ISBLANK(XLOOKUP(D$3,daily_items,XLOOKUP($C336,daily_dates,big_daily_table))),NA(),XLOOKUP(D$3,daily_items,XLOOKUP($C336,daily_dates,big_daily_table)))</f>
        <v>#N/A</v>
      </c>
      <c r="E336" s="1" t="str">
        <f t="array" ref="E336">IF(ISBLANK(XLOOKUP(E$3,daily_items,XLOOKUP($C336,daily_dates,big_daily_table))),NA(),XLOOKUP(E$3,daily_items,XLOOKUP($C336,daily_dates,big_daily_table)))</f>
        <v>#N/A</v>
      </c>
    </row>
    <row r="337" ht="14.25" customHeight="1">
      <c r="B337" s="7">
        <v>41242.0</v>
      </c>
      <c r="C337" s="7">
        <f t="shared" si="1"/>
        <v>41238</v>
      </c>
      <c r="D337" s="1" t="str">
        <f t="array" ref="D337">IF(ISBLANK(XLOOKUP(D$3,daily_items,XLOOKUP($C337,daily_dates,big_daily_table))),NA(),XLOOKUP(D$3,daily_items,XLOOKUP($C337,daily_dates,big_daily_table)))</f>
        <v>#N/A</v>
      </c>
      <c r="E337" s="1" t="str">
        <f t="array" ref="E337">IF(ISBLANK(XLOOKUP(E$3,daily_items,XLOOKUP($C337,daily_dates,big_daily_table))),NA(),XLOOKUP(E$3,daily_items,XLOOKUP($C337,daily_dates,big_daily_table)))</f>
        <v>#N/A</v>
      </c>
    </row>
    <row r="338" ht="14.25" customHeight="1">
      <c r="B338" s="7">
        <v>41243.0</v>
      </c>
      <c r="C338" s="7">
        <f t="shared" si="1"/>
        <v>41238</v>
      </c>
      <c r="D338" s="1" t="str">
        <f t="array" ref="D338">IF(ISBLANK(XLOOKUP(D$3,daily_items,XLOOKUP($C338,daily_dates,big_daily_table))),NA(),XLOOKUP(D$3,daily_items,XLOOKUP($C338,daily_dates,big_daily_table)))</f>
        <v>#N/A</v>
      </c>
      <c r="E338" s="1" t="str">
        <f t="array" ref="E338">IF(ISBLANK(XLOOKUP(E$3,daily_items,XLOOKUP($C338,daily_dates,big_daily_table))),NA(),XLOOKUP(E$3,daily_items,XLOOKUP($C338,daily_dates,big_daily_table)))</f>
        <v>#N/A</v>
      </c>
    </row>
    <row r="339" ht="14.25" customHeight="1">
      <c r="B339" s="7">
        <v>41244.0</v>
      </c>
      <c r="C339" s="7">
        <f t="shared" si="1"/>
        <v>41238</v>
      </c>
      <c r="D339" s="1" t="str">
        <f t="array" ref="D339">IF(ISBLANK(XLOOKUP(D$3,daily_items,XLOOKUP($C339,daily_dates,big_daily_table))),NA(),XLOOKUP(D$3,daily_items,XLOOKUP($C339,daily_dates,big_daily_table)))</f>
        <v>#N/A</v>
      </c>
      <c r="E339" s="1" t="str">
        <f t="array" ref="E339">IF(ISBLANK(XLOOKUP(E$3,daily_items,XLOOKUP($C339,daily_dates,big_daily_table))),NA(),XLOOKUP(E$3,daily_items,XLOOKUP($C339,daily_dates,big_daily_table)))</f>
        <v>#N/A</v>
      </c>
    </row>
    <row r="340" ht="14.25" customHeight="1">
      <c r="B340" s="7">
        <v>41245.0</v>
      </c>
      <c r="C340" s="7">
        <f t="shared" si="1"/>
        <v>41245</v>
      </c>
      <c r="D340" s="1" t="str">
        <f t="array" ref="D340">IF(ISBLANK(XLOOKUP(D$3,daily_items,XLOOKUP($C340,daily_dates,big_daily_table))),NA(),XLOOKUP(D$3,daily_items,XLOOKUP($C340,daily_dates,big_daily_table)))</f>
        <v>#N/A</v>
      </c>
      <c r="E340" s="1" t="str">
        <f t="array" ref="E340">IF(ISBLANK(XLOOKUP(E$3,daily_items,XLOOKUP($C340,daily_dates,big_daily_table))),NA(),XLOOKUP(E$3,daily_items,XLOOKUP($C340,daily_dates,big_daily_table)))</f>
        <v>#N/A</v>
      </c>
    </row>
    <row r="341" ht="14.25" customHeight="1">
      <c r="B341" s="7">
        <v>41246.0</v>
      </c>
      <c r="C341" s="7">
        <f t="shared" si="1"/>
        <v>41245</v>
      </c>
      <c r="D341" s="1" t="str">
        <f t="array" ref="D341">IF(ISBLANK(XLOOKUP(D$3,daily_items,XLOOKUP($C341,daily_dates,big_daily_table))),NA(),XLOOKUP(D$3,daily_items,XLOOKUP($C341,daily_dates,big_daily_table)))</f>
        <v>#N/A</v>
      </c>
      <c r="E341" s="1" t="str">
        <f t="array" ref="E341">IF(ISBLANK(XLOOKUP(E$3,daily_items,XLOOKUP($C341,daily_dates,big_daily_table))),NA(),XLOOKUP(E$3,daily_items,XLOOKUP($C341,daily_dates,big_daily_table)))</f>
        <v>#N/A</v>
      </c>
    </row>
    <row r="342" ht="14.25" customHeight="1">
      <c r="B342" s="7">
        <v>41247.0</v>
      </c>
      <c r="C342" s="7">
        <f t="shared" si="1"/>
        <v>41245</v>
      </c>
      <c r="D342" s="1" t="str">
        <f t="array" ref="D342">IF(ISBLANK(XLOOKUP(D$3,daily_items,XLOOKUP($C342,daily_dates,big_daily_table))),NA(),XLOOKUP(D$3,daily_items,XLOOKUP($C342,daily_dates,big_daily_table)))</f>
        <v>#N/A</v>
      </c>
      <c r="E342" s="1" t="str">
        <f t="array" ref="E342">IF(ISBLANK(XLOOKUP(E$3,daily_items,XLOOKUP($C342,daily_dates,big_daily_table))),NA(),XLOOKUP(E$3,daily_items,XLOOKUP($C342,daily_dates,big_daily_table)))</f>
        <v>#N/A</v>
      </c>
    </row>
    <row r="343" ht="14.25" customHeight="1">
      <c r="B343" s="7">
        <v>41248.0</v>
      </c>
      <c r="C343" s="7">
        <f t="shared" si="1"/>
        <v>41245</v>
      </c>
      <c r="D343" s="1" t="str">
        <f t="array" ref="D343">IF(ISBLANK(XLOOKUP(D$3,daily_items,XLOOKUP($C343,daily_dates,big_daily_table))),NA(),XLOOKUP(D$3,daily_items,XLOOKUP($C343,daily_dates,big_daily_table)))</f>
        <v>#N/A</v>
      </c>
      <c r="E343" s="1" t="str">
        <f t="array" ref="E343">IF(ISBLANK(XLOOKUP(E$3,daily_items,XLOOKUP($C343,daily_dates,big_daily_table))),NA(),XLOOKUP(E$3,daily_items,XLOOKUP($C343,daily_dates,big_daily_table)))</f>
        <v>#N/A</v>
      </c>
    </row>
    <row r="344" ht="14.25" customHeight="1">
      <c r="B344" s="7">
        <v>41249.0</v>
      </c>
      <c r="C344" s="7">
        <f t="shared" si="1"/>
        <v>41245</v>
      </c>
      <c r="D344" s="1" t="str">
        <f t="array" ref="D344">IF(ISBLANK(XLOOKUP(D$3,daily_items,XLOOKUP($C344,daily_dates,big_daily_table))),NA(),XLOOKUP(D$3,daily_items,XLOOKUP($C344,daily_dates,big_daily_table)))</f>
        <v>#N/A</v>
      </c>
      <c r="E344" s="1" t="str">
        <f t="array" ref="E344">IF(ISBLANK(XLOOKUP(E$3,daily_items,XLOOKUP($C344,daily_dates,big_daily_table))),NA(),XLOOKUP(E$3,daily_items,XLOOKUP($C344,daily_dates,big_daily_table)))</f>
        <v>#N/A</v>
      </c>
    </row>
    <row r="345" ht="14.25" customHeight="1">
      <c r="B345" s="7">
        <v>41250.0</v>
      </c>
      <c r="C345" s="7">
        <f t="shared" si="1"/>
        <v>41245</v>
      </c>
      <c r="D345" s="1" t="str">
        <f t="array" ref="D345">IF(ISBLANK(XLOOKUP(D$3,daily_items,XLOOKUP($C345,daily_dates,big_daily_table))),NA(),XLOOKUP(D$3,daily_items,XLOOKUP($C345,daily_dates,big_daily_table)))</f>
        <v>#N/A</v>
      </c>
      <c r="E345" s="1" t="str">
        <f t="array" ref="E345">IF(ISBLANK(XLOOKUP(E$3,daily_items,XLOOKUP($C345,daily_dates,big_daily_table))),NA(),XLOOKUP(E$3,daily_items,XLOOKUP($C345,daily_dates,big_daily_table)))</f>
        <v>#N/A</v>
      </c>
    </row>
    <row r="346" ht="14.25" customHeight="1">
      <c r="B346" s="7">
        <v>41251.0</v>
      </c>
      <c r="C346" s="7">
        <f t="shared" si="1"/>
        <v>41245</v>
      </c>
      <c r="D346" s="1" t="str">
        <f t="array" ref="D346">IF(ISBLANK(XLOOKUP(D$3,daily_items,XLOOKUP($C346,daily_dates,big_daily_table))),NA(),XLOOKUP(D$3,daily_items,XLOOKUP($C346,daily_dates,big_daily_table)))</f>
        <v>#N/A</v>
      </c>
      <c r="E346" s="1" t="str">
        <f t="array" ref="E346">IF(ISBLANK(XLOOKUP(E$3,daily_items,XLOOKUP($C346,daily_dates,big_daily_table))),NA(),XLOOKUP(E$3,daily_items,XLOOKUP($C346,daily_dates,big_daily_table)))</f>
        <v>#N/A</v>
      </c>
    </row>
    <row r="347" ht="14.25" customHeight="1">
      <c r="B347" s="7">
        <v>41252.0</v>
      </c>
      <c r="C347" s="7">
        <f t="shared" si="1"/>
        <v>41252</v>
      </c>
      <c r="D347" s="1" t="str">
        <f t="array" ref="D347">IF(ISBLANK(XLOOKUP(D$3,daily_items,XLOOKUP($C347,daily_dates,big_daily_table))),NA(),XLOOKUP(D$3,daily_items,XLOOKUP($C347,daily_dates,big_daily_table)))</f>
        <v>#N/A</v>
      </c>
      <c r="E347" s="1" t="str">
        <f t="array" ref="E347">IF(ISBLANK(XLOOKUP(E$3,daily_items,XLOOKUP($C347,daily_dates,big_daily_table))),NA(),XLOOKUP(E$3,daily_items,XLOOKUP($C347,daily_dates,big_daily_table)))</f>
        <v>#N/A</v>
      </c>
    </row>
    <row r="348" ht="14.25" customHeight="1">
      <c r="B348" s="7">
        <v>41253.0</v>
      </c>
      <c r="C348" s="7">
        <f t="shared" si="1"/>
        <v>41252</v>
      </c>
      <c r="D348" s="1" t="str">
        <f t="array" ref="D348">IF(ISBLANK(XLOOKUP(D$3,daily_items,XLOOKUP($C348,daily_dates,big_daily_table))),NA(),XLOOKUP(D$3,daily_items,XLOOKUP($C348,daily_dates,big_daily_table)))</f>
        <v>#N/A</v>
      </c>
      <c r="E348" s="1" t="str">
        <f t="array" ref="E348">IF(ISBLANK(XLOOKUP(E$3,daily_items,XLOOKUP($C348,daily_dates,big_daily_table))),NA(),XLOOKUP(E$3,daily_items,XLOOKUP($C348,daily_dates,big_daily_table)))</f>
        <v>#N/A</v>
      </c>
    </row>
    <row r="349" ht="14.25" customHeight="1">
      <c r="B349" s="7">
        <v>41254.0</v>
      </c>
      <c r="C349" s="7">
        <f t="shared" si="1"/>
        <v>41252</v>
      </c>
      <c r="D349" s="1" t="str">
        <f t="array" ref="D349">IF(ISBLANK(XLOOKUP(D$3,daily_items,XLOOKUP($C349,daily_dates,big_daily_table))),NA(),XLOOKUP(D$3,daily_items,XLOOKUP($C349,daily_dates,big_daily_table)))</f>
        <v>#N/A</v>
      </c>
      <c r="E349" s="1" t="str">
        <f t="array" ref="E349">IF(ISBLANK(XLOOKUP(E$3,daily_items,XLOOKUP($C349,daily_dates,big_daily_table))),NA(),XLOOKUP(E$3,daily_items,XLOOKUP($C349,daily_dates,big_daily_table)))</f>
        <v>#N/A</v>
      </c>
    </row>
    <row r="350" ht="14.25" customHeight="1">
      <c r="B350" s="7">
        <v>41255.0</v>
      </c>
      <c r="C350" s="7">
        <f t="shared" si="1"/>
        <v>41252</v>
      </c>
      <c r="D350" s="1" t="str">
        <f t="array" ref="D350">IF(ISBLANK(XLOOKUP(D$3,daily_items,XLOOKUP($C350,daily_dates,big_daily_table))),NA(),XLOOKUP(D$3,daily_items,XLOOKUP($C350,daily_dates,big_daily_table)))</f>
        <v>#N/A</v>
      </c>
      <c r="E350" s="1" t="str">
        <f t="array" ref="E350">IF(ISBLANK(XLOOKUP(E$3,daily_items,XLOOKUP($C350,daily_dates,big_daily_table))),NA(),XLOOKUP(E$3,daily_items,XLOOKUP($C350,daily_dates,big_daily_table)))</f>
        <v>#N/A</v>
      </c>
    </row>
    <row r="351" ht="14.25" customHeight="1">
      <c r="B351" s="7">
        <v>41256.0</v>
      </c>
      <c r="C351" s="7">
        <f t="shared" si="1"/>
        <v>41252</v>
      </c>
      <c r="D351" s="1" t="str">
        <f t="array" ref="D351">IF(ISBLANK(XLOOKUP(D$3,daily_items,XLOOKUP($C351,daily_dates,big_daily_table))),NA(),XLOOKUP(D$3,daily_items,XLOOKUP($C351,daily_dates,big_daily_table)))</f>
        <v>#N/A</v>
      </c>
      <c r="E351" s="1" t="str">
        <f t="array" ref="E351">IF(ISBLANK(XLOOKUP(E$3,daily_items,XLOOKUP($C351,daily_dates,big_daily_table))),NA(),XLOOKUP(E$3,daily_items,XLOOKUP($C351,daily_dates,big_daily_table)))</f>
        <v>#N/A</v>
      </c>
    </row>
    <row r="352" ht="14.25" customHeight="1">
      <c r="B352" s="7">
        <v>41257.0</v>
      </c>
      <c r="C352" s="7">
        <f t="shared" si="1"/>
        <v>41252</v>
      </c>
      <c r="D352" s="1" t="str">
        <f t="array" ref="D352">IF(ISBLANK(XLOOKUP(D$3,daily_items,XLOOKUP($C352,daily_dates,big_daily_table))),NA(),XLOOKUP(D$3,daily_items,XLOOKUP($C352,daily_dates,big_daily_table)))</f>
        <v>#N/A</v>
      </c>
      <c r="E352" s="1" t="str">
        <f t="array" ref="E352">IF(ISBLANK(XLOOKUP(E$3,daily_items,XLOOKUP($C352,daily_dates,big_daily_table))),NA(),XLOOKUP(E$3,daily_items,XLOOKUP($C352,daily_dates,big_daily_table)))</f>
        <v>#N/A</v>
      </c>
    </row>
    <row r="353" ht="14.25" customHeight="1">
      <c r="B353" s="7">
        <v>41258.0</v>
      </c>
      <c r="C353" s="7">
        <f t="shared" si="1"/>
        <v>41252</v>
      </c>
      <c r="D353" s="1" t="str">
        <f t="array" ref="D353">IF(ISBLANK(XLOOKUP(D$3,daily_items,XLOOKUP($C353,daily_dates,big_daily_table))),NA(),XLOOKUP(D$3,daily_items,XLOOKUP($C353,daily_dates,big_daily_table)))</f>
        <v>#N/A</v>
      </c>
      <c r="E353" s="1" t="str">
        <f t="array" ref="E353">IF(ISBLANK(XLOOKUP(E$3,daily_items,XLOOKUP($C353,daily_dates,big_daily_table))),NA(),XLOOKUP(E$3,daily_items,XLOOKUP($C353,daily_dates,big_daily_table)))</f>
        <v>#N/A</v>
      </c>
    </row>
    <row r="354" ht="14.25" customHeight="1">
      <c r="B354" s="7">
        <v>41259.0</v>
      </c>
      <c r="C354" s="7">
        <f t="shared" si="1"/>
        <v>41259</v>
      </c>
      <c r="D354" s="1" t="str">
        <f t="array" ref="D354">IF(ISBLANK(XLOOKUP(D$3,daily_items,XLOOKUP($C354,daily_dates,big_daily_table))),NA(),XLOOKUP(D$3,daily_items,XLOOKUP($C354,daily_dates,big_daily_table)))</f>
        <v>#N/A</v>
      </c>
      <c r="E354" s="1" t="str">
        <f t="array" ref="E354">IF(ISBLANK(XLOOKUP(E$3,daily_items,XLOOKUP($C354,daily_dates,big_daily_table))),NA(),XLOOKUP(E$3,daily_items,XLOOKUP($C354,daily_dates,big_daily_table)))</f>
        <v>#N/A</v>
      </c>
    </row>
    <row r="355" ht="14.25" customHeight="1">
      <c r="B355" s="7">
        <v>41260.0</v>
      </c>
      <c r="C355" s="7">
        <f t="shared" si="1"/>
        <v>41259</v>
      </c>
      <c r="D355" s="1" t="str">
        <f t="array" ref="D355">IF(ISBLANK(XLOOKUP(D$3,daily_items,XLOOKUP($C355,daily_dates,big_daily_table))),NA(),XLOOKUP(D$3,daily_items,XLOOKUP($C355,daily_dates,big_daily_table)))</f>
        <v>#N/A</v>
      </c>
      <c r="E355" s="1" t="str">
        <f t="array" ref="E355">IF(ISBLANK(XLOOKUP(E$3,daily_items,XLOOKUP($C355,daily_dates,big_daily_table))),NA(),XLOOKUP(E$3,daily_items,XLOOKUP($C355,daily_dates,big_daily_table)))</f>
        <v>#N/A</v>
      </c>
    </row>
    <row r="356" ht="14.25" customHeight="1">
      <c r="B356" s="7">
        <v>41261.0</v>
      </c>
      <c r="C356" s="7">
        <f t="shared" si="1"/>
        <v>41259</v>
      </c>
      <c r="D356" s="1" t="str">
        <f t="array" ref="D356">IF(ISBLANK(XLOOKUP(D$3,daily_items,XLOOKUP($C356,daily_dates,big_daily_table))),NA(),XLOOKUP(D$3,daily_items,XLOOKUP($C356,daily_dates,big_daily_table)))</f>
        <v>#N/A</v>
      </c>
      <c r="E356" s="1" t="str">
        <f t="array" ref="E356">IF(ISBLANK(XLOOKUP(E$3,daily_items,XLOOKUP($C356,daily_dates,big_daily_table))),NA(),XLOOKUP(E$3,daily_items,XLOOKUP($C356,daily_dates,big_daily_table)))</f>
        <v>#N/A</v>
      </c>
    </row>
    <row r="357" ht="14.25" customHeight="1">
      <c r="B357" s="7">
        <v>41262.0</v>
      </c>
      <c r="C357" s="7">
        <f t="shared" si="1"/>
        <v>41259</v>
      </c>
      <c r="D357" s="1" t="str">
        <f t="array" ref="D357">IF(ISBLANK(XLOOKUP(D$3,daily_items,XLOOKUP($C357,daily_dates,big_daily_table))),NA(),XLOOKUP(D$3,daily_items,XLOOKUP($C357,daily_dates,big_daily_table)))</f>
        <v>#N/A</v>
      </c>
      <c r="E357" s="1" t="str">
        <f t="array" ref="E357">IF(ISBLANK(XLOOKUP(E$3,daily_items,XLOOKUP($C357,daily_dates,big_daily_table))),NA(),XLOOKUP(E$3,daily_items,XLOOKUP($C357,daily_dates,big_daily_table)))</f>
        <v>#N/A</v>
      </c>
    </row>
    <row r="358" ht="14.25" customHeight="1">
      <c r="B358" s="7">
        <v>41263.0</v>
      </c>
      <c r="C358" s="7">
        <f t="shared" si="1"/>
        <v>41259</v>
      </c>
      <c r="D358" s="1" t="str">
        <f t="array" ref="D358">IF(ISBLANK(XLOOKUP(D$3,daily_items,XLOOKUP($C358,daily_dates,big_daily_table))),NA(),XLOOKUP(D$3,daily_items,XLOOKUP($C358,daily_dates,big_daily_table)))</f>
        <v>#N/A</v>
      </c>
      <c r="E358" s="1" t="str">
        <f t="array" ref="E358">IF(ISBLANK(XLOOKUP(E$3,daily_items,XLOOKUP($C358,daily_dates,big_daily_table))),NA(),XLOOKUP(E$3,daily_items,XLOOKUP($C358,daily_dates,big_daily_table)))</f>
        <v>#N/A</v>
      </c>
    </row>
    <row r="359" ht="14.25" customHeight="1">
      <c r="B359" s="7">
        <v>41264.0</v>
      </c>
      <c r="C359" s="7">
        <f t="shared" si="1"/>
        <v>41259</v>
      </c>
      <c r="D359" s="1" t="str">
        <f t="array" ref="D359">IF(ISBLANK(XLOOKUP(D$3,daily_items,XLOOKUP($C359,daily_dates,big_daily_table))),NA(),XLOOKUP(D$3,daily_items,XLOOKUP($C359,daily_dates,big_daily_table)))</f>
        <v>#N/A</v>
      </c>
      <c r="E359" s="1" t="str">
        <f t="array" ref="E359">IF(ISBLANK(XLOOKUP(E$3,daily_items,XLOOKUP($C359,daily_dates,big_daily_table))),NA(),XLOOKUP(E$3,daily_items,XLOOKUP($C359,daily_dates,big_daily_table)))</f>
        <v>#N/A</v>
      </c>
    </row>
    <row r="360" ht="14.25" customHeight="1">
      <c r="B360" s="7">
        <v>41265.0</v>
      </c>
      <c r="C360" s="7">
        <f t="shared" si="1"/>
        <v>41259</v>
      </c>
      <c r="D360" s="1" t="str">
        <f t="array" ref="D360">IF(ISBLANK(XLOOKUP(D$3,daily_items,XLOOKUP($C360,daily_dates,big_daily_table))),NA(),XLOOKUP(D$3,daily_items,XLOOKUP($C360,daily_dates,big_daily_table)))</f>
        <v>#N/A</v>
      </c>
      <c r="E360" s="1" t="str">
        <f t="array" ref="E360">IF(ISBLANK(XLOOKUP(E$3,daily_items,XLOOKUP($C360,daily_dates,big_daily_table))),NA(),XLOOKUP(E$3,daily_items,XLOOKUP($C360,daily_dates,big_daily_table)))</f>
        <v>#N/A</v>
      </c>
    </row>
    <row r="361" ht="14.25" customHeight="1">
      <c r="B361" s="7">
        <v>41266.0</v>
      </c>
      <c r="C361" s="7">
        <f t="shared" si="1"/>
        <v>41266</v>
      </c>
      <c r="D361" s="1" t="str">
        <f t="array" ref="D361">IF(ISBLANK(XLOOKUP(D$3,daily_items,XLOOKUP($C361,daily_dates,big_daily_table))),NA(),XLOOKUP(D$3,daily_items,XLOOKUP($C361,daily_dates,big_daily_table)))</f>
        <v>#N/A</v>
      </c>
      <c r="E361" s="1" t="str">
        <f t="array" ref="E361">IF(ISBLANK(XLOOKUP(E$3,daily_items,XLOOKUP($C361,daily_dates,big_daily_table))),NA(),XLOOKUP(E$3,daily_items,XLOOKUP($C361,daily_dates,big_daily_table)))</f>
        <v>#N/A</v>
      </c>
    </row>
    <row r="362" ht="14.25" customHeight="1">
      <c r="B362" s="7">
        <v>41267.0</v>
      </c>
      <c r="C362" s="7">
        <f t="shared" si="1"/>
        <v>41266</v>
      </c>
      <c r="D362" s="1" t="str">
        <f t="array" ref="D362">IF(ISBLANK(XLOOKUP(D$3,daily_items,XLOOKUP($C362,daily_dates,big_daily_table))),NA(),XLOOKUP(D$3,daily_items,XLOOKUP($C362,daily_dates,big_daily_table)))</f>
        <v>#N/A</v>
      </c>
      <c r="E362" s="1" t="str">
        <f t="array" ref="E362">IF(ISBLANK(XLOOKUP(E$3,daily_items,XLOOKUP($C362,daily_dates,big_daily_table))),NA(),XLOOKUP(E$3,daily_items,XLOOKUP($C362,daily_dates,big_daily_table)))</f>
        <v>#N/A</v>
      </c>
    </row>
    <row r="363" ht="14.25" customHeight="1">
      <c r="B363" s="7">
        <v>41268.0</v>
      </c>
      <c r="C363" s="7">
        <f t="shared" si="1"/>
        <v>41266</v>
      </c>
      <c r="D363" s="1" t="str">
        <f t="array" ref="D363">IF(ISBLANK(XLOOKUP(D$3,daily_items,XLOOKUP($C363,daily_dates,big_daily_table))),NA(),XLOOKUP(D$3,daily_items,XLOOKUP($C363,daily_dates,big_daily_table)))</f>
        <v>#N/A</v>
      </c>
      <c r="E363" s="1" t="str">
        <f t="array" ref="E363">IF(ISBLANK(XLOOKUP(E$3,daily_items,XLOOKUP($C363,daily_dates,big_daily_table))),NA(),XLOOKUP(E$3,daily_items,XLOOKUP($C363,daily_dates,big_daily_table)))</f>
        <v>#N/A</v>
      </c>
    </row>
    <row r="364" ht="14.25" customHeight="1">
      <c r="B364" s="7">
        <v>41269.0</v>
      </c>
      <c r="C364" s="7">
        <f t="shared" si="1"/>
        <v>41266</v>
      </c>
      <c r="D364" s="1" t="str">
        <f t="array" ref="D364">IF(ISBLANK(XLOOKUP(D$3,daily_items,XLOOKUP($C364,daily_dates,big_daily_table))),NA(),XLOOKUP(D$3,daily_items,XLOOKUP($C364,daily_dates,big_daily_table)))</f>
        <v>#N/A</v>
      </c>
      <c r="E364" s="1" t="str">
        <f t="array" ref="E364">IF(ISBLANK(XLOOKUP(E$3,daily_items,XLOOKUP($C364,daily_dates,big_daily_table))),NA(),XLOOKUP(E$3,daily_items,XLOOKUP($C364,daily_dates,big_daily_table)))</f>
        <v>#N/A</v>
      </c>
    </row>
    <row r="365" ht="14.25" customHeight="1">
      <c r="B365" s="7">
        <v>41270.0</v>
      </c>
      <c r="C365" s="7">
        <f t="shared" si="1"/>
        <v>41266</v>
      </c>
      <c r="D365" s="1" t="str">
        <f t="array" ref="D365">IF(ISBLANK(XLOOKUP(D$3,daily_items,XLOOKUP($C365,daily_dates,big_daily_table))),NA(),XLOOKUP(D$3,daily_items,XLOOKUP($C365,daily_dates,big_daily_table)))</f>
        <v>#N/A</v>
      </c>
      <c r="E365" s="1" t="str">
        <f t="array" ref="E365">IF(ISBLANK(XLOOKUP(E$3,daily_items,XLOOKUP($C365,daily_dates,big_daily_table))),NA(),XLOOKUP(E$3,daily_items,XLOOKUP($C365,daily_dates,big_daily_table)))</f>
        <v>#N/A</v>
      </c>
    </row>
    <row r="366" ht="14.25" customHeight="1">
      <c r="B366" s="7">
        <v>41271.0</v>
      </c>
      <c r="C366" s="7">
        <f t="shared" si="1"/>
        <v>41266</v>
      </c>
      <c r="D366" s="1" t="str">
        <f t="array" ref="D366">IF(ISBLANK(XLOOKUP(D$3,daily_items,XLOOKUP($C366,daily_dates,big_daily_table))),NA(),XLOOKUP(D$3,daily_items,XLOOKUP($C366,daily_dates,big_daily_table)))</f>
        <v>#N/A</v>
      </c>
      <c r="E366" s="1" t="str">
        <f t="array" ref="E366">IF(ISBLANK(XLOOKUP(E$3,daily_items,XLOOKUP($C366,daily_dates,big_daily_table))),NA(),XLOOKUP(E$3,daily_items,XLOOKUP($C366,daily_dates,big_daily_table)))</f>
        <v>#N/A</v>
      </c>
    </row>
    <row r="367" ht="14.25" customHeight="1">
      <c r="B367" s="7">
        <v>41272.0</v>
      </c>
      <c r="C367" s="7">
        <f t="shared" si="1"/>
        <v>41266</v>
      </c>
      <c r="D367" s="1" t="str">
        <f t="array" ref="D367">IF(ISBLANK(XLOOKUP(D$3,daily_items,XLOOKUP($C367,daily_dates,big_daily_table))),NA(),XLOOKUP(D$3,daily_items,XLOOKUP($C367,daily_dates,big_daily_table)))</f>
        <v>#N/A</v>
      </c>
      <c r="E367" s="1" t="str">
        <f t="array" ref="E367">IF(ISBLANK(XLOOKUP(E$3,daily_items,XLOOKUP($C367,daily_dates,big_daily_table))),NA(),XLOOKUP(E$3,daily_items,XLOOKUP($C367,daily_dates,big_daily_table)))</f>
        <v>#N/A</v>
      </c>
    </row>
    <row r="368" ht="14.25" customHeight="1">
      <c r="B368" s="7">
        <v>41273.0</v>
      </c>
      <c r="C368" s="7">
        <f t="shared" si="1"/>
        <v>41273</v>
      </c>
      <c r="D368" s="1" t="str">
        <f t="array" ref="D368">IF(ISBLANK(XLOOKUP(D$3,daily_items,XLOOKUP($C368,daily_dates,big_daily_table))),NA(),XLOOKUP(D$3,daily_items,XLOOKUP($C368,daily_dates,big_daily_table)))</f>
        <v>#N/A</v>
      </c>
      <c r="E368" s="1" t="str">
        <f t="array" ref="E368">IF(ISBLANK(XLOOKUP(E$3,daily_items,XLOOKUP($C368,daily_dates,big_daily_table))),NA(),XLOOKUP(E$3,daily_items,XLOOKUP($C368,daily_dates,big_daily_table)))</f>
        <v>#N/A</v>
      </c>
    </row>
    <row r="369" ht="14.25" customHeight="1">
      <c r="B369" s="7">
        <v>41274.0</v>
      </c>
      <c r="C369" s="7">
        <f t="shared" si="1"/>
        <v>41273</v>
      </c>
      <c r="D369" s="1" t="str">
        <f t="array" ref="D369">IF(ISBLANK(XLOOKUP(D$3,daily_items,XLOOKUP($C369,daily_dates,big_daily_table))),NA(),XLOOKUP(D$3,daily_items,XLOOKUP($C369,daily_dates,big_daily_table)))</f>
        <v>#N/A</v>
      </c>
      <c r="E369" s="1" t="str">
        <f t="array" ref="E369">IF(ISBLANK(XLOOKUP(E$3,daily_items,XLOOKUP($C369,daily_dates,big_daily_table))),NA(),XLOOKUP(E$3,daily_items,XLOOKUP($C369,daily_dates,big_daily_table)))</f>
        <v>#N/A</v>
      </c>
    </row>
    <row r="370" ht="14.25" customHeight="1">
      <c r="B370" s="7">
        <v>41275.0</v>
      </c>
      <c r="C370" s="7">
        <f t="shared" si="1"/>
        <v>41273</v>
      </c>
      <c r="D370" s="1" t="str">
        <f t="array" ref="D370">IF(ISBLANK(XLOOKUP(D$3,daily_items,XLOOKUP($C370,daily_dates,big_daily_table))),NA(),XLOOKUP(D$3,daily_items,XLOOKUP($C370,daily_dates,big_daily_table)))</f>
        <v>#N/A</v>
      </c>
      <c r="E370" s="1" t="str">
        <f t="array" ref="E370">IF(ISBLANK(XLOOKUP(E$3,daily_items,XLOOKUP($C370,daily_dates,big_daily_table))),NA(),XLOOKUP(E$3,daily_items,XLOOKUP($C370,daily_dates,big_daily_table)))</f>
        <v>#N/A</v>
      </c>
    </row>
    <row r="371" ht="14.25" customHeight="1">
      <c r="B371" s="7">
        <v>41276.0</v>
      </c>
      <c r="C371" s="7">
        <f t="shared" si="1"/>
        <v>41273</v>
      </c>
      <c r="D371" s="1" t="str">
        <f t="array" ref="D371">IF(ISBLANK(XLOOKUP(D$3,daily_items,XLOOKUP($C371,daily_dates,big_daily_table))),NA(),XLOOKUP(D$3,daily_items,XLOOKUP($C371,daily_dates,big_daily_table)))</f>
        <v>#N/A</v>
      </c>
      <c r="E371" s="1" t="str">
        <f t="array" ref="E371">IF(ISBLANK(XLOOKUP(E$3,daily_items,XLOOKUP($C371,daily_dates,big_daily_table))),NA(),XLOOKUP(E$3,daily_items,XLOOKUP($C371,daily_dates,big_daily_table)))</f>
        <v>#N/A</v>
      </c>
    </row>
    <row r="372" ht="14.25" customHeight="1">
      <c r="B372" s="7">
        <v>41277.0</v>
      </c>
      <c r="C372" s="7">
        <f t="shared" si="1"/>
        <v>41273</v>
      </c>
      <c r="D372" s="1" t="str">
        <f t="array" ref="D372">IF(ISBLANK(XLOOKUP(D$3,daily_items,XLOOKUP($C372,daily_dates,big_daily_table))),NA(),XLOOKUP(D$3,daily_items,XLOOKUP($C372,daily_dates,big_daily_table)))</f>
        <v>#N/A</v>
      </c>
      <c r="E372" s="1" t="str">
        <f t="array" ref="E372">IF(ISBLANK(XLOOKUP(E$3,daily_items,XLOOKUP($C372,daily_dates,big_daily_table))),NA(),XLOOKUP(E$3,daily_items,XLOOKUP($C372,daily_dates,big_daily_table)))</f>
        <v>#N/A</v>
      </c>
    </row>
    <row r="373" ht="14.25" customHeight="1">
      <c r="B373" s="7">
        <v>41278.0</v>
      </c>
      <c r="C373" s="7">
        <f t="shared" si="1"/>
        <v>41273</v>
      </c>
      <c r="D373" s="1" t="str">
        <f t="array" ref="D373">IF(ISBLANK(XLOOKUP(D$3,daily_items,XLOOKUP($C373,daily_dates,big_daily_table))),NA(),XLOOKUP(D$3,daily_items,XLOOKUP($C373,daily_dates,big_daily_table)))</f>
        <v>#N/A</v>
      </c>
      <c r="E373" s="1" t="str">
        <f t="array" ref="E373">IF(ISBLANK(XLOOKUP(E$3,daily_items,XLOOKUP($C373,daily_dates,big_daily_table))),NA(),XLOOKUP(E$3,daily_items,XLOOKUP($C373,daily_dates,big_daily_table)))</f>
        <v>#N/A</v>
      </c>
    </row>
    <row r="374" ht="14.25" customHeight="1">
      <c r="B374" s="7">
        <v>41279.0</v>
      </c>
      <c r="C374" s="7">
        <f t="shared" si="1"/>
        <v>41273</v>
      </c>
      <c r="D374" s="1" t="str">
        <f t="array" ref="D374">IF(ISBLANK(XLOOKUP(D$3,daily_items,XLOOKUP($C374,daily_dates,big_daily_table))),NA(),XLOOKUP(D$3,daily_items,XLOOKUP($C374,daily_dates,big_daily_table)))</f>
        <v>#N/A</v>
      </c>
      <c r="E374" s="1" t="str">
        <f t="array" ref="E374">IF(ISBLANK(XLOOKUP(E$3,daily_items,XLOOKUP($C374,daily_dates,big_daily_table))),NA(),XLOOKUP(E$3,daily_items,XLOOKUP($C374,daily_dates,big_daily_table)))</f>
        <v>#N/A</v>
      </c>
    </row>
    <row r="375" ht="14.25" customHeight="1">
      <c r="B375" s="7">
        <v>41280.0</v>
      </c>
      <c r="C375" s="7">
        <f t="shared" si="1"/>
        <v>41280</v>
      </c>
      <c r="D375" s="1" t="str">
        <f t="array" ref="D375">IF(ISBLANK(XLOOKUP(D$3,daily_items,XLOOKUP($C375,daily_dates,big_daily_table))),NA(),XLOOKUP(D$3,daily_items,XLOOKUP($C375,daily_dates,big_daily_table)))</f>
        <v>#N/A</v>
      </c>
      <c r="E375" s="1" t="str">
        <f t="array" ref="E375">IF(ISBLANK(XLOOKUP(E$3,daily_items,XLOOKUP($C375,daily_dates,big_daily_table))),NA(),XLOOKUP(E$3,daily_items,XLOOKUP($C375,daily_dates,big_daily_table)))</f>
        <v>#N/A</v>
      </c>
    </row>
    <row r="376" ht="14.25" customHeight="1">
      <c r="B376" s="7">
        <v>41281.0</v>
      </c>
      <c r="C376" s="7">
        <f t="shared" si="1"/>
        <v>41280</v>
      </c>
      <c r="D376" s="1" t="str">
        <f t="array" ref="D376">IF(ISBLANK(XLOOKUP(D$3,daily_items,XLOOKUP($C376,daily_dates,big_daily_table))),NA(),XLOOKUP(D$3,daily_items,XLOOKUP($C376,daily_dates,big_daily_table)))</f>
        <v>#N/A</v>
      </c>
      <c r="E376" s="1" t="str">
        <f t="array" ref="E376">IF(ISBLANK(XLOOKUP(E$3,daily_items,XLOOKUP($C376,daily_dates,big_daily_table))),NA(),XLOOKUP(E$3,daily_items,XLOOKUP($C376,daily_dates,big_daily_table)))</f>
        <v>#N/A</v>
      </c>
    </row>
    <row r="377" ht="14.25" customHeight="1">
      <c r="B377" s="7">
        <v>41282.0</v>
      </c>
      <c r="C377" s="7">
        <f t="shared" si="1"/>
        <v>41280</v>
      </c>
      <c r="D377" s="1" t="str">
        <f t="array" ref="D377">IF(ISBLANK(XLOOKUP(D$3,daily_items,XLOOKUP($C377,daily_dates,big_daily_table))),NA(),XLOOKUP(D$3,daily_items,XLOOKUP($C377,daily_dates,big_daily_table)))</f>
        <v>#N/A</v>
      </c>
      <c r="E377" s="1" t="str">
        <f t="array" ref="E377">IF(ISBLANK(XLOOKUP(E$3,daily_items,XLOOKUP($C377,daily_dates,big_daily_table))),NA(),XLOOKUP(E$3,daily_items,XLOOKUP($C377,daily_dates,big_daily_table)))</f>
        <v>#N/A</v>
      </c>
    </row>
    <row r="378" ht="14.25" customHeight="1">
      <c r="B378" s="7">
        <v>41283.0</v>
      </c>
      <c r="C378" s="7">
        <f t="shared" si="1"/>
        <v>41280</v>
      </c>
      <c r="D378" s="1" t="str">
        <f t="array" ref="D378">IF(ISBLANK(XLOOKUP(D$3,daily_items,XLOOKUP($C378,daily_dates,big_daily_table))),NA(),XLOOKUP(D$3,daily_items,XLOOKUP($C378,daily_dates,big_daily_table)))</f>
        <v>#N/A</v>
      </c>
      <c r="E378" s="1" t="str">
        <f t="array" ref="E378">IF(ISBLANK(XLOOKUP(E$3,daily_items,XLOOKUP($C378,daily_dates,big_daily_table))),NA(),XLOOKUP(E$3,daily_items,XLOOKUP($C378,daily_dates,big_daily_table)))</f>
        <v>#N/A</v>
      </c>
    </row>
    <row r="379" ht="14.25" customHeight="1">
      <c r="B379" s="7">
        <v>41284.0</v>
      </c>
      <c r="C379" s="7">
        <f t="shared" si="1"/>
        <v>41280</v>
      </c>
      <c r="D379" s="1" t="str">
        <f t="array" ref="D379">IF(ISBLANK(XLOOKUP(D$3,daily_items,XLOOKUP($C379,daily_dates,big_daily_table))),NA(),XLOOKUP(D$3,daily_items,XLOOKUP($C379,daily_dates,big_daily_table)))</f>
        <v>#N/A</v>
      </c>
      <c r="E379" s="1" t="str">
        <f t="array" ref="E379">IF(ISBLANK(XLOOKUP(E$3,daily_items,XLOOKUP($C379,daily_dates,big_daily_table))),NA(),XLOOKUP(E$3,daily_items,XLOOKUP($C379,daily_dates,big_daily_table)))</f>
        <v>#N/A</v>
      </c>
    </row>
    <row r="380" ht="14.25" customHeight="1">
      <c r="B380" s="7">
        <v>41285.0</v>
      </c>
      <c r="C380" s="7">
        <f t="shared" si="1"/>
        <v>41280</v>
      </c>
      <c r="D380" s="1" t="str">
        <f t="array" ref="D380">IF(ISBLANK(XLOOKUP(D$3,daily_items,XLOOKUP($C380,daily_dates,big_daily_table))),NA(),XLOOKUP(D$3,daily_items,XLOOKUP($C380,daily_dates,big_daily_table)))</f>
        <v>#N/A</v>
      </c>
      <c r="E380" s="1" t="str">
        <f t="array" ref="E380">IF(ISBLANK(XLOOKUP(E$3,daily_items,XLOOKUP($C380,daily_dates,big_daily_table))),NA(),XLOOKUP(E$3,daily_items,XLOOKUP($C380,daily_dates,big_daily_table)))</f>
        <v>#N/A</v>
      </c>
    </row>
    <row r="381" ht="14.25" customHeight="1">
      <c r="B381" s="7">
        <v>41286.0</v>
      </c>
      <c r="C381" s="7">
        <f t="shared" si="1"/>
        <v>41280</v>
      </c>
      <c r="D381" s="1" t="str">
        <f t="array" ref="D381">IF(ISBLANK(XLOOKUP(D$3,daily_items,XLOOKUP($C381,daily_dates,big_daily_table))),NA(),XLOOKUP(D$3,daily_items,XLOOKUP($C381,daily_dates,big_daily_table)))</f>
        <v>#N/A</v>
      </c>
      <c r="E381" s="1" t="str">
        <f t="array" ref="E381">IF(ISBLANK(XLOOKUP(E$3,daily_items,XLOOKUP($C381,daily_dates,big_daily_table))),NA(),XLOOKUP(E$3,daily_items,XLOOKUP($C381,daily_dates,big_daily_table)))</f>
        <v>#N/A</v>
      </c>
    </row>
    <row r="382" ht="14.25" customHeight="1">
      <c r="B382" s="7">
        <v>41287.0</v>
      </c>
      <c r="C382" s="7">
        <f t="shared" si="1"/>
        <v>41287</v>
      </c>
      <c r="D382" s="1" t="str">
        <f t="array" ref="D382">IF(ISBLANK(XLOOKUP(D$3,daily_items,XLOOKUP($C382,daily_dates,big_daily_table))),NA(),XLOOKUP(D$3,daily_items,XLOOKUP($C382,daily_dates,big_daily_table)))</f>
        <v>#N/A</v>
      </c>
      <c r="E382" s="1" t="str">
        <f t="array" ref="E382">IF(ISBLANK(XLOOKUP(E$3,daily_items,XLOOKUP($C382,daily_dates,big_daily_table))),NA(),XLOOKUP(E$3,daily_items,XLOOKUP($C382,daily_dates,big_daily_table)))</f>
        <v>#N/A</v>
      </c>
    </row>
    <row r="383" ht="14.25" customHeight="1">
      <c r="B383" s="7">
        <v>41288.0</v>
      </c>
      <c r="C383" s="7">
        <f t="shared" si="1"/>
        <v>41287</v>
      </c>
      <c r="D383" s="1" t="str">
        <f t="array" ref="D383">IF(ISBLANK(XLOOKUP(D$3,daily_items,XLOOKUP($C383,daily_dates,big_daily_table))),NA(),XLOOKUP(D$3,daily_items,XLOOKUP($C383,daily_dates,big_daily_table)))</f>
        <v>#N/A</v>
      </c>
      <c r="E383" s="1" t="str">
        <f t="array" ref="E383">IF(ISBLANK(XLOOKUP(E$3,daily_items,XLOOKUP($C383,daily_dates,big_daily_table))),NA(),XLOOKUP(E$3,daily_items,XLOOKUP($C383,daily_dates,big_daily_table)))</f>
        <v>#N/A</v>
      </c>
    </row>
    <row r="384" ht="14.25" customHeight="1">
      <c r="B384" s="7">
        <v>41289.0</v>
      </c>
      <c r="C384" s="7">
        <f t="shared" si="1"/>
        <v>41287</v>
      </c>
      <c r="D384" s="1" t="str">
        <f t="array" ref="D384">IF(ISBLANK(XLOOKUP(D$3,daily_items,XLOOKUP($C384,daily_dates,big_daily_table))),NA(),XLOOKUP(D$3,daily_items,XLOOKUP($C384,daily_dates,big_daily_table)))</f>
        <v>#N/A</v>
      </c>
      <c r="E384" s="1" t="str">
        <f t="array" ref="E384">IF(ISBLANK(XLOOKUP(E$3,daily_items,XLOOKUP($C384,daily_dates,big_daily_table))),NA(),XLOOKUP(E$3,daily_items,XLOOKUP($C384,daily_dates,big_daily_table)))</f>
        <v>#N/A</v>
      </c>
    </row>
    <row r="385" ht="14.25" customHeight="1">
      <c r="B385" s="7">
        <v>41290.0</v>
      </c>
      <c r="C385" s="7">
        <f t="shared" si="1"/>
        <v>41287</v>
      </c>
      <c r="D385" s="1" t="str">
        <f t="array" ref="D385">IF(ISBLANK(XLOOKUP(D$3,daily_items,XLOOKUP($C385,daily_dates,big_daily_table))),NA(),XLOOKUP(D$3,daily_items,XLOOKUP($C385,daily_dates,big_daily_table)))</f>
        <v>#N/A</v>
      </c>
      <c r="E385" s="1" t="str">
        <f t="array" ref="E385">IF(ISBLANK(XLOOKUP(E$3,daily_items,XLOOKUP($C385,daily_dates,big_daily_table))),NA(),XLOOKUP(E$3,daily_items,XLOOKUP($C385,daily_dates,big_daily_table)))</f>
        <v>#N/A</v>
      </c>
    </row>
    <row r="386" ht="14.25" customHeight="1">
      <c r="B386" s="7">
        <v>41291.0</v>
      </c>
      <c r="C386" s="7">
        <f t="shared" si="1"/>
        <v>41287</v>
      </c>
      <c r="D386" s="1" t="str">
        <f t="array" ref="D386">IF(ISBLANK(XLOOKUP(D$3,daily_items,XLOOKUP($C386,daily_dates,big_daily_table))),NA(),XLOOKUP(D$3,daily_items,XLOOKUP($C386,daily_dates,big_daily_table)))</f>
        <v>#N/A</v>
      </c>
      <c r="E386" s="1" t="str">
        <f t="array" ref="E386">IF(ISBLANK(XLOOKUP(E$3,daily_items,XLOOKUP($C386,daily_dates,big_daily_table))),NA(),XLOOKUP(E$3,daily_items,XLOOKUP($C386,daily_dates,big_daily_table)))</f>
        <v>#N/A</v>
      </c>
    </row>
    <row r="387" ht="14.25" customHeight="1">
      <c r="B387" s="7">
        <v>41292.0</v>
      </c>
      <c r="C387" s="7">
        <f t="shared" si="1"/>
        <v>41287</v>
      </c>
      <c r="D387" s="1" t="str">
        <f t="array" ref="D387">IF(ISBLANK(XLOOKUP(D$3,daily_items,XLOOKUP($C387,daily_dates,big_daily_table))),NA(),XLOOKUP(D$3,daily_items,XLOOKUP($C387,daily_dates,big_daily_table)))</f>
        <v>#N/A</v>
      </c>
      <c r="E387" s="1" t="str">
        <f t="array" ref="E387">IF(ISBLANK(XLOOKUP(E$3,daily_items,XLOOKUP($C387,daily_dates,big_daily_table))),NA(),XLOOKUP(E$3,daily_items,XLOOKUP($C387,daily_dates,big_daily_table)))</f>
        <v>#N/A</v>
      </c>
    </row>
    <row r="388" ht="14.25" customHeight="1">
      <c r="B388" s="7">
        <v>41293.0</v>
      </c>
      <c r="C388" s="7">
        <f t="shared" si="1"/>
        <v>41287</v>
      </c>
      <c r="D388" s="1" t="str">
        <f t="array" ref="D388">IF(ISBLANK(XLOOKUP(D$3,daily_items,XLOOKUP($C388,daily_dates,big_daily_table))),NA(),XLOOKUP(D$3,daily_items,XLOOKUP($C388,daily_dates,big_daily_table)))</f>
        <v>#N/A</v>
      </c>
      <c r="E388" s="1" t="str">
        <f t="array" ref="E388">IF(ISBLANK(XLOOKUP(E$3,daily_items,XLOOKUP($C388,daily_dates,big_daily_table))),NA(),XLOOKUP(E$3,daily_items,XLOOKUP($C388,daily_dates,big_daily_table)))</f>
        <v>#N/A</v>
      </c>
    </row>
    <row r="389" ht="14.25" customHeight="1">
      <c r="B389" s="7">
        <v>41294.0</v>
      </c>
      <c r="C389" s="7">
        <f t="shared" si="1"/>
        <v>41294</v>
      </c>
      <c r="D389" s="1" t="str">
        <f t="array" ref="D389">IF(ISBLANK(XLOOKUP(D$3,daily_items,XLOOKUP($C389,daily_dates,big_daily_table))),NA(),XLOOKUP(D$3,daily_items,XLOOKUP($C389,daily_dates,big_daily_table)))</f>
        <v>#N/A</v>
      </c>
      <c r="E389" s="1" t="str">
        <f t="array" ref="E389">IF(ISBLANK(XLOOKUP(E$3,daily_items,XLOOKUP($C389,daily_dates,big_daily_table))),NA(),XLOOKUP(E$3,daily_items,XLOOKUP($C389,daily_dates,big_daily_table)))</f>
        <v>#N/A</v>
      </c>
    </row>
    <row r="390" ht="14.25" customHeight="1">
      <c r="B390" s="7">
        <v>41295.0</v>
      </c>
      <c r="C390" s="7">
        <f t="shared" si="1"/>
        <v>41294</v>
      </c>
      <c r="D390" s="1" t="str">
        <f t="array" ref="D390">IF(ISBLANK(XLOOKUP(D$3,daily_items,XLOOKUP($C390,daily_dates,big_daily_table))),NA(),XLOOKUP(D$3,daily_items,XLOOKUP($C390,daily_dates,big_daily_table)))</f>
        <v>#N/A</v>
      </c>
      <c r="E390" s="1" t="str">
        <f t="array" ref="E390">IF(ISBLANK(XLOOKUP(E$3,daily_items,XLOOKUP($C390,daily_dates,big_daily_table))),NA(),XLOOKUP(E$3,daily_items,XLOOKUP($C390,daily_dates,big_daily_table)))</f>
        <v>#N/A</v>
      </c>
    </row>
    <row r="391" ht="14.25" customHeight="1">
      <c r="B391" s="7">
        <v>41296.0</v>
      </c>
      <c r="C391" s="7">
        <f t="shared" si="1"/>
        <v>41294</v>
      </c>
      <c r="D391" s="1" t="str">
        <f t="array" ref="D391">IF(ISBLANK(XLOOKUP(D$3,daily_items,XLOOKUP($C391,daily_dates,big_daily_table))),NA(),XLOOKUP(D$3,daily_items,XLOOKUP($C391,daily_dates,big_daily_table)))</f>
        <v>#N/A</v>
      </c>
      <c r="E391" s="1" t="str">
        <f t="array" ref="E391">IF(ISBLANK(XLOOKUP(E$3,daily_items,XLOOKUP($C391,daily_dates,big_daily_table))),NA(),XLOOKUP(E$3,daily_items,XLOOKUP($C391,daily_dates,big_daily_table)))</f>
        <v>#N/A</v>
      </c>
    </row>
    <row r="392" ht="14.25" customHeight="1">
      <c r="B392" s="7">
        <v>41297.0</v>
      </c>
      <c r="C392" s="7">
        <f t="shared" si="1"/>
        <v>41294</v>
      </c>
      <c r="D392" s="1" t="str">
        <f t="array" ref="D392">IF(ISBLANK(XLOOKUP(D$3,daily_items,XLOOKUP($C392,daily_dates,big_daily_table))),NA(),XLOOKUP(D$3,daily_items,XLOOKUP($C392,daily_dates,big_daily_table)))</f>
        <v>#N/A</v>
      </c>
      <c r="E392" s="1" t="str">
        <f t="array" ref="E392">IF(ISBLANK(XLOOKUP(E$3,daily_items,XLOOKUP($C392,daily_dates,big_daily_table))),NA(),XLOOKUP(E$3,daily_items,XLOOKUP($C392,daily_dates,big_daily_table)))</f>
        <v>#N/A</v>
      </c>
    </row>
    <row r="393" ht="14.25" customHeight="1">
      <c r="B393" s="7">
        <v>41298.0</v>
      </c>
      <c r="C393" s="7">
        <f t="shared" si="1"/>
        <v>41294</v>
      </c>
      <c r="D393" s="1" t="str">
        <f t="array" ref="D393">IF(ISBLANK(XLOOKUP(D$3,daily_items,XLOOKUP($C393,daily_dates,big_daily_table))),NA(),XLOOKUP(D$3,daily_items,XLOOKUP($C393,daily_dates,big_daily_table)))</f>
        <v>#N/A</v>
      </c>
      <c r="E393" s="1" t="str">
        <f t="array" ref="E393">IF(ISBLANK(XLOOKUP(E$3,daily_items,XLOOKUP($C393,daily_dates,big_daily_table))),NA(),XLOOKUP(E$3,daily_items,XLOOKUP($C393,daily_dates,big_daily_table)))</f>
        <v>#N/A</v>
      </c>
    </row>
    <row r="394" ht="14.25" customHeight="1">
      <c r="B394" s="7">
        <v>41299.0</v>
      </c>
      <c r="C394" s="7">
        <f t="shared" si="1"/>
        <v>41294</v>
      </c>
      <c r="D394" s="1" t="str">
        <f t="array" ref="D394">IF(ISBLANK(XLOOKUP(D$3,daily_items,XLOOKUP($C394,daily_dates,big_daily_table))),NA(),XLOOKUP(D$3,daily_items,XLOOKUP($C394,daily_dates,big_daily_table)))</f>
        <v>#N/A</v>
      </c>
      <c r="E394" s="1" t="str">
        <f t="array" ref="E394">IF(ISBLANK(XLOOKUP(E$3,daily_items,XLOOKUP($C394,daily_dates,big_daily_table))),NA(),XLOOKUP(E$3,daily_items,XLOOKUP($C394,daily_dates,big_daily_table)))</f>
        <v>#N/A</v>
      </c>
    </row>
    <row r="395" ht="14.25" customHeight="1">
      <c r="B395" s="7">
        <v>41300.0</v>
      </c>
      <c r="C395" s="7">
        <f t="shared" si="1"/>
        <v>41294</v>
      </c>
      <c r="D395" s="1" t="str">
        <f t="array" ref="D395">IF(ISBLANK(XLOOKUP(D$3,daily_items,XLOOKUP($C395,daily_dates,big_daily_table))),NA(),XLOOKUP(D$3,daily_items,XLOOKUP($C395,daily_dates,big_daily_table)))</f>
        <v>#N/A</v>
      </c>
      <c r="E395" s="1" t="str">
        <f t="array" ref="E395">IF(ISBLANK(XLOOKUP(E$3,daily_items,XLOOKUP($C395,daily_dates,big_daily_table))),NA(),XLOOKUP(E$3,daily_items,XLOOKUP($C395,daily_dates,big_daily_table)))</f>
        <v>#N/A</v>
      </c>
    </row>
    <row r="396" ht="14.25" customHeight="1">
      <c r="B396" s="7">
        <v>41301.0</v>
      </c>
      <c r="C396" s="7">
        <f t="shared" si="1"/>
        <v>41301</v>
      </c>
      <c r="D396" s="1" t="str">
        <f t="array" ref="D396">IF(ISBLANK(XLOOKUP(D$3,daily_items,XLOOKUP($C396,daily_dates,big_daily_table))),NA(),XLOOKUP(D$3,daily_items,XLOOKUP($C396,daily_dates,big_daily_table)))</f>
        <v>#N/A</v>
      </c>
      <c r="E396" s="1" t="str">
        <f t="array" ref="E396">IF(ISBLANK(XLOOKUP(E$3,daily_items,XLOOKUP($C396,daily_dates,big_daily_table))),NA(),XLOOKUP(E$3,daily_items,XLOOKUP($C396,daily_dates,big_daily_table)))</f>
        <v>#N/A</v>
      </c>
    </row>
    <row r="397" ht="14.25" customHeight="1">
      <c r="B397" s="7">
        <v>41302.0</v>
      </c>
      <c r="C397" s="7">
        <f t="shared" si="1"/>
        <v>41301</v>
      </c>
      <c r="D397" s="1" t="str">
        <f t="array" ref="D397">IF(ISBLANK(XLOOKUP(D$3,daily_items,XLOOKUP($C397,daily_dates,big_daily_table))),NA(),XLOOKUP(D$3,daily_items,XLOOKUP($C397,daily_dates,big_daily_table)))</f>
        <v>#N/A</v>
      </c>
      <c r="E397" s="1" t="str">
        <f t="array" ref="E397">IF(ISBLANK(XLOOKUP(E$3,daily_items,XLOOKUP($C397,daily_dates,big_daily_table))),NA(),XLOOKUP(E$3,daily_items,XLOOKUP($C397,daily_dates,big_daily_table)))</f>
        <v>#N/A</v>
      </c>
    </row>
    <row r="398" ht="14.25" customHeight="1">
      <c r="B398" s="7">
        <v>41303.0</v>
      </c>
      <c r="C398" s="7">
        <f t="shared" si="1"/>
        <v>41301</v>
      </c>
      <c r="D398" s="1" t="str">
        <f t="array" ref="D398">IF(ISBLANK(XLOOKUP(D$3,daily_items,XLOOKUP($C398,daily_dates,big_daily_table))),NA(),XLOOKUP(D$3,daily_items,XLOOKUP($C398,daily_dates,big_daily_table)))</f>
        <v>#N/A</v>
      </c>
      <c r="E398" s="1" t="str">
        <f t="array" ref="E398">IF(ISBLANK(XLOOKUP(E$3,daily_items,XLOOKUP($C398,daily_dates,big_daily_table))),NA(),XLOOKUP(E$3,daily_items,XLOOKUP($C398,daily_dates,big_daily_table)))</f>
        <v>#N/A</v>
      </c>
    </row>
    <row r="399" ht="14.25" customHeight="1">
      <c r="B399" s="7">
        <v>41304.0</v>
      </c>
      <c r="C399" s="7">
        <f t="shared" si="1"/>
        <v>41301</v>
      </c>
      <c r="D399" s="1" t="str">
        <f t="array" ref="D399">IF(ISBLANK(XLOOKUP(D$3,daily_items,XLOOKUP($C399,daily_dates,big_daily_table))),NA(),XLOOKUP(D$3,daily_items,XLOOKUP($C399,daily_dates,big_daily_table)))</f>
        <v>#N/A</v>
      </c>
      <c r="E399" s="1" t="str">
        <f t="array" ref="E399">IF(ISBLANK(XLOOKUP(E$3,daily_items,XLOOKUP($C399,daily_dates,big_daily_table))),NA(),XLOOKUP(E$3,daily_items,XLOOKUP($C399,daily_dates,big_daily_table)))</f>
        <v>#N/A</v>
      </c>
    </row>
    <row r="400" ht="14.25" customHeight="1">
      <c r="B400" s="7">
        <v>41305.0</v>
      </c>
      <c r="C400" s="7">
        <f t="shared" si="1"/>
        <v>41301</v>
      </c>
      <c r="D400" s="1" t="str">
        <f t="array" ref="D400">IF(ISBLANK(XLOOKUP(D$3,daily_items,XLOOKUP($C400,daily_dates,big_daily_table))),NA(),XLOOKUP(D$3,daily_items,XLOOKUP($C400,daily_dates,big_daily_table)))</f>
        <v>#N/A</v>
      </c>
      <c r="E400" s="1" t="str">
        <f t="array" ref="E400">IF(ISBLANK(XLOOKUP(E$3,daily_items,XLOOKUP($C400,daily_dates,big_daily_table))),NA(),XLOOKUP(E$3,daily_items,XLOOKUP($C400,daily_dates,big_daily_table)))</f>
        <v>#N/A</v>
      </c>
    </row>
    <row r="401" ht="14.25" customHeight="1">
      <c r="B401" s="7">
        <v>41306.0</v>
      </c>
      <c r="C401" s="7">
        <f t="shared" si="1"/>
        <v>41301</v>
      </c>
      <c r="D401" s="1" t="str">
        <f t="array" ref="D401">IF(ISBLANK(XLOOKUP(D$3,daily_items,XLOOKUP($C401,daily_dates,big_daily_table))),NA(),XLOOKUP(D$3,daily_items,XLOOKUP($C401,daily_dates,big_daily_table)))</f>
        <v>#N/A</v>
      </c>
      <c r="E401" s="1" t="str">
        <f t="array" ref="E401">IF(ISBLANK(XLOOKUP(E$3,daily_items,XLOOKUP($C401,daily_dates,big_daily_table))),NA(),XLOOKUP(E$3,daily_items,XLOOKUP($C401,daily_dates,big_daily_table)))</f>
        <v>#N/A</v>
      </c>
    </row>
    <row r="402" ht="14.25" customHeight="1">
      <c r="B402" s="7">
        <v>41307.0</v>
      </c>
      <c r="C402" s="7">
        <f t="shared" si="1"/>
        <v>41301</v>
      </c>
      <c r="D402" s="1" t="str">
        <f t="array" ref="D402">IF(ISBLANK(XLOOKUP(D$3,daily_items,XLOOKUP($C402,daily_dates,big_daily_table))),NA(),XLOOKUP(D$3,daily_items,XLOOKUP($C402,daily_dates,big_daily_table)))</f>
        <v>#N/A</v>
      </c>
      <c r="E402" s="1" t="str">
        <f t="array" ref="E402">IF(ISBLANK(XLOOKUP(E$3,daily_items,XLOOKUP($C402,daily_dates,big_daily_table))),NA(),XLOOKUP(E$3,daily_items,XLOOKUP($C402,daily_dates,big_daily_table)))</f>
        <v>#N/A</v>
      </c>
    </row>
    <row r="403" ht="14.25" customHeight="1">
      <c r="B403" s="7">
        <v>41308.0</v>
      </c>
      <c r="C403" s="7">
        <f t="shared" si="1"/>
        <v>41308</v>
      </c>
      <c r="D403" s="1" t="str">
        <f t="array" ref="D403">IF(ISBLANK(XLOOKUP(D$3,daily_items,XLOOKUP($C403,daily_dates,big_daily_table))),NA(),XLOOKUP(D$3,daily_items,XLOOKUP($C403,daily_dates,big_daily_table)))</f>
        <v>#N/A</v>
      </c>
      <c r="E403" s="1" t="str">
        <f t="array" ref="E403">IF(ISBLANK(XLOOKUP(E$3,daily_items,XLOOKUP($C403,daily_dates,big_daily_table))),NA(),XLOOKUP(E$3,daily_items,XLOOKUP($C403,daily_dates,big_daily_table)))</f>
        <v>#N/A</v>
      </c>
    </row>
    <row r="404" ht="14.25" customHeight="1">
      <c r="B404" s="7">
        <v>41309.0</v>
      </c>
      <c r="C404" s="7">
        <f t="shared" si="1"/>
        <v>41308</v>
      </c>
      <c r="D404" s="1" t="str">
        <f t="array" ref="D404">IF(ISBLANK(XLOOKUP(D$3,daily_items,XLOOKUP($C404,daily_dates,big_daily_table))),NA(),XLOOKUP(D$3,daily_items,XLOOKUP($C404,daily_dates,big_daily_table)))</f>
        <v>#N/A</v>
      </c>
      <c r="E404" s="1" t="str">
        <f t="array" ref="E404">IF(ISBLANK(XLOOKUP(E$3,daily_items,XLOOKUP($C404,daily_dates,big_daily_table))),NA(),XLOOKUP(E$3,daily_items,XLOOKUP($C404,daily_dates,big_daily_table)))</f>
        <v>#N/A</v>
      </c>
    </row>
    <row r="405" ht="14.25" customHeight="1">
      <c r="B405" s="7">
        <v>41310.0</v>
      </c>
      <c r="C405" s="7">
        <f t="shared" si="1"/>
        <v>41308</v>
      </c>
      <c r="D405" s="1" t="str">
        <f t="array" ref="D405">IF(ISBLANK(XLOOKUP(D$3,daily_items,XLOOKUP($C405,daily_dates,big_daily_table))),NA(),XLOOKUP(D$3,daily_items,XLOOKUP($C405,daily_dates,big_daily_table)))</f>
        <v>#N/A</v>
      </c>
      <c r="E405" s="1" t="str">
        <f t="array" ref="E405">IF(ISBLANK(XLOOKUP(E$3,daily_items,XLOOKUP($C405,daily_dates,big_daily_table))),NA(),XLOOKUP(E$3,daily_items,XLOOKUP($C405,daily_dates,big_daily_table)))</f>
        <v>#N/A</v>
      </c>
    </row>
    <row r="406" ht="14.25" customHeight="1">
      <c r="B406" s="7">
        <v>41311.0</v>
      </c>
      <c r="C406" s="7">
        <f t="shared" si="1"/>
        <v>41308</v>
      </c>
      <c r="D406" s="1" t="str">
        <f t="array" ref="D406">IF(ISBLANK(XLOOKUP(D$3,daily_items,XLOOKUP($C406,daily_dates,big_daily_table))),NA(),XLOOKUP(D$3,daily_items,XLOOKUP($C406,daily_dates,big_daily_table)))</f>
        <v>#N/A</v>
      </c>
      <c r="E406" s="1" t="str">
        <f t="array" ref="E406">IF(ISBLANK(XLOOKUP(E$3,daily_items,XLOOKUP($C406,daily_dates,big_daily_table))),NA(),XLOOKUP(E$3,daily_items,XLOOKUP($C406,daily_dates,big_daily_table)))</f>
        <v>#N/A</v>
      </c>
    </row>
    <row r="407" ht="14.25" customHeight="1">
      <c r="B407" s="7">
        <v>41312.0</v>
      </c>
      <c r="C407" s="7">
        <f t="shared" si="1"/>
        <v>41308</v>
      </c>
      <c r="D407" s="1" t="str">
        <f t="array" ref="D407">IF(ISBLANK(XLOOKUP(D$3,daily_items,XLOOKUP($C407,daily_dates,big_daily_table))),NA(),XLOOKUP(D$3,daily_items,XLOOKUP($C407,daily_dates,big_daily_table)))</f>
        <v>#N/A</v>
      </c>
      <c r="E407" s="1" t="str">
        <f t="array" ref="E407">IF(ISBLANK(XLOOKUP(E$3,daily_items,XLOOKUP($C407,daily_dates,big_daily_table))),NA(),XLOOKUP(E$3,daily_items,XLOOKUP($C407,daily_dates,big_daily_table)))</f>
        <v>#N/A</v>
      </c>
    </row>
    <row r="408" ht="14.25" customHeight="1">
      <c r="B408" s="7">
        <v>41313.0</v>
      </c>
      <c r="C408" s="7">
        <f t="shared" si="1"/>
        <v>41308</v>
      </c>
      <c r="D408" s="1" t="str">
        <f t="array" ref="D408">IF(ISBLANK(XLOOKUP(D$3,daily_items,XLOOKUP($C408,daily_dates,big_daily_table))),NA(),XLOOKUP(D$3,daily_items,XLOOKUP($C408,daily_dates,big_daily_table)))</f>
        <v>#N/A</v>
      </c>
      <c r="E408" s="1" t="str">
        <f t="array" ref="E408">IF(ISBLANK(XLOOKUP(E$3,daily_items,XLOOKUP($C408,daily_dates,big_daily_table))),NA(),XLOOKUP(E$3,daily_items,XLOOKUP($C408,daily_dates,big_daily_table)))</f>
        <v>#N/A</v>
      </c>
    </row>
    <row r="409" ht="14.25" customHeight="1">
      <c r="B409" s="7">
        <v>41314.0</v>
      </c>
      <c r="C409" s="7">
        <f t="shared" si="1"/>
        <v>41308</v>
      </c>
      <c r="D409" s="1" t="str">
        <f t="array" ref="D409">IF(ISBLANK(XLOOKUP(D$3,daily_items,XLOOKUP($C409,daily_dates,big_daily_table))),NA(),XLOOKUP(D$3,daily_items,XLOOKUP($C409,daily_dates,big_daily_table)))</f>
        <v>#N/A</v>
      </c>
      <c r="E409" s="1" t="str">
        <f t="array" ref="E409">IF(ISBLANK(XLOOKUP(E$3,daily_items,XLOOKUP($C409,daily_dates,big_daily_table))),NA(),XLOOKUP(E$3,daily_items,XLOOKUP($C409,daily_dates,big_daily_table)))</f>
        <v>#N/A</v>
      </c>
    </row>
    <row r="410" ht="14.25" customHeight="1">
      <c r="B410" s="7">
        <v>41315.0</v>
      </c>
      <c r="C410" s="7">
        <f t="shared" si="1"/>
        <v>41315</v>
      </c>
      <c r="D410" s="1" t="str">
        <f t="array" ref="D410">IF(ISBLANK(XLOOKUP(D$3,daily_items,XLOOKUP($C410,daily_dates,big_daily_table))),NA(),XLOOKUP(D$3,daily_items,XLOOKUP($C410,daily_dates,big_daily_table)))</f>
        <v>#N/A</v>
      </c>
      <c r="E410" s="1" t="str">
        <f t="array" ref="E410">IF(ISBLANK(XLOOKUP(E$3,daily_items,XLOOKUP($C410,daily_dates,big_daily_table))),NA(),XLOOKUP(E$3,daily_items,XLOOKUP($C410,daily_dates,big_daily_table)))</f>
        <v>#N/A</v>
      </c>
    </row>
    <row r="411" ht="14.25" customHeight="1">
      <c r="B411" s="7">
        <v>41316.0</v>
      </c>
      <c r="C411" s="7">
        <f t="shared" si="1"/>
        <v>41315</v>
      </c>
      <c r="D411" s="1" t="str">
        <f t="array" ref="D411">IF(ISBLANK(XLOOKUP(D$3,daily_items,XLOOKUP($C411,daily_dates,big_daily_table))),NA(),XLOOKUP(D$3,daily_items,XLOOKUP($C411,daily_dates,big_daily_table)))</f>
        <v>#N/A</v>
      </c>
      <c r="E411" s="1" t="str">
        <f t="array" ref="E411">IF(ISBLANK(XLOOKUP(E$3,daily_items,XLOOKUP($C411,daily_dates,big_daily_table))),NA(),XLOOKUP(E$3,daily_items,XLOOKUP($C411,daily_dates,big_daily_table)))</f>
        <v>#N/A</v>
      </c>
    </row>
    <row r="412" ht="14.25" customHeight="1">
      <c r="B412" s="7">
        <v>41317.0</v>
      </c>
      <c r="C412" s="7">
        <f t="shared" si="1"/>
        <v>41315</v>
      </c>
      <c r="D412" s="1" t="str">
        <f t="array" ref="D412">IF(ISBLANK(XLOOKUP(D$3,daily_items,XLOOKUP($C412,daily_dates,big_daily_table))),NA(),XLOOKUP(D$3,daily_items,XLOOKUP($C412,daily_dates,big_daily_table)))</f>
        <v>#N/A</v>
      </c>
      <c r="E412" s="1" t="str">
        <f t="array" ref="E412">IF(ISBLANK(XLOOKUP(E$3,daily_items,XLOOKUP($C412,daily_dates,big_daily_table))),NA(),XLOOKUP(E$3,daily_items,XLOOKUP($C412,daily_dates,big_daily_table)))</f>
        <v>#N/A</v>
      </c>
    </row>
    <row r="413" ht="14.25" customHeight="1">
      <c r="B413" s="7">
        <v>41318.0</v>
      </c>
      <c r="C413" s="7">
        <f t="shared" si="1"/>
        <v>41315</v>
      </c>
      <c r="D413" s="1" t="str">
        <f t="array" ref="D413">IF(ISBLANK(XLOOKUP(D$3,daily_items,XLOOKUP($C413,daily_dates,big_daily_table))),NA(),XLOOKUP(D$3,daily_items,XLOOKUP($C413,daily_dates,big_daily_table)))</f>
        <v>#N/A</v>
      </c>
      <c r="E413" s="1" t="str">
        <f t="array" ref="E413">IF(ISBLANK(XLOOKUP(E$3,daily_items,XLOOKUP($C413,daily_dates,big_daily_table))),NA(),XLOOKUP(E$3,daily_items,XLOOKUP($C413,daily_dates,big_daily_table)))</f>
        <v>#N/A</v>
      </c>
    </row>
    <row r="414" ht="14.25" customHeight="1">
      <c r="B414" s="7">
        <v>41319.0</v>
      </c>
      <c r="C414" s="7">
        <f t="shared" si="1"/>
        <v>41315</v>
      </c>
      <c r="D414" s="1" t="str">
        <f t="array" ref="D414">IF(ISBLANK(XLOOKUP(D$3,daily_items,XLOOKUP($C414,daily_dates,big_daily_table))),NA(),XLOOKUP(D$3,daily_items,XLOOKUP($C414,daily_dates,big_daily_table)))</f>
        <v>#N/A</v>
      </c>
      <c r="E414" s="1" t="str">
        <f t="array" ref="E414">IF(ISBLANK(XLOOKUP(E$3,daily_items,XLOOKUP($C414,daily_dates,big_daily_table))),NA(),XLOOKUP(E$3,daily_items,XLOOKUP($C414,daily_dates,big_daily_table)))</f>
        <v>#N/A</v>
      </c>
    </row>
    <row r="415" ht="14.25" customHeight="1">
      <c r="B415" s="7">
        <v>41320.0</v>
      </c>
      <c r="C415" s="7">
        <f t="shared" si="1"/>
        <v>41315</v>
      </c>
      <c r="D415" s="1" t="str">
        <f t="array" ref="D415">IF(ISBLANK(XLOOKUP(D$3,daily_items,XLOOKUP($C415,daily_dates,big_daily_table))),NA(),XLOOKUP(D$3,daily_items,XLOOKUP($C415,daily_dates,big_daily_table)))</f>
        <v>#N/A</v>
      </c>
      <c r="E415" s="1" t="str">
        <f t="array" ref="E415">IF(ISBLANK(XLOOKUP(E$3,daily_items,XLOOKUP($C415,daily_dates,big_daily_table))),NA(),XLOOKUP(E$3,daily_items,XLOOKUP($C415,daily_dates,big_daily_table)))</f>
        <v>#N/A</v>
      </c>
    </row>
    <row r="416" ht="14.25" customHeight="1">
      <c r="B416" s="7">
        <v>41321.0</v>
      </c>
      <c r="C416" s="7">
        <f t="shared" si="1"/>
        <v>41315</v>
      </c>
      <c r="D416" s="1" t="str">
        <f t="array" ref="D416">IF(ISBLANK(XLOOKUP(D$3,daily_items,XLOOKUP($C416,daily_dates,big_daily_table))),NA(),XLOOKUP(D$3,daily_items,XLOOKUP($C416,daily_dates,big_daily_table)))</f>
        <v>#N/A</v>
      </c>
      <c r="E416" s="1" t="str">
        <f t="array" ref="E416">IF(ISBLANK(XLOOKUP(E$3,daily_items,XLOOKUP($C416,daily_dates,big_daily_table))),NA(),XLOOKUP(E$3,daily_items,XLOOKUP($C416,daily_dates,big_daily_table)))</f>
        <v>#N/A</v>
      </c>
    </row>
    <row r="417" ht="14.25" customHeight="1">
      <c r="B417" s="7">
        <v>41322.0</v>
      </c>
      <c r="C417" s="7">
        <f t="shared" si="1"/>
        <v>41322</v>
      </c>
      <c r="D417" s="1" t="str">
        <f t="array" ref="D417">IF(ISBLANK(XLOOKUP(D$3,daily_items,XLOOKUP($C417,daily_dates,big_daily_table))),NA(),XLOOKUP(D$3,daily_items,XLOOKUP($C417,daily_dates,big_daily_table)))</f>
        <v>#N/A</v>
      </c>
      <c r="E417" s="1" t="str">
        <f t="array" ref="E417">IF(ISBLANK(XLOOKUP(E$3,daily_items,XLOOKUP($C417,daily_dates,big_daily_table))),NA(),XLOOKUP(E$3,daily_items,XLOOKUP($C417,daily_dates,big_daily_table)))</f>
        <v>#N/A</v>
      </c>
    </row>
    <row r="418" ht="14.25" customHeight="1">
      <c r="B418" s="7">
        <v>41323.0</v>
      </c>
      <c r="C418" s="7">
        <f t="shared" si="1"/>
        <v>41322</v>
      </c>
      <c r="D418" s="1" t="str">
        <f t="array" ref="D418">IF(ISBLANK(XLOOKUP(D$3,daily_items,XLOOKUP($C418,daily_dates,big_daily_table))),NA(),XLOOKUP(D$3,daily_items,XLOOKUP($C418,daily_dates,big_daily_table)))</f>
        <v>#N/A</v>
      </c>
      <c r="E418" s="1" t="str">
        <f t="array" ref="E418">IF(ISBLANK(XLOOKUP(E$3,daily_items,XLOOKUP($C418,daily_dates,big_daily_table))),NA(),XLOOKUP(E$3,daily_items,XLOOKUP($C418,daily_dates,big_daily_table)))</f>
        <v>#N/A</v>
      </c>
    </row>
    <row r="419" ht="14.25" customHeight="1">
      <c r="B419" s="7">
        <v>41324.0</v>
      </c>
      <c r="C419" s="7">
        <f t="shared" si="1"/>
        <v>41322</v>
      </c>
      <c r="D419" s="1" t="str">
        <f t="array" ref="D419">IF(ISBLANK(XLOOKUP(D$3,daily_items,XLOOKUP($C419,daily_dates,big_daily_table))),NA(),XLOOKUP(D$3,daily_items,XLOOKUP($C419,daily_dates,big_daily_table)))</f>
        <v>#N/A</v>
      </c>
      <c r="E419" s="1" t="str">
        <f t="array" ref="E419">IF(ISBLANK(XLOOKUP(E$3,daily_items,XLOOKUP($C419,daily_dates,big_daily_table))),NA(),XLOOKUP(E$3,daily_items,XLOOKUP($C419,daily_dates,big_daily_table)))</f>
        <v>#N/A</v>
      </c>
    </row>
    <row r="420" ht="14.25" customHeight="1">
      <c r="B420" s="7">
        <v>41325.0</v>
      </c>
      <c r="C420" s="7">
        <f t="shared" si="1"/>
        <v>41322</v>
      </c>
      <c r="D420" s="1" t="str">
        <f t="array" ref="D420">IF(ISBLANK(XLOOKUP(D$3,daily_items,XLOOKUP($C420,daily_dates,big_daily_table))),NA(),XLOOKUP(D$3,daily_items,XLOOKUP($C420,daily_dates,big_daily_table)))</f>
        <v>#N/A</v>
      </c>
      <c r="E420" s="1" t="str">
        <f t="array" ref="E420">IF(ISBLANK(XLOOKUP(E$3,daily_items,XLOOKUP($C420,daily_dates,big_daily_table))),NA(),XLOOKUP(E$3,daily_items,XLOOKUP($C420,daily_dates,big_daily_table)))</f>
        <v>#N/A</v>
      </c>
    </row>
    <row r="421" ht="14.25" customHeight="1">
      <c r="B421" s="7">
        <v>41326.0</v>
      </c>
      <c r="C421" s="7">
        <f t="shared" si="1"/>
        <v>41322</v>
      </c>
      <c r="D421" s="1" t="str">
        <f t="array" ref="D421">IF(ISBLANK(XLOOKUP(D$3,daily_items,XLOOKUP($C421,daily_dates,big_daily_table))),NA(),XLOOKUP(D$3,daily_items,XLOOKUP($C421,daily_dates,big_daily_table)))</f>
        <v>#N/A</v>
      </c>
      <c r="E421" s="1" t="str">
        <f t="array" ref="E421">IF(ISBLANK(XLOOKUP(E$3,daily_items,XLOOKUP($C421,daily_dates,big_daily_table))),NA(),XLOOKUP(E$3,daily_items,XLOOKUP($C421,daily_dates,big_daily_table)))</f>
        <v>#N/A</v>
      </c>
    </row>
    <row r="422" ht="14.25" customHeight="1">
      <c r="B422" s="7">
        <v>41327.0</v>
      </c>
      <c r="C422" s="7">
        <f t="shared" si="1"/>
        <v>41322</v>
      </c>
      <c r="D422" s="1" t="str">
        <f t="array" ref="D422">IF(ISBLANK(XLOOKUP(D$3,daily_items,XLOOKUP($C422,daily_dates,big_daily_table))),NA(),XLOOKUP(D$3,daily_items,XLOOKUP($C422,daily_dates,big_daily_table)))</f>
        <v>#N/A</v>
      </c>
      <c r="E422" s="1" t="str">
        <f t="array" ref="E422">IF(ISBLANK(XLOOKUP(E$3,daily_items,XLOOKUP($C422,daily_dates,big_daily_table))),NA(),XLOOKUP(E$3,daily_items,XLOOKUP($C422,daily_dates,big_daily_table)))</f>
        <v>#N/A</v>
      </c>
    </row>
    <row r="423" ht="14.25" customHeight="1">
      <c r="B423" s="7">
        <v>41328.0</v>
      </c>
      <c r="C423" s="7">
        <f t="shared" si="1"/>
        <v>41322</v>
      </c>
      <c r="D423" s="1" t="str">
        <f t="array" ref="D423">IF(ISBLANK(XLOOKUP(D$3,daily_items,XLOOKUP($C423,daily_dates,big_daily_table))),NA(),XLOOKUP(D$3,daily_items,XLOOKUP($C423,daily_dates,big_daily_table)))</f>
        <v>#N/A</v>
      </c>
      <c r="E423" s="1" t="str">
        <f t="array" ref="E423">IF(ISBLANK(XLOOKUP(E$3,daily_items,XLOOKUP($C423,daily_dates,big_daily_table))),NA(),XLOOKUP(E$3,daily_items,XLOOKUP($C423,daily_dates,big_daily_table)))</f>
        <v>#N/A</v>
      </c>
    </row>
    <row r="424" ht="14.25" customHeight="1">
      <c r="B424" s="7">
        <v>41329.0</v>
      </c>
      <c r="C424" s="7">
        <f t="shared" si="1"/>
        <v>41329</v>
      </c>
      <c r="D424" s="1" t="str">
        <f t="array" ref="D424">IF(ISBLANK(XLOOKUP(D$3,daily_items,XLOOKUP($C424,daily_dates,big_daily_table))),NA(),XLOOKUP(D$3,daily_items,XLOOKUP($C424,daily_dates,big_daily_table)))</f>
        <v>#N/A</v>
      </c>
      <c r="E424" s="1" t="str">
        <f t="array" ref="E424">IF(ISBLANK(XLOOKUP(E$3,daily_items,XLOOKUP($C424,daily_dates,big_daily_table))),NA(),XLOOKUP(E$3,daily_items,XLOOKUP($C424,daily_dates,big_daily_table)))</f>
        <v>#N/A</v>
      </c>
    </row>
    <row r="425" ht="14.25" customHeight="1">
      <c r="B425" s="7">
        <v>41330.0</v>
      </c>
      <c r="C425" s="7">
        <f t="shared" si="1"/>
        <v>41329</v>
      </c>
      <c r="D425" s="1" t="str">
        <f t="array" ref="D425">IF(ISBLANK(XLOOKUP(D$3,daily_items,XLOOKUP($C425,daily_dates,big_daily_table))),NA(),XLOOKUP(D$3,daily_items,XLOOKUP($C425,daily_dates,big_daily_table)))</f>
        <v>#N/A</v>
      </c>
      <c r="E425" s="1" t="str">
        <f t="array" ref="E425">IF(ISBLANK(XLOOKUP(E$3,daily_items,XLOOKUP($C425,daily_dates,big_daily_table))),NA(),XLOOKUP(E$3,daily_items,XLOOKUP($C425,daily_dates,big_daily_table)))</f>
        <v>#N/A</v>
      </c>
    </row>
    <row r="426" ht="14.25" customHeight="1">
      <c r="B426" s="7">
        <v>41331.0</v>
      </c>
      <c r="C426" s="7">
        <f t="shared" si="1"/>
        <v>41329</v>
      </c>
      <c r="D426" s="1" t="str">
        <f t="array" ref="D426">IF(ISBLANK(XLOOKUP(D$3,daily_items,XLOOKUP($C426,daily_dates,big_daily_table))),NA(),XLOOKUP(D$3,daily_items,XLOOKUP($C426,daily_dates,big_daily_table)))</f>
        <v>#N/A</v>
      </c>
      <c r="E426" s="1" t="str">
        <f t="array" ref="E426">IF(ISBLANK(XLOOKUP(E$3,daily_items,XLOOKUP($C426,daily_dates,big_daily_table))),NA(),XLOOKUP(E$3,daily_items,XLOOKUP($C426,daily_dates,big_daily_table)))</f>
        <v>#N/A</v>
      </c>
    </row>
    <row r="427" ht="14.25" customHeight="1">
      <c r="B427" s="7">
        <v>41332.0</v>
      </c>
      <c r="C427" s="7">
        <f t="shared" si="1"/>
        <v>41329</v>
      </c>
      <c r="D427" s="1" t="str">
        <f t="array" ref="D427">IF(ISBLANK(XLOOKUP(D$3,daily_items,XLOOKUP($C427,daily_dates,big_daily_table))),NA(),XLOOKUP(D$3,daily_items,XLOOKUP($C427,daily_dates,big_daily_table)))</f>
        <v>#N/A</v>
      </c>
      <c r="E427" s="1" t="str">
        <f t="array" ref="E427">IF(ISBLANK(XLOOKUP(E$3,daily_items,XLOOKUP($C427,daily_dates,big_daily_table))),NA(),XLOOKUP(E$3,daily_items,XLOOKUP($C427,daily_dates,big_daily_table)))</f>
        <v>#N/A</v>
      </c>
    </row>
    <row r="428" ht="14.25" customHeight="1">
      <c r="B428" s="7">
        <v>41333.0</v>
      </c>
      <c r="C428" s="7">
        <f t="shared" si="1"/>
        <v>41329</v>
      </c>
      <c r="D428" s="1" t="str">
        <f t="array" ref="D428">IF(ISBLANK(XLOOKUP(D$3,daily_items,XLOOKUP($C428,daily_dates,big_daily_table))),NA(),XLOOKUP(D$3,daily_items,XLOOKUP($C428,daily_dates,big_daily_table)))</f>
        <v>#N/A</v>
      </c>
      <c r="E428" s="1" t="str">
        <f t="array" ref="E428">IF(ISBLANK(XLOOKUP(E$3,daily_items,XLOOKUP($C428,daily_dates,big_daily_table))),NA(),XLOOKUP(E$3,daily_items,XLOOKUP($C428,daily_dates,big_daily_table)))</f>
        <v>#N/A</v>
      </c>
    </row>
    <row r="429" ht="14.25" customHeight="1">
      <c r="B429" s="7">
        <v>41334.0</v>
      </c>
      <c r="C429" s="7">
        <f t="shared" si="1"/>
        <v>41329</v>
      </c>
      <c r="D429" s="1" t="str">
        <f t="array" ref="D429">IF(ISBLANK(XLOOKUP(D$3,daily_items,XLOOKUP($C429,daily_dates,big_daily_table))),NA(),XLOOKUP(D$3,daily_items,XLOOKUP($C429,daily_dates,big_daily_table)))</f>
        <v>#N/A</v>
      </c>
      <c r="E429" s="1" t="str">
        <f t="array" ref="E429">IF(ISBLANK(XLOOKUP(E$3,daily_items,XLOOKUP($C429,daily_dates,big_daily_table))),NA(),XLOOKUP(E$3,daily_items,XLOOKUP($C429,daily_dates,big_daily_table)))</f>
        <v>#N/A</v>
      </c>
    </row>
    <row r="430" ht="14.25" customHeight="1">
      <c r="B430" s="7">
        <v>41335.0</v>
      </c>
      <c r="C430" s="7">
        <f t="shared" si="1"/>
        <v>41329</v>
      </c>
      <c r="D430" s="1" t="str">
        <f t="array" ref="D430">IF(ISBLANK(XLOOKUP(D$3,daily_items,XLOOKUP($C430,daily_dates,big_daily_table))),NA(),XLOOKUP(D$3,daily_items,XLOOKUP($C430,daily_dates,big_daily_table)))</f>
        <v>#N/A</v>
      </c>
      <c r="E430" s="1" t="str">
        <f t="array" ref="E430">IF(ISBLANK(XLOOKUP(E$3,daily_items,XLOOKUP($C430,daily_dates,big_daily_table))),NA(),XLOOKUP(E$3,daily_items,XLOOKUP($C430,daily_dates,big_daily_table)))</f>
        <v>#N/A</v>
      </c>
    </row>
    <row r="431" ht="14.25" customHeight="1">
      <c r="B431" s="7">
        <v>41336.0</v>
      </c>
      <c r="C431" s="7">
        <f t="shared" si="1"/>
        <v>41336</v>
      </c>
      <c r="D431" s="1" t="str">
        <f t="array" ref="D431">IF(ISBLANK(XLOOKUP(D$3,daily_items,XLOOKUP($C431,daily_dates,big_daily_table))),NA(),XLOOKUP(D$3,daily_items,XLOOKUP($C431,daily_dates,big_daily_table)))</f>
        <v>#N/A</v>
      </c>
      <c r="E431" s="1" t="str">
        <f t="array" ref="E431">IF(ISBLANK(XLOOKUP(E$3,daily_items,XLOOKUP($C431,daily_dates,big_daily_table))),NA(),XLOOKUP(E$3,daily_items,XLOOKUP($C431,daily_dates,big_daily_table)))</f>
        <v>#N/A</v>
      </c>
    </row>
    <row r="432" ht="14.25" customHeight="1">
      <c r="B432" s="7">
        <v>41337.0</v>
      </c>
      <c r="C432" s="7">
        <f t="shared" si="1"/>
        <v>41336</v>
      </c>
      <c r="D432" s="1" t="str">
        <f t="array" ref="D432">IF(ISBLANK(XLOOKUP(D$3,daily_items,XLOOKUP($C432,daily_dates,big_daily_table))),NA(),XLOOKUP(D$3,daily_items,XLOOKUP($C432,daily_dates,big_daily_table)))</f>
        <v>#N/A</v>
      </c>
      <c r="E432" s="1" t="str">
        <f t="array" ref="E432">IF(ISBLANK(XLOOKUP(E$3,daily_items,XLOOKUP($C432,daily_dates,big_daily_table))),NA(),XLOOKUP(E$3,daily_items,XLOOKUP($C432,daily_dates,big_daily_table)))</f>
        <v>#N/A</v>
      </c>
    </row>
    <row r="433" ht="14.25" customHeight="1">
      <c r="B433" s="7">
        <v>41338.0</v>
      </c>
      <c r="C433" s="7">
        <f t="shared" si="1"/>
        <v>41336</v>
      </c>
      <c r="D433" s="1" t="str">
        <f t="array" ref="D433">IF(ISBLANK(XLOOKUP(D$3,daily_items,XLOOKUP($C433,daily_dates,big_daily_table))),NA(),XLOOKUP(D$3,daily_items,XLOOKUP($C433,daily_dates,big_daily_table)))</f>
        <v>#N/A</v>
      </c>
      <c r="E433" s="1" t="str">
        <f t="array" ref="E433">IF(ISBLANK(XLOOKUP(E$3,daily_items,XLOOKUP($C433,daily_dates,big_daily_table))),NA(),XLOOKUP(E$3,daily_items,XLOOKUP($C433,daily_dates,big_daily_table)))</f>
        <v>#N/A</v>
      </c>
    </row>
    <row r="434" ht="14.25" customHeight="1">
      <c r="B434" s="7">
        <v>41339.0</v>
      </c>
      <c r="C434" s="7">
        <f t="shared" si="1"/>
        <v>41336</v>
      </c>
      <c r="D434" s="1" t="str">
        <f t="array" ref="D434">IF(ISBLANK(XLOOKUP(D$3,daily_items,XLOOKUP($C434,daily_dates,big_daily_table))),NA(),XLOOKUP(D$3,daily_items,XLOOKUP($C434,daily_dates,big_daily_table)))</f>
        <v>#N/A</v>
      </c>
      <c r="E434" s="1" t="str">
        <f t="array" ref="E434">IF(ISBLANK(XLOOKUP(E$3,daily_items,XLOOKUP($C434,daily_dates,big_daily_table))),NA(),XLOOKUP(E$3,daily_items,XLOOKUP($C434,daily_dates,big_daily_table)))</f>
        <v>#N/A</v>
      </c>
    </row>
    <row r="435" ht="14.25" customHeight="1">
      <c r="B435" s="7">
        <v>41340.0</v>
      </c>
      <c r="C435" s="7">
        <f t="shared" si="1"/>
        <v>41336</v>
      </c>
      <c r="D435" s="1" t="str">
        <f t="array" ref="D435">IF(ISBLANK(XLOOKUP(D$3,daily_items,XLOOKUP($C435,daily_dates,big_daily_table))),NA(),XLOOKUP(D$3,daily_items,XLOOKUP($C435,daily_dates,big_daily_table)))</f>
        <v>#N/A</v>
      </c>
      <c r="E435" s="1" t="str">
        <f t="array" ref="E435">IF(ISBLANK(XLOOKUP(E$3,daily_items,XLOOKUP($C435,daily_dates,big_daily_table))),NA(),XLOOKUP(E$3,daily_items,XLOOKUP($C435,daily_dates,big_daily_table)))</f>
        <v>#N/A</v>
      </c>
    </row>
    <row r="436" ht="14.25" customHeight="1">
      <c r="B436" s="7">
        <v>41341.0</v>
      </c>
      <c r="C436" s="7">
        <f t="shared" si="1"/>
        <v>41336</v>
      </c>
      <c r="D436" s="1" t="str">
        <f t="array" ref="D436">IF(ISBLANK(XLOOKUP(D$3,daily_items,XLOOKUP($C436,daily_dates,big_daily_table))),NA(),XLOOKUP(D$3,daily_items,XLOOKUP($C436,daily_dates,big_daily_table)))</f>
        <v>#N/A</v>
      </c>
      <c r="E436" s="1" t="str">
        <f t="array" ref="E436">IF(ISBLANK(XLOOKUP(E$3,daily_items,XLOOKUP($C436,daily_dates,big_daily_table))),NA(),XLOOKUP(E$3,daily_items,XLOOKUP($C436,daily_dates,big_daily_table)))</f>
        <v>#N/A</v>
      </c>
    </row>
    <row r="437" ht="14.25" customHeight="1">
      <c r="B437" s="7">
        <v>41342.0</v>
      </c>
      <c r="C437" s="7">
        <f t="shared" si="1"/>
        <v>41336</v>
      </c>
      <c r="D437" s="1" t="str">
        <f t="array" ref="D437">IF(ISBLANK(XLOOKUP(D$3,daily_items,XLOOKUP($C437,daily_dates,big_daily_table))),NA(),XLOOKUP(D$3,daily_items,XLOOKUP($C437,daily_dates,big_daily_table)))</f>
        <v>#N/A</v>
      </c>
      <c r="E437" s="1" t="str">
        <f t="array" ref="E437">IF(ISBLANK(XLOOKUP(E$3,daily_items,XLOOKUP($C437,daily_dates,big_daily_table))),NA(),XLOOKUP(E$3,daily_items,XLOOKUP($C437,daily_dates,big_daily_table)))</f>
        <v>#N/A</v>
      </c>
    </row>
    <row r="438" ht="14.25" customHeight="1">
      <c r="B438" s="7">
        <v>41343.0</v>
      </c>
      <c r="C438" s="7">
        <f t="shared" si="1"/>
        <v>41343</v>
      </c>
      <c r="D438" s="1" t="str">
        <f t="array" ref="D438">IF(ISBLANK(XLOOKUP(D$3,daily_items,XLOOKUP($C438,daily_dates,big_daily_table))),NA(),XLOOKUP(D$3,daily_items,XLOOKUP($C438,daily_dates,big_daily_table)))</f>
        <v>#N/A</v>
      </c>
      <c r="E438" s="1" t="str">
        <f t="array" ref="E438">IF(ISBLANK(XLOOKUP(E$3,daily_items,XLOOKUP($C438,daily_dates,big_daily_table))),NA(),XLOOKUP(E$3,daily_items,XLOOKUP($C438,daily_dates,big_daily_table)))</f>
        <v>#N/A</v>
      </c>
    </row>
    <row r="439" ht="14.25" customHeight="1">
      <c r="B439" s="7">
        <v>41344.0</v>
      </c>
      <c r="C439" s="7">
        <f t="shared" si="1"/>
        <v>41343</v>
      </c>
      <c r="D439" s="1" t="str">
        <f t="array" ref="D439">IF(ISBLANK(XLOOKUP(D$3,daily_items,XLOOKUP($C439,daily_dates,big_daily_table))),NA(),XLOOKUP(D$3,daily_items,XLOOKUP($C439,daily_dates,big_daily_table)))</f>
        <v>#N/A</v>
      </c>
      <c r="E439" s="1" t="str">
        <f t="array" ref="E439">IF(ISBLANK(XLOOKUP(E$3,daily_items,XLOOKUP($C439,daily_dates,big_daily_table))),NA(),XLOOKUP(E$3,daily_items,XLOOKUP($C439,daily_dates,big_daily_table)))</f>
        <v>#N/A</v>
      </c>
    </row>
    <row r="440" ht="14.25" customHeight="1">
      <c r="B440" s="7">
        <v>41345.0</v>
      </c>
      <c r="C440" s="7">
        <f t="shared" si="1"/>
        <v>41343</v>
      </c>
      <c r="D440" s="1" t="str">
        <f t="array" ref="D440">IF(ISBLANK(XLOOKUP(D$3,daily_items,XLOOKUP($C440,daily_dates,big_daily_table))),NA(),XLOOKUP(D$3,daily_items,XLOOKUP($C440,daily_dates,big_daily_table)))</f>
        <v>#N/A</v>
      </c>
      <c r="E440" s="1" t="str">
        <f t="array" ref="E440">IF(ISBLANK(XLOOKUP(E$3,daily_items,XLOOKUP($C440,daily_dates,big_daily_table))),NA(),XLOOKUP(E$3,daily_items,XLOOKUP($C440,daily_dates,big_daily_table)))</f>
        <v>#N/A</v>
      </c>
    </row>
    <row r="441" ht="14.25" customHeight="1">
      <c r="B441" s="7">
        <v>41346.0</v>
      </c>
      <c r="C441" s="7">
        <f t="shared" si="1"/>
        <v>41343</v>
      </c>
      <c r="D441" s="1" t="str">
        <f t="array" ref="D441">IF(ISBLANK(XLOOKUP(D$3,daily_items,XLOOKUP($C441,daily_dates,big_daily_table))),NA(),XLOOKUP(D$3,daily_items,XLOOKUP($C441,daily_dates,big_daily_table)))</f>
        <v>#N/A</v>
      </c>
      <c r="E441" s="1" t="str">
        <f t="array" ref="E441">IF(ISBLANK(XLOOKUP(E$3,daily_items,XLOOKUP($C441,daily_dates,big_daily_table))),NA(),XLOOKUP(E$3,daily_items,XLOOKUP($C441,daily_dates,big_daily_table)))</f>
        <v>#N/A</v>
      </c>
    </row>
    <row r="442" ht="14.25" customHeight="1">
      <c r="B442" s="7">
        <v>41347.0</v>
      </c>
      <c r="C442" s="7">
        <f t="shared" si="1"/>
        <v>41343</v>
      </c>
      <c r="D442" s="1" t="str">
        <f t="array" ref="D442">IF(ISBLANK(XLOOKUP(D$3,daily_items,XLOOKUP($C442,daily_dates,big_daily_table))),NA(),XLOOKUP(D$3,daily_items,XLOOKUP($C442,daily_dates,big_daily_table)))</f>
        <v>#N/A</v>
      </c>
      <c r="E442" s="1" t="str">
        <f t="array" ref="E442">IF(ISBLANK(XLOOKUP(E$3,daily_items,XLOOKUP($C442,daily_dates,big_daily_table))),NA(),XLOOKUP(E$3,daily_items,XLOOKUP($C442,daily_dates,big_daily_table)))</f>
        <v>#N/A</v>
      </c>
    </row>
    <row r="443" ht="14.25" customHeight="1">
      <c r="B443" s="7">
        <v>41348.0</v>
      </c>
      <c r="C443" s="7">
        <f t="shared" si="1"/>
        <v>41343</v>
      </c>
      <c r="D443" s="1" t="str">
        <f t="array" ref="D443">IF(ISBLANK(XLOOKUP(D$3,daily_items,XLOOKUP($C443,daily_dates,big_daily_table))),NA(),XLOOKUP(D$3,daily_items,XLOOKUP($C443,daily_dates,big_daily_table)))</f>
        <v>#N/A</v>
      </c>
      <c r="E443" s="1" t="str">
        <f t="array" ref="E443">IF(ISBLANK(XLOOKUP(E$3,daily_items,XLOOKUP($C443,daily_dates,big_daily_table))),NA(),XLOOKUP(E$3,daily_items,XLOOKUP($C443,daily_dates,big_daily_table)))</f>
        <v>#N/A</v>
      </c>
    </row>
    <row r="444" ht="14.25" customHeight="1">
      <c r="B444" s="7">
        <v>41349.0</v>
      </c>
      <c r="C444" s="7">
        <f t="shared" si="1"/>
        <v>41343</v>
      </c>
      <c r="D444" s="1" t="str">
        <f t="array" ref="D444">IF(ISBLANK(XLOOKUP(D$3,daily_items,XLOOKUP($C444,daily_dates,big_daily_table))),NA(),XLOOKUP(D$3,daily_items,XLOOKUP($C444,daily_dates,big_daily_table)))</f>
        <v>#N/A</v>
      </c>
      <c r="E444" s="1" t="str">
        <f t="array" ref="E444">IF(ISBLANK(XLOOKUP(E$3,daily_items,XLOOKUP($C444,daily_dates,big_daily_table))),NA(),XLOOKUP(E$3,daily_items,XLOOKUP($C444,daily_dates,big_daily_table)))</f>
        <v>#N/A</v>
      </c>
    </row>
    <row r="445" ht="14.25" customHeight="1">
      <c r="B445" s="7">
        <v>41350.0</v>
      </c>
      <c r="C445" s="7">
        <f t="shared" si="1"/>
        <v>41350</v>
      </c>
      <c r="D445" s="1" t="str">
        <f t="array" ref="D445">IF(ISBLANK(XLOOKUP(D$3,daily_items,XLOOKUP($C445,daily_dates,big_daily_table))),NA(),XLOOKUP(D$3,daily_items,XLOOKUP($C445,daily_dates,big_daily_table)))</f>
        <v>#N/A</v>
      </c>
      <c r="E445" s="1" t="str">
        <f t="array" ref="E445">IF(ISBLANK(XLOOKUP(E$3,daily_items,XLOOKUP($C445,daily_dates,big_daily_table))),NA(),XLOOKUP(E$3,daily_items,XLOOKUP($C445,daily_dates,big_daily_table)))</f>
        <v>#N/A</v>
      </c>
    </row>
    <row r="446" ht="14.25" customHeight="1">
      <c r="B446" s="7">
        <v>41351.0</v>
      </c>
      <c r="C446" s="7">
        <f t="shared" si="1"/>
        <v>41350</v>
      </c>
      <c r="D446" s="1" t="str">
        <f t="array" ref="D446">IF(ISBLANK(XLOOKUP(D$3,daily_items,XLOOKUP($C446,daily_dates,big_daily_table))),NA(),XLOOKUP(D$3,daily_items,XLOOKUP($C446,daily_dates,big_daily_table)))</f>
        <v>#N/A</v>
      </c>
      <c r="E446" s="1" t="str">
        <f t="array" ref="E446">IF(ISBLANK(XLOOKUP(E$3,daily_items,XLOOKUP($C446,daily_dates,big_daily_table))),NA(),XLOOKUP(E$3,daily_items,XLOOKUP($C446,daily_dates,big_daily_table)))</f>
        <v>#N/A</v>
      </c>
    </row>
    <row r="447" ht="14.25" customHeight="1">
      <c r="B447" s="7">
        <v>41352.0</v>
      </c>
      <c r="C447" s="7">
        <f t="shared" si="1"/>
        <v>41350</v>
      </c>
      <c r="D447" s="1" t="str">
        <f t="array" ref="D447">IF(ISBLANK(XLOOKUP(D$3,daily_items,XLOOKUP($C447,daily_dates,big_daily_table))),NA(),XLOOKUP(D$3,daily_items,XLOOKUP($C447,daily_dates,big_daily_table)))</f>
        <v>#N/A</v>
      </c>
      <c r="E447" s="1" t="str">
        <f t="array" ref="E447">IF(ISBLANK(XLOOKUP(E$3,daily_items,XLOOKUP($C447,daily_dates,big_daily_table))),NA(),XLOOKUP(E$3,daily_items,XLOOKUP($C447,daily_dates,big_daily_table)))</f>
        <v>#N/A</v>
      </c>
    </row>
    <row r="448" ht="14.25" customHeight="1">
      <c r="B448" s="7">
        <v>41353.0</v>
      </c>
      <c r="C448" s="7">
        <f t="shared" si="1"/>
        <v>41350</v>
      </c>
      <c r="D448" s="1" t="str">
        <f t="array" ref="D448">IF(ISBLANK(XLOOKUP(D$3,daily_items,XLOOKUP($C448,daily_dates,big_daily_table))),NA(),XLOOKUP(D$3,daily_items,XLOOKUP($C448,daily_dates,big_daily_table)))</f>
        <v>#N/A</v>
      </c>
      <c r="E448" s="1" t="str">
        <f t="array" ref="E448">IF(ISBLANK(XLOOKUP(E$3,daily_items,XLOOKUP($C448,daily_dates,big_daily_table))),NA(),XLOOKUP(E$3,daily_items,XLOOKUP($C448,daily_dates,big_daily_table)))</f>
        <v>#N/A</v>
      </c>
    </row>
    <row r="449" ht="14.25" customHeight="1">
      <c r="B449" s="7">
        <v>41354.0</v>
      </c>
      <c r="C449" s="7">
        <f t="shared" si="1"/>
        <v>41350</v>
      </c>
      <c r="D449" s="1" t="str">
        <f t="array" ref="D449">IF(ISBLANK(XLOOKUP(D$3,daily_items,XLOOKUP($C449,daily_dates,big_daily_table))),NA(),XLOOKUP(D$3,daily_items,XLOOKUP($C449,daily_dates,big_daily_table)))</f>
        <v>#N/A</v>
      </c>
      <c r="E449" s="1" t="str">
        <f t="array" ref="E449">IF(ISBLANK(XLOOKUP(E$3,daily_items,XLOOKUP($C449,daily_dates,big_daily_table))),NA(),XLOOKUP(E$3,daily_items,XLOOKUP($C449,daily_dates,big_daily_table)))</f>
        <v>#N/A</v>
      </c>
    </row>
    <row r="450" ht="14.25" customHeight="1">
      <c r="B450" s="7">
        <v>41355.0</v>
      </c>
      <c r="C450" s="7">
        <f t="shared" si="1"/>
        <v>41350</v>
      </c>
      <c r="D450" s="1" t="str">
        <f t="array" ref="D450">IF(ISBLANK(XLOOKUP(D$3,daily_items,XLOOKUP($C450,daily_dates,big_daily_table))),NA(),XLOOKUP(D$3,daily_items,XLOOKUP($C450,daily_dates,big_daily_table)))</f>
        <v>#N/A</v>
      </c>
      <c r="E450" s="1" t="str">
        <f t="array" ref="E450">IF(ISBLANK(XLOOKUP(E$3,daily_items,XLOOKUP($C450,daily_dates,big_daily_table))),NA(),XLOOKUP(E$3,daily_items,XLOOKUP($C450,daily_dates,big_daily_table)))</f>
        <v>#N/A</v>
      </c>
    </row>
    <row r="451" ht="14.25" customHeight="1">
      <c r="B451" s="7">
        <v>41356.0</v>
      </c>
      <c r="C451" s="7">
        <f t="shared" si="1"/>
        <v>41350</v>
      </c>
      <c r="D451" s="1" t="str">
        <f t="array" ref="D451">IF(ISBLANK(XLOOKUP(D$3,daily_items,XLOOKUP($C451,daily_dates,big_daily_table))),NA(),XLOOKUP(D$3,daily_items,XLOOKUP($C451,daily_dates,big_daily_table)))</f>
        <v>#N/A</v>
      </c>
      <c r="E451" s="1" t="str">
        <f t="array" ref="E451">IF(ISBLANK(XLOOKUP(E$3,daily_items,XLOOKUP($C451,daily_dates,big_daily_table))),NA(),XLOOKUP(E$3,daily_items,XLOOKUP($C451,daily_dates,big_daily_table)))</f>
        <v>#N/A</v>
      </c>
    </row>
    <row r="452" ht="14.25" customHeight="1">
      <c r="B452" s="7">
        <v>41357.0</v>
      </c>
      <c r="C452" s="7">
        <f t="shared" si="1"/>
        <v>41357</v>
      </c>
      <c r="D452" s="1" t="str">
        <f t="array" ref="D452">IF(ISBLANK(XLOOKUP(D$3,daily_items,XLOOKUP($C452,daily_dates,big_daily_table))),NA(),XLOOKUP(D$3,daily_items,XLOOKUP($C452,daily_dates,big_daily_table)))</f>
        <v>#N/A</v>
      </c>
      <c r="E452" s="1" t="str">
        <f t="array" ref="E452">IF(ISBLANK(XLOOKUP(E$3,daily_items,XLOOKUP($C452,daily_dates,big_daily_table))),NA(),XLOOKUP(E$3,daily_items,XLOOKUP($C452,daily_dates,big_daily_table)))</f>
        <v>#N/A</v>
      </c>
    </row>
    <row r="453" ht="14.25" customHeight="1">
      <c r="B453" s="7">
        <v>41358.0</v>
      </c>
      <c r="C453" s="7">
        <f t="shared" si="1"/>
        <v>41357</v>
      </c>
      <c r="D453" s="1" t="str">
        <f t="array" ref="D453">IF(ISBLANK(XLOOKUP(D$3,daily_items,XLOOKUP($C453,daily_dates,big_daily_table))),NA(),XLOOKUP(D$3,daily_items,XLOOKUP($C453,daily_dates,big_daily_table)))</f>
        <v>#N/A</v>
      </c>
      <c r="E453" s="1" t="str">
        <f t="array" ref="E453">IF(ISBLANK(XLOOKUP(E$3,daily_items,XLOOKUP($C453,daily_dates,big_daily_table))),NA(),XLOOKUP(E$3,daily_items,XLOOKUP($C453,daily_dates,big_daily_table)))</f>
        <v>#N/A</v>
      </c>
    </row>
    <row r="454" ht="14.25" customHeight="1">
      <c r="B454" s="7">
        <v>41359.0</v>
      </c>
      <c r="C454" s="7">
        <f t="shared" si="1"/>
        <v>41357</v>
      </c>
      <c r="D454" s="1" t="str">
        <f t="array" ref="D454">IF(ISBLANK(XLOOKUP(D$3,daily_items,XLOOKUP($C454,daily_dates,big_daily_table))),NA(),XLOOKUP(D$3,daily_items,XLOOKUP($C454,daily_dates,big_daily_table)))</f>
        <v>#N/A</v>
      </c>
      <c r="E454" s="1" t="str">
        <f t="array" ref="E454">IF(ISBLANK(XLOOKUP(E$3,daily_items,XLOOKUP($C454,daily_dates,big_daily_table))),NA(),XLOOKUP(E$3,daily_items,XLOOKUP($C454,daily_dates,big_daily_table)))</f>
        <v>#N/A</v>
      </c>
    </row>
    <row r="455" ht="14.25" customHeight="1">
      <c r="B455" s="7">
        <v>41360.0</v>
      </c>
      <c r="C455" s="7">
        <f t="shared" si="1"/>
        <v>41357</v>
      </c>
      <c r="D455" s="1" t="str">
        <f t="array" ref="D455">IF(ISBLANK(XLOOKUP(D$3,daily_items,XLOOKUP($C455,daily_dates,big_daily_table))),NA(),XLOOKUP(D$3,daily_items,XLOOKUP($C455,daily_dates,big_daily_table)))</f>
        <v>#N/A</v>
      </c>
      <c r="E455" s="1" t="str">
        <f t="array" ref="E455">IF(ISBLANK(XLOOKUP(E$3,daily_items,XLOOKUP($C455,daily_dates,big_daily_table))),NA(),XLOOKUP(E$3,daily_items,XLOOKUP($C455,daily_dates,big_daily_table)))</f>
        <v>#N/A</v>
      </c>
    </row>
    <row r="456" ht="14.25" customHeight="1">
      <c r="B456" s="7">
        <v>41361.0</v>
      </c>
      <c r="C456" s="7">
        <f t="shared" si="1"/>
        <v>41357</v>
      </c>
      <c r="D456" s="1" t="str">
        <f t="array" ref="D456">IF(ISBLANK(XLOOKUP(D$3,daily_items,XLOOKUP($C456,daily_dates,big_daily_table))),NA(),XLOOKUP(D$3,daily_items,XLOOKUP($C456,daily_dates,big_daily_table)))</f>
        <v>#N/A</v>
      </c>
      <c r="E456" s="1" t="str">
        <f t="array" ref="E456">IF(ISBLANK(XLOOKUP(E$3,daily_items,XLOOKUP($C456,daily_dates,big_daily_table))),NA(),XLOOKUP(E$3,daily_items,XLOOKUP($C456,daily_dates,big_daily_table)))</f>
        <v>#N/A</v>
      </c>
    </row>
    <row r="457" ht="14.25" customHeight="1">
      <c r="B457" s="7">
        <v>41362.0</v>
      </c>
      <c r="C457" s="7">
        <f t="shared" si="1"/>
        <v>41357</v>
      </c>
      <c r="D457" s="1" t="str">
        <f t="array" ref="D457">IF(ISBLANK(XLOOKUP(D$3,daily_items,XLOOKUP($C457,daily_dates,big_daily_table))),NA(),XLOOKUP(D$3,daily_items,XLOOKUP($C457,daily_dates,big_daily_table)))</f>
        <v>#N/A</v>
      </c>
      <c r="E457" s="1" t="str">
        <f t="array" ref="E457">IF(ISBLANK(XLOOKUP(E$3,daily_items,XLOOKUP($C457,daily_dates,big_daily_table))),NA(),XLOOKUP(E$3,daily_items,XLOOKUP($C457,daily_dates,big_daily_table)))</f>
        <v>#N/A</v>
      </c>
    </row>
    <row r="458" ht="14.25" customHeight="1">
      <c r="B458" s="7">
        <v>41363.0</v>
      </c>
      <c r="C458" s="7">
        <f t="shared" si="1"/>
        <v>41357</v>
      </c>
      <c r="D458" s="1" t="str">
        <f t="array" ref="D458">IF(ISBLANK(XLOOKUP(D$3,daily_items,XLOOKUP($C458,daily_dates,big_daily_table))),NA(),XLOOKUP(D$3,daily_items,XLOOKUP($C458,daily_dates,big_daily_table)))</f>
        <v>#N/A</v>
      </c>
      <c r="E458" s="1" t="str">
        <f t="array" ref="E458">IF(ISBLANK(XLOOKUP(E$3,daily_items,XLOOKUP($C458,daily_dates,big_daily_table))),NA(),XLOOKUP(E$3,daily_items,XLOOKUP($C458,daily_dates,big_daily_table)))</f>
        <v>#N/A</v>
      </c>
    </row>
    <row r="459" ht="14.25" customHeight="1">
      <c r="B459" s="7">
        <v>41364.0</v>
      </c>
      <c r="C459" s="7">
        <f t="shared" si="1"/>
        <v>41364</v>
      </c>
      <c r="D459" s="1" t="str">
        <f t="array" ref="D459">IF(ISBLANK(XLOOKUP(D$3,daily_items,XLOOKUP($C459,daily_dates,big_daily_table))),NA(),XLOOKUP(D$3,daily_items,XLOOKUP($C459,daily_dates,big_daily_table)))</f>
        <v>#N/A</v>
      </c>
      <c r="E459" s="1" t="str">
        <f t="array" ref="E459">IF(ISBLANK(XLOOKUP(E$3,daily_items,XLOOKUP($C459,daily_dates,big_daily_table))),NA(),XLOOKUP(E$3,daily_items,XLOOKUP($C459,daily_dates,big_daily_table)))</f>
        <v>#N/A</v>
      </c>
    </row>
    <row r="460" ht="14.25" customHeight="1">
      <c r="B460" s="7">
        <v>41365.0</v>
      </c>
      <c r="C460" s="7">
        <f t="shared" si="1"/>
        <v>41364</v>
      </c>
      <c r="D460" s="1" t="str">
        <f t="array" ref="D460">IF(ISBLANK(XLOOKUP(D$3,daily_items,XLOOKUP($C460,daily_dates,big_daily_table))),NA(),XLOOKUP(D$3,daily_items,XLOOKUP($C460,daily_dates,big_daily_table)))</f>
        <v>#N/A</v>
      </c>
      <c r="E460" s="1" t="str">
        <f t="array" ref="E460">IF(ISBLANK(XLOOKUP(E$3,daily_items,XLOOKUP($C460,daily_dates,big_daily_table))),NA(),XLOOKUP(E$3,daily_items,XLOOKUP($C460,daily_dates,big_daily_table)))</f>
        <v>#N/A</v>
      </c>
    </row>
    <row r="461" ht="14.25" customHeight="1">
      <c r="B461" s="7">
        <v>41366.0</v>
      </c>
      <c r="C461" s="7">
        <f t="shared" si="1"/>
        <v>41364</v>
      </c>
      <c r="D461" s="1" t="str">
        <f t="array" ref="D461">IF(ISBLANK(XLOOKUP(D$3,daily_items,XLOOKUP($C461,daily_dates,big_daily_table))),NA(),XLOOKUP(D$3,daily_items,XLOOKUP($C461,daily_dates,big_daily_table)))</f>
        <v>#N/A</v>
      </c>
      <c r="E461" s="1" t="str">
        <f t="array" ref="E461">IF(ISBLANK(XLOOKUP(E$3,daily_items,XLOOKUP($C461,daily_dates,big_daily_table))),NA(),XLOOKUP(E$3,daily_items,XLOOKUP($C461,daily_dates,big_daily_table)))</f>
        <v>#N/A</v>
      </c>
    </row>
    <row r="462" ht="14.25" customHeight="1">
      <c r="B462" s="7">
        <v>41367.0</v>
      </c>
      <c r="C462" s="7">
        <f t="shared" si="1"/>
        <v>41364</v>
      </c>
      <c r="D462" s="1" t="str">
        <f t="array" ref="D462">IF(ISBLANK(XLOOKUP(D$3,daily_items,XLOOKUP($C462,daily_dates,big_daily_table))),NA(),XLOOKUP(D$3,daily_items,XLOOKUP($C462,daily_dates,big_daily_table)))</f>
        <v>#N/A</v>
      </c>
      <c r="E462" s="1" t="str">
        <f t="array" ref="E462">IF(ISBLANK(XLOOKUP(E$3,daily_items,XLOOKUP($C462,daily_dates,big_daily_table))),NA(),XLOOKUP(E$3,daily_items,XLOOKUP($C462,daily_dates,big_daily_table)))</f>
        <v>#N/A</v>
      </c>
    </row>
    <row r="463" ht="14.25" customHeight="1">
      <c r="B463" s="7">
        <v>41368.0</v>
      </c>
      <c r="C463" s="7">
        <f t="shared" si="1"/>
        <v>41364</v>
      </c>
      <c r="D463" s="1" t="str">
        <f t="array" ref="D463">IF(ISBLANK(XLOOKUP(D$3,daily_items,XLOOKUP($C463,daily_dates,big_daily_table))),NA(),XLOOKUP(D$3,daily_items,XLOOKUP($C463,daily_dates,big_daily_table)))</f>
        <v>#N/A</v>
      </c>
      <c r="E463" s="1" t="str">
        <f t="array" ref="E463">IF(ISBLANK(XLOOKUP(E$3,daily_items,XLOOKUP($C463,daily_dates,big_daily_table))),NA(),XLOOKUP(E$3,daily_items,XLOOKUP($C463,daily_dates,big_daily_table)))</f>
        <v>#N/A</v>
      </c>
    </row>
    <row r="464" ht="14.25" customHeight="1">
      <c r="B464" s="7">
        <v>41369.0</v>
      </c>
      <c r="C464" s="7">
        <f t="shared" si="1"/>
        <v>41364</v>
      </c>
      <c r="D464" s="1" t="str">
        <f t="array" ref="D464">IF(ISBLANK(XLOOKUP(D$3,daily_items,XLOOKUP($C464,daily_dates,big_daily_table))),NA(),XLOOKUP(D$3,daily_items,XLOOKUP($C464,daily_dates,big_daily_table)))</f>
        <v>#N/A</v>
      </c>
      <c r="E464" s="1" t="str">
        <f t="array" ref="E464">IF(ISBLANK(XLOOKUP(E$3,daily_items,XLOOKUP($C464,daily_dates,big_daily_table))),NA(),XLOOKUP(E$3,daily_items,XLOOKUP($C464,daily_dates,big_daily_table)))</f>
        <v>#N/A</v>
      </c>
    </row>
    <row r="465" ht="14.25" customHeight="1">
      <c r="B465" s="7">
        <v>41370.0</v>
      </c>
      <c r="C465" s="7">
        <f t="shared" si="1"/>
        <v>41364</v>
      </c>
      <c r="D465" s="1" t="str">
        <f t="array" ref="D465">IF(ISBLANK(XLOOKUP(D$3,daily_items,XLOOKUP($C465,daily_dates,big_daily_table))),NA(),XLOOKUP(D$3,daily_items,XLOOKUP($C465,daily_dates,big_daily_table)))</f>
        <v>#N/A</v>
      </c>
      <c r="E465" s="1" t="str">
        <f t="array" ref="E465">IF(ISBLANK(XLOOKUP(E$3,daily_items,XLOOKUP($C465,daily_dates,big_daily_table))),NA(),XLOOKUP(E$3,daily_items,XLOOKUP($C465,daily_dates,big_daily_table)))</f>
        <v>#N/A</v>
      </c>
    </row>
    <row r="466" ht="14.25" customHeight="1">
      <c r="B466" s="7">
        <v>41371.0</v>
      </c>
      <c r="C466" s="7">
        <f t="shared" si="1"/>
        <v>41371</v>
      </c>
      <c r="D466" s="1" t="str">
        <f t="array" ref="D466">IF(ISBLANK(XLOOKUP(D$3,daily_items,XLOOKUP($C466,daily_dates,big_daily_table))),NA(),XLOOKUP(D$3,daily_items,XLOOKUP($C466,daily_dates,big_daily_table)))</f>
        <v>#N/A</v>
      </c>
      <c r="E466" s="1" t="str">
        <f t="array" ref="E466">IF(ISBLANK(XLOOKUP(E$3,daily_items,XLOOKUP($C466,daily_dates,big_daily_table))),NA(),XLOOKUP(E$3,daily_items,XLOOKUP($C466,daily_dates,big_daily_table)))</f>
        <v>#N/A</v>
      </c>
    </row>
    <row r="467" ht="14.25" customHeight="1">
      <c r="B467" s="7">
        <v>41372.0</v>
      </c>
      <c r="C467" s="7">
        <f t="shared" si="1"/>
        <v>41371</v>
      </c>
      <c r="D467" s="1" t="str">
        <f t="array" ref="D467">IF(ISBLANK(XLOOKUP(D$3,daily_items,XLOOKUP($C467,daily_dates,big_daily_table))),NA(),XLOOKUP(D$3,daily_items,XLOOKUP($C467,daily_dates,big_daily_table)))</f>
        <v>#N/A</v>
      </c>
      <c r="E467" s="1" t="str">
        <f t="array" ref="E467">IF(ISBLANK(XLOOKUP(E$3,daily_items,XLOOKUP($C467,daily_dates,big_daily_table))),NA(),XLOOKUP(E$3,daily_items,XLOOKUP($C467,daily_dates,big_daily_table)))</f>
        <v>#N/A</v>
      </c>
    </row>
    <row r="468" ht="14.25" customHeight="1">
      <c r="B468" s="7">
        <v>41373.0</v>
      </c>
      <c r="C468" s="7">
        <f t="shared" si="1"/>
        <v>41371</v>
      </c>
      <c r="D468" s="1" t="str">
        <f t="array" ref="D468">IF(ISBLANK(XLOOKUP(D$3,daily_items,XLOOKUP($C468,daily_dates,big_daily_table))),NA(),XLOOKUP(D$3,daily_items,XLOOKUP($C468,daily_dates,big_daily_table)))</f>
        <v>#N/A</v>
      </c>
      <c r="E468" s="1" t="str">
        <f t="array" ref="E468">IF(ISBLANK(XLOOKUP(E$3,daily_items,XLOOKUP($C468,daily_dates,big_daily_table))),NA(),XLOOKUP(E$3,daily_items,XLOOKUP($C468,daily_dates,big_daily_table)))</f>
        <v>#N/A</v>
      </c>
    </row>
    <row r="469" ht="14.25" customHeight="1">
      <c r="B469" s="7">
        <v>41374.0</v>
      </c>
      <c r="C469" s="7">
        <f t="shared" si="1"/>
        <v>41371</v>
      </c>
      <c r="D469" s="1" t="str">
        <f t="array" ref="D469">IF(ISBLANK(XLOOKUP(D$3,daily_items,XLOOKUP($C469,daily_dates,big_daily_table))),NA(),XLOOKUP(D$3,daily_items,XLOOKUP($C469,daily_dates,big_daily_table)))</f>
        <v>#N/A</v>
      </c>
      <c r="E469" s="1" t="str">
        <f t="array" ref="E469">IF(ISBLANK(XLOOKUP(E$3,daily_items,XLOOKUP($C469,daily_dates,big_daily_table))),NA(),XLOOKUP(E$3,daily_items,XLOOKUP($C469,daily_dates,big_daily_table)))</f>
        <v>#N/A</v>
      </c>
    </row>
    <row r="470" ht="14.25" customHeight="1">
      <c r="B470" s="7">
        <v>41375.0</v>
      </c>
      <c r="C470" s="7">
        <f t="shared" si="1"/>
        <v>41371</v>
      </c>
      <c r="D470" s="1" t="str">
        <f t="array" ref="D470">IF(ISBLANK(XLOOKUP(D$3,daily_items,XLOOKUP($C470,daily_dates,big_daily_table))),NA(),XLOOKUP(D$3,daily_items,XLOOKUP($C470,daily_dates,big_daily_table)))</f>
        <v>#N/A</v>
      </c>
      <c r="E470" s="1" t="str">
        <f t="array" ref="E470">IF(ISBLANK(XLOOKUP(E$3,daily_items,XLOOKUP($C470,daily_dates,big_daily_table))),NA(),XLOOKUP(E$3,daily_items,XLOOKUP($C470,daily_dates,big_daily_table)))</f>
        <v>#N/A</v>
      </c>
    </row>
    <row r="471" ht="14.25" customHeight="1">
      <c r="B471" s="7">
        <v>41376.0</v>
      </c>
      <c r="C471" s="7">
        <f t="shared" si="1"/>
        <v>41371</v>
      </c>
      <c r="D471" s="1" t="str">
        <f t="array" ref="D471">IF(ISBLANK(XLOOKUP(D$3,daily_items,XLOOKUP($C471,daily_dates,big_daily_table))),NA(),XLOOKUP(D$3,daily_items,XLOOKUP($C471,daily_dates,big_daily_table)))</f>
        <v>#N/A</v>
      </c>
      <c r="E471" s="1" t="str">
        <f t="array" ref="E471">IF(ISBLANK(XLOOKUP(E$3,daily_items,XLOOKUP($C471,daily_dates,big_daily_table))),NA(),XLOOKUP(E$3,daily_items,XLOOKUP($C471,daily_dates,big_daily_table)))</f>
        <v>#N/A</v>
      </c>
    </row>
    <row r="472" ht="14.25" customHeight="1">
      <c r="B472" s="7">
        <v>41377.0</v>
      </c>
      <c r="C472" s="7">
        <f t="shared" si="1"/>
        <v>41371</v>
      </c>
      <c r="D472" s="1" t="str">
        <f t="array" ref="D472">IF(ISBLANK(XLOOKUP(D$3,daily_items,XLOOKUP($C472,daily_dates,big_daily_table))),NA(),XLOOKUP(D$3,daily_items,XLOOKUP($C472,daily_dates,big_daily_table)))</f>
        <v>#N/A</v>
      </c>
      <c r="E472" s="1" t="str">
        <f t="array" ref="E472">IF(ISBLANK(XLOOKUP(E$3,daily_items,XLOOKUP($C472,daily_dates,big_daily_table))),NA(),XLOOKUP(E$3,daily_items,XLOOKUP($C472,daily_dates,big_daily_table)))</f>
        <v>#N/A</v>
      </c>
    </row>
    <row r="473" ht="14.25" customHeight="1">
      <c r="B473" s="7">
        <v>41378.0</v>
      </c>
      <c r="C473" s="7">
        <f t="shared" si="1"/>
        <v>41378</v>
      </c>
      <c r="D473" s="1" t="str">
        <f t="array" ref="D473">IF(ISBLANK(XLOOKUP(D$3,daily_items,XLOOKUP($C473,daily_dates,big_daily_table))),NA(),XLOOKUP(D$3,daily_items,XLOOKUP($C473,daily_dates,big_daily_table)))</f>
        <v>#N/A</v>
      </c>
      <c r="E473" s="1" t="str">
        <f t="array" ref="E473">IF(ISBLANK(XLOOKUP(E$3,daily_items,XLOOKUP($C473,daily_dates,big_daily_table))),NA(),XLOOKUP(E$3,daily_items,XLOOKUP($C473,daily_dates,big_daily_table)))</f>
        <v>#N/A</v>
      </c>
    </row>
    <row r="474" ht="14.25" customHeight="1">
      <c r="B474" s="7">
        <v>41379.0</v>
      </c>
      <c r="C474" s="7">
        <f t="shared" si="1"/>
        <v>41378</v>
      </c>
      <c r="D474" s="1" t="str">
        <f t="array" ref="D474">IF(ISBLANK(XLOOKUP(D$3,daily_items,XLOOKUP($C474,daily_dates,big_daily_table))),NA(),XLOOKUP(D$3,daily_items,XLOOKUP($C474,daily_dates,big_daily_table)))</f>
        <v>#N/A</v>
      </c>
      <c r="E474" s="1" t="str">
        <f t="array" ref="E474">IF(ISBLANK(XLOOKUP(E$3,daily_items,XLOOKUP($C474,daily_dates,big_daily_table))),NA(),XLOOKUP(E$3,daily_items,XLOOKUP($C474,daily_dates,big_daily_table)))</f>
        <v>#N/A</v>
      </c>
    </row>
    <row r="475" ht="14.25" customHeight="1">
      <c r="B475" s="7">
        <v>41380.0</v>
      </c>
      <c r="C475" s="7">
        <f t="shared" si="1"/>
        <v>41378</v>
      </c>
      <c r="D475" s="1" t="str">
        <f t="array" ref="D475">IF(ISBLANK(XLOOKUP(D$3,daily_items,XLOOKUP($C475,daily_dates,big_daily_table))),NA(),XLOOKUP(D$3,daily_items,XLOOKUP($C475,daily_dates,big_daily_table)))</f>
        <v>#N/A</v>
      </c>
      <c r="E475" s="1" t="str">
        <f t="array" ref="E475">IF(ISBLANK(XLOOKUP(E$3,daily_items,XLOOKUP($C475,daily_dates,big_daily_table))),NA(),XLOOKUP(E$3,daily_items,XLOOKUP($C475,daily_dates,big_daily_table)))</f>
        <v>#N/A</v>
      </c>
    </row>
    <row r="476" ht="14.25" customHeight="1">
      <c r="B476" s="7">
        <v>41381.0</v>
      </c>
      <c r="C476" s="7">
        <f t="shared" si="1"/>
        <v>41378</v>
      </c>
      <c r="D476" s="1" t="str">
        <f t="array" ref="D476">IF(ISBLANK(XLOOKUP(D$3,daily_items,XLOOKUP($C476,daily_dates,big_daily_table))),NA(),XLOOKUP(D$3,daily_items,XLOOKUP($C476,daily_dates,big_daily_table)))</f>
        <v>#N/A</v>
      </c>
      <c r="E476" s="1" t="str">
        <f t="array" ref="E476">IF(ISBLANK(XLOOKUP(E$3,daily_items,XLOOKUP($C476,daily_dates,big_daily_table))),NA(),XLOOKUP(E$3,daily_items,XLOOKUP($C476,daily_dates,big_daily_table)))</f>
        <v>#N/A</v>
      </c>
    </row>
    <row r="477" ht="14.25" customHeight="1">
      <c r="B477" s="7">
        <v>41382.0</v>
      </c>
      <c r="C477" s="7">
        <f t="shared" si="1"/>
        <v>41378</v>
      </c>
      <c r="D477" s="1" t="str">
        <f t="array" ref="D477">IF(ISBLANK(XLOOKUP(D$3,daily_items,XLOOKUP($C477,daily_dates,big_daily_table))),NA(),XLOOKUP(D$3,daily_items,XLOOKUP($C477,daily_dates,big_daily_table)))</f>
        <v>#N/A</v>
      </c>
      <c r="E477" s="1" t="str">
        <f t="array" ref="E477">IF(ISBLANK(XLOOKUP(E$3,daily_items,XLOOKUP($C477,daily_dates,big_daily_table))),NA(),XLOOKUP(E$3,daily_items,XLOOKUP($C477,daily_dates,big_daily_table)))</f>
        <v>#N/A</v>
      </c>
    </row>
    <row r="478" ht="14.25" customHeight="1">
      <c r="B478" s="7">
        <v>41383.0</v>
      </c>
      <c r="C478" s="7">
        <f t="shared" si="1"/>
        <v>41378</v>
      </c>
      <c r="D478" s="1" t="str">
        <f t="array" ref="D478">IF(ISBLANK(XLOOKUP(D$3,daily_items,XLOOKUP($C478,daily_dates,big_daily_table))),NA(),XLOOKUP(D$3,daily_items,XLOOKUP($C478,daily_dates,big_daily_table)))</f>
        <v>#N/A</v>
      </c>
      <c r="E478" s="1" t="str">
        <f t="array" ref="E478">IF(ISBLANK(XLOOKUP(E$3,daily_items,XLOOKUP($C478,daily_dates,big_daily_table))),NA(),XLOOKUP(E$3,daily_items,XLOOKUP($C478,daily_dates,big_daily_table)))</f>
        <v>#N/A</v>
      </c>
    </row>
    <row r="479" ht="14.25" customHeight="1">
      <c r="B479" s="7">
        <v>41384.0</v>
      </c>
      <c r="C479" s="7">
        <f t="shared" si="1"/>
        <v>41378</v>
      </c>
      <c r="D479" s="1" t="str">
        <f t="array" ref="D479">IF(ISBLANK(XLOOKUP(D$3,daily_items,XLOOKUP($C479,daily_dates,big_daily_table))),NA(),XLOOKUP(D$3,daily_items,XLOOKUP($C479,daily_dates,big_daily_table)))</f>
        <v>#N/A</v>
      </c>
      <c r="E479" s="1" t="str">
        <f t="array" ref="E479">IF(ISBLANK(XLOOKUP(E$3,daily_items,XLOOKUP($C479,daily_dates,big_daily_table))),NA(),XLOOKUP(E$3,daily_items,XLOOKUP($C479,daily_dates,big_daily_table)))</f>
        <v>#N/A</v>
      </c>
    </row>
    <row r="480" ht="14.25" customHeight="1">
      <c r="B480" s="7">
        <v>41385.0</v>
      </c>
      <c r="C480" s="7">
        <f t="shared" si="1"/>
        <v>41385</v>
      </c>
      <c r="D480" s="1" t="str">
        <f t="array" ref="D480">IF(ISBLANK(XLOOKUP(D$3,daily_items,XLOOKUP($C480,daily_dates,big_daily_table))),NA(),XLOOKUP(D$3,daily_items,XLOOKUP($C480,daily_dates,big_daily_table)))</f>
        <v>#N/A</v>
      </c>
      <c r="E480" s="1" t="str">
        <f t="array" ref="E480">IF(ISBLANK(XLOOKUP(E$3,daily_items,XLOOKUP($C480,daily_dates,big_daily_table))),NA(),XLOOKUP(E$3,daily_items,XLOOKUP($C480,daily_dates,big_daily_table)))</f>
        <v>#N/A</v>
      </c>
    </row>
    <row r="481" ht="14.25" customHeight="1">
      <c r="B481" s="7">
        <v>41386.0</v>
      </c>
      <c r="C481" s="7">
        <f t="shared" si="1"/>
        <v>41385</v>
      </c>
      <c r="D481" s="1" t="str">
        <f t="array" ref="D481">IF(ISBLANK(XLOOKUP(D$3,daily_items,XLOOKUP($C481,daily_dates,big_daily_table))),NA(),XLOOKUP(D$3,daily_items,XLOOKUP($C481,daily_dates,big_daily_table)))</f>
        <v>#N/A</v>
      </c>
      <c r="E481" s="1" t="str">
        <f t="array" ref="E481">IF(ISBLANK(XLOOKUP(E$3,daily_items,XLOOKUP($C481,daily_dates,big_daily_table))),NA(),XLOOKUP(E$3,daily_items,XLOOKUP($C481,daily_dates,big_daily_table)))</f>
        <v>#N/A</v>
      </c>
    </row>
    <row r="482" ht="14.25" customHeight="1">
      <c r="B482" s="7">
        <v>41387.0</v>
      </c>
      <c r="C482" s="7">
        <f t="shared" si="1"/>
        <v>41385</v>
      </c>
      <c r="D482" s="1" t="str">
        <f t="array" ref="D482">IF(ISBLANK(XLOOKUP(D$3,daily_items,XLOOKUP($C482,daily_dates,big_daily_table))),NA(),XLOOKUP(D$3,daily_items,XLOOKUP($C482,daily_dates,big_daily_table)))</f>
        <v>#N/A</v>
      </c>
      <c r="E482" s="1" t="str">
        <f t="array" ref="E482">IF(ISBLANK(XLOOKUP(E$3,daily_items,XLOOKUP($C482,daily_dates,big_daily_table))),NA(),XLOOKUP(E$3,daily_items,XLOOKUP($C482,daily_dates,big_daily_table)))</f>
        <v>#N/A</v>
      </c>
    </row>
    <row r="483" ht="14.25" customHeight="1">
      <c r="B483" s="7">
        <v>41388.0</v>
      </c>
      <c r="C483" s="7">
        <f t="shared" si="1"/>
        <v>41385</v>
      </c>
      <c r="D483" s="1" t="str">
        <f t="array" ref="D483">IF(ISBLANK(XLOOKUP(D$3,daily_items,XLOOKUP($C483,daily_dates,big_daily_table))),NA(),XLOOKUP(D$3,daily_items,XLOOKUP($C483,daily_dates,big_daily_table)))</f>
        <v>#N/A</v>
      </c>
      <c r="E483" s="1" t="str">
        <f t="array" ref="E483">IF(ISBLANK(XLOOKUP(E$3,daily_items,XLOOKUP($C483,daily_dates,big_daily_table))),NA(),XLOOKUP(E$3,daily_items,XLOOKUP($C483,daily_dates,big_daily_table)))</f>
        <v>#N/A</v>
      </c>
    </row>
    <row r="484" ht="14.25" customHeight="1">
      <c r="B484" s="7">
        <v>41389.0</v>
      </c>
      <c r="C484" s="7">
        <f t="shared" si="1"/>
        <v>41385</v>
      </c>
      <c r="D484" s="1" t="str">
        <f t="array" ref="D484">IF(ISBLANK(XLOOKUP(D$3,daily_items,XLOOKUP($C484,daily_dates,big_daily_table))),NA(),XLOOKUP(D$3,daily_items,XLOOKUP($C484,daily_dates,big_daily_table)))</f>
        <v>#N/A</v>
      </c>
      <c r="E484" s="1" t="str">
        <f t="array" ref="E484">IF(ISBLANK(XLOOKUP(E$3,daily_items,XLOOKUP($C484,daily_dates,big_daily_table))),NA(),XLOOKUP(E$3,daily_items,XLOOKUP($C484,daily_dates,big_daily_table)))</f>
        <v>#N/A</v>
      </c>
    </row>
    <row r="485" ht="14.25" customHeight="1">
      <c r="B485" s="7">
        <v>41390.0</v>
      </c>
      <c r="C485" s="7">
        <f t="shared" si="1"/>
        <v>41385</v>
      </c>
      <c r="D485" s="1" t="str">
        <f t="array" ref="D485">IF(ISBLANK(XLOOKUP(D$3,daily_items,XLOOKUP($C485,daily_dates,big_daily_table))),NA(),XLOOKUP(D$3,daily_items,XLOOKUP($C485,daily_dates,big_daily_table)))</f>
        <v>#N/A</v>
      </c>
      <c r="E485" s="1" t="str">
        <f t="array" ref="E485">IF(ISBLANK(XLOOKUP(E$3,daily_items,XLOOKUP($C485,daily_dates,big_daily_table))),NA(),XLOOKUP(E$3,daily_items,XLOOKUP($C485,daily_dates,big_daily_table)))</f>
        <v>#N/A</v>
      </c>
    </row>
    <row r="486" ht="14.25" customHeight="1">
      <c r="B486" s="7">
        <v>41391.0</v>
      </c>
      <c r="C486" s="7">
        <f t="shared" si="1"/>
        <v>41385</v>
      </c>
      <c r="D486" s="1" t="str">
        <f t="array" ref="D486">IF(ISBLANK(XLOOKUP(D$3,daily_items,XLOOKUP($C486,daily_dates,big_daily_table))),NA(),XLOOKUP(D$3,daily_items,XLOOKUP($C486,daily_dates,big_daily_table)))</f>
        <v>#N/A</v>
      </c>
      <c r="E486" s="1" t="str">
        <f t="array" ref="E486">IF(ISBLANK(XLOOKUP(E$3,daily_items,XLOOKUP($C486,daily_dates,big_daily_table))),NA(),XLOOKUP(E$3,daily_items,XLOOKUP($C486,daily_dates,big_daily_table)))</f>
        <v>#N/A</v>
      </c>
    </row>
    <row r="487" ht="14.25" customHeight="1">
      <c r="B487" s="7">
        <v>41392.0</v>
      </c>
      <c r="C487" s="7">
        <f t="shared" si="1"/>
        <v>41392</v>
      </c>
      <c r="D487" s="1" t="str">
        <f t="array" ref="D487">IF(ISBLANK(XLOOKUP(D$3,daily_items,XLOOKUP($C487,daily_dates,big_daily_table))),NA(),XLOOKUP(D$3,daily_items,XLOOKUP($C487,daily_dates,big_daily_table)))</f>
        <v>#N/A</v>
      </c>
      <c r="E487" s="1" t="str">
        <f t="array" ref="E487">IF(ISBLANK(XLOOKUP(E$3,daily_items,XLOOKUP($C487,daily_dates,big_daily_table))),NA(),XLOOKUP(E$3,daily_items,XLOOKUP($C487,daily_dates,big_daily_table)))</f>
        <v>#N/A</v>
      </c>
    </row>
    <row r="488" ht="14.25" customHeight="1">
      <c r="B488" s="7">
        <v>41393.0</v>
      </c>
      <c r="C488" s="7">
        <f t="shared" si="1"/>
        <v>41392</v>
      </c>
      <c r="D488" s="1" t="str">
        <f t="array" ref="D488">IF(ISBLANK(XLOOKUP(D$3,daily_items,XLOOKUP($C488,daily_dates,big_daily_table))),NA(),XLOOKUP(D$3,daily_items,XLOOKUP($C488,daily_dates,big_daily_table)))</f>
        <v>#N/A</v>
      </c>
      <c r="E488" s="1" t="str">
        <f t="array" ref="E488">IF(ISBLANK(XLOOKUP(E$3,daily_items,XLOOKUP($C488,daily_dates,big_daily_table))),NA(),XLOOKUP(E$3,daily_items,XLOOKUP($C488,daily_dates,big_daily_table)))</f>
        <v>#N/A</v>
      </c>
    </row>
    <row r="489" ht="14.25" customHeight="1">
      <c r="B489" s="7">
        <v>41394.0</v>
      </c>
      <c r="C489" s="7">
        <f t="shared" si="1"/>
        <v>41392</v>
      </c>
      <c r="D489" s="1" t="str">
        <f t="array" ref="D489">IF(ISBLANK(XLOOKUP(D$3,daily_items,XLOOKUP($C489,daily_dates,big_daily_table))),NA(),XLOOKUP(D$3,daily_items,XLOOKUP($C489,daily_dates,big_daily_table)))</f>
        <v>#N/A</v>
      </c>
      <c r="E489" s="1" t="str">
        <f t="array" ref="E489">IF(ISBLANK(XLOOKUP(E$3,daily_items,XLOOKUP($C489,daily_dates,big_daily_table))),NA(),XLOOKUP(E$3,daily_items,XLOOKUP($C489,daily_dates,big_daily_table)))</f>
        <v>#N/A</v>
      </c>
    </row>
    <row r="490" ht="14.25" customHeight="1">
      <c r="B490" s="7">
        <v>41395.0</v>
      </c>
      <c r="C490" s="7">
        <f t="shared" si="1"/>
        <v>41392</v>
      </c>
      <c r="D490" s="1" t="str">
        <f t="array" ref="D490">IF(ISBLANK(XLOOKUP(D$3,daily_items,XLOOKUP($C490,daily_dates,big_daily_table))),NA(),XLOOKUP(D$3,daily_items,XLOOKUP($C490,daily_dates,big_daily_table)))</f>
        <v>#N/A</v>
      </c>
      <c r="E490" s="1" t="str">
        <f t="array" ref="E490">IF(ISBLANK(XLOOKUP(E$3,daily_items,XLOOKUP($C490,daily_dates,big_daily_table))),NA(),XLOOKUP(E$3,daily_items,XLOOKUP($C490,daily_dates,big_daily_table)))</f>
        <v>#N/A</v>
      </c>
    </row>
    <row r="491" ht="14.25" customHeight="1">
      <c r="B491" s="7">
        <v>41396.0</v>
      </c>
      <c r="C491" s="7">
        <f t="shared" si="1"/>
        <v>41392</v>
      </c>
      <c r="D491" s="1" t="str">
        <f t="array" ref="D491">IF(ISBLANK(XLOOKUP(D$3,daily_items,XLOOKUP($C491,daily_dates,big_daily_table))),NA(),XLOOKUP(D$3,daily_items,XLOOKUP($C491,daily_dates,big_daily_table)))</f>
        <v>#N/A</v>
      </c>
      <c r="E491" s="1" t="str">
        <f t="array" ref="E491">IF(ISBLANK(XLOOKUP(E$3,daily_items,XLOOKUP($C491,daily_dates,big_daily_table))),NA(),XLOOKUP(E$3,daily_items,XLOOKUP($C491,daily_dates,big_daily_table)))</f>
        <v>#N/A</v>
      </c>
    </row>
    <row r="492" ht="14.25" customHeight="1">
      <c r="B492" s="7">
        <v>41397.0</v>
      </c>
      <c r="C492" s="7">
        <f t="shared" si="1"/>
        <v>41392</v>
      </c>
      <c r="D492" s="1" t="str">
        <f t="array" ref="D492">IF(ISBLANK(XLOOKUP(D$3,daily_items,XLOOKUP($C492,daily_dates,big_daily_table))),NA(),XLOOKUP(D$3,daily_items,XLOOKUP($C492,daily_dates,big_daily_table)))</f>
        <v>#N/A</v>
      </c>
      <c r="E492" s="1" t="str">
        <f t="array" ref="E492">IF(ISBLANK(XLOOKUP(E$3,daily_items,XLOOKUP($C492,daily_dates,big_daily_table))),NA(),XLOOKUP(E$3,daily_items,XLOOKUP($C492,daily_dates,big_daily_table)))</f>
        <v>#N/A</v>
      </c>
    </row>
    <row r="493" ht="14.25" customHeight="1">
      <c r="B493" s="7">
        <v>41398.0</v>
      </c>
      <c r="C493" s="7">
        <f t="shared" si="1"/>
        <v>41392</v>
      </c>
      <c r="D493" s="1" t="str">
        <f t="array" ref="D493">IF(ISBLANK(XLOOKUP(D$3,daily_items,XLOOKUP($C493,daily_dates,big_daily_table))),NA(),XLOOKUP(D$3,daily_items,XLOOKUP($C493,daily_dates,big_daily_table)))</f>
        <v>#N/A</v>
      </c>
      <c r="E493" s="1" t="str">
        <f t="array" ref="E493">IF(ISBLANK(XLOOKUP(E$3,daily_items,XLOOKUP($C493,daily_dates,big_daily_table))),NA(),XLOOKUP(E$3,daily_items,XLOOKUP($C493,daily_dates,big_daily_table)))</f>
        <v>#N/A</v>
      </c>
    </row>
    <row r="494" ht="14.25" customHeight="1">
      <c r="B494" s="7">
        <v>41399.0</v>
      </c>
      <c r="C494" s="7">
        <f t="shared" si="1"/>
        <v>41399</v>
      </c>
      <c r="D494" s="1" t="str">
        <f t="array" ref="D494">IF(ISBLANK(XLOOKUP(D$3,daily_items,XLOOKUP($C494,daily_dates,big_daily_table))),NA(),XLOOKUP(D$3,daily_items,XLOOKUP($C494,daily_dates,big_daily_table)))</f>
        <v>#N/A</v>
      </c>
      <c r="E494" s="1" t="str">
        <f t="array" ref="E494">IF(ISBLANK(XLOOKUP(E$3,daily_items,XLOOKUP($C494,daily_dates,big_daily_table))),NA(),XLOOKUP(E$3,daily_items,XLOOKUP($C494,daily_dates,big_daily_table)))</f>
        <v>#N/A</v>
      </c>
    </row>
    <row r="495" ht="14.25" customHeight="1">
      <c r="B495" s="7">
        <v>41400.0</v>
      </c>
      <c r="C495" s="7">
        <f t="shared" si="1"/>
        <v>41399</v>
      </c>
      <c r="D495" s="1" t="str">
        <f t="array" ref="D495">IF(ISBLANK(XLOOKUP(D$3,daily_items,XLOOKUP($C495,daily_dates,big_daily_table))),NA(),XLOOKUP(D$3,daily_items,XLOOKUP($C495,daily_dates,big_daily_table)))</f>
        <v>#N/A</v>
      </c>
      <c r="E495" s="1" t="str">
        <f t="array" ref="E495">IF(ISBLANK(XLOOKUP(E$3,daily_items,XLOOKUP($C495,daily_dates,big_daily_table))),NA(),XLOOKUP(E$3,daily_items,XLOOKUP($C495,daily_dates,big_daily_table)))</f>
        <v>#N/A</v>
      </c>
    </row>
    <row r="496" ht="14.25" customHeight="1">
      <c r="B496" s="7">
        <v>41401.0</v>
      </c>
      <c r="C496" s="7">
        <f t="shared" si="1"/>
        <v>41399</v>
      </c>
      <c r="D496" s="1" t="str">
        <f t="array" ref="D496">IF(ISBLANK(XLOOKUP(D$3,daily_items,XLOOKUP($C496,daily_dates,big_daily_table))),NA(),XLOOKUP(D$3,daily_items,XLOOKUP($C496,daily_dates,big_daily_table)))</f>
        <v>#N/A</v>
      </c>
      <c r="E496" s="1" t="str">
        <f t="array" ref="E496">IF(ISBLANK(XLOOKUP(E$3,daily_items,XLOOKUP($C496,daily_dates,big_daily_table))),NA(),XLOOKUP(E$3,daily_items,XLOOKUP($C496,daily_dates,big_daily_table)))</f>
        <v>#N/A</v>
      </c>
    </row>
    <row r="497" ht="14.25" customHeight="1">
      <c r="B497" s="7">
        <v>41402.0</v>
      </c>
      <c r="C497" s="7">
        <f t="shared" si="1"/>
        <v>41399</v>
      </c>
      <c r="D497" s="1" t="str">
        <f t="array" ref="D497">IF(ISBLANK(XLOOKUP(D$3,daily_items,XLOOKUP($C497,daily_dates,big_daily_table))),NA(),XLOOKUP(D$3,daily_items,XLOOKUP($C497,daily_dates,big_daily_table)))</f>
        <v>#N/A</v>
      </c>
      <c r="E497" s="1" t="str">
        <f t="array" ref="E497">IF(ISBLANK(XLOOKUP(E$3,daily_items,XLOOKUP($C497,daily_dates,big_daily_table))),NA(),XLOOKUP(E$3,daily_items,XLOOKUP($C497,daily_dates,big_daily_table)))</f>
        <v>#N/A</v>
      </c>
    </row>
    <row r="498" ht="14.25" customHeight="1">
      <c r="B498" s="7">
        <v>41403.0</v>
      </c>
      <c r="C498" s="7">
        <f t="shared" si="1"/>
        <v>41399</v>
      </c>
      <c r="D498" s="1" t="str">
        <f t="array" ref="D498">IF(ISBLANK(XLOOKUP(D$3,daily_items,XLOOKUP($C498,daily_dates,big_daily_table))),NA(),XLOOKUP(D$3,daily_items,XLOOKUP($C498,daily_dates,big_daily_table)))</f>
        <v>#N/A</v>
      </c>
      <c r="E498" s="1" t="str">
        <f t="array" ref="E498">IF(ISBLANK(XLOOKUP(E$3,daily_items,XLOOKUP($C498,daily_dates,big_daily_table))),NA(),XLOOKUP(E$3,daily_items,XLOOKUP($C498,daily_dates,big_daily_table)))</f>
        <v>#N/A</v>
      </c>
    </row>
    <row r="499" ht="14.25" customHeight="1">
      <c r="B499" s="7">
        <v>41404.0</v>
      </c>
      <c r="C499" s="7">
        <f t="shared" si="1"/>
        <v>41399</v>
      </c>
      <c r="D499" s="1" t="str">
        <f t="array" ref="D499">IF(ISBLANK(XLOOKUP(D$3,daily_items,XLOOKUP($C499,daily_dates,big_daily_table))),NA(),XLOOKUP(D$3,daily_items,XLOOKUP($C499,daily_dates,big_daily_table)))</f>
        <v>#N/A</v>
      </c>
      <c r="E499" s="1" t="str">
        <f t="array" ref="E499">IF(ISBLANK(XLOOKUP(E$3,daily_items,XLOOKUP($C499,daily_dates,big_daily_table))),NA(),XLOOKUP(E$3,daily_items,XLOOKUP($C499,daily_dates,big_daily_table)))</f>
        <v>#N/A</v>
      </c>
    </row>
    <row r="500" ht="14.25" customHeight="1">
      <c r="B500" s="7">
        <v>41405.0</v>
      </c>
      <c r="C500" s="7">
        <f t="shared" si="1"/>
        <v>41399</v>
      </c>
      <c r="D500" s="1" t="str">
        <f t="array" ref="D500">IF(ISBLANK(XLOOKUP(D$3,daily_items,XLOOKUP($C500,daily_dates,big_daily_table))),NA(),XLOOKUP(D$3,daily_items,XLOOKUP($C500,daily_dates,big_daily_table)))</f>
        <v>#N/A</v>
      </c>
      <c r="E500" s="1" t="str">
        <f t="array" ref="E500">IF(ISBLANK(XLOOKUP(E$3,daily_items,XLOOKUP($C500,daily_dates,big_daily_table))),NA(),XLOOKUP(E$3,daily_items,XLOOKUP($C500,daily_dates,big_daily_table)))</f>
        <v>#N/A</v>
      </c>
    </row>
    <row r="501" ht="14.25" customHeight="1">
      <c r="B501" s="7">
        <v>41406.0</v>
      </c>
      <c r="C501" s="7">
        <f t="shared" si="1"/>
        <v>41406</v>
      </c>
      <c r="D501" s="1" t="str">
        <f t="array" ref="D501">IF(ISBLANK(XLOOKUP(D$3,daily_items,XLOOKUP($C501,daily_dates,big_daily_table))),NA(),XLOOKUP(D$3,daily_items,XLOOKUP($C501,daily_dates,big_daily_table)))</f>
        <v>#N/A</v>
      </c>
      <c r="E501" s="1" t="str">
        <f t="array" ref="E501">IF(ISBLANK(XLOOKUP(E$3,daily_items,XLOOKUP($C501,daily_dates,big_daily_table))),NA(),XLOOKUP(E$3,daily_items,XLOOKUP($C501,daily_dates,big_daily_table)))</f>
        <v>#N/A</v>
      </c>
    </row>
    <row r="502" ht="14.25" customHeight="1">
      <c r="B502" s="7">
        <v>41407.0</v>
      </c>
      <c r="C502" s="7">
        <f t="shared" si="1"/>
        <v>41406</v>
      </c>
      <c r="D502" s="1" t="str">
        <f t="array" ref="D502">IF(ISBLANK(XLOOKUP(D$3,daily_items,XLOOKUP($C502,daily_dates,big_daily_table))),NA(),XLOOKUP(D$3,daily_items,XLOOKUP($C502,daily_dates,big_daily_table)))</f>
        <v>#N/A</v>
      </c>
      <c r="E502" s="1" t="str">
        <f t="array" ref="E502">IF(ISBLANK(XLOOKUP(E$3,daily_items,XLOOKUP($C502,daily_dates,big_daily_table))),NA(),XLOOKUP(E$3,daily_items,XLOOKUP($C502,daily_dates,big_daily_table)))</f>
        <v>#N/A</v>
      </c>
    </row>
    <row r="503" ht="14.25" customHeight="1">
      <c r="B503" s="7">
        <v>41408.0</v>
      </c>
      <c r="C503" s="7">
        <f t="shared" si="1"/>
        <v>41406</v>
      </c>
      <c r="D503" s="1" t="str">
        <f t="array" ref="D503">IF(ISBLANK(XLOOKUP(D$3,daily_items,XLOOKUP($C503,daily_dates,big_daily_table))),NA(),XLOOKUP(D$3,daily_items,XLOOKUP($C503,daily_dates,big_daily_table)))</f>
        <v>#N/A</v>
      </c>
      <c r="E503" s="1" t="str">
        <f t="array" ref="E503">IF(ISBLANK(XLOOKUP(E$3,daily_items,XLOOKUP($C503,daily_dates,big_daily_table))),NA(),XLOOKUP(E$3,daily_items,XLOOKUP($C503,daily_dates,big_daily_table)))</f>
        <v>#N/A</v>
      </c>
    </row>
    <row r="504" ht="14.25" customHeight="1">
      <c r="B504" s="7">
        <v>41409.0</v>
      </c>
      <c r="C504" s="7">
        <f t="shared" si="1"/>
        <v>41406</v>
      </c>
      <c r="D504" s="1" t="str">
        <f t="array" ref="D504">IF(ISBLANK(XLOOKUP(D$3,daily_items,XLOOKUP($C504,daily_dates,big_daily_table))),NA(),XLOOKUP(D$3,daily_items,XLOOKUP($C504,daily_dates,big_daily_table)))</f>
        <v>#N/A</v>
      </c>
      <c r="E504" s="1" t="str">
        <f t="array" ref="E504">IF(ISBLANK(XLOOKUP(E$3,daily_items,XLOOKUP($C504,daily_dates,big_daily_table))),NA(),XLOOKUP(E$3,daily_items,XLOOKUP($C504,daily_dates,big_daily_table)))</f>
        <v>#N/A</v>
      </c>
    </row>
    <row r="505" ht="14.25" customHeight="1">
      <c r="B505" s="7">
        <v>41410.0</v>
      </c>
      <c r="C505" s="7">
        <f t="shared" si="1"/>
        <v>41406</v>
      </c>
      <c r="D505" s="1" t="str">
        <f t="array" ref="D505">IF(ISBLANK(XLOOKUP(D$3,daily_items,XLOOKUP($C505,daily_dates,big_daily_table))),NA(),XLOOKUP(D$3,daily_items,XLOOKUP($C505,daily_dates,big_daily_table)))</f>
        <v>#N/A</v>
      </c>
      <c r="E505" s="1" t="str">
        <f t="array" ref="E505">IF(ISBLANK(XLOOKUP(E$3,daily_items,XLOOKUP($C505,daily_dates,big_daily_table))),NA(),XLOOKUP(E$3,daily_items,XLOOKUP($C505,daily_dates,big_daily_table)))</f>
        <v>#N/A</v>
      </c>
    </row>
    <row r="506" ht="14.25" customHeight="1">
      <c r="B506" s="7">
        <v>41411.0</v>
      </c>
      <c r="C506" s="7">
        <f t="shared" si="1"/>
        <v>41406</v>
      </c>
      <c r="D506" s="1" t="str">
        <f t="array" ref="D506">IF(ISBLANK(XLOOKUP(D$3,daily_items,XLOOKUP($C506,daily_dates,big_daily_table))),NA(),XLOOKUP(D$3,daily_items,XLOOKUP($C506,daily_dates,big_daily_table)))</f>
        <v>#N/A</v>
      </c>
      <c r="E506" s="1" t="str">
        <f t="array" ref="E506">IF(ISBLANK(XLOOKUP(E$3,daily_items,XLOOKUP($C506,daily_dates,big_daily_table))),NA(),XLOOKUP(E$3,daily_items,XLOOKUP($C506,daily_dates,big_daily_table)))</f>
        <v>#N/A</v>
      </c>
    </row>
    <row r="507" ht="14.25" customHeight="1">
      <c r="B507" s="7">
        <v>41412.0</v>
      </c>
      <c r="C507" s="7">
        <f t="shared" si="1"/>
        <v>41406</v>
      </c>
      <c r="D507" s="1" t="str">
        <f t="array" ref="D507">IF(ISBLANK(XLOOKUP(D$3,daily_items,XLOOKUP($C507,daily_dates,big_daily_table))),NA(),XLOOKUP(D$3,daily_items,XLOOKUP($C507,daily_dates,big_daily_table)))</f>
        <v>#N/A</v>
      </c>
      <c r="E507" s="1" t="str">
        <f t="array" ref="E507">IF(ISBLANK(XLOOKUP(E$3,daily_items,XLOOKUP($C507,daily_dates,big_daily_table))),NA(),XLOOKUP(E$3,daily_items,XLOOKUP($C507,daily_dates,big_daily_table)))</f>
        <v>#N/A</v>
      </c>
    </row>
    <row r="508" ht="14.25" customHeight="1">
      <c r="B508" s="7">
        <v>41413.0</v>
      </c>
      <c r="C508" s="7">
        <f t="shared" si="1"/>
        <v>41413</v>
      </c>
      <c r="D508" s="1" t="str">
        <f t="array" ref="D508">IF(ISBLANK(XLOOKUP(D$3,daily_items,XLOOKUP($C508,daily_dates,big_daily_table))),NA(),XLOOKUP(D$3,daily_items,XLOOKUP($C508,daily_dates,big_daily_table)))</f>
        <v>#N/A</v>
      </c>
      <c r="E508" s="1" t="str">
        <f t="array" ref="E508">IF(ISBLANK(XLOOKUP(E$3,daily_items,XLOOKUP($C508,daily_dates,big_daily_table))),NA(),XLOOKUP(E$3,daily_items,XLOOKUP($C508,daily_dates,big_daily_table)))</f>
        <v>#N/A</v>
      </c>
    </row>
    <row r="509" ht="14.25" customHeight="1">
      <c r="B509" s="7">
        <v>41414.0</v>
      </c>
      <c r="C509" s="7">
        <f t="shared" si="1"/>
        <v>41413</v>
      </c>
      <c r="D509" s="1" t="str">
        <f t="array" ref="D509">IF(ISBLANK(XLOOKUP(D$3,daily_items,XLOOKUP($C509,daily_dates,big_daily_table))),NA(),XLOOKUP(D$3,daily_items,XLOOKUP($C509,daily_dates,big_daily_table)))</f>
        <v>#N/A</v>
      </c>
      <c r="E509" s="1" t="str">
        <f t="array" ref="E509">IF(ISBLANK(XLOOKUP(E$3,daily_items,XLOOKUP($C509,daily_dates,big_daily_table))),NA(),XLOOKUP(E$3,daily_items,XLOOKUP($C509,daily_dates,big_daily_table)))</f>
        <v>#N/A</v>
      </c>
    </row>
    <row r="510" ht="14.25" customHeight="1">
      <c r="B510" s="7">
        <v>41415.0</v>
      </c>
      <c r="C510" s="7">
        <f t="shared" si="1"/>
        <v>41413</v>
      </c>
      <c r="D510" s="1" t="str">
        <f t="array" ref="D510">IF(ISBLANK(XLOOKUP(D$3,daily_items,XLOOKUP($C510,daily_dates,big_daily_table))),NA(),XLOOKUP(D$3,daily_items,XLOOKUP($C510,daily_dates,big_daily_table)))</f>
        <v>#N/A</v>
      </c>
      <c r="E510" s="1" t="str">
        <f t="array" ref="E510">IF(ISBLANK(XLOOKUP(E$3,daily_items,XLOOKUP($C510,daily_dates,big_daily_table))),NA(),XLOOKUP(E$3,daily_items,XLOOKUP($C510,daily_dates,big_daily_table)))</f>
        <v>#N/A</v>
      </c>
    </row>
    <row r="511" ht="14.25" customHeight="1">
      <c r="B511" s="7">
        <v>41416.0</v>
      </c>
      <c r="C511" s="7">
        <f t="shared" si="1"/>
        <v>41413</v>
      </c>
      <c r="D511" s="1" t="str">
        <f t="array" ref="D511">IF(ISBLANK(XLOOKUP(D$3,daily_items,XLOOKUP($C511,daily_dates,big_daily_table))),NA(),XLOOKUP(D$3,daily_items,XLOOKUP($C511,daily_dates,big_daily_table)))</f>
        <v>#N/A</v>
      </c>
      <c r="E511" s="1" t="str">
        <f t="array" ref="E511">IF(ISBLANK(XLOOKUP(E$3,daily_items,XLOOKUP($C511,daily_dates,big_daily_table))),NA(),XLOOKUP(E$3,daily_items,XLOOKUP($C511,daily_dates,big_daily_table)))</f>
        <v>#N/A</v>
      </c>
    </row>
    <row r="512" ht="14.25" customHeight="1">
      <c r="B512" s="7">
        <v>41417.0</v>
      </c>
      <c r="C512" s="7">
        <f t="shared" si="1"/>
        <v>41413</v>
      </c>
      <c r="D512" s="1" t="str">
        <f t="array" ref="D512">IF(ISBLANK(XLOOKUP(D$3,daily_items,XLOOKUP($C512,daily_dates,big_daily_table))),NA(),XLOOKUP(D$3,daily_items,XLOOKUP($C512,daily_dates,big_daily_table)))</f>
        <v>#N/A</v>
      </c>
      <c r="E512" s="1" t="str">
        <f t="array" ref="E512">IF(ISBLANK(XLOOKUP(E$3,daily_items,XLOOKUP($C512,daily_dates,big_daily_table))),NA(),XLOOKUP(E$3,daily_items,XLOOKUP($C512,daily_dates,big_daily_table)))</f>
        <v>#N/A</v>
      </c>
    </row>
    <row r="513" ht="14.25" customHeight="1">
      <c r="B513" s="7">
        <v>41418.0</v>
      </c>
      <c r="C513" s="7">
        <f t="shared" si="1"/>
        <v>41413</v>
      </c>
      <c r="D513" s="1" t="str">
        <f t="array" ref="D513">IF(ISBLANK(XLOOKUP(D$3,daily_items,XLOOKUP($C513,daily_dates,big_daily_table))),NA(),XLOOKUP(D$3,daily_items,XLOOKUP($C513,daily_dates,big_daily_table)))</f>
        <v>#N/A</v>
      </c>
      <c r="E513" s="1" t="str">
        <f t="array" ref="E513">IF(ISBLANK(XLOOKUP(E$3,daily_items,XLOOKUP($C513,daily_dates,big_daily_table))),NA(),XLOOKUP(E$3,daily_items,XLOOKUP($C513,daily_dates,big_daily_table)))</f>
        <v>#N/A</v>
      </c>
    </row>
    <row r="514" ht="14.25" customHeight="1">
      <c r="B514" s="7">
        <v>41419.0</v>
      </c>
      <c r="C514" s="7">
        <f t="shared" si="1"/>
        <v>41413</v>
      </c>
      <c r="D514" s="1" t="str">
        <f t="array" ref="D514">IF(ISBLANK(XLOOKUP(D$3,daily_items,XLOOKUP($C514,daily_dates,big_daily_table))),NA(),XLOOKUP(D$3,daily_items,XLOOKUP($C514,daily_dates,big_daily_table)))</f>
        <v>#N/A</v>
      </c>
      <c r="E514" s="1" t="str">
        <f t="array" ref="E514">IF(ISBLANK(XLOOKUP(E$3,daily_items,XLOOKUP($C514,daily_dates,big_daily_table))),NA(),XLOOKUP(E$3,daily_items,XLOOKUP($C514,daily_dates,big_daily_table)))</f>
        <v>#N/A</v>
      </c>
    </row>
    <row r="515" ht="14.25" customHeight="1">
      <c r="B515" s="7">
        <v>41420.0</v>
      </c>
      <c r="C515" s="7">
        <f t="shared" si="1"/>
        <v>41420</v>
      </c>
      <c r="D515" s="1" t="str">
        <f t="array" ref="D515">IF(ISBLANK(XLOOKUP(D$3,daily_items,XLOOKUP($C515,daily_dates,big_daily_table))),NA(),XLOOKUP(D$3,daily_items,XLOOKUP($C515,daily_dates,big_daily_table)))</f>
        <v>#N/A</v>
      </c>
      <c r="E515" s="1" t="str">
        <f t="array" ref="E515">IF(ISBLANK(XLOOKUP(E$3,daily_items,XLOOKUP($C515,daily_dates,big_daily_table))),NA(),XLOOKUP(E$3,daily_items,XLOOKUP($C515,daily_dates,big_daily_table)))</f>
        <v>#N/A</v>
      </c>
    </row>
    <row r="516" ht="14.25" customHeight="1">
      <c r="B516" s="7">
        <v>41421.0</v>
      </c>
      <c r="C516" s="7">
        <f t="shared" si="1"/>
        <v>41420</v>
      </c>
      <c r="D516" s="1" t="str">
        <f t="array" ref="D516">IF(ISBLANK(XLOOKUP(D$3,daily_items,XLOOKUP($C516,daily_dates,big_daily_table))),NA(),XLOOKUP(D$3,daily_items,XLOOKUP($C516,daily_dates,big_daily_table)))</f>
        <v>#N/A</v>
      </c>
      <c r="E516" s="1" t="str">
        <f t="array" ref="E516">IF(ISBLANK(XLOOKUP(E$3,daily_items,XLOOKUP($C516,daily_dates,big_daily_table))),NA(),XLOOKUP(E$3,daily_items,XLOOKUP($C516,daily_dates,big_daily_table)))</f>
        <v>#N/A</v>
      </c>
    </row>
    <row r="517" ht="14.25" customHeight="1">
      <c r="B517" s="7">
        <v>41422.0</v>
      </c>
      <c r="C517" s="7">
        <f t="shared" si="1"/>
        <v>41420</v>
      </c>
      <c r="D517" s="1" t="str">
        <f t="array" ref="D517">IF(ISBLANK(XLOOKUP(D$3,daily_items,XLOOKUP($C517,daily_dates,big_daily_table))),NA(),XLOOKUP(D$3,daily_items,XLOOKUP($C517,daily_dates,big_daily_table)))</f>
        <v>#N/A</v>
      </c>
      <c r="E517" s="1" t="str">
        <f t="array" ref="E517">IF(ISBLANK(XLOOKUP(E$3,daily_items,XLOOKUP($C517,daily_dates,big_daily_table))),NA(),XLOOKUP(E$3,daily_items,XLOOKUP($C517,daily_dates,big_daily_table)))</f>
        <v>#N/A</v>
      </c>
    </row>
    <row r="518" ht="14.25" customHeight="1">
      <c r="B518" s="7">
        <v>41423.0</v>
      </c>
      <c r="C518" s="7">
        <f t="shared" si="1"/>
        <v>41420</v>
      </c>
      <c r="D518" s="1" t="str">
        <f t="array" ref="D518">IF(ISBLANK(XLOOKUP(D$3,daily_items,XLOOKUP($C518,daily_dates,big_daily_table))),NA(),XLOOKUP(D$3,daily_items,XLOOKUP($C518,daily_dates,big_daily_table)))</f>
        <v>#N/A</v>
      </c>
      <c r="E518" s="1" t="str">
        <f t="array" ref="E518">IF(ISBLANK(XLOOKUP(E$3,daily_items,XLOOKUP($C518,daily_dates,big_daily_table))),NA(),XLOOKUP(E$3,daily_items,XLOOKUP($C518,daily_dates,big_daily_table)))</f>
        <v>#N/A</v>
      </c>
    </row>
    <row r="519" ht="14.25" customHeight="1">
      <c r="B519" s="7">
        <v>41424.0</v>
      </c>
      <c r="C519" s="7">
        <f t="shared" si="1"/>
        <v>41420</v>
      </c>
      <c r="D519" s="1" t="str">
        <f t="array" ref="D519">IF(ISBLANK(XLOOKUP(D$3,daily_items,XLOOKUP($C519,daily_dates,big_daily_table))),NA(),XLOOKUP(D$3,daily_items,XLOOKUP($C519,daily_dates,big_daily_table)))</f>
        <v>#N/A</v>
      </c>
      <c r="E519" s="1" t="str">
        <f t="array" ref="E519">IF(ISBLANK(XLOOKUP(E$3,daily_items,XLOOKUP($C519,daily_dates,big_daily_table))),NA(),XLOOKUP(E$3,daily_items,XLOOKUP($C519,daily_dates,big_daily_table)))</f>
        <v>#N/A</v>
      </c>
    </row>
    <row r="520" ht="14.25" customHeight="1">
      <c r="B520" s="7">
        <v>41425.0</v>
      </c>
      <c r="C520" s="7">
        <f t="shared" si="1"/>
        <v>41420</v>
      </c>
      <c r="D520" s="1" t="str">
        <f t="array" ref="D520">IF(ISBLANK(XLOOKUP(D$3,daily_items,XLOOKUP($C520,daily_dates,big_daily_table))),NA(),XLOOKUP(D$3,daily_items,XLOOKUP($C520,daily_dates,big_daily_table)))</f>
        <v>#N/A</v>
      </c>
      <c r="E520" s="1" t="str">
        <f t="array" ref="E520">IF(ISBLANK(XLOOKUP(E$3,daily_items,XLOOKUP($C520,daily_dates,big_daily_table))),NA(),XLOOKUP(E$3,daily_items,XLOOKUP($C520,daily_dates,big_daily_table)))</f>
        <v>#N/A</v>
      </c>
    </row>
    <row r="521" ht="14.25" customHeight="1">
      <c r="B521" s="7">
        <v>41426.0</v>
      </c>
      <c r="C521" s="7">
        <f t="shared" si="1"/>
        <v>41420</v>
      </c>
      <c r="D521" s="1" t="str">
        <f t="array" ref="D521">IF(ISBLANK(XLOOKUP(D$3,daily_items,XLOOKUP($C521,daily_dates,big_daily_table))),NA(),XLOOKUP(D$3,daily_items,XLOOKUP($C521,daily_dates,big_daily_table)))</f>
        <v>#N/A</v>
      </c>
      <c r="E521" s="1" t="str">
        <f t="array" ref="E521">IF(ISBLANK(XLOOKUP(E$3,daily_items,XLOOKUP($C521,daily_dates,big_daily_table))),NA(),XLOOKUP(E$3,daily_items,XLOOKUP($C521,daily_dates,big_daily_table)))</f>
        <v>#N/A</v>
      </c>
    </row>
    <row r="522" ht="14.25" customHeight="1">
      <c r="B522" s="7">
        <v>41427.0</v>
      </c>
      <c r="C522" s="7">
        <f t="shared" si="1"/>
        <v>41427</v>
      </c>
      <c r="D522" s="1" t="str">
        <f t="array" ref="D522">IF(ISBLANK(XLOOKUP(D$3,daily_items,XLOOKUP($C522,daily_dates,big_daily_table))),NA(),XLOOKUP(D$3,daily_items,XLOOKUP($C522,daily_dates,big_daily_table)))</f>
        <v>#N/A</v>
      </c>
      <c r="E522" s="1" t="str">
        <f t="array" ref="E522">IF(ISBLANK(XLOOKUP(E$3,daily_items,XLOOKUP($C522,daily_dates,big_daily_table))),NA(),XLOOKUP(E$3,daily_items,XLOOKUP($C522,daily_dates,big_daily_table)))</f>
        <v>#N/A</v>
      </c>
    </row>
    <row r="523" ht="14.25" customHeight="1">
      <c r="B523" s="7">
        <v>41428.0</v>
      </c>
      <c r="C523" s="7">
        <f t="shared" si="1"/>
        <v>41427</v>
      </c>
      <c r="D523" s="1" t="str">
        <f t="array" ref="D523">IF(ISBLANK(XLOOKUP(D$3,daily_items,XLOOKUP($C523,daily_dates,big_daily_table))),NA(),XLOOKUP(D$3,daily_items,XLOOKUP($C523,daily_dates,big_daily_table)))</f>
        <v>#N/A</v>
      </c>
      <c r="E523" s="1" t="str">
        <f t="array" ref="E523">IF(ISBLANK(XLOOKUP(E$3,daily_items,XLOOKUP($C523,daily_dates,big_daily_table))),NA(),XLOOKUP(E$3,daily_items,XLOOKUP($C523,daily_dates,big_daily_table)))</f>
        <v>#N/A</v>
      </c>
    </row>
    <row r="524" ht="14.25" customHeight="1">
      <c r="B524" s="7">
        <v>41429.0</v>
      </c>
      <c r="C524" s="7">
        <f t="shared" si="1"/>
        <v>41427</v>
      </c>
      <c r="D524" s="1" t="str">
        <f t="array" ref="D524">IF(ISBLANK(XLOOKUP(D$3,daily_items,XLOOKUP($C524,daily_dates,big_daily_table))),NA(),XLOOKUP(D$3,daily_items,XLOOKUP($C524,daily_dates,big_daily_table)))</f>
        <v>#N/A</v>
      </c>
      <c r="E524" s="1" t="str">
        <f t="array" ref="E524">IF(ISBLANK(XLOOKUP(E$3,daily_items,XLOOKUP($C524,daily_dates,big_daily_table))),NA(),XLOOKUP(E$3,daily_items,XLOOKUP($C524,daily_dates,big_daily_table)))</f>
        <v>#N/A</v>
      </c>
    </row>
    <row r="525" ht="14.25" customHeight="1">
      <c r="B525" s="7">
        <v>41430.0</v>
      </c>
      <c r="C525" s="7">
        <f t="shared" si="1"/>
        <v>41427</v>
      </c>
      <c r="D525" s="1" t="str">
        <f t="array" ref="D525">IF(ISBLANK(XLOOKUP(D$3,daily_items,XLOOKUP($C525,daily_dates,big_daily_table))),NA(),XLOOKUP(D$3,daily_items,XLOOKUP($C525,daily_dates,big_daily_table)))</f>
        <v>#N/A</v>
      </c>
      <c r="E525" s="1" t="str">
        <f t="array" ref="E525">IF(ISBLANK(XLOOKUP(E$3,daily_items,XLOOKUP($C525,daily_dates,big_daily_table))),NA(),XLOOKUP(E$3,daily_items,XLOOKUP($C525,daily_dates,big_daily_table)))</f>
        <v>#N/A</v>
      </c>
    </row>
    <row r="526" ht="14.25" customHeight="1">
      <c r="B526" s="7">
        <v>41431.0</v>
      </c>
      <c r="C526" s="7">
        <f t="shared" si="1"/>
        <v>41427</v>
      </c>
      <c r="D526" s="1" t="str">
        <f t="array" ref="D526">IF(ISBLANK(XLOOKUP(D$3,daily_items,XLOOKUP($C526,daily_dates,big_daily_table))),NA(),XLOOKUP(D$3,daily_items,XLOOKUP($C526,daily_dates,big_daily_table)))</f>
        <v>#N/A</v>
      </c>
      <c r="E526" s="1" t="str">
        <f t="array" ref="E526">IF(ISBLANK(XLOOKUP(E$3,daily_items,XLOOKUP($C526,daily_dates,big_daily_table))),NA(),XLOOKUP(E$3,daily_items,XLOOKUP($C526,daily_dates,big_daily_table)))</f>
        <v>#N/A</v>
      </c>
    </row>
    <row r="527" ht="14.25" customHeight="1">
      <c r="B527" s="7">
        <v>41432.0</v>
      </c>
      <c r="C527" s="7">
        <f t="shared" si="1"/>
        <v>41427</v>
      </c>
      <c r="D527" s="1" t="str">
        <f t="array" ref="D527">IF(ISBLANK(XLOOKUP(D$3,daily_items,XLOOKUP($C527,daily_dates,big_daily_table))),NA(),XLOOKUP(D$3,daily_items,XLOOKUP($C527,daily_dates,big_daily_table)))</f>
        <v>#N/A</v>
      </c>
      <c r="E527" s="1" t="str">
        <f t="array" ref="E527">IF(ISBLANK(XLOOKUP(E$3,daily_items,XLOOKUP($C527,daily_dates,big_daily_table))),NA(),XLOOKUP(E$3,daily_items,XLOOKUP($C527,daily_dates,big_daily_table)))</f>
        <v>#N/A</v>
      </c>
    </row>
    <row r="528" ht="14.25" customHeight="1">
      <c r="B528" s="7">
        <v>41433.0</v>
      </c>
      <c r="C528" s="7">
        <f t="shared" si="1"/>
        <v>41427</v>
      </c>
      <c r="D528" s="1" t="str">
        <f t="array" ref="D528">IF(ISBLANK(XLOOKUP(D$3,daily_items,XLOOKUP($C528,daily_dates,big_daily_table))),NA(),XLOOKUP(D$3,daily_items,XLOOKUP($C528,daily_dates,big_daily_table)))</f>
        <v>#N/A</v>
      </c>
      <c r="E528" s="1" t="str">
        <f t="array" ref="E528">IF(ISBLANK(XLOOKUP(E$3,daily_items,XLOOKUP($C528,daily_dates,big_daily_table))),NA(),XLOOKUP(E$3,daily_items,XLOOKUP($C528,daily_dates,big_daily_table)))</f>
        <v>#N/A</v>
      </c>
    </row>
    <row r="529" ht="14.25" customHeight="1">
      <c r="B529" s="7">
        <v>41434.0</v>
      </c>
      <c r="C529" s="7">
        <f t="shared" si="1"/>
        <v>41434</v>
      </c>
      <c r="D529" s="1" t="str">
        <f t="array" ref="D529">IF(ISBLANK(XLOOKUP(D$3,daily_items,XLOOKUP($C529,daily_dates,big_daily_table))),NA(),XLOOKUP(D$3,daily_items,XLOOKUP($C529,daily_dates,big_daily_table)))</f>
        <v>#N/A</v>
      </c>
      <c r="E529" s="1" t="str">
        <f t="array" ref="E529">IF(ISBLANK(XLOOKUP(E$3,daily_items,XLOOKUP($C529,daily_dates,big_daily_table))),NA(),XLOOKUP(E$3,daily_items,XLOOKUP($C529,daily_dates,big_daily_table)))</f>
        <v>#N/A</v>
      </c>
    </row>
    <row r="530" ht="14.25" customHeight="1">
      <c r="B530" s="7">
        <v>41435.0</v>
      </c>
      <c r="C530" s="7">
        <f t="shared" si="1"/>
        <v>41434</v>
      </c>
      <c r="D530" s="1" t="str">
        <f t="array" ref="D530">IF(ISBLANK(XLOOKUP(D$3,daily_items,XLOOKUP($C530,daily_dates,big_daily_table))),NA(),XLOOKUP(D$3,daily_items,XLOOKUP($C530,daily_dates,big_daily_table)))</f>
        <v>#N/A</v>
      </c>
      <c r="E530" s="1" t="str">
        <f t="array" ref="E530">IF(ISBLANK(XLOOKUP(E$3,daily_items,XLOOKUP($C530,daily_dates,big_daily_table))),NA(),XLOOKUP(E$3,daily_items,XLOOKUP($C530,daily_dates,big_daily_table)))</f>
        <v>#N/A</v>
      </c>
    </row>
    <row r="531" ht="14.25" customHeight="1">
      <c r="B531" s="7">
        <v>41436.0</v>
      </c>
      <c r="C531" s="7">
        <f t="shared" si="1"/>
        <v>41434</v>
      </c>
      <c r="D531" s="1" t="str">
        <f t="array" ref="D531">IF(ISBLANK(XLOOKUP(D$3,daily_items,XLOOKUP($C531,daily_dates,big_daily_table))),NA(),XLOOKUP(D$3,daily_items,XLOOKUP($C531,daily_dates,big_daily_table)))</f>
        <v>#N/A</v>
      </c>
      <c r="E531" s="1" t="str">
        <f t="array" ref="E531">IF(ISBLANK(XLOOKUP(E$3,daily_items,XLOOKUP($C531,daily_dates,big_daily_table))),NA(),XLOOKUP(E$3,daily_items,XLOOKUP($C531,daily_dates,big_daily_table)))</f>
        <v>#N/A</v>
      </c>
    </row>
    <row r="532" ht="14.25" customHeight="1">
      <c r="B532" s="7">
        <v>41437.0</v>
      </c>
      <c r="C532" s="7">
        <f t="shared" si="1"/>
        <v>41434</v>
      </c>
      <c r="D532" s="1" t="str">
        <f t="array" ref="D532">IF(ISBLANK(XLOOKUP(D$3,daily_items,XLOOKUP($C532,daily_dates,big_daily_table))),NA(),XLOOKUP(D$3,daily_items,XLOOKUP($C532,daily_dates,big_daily_table)))</f>
        <v>#N/A</v>
      </c>
      <c r="E532" s="1" t="str">
        <f t="array" ref="E532">IF(ISBLANK(XLOOKUP(E$3,daily_items,XLOOKUP($C532,daily_dates,big_daily_table))),NA(),XLOOKUP(E$3,daily_items,XLOOKUP($C532,daily_dates,big_daily_table)))</f>
        <v>#N/A</v>
      </c>
    </row>
    <row r="533" ht="14.25" customHeight="1">
      <c r="B533" s="7">
        <v>41438.0</v>
      </c>
      <c r="C533" s="7">
        <f t="shared" si="1"/>
        <v>41434</v>
      </c>
      <c r="D533" s="1" t="str">
        <f t="array" ref="D533">IF(ISBLANK(XLOOKUP(D$3,daily_items,XLOOKUP($C533,daily_dates,big_daily_table))),NA(),XLOOKUP(D$3,daily_items,XLOOKUP($C533,daily_dates,big_daily_table)))</f>
        <v>#N/A</v>
      </c>
      <c r="E533" s="1" t="str">
        <f t="array" ref="E533">IF(ISBLANK(XLOOKUP(E$3,daily_items,XLOOKUP($C533,daily_dates,big_daily_table))),NA(),XLOOKUP(E$3,daily_items,XLOOKUP($C533,daily_dates,big_daily_table)))</f>
        <v>#N/A</v>
      </c>
    </row>
    <row r="534" ht="14.25" customHeight="1">
      <c r="B534" s="7">
        <v>41439.0</v>
      </c>
      <c r="C534" s="7">
        <f t="shared" si="1"/>
        <v>41434</v>
      </c>
      <c r="D534" s="1" t="str">
        <f t="array" ref="D534">IF(ISBLANK(XLOOKUP(D$3,daily_items,XLOOKUP($C534,daily_dates,big_daily_table))),NA(),XLOOKUP(D$3,daily_items,XLOOKUP($C534,daily_dates,big_daily_table)))</f>
        <v>#N/A</v>
      </c>
      <c r="E534" s="1" t="str">
        <f t="array" ref="E534">IF(ISBLANK(XLOOKUP(E$3,daily_items,XLOOKUP($C534,daily_dates,big_daily_table))),NA(),XLOOKUP(E$3,daily_items,XLOOKUP($C534,daily_dates,big_daily_table)))</f>
        <v>#N/A</v>
      </c>
    </row>
    <row r="535" ht="14.25" customHeight="1">
      <c r="B535" s="7">
        <v>41440.0</v>
      </c>
      <c r="C535" s="7">
        <f t="shared" si="1"/>
        <v>41434</v>
      </c>
      <c r="D535" s="1" t="str">
        <f t="array" ref="D535">IF(ISBLANK(XLOOKUP(D$3,daily_items,XLOOKUP($C535,daily_dates,big_daily_table))),NA(),XLOOKUP(D$3,daily_items,XLOOKUP($C535,daily_dates,big_daily_table)))</f>
        <v>#N/A</v>
      </c>
      <c r="E535" s="1" t="str">
        <f t="array" ref="E535">IF(ISBLANK(XLOOKUP(E$3,daily_items,XLOOKUP($C535,daily_dates,big_daily_table))),NA(),XLOOKUP(E$3,daily_items,XLOOKUP($C535,daily_dates,big_daily_table)))</f>
        <v>#N/A</v>
      </c>
    </row>
    <row r="536" ht="14.25" customHeight="1">
      <c r="B536" s="7">
        <v>41441.0</v>
      </c>
      <c r="C536" s="7">
        <f t="shared" si="1"/>
        <v>41441</v>
      </c>
      <c r="D536" s="1" t="str">
        <f t="array" ref="D536">IF(ISBLANK(XLOOKUP(D$3,daily_items,XLOOKUP($C536,daily_dates,big_daily_table))),NA(),XLOOKUP(D$3,daily_items,XLOOKUP($C536,daily_dates,big_daily_table)))</f>
        <v>#N/A</v>
      </c>
      <c r="E536" s="1" t="str">
        <f t="array" ref="E536">IF(ISBLANK(XLOOKUP(E$3,daily_items,XLOOKUP($C536,daily_dates,big_daily_table))),NA(),XLOOKUP(E$3,daily_items,XLOOKUP($C536,daily_dates,big_daily_table)))</f>
        <v>#N/A</v>
      </c>
    </row>
    <row r="537" ht="14.25" customHeight="1">
      <c r="B537" s="7">
        <v>41442.0</v>
      </c>
      <c r="C537" s="7">
        <f t="shared" si="1"/>
        <v>41441</v>
      </c>
      <c r="D537" s="1" t="str">
        <f t="array" ref="D537">IF(ISBLANK(XLOOKUP(D$3,daily_items,XLOOKUP($C537,daily_dates,big_daily_table))),NA(),XLOOKUP(D$3,daily_items,XLOOKUP($C537,daily_dates,big_daily_table)))</f>
        <v>#N/A</v>
      </c>
      <c r="E537" s="1" t="str">
        <f t="array" ref="E537">IF(ISBLANK(XLOOKUP(E$3,daily_items,XLOOKUP($C537,daily_dates,big_daily_table))),NA(),XLOOKUP(E$3,daily_items,XLOOKUP($C537,daily_dates,big_daily_table)))</f>
        <v>#N/A</v>
      </c>
    </row>
    <row r="538" ht="14.25" customHeight="1">
      <c r="B538" s="7">
        <v>41443.0</v>
      </c>
      <c r="C538" s="7">
        <f t="shared" si="1"/>
        <v>41441</v>
      </c>
      <c r="D538" s="1" t="str">
        <f t="array" ref="D538">IF(ISBLANK(XLOOKUP(D$3,daily_items,XLOOKUP($C538,daily_dates,big_daily_table))),NA(),XLOOKUP(D$3,daily_items,XLOOKUP($C538,daily_dates,big_daily_table)))</f>
        <v>#N/A</v>
      </c>
      <c r="E538" s="1" t="str">
        <f t="array" ref="E538">IF(ISBLANK(XLOOKUP(E$3,daily_items,XLOOKUP($C538,daily_dates,big_daily_table))),NA(),XLOOKUP(E$3,daily_items,XLOOKUP($C538,daily_dates,big_daily_table)))</f>
        <v>#N/A</v>
      </c>
    </row>
    <row r="539" ht="14.25" customHeight="1">
      <c r="B539" s="7">
        <v>41444.0</v>
      </c>
      <c r="C539" s="7">
        <f t="shared" si="1"/>
        <v>41441</v>
      </c>
      <c r="D539" s="1" t="str">
        <f t="array" ref="D539">IF(ISBLANK(XLOOKUP(D$3,daily_items,XLOOKUP($C539,daily_dates,big_daily_table))),NA(),XLOOKUP(D$3,daily_items,XLOOKUP($C539,daily_dates,big_daily_table)))</f>
        <v>#N/A</v>
      </c>
      <c r="E539" s="1" t="str">
        <f t="array" ref="E539">IF(ISBLANK(XLOOKUP(E$3,daily_items,XLOOKUP($C539,daily_dates,big_daily_table))),NA(),XLOOKUP(E$3,daily_items,XLOOKUP($C539,daily_dates,big_daily_table)))</f>
        <v>#N/A</v>
      </c>
    </row>
    <row r="540" ht="14.25" customHeight="1">
      <c r="B540" s="7">
        <v>41445.0</v>
      </c>
      <c r="C540" s="7">
        <f t="shared" si="1"/>
        <v>41441</v>
      </c>
      <c r="D540" s="1" t="str">
        <f t="array" ref="D540">IF(ISBLANK(XLOOKUP(D$3,daily_items,XLOOKUP($C540,daily_dates,big_daily_table))),NA(),XLOOKUP(D$3,daily_items,XLOOKUP($C540,daily_dates,big_daily_table)))</f>
        <v>#N/A</v>
      </c>
      <c r="E540" s="1" t="str">
        <f t="array" ref="E540">IF(ISBLANK(XLOOKUP(E$3,daily_items,XLOOKUP($C540,daily_dates,big_daily_table))),NA(),XLOOKUP(E$3,daily_items,XLOOKUP($C540,daily_dates,big_daily_table)))</f>
        <v>#N/A</v>
      </c>
    </row>
    <row r="541" ht="14.25" customHeight="1">
      <c r="B541" s="7">
        <v>41446.0</v>
      </c>
      <c r="C541" s="7">
        <f t="shared" si="1"/>
        <v>41441</v>
      </c>
      <c r="D541" s="1" t="str">
        <f t="array" ref="D541">IF(ISBLANK(XLOOKUP(D$3,daily_items,XLOOKUP($C541,daily_dates,big_daily_table))),NA(),XLOOKUP(D$3,daily_items,XLOOKUP($C541,daily_dates,big_daily_table)))</f>
        <v>#N/A</v>
      </c>
      <c r="E541" s="1" t="str">
        <f t="array" ref="E541">IF(ISBLANK(XLOOKUP(E$3,daily_items,XLOOKUP($C541,daily_dates,big_daily_table))),NA(),XLOOKUP(E$3,daily_items,XLOOKUP($C541,daily_dates,big_daily_table)))</f>
        <v>#N/A</v>
      </c>
    </row>
    <row r="542" ht="14.25" customHeight="1">
      <c r="B542" s="7">
        <v>41447.0</v>
      </c>
      <c r="C542" s="7">
        <f t="shared" si="1"/>
        <v>41441</v>
      </c>
      <c r="D542" s="1" t="str">
        <f t="array" ref="D542">IF(ISBLANK(XLOOKUP(D$3,daily_items,XLOOKUP($C542,daily_dates,big_daily_table))),NA(),XLOOKUP(D$3,daily_items,XLOOKUP($C542,daily_dates,big_daily_table)))</f>
        <v>#N/A</v>
      </c>
      <c r="E542" s="1" t="str">
        <f t="array" ref="E542">IF(ISBLANK(XLOOKUP(E$3,daily_items,XLOOKUP($C542,daily_dates,big_daily_table))),NA(),XLOOKUP(E$3,daily_items,XLOOKUP($C542,daily_dates,big_daily_table)))</f>
        <v>#N/A</v>
      </c>
    </row>
    <row r="543" ht="14.25" customHeight="1">
      <c r="B543" s="7">
        <v>41448.0</v>
      </c>
      <c r="C543" s="7">
        <f t="shared" si="1"/>
        <v>41448</v>
      </c>
      <c r="D543" s="1" t="str">
        <f t="array" ref="D543">IF(ISBLANK(XLOOKUP(D$3,daily_items,XLOOKUP($C543,daily_dates,big_daily_table))),NA(),XLOOKUP(D$3,daily_items,XLOOKUP($C543,daily_dates,big_daily_table)))</f>
        <v>#N/A</v>
      </c>
      <c r="E543" s="1" t="str">
        <f t="array" ref="E543">IF(ISBLANK(XLOOKUP(E$3,daily_items,XLOOKUP($C543,daily_dates,big_daily_table))),NA(),XLOOKUP(E$3,daily_items,XLOOKUP($C543,daily_dates,big_daily_table)))</f>
        <v>#N/A</v>
      </c>
    </row>
    <row r="544" ht="14.25" customHeight="1">
      <c r="B544" s="7">
        <v>41449.0</v>
      </c>
      <c r="C544" s="7">
        <f t="shared" si="1"/>
        <v>41448</v>
      </c>
      <c r="D544" s="1" t="str">
        <f t="array" ref="D544">IF(ISBLANK(XLOOKUP(D$3,daily_items,XLOOKUP($C544,daily_dates,big_daily_table))),NA(),XLOOKUP(D$3,daily_items,XLOOKUP($C544,daily_dates,big_daily_table)))</f>
        <v>#N/A</v>
      </c>
      <c r="E544" s="1" t="str">
        <f t="array" ref="E544">IF(ISBLANK(XLOOKUP(E$3,daily_items,XLOOKUP($C544,daily_dates,big_daily_table))),NA(),XLOOKUP(E$3,daily_items,XLOOKUP($C544,daily_dates,big_daily_table)))</f>
        <v>#N/A</v>
      </c>
    </row>
    <row r="545" ht="14.25" customHeight="1">
      <c r="B545" s="7">
        <v>41450.0</v>
      </c>
      <c r="C545" s="7">
        <f t="shared" si="1"/>
        <v>41448</v>
      </c>
      <c r="D545" s="1" t="str">
        <f t="array" ref="D545">IF(ISBLANK(XLOOKUP(D$3,daily_items,XLOOKUP($C545,daily_dates,big_daily_table))),NA(),XLOOKUP(D$3,daily_items,XLOOKUP($C545,daily_dates,big_daily_table)))</f>
        <v>#N/A</v>
      </c>
      <c r="E545" s="1" t="str">
        <f t="array" ref="E545">IF(ISBLANK(XLOOKUP(E$3,daily_items,XLOOKUP($C545,daily_dates,big_daily_table))),NA(),XLOOKUP(E$3,daily_items,XLOOKUP($C545,daily_dates,big_daily_table)))</f>
        <v>#N/A</v>
      </c>
    </row>
    <row r="546" ht="14.25" customHeight="1">
      <c r="B546" s="7">
        <v>41451.0</v>
      </c>
      <c r="C546" s="7">
        <f t="shared" si="1"/>
        <v>41448</v>
      </c>
      <c r="D546" s="1" t="str">
        <f t="array" ref="D546">IF(ISBLANK(XLOOKUP(D$3,daily_items,XLOOKUP($C546,daily_dates,big_daily_table))),NA(),XLOOKUP(D$3,daily_items,XLOOKUP($C546,daily_dates,big_daily_table)))</f>
        <v>#N/A</v>
      </c>
      <c r="E546" s="1" t="str">
        <f t="array" ref="E546">IF(ISBLANK(XLOOKUP(E$3,daily_items,XLOOKUP($C546,daily_dates,big_daily_table))),NA(),XLOOKUP(E$3,daily_items,XLOOKUP($C546,daily_dates,big_daily_table)))</f>
        <v>#N/A</v>
      </c>
    </row>
    <row r="547" ht="14.25" customHeight="1">
      <c r="B547" s="7">
        <v>41452.0</v>
      </c>
      <c r="C547" s="7">
        <f t="shared" si="1"/>
        <v>41448</v>
      </c>
      <c r="D547" s="1" t="str">
        <f t="array" ref="D547">IF(ISBLANK(XLOOKUP(D$3,daily_items,XLOOKUP($C547,daily_dates,big_daily_table))),NA(),XLOOKUP(D$3,daily_items,XLOOKUP($C547,daily_dates,big_daily_table)))</f>
        <v>#N/A</v>
      </c>
      <c r="E547" s="1" t="str">
        <f t="array" ref="E547">IF(ISBLANK(XLOOKUP(E$3,daily_items,XLOOKUP($C547,daily_dates,big_daily_table))),NA(),XLOOKUP(E$3,daily_items,XLOOKUP($C547,daily_dates,big_daily_table)))</f>
        <v>#N/A</v>
      </c>
    </row>
    <row r="548" ht="14.25" customHeight="1">
      <c r="B548" s="7">
        <v>41453.0</v>
      </c>
      <c r="C548" s="7">
        <f t="shared" si="1"/>
        <v>41448</v>
      </c>
      <c r="D548" s="1" t="str">
        <f t="array" ref="D548">IF(ISBLANK(XLOOKUP(D$3,daily_items,XLOOKUP($C548,daily_dates,big_daily_table))),NA(),XLOOKUP(D$3,daily_items,XLOOKUP($C548,daily_dates,big_daily_table)))</f>
        <v>#N/A</v>
      </c>
      <c r="E548" s="1" t="str">
        <f t="array" ref="E548">IF(ISBLANK(XLOOKUP(E$3,daily_items,XLOOKUP($C548,daily_dates,big_daily_table))),NA(),XLOOKUP(E$3,daily_items,XLOOKUP($C548,daily_dates,big_daily_table)))</f>
        <v>#N/A</v>
      </c>
    </row>
    <row r="549" ht="14.25" customHeight="1">
      <c r="B549" s="7">
        <v>41454.0</v>
      </c>
      <c r="C549" s="7">
        <f t="shared" si="1"/>
        <v>41448</v>
      </c>
      <c r="D549" s="1" t="str">
        <f t="array" ref="D549">IF(ISBLANK(XLOOKUP(D$3,daily_items,XLOOKUP($C549,daily_dates,big_daily_table))),NA(),XLOOKUP(D$3,daily_items,XLOOKUP($C549,daily_dates,big_daily_table)))</f>
        <v>#N/A</v>
      </c>
      <c r="E549" s="1" t="str">
        <f t="array" ref="E549">IF(ISBLANK(XLOOKUP(E$3,daily_items,XLOOKUP($C549,daily_dates,big_daily_table))),NA(),XLOOKUP(E$3,daily_items,XLOOKUP($C549,daily_dates,big_daily_table)))</f>
        <v>#N/A</v>
      </c>
    </row>
    <row r="550" ht="14.25" customHeight="1">
      <c r="B550" s="7">
        <v>41455.0</v>
      </c>
      <c r="C550" s="7">
        <f t="shared" si="1"/>
        <v>41455</v>
      </c>
      <c r="D550" s="1" t="str">
        <f t="array" ref="D550">IF(ISBLANK(XLOOKUP(D$3,daily_items,XLOOKUP($C550,daily_dates,big_daily_table))),NA(),XLOOKUP(D$3,daily_items,XLOOKUP($C550,daily_dates,big_daily_table)))</f>
        <v>#N/A</v>
      </c>
      <c r="E550" s="1" t="str">
        <f t="array" ref="E550">IF(ISBLANK(XLOOKUP(E$3,daily_items,XLOOKUP($C550,daily_dates,big_daily_table))),NA(),XLOOKUP(E$3,daily_items,XLOOKUP($C550,daily_dates,big_daily_table)))</f>
        <v>#N/A</v>
      </c>
    </row>
    <row r="551" ht="14.25" customHeight="1">
      <c r="B551" s="7">
        <v>41456.0</v>
      </c>
      <c r="C551" s="7">
        <f t="shared" si="1"/>
        <v>41455</v>
      </c>
      <c r="D551" s="1" t="str">
        <f t="array" ref="D551">IF(ISBLANK(XLOOKUP(D$3,daily_items,XLOOKUP($C551,daily_dates,big_daily_table))),NA(),XLOOKUP(D$3,daily_items,XLOOKUP($C551,daily_dates,big_daily_table)))</f>
        <v>#N/A</v>
      </c>
      <c r="E551" s="1" t="str">
        <f t="array" ref="E551">IF(ISBLANK(XLOOKUP(E$3,daily_items,XLOOKUP($C551,daily_dates,big_daily_table))),NA(),XLOOKUP(E$3,daily_items,XLOOKUP($C551,daily_dates,big_daily_table)))</f>
        <v>#N/A</v>
      </c>
    </row>
    <row r="552" ht="14.25" customHeight="1">
      <c r="B552" s="7">
        <v>41457.0</v>
      </c>
      <c r="C552" s="7">
        <f t="shared" si="1"/>
        <v>41455</v>
      </c>
      <c r="D552" s="1" t="str">
        <f t="array" ref="D552">IF(ISBLANK(XLOOKUP(D$3,daily_items,XLOOKUP($C552,daily_dates,big_daily_table))),NA(),XLOOKUP(D$3,daily_items,XLOOKUP($C552,daily_dates,big_daily_table)))</f>
        <v>#N/A</v>
      </c>
      <c r="E552" s="1" t="str">
        <f t="array" ref="E552">IF(ISBLANK(XLOOKUP(E$3,daily_items,XLOOKUP($C552,daily_dates,big_daily_table))),NA(),XLOOKUP(E$3,daily_items,XLOOKUP($C552,daily_dates,big_daily_table)))</f>
        <v>#N/A</v>
      </c>
    </row>
    <row r="553" ht="14.25" customHeight="1">
      <c r="B553" s="7">
        <v>41458.0</v>
      </c>
      <c r="C553" s="7">
        <f t="shared" si="1"/>
        <v>41455</v>
      </c>
      <c r="D553" s="1" t="str">
        <f t="array" ref="D553">IF(ISBLANK(XLOOKUP(D$3,daily_items,XLOOKUP($C553,daily_dates,big_daily_table))),NA(),XLOOKUP(D$3,daily_items,XLOOKUP($C553,daily_dates,big_daily_table)))</f>
        <v>#N/A</v>
      </c>
      <c r="E553" s="1" t="str">
        <f t="array" ref="E553">IF(ISBLANK(XLOOKUP(E$3,daily_items,XLOOKUP($C553,daily_dates,big_daily_table))),NA(),XLOOKUP(E$3,daily_items,XLOOKUP($C553,daily_dates,big_daily_table)))</f>
        <v>#N/A</v>
      </c>
    </row>
    <row r="554" ht="14.25" customHeight="1">
      <c r="B554" s="7">
        <v>41459.0</v>
      </c>
      <c r="C554" s="7">
        <f t="shared" si="1"/>
        <v>41455</v>
      </c>
      <c r="D554" s="1" t="str">
        <f t="array" ref="D554">IF(ISBLANK(XLOOKUP(D$3,daily_items,XLOOKUP($C554,daily_dates,big_daily_table))),NA(),XLOOKUP(D$3,daily_items,XLOOKUP($C554,daily_dates,big_daily_table)))</f>
        <v>#N/A</v>
      </c>
      <c r="E554" s="1" t="str">
        <f t="array" ref="E554">IF(ISBLANK(XLOOKUP(E$3,daily_items,XLOOKUP($C554,daily_dates,big_daily_table))),NA(),XLOOKUP(E$3,daily_items,XLOOKUP($C554,daily_dates,big_daily_table)))</f>
        <v>#N/A</v>
      </c>
    </row>
    <row r="555" ht="14.25" customHeight="1">
      <c r="B555" s="7">
        <v>41460.0</v>
      </c>
      <c r="C555" s="7">
        <f t="shared" si="1"/>
        <v>41455</v>
      </c>
      <c r="D555" s="1" t="str">
        <f t="array" ref="D555">IF(ISBLANK(XLOOKUP(D$3,daily_items,XLOOKUP($C555,daily_dates,big_daily_table))),NA(),XLOOKUP(D$3,daily_items,XLOOKUP($C555,daily_dates,big_daily_table)))</f>
        <v>#N/A</v>
      </c>
      <c r="E555" s="1" t="str">
        <f t="array" ref="E555">IF(ISBLANK(XLOOKUP(E$3,daily_items,XLOOKUP($C555,daily_dates,big_daily_table))),NA(),XLOOKUP(E$3,daily_items,XLOOKUP($C555,daily_dates,big_daily_table)))</f>
        <v>#N/A</v>
      </c>
    </row>
    <row r="556" ht="14.25" customHeight="1">
      <c r="B556" s="7">
        <v>41461.0</v>
      </c>
      <c r="C556" s="7">
        <f t="shared" si="1"/>
        <v>41455</v>
      </c>
      <c r="D556" s="1" t="str">
        <f t="array" ref="D556">IF(ISBLANK(XLOOKUP(D$3,daily_items,XLOOKUP($C556,daily_dates,big_daily_table))),NA(),XLOOKUP(D$3,daily_items,XLOOKUP($C556,daily_dates,big_daily_table)))</f>
        <v>#N/A</v>
      </c>
      <c r="E556" s="1" t="str">
        <f t="array" ref="E556">IF(ISBLANK(XLOOKUP(E$3,daily_items,XLOOKUP($C556,daily_dates,big_daily_table))),NA(),XLOOKUP(E$3,daily_items,XLOOKUP($C556,daily_dates,big_daily_table)))</f>
        <v>#N/A</v>
      </c>
    </row>
    <row r="557" ht="14.25" customHeight="1">
      <c r="B557" s="7">
        <v>41462.0</v>
      </c>
      <c r="C557" s="7">
        <f t="shared" si="1"/>
        <v>41462</v>
      </c>
      <c r="D557" s="1" t="str">
        <f t="array" ref="D557">IF(ISBLANK(XLOOKUP(D$3,daily_items,XLOOKUP($C557,daily_dates,big_daily_table))),NA(),XLOOKUP(D$3,daily_items,XLOOKUP($C557,daily_dates,big_daily_table)))</f>
        <v>#N/A</v>
      </c>
      <c r="E557" s="1" t="str">
        <f t="array" ref="E557">IF(ISBLANK(XLOOKUP(E$3,daily_items,XLOOKUP($C557,daily_dates,big_daily_table))),NA(),XLOOKUP(E$3,daily_items,XLOOKUP($C557,daily_dates,big_daily_table)))</f>
        <v>#N/A</v>
      </c>
    </row>
    <row r="558" ht="14.25" customHeight="1">
      <c r="B558" s="7">
        <v>41463.0</v>
      </c>
      <c r="C558" s="7">
        <f t="shared" si="1"/>
        <v>41462</v>
      </c>
      <c r="D558" s="1" t="str">
        <f t="array" ref="D558">IF(ISBLANK(XLOOKUP(D$3,daily_items,XLOOKUP($C558,daily_dates,big_daily_table))),NA(),XLOOKUP(D$3,daily_items,XLOOKUP($C558,daily_dates,big_daily_table)))</f>
        <v>#N/A</v>
      </c>
      <c r="E558" s="1" t="str">
        <f t="array" ref="E558">IF(ISBLANK(XLOOKUP(E$3,daily_items,XLOOKUP($C558,daily_dates,big_daily_table))),NA(),XLOOKUP(E$3,daily_items,XLOOKUP($C558,daily_dates,big_daily_table)))</f>
        <v>#N/A</v>
      </c>
    </row>
    <row r="559" ht="14.25" customHeight="1">
      <c r="B559" s="7">
        <v>41464.0</v>
      </c>
      <c r="C559" s="7">
        <f t="shared" si="1"/>
        <v>41462</v>
      </c>
      <c r="D559" s="1" t="str">
        <f t="array" ref="D559">IF(ISBLANK(XLOOKUP(D$3,daily_items,XLOOKUP($C559,daily_dates,big_daily_table))),NA(),XLOOKUP(D$3,daily_items,XLOOKUP($C559,daily_dates,big_daily_table)))</f>
        <v>#N/A</v>
      </c>
      <c r="E559" s="1" t="str">
        <f t="array" ref="E559">IF(ISBLANK(XLOOKUP(E$3,daily_items,XLOOKUP($C559,daily_dates,big_daily_table))),NA(),XLOOKUP(E$3,daily_items,XLOOKUP($C559,daily_dates,big_daily_table)))</f>
        <v>#N/A</v>
      </c>
    </row>
    <row r="560" ht="14.25" customHeight="1">
      <c r="B560" s="7">
        <v>41465.0</v>
      </c>
      <c r="C560" s="7">
        <f t="shared" si="1"/>
        <v>41462</v>
      </c>
      <c r="D560" s="1" t="str">
        <f t="array" ref="D560">IF(ISBLANK(XLOOKUP(D$3,daily_items,XLOOKUP($C560,daily_dates,big_daily_table))),NA(),XLOOKUP(D$3,daily_items,XLOOKUP($C560,daily_dates,big_daily_table)))</f>
        <v>#N/A</v>
      </c>
      <c r="E560" s="1" t="str">
        <f t="array" ref="E560">IF(ISBLANK(XLOOKUP(E$3,daily_items,XLOOKUP($C560,daily_dates,big_daily_table))),NA(),XLOOKUP(E$3,daily_items,XLOOKUP($C560,daily_dates,big_daily_table)))</f>
        <v>#N/A</v>
      </c>
    </row>
    <row r="561" ht="14.25" customHeight="1">
      <c r="B561" s="7">
        <v>41466.0</v>
      </c>
      <c r="C561" s="7">
        <f t="shared" si="1"/>
        <v>41462</v>
      </c>
      <c r="D561" s="1" t="str">
        <f t="array" ref="D561">IF(ISBLANK(XLOOKUP(D$3,daily_items,XLOOKUP($C561,daily_dates,big_daily_table))),NA(),XLOOKUP(D$3,daily_items,XLOOKUP($C561,daily_dates,big_daily_table)))</f>
        <v>#N/A</v>
      </c>
      <c r="E561" s="1" t="str">
        <f t="array" ref="E561">IF(ISBLANK(XLOOKUP(E$3,daily_items,XLOOKUP($C561,daily_dates,big_daily_table))),NA(),XLOOKUP(E$3,daily_items,XLOOKUP($C561,daily_dates,big_daily_table)))</f>
        <v>#N/A</v>
      </c>
    </row>
    <row r="562" ht="14.25" customHeight="1">
      <c r="B562" s="7">
        <v>41467.0</v>
      </c>
      <c r="C562" s="7">
        <f t="shared" si="1"/>
        <v>41462</v>
      </c>
      <c r="D562" s="1" t="str">
        <f t="array" ref="D562">IF(ISBLANK(XLOOKUP(D$3,daily_items,XLOOKUP($C562,daily_dates,big_daily_table))),NA(),XLOOKUP(D$3,daily_items,XLOOKUP($C562,daily_dates,big_daily_table)))</f>
        <v>#N/A</v>
      </c>
      <c r="E562" s="1" t="str">
        <f t="array" ref="E562">IF(ISBLANK(XLOOKUP(E$3,daily_items,XLOOKUP($C562,daily_dates,big_daily_table))),NA(),XLOOKUP(E$3,daily_items,XLOOKUP($C562,daily_dates,big_daily_table)))</f>
        <v>#N/A</v>
      </c>
    </row>
    <row r="563" ht="14.25" customHeight="1">
      <c r="B563" s="7">
        <v>41468.0</v>
      </c>
      <c r="C563" s="7">
        <f t="shared" si="1"/>
        <v>41462</v>
      </c>
      <c r="D563" s="1" t="str">
        <f t="array" ref="D563">IF(ISBLANK(XLOOKUP(D$3,daily_items,XLOOKUP($C563,daily_dates,big_daily_table))),NA(),XLOOKUP(D$3,daily_items,XLOOKUP($C563,daily_dates,big_daily_table)))</f>
        <v>#N/A</v>
      </c>
      <c r="E563" s="1" t="str">
        <f t="array" ref="E563">IF(ISBLANK(XLOOKUP(E$3,daily_items,XLOOKUP($C563,daily_dates,big_daily_table))),NA(),XLOOKUP(E$3,daily_items,XLOOKUP($C563,daily_dates,big_daily_table)))</f>
        <v>#N/A</v>
      </c>
    </row>
    <row r="564" ht="14.25" customHeight="1">
      <c r="B564" s="7">
        <v>41469.0</v>
      </c>
      <c r="C564" s="7">
        <f t="shared" si="1"/>
        <v>41469</v>
      </c>
      <c r="D564" s="1" t="str">
        <f t="array" ref="D564">IF(ISBLANK(XLOOKUP(D$3,daily_items,XLOOKUP($C564,daily_dates,big_daily_table))),NA(),XLOOKUP(D$3,daily_items,XLOOKUP($C564,daily_dates,big_daily_table)))</f>
        <v>#N/A</v>
      </c>
      <c r="E564" s="1" t="str">
        <f t="array" ref="E564">IF(ISBLANK(XLOOKUP(E$3,daily_items,XLOOKUP($C564,daily_dates,big_daily_table))),NA(),XLOOKUP(E$3,daily_items,XLOOKUP($C564,daily_dates,big_daily_table)))</f>
        <v>#N/A</v>
      </c>
    </row>
    <row r="565" ht="14.25" customHeight="1">
      <c r="B565" s="7">
        <v>41470.0</v>
      </c>
      <c r="C565" s="7">
        <f t="shared" si="1"/>
        <v>41469</v>
      </c>
      <c r="D565" s="1" t="str">
        <f t="array" ref="D565">IF(ISBLANK(XLOOKUP(D$3,daily_items,XLOOKUP($C565,daily_dates,big_daily_table))),NA(),XLOOKUP(D$3,daily_items,XLOOKUP($C565,daily_dates,big_daily_table)))</f>
        <v>#N/A</v>
      </c>
      <c r="E565" s="1" t="str">
        <f t="array" ref="E565">IF(ISBLANK(XLOOKUP(E$3,daily_items,XLOOKUP($C565,daily_dates,big_daily_table))),NA(),XLOOKUP(E$3,daily_items,XLOOKUP($C565,daily_dates,big_daily_table)))</f>
        <v>#N/A</v>
      </c>
    </row>
    <row r="566" ht="14.25" customHeight="1">
      <c r="B566" s="7">
        <v>41471.0</v>
      </c>
      <c r="C566" s="7">
        <f t="shared" si="1"/>
        <v>41469</v>
      </c>
      <c r="D566" s="1" t="str">
        <f t="array" ref="D566">IF(ISBLANK(XLOOKUP(D$3,daily_items,XLOOKUP($C566,daily_dates,big_daily_table))),NA(),XLOOKUP(D$3,daily_items,XLOOKUP($C566,daily_dates,big_daily_table)))</f>
        <v>#N/A</v>
      </c>
      <c r="E566" s="1" t="str">
        <f t="array" ref="E566">IF(ISBLANK(XLOOKUP(E$3,daily_items,XLOOKUP($C566,daily_dates,big_daily_table))),NA(),XLOOKUP(E$3,daily_items,XLOOKUP($C566,daily_dates,big_daily_table)))</f>
        <v>#N/A</v>
      </c>
    </row>
    <row r="567" ht="14.25" customHeight="1">
      <c r="B567" s="7">
        <v>41472.0</v>
      </c>
      <c r="C567" s="7">
        <f t="shared" si="1"/>
        <v>41469</v>
      </c>
      <c r="D567" s="1" t="str">
        <f t="array" ref="D567">IF(ISBLANK(XLOOKUP(D$3,daily_items,XLOOKUP($C567,daily_dates,big_daily_table))),NA(),XLOOKUP(D$3,daily_items,XLOOKUP($C567,daily_dates,big_daily_table)))</f>
        <v>#N/A</v>
      </c>
      <c r="E567" s="1" t="str">
        <f t="array" ref="E567">IF(ISBLANK(XLOOKUP(E$3,daily_items,XLOOKUP($C567,daily_dates,big_daily_table))),NA(),XLOOKUP(E$3,daily_items,XLOOKUP($C567,daily_dates,big_daily_table)))</f>
        <v>#N/A</v>
      </c>
    </row>
    <row r="568" ht="14.25" customHeight="1">
      <c r="B568" s="7">
        <v>41473.0</v>
      </c>
      <c r="C568" s="7">
        <f t="shared" si="1"/>
        <v>41469</v>
      </c>
      <c r="D568" s="1" t="str">
        <f t="array" ref="D568">IF(ISBLANK(XLOOKUP(D$3,daily_items,XLOOKUP($C568,daily_dates,big_daily_table))),NA(),XLOOKUP(D$3,daily_items,XLOOKUP($C568,daily_dates,big_daily_table)))</f>
        <v>#N/A</v>
      </c>
      <c r="E568" s="1" t="str">
        <f t="array" ref="E568">IF(ISBLANK(XLOOKUP(E$3,daily_items,XLOOKUP($C568,daily_dates,big_daily_table))),NA(),XLOOKUP(E$3,daily_items,XLOOKUP($C568,daily_dates,big_daily_table)))</f>
        <v>#N/A</v>
      </c>
    </row>
    <row r="569" ht="14.25" customHeight="1">
      <c r="B569" s="7">
        <v>41474.0</v>
      </c>
      <c r="C569" s="7">
        <f t="shared" si="1"/>
        <v>41469</v>
      </c>
      <c r="D569" s="1" t="str">
        <f t="array" ref="D569">IF(ISBLANK(XLOOKUP(D$3,daily_items,XLOOKUP($C569,daily_dates,big_daily_table))),NA(),XLOOKUP(D$3,daily_items,XLOOKUP($C569,daily_dates,big_daily_table)))</f>
        <v>#N/A</v>
      </c>
      <c r="E569" s="1" t="str">
        <f t="array" ref="E569">IF(ISBLANK(XLOOKUP(E$3,daily_items,XLOOKUP($C569,daily_dates,big_daily_table))),NA(),XLOOKUP(E$3,daily_items,XLOOKUP($C569,daily_dates,big_daily_table)))</f>
        <v>#N/A</v>
      </c>
    </row>
    <row r="570" ht="14.25" customHeight="1">
      <c r="B570" s="7">
        <v>41475.0</v>
      </c>
      <c r="C570" s="7">
        <f t="shared" si="1"/>
        <v>41469</v>
      </c>
      <c r="D570" s="1" t="str">
        <f t="array" ref="D570">IF(ISBLANK(XLOOKUP(D$3,daily_items,XLOOKUP($C570,daily_dates,big_daily_table))),NA(),XLOOKUP(D$3,daily_items,XLOOKUP($C570,daily_dates,big_daily_table)))</f>
        <v>#N/A</v>
      </c>
      <c r="E570" s="1" t="str">
        <f t="array" ref="E570">IF(ISBLANK(XLOOKUP(E$3,daily_items,XLOOKUP($C570,daily_dates,big_daily_table))),NA(),XLOOKUP(E$3,daily_items,XLOOKUP($C570,daily_dates,big_daily_table)))</f>
        <v>#N/A</v>
      </c>
    </row>
    <row r="571" ht="14.25" customHeight="1">
      <c r="B571" s="7">
        <v>41476.0</v>
      </c>
      <c r="C571" s="7">
        <f t="shared" si="1"/>
        <v>41476</v>
      </c>
      <c r="D571" s="1" t="str">
        <f t="array" ref="D571">IF(ISBLANK(XLOOKUP(D$3,daily_items,XLOOKUP($C571,daily_dates,big_daily_table))),NA(),XLOOKUP(D$3,daily_items,XLOOKUP($C571,daily_dates,big_daily_table)))</f>
        <v>#N/A</v>
      </c>
      <c r="E571" s="1" t="str">
        <f t="array" ref="E571">IF(ISBLANK(XLOOKUP(E$3,daily_items,XLOOKUP($C571,daily_dates,big_daily_table))),NA(),XLOOKUP(E$3,daily_items,XLOOKUP($C571,daily_dates,big_daily_table)))</f>
        <v>#N/A</v>
      </c>
    </row>
    <row r="572" ht="14.25" customHeight="1">
      <c r="B572" s="7">
        <v>41477.0</v>
      </c>
      <c r="C572" s="7">
        <f t="shared" si="1"/>
        <v>41476</v>
      </c>
      <c r="D572" s="1" t="str">
        <f t="array" ref="D572">IF(ISBLANK(XLOOKUP(D$3,daily_items,XLOOKUP($C572,daily_dates,big_daily_table))),NA(),XLOOKUP(D$3,daily_items,XLOOKUP($C572,daily_dates,big_daily_table)))</f>
        <v>#N/A</v>
      </c>
      <c r="E572" s="1" t="str">
        <f t="array" ref="E572">IF(ISBLANK(XLOOKUP(E$3,daily_items,XLOOKUP($C572,daily_dates,big_daily_table))),NA(),XLOOKUP(E$3,daily_items,XLOOKUP($C572,daily_dates,big_daily_table)))</f>
        <v>#N/A</v>
      </c>
    </row>
    <row r="573" ht="14.25" customHeight="1">
      <c r="B573" s="7">
        <v>41478.0</v>
      </c>
      <c r="C573" s="7">
        <f t="shared" si="1"/>
        <v>41476</v>
      </c>
      <c r="D573" s="1" t="str">
        <f t="array" ref="D573">IF(ISBLANK(XLOOKUP(D$3,daily_items,XLOOKUP($C573,daily_dates,big_daily_table))),NA(),XLOOKUP(D$3,daily_items,XLOOKUP($C573,daily_dates,big_daily_table)))</f>
        <v>#N/A</v>
      </c>
      <c r="E573" s="1" t="str">
        <f t="array" ref="E573">IF(ISBLANK(XLOOKUP(E$3,daily_items,XLOOKUP($C573,daily_dates,big_daily_table))),NA(),XLOOKUP(E$3,daily_items,XLOOKUP($C573,daily_dates,big_daily_table)))</f>
        <v>#N/A</v>
      </c>
    </row>
    <row r="574" ht="14.25" customHeight="1">
      <c r="B574" s="7">
        <v>41479.0</v>
      </c>
      <c r="C574" s="7">
        <f t="shared" si="1"/>
        <v>41476</v>
      </c>
      <c r="D574" s="1" t="str">
        <f t="array" ref="D574">IF(ISBLANK(XLOOKUP(D$3,daily_items,XLOOKUP($C574,daily_dates,big_daily_table))),NA(),XLOOKUP(D$3,daily_items,XLOOKUP($C574,daily_dates,big_daily_table)))</f>
        <v>#N/A</v>
      </c>
      <c r="E574" s="1" t="str">
        <f t="array" ref="E574">IF(ISBLANK(XLOOKUP(E$3,daily_items,XLOOKUP($C574,daily_dates,big_daily_table))),NA(),XLOOKUP(E$3,daily_items,XLOOKUP($C574,daily_dates,big_daily_table)))</f>
        <v>#N/A</v>
      </c>
    </row>
    <row r="575" ht="14.25" customHeight="1">
      <c r="B575" s="7">
        <v>41480.0</v>
      </c>
      <c r="C575" s="7">
        <f t="shared" si="1"/>
        <v>41476</v>
      </c>
      <c r="D575" s="1" t="str">
        <f t="array" ref="D575">IF(ISBLANK(XLOOKUP(D$3,daily_items,XLOOKUP($C575,daily_dates,big_daily_table))),NA(),XLOOKUP(D$3,daily_items,XLOOKUP($C575,daily_dates,big_daily_table)))</f>
        <v>#N/A</v>
      </c>
      <c r="E575" s="1" t="str">
        <f t="array" ref="E575">IF(ISBLANK(XLOOKUP(E$3,daily_items,XLOOKUP($C575,daily_dates,big_daily_table))),NA(),XLOOKUP(E$3,daily_items,XLOOKUP($C575,daily_dates,big_daily_table)))</f>
        <v>#N/A</v>
      </c>
    </row>
    <row r="576" ht="14.25" customHeight="1">
      <c r="B576" s="7">
        <v>41481.0</v>
      </c>
      <c r="C576" s="7">
        <f t="shared" si="1"/>
        <v>41476</v>
      </c>
      <c r="D576" s="1" t="str">
        <f t="array" ref="D576">IF(ISBLANK(XLOOKUP(D$3,daily_items,XLOOKUP($C576,daily_dates,big_daily_table))),NA(),XLOOKUP(D$3,daily_items,XLOOKUP($C576,daily_dates,big_daily_table)))</f>
        <v>#N/A</v>
      </c>
      <c r="E576" s="1" t="str">
        <f t="array" ref="E576">IF(ISBLANK(XLOOKUP(E$3,daily_items,XLOOKUP($C576,daily_dates,big_daily_table))),NA(),XLOOKUP(E$3,daily_items,XLOOKUP($C576,daily_dates,big_daily_table)))</f>
        <v>#N/A</v>
      </c>
    </row>
    <row r="577" ht="14.25" customHeight="1">
      <c r="B577" s="7">
        <v>41482.0</v>
      </c>
      <c r="C577" s="7">
        <f t="shared" si="1"/>
        <v>41476</v>
      </c>
      <c r="D577" s="1" t="str">
        <f t="array" ref="D577">IF(ISBLANK(XLOOKUP(D$3,daily_items,XLOOKUP($C577,daily_dates,big_daily_table))),NA(),XLOOKUP(D$3,daily_items,XLOOKUP($C577,daily_dates,big_daily_table)))</f>
        <v>#N/A</v>
      </c>
      <c r="E577" s="1" t="str">
        <f t="array" ref="E577">IF(ISBLANK(XLOOKUP(E$3,daily_items,XLOOKUP($C577,daily_dates,big_daily_table))),NA(),XLOOKUP(E$3,daily_items,XLOOKUP($C577,daily_dates,big_daily_table)))</f>
        <v>#N/A</v>
      </c>
    </row>
    <row r="578" ht="14.25" customHeight="1">
      <c r="B578" s="7">
        <v>41483.0</v>
      </c>
      <c r="C578" s="7">
        <f t="shared" si="1"/>
        <v>41483</v>
      </c>
      <c r="D578" s="1" t="str">
        <f t="array" ref="D578">IF(ISBLANK(XLOOKUP(D$3,daily_items,XLOOKUP($C578,daily_dates,big_daily_table))),NA(),XLOOKUP(D$3,daily_items,XLOOKUP($C578,daily_dates,big_daily_table)))</f>
        <v>#N/A</v>
      </c>
      <c r="E578" s="1" t="str">
        <f t="array" ref="E578">IF(ISBLANK(XLOOKUP(E$3,daily_items,XLOOKUP($C578,daily_dates,big_daily_table))),NA(),XLOOKUP(E$3,daily_items,XLOOKUP($C578,daily_dates,big_daily_table)))</f>
        <v>#N/A</v>
      </c>
    </row>
    <row r="579" ht="14.25" customHeight="1">
      <c r="B579" s="7">
        <v>41484.0</v>
      </c>
      <c r="C579" s="7">
        <f t="shared" si="1"/>
        <v>41483</v>
      </c>
      <c r="D579" s="1" t="str">
        <f t="array" ref="D579">IF(ISBLANK(XLOOKUP(D$3,daily_items,XLOOKUP($C579,daily_dates,big_daily_table))),NA(),XLOOKUP(D$3,daily_items,XLOOKUP($C579,daily_dates,big_daily_table)))</f>
        <v>#N/A</v>
      </c>
      <c r="E579" s="1" t="str">
        <f t="array" ref="E579">IF(ISBLANK(XLOOKUP(E$3,daily_items,XLOOKUP($C579,daily_dates,big_daily_table))),NA(),XLOOKUP(E$3,daily_items,XLOOKUP($C579,daily_dates,big_daily_table)))</f>
        <v>#N/A</v>
      </c>
    </row>
    <row r="580" ht="14.25" customHeight="1">
      <c r="B580" s="7">
        <v>41485.0</v>
      </c>
      <c r="C580" s="7">
        <f t="shared" si="1"/>
        <v>41483</v>
      </c>
      <c r="D580" s="1" t="str">
        <f t="array" ref="D580">IF(ISBLANK(XLOOKUP(D$3,daily_items,XLOOKUP($C580,daily_dates,big_daily_table))),NA(),XLOOKUP(D$3,daily_items,XLOOKUP($C580,daily_dates,big_daily_table)))</f>
        <v>#N/A</v>
      </c>
      <c r="E580" s="1" t="str">
        <f t="array" ref="E580">IF(ISBLANK(XLOOKUP(E$3,daily_items,XLOOKUP($C580,daily_dates,big_daily_table))),NA(),XLOOKUP(E$3,daily_items,XLOOKUP($C580,daily_dates,big_daily_table)))</f>
        <v>#N/A</v>
      </c>
    </row>
    <row r="581" ht="14.25" customHeight="1">
      <c r="B581" s="7">
        <v>41486.0</v>
      </c>
      <c r="C581" s="7">
        <f t="shared" si="1"/>
        <v>41483</v>
      </c>
      <c r="D581" s="1" t="str">
        <f t="array" ref="D581">IF(ISBLANK(XLOOKUP(D$3,daily_items,XLOOKUP($C581,daily_dates,big_daily_table))),NA(),XLOOKUP(D$3,daily_items,XLOOKUP($C581,daily_dates,big_daily_table)))</f>
        <v>#N/A</v>
      </c>
      <c r="E581" s="1" t="str">
        <f t="array" ref="E581">IF(ISBLANK(XLOOKUP(E$3,daily_items,XLOOKUP($C581,daily_dates,big_daily_table))),NA(),XLOOKUP(E$3,daily_items,XLOOKUP($C581,daily_dates,big_daily_table)))</f>
        <v>#N/A</v>
      </c>
    </row>
    <row r="582" ht="14.25" customHeight="1">
      <c r="B582" s="7">
        <v>41487.0</v>
      </c>
      <c r="C582" s="7">
        <f t="shared" si="1"/>
        <v>41483</v>
      </c>
      <c r="D582" s="1" t="str">
        <f t="array" ref="D582">IF(ISBLANK(XLOOKUP(D$3,daily_items,XLOOKUP($C582,daily_dates,big_daily_table))),NA(),XLOOKUP(D$3,daily_items,XLOOKUP($C582,daily_dates,big_daily_table)))</f>
        <v>#N/A</v>
      </c>
      <c r="E582" s="1" t="str">
        <f t="array" ref="E582">IF(ISBLANK(XLOOKUP(E$3,daily_items,XLOOKUP($C582,daily_dates,big_daily_table))),NA(),XLOOKUP(E$3,daily_items,XLOOKUP($C582,daily_dates,big_daily_table)))</f>
        <v>#N/A</v>
      </c>
    </row>
    <row r="583" ht="14.25" customHeight="1">
      <c r="B583" s="7">
        <v>41488.0</v>
      </c>
      <c r="C583" s="7">
        <f t="shared" si="1"/>
        <v>41483</v>
      </c>
      <c r="D583" s="1" t="str">
        <f t="array" ref="D583">IF(ISBLANK(XLOOKUP(D$3,daily_items,XLOOKUP($C583,daily_dates,big_daily_table))),NA(),XLOOKUP(D$3,daily_items,XLOOKUP($C583,daily_dates,big_daily_table)))</f>
        <v>#N/A</v>
      </c>
      <c r="E583" s="1" t="str">
        <f t="array" ref="E583">IF(ISBLANK(XLOOKUP(E$3,daily_items,XLOOKUP($C583,daily_dates,big_daily_table))),NA(),XLOOKUP(E$3,daily_items,XLOOKUP($C583,daily_dates,big_daily_table)))</f>
        <v>#N/A</v>
      </c>
    </row>
    <row r="584" ht="14.25" customHeight="1">
      <c r="B584" s="7">
        <v>41489.0</v>
      </c>
      <c r="C584" s="7">
        <f t="shared" si="1"/>
        <v>41483</v>
      </c>
      <c r="D584" s="1" t="str">
        <f t="array" ref="D584">IF(ISBLANK(XLOOKUP(D$3,daily_items,XLOOKUP($C584,daily_dates,big_daily_table))),NA(),XLOOKUP(D$3,daily_items,XLOOKUP($C584,daily_dates,big_daily_table)))</f>
        <v>#N/A</v>
      </c>
      <c r="E584" s="1" t="str">
        <f t="array" ref="E584">IF(ISBLANK(XLOOKUP(E$3,daily_items,XLOOKUP($C584,daily_dates,big_daily_table))),NA(),XLOOKUP(E$3,daily_items,XLOOKUP($C584,daily_dates,big_daily_table)))</f>
        <v>#N/A</v>
      </c>
    </row>
    <row r="585" ht="14.25" customHeight="1">
      <c r="B585" s="7">
        <v>41490.0</v>
      </c>
      <c r="C585" s="7">
        <f t="shared" si="1"/>
        <v>41490</v>
      </c>
      <c r="D585" s="1" t="str">
        <f t="array" ref="D585">IF(ISBLANK(XLOOKUP(D$3,daily_items,XLOOKUP($C585,daily_dates,big_daily_table))),NA(),XLOOKUP(D$3,daily_items,XLOOKUP($C585,daily_dates,big_daily_table)))</f>
        <v>#N/A</v>
      </c>
      <c r="E585" s="1" t="str">
        <f t="array" ref="E585">IF(ISBLANK(XLOOKUP(E$3,daily_items,XLOOKUP($C585,daily_dates,big_daily_table))),NA(),XLOOKUP(E$3,daily_items,XLOOKUP($C585,daily_dates,big_daily_table)))</f>
        <v>#N/A</v>
      </c>
    </row>
    <row r="586" ht="14.25" customHeight="1">
      <c r="B586" s="7">
        <v>41491.0</v>
      </c>
      <c r="C586" s="7">
        <f t="shared" si="1"/>
        <v>41490</v>
      </c>
      <c r="D586" s="1" t="str">
        <f t="array" ref="D586">IF(ISBLANK(XLOOKUP(D$3,daily_items,XLOOKUP($C586,daily_dates,big_daily_table))),NA(),XLOOKUP(D$3,daily_items,XLOOKUP($C586,daily_dates,big_daily_table)))</f>
        <v>#N/A</v>
      </c>
      <c r="E586" s="1" t="str">
        <f t="array" ref="E586">IF(ISBLANK(XLOOKUP(E$3,daily_items,XLOOKUP($C586,daily_dates,big_daily_table))),NA(),XLOOKUP(E$3,daily_items,XLOOKUP($C586,daily_dates,big_daily_table)))</f>
        <v>#N/A</v>
      </c>
    </row>
    <row r="587" ht="14.25" customHeight="1">
      <c r="B587" s="7">
        <v>41492.0</v>
      </c>
      <c r="C587" s="7">
        <f t="shared" si="1"/>
        <v>41490</v>
      </c>
      <c r="D587" s="1" t="str">
        <f t="array" ref="D587">IF(ISBLANK(XLOOKUP(D$3,daily_items,XLOOKUP($C587,daily_dates,big_daily_table))),NA(),XLOOKUP(D$3,daily_items,XLOOKUP($C587,daily_dates,big_daily_table)))</f>
        <v>#N/A</v>
      </c>
      <c r="E587" s="1" t="str">
        <f t="array" ref="E587">IF(ISBLANK(XLOOKUP(E$3,daily_items,XLOOKUP($C587,daily_dates,big_daily_table))),NA(),XLOOKUP(E$3,daily_items,XLOOKUP($C587,daily_dates,big_daily_table)))</f>
        <v>#N/A</v>
      </c>
    </row>
    <row r="588" ht="14.25" customHeight="1">
      <c r="B588" s="7">
        <v>41493.0</v>
      </c>
      <c r="C588" s="7">
        <f t="shared" si="1"/>
        <v>41490</v>
      </c>
      <c r="D588" s="1" t="str">
        <f t="array" ref="D588">IF(ISBLANK(XLOOKUP(D$3,daily_items,XLOOKUP($C588,daily_dates,big_daily_table))),NA(),XLOOKUP(D$3,daily_items,XLOOKUP($C588,daily_dates,big_daily_table)))</f>
        <v>#N/A</v>
      </c>
      <c r="E588" s="1" t="str">
        <f t="array" ref="E588">IF(ISBLANK(XLOOKUP(E$3,daily_items,XLOOKUP($C588,daily_dates,big_daily_table))),NA(),XLOOKUP(E$3,daily_items,XLOOKUP($C588,daily_dates,big_daily_table)))</f>
        <v>#N/A</v>
      </c>
    </row>
    <row r="589" ht="14.25" customHeight="1">
      <c r="B589" s="7">
        <v>41494.0</v>
      </c>
      <c r="C589" s="7">
        <f t="shared" si="1"/>
        <v>41490</v>
      </c>
      <c r="D589" s="1" t="str">
        <f t="array" ref="D589">IF(ISBLANK(XLOOKUP(D$3,daily_items,XLOOKUP($C589,daily_dates,big_daily_table))),NA(),XLOOKUP(D$3,daily_items,XLOOKUP($C589,daily_dates,big_daily_table)))</f>
        <v>#N/A</v>
      </c>
      <c r="E589" s="1" t="str">
        <f t="array" ref="E589">IF(ISBLANK(XLOOKUP(E$3,daily_items,XLOOKUP($C589,daily_dates,big_daily_table))),NA(),XLOOKUP(E$3,daily_items,XLOOKUP($C589,daily_dates,big_daily_table)))</f>
        <v>#N/A</v>
      </c>
    </row>
    <row r="590" ht="14.25" customHeight="1">
      <c r="B590" s="7">
        <v>41495.0</v>
      </c>
      <c r="C590" s="7">
        <f t="shared" si="1"/>
        <v>41490</v>
      </c>
      <c r="D590" s="1" t="str">
        <f t="array" ref="D590">IF(ISBLANK(XLOOKUP(D$3,daily_items,XLOOKUP($C590,daily_dates,big_daily_table))),NA(),XLOOKUP(D$3,daily_items,XLOOKUP($C590,daily_dates,big_daily_table)))</f>
        <v>#N/A</v>
      </c>
      <c r="E590" s="1" t="str">
        <f t="array" ref="E590">IF(ISBLANK(XLOOKUP(E$3,daily_items,XLOOKUP($C590,daily_dates,big_daily_table))),NA(),XLOOKUP(E$3,daily_items,XLOOKUP($C590,daily_dates,big_daily_table)))</f>
        <v>#N/A</v>
      </c>
    </row>
    <row r="591" ht="14.25" customHeight="1">
      <c r="B591" s="7">
        <v>41496.0</v>
      </c>
      <c r="C591" s="7">
        <f t="shared" si="1"/>
        <v>41490</v>
      </c>
      <c r="D591" s="1" t="str">
        <f t="array" ref="D591">IF(ISBLANK(XLOOKUP(D$3,daily_items,XLOOKUP($C591,daily_dates,big_daily_table))),NA(),XLOOKUP(D$3,daily_items,XLOOKUP($C591,daily_dates,big_daily_table)))</f>
        <v>#N/A</v>
      </c>
      <c r="E591" s="1" t="str">
        <f t="array" ref="E591">IF(ISBLANK(XLOOKUP(E$3,daily_items,XLOOKUP($C591,daily_dates,big_daily_table))),NA(),XLOOKUP(E$3,daily_items,XLOOKUP($C591,daily_dates,big_daily_table)))</f>
        <v>#N/A</v>
      </c>
    </row>
    <row r="592" ht="14.25" customHeight="1">
      <c r="B592" s="7">
        <v>41497.0</v>
      </c>
      <c r="C592" s="7">
        <f t="shared" si="1"/>
        <v>41497</v>
      </c>
      <c r="D592" s="1" t="str">
        <f t="array" ref="D592">IF(ISBLANK(XLOOKUP(D$3,daily_items,XLOOKUP($C592,daily_dates,big_daily_table))),NA(),XLOOKUP(D$3,daily_items,XLOOKUP($C592,daily_dates,big_daily_table)))</f>
        <v>#N/A</v>
      </c>
      <c r="E592" s="1" t="str">
        <f t="array" ref="E592">IF(ISBLANK(XLOOKUP(E$3,daily_items,XLOOKUP($C592,daily_dates,big_daily_table))),NA(),XLOOKUP(E$3,daily_items,XLOOKUP($C592,daily_dates,big_daily_table)))</f>
        <v>#N/A</v>
      </c>
    </row>
    <row r="593" ht="14.25" customHeight="1">
      <c r="B593" s="7">
        <v>41498.0</v>
      </c>
      <c r="C593" s="7">
        <f t="shared" si="1"/>
        <v>41497</v>
      </c>
      <c r="D593" s="1" t="str">
        <f t="array" ref="D593">IF(ISBLANK(XLOOKUP(D$3,daily_items,XLOOKUP($C593,daily_dates,big_daily_table))),NA(),XLOOKUP(D$3,daily_items,XLOOKUP($C593,daily_dates,big_daily_table)))</f>
        <v>#N/A</v>
      </c>
      <c r="E593" s="1" t="str">
        <f t="array" ref="E593">IF(ISBLANK(XLOOKUP(E$3,daily_items,XLOOKUP($C593,daily_dates,big_daily_table))),NA(),XLOOKUP(E$3,daily_items,XLOOKUP($C593,daily_dates,big_daily_table)))</f>
        <v>#N/A</v>
      </c>
    </row>
    <row r="594" ht="14.25" customHeight="1">
      <c r="B594" s="7">
        <v>41499.0</v>
      </c>
      <c r="C594" s="7">
        <f t="shared" si="1"/>
        <v>41497</v>
      </c>
      <c r="D594" s="1" t="str">
        <f t="array" ref="D594">IF(ISBLANK(XLOOKUP(D$3,daily_items,XLOOKUP($C594,daily_dates,big_daily_table))),NA(),XLOOKUP(D$3,daily_items,XLOOKUP($C594,daily_dates,big_daily_table)))</f>
        <v>#N/A</v>
      </c>
      <c r="E594" s="1" t="str">
        <f t="array" ref="E594">IF(ISBLANK(XLOOKUP(E$3,daily_items,XLOOKUP($C594,daily_dates,big_daily_table))),NA(),XLOOKUP(E$3,daily_items,XLOOKUP($C594,daily_dates,big_daily_table)))</f>
        <v>#N/A</v>
      </c>
    </row>
    <row r="595" ht="14.25" customHeight="1">
      <c r="B595" s="7">
        <v>41500.0</v>
      </c>
      <c r="C595" s="7">
        <f t="shared" si="1"/>
        <v>41497</v>
      </c>
      <c r="D595" s="1" t="str">
        <f t="array" ref="D595">IF(ISBLANK(XLOOKUP(D$3,daily_items,XLOOKUP($C595,daily_dates,big_daily_table))),NA(),XLOOKUP(D$3,daily_items,XLOOKUP($C595,daily_dates,big_daily_table)))</f>
        <v>#N/A</v>
      </c>
      <c r="E595" s="1" t="str">
        <f t="array" ref="E595">IF(ISBLANK(XLOOKUP(E$3,daily_items,XLOOKUP($C595,daily_dates,big_daily_table))),NA(),XLOOKUP(E$3,daily_items,XLOOKUP($C595,daily_dates,big_daily_table)))</f>
        <v>#N/A</v>
      </c>
    </row>
    <row r="596" ht="14.25" customHeight="1">
      <c r="B596" s="7">
        <v>41501.0</v>
      </c>
      <c r="C596" s="7">
        <f t="shared" si="1"/>
        <v>41497</v>
      </c>
      <c r="D596" s="1" t="str">
        <f t="array" ref="D596">IF(ISBLANK(XLOOKUP(D$3,daily_items,XLOOKUP($C596,daily_dates,big_daily_table))),NA(),XLOOKUP(D$3,daily_items,XLOOKUP($C596,daily_dates,big_daily_table)))</f>
        <v>#N/A</v>
      </c>
      <c r="E596" s="1" t="str">
        <f t="array" ref="E596">IF(ISBLANK(XLOOKUP(E$3,daily_items,XLOOKUP($C596,daily_dates,big_daily_table))),NA(),XLOOKUP(E$3,daily_items,XLOOKUP($C596,daily_dates,big_daily_table)))</f>
        <v>#N/A</v>
      </c>
    </row>
    <row r="597" ht="14.25" customHeight="1">
      <c r="B597" s="7">
        <v>41502.0</v>
      </c>
      <c r="C597" s="7">
        <f t="shared" si="1"/>
        <v>41497</v>
      </c>
      <c r="D597" s="1" t="str">
        <f t="array" ref="D597">IF(ISBLANK(XLOOKUP(D$3,daily_items,XLOOKUP($C597,daily_dates,big_daily_table))),NA(),XLOOKUP(D$3,daily_items,XLOOKUP($C597,daily_dates,big_daily_table)))</f>
        <v>#N/A</v>
      </c>
      <c r="E597" s="1" t="str">
        <f t="array" ref="E597">IF(ISBLANK(XLOOKUP(E$3,daily_items,XLOOKUP($C597,daily_dates,big_daily_table))),NA(),XLOOKUP(E$3,daily_items,XLOOKUP($C597,daily_dates,big_daily_table)))</f>
        <v>#N/A</v>
      </c>
    </row>
    <row r="598" ht="14.25" customHeight="1">
      <c r="B598" s="7">
        <v>41503.0</v>
      </c>
      <c r="C598" s="7">
        <f t="shared" si="1"/>
        <v>41497</v>
      </c>
      <c r="D598" s="1" t="str">
        <f t="array" ref="D598">IF(ISBLANK(XLOOKUP(D$3,daily_items,XLOOKUP($C598,daily_dates,big_daily_table))),NA(),XLOOKUP(D$3,daily_items,XLOOKUP($C598,daily_dates,big_daily_table)))</f>
        <v>#N/A</v>
      </c>
      <c r="E598" s="1" t="str">
        <f t="array" ref="E598">IF(ISBLANK(XLOOKUP(E$3,daily_items,XLOOKUP($C598,daily_dates,big_daily_table))),NA(),XLOOKUP(E$3,daily_items,XLOOKUP($C598,daily_dates,big_daily_table)))</f>
        <v>#N/A</v>
      </c>
    </row>
    <row r="599" ht="14.25" customHeight="1">
      <c r="B599" s="7">
        <v>41504.0</v>
      </c>
      <c r="C599" s="7">
        <f t="shared" si="1"/>
        <v>41504</v>
      </c>
      <c r="D599" s="1" t="str">
        <f t="array" ref="D599">IF(ISBLANK(XLOOKUP(D$3,daily_items,XLOOKUP($C599,daily_dates,big_daily_table))),NA(),XLOOKUP(D$3,daily_items,XLOOKUP($C599,daily_dates,big_daily_table)))</f>
        <v>#N/A</v>
      </c>
      <c r="E599" s="1" t="str">
        <f t="array" ref="E599">IF(ISBLANK(XLOOKUP(E$3,daily_items,XLOOKUP($C599,daily_dates,big_daily_table))),NA(),XLOOKUP(E$3,daily_items,XLOOKUP($C599,daily_dates,big_daily_table)))</f>
        <v>#N/A</v>
      </c>
    </row>
    <row r="600" ht="14.25" customHeight="1">
      <c r="B600" s="7">
        <v>41505.0</v>
      </c>
      <c r="C600" s="7">
        <f t="shared" si="1"/>
        <v>41504</v>
      </c>
      <c r="D600" s="1" t="str">
        <f t="array" ref="D600">IF(ISBLANK(XLOOKUP(D$3,daily_items,XLOOKUP($C600,daily_dates,big_daily_table))),NA(),XLOOKUP(D$3,daily_items,XLOOKUP($C600,daily_dates,big_daily_table)))</f>
        <v>#N/A</v>
      </c>
      <c r="E600" s="1" t="str">
        <f t="array" ref="E600">IF(ISBLANK(XLOOKUP(E$3,daily_items,XLOOKUP($C600,daily_dates,big_daily_table))),NA(),XLOOKUP(E$3,daily_items,XLOOKUP($C600,daily_dates,big_daily_table)))</f>
        <v>#N/A</v>
      </c>
    </row>
    <row r="601" ht="14.25" customHeight="1">
      <c r="B601" s="7">
        <v>41506.0</v>
      </c>
      <c r="C601" s="7">
        <f t="shared" si="1"/>
        <v>41504</v>
      </c>
      <c r="D601" s="1" t="str">
        <f t="array" ref="D601">IF(ISBLANK(XLOOKUP(D$3,daily_items,XLOOKUP($C601,daily_dates,big_daily_table))),NA(),XLOOKUP(D$3,daily_items,XLOOKUP($C601,daily_dates,big_daily_table)))</f>
        <v>#N/A</v>
      </c>
      <c r="E601" s="1" t="str">
        <f t="array" ref="E601">IF(ISBLANK(XLOOKUP(E$3,daily_items,XLOOKUP($C601,daily_dates,big_daily_table))),NA(),XLOOKUP(E$3,daily_items,XLOOKUP($C601,daily_dates,big_daily_table)))</f>
        <v>#N/A</v>
      </c>
    </row>
    <row r="602" ht="14.25" customHeight="1">
      <c r="B602" s="7">
        <v>41507.0</v>
      </c>
      <c r="C602" s="7">
        <f t="shared" si="1"/>
        <v>41504</v>
      </c>
      <c r="D602" s="1" t="str">
        <f t="array" ref="D602">IF(ISBLANK(XLOOKUP(D$3,daily_items,XLOOKUP($C602,daily_dates,big_daily_table))),NA(),XLOOKUP(D$3,daily_items,XLOOKUP($C602,daily_dates,big_daily_table)))</f>
        <v>#N/A</v>
      </c>
      <c r="E602" s="1" t="str">
        <f t="array" ref="E602">IF(ISBLANK(XLOOKUP(E$3,daily_items,XLOOKUP($C602,daily_dates,big_daily_table))),NA(),XLOOKUP(E$3,daily_items,XLOOKUP($C602,daily_dates,big_daily_table)))</f>
        <v>#N/A</v>
      </c>
    </row>
    <row r="603" ht="14.25" customHeight="1">
      <c r="B603" s="7">
        <v>41508.0</v>
      </c>
      <c r="C603" s="7">
        <f t="shared" si="1"/>
        <v>41504</v>
      </c>
      <c r="D603" s="1" t="str">
        <f t="array" ref="D603">IF(ISBLANK(XLOOKUP(D$3,daily_items,XLOOKUP($C603,daily_dates,big_daily_table))),NA(),XLOOKUP(D$3,daily_items,XLOOKUP($C603,daily_dates,big_daily_table)))</f>
        <v>#N/A</v>
      </c>
      <c r="E603" s="1" t="str">
        <f t="array" ref="E603">IF(ISBLANK(XLOOKUP(E$3,daily_items,XLOOKUP($C603,daily_dates,big_daily_table))),NA(),XLOOKUP(E$3,daily_items,XLOOKUP($C603,daily_dates,big_daily_table)))</f>
        <v>#N/A</v>
      </c>
    </row>
    <row r="604" ht="14.25" customHeight="1">
      <c r="B604" s="7">
        <v>41509.0</v>
      </c>
      <c r="C604" s="7">
        <f t="shared" si="1"/>
        <v>41504</v>
      </c>
      <c r="D604" s="1" t="str">
        <f t="array" ref="D604">IF(ISBLANK(XLOOKUP(D$3,daily_items,XLOOKUP($C604,daily_dates,big_daily_table))),NA(),XLOOKUP(D$3,daily_items,XLOOKUP($C604,daily_dates,big_daily_table)))</f>
        <v>#N/A</v>
      </c>
      <c r="E604" s="1" t="str">
        <f t="array" ref="E604">IF(ISBLANK(XLOOKUP(E$3,daily_items,XLOOKUP($C604,daily_dates,big_daily_table))),NA(),XLOOKUP(E$3,daily_items,XLOOKUP($C604,daily_dates,big_daily_table)))</f>
        <v>#N/A</v>
      </c>
    </row>
    <row r="605" ht="14.25" customHeight="1">
      <c r="B605" s="7">
        <v>41510.0</v>
      </c>
      <c r="C605" s="7">
        <f t="shared" si="1"/>
        <v>41504</v>
      </c>
      <c r="D605" s="1" t="str">
        <f t="array" ref="D605">IF(ISBLANK(XLOOKUP(D$3,daily_items,XLOOKUP($C605,daily_dates,big_daily_table))),NA(),XLOOKUP(D$3,daily_items,XLOOKUP($C605,daily_dates,big_daily_table)))</f>
        <v>#N/A</v>
      </c>
      <c r="E605" s="1" t="str">
        <f t="array" ref="E605">IF(ISBLANK(XLOOKUP(E$3,daily_items,XLOOKUP($C605,daily_dates,big_daily_table))),NA(),XLOOKUP(E$3,daily_items,XLOOKUP($C605,daily_dates,big_daily_table)))</f>
        <v>#N/A</v>
      </c>
    </row>
    <row r="606" ht="14.25" customHeight="1">
      <c r="B606" s="7">
        <v>41511.0</v>
      </c>
      <c r="C606" s="7">
        <f t="shared" si="1"/>
        <v>41511</v>
      </c>
      <c r="D606" s="1" t="str">
        <f t="array" ref="D606">IF(ISBLANK(XLOOKUP(D$3,daily_items,XLOOKUP($C606,daily_dates,big_daily_table))),NA(),XLOOKUP(D$3,daily_items,XLOOKUP($C606,daily_dates,big_daily_table)))</f>
        <v>#N/A</v>
      </c>
      <c r="E606" s="1" t="str">
        <f t="array" ref="E606">IF(ISBLANK(XLOOKUP(E$3,daily_items,XLOOKUP($C606,daily_dates,big_daily_table))),NA(),XLOOKUP(E$3,daily_items,XLOOKUP($C606,daily_dates,big_daily_table)))</f>
        <v>#N/A</v>
      </c>
    </row>
    <row r="607" ht="14.25" customHeight="1">
      <c r="B607" s="7">
        <v>41512.0</v>
      </c>
      <c r="C607" s="7">
        <f t="shared" si="1"/>
        <v>41511</v>
      </c>
      <c r="D607" s="1" t="str">
        <f t="array" ref="D607">IF(ISBLANK(XLOOKUP(D$3,daily_items,XLOOKUP($C607,daily_dates,big_daily_table))),NA(),XLOOKUP(D$3,daily_items,XLOOKUP($C607,daily_dates,big_daily_table)))</f>
        <v>#N/A</v>
      </c>
      <c r="E607" s="1" t="str">
        <f t="array" ref="E607">IF(ISBLANK(XLOOKUP(E$3,daily_items,XLOOKUP($C607,daily_dates,big_daily_table))),NA(),XLOOKUP(E$3,daily_items,XLOOKUP($C607,daily_dates,big_daily_table)))</f>
        <v>#N/A</v>
      </c>
    </row>
    <row r="608" ht="14.25" customHeight="1">
      <c r="B608" s="7">
        <v>41513.0</v>
      </c>
      <c r="C608" s="7">
        <f t="shared" si="1"/>
        <v>41511</v>
      </c>
      <c r="D608" s="1" t="str">
        <f t="array" ref="D608">IF(ISBLANK(XLOOKUP(D$3,daily_items,XLOOKUP($C608,daily_dates,big_daily_table))),NA(),XLOOKUP(D$3,daily_items,XLOOKUP($C608,daily_dates,big_daily_table)))</f>
        <v>#N/A</v>
      </c>
      <c r="E608" s="1" t="str">
        <f t="array" ref="E608">IF(ISBLANK(XLOOKUP(E$3,daily_items,XLOOKUP($C608,daily_dates,big_daily_table))),NA(),XLOOKUP(E$3,daily_items,XLOOKUP($C608,daily_dates,big_daily_table)))</f>
        <v>#N/A</v>
      </c>
    </row>
    <row r="609" ht="14.25" customHeight="1">
      <c r="B609" s="7">
        <v>41514.0</v>
      </c>
      <c r="C609" s="7">
        <f t="shared" si="1"/>
        <v>41511</v>
      </c>
      <c r="D609" s="1" t="str">
        <f t="array" ref="D609">IF(ISBLANK(XLOOKUP(D$3,daily_items,XLOOKUP($C609,daily_dates,big_daily_table))),NA(),XLOOKUP(D$3,daily_items,XLOOKUP($C609,daily_dates,big_daily_table)))</f>
        <v>#N/A</v>
      </c>
      <c r="E609" s="1" t="str">
        <f t="array" ref="E609">IF(ISBLANK(XLOOKUP(E$3,daily_items,XLOOKUP($C609,daily_dates,big_daily_table))),NA(),XLOOKUP(E$3,daily_items,XLOOKUP($C609,daily_dates,big_daily_table)))</f>
        <v>#N/A</v>
      </c>
    </row>
    <row r="610" ht="14.25" customHeight="1">
      <c r="B610" s="7">
        <v>41515.0</v>
      </c>
      <c r="C610" s="7">
        <f t="shared" si="1"/>
        <v>41511</v>
      </c>
      <c r="D610" s="1" t="str">
        <f t="array" ref="D610">IF(ISBLANK(XLOOKUP(D$3,daily_items,XLOOKUP($C610,daily_dates,big_daily_table))),NA(),XLOOKUP(D$3,daily_items,XLOOKUP($C610,daily_dates,big_daily_table)))</f>
        <v>#N/A</v>
      </c>
      <c r="E610" s="1" t="str">
        <f t="array" ref="E610">IF(ISBLANK(XLOOKUP(E$3,daily_items,XLOOKUP($C610,daily_dates,big_daily_table))),NA(),XLOOKUP(E$3,daily_items,XLOOKUP($C610,daily_dates,big_daily_table)))</f>
        <v>#N/A</v>
      </c>
    </row>
    <row r="611" ht="14.25" customHeight="1">
      <c r="B611" s="7">
        <v>41516.0</v>
      </c>
      <c r="C611" s="7">
        <f t="shared" si="1"/>
        <v>41511</v>
      </c>
      <c r="D611" s="1" t="str">
        <f t="array" ref="D611">IF(ISBLANK(XLOOKUP(D$3,daily_items,XLOOKUP($C611,daily_dates,big_daily_table))),NA(),XLOOKUP(D$3,daily_items,XLOOKUP($C611,daily_dates,big_daily_table)))</f>
        <v>#N/A</v>
      </c>
      <c r="E611" s="1" t="str">
        <f t="array" ref="E611">IF(ISBLANK(XLOOKUP(E$3,daily_items,XLOOKUP($C611,daily_dates,big_daily_table))),NA(),XLOOKUP(E$3,daily_items,XLOOKUP($C611,daily_dates,big_daily_table)))</f>
        <v>#N/A</v>
      </c>
    </row>
    <row r="612" ht="14.25" customHeight="1">
      <c r="B612" s="7">
        <v>41517.0</v>
      </c>
      <c r="C612" s="7">
        <f t="shared" si="1"/>
        <v>41511</v>
      </c>
      <c r="D612" s="1" t="str">
        <f t="array" ref="D612">IF(ISBLANK(XLOOKUP(D$3,daily_items,XLOOKUP($C612,daily_dates,big_daily_table))),NA(),XLOOKUP(D$3,daily_items,XLOOKUP($C612,daily_dates,big_daily_table)))</f>
        <v>#N/A</v>
      </c>
      <c r="E612" s="1" t="str">
        <f t="array" ref="E612">IF(ISBLANK(XLOOKUP(E$3,daily_items,XLOOKUP($C612,daily_dates,big_daily_table))),NA(),XLOOKUP(E$3,daily_items,XLOOKUP($C612,daily_dates,big_daily_table)))</f>
        <v>#N/A</v>
      </c>
    </row>
    <row r="613" ht="14.25" customHeight="1">
      <c r="B613" s="7">
        <v>41518.0</v>
      </c>
      <c r="C613" s="7">
        <f t="shared" si="1"/>
        <v>41518</v>
      </c>
      <c r="D613" s="1" t="str">
        <f t="array" ref="D613">IF(ISBLANK(XLOOKUP(D$3,daily_items,XLOOKUP($C613,daily_dates,big_daily_table))),NA(),XLOOKUP(D$3,daily_items,XLOOKUP($C613,daily_dates,big_daily_table)))</f>
        <v>#N/A</v>
      </c>
      <c r="E613" s="1" t="str">
        <f t="array" ref="E613">IF(ISBLANK(XLOOKUP(E$3,daily_items,XLOOKUP($C613,daily_dates,big_daily_table))),NA(),XLOOKUP(E$3,daily_items,XLOOKUP($C613,daily_dates,big_daily_table)))</f>
        <v>#N/A</v>
      </c>
    </row>
    <row r="614" ht="14.25" customHeight="1">
      <c r="B614" s="7">
        <v>41519.0</v>
      </c>
      <c r="C614" s="7">
        <f t="shared" si="1"/>
        <v>41518</v>
      </c>
      <c r="D614" s="1" t="str">
        <f t="array" ref="D614">IF(ISBLANK(XLOOKUP(D$3,daily_items,XLOOKUP($C614,daily_dates,big_daily_table))),NA(),XLOOKUP(D$3,daily_items,XLOOKUP($C614,daily_dates,big_daily_table)))</f>
        <v>#N/A</v>
      </c>
      <c r="E614" s="1" t="str">
        <f t="array" ref="E614">IF(ISBLANK(XLOOKUP(E$3,daily_items,XLOOKUP($C614,daily_dates,big_daily_table))),NA(),XLOOKUP(E$3,daily_items,XLOOKUP($C614,daily_dates,big_daily_table)))</f>
        <v>#N/A</v>
      </c>
    </row>
    <row r="615" ht="14.25" customHeight="1">
      <c r="B615" s="7">
        <v>41520.0</v>
      </c>
      <c r="C615" s="7">
        <f t="shared" si="1"/>
        <v>41518</v>
      </c>
      <c r="D615" s="1" t="str">
        <f t="array" ref="D615">IF(ISBLANK(XLOOKUP(D$3,daily_items,XLOOKUP($C615,daily_dates,big_daily_table))),NA(),XLOOKUP(D$3,daily_items,XLOOKUP($C615,daily_dates,big_daily_table)))</f>
        <v>#N/A</v>
      </c>
      <c r="E615" s="1" t="str">
        <f t="array" ref="E615">IF(ISBLANK(XLOOKUP(E$3,daily_items,XLOOKUP($C615,daily_dates,big_daily_table))),NA(),XLOOKUP(E$3,daily_items,XLOOKUP($C615,daily_dates,big_daily_table)))</f>
        <v>#N/A</v>
      </c>
    </row>
    <row r="616" ht="14.25" customHeight="1">
      <c r="B616" s="7">
        <v>41521.0</v>
      </c>
      <c r="C616" s="7">
        <f t="shared" si="1"/>
        <v>41518</v>
      </c>
      <c r="D616" s="1" t="str">
        <f t="array" ref="D616">IF(ISBLANK(XLOOKUP(D$3,daily_items,XLOOKUP($C616,daily_dates,big_daily_table))),NA(),XLOOKUP(D$3,daily_items,XLOOKUP($C616,daily_dates,big_daily_table)))</f>
        <v>#N/A</v>
      </c>
      <c r="E616" s="1" t="str">
        <f t="array" ref="E616">IF(ISBLANK(XLOOKUP(E$3,daily_items,XLOOKUP($C616,daily_dates,big_daily_table))),NA(),XLOOKUP(E$3,daily_items,XLOOKUP($C616,daily_dates,big_daily_table)))</f>
        <v>#N/A</v>
      </c>
    </row>
    <row r="617" ht="14.25" customHeight="1">
      <c r="B617" s="7">
        <v>41522.0</v>
      </c>
      <c r="C617" s="7">
        <f t="shared" si="1"/>
        <v>41518</v>
      </c>
      <c r="D617" s="1" t="str">
        <f t="array" ref="D617">IF(ISBLANK(XLOOKUP(D$3,daily_items,XLOOKUP($C617,daily_dates,big_daily_table))),NA(),XLOOKUP(D$3,daily_items,XLOOKUP($C617,daily_dates,big_daily_table)))</f>
        <v>#N/A</v>
      </c>
      <c r="E617" s="1" t="str">
        <f t="array" ref="E617">IF(ISBLANK(XLOOKUP(E$3,daily_items,XLOOKUP($C617,daily_dates,big_daily_table))),NA(),XLOOKUP(E$3,daily_items,XLOOKUP($C617,daily_dates,big_daily_table)))</f>
        <v>#N/A</v>
      </c>
    </row>
    <row r="618" ht="14.25" customHeight="1">
      <c r="B618" s="7">
        <v>41523.0</v>
      </c>
      <c r="C618" s="7">
        <f t="shared" si="1"/>
        <v>41518</v>
      </c>
      <c r="D618" s="1" t="str">
        <f t="array" ref="D618">IF(ISBLANK(XLOOKUP(D$3,daily_items,XLOOKUP($C618,daily_dates,big_daily_table))),NA(),XLOOKUP(D$3,daily_items,XLOOKUP($C618,daily_dates,big_daily_table)))</f>
        <v>#N/A</v>
      </c>
      <c r="E618" s="1" t="str">
        <f t="array" ref="E618">IF(ISBLANK(XLOOKUP(E$3,daily_items,XLOOKUP($C618,daily_dates,big_daily_table))),NA(),XLOOKUP(E$3,daily_items,XLOOKUP($C618,daily_dates,big_daily_table)))</f>
        <v>#N/A</v>
      </c>
    </row>
    <row r="619" ht="14.25" customHeight="1">
      <c r="B619" s="7">
        <v>41524.0</v>
      </c>
      <c r="C619" s="7">
        <f t="shared" si="1"/>
        <v>41518</v>
      </c>
      <c r="D619" s="1" t="str">
        <f t="array" ref="D619">IF(ISBLANK(XLOOKUP(D$3,daily_items,XLOOKUP($C619,daily_dates,big_daily_table))),NA(),XLOOKUP(D$3,daily_items,XLOOKUP($C619,daily_dates,big_daily_table)))</f>
        <v>#N/A</v>
      </c>
      <c r="E619" s="1" t="str">
        <f t="array" ref="E619">IF(ISBLANK(XLOOKUP(E$3,daily_items,XLOOKUP($C619,daily_dates,big_daily_table))),NA(),XLOOKUP(E$3,daily_items,XLOOKUP($C619,daily_dates,big_daily_table)))</f>
        <v>#N/A</v>
      </c>
    </row>
    <row r="620" ht="14.25" customHeight="1">
      <c r="B620" s="7">
        <v>41525.0</v>
      </c>
      <c r="C620" s="7">
        <f t="shared" si="1"/>
        <v>41525</v>
      </c>
      <c r="D620" s="1" t="str">
        <f t="array" ref="D620">IF(ISBLANK(XLOOKUP(D$3,daily_items,XLOOKUP($C620,daily_dates,big_daily_table))),NA(),XLOOKUP(D$3,daily_items,XLOOKUP($C620,daily_dates,big_daily_table)))</f>
        <v>#N/A</v>
      </c>
      <c r="E620" s="1" t="str">
        <f t="array" ref="E620">IF(ISBLANK(XLOOKUP(E$3,daily_items,XLOOKUP($C620,daily_dates,big_daily_table))),NA(),XLOOKUP(E$3,daily_items,XLOOKUP($C620,daily_dates,big_daily_table)))</f>
        <v>#N/A</v>
      </c>
    </row>
    <row r="621" ht="14.25" customHeight="1">
      <c r="B621" s="7">
        <v>41526.0</v>
      </c>
      <c r="C621" s="7">
        <f t="shared" si="1"/>
        <v>41525</v>
      </c>
      <c r="D621" s="1" t="str">
        <f t="array" ref="D621">IF(ISBLANK(XLOOKUP(D$3,daily_items,XLOOKUP($C621,daily_dates,big_daily_table))),NA(),XLOOKUP(D$3,daily_items,XLOOKUP($C621,daily_dates,big_daily_table)))</f>
        <v>#N/A</v>
      </c>
      <c r="E621" s="1" t="str">
        <f t="array" ref="E621">IF(ISBLANK(XLOOKUP(E$3,daily_items,XLOOKUP($C621,daily_dates,big_daily_table))),NA(),XLOOKUP(E$3,daily_items,XLOOKUP($C621,daily_dates,big_daily_table)))</f>
        <v>#N/A</v>
      </c>
    </row>
    <row r="622" ht="14.25" customHeight="1">
      <c r="B622" s="7">
        <v>41527.0</v>
      </c>
      <c r="C622" s="7">
        <f t="shared" si="1"/>
        <v>41525</v>
      </c>
      <c r="D622" s="1" t="str">
        <f t="array" ref="D622">IF(ISBLANK(XLOOKUP(D$3,daily_items,XLOOKUP($C622,daily_dates,big_daily_table))),NA(),XLOOKUP(D$3,daily_items,XLOOKUP($C622,daily_dates,big_daily_table)))</f>
        <v>#N/A</v>
      </c>
      <c r="E622" s="1" t="str">
        <f t="array" ref="E622">IF(ISBLANK(XLOOKUP(E$3,daily_items,XLOOKUP($C622,daily_dates,big_daily_table))),NA(),XLOOKUP(E$3,daily_items,XLOOKUP($C622,daily_dates,big_daily_table)))</f>
        <v>#N/A</v>
      </c>
    </row>
    <row r="623" ht="14.25" customHeight="1">
      <c r="B623" s="7">
        <v>41528.0</v>
      </c>
      <c r="C623" s="7">
        <f t="shared" si="1"/>
        <v>41525</v>
      </c>
      <c r="D623" s="1" t="str">
        <f t="array" ref="D623">IF(ISBLANK(XLOOKUP(D$3,daily_items,XLOOKUP($C623,daily_dates,big_daily_table))),NA(),XLOOKUP(D$3,daily_items,XLOOKUP($C623,daily_dates,big_daily_table)))</f>
        <v>#N/A</v>
      </c>
      <c r="E623" s="1" t="str">
        <f t="array" ref="E623">IF(ISBLANK(XLOOKUP(E$3,daily_items,XLOOKUP($C623,daily_dates,big_daily_table))),NA(),XLOOKUP(E$3,daily_items,XLOOKUP($C623,daily_dates,big_daily_table)))</f>
        <v>#N/A</v>
      </c>
    </row>
    <row r="624" ht="14.25" customHeight="1">
      <c r="B624" s="7">
        <v>41529.0</v>
      </c>
      <c r="C624" s="7">
        <f t="shared" si="1"/>
        <v>41525</v>
      </c>
      <c r="D624" s="1" t="str">
        <f t="array" ref="D624">IF(ISBLANK(XLOOKUP(D$3,daily_items,XLOOKUP($C624,daily_dates,big_daily_table))),NA(),XLOOKUP(D$3,daily_items,XLOOKUP($C624,daily_dates,big_daily_table)))</f>
        <v>#N/A</v>
      </c>
      <c r="E624" s="1" t="str">
        <f t="array" ref="E624">IF(ISBLANK(XLOOKUP(E$3,daily_items,XLOOKUP($C624,daily_dates,big_daily_table))),NA(),XLOOKUP(E$3,daily_items,XLOOKUP($C624,daily_dates,big_daily_table)))</f>
        <v>#N/A</v>
      </c>
    </row>
    <row r="625" ht="14.25" customHeight="1">
      <c r="B625" s="7">
        <v>41530.0</v>
      </c>
      <c r="C625" s="7">
        <f t="shared" si="1"/>
        <v>41525</v>
      </c>
      <c r="D625" s="1" t="str">
        <f t="array" ref="D625">IF(ISBLANK(XLOOKUP(D$3,daily_items,XLOOKUP($C625,daily_dates,big_daily_table))),NA(),XLOOKUP(D$3,daily_items,XLOOKUP($C625,daily_dates,big_daily_table)))</f>
        <v>#N/A</v>
      </c>
      <c r="E625" s="1" t="str">
        <f t="array" ref="E625">IF(ISBLANK(XLOOKUP(E$3,daily_items,XLOOKUP($C625,daily_dates,big_daily_table))),NA(),XLOOKUP(E$3,daily_items,XLOOKUP($C625,daily_dates,big_daily_table)))</f>
        <v>#N/A</v>
      </c>
    </row>
    <row r="626" ht="14.25" customHeight="1">
      <c r="B626" s="7">
        <v>41531.0</v>
      </c>
      <c r="C626" s="7">
        <f t="shared" si="1"/>
        <v>41525</v>
      </c>
      <c r="D626" s="1" t="str">
        <f t="array" ref="D626">IF(ISBLANK(XLOOKUP(D$3,daily_items,XLOOKUP($C626,daily_dates,big_daily_table))),NA(),XLOOKUP(D$3,daily_items,XLOOKUP($C626,daily_dates,big_daily_table)))</f>
        <v>#N/A</v>
      </c>
      <c r="E626" s="1" t="str">
        <f t="array" ref="E626">IF(ISBLANK(XLOOKUP(E$3,daily_items,XLOOKUP($C626,daily_dates,big_daily_table))),NA(),XLOOKUP(E$3,daily_items,XLOOKUP($C626,daily_dates,big_daily_table)))</f>
        <v>#N/A</v>
      </c>
    </row>
    <row r="627" ht="14.25" customHeight="1">
      <c r="B627" s="7">
        <v>41532.0</v>
      </c>
      <c r="C627" s="7">
        <f t="shared" si="1"/>
        <v>41532</v>
      </c>
      <c r="D627" s="1" t="str">
        <f t="array" ref="D627">IF(ISBLANK(XLOOKUP(D$3,daily_items,XLOOKUP($C627,daily_dates,big_daily_table))),NA(),XLOOKUP(D$3,daily_items,XLOOKUP($C627,daily_dates,big_daily_table)))</f>
        <v>#N/A</v>
      </c>
      <c r="E627" s="1" t="str">
        <f t="array" ref="E627">IF(ISBLANK(XLOOKUP(E$3,daily_items,XLOOKUP($C627,daily_dates,big_daily_table))),NA(),XLOOKUP(E$3,daily_items,XLOOKUP($C627,daily_dates,big_daily_table)))</f>
        <v>#N/A</v>
      </c>
    </row>
    <row r="628" ht="14.25" customHeight="1">
      <c r="B628" s="7">
        <v>41533.0</v>
      </c>
      <c r="C628" s="7">
        <f t="shared" si="1"/>
        <v>41532</v>
      </c>
      <c r="D628" s="1" t="str">
        <f t="array" ref="D628">IF(ISBLANK(XLOOKUP(D$3,daily_items,XLOOKUP($C628,daily_dates,big_daily_table))),NA(),XLOOKUP(D$3,daily_items,XLOOKUP($C628,daily_dates,big_daily_table)))</f>
        <v>#N/A</v>
      </c>
      <c r="E628" s="1" t="str">
        <f t="array" ref="E628">IF(ISBLANK(XLOOKUP(E$3,daily_items,XLOOKUP($C628,daily_dates,big_daily_table))),NA(),XLOOKUP(E$3,daily_items,XLOOKUP($C628,daily_dates,big_daily_table)))</f>
        <v>#N/A</v>
      </c>
    </row>
    <row r="629" ht="14.25" customHeight="1">
      <c r="B629" s="7">
        <v>41534.0</v>
      </c>
      <c r="C629" s="7">
        <f t="shared" si="1"/>
        <v>41532</v>
      </c>
      <c r="D629" s="1" t="str">
        <f t="array" ref="D629">IF(ISBLANK(XLOOKUP(D$3,daily_items,XLOOKUP($C629,daily_dates,big_daily_table))),NA(),XLOOKUP(D$3,daily_items,XLOOKUP($C629,daily_dates,big_daily_table)))</f>
        <v>#N/A</v>
      </c>
      <c r="E629" s="1" t="str">
        <f t="array" ref="E629">IF(ISBLANK(XLOOKUP(E$3,daily_items,XLOOKUP($C629,daily_dates,big_daily_table))),NA(),XLOOKUP(E$3,daily_items,XLOOKUP($C629,daily_dates,big_daily_table)))</f>
        <v>#N/A</v>
      </c>
    </row>
    <row r="630" ht="14.25" customHeight="1">
      <c r="B630" s="7">
        <v>41535.0</v>
      </c>
      <c r="C630" s="7">
        <f t="shared" si="1"/>
        <v>41532</v>
      </c>
      <c r="D630" s="1" t="str">
        <f t="array" ref="D630">IF(ISBLANK(XLOOKUP(D$3,daily_items,XLOOKUP($C630,daily_dates,big_daily_table))),NA(),XLOOKUP(D$3,daily_items,XLOOKUP($C630,daily_dates,big_daily_table)))</f>
        <v>#N/A</v>
      </c>
      <c r="E630" s="1" t="str">
        <f t="array" ref="E630">IF(ISBLANK(XLOOKUP(E$3,daily_items,XLOOKUP($C630,daily_dates,big_daily_table))),NA(),XLOOKUP(E$3,daily_items,XLOOKUP($C630,daily_dates,big_daily_table)))</f>
        <v>#N/A</v>
      </c>
    </row>
    <row r="631" ht="14.25" customHeight="1">
      <c r="B631" s="7">
        <v>41536.0</v>
      </c>
      <c r="C631" s="7">
        <f t="shared" si="1"/>
        <v>41532</v>
      </c>
      <c r="D631" s="1" t="str">
        <f t="array" ref="D631">IF(ISBLANK(XLOOKUP(D$3,daily_items,XLOOKUP($C631,daily_dates,big_daily_table))),NA(),XLOOKUP(D$3,daily_items,XLOOKUP($C631,daily_dates,big_daily_table)))</f>
        <v>#N/A</v>
      </c>
      <c r="E631" s="1" t="str">
        <f t="array" ref="E631">IF(ISBLANK(XLOOKUP(E$3,daily_items,XLOOKUP($C631,daily_dates,big_daily_table))),NA(),XLOOKUP(E$3,daily_items,XLOOKUP($C631,daily_dates,big_daily_table)))</f>
        <v>#N/A</v>
      </c>
    </row>
    <row r="632" ht="14.25" customHeight="1">
      <c r="B632" s="7">
        <v>41537.0</v>
      </c>
      <c r="C632" s="7">
        <f t="shared" si="1"/>
        <v>41532</v>
      </c>
      <c r="D632" s="1" t="str">
        <f t="array" ref="D632">IF(ISBLANK(XLOOKUP(D$3,daily_items,XLOOKUP($C632,daily_dates,big_daily_table))),NA(),XLOOKUP(D$3,daily_items,XLOOKUP($C632,daily_dates,big_daily_table)))</f>
        <v>#N/A</v>
      </c>
      <c r="E632" s="1" t="str">
        <f t="array" ref="E632">IF(ISBLANK(XLOOKUP(E$3,daily_items,XLOOKUP($C632,daily_dates,big_daily_table))),NA(),XLOOKUP(E$3,daily_items,XLOOKUP($C632,daily_dates,big_daily_table)))</f>
        <v>#N/A</v>
      </c>
    </row>
    <row r="633" ht="14.25" customHeight="1">
      <c r="B633" s="7">
        <v>41538.0</v>
      </c>
      <c r="C633" s="7">
        <f t="shared" si="1"/>
        <v>41532</v>
      </c>
      <c r="D633" s="1" t="str">
        <f t="array" ref="D633">IF(ISBLANK(XLOOKUP(D$3,daily_items,XLOOKUP($C633,daily_dates,big_daily_table))),NA(),XLOOKUP(D$3,daily_items,XLOOKUP($C633,daily_dates,big_daily_table)))</f>
        <v>#N/A</v>
      </c>
      <c r="E633" s="1" t="str">
        <f t="array" ref="E633">IF(ISBLANK(XLOOKUP(E$3,daily_items,XLOOKUP($C633,daily_dates,big_daily_table))),NA(),XLOOKUP(E$3,daily_items,XLOOKUP($C633,daily_dates,big_daily_table)))</f>
        <v>#N/A</v>
      </c>
    </row>
    <row r="634" ht="14.25" customHeight="1">
      <c r="B634" s="7">
        <v>41539.0</v>
      </c>
      <c r="C634" s="7">
        <f t="shared" si="1"/>
        <v>41539</v>
      </c>
      <c r="D634" s="1" t="str">
        <f t="array" ref="D634">IF(ISBLANK(XLOOKUP(D$3,daily_items,XLOOKUP($C634,daily_dates,big_daily_table))),NA(),XLOOKUP(D$3,daily_items,XLOOKUP($C634,daily_dates,big_daily_table)))</f>
        <v>#N/A</v>
      </c>
      <c r="E634" s="1" t="str">
        <f t="array" ref="E634">IF(ISBLANK(XLOOKUP(E$3,daily_items,XLOOKUP($C634,daily_dates,big_daily_table))),NA(),XLOOKUP(E$3,daily_items,XLOOKUP($C634,daily_dates,big_daily_table)))</f>
        <v>#N/A</v>
      </c>
    </row>
    <row r="635" ht="14.25" customHeight="1">
      <c r="B635" s="7">
        <v>41540.0</v>
      </c>
      <c r="C635" s="7">
        <f t="shared" si="1"/>
        <v>41539</v>
      </c>
      <c r="D635" s="1" t="str">
        <f t="array" ref="D635">IF(ISBLANK(XLOOKUP(D$3,daily_items,XLOOKUP($C635,daily_dates,big_daily_table))),NA(),XLOOKUP(D$3,daily_items,XLOOKUP($C635,daily_dates,big_daily_table)))</f>
        <v>#N/A</v>
      </c>
      <c r="E635" s="1" t="str">
        <f t="array" ref="E635">IF(ISBLANK(XLOOKUP(E$3,daily_items,XLOOKUP($C635,daily_dates,big_daily_table))),NA(),XLOOKUP(E$3,daily_items,XLOOKUP($C635,daily_dates,big_daily_table)))</f>
        <v>#N/A</v>
      </c>
    </row>
    <row r="636" ht="14.25" customHeight="1">
      <c r="B636" s="7">
        <v>41541.0</v>
      </c>
      <c r="C636" s="7">
        <f t="shared" si="1"/>
        <v>41539</v>
      </c>
      <c r="D636" s="1" t="str">
        <f t="array" ref="D636">IF(ISBLANK(XLOOKUP(D$3,daily_items,XLOOKUP($C636,daily_dates,big_daily_table))),NA(),XLOOKUP(D$3,daily_items,XLOOKUP($C636,daily_dates,big_daily_table)))</f>
        <v>#N/A</v>
      </c>
      <c r="E636" s="1" t="str">
        <f t="array" ref="E636">IF(ISBLANK(XLOOKUP(E$3,daily_items,XLOOKUP($C636,daily_dates,big_daily_table))),NA(),XLOOKUP(E$3,daily_items,XLOOKUP($C636,daily_dates,big_daily_table)))</f>
        <v>#N/A</v>
      </c>
    </row>
    <row r="637" ht="14.25" customHeight="1">
      <c r="B637" s="7">
        <v>41542.0</v>
      </c>
      <c r="C637" s="7">
        <f t="shared" si="1"/>
        <v>41539</v>
      </c>
      <c r="D637" s="1" t="str">
        <f t="array" ref="D637">IF(ISBLANK(XLOOKUP(D$3,daily_items,XLOOKUP($C637,daily_dates,big_daily_table))),NA(),XLOOKUP(D$3,daily_items,XLOOKUP($C637,daily_dates,big_daily_table)))</f>
        <v>#N/A</v>
      </c>
      <c r="E637" s="1" t="str">
        <f t="array" ref="E637">IF(ISBLANK(XLOOKUP(E$3,daily_items,XLOOKUP($C637,daily_dates,big_daily_table))),NA(),XLOOKUP(E$3,daily_items,XLOOKUP($C637,daily_dates,big_daily_table)))</f>
        <v>#N/A</v>
      </c>
    </row>
    <row r="638" ht="14.25" customHeight="1">
      <c r="B638" s="7">
        <v>41543.0</v>
      </c>
      <c r="C638" s="7">
        <f t="shared" si="1"/>
        <v>41539</v>
      </c>
      <c r="D638" s="1" t="str">
        <f t="array" ref="D638">IF(ISBLANK(XLOOKUP(D$3,daily_items,XLOOKUP($C638,daily_dates,big_daily_table))),NA(),XLOOKUP(D$3,daily_items,XLOOKUP($C638,daily_dates,big_daily_table)))</f>
        <v>#N/A</v>
      </c>
      <c r="E638" s="1" t="str">
        <f t="array" ref="E638">IF(ISBLANK(XLOOKUP(E$3,daily_items,XLOOKUP($C638,daily_dates,big_daily_table))),NA(),XLOOKUP(E$3,daily_items,XLOOKUP($C638,daily_dates,big_daily_table)))</f>
        <v>#N/A</v>
      </c>
    </row>
    <row r="639" ht="14.25" customHeight="1">
      <c r="B639" s="7">
        <v>41544.0</v>
      </c>
      <c r="C639" s="7">
        <f t="shared" si="1"/>
        <v>41539</v>
      </c>
      <c r="D639" s="1" t="str">
        <f t="array" ref="D639">IF(ISBLANK(XLOOKUP(D$3,daily_items,XLOOKUP($C639,daily_dates,big_daily_table))),NA(),XLOOKUP(D$3,daily_items,XLOOKUP($C639,daily_dates,big_daily_table)))</f>
        <v>#N/A</v>
      </c>
      <c r="E639" s="1" t="str">
        <f t="array" ref="E639">IF(ISBLANK(XLOOKUP(E$3,daily_items,XLOOKUP($C639,daily_dates,big_daily_table))),NA(),XLOOKUP(E$3,daily_items,XLOOKUP($C639,daily_dates,big_daily_table)))</f>
        <v>#N/A</v>
      </c>
    </row>
    <row r="640" ht="14.25" customHeight="1">
      <c r="B640" s="7">
        <v>41545.0</v>
      </c>
      <c r="C640" s="7">
        <f t="shared" si="1"/>
        <v>41539</v>
      </c>
      <c r="D640" s="1" t="str">
        <f t="array" ref="D640">IF(ISBLANK(XLOOKUP(D$3,daily_items,XLOOKUP($C640,daily_dates,big_daily_table))),NA(),XLOOKUP(D$3,daily_items,XLOOKUP($C640,daily_dates,big_daily_table)))</f>
        <v>#N/A</v>
      </c>
      <c r="E640" s="1" t="str">
        <f t="array" ref="E640">IF(ISBLANK(XLOOKUP(E$3,daily_items,XLOOKUP($C640,daily_dates,big_daily_table))),NA(),XLOOKUP(E$3,daily_items,XLOOKUP($C640,daily_dates,big_daily_table)))</f>
        <v>#N/A</v>
      </c>
    </row>
    <row r="641" ht="14.25" customHeight="1">
      <c r="B641" s="7">
        <v>41546.0</v>
      </c>
      <c r="C641" s="7">
        <f t="shared" si="1"/>
        <v>41546</v>
      </c>
      <c r="D641" s="1" t="str">
        <f t="array" ref="D641">IF(ISBLANK(XLOOKUP(D$3,daily_items,XLOOKUP($C641,daily_dates,big_daily_table))),NA(),XLOOKUP(D$3,daily_items,XLOOKUP($C641,daily_dates,big_daily_table)))</f>
        <v>#N/A</v>
      </c>
      <c r="E641" s="1" t="str">
        <f t="array" ref="E641">IF(ISBLANK(XLOOKUP(E$3,daily_items,XLOOKUP($C641,daily_dates,big_daily_table))),NA(),XLOOKUP(E$3,daily_items,XLOOKUP($C641,daily_dates,big_daily_table)))</f>
        <v>#N/A</v>
      </c>
    </row>
    <row r="642" ht="14.25" customHeight="1">
      <c r="B642" s="7">
        <v>41547.0</v>
      </c>
      <c r="C642" s="7">
        <f t="shared" si="1"/>
        <v>41546</v>
      </c>
      <c r="D642" s="1" t="str">
        <f t="array" ref="D642">IF(ISBLANK(XLOOKUP(D$3,daily_items,XLOOKUP($C642,daily_dates,big_daily_table))),NA(),XLOOKUP(D$3,daily_items,XLOOKUP($C642,daily_dates,big_daily_table)))</f>
        <v>#N/A</v>
      </c>
      <c r="E642" s="1" t="str">
        <f t="array" ref="E642">IF(ISBLANK(XLOOKUP(E$3,daily_items,XLOOKUP($C642,daily_dates,big_daily_table))),NA(),XLOOKUP(E$3,daily_items,XLOOKUP($C642,daily_dates,big_daily_table)))</f>
        <v>#N/A</v>
      </c>
    </row>
    <row r="643" ht="14.25" customHeight="1">
      <c r="B643" s="7">
        <v>41548.0</v>
      </c>
      <c r="C643" s="7">
        <f t="shared" si="1"/>
        <v>41546</v>
      </c>
      <c r="D643" s="1" t="str">
        <f t="array" ref="D643">IF(ISBLANK(XLOOKUP(D$3,daily_items,XLOOKUP($C643,daily_dates,big_daily_table))),NA(),XLOOKUP(D$3,daily_items,XLOOKUP($C643,daily_dates,big_daily_table)))</f>
        <v>#N/A</v>
      </c>
      <c r="E643" s="1" t="str">
        <f t="array" ref="E643">IF(ISBLANK(XLOOKUP(E$3,daily_items,XLOOKUP($C643,daily_dates,big_daily_table))),NA(),XLOOKUP(E$3,daily_items,XLOOKUP($C643,daily_dates,big_daily_table)))</f>
        <v>#N/A</v>
      </c>
    </row>
    <row r="644" ht="14.25" customHeight="1">
      <c r="B644" s="7">
        <v>41549.0</v>
      </c>
      <c r="C644" s="7">
        <f t="shared" si="1"/>
        <v>41546</v>
      </c>
      <c r="D644" s="1" t="str">
        <f t="array" ref="D644">IF(ISBLANK(XLOOKUP(D$3,daily_items,XLOOKUP($C644,daily_dates,big_daily_table))),NA(),XLOOKUP(D$3,daily_items,XLOOKUP($C644,daily_dates,big_daily_table)))</f>
        <v>#N/A</v>
      </c>
      <c r="E644" s="1" t="str">
        <f t="array" ref="E644">IF(ISBLANK(XLOOKUP(E$3,daily_items,XLOOKUP($C644,daily_dates,big_daily_table))),NA(),XLOOKUP(E$3,daily_items,XLOOKUP($C644,daily_dates,big_daily_table)))</f>
        <v>#N/A</v>
      </c>
    </row>
    <row r="645" ht="14.25" customHeight="1">
      <c r="B645" s="7">
        <v>41550.0</v>
      </c>
      <c r="C645" s="7">
        <f t="shared" si="1"/>
        <v>41546</v>
      </c>
      <c r="D645" s="1" t="str">
        <f t="array" ref="D645">IF(ISBLANK(XLOOKUP(D$3,daily_items,XLOOKUP($C645,daily_dates,big_daily_table))),NA(),XLOOKUP(D$3,daily_items,XLOOKUP($C645,daily_dates,big_daily_table)))</f>
        <v>#N/A</v>
      </c>
      <c r="E645" s="1" t="str">
        <f t="array" ref="E645">IF(ISBLANK(XLOOKUP(E$3,daily_items,XLOOKUP($C645,daily_dates,big_daily_table))),NA(),XLOOKUP(E$3,daily_items,XLOOKUP($C645,daily_dates,big_daily_table)))</f>
        <v>#N/A</v>
      </c>
    </row>
    <row r="646" ht="14.25" customHeight="1">
      <c r="B646" s="7">
        <v>41551.0</v>
      </c>
      <c r="C646" s="7">
        <f t="shared" si="1"/>
        <v>41546</v>
      </c>
      <c r="D646" s="1" t="str">
        <f t="array" ref="D646">IF(ISBLANK(XLOOKUP(D$3,daily_items,XLOOKUP($C646,daily_dates,big_daily_table))),NA(),XLOOKUP(D$3,daily_items,XLOOKUP($C646,daily_dates,big_daily_table)))</f>
        <v>#N/A</v>
      </c>
      <c r="E646" s="1" t="str">
        <f t="array" ref="E646">IF(ISBLANK(XLOOKUP(E$3,daily_items,XLOOKUP($C646,daily_dates,big_daily_table))),NA(),XLOOKUP(E$3,daily_items,XLOOKUP($C646,daily_dates,big_daily_table)))</f>
        <v>#N/A</v>
      </c>
    </row>
    <row r="647" ht="14.25" customHeight="1">
      <c r="B647" s="7">
        <v>41552.0</v>
      </c>
      <c r="C647" s="7">
        <f t="shared" si="1"/>
        <v>41546</v>
      </c>
      <c r="D647" s="1" t="str">
        <f t="array" ref="D647">IF(ISBLANK(XLOOKUP(D$3,daily_items,XLOOKUP($C647,daily_dates,big_daily_table))),NA(),XLOOKUP(D$3,daily_items,XLOOKUP($C647,daily_dates,big_daily_table)))</f>
        <v>#N/A</v>
      </c>
      <c r="E647" s="1" t="str">
        <f t="array" ref="E647">IF(ISBLANK(XLOOKUP(E$3,daily_items,XLOOKUP($C647,daily_dates,big_daily_table))),NA(),XLOOKUP(E$3,daily_items,XLOOKUP($C647,daily_dates,big_daily_table)))</f>
        <v>#N/A</v>
      </c>
    </row>
    <row r="648" ht="14.25" customHeight="1">
      <c r="B648" s="7">
        <v>41553.0</v>
      </c>
      <c r="C648" s="7">
        <f t="shared" si="1"/>
        <v>41553</v>
      </c>
      <c r="D648" s="1" t="str">
        <f t="array" ref="D648">IF(ISBLANK(XLOOKUP(D$3,daily_items,XLOOKUP($C648,daily_dates,big_daily_table))),NA(),XLOOKUP(D$3,daily_items,XLOOKUP($C648,daily_dates,big_daily_table)))</f>
        <v>#N/A</v>
      </c>
      <c r="E648" s="1" t="str">
        <f t="array" ref="E648">IF(ISBLANK(XLOOKUP(E$3,daily_items,XLOOKUP($C648,daily_dates,big_daily_table))),NA(),XLOOKUP(E$3,daily_items,XLOOKUP($C648,daily_dates,big_daily_table)))</f>
        <v>#N/A</v>
      </c>
    </row>
    <row r="649" ht="14.25" customHeight="1">
      <c r="B649" s="7">
        <v>41554.0</v>
      </c>
      <c r="C649" s="7">
        <f t="shared" si="1"/>
        <v>41553</v>
      </c>
      <c r="D649" s="1" t="str">
        <f t="array" ref="D649">IF(ISBLANK(XLOOKUP(D$3,daily_items,XLOOKUP($C649,daily_dates,big_daily_table))),NA(),XLOOKUP(D$3,daily_items,XLOOKUP($C649,daily_dates,big_daily_table)))</f>
        <v>#N/A</v>
      </c>
      <c r="E649" s="1" t="str">
        <f t="array" ref="E649">IF(ISBLANK(XLOOKUP(E$3,daily_items,XLOOKUP($C649,daily_dates,big_daily_table))),NA(),XLOOKUP(E$3,daily_items,XLOOKUP($C649,daily_dates,big_daily_table)))</f>
        <v>#N/A</v>
      </c>
    </row>
    <row r="650" ht="14.25" customHeight="1">
      <c r="B650" s="7">
        <v>41555.0</v>
      </c>
      <c r="C650" s="7">
        <f t="shared" si="1"/>
        <v>41553</v>
      </c>
      <c r="D650" s="1" t="str">
        <f t="array" ref="D650">IF(ISBLANK(XLOOKUP(D$3,daily_items,XLOOKUP($C650,daily_dates,big_daily_table))),NA(),XLOOKUP(D$3,daily_items,XLOOKUP($C650,daily_dates,big_daily_table)))</f>
        <v>#N/A</v>
      </c>
      <c r="E650" s="1" t="str">
        <f t="array" ref="E650">IF(ISBLANK(XLOOKUP(E$3,daily_items,XLOOKUP($C650,daily_dates,big_daily_table))),NA(),XLOOKUP(E$3,daily_items,XLOOKUP($C650,daily_dates,big_daily_table)))</f>
        <v>#N/A</v>
      </c>
    </row>
    <row r="651" ht="14.25" customHeight="1">
      <c r="B651" s="7">
        <v>41556.0</v>
      </c>
      <c r="C651" s="7">
        <f t="shared" si="1"/>
        <v>41553</v>
      </c>
      <c r="D651" s="1" t="str">
        <f t="array" ref="D651">IF(ISBLANK(XLOOKUP(D$3,daily_items,XLOOKUP($C651,daily_dates,big_daily_table))),NA(),XLOOKUP(D$3,daily_items,XLOOKUP($C651,daily_dates,big_daily_table)))</f>
        <v>#N/A</v>
      </c>
      <c r="E651" s="1" t="str">
        <f t="array" ref="E651">IF(ISBLANK(XLOOKUP(E$3,daily_items,XLOOKUP($C651,daily_dates,big_daily_table))),NA(),XLOOKUP(E$3,daily_items,XLOOKUP($C651,daily_dates,big_daily_table)))</f>
        <v>#N/A</v>
      </c>
    </row>
    <row r="652" ht="14.25" customHeight="1">
      <c r="B652" s="7">
        <v>41557.0</v>
      </c>
      <c r="C652" s="7">
        <f t="shared" si="1"/>
        <v>41553</v>
      </c>
      <c r="D652" s="1" t="str">
        <f t="array" ref="D652">IF(ISBLANK(XLOOKUP(D$3,daily_items,XLOOKUP($C652,daily_dates,big_daily_table))),NA(),XLOOKUP(D$3,daily_items,XLOOKUP($C652,daily_dates,big_daily_table)))</f>
        <v>#N/A</v>
      </c>
      <c r="E652" s="1" t="str">
        <f t="array" ref="E652">IF(ISBLANK(XLOOKUP(E$3,daily_items,XLOOKUP($C652,daily_dates,big_daily_table))),NA(),XLOOKUP(E$3,daily_items,XLOOKUP($C652,daily_dates,big_daily_table)))</f>
        <v>#N/A</v>
      </c>
    </row>
    <row r="653" ht="14.25" customHeight="1">
      <c r="B653" s="7">
        <v>41558.0</v>
      </c>
      <c r="C653" s="7">
        <f t="shared" si="1"/>
        <v>41553</v>
      </c>
      <c r="D653" s="1" t="str">
        <f t="array" ref="D653">IF(ISBLANK(XLOOKUP(D$3,daily_items,XLOOKUP($C653,daily_dates,big_daily_table))),NA(),XLOOKUP(D$3,daily_items,XLOOKUP($C653,daily_dates,big_daily_table)))</f>
        <v>#N/A</v>
      </c>
      <c r="E653" s="1" t="str">
        <f t="array" ref="E653">IF(ISBLANK(XLOOKUP(E$3,daily_items,XLOOKUP($C653,daily_dates,big_daily_table))),NA(),XLOOKUP(E$3,daily_items,XLOOKUP($C653,daily_dates,big_daily_table)))</f>
        <v>#N/A</v>
      </c>
    </row>
    <row r="654" ht="14.25" customHeight="1">
      <c r="B654" s="7">
        <v>41559.0</v>
      </c>
      <c r="C654" s="7">
        <f t="shared" si="1"/>
        <v>41553</v>
      </c>
      <c r="D654" s="1" t="str">
        <f t="array" ref="D654">IF(ISBLANK(XLOOKUP(D$3,daily_items,XLOOKUP($C654,daily_dates,big_daily_table))),NA(),XLOOKUP(D$3,daily_items,XLOOKUP($C654,daily_dates,big_daily_table)))</f>
        <v>#N/A</v>
      </c>
      <c r="E654" s="1" t="str">
        <f t="array" ref="E654">IF(ISBLANK(XLOOKUP(E$3,daily_items,XLOOKUP($C654,daily_dates,big_daily_table))),NA(),XLOOKUP(E$3,daily_items,XLOOKUP($C654,daily_dates,big_daily_table)))</f>
        <v>#N/A</v>
      </c>
    </row>
    <row r="655" ht="14.25" customHeight="1">
      <c r="B655" s="7">
        <v>41560.0</v>
      </c>
      <c r="C655" s="7">
        <f t="shared" si="1"/>
        <v>41560</v>
      </c>
      <c r="D655" s="1" t="str">
        <f t="array" ref="D655">IF(ISBLANK(XLOOKUP(D$3,daily_items,XLOOKUP($C655,daily_dates,big_daily_table))),NA(),XLOOKUP(D$3,daily_items,XLOOKUP($C655,daily_dates,big_daily_table)))</f>
        <v>#N/A</v>
      </c>
      <c r="E655" s="1" t="str">
        <f t="array" ref="E655">IF(ISBLANK(XLOOKUP(E$3,daily_items,XLOOKUP($C655,daily_dates,big_daily_table))),NA(),XLOOKUP(E$3,daily_items,XLOOKUP($C655,daily_dates,big_daily_table)))</f>
        <v>#N/A</v>
      </c>
    </row>
    <row r="656" ht="14.25" customHeight="1">
      <c r="B656" s="7">
        <v>41561.0</v>
      </c>
      <c r="C656" s="7">
        <f t="shared" si="1"/>
        <v>41560</v>
      </c>
      <c r="D656" s="1" t="str">
        <f t="array" ref="D656">IF(ISBLANK(XLOOKUP(D$3,daily_items,XLOOKUP($C656,daily_dates,big_daily_table))),NA(),XLOOKUP(D$3,daily_items,XLOOKUP($C656,daily_dates,big_daily_table)))</f>
        <v>#N/A</v>
      </c>
      <c r="E656" s="1" t="str">
        <f t="array" ref="E656">IF(ISBLANK(XLOOKUP(E$3,daily_items,XLOOKUP($C656,daily_dates,big_daily_table))),NA(),XLOOKUP(E$3,daily_items,XLOOKUP($C656,daily_dates,big_daily_table)))</f>
        <v>#N/A</v>
      </c>
    </row>
    <row r="657" ht="14.25" customHeight="1">
      <c r="B657" s="7">
        <v>41562.0</v>
      </c>
      <c r="C657" s="7">
        <f t="shared" si="1"/>
        <v>41560</v>
      </c>
      <c r="D657" s="1" t="str">
        <f t="array" ref="D657">IF(ISBLANK(XLOOKUP(D$3,daily_items,XLOOKUP($C657,daily_dates,big_daily_table))),NA(),XLOOKUP(D$3,daily_items,XLOOKUP($C657,daily_dates,big_daily_table)))</f>
        <v>#N/A</v>
      </c>
      <c r="E657" s="1" t="str">
        <f t="array" ref="E657">IF(ISBLANK(XLOOKUP(E$3,daily_items,XLOOKUP($C657,daily_dates,big_daily_table))),NA(),XLOOKUP(E$3,daily_items,XLOOKUP($C657,daily_dates,big_daily_table)))</f>
        <v>#N/A</v>
      </c>
    </row>
    <row r="658" ht="14.25" customHeight="1">
      <c r="B658" s="7">
        <v>41563.0</v>
      </c>
      <c r="C658" s="7">
        <f t="shared" si="1"/>
        <v>41560</v>
      </c>
      <c r="D658" s="1" t="str">
        <f t="array" ref="D658">IF(ISBLANK(XLOOKUP(D$3,daily_items,XLOOKUP($C658,daily_dates,big_daily_table))),NA(),XLOOKUP(D$3,daily_items,XLOOKUP($C658,daily_dates,big_daily_table)))</f>
        <v>#N/A</v>
      </c>
      <c r="E658" s="1" t="str">
        <f t="array" ref="E658">IF(ISBLANK(XLOOKUP(E$3,daily_items,XLOOKUP($C658,daily_dates,big_daily_table))),NA(),XLOOKUP(E$3,daily_items,XLOOKUP($C658,daily_dates,big_daily_table)))</f>
        <v>#N/A</v>
      </c>
    </row>
    <row r="659" ht="14.25" customHeight="1">
      <c r="B659" s="7">
        <v>41564.0</v>
      </c>
      <c r="C659" s="7">
        <f t="shared" si="1"/>
        <v>41560</v>
      </c>
      <c r="D659" s="1" t="str">
        <f t="array" ref="D659">IF(ISBLANK(XLOOKUP(D$3,daily_items,XLOOKUP($C659,daily_dates,big_daily_table))),NA(),XLOOKUP(D$3,daily_items,XLOOKUP($C659,daily_dates,big_daily_table)))</f>
        <v>#N/A</v>
      </c>
      <c r="E659" s="1" t="str">
        <f t="array" ref="E659">IF(ISBLANK(XLOOKUP(E$3,daily_items,XLOOKUP($C659,daily_dates,big_daily_table))),NA(),XLOOKUP(E$3,daily_items,XLOOKUP($C659,daily_dates,big_daily_table)))</f>
        <v>#N/A</v>
      </c>
    </row>
    <row r="660" ht="14.25" customHeight="1">
      <c r="B660" s="7">
        <v>41565.0</v>
      </c>
      <c r="C660" s="7">
        <f t="shared" si="1"/>
        <v>41560</v>
      </c>
      <c r="D660" s="1" t="str">
        <f t="array" ref="D660">IF(ISBLANK(XLOOKUP(D$3,daily_items,XLOOKUP($C660,daily_dates,big_daily_table))),NA(),XLOOKUP(D$3,daily_items,XLOOKUP($C660,daily_dates,big_daily_table)))</f>
        <v>#N/A</v>
      </c>
      <c r="E660" s="1" t="str">
        <f t="array" ref="E660">IF(ISBLANK(XLOOKUP(E$3,daily_items,XLOOKUP($C660,daily_dates,big_daily_table))),NA(),XLOOKUP(E$3,daily_items,XLOOKUP($C660,daily_dates,big_daily_table)))</f>
        <v>#N/A</v>
      </c>
    </row>
    <row r="661" ht="14.25" customHeight="1">
      <c r="B661" s="7">
        <v>41566.0</v>
      </c>
      <c r="C661" s="7">
        <f t="shared" si="1"/>
        <v>41560</v>
      </c>
      <c r="D661" s="1" t="str">
        <f t="array" ref="D661">IF(ISBLANK(XLOOKUP(D$3,daily_items,XLOOKUP($C661,daily_dates,big_daily_table))),NA(),XLOOKUP(D$3,daily_items,XLOOKUP($C661,daily_dates,big_daily_table)))</f>
        <v>#N/A</v>
      </c>
      <c r="E661" s="1" t="str">
        <f t="array" ref="E661">IF(ISBLANK(XLOOKUP(E$3,daily_items,XLOOKUP($C661,daily_dates,big_daily_table))),NA(),XLOOKUP(E$3,daily_items,XLOOKUP($C661,daily_dates,big_daily_table)))</f>
        <v>#N/A</v>
      </c>
    </row>
    <row r="662" ht="14.25" customHeight="1">
      <c r="B662" s="7">
        <v>41567.0</v>
      </c>
      <c r="C662" s="7">
        <f t="shared" si="1"/>
        <v>41567</v>
      </c>
      <c r="D662" s="1" t="str">
        <f t="array" ref="D662">IF(ISBLANK(XLOOKUP(D$3,daily_items,XLOOKUP($C662,daily_dates,big_daily_table))),NA(),XLOOKUP(D$3,daily_items,XLOOKUP($C662,daily_dates,big_daily_table)))</f>
        <v>#N/A</v>
      </c>
      <c r="E662" s="1" t="str">
        <f t="array" ref="E662">IF(ISBLANK(XLOOKUP(E$3,daily_items,XLOOKUP($C662,daily_dates,big_daily_table))),NA(),XLOOKUP(E$3,daily_items,XLOOKUP($C662,daily_dates,big_daily_table)))</f>
        <v>#N/A</v>
      </c>
    </row>
    <row r="663" ht="14.25" customHeight="1">
      <c r="B663" s="7">
        <v>41568.0</v>
      </c>
      <c r="C663" s="7">
        <f t="shared" si="1"/>
        <v>41567</v>
      </c>
      <c r="D663" s="1" t="str">
        <f t="array" ref="D663">IF(ISBLANK(XLOOKUP(D$3,daily_items,XLOOKUP($C663,daily_dates,big_daily_table))),NA(),XLOOKUP(D$3,daily_items,XLOOKUP($C663,daily_dates,big_daily_table)))</f>
        <v>#N/A</v>
      </c>
      <c r="E663" s="1" t="str">
        <f t="array" ref="E663">IF(ISBLANK(XLOOKUP(E$3,daily_items,XLOOKUP($C663,daily_dates,big_daily_table))),NA(),XLOOKUP(E$3,daily_items,XLOOKUP($C663,daily_dates,big_daily_table)))</f>
        <v>#N/A</v>
      </c>
    </row>
    <row r="664" ht="14.25" customHeight="1">
      <c r="B664" s="7">
        <v>41569.0</v>
      </c>
      <c r="C664" s="7">
        <f t="shared" si="1"/>
        <v>41567</v>
      </c>
      <c r="D664" s="1" t="str">
        <f t="array" ref="D664">IF(ISBLANK(XLOOKUP(D$3,daily_items,XLOOKUP($C664,daily_dates,big_daily_table))),NA(),XLOOKUP(D$3,daily_items,XLOOKUP($C664,daily_dates,big_daily_table)))</f>
        <v>#N/A</v>
      </c>
      <c r="E664" s="1" t="str">
        <f t="array" ref="E664">IF(ISBLANK(XLOOKUP(E$3,daily_items,XLOOKUP($C664,daily_dates,big_daily_table))),NA(),XLOOKUP(E$3,daily_items,XLOOKUP($C664,daily_dates,big_daily_table)))</f>
        <v>#N/A</v>
      </c>
    </row>
    <row r="665" ht="14.25" customHeight="1">
      <c r="B665" s="7">
        <v>41570.0</v>
      </c>
      <c r="C665" s="7">
        <f t="shared" si="1"/>
        <v>41567</v>
      </c>
      <c r="D665" s="1" t="str">
        <f t="array" ref="D665">IF(ISBLANK(XLOOKUP(D$3,daily_items,XLOOKUP($C665,daily_dates,big_daily_table))),NA(),XLOOKUP(D$3,daily_items,XLOOKUP($C665,daily_dates,big_daily_table)))</f>
        <v>#N/A</v>
      </c>
      <c r="E665" s="1" t="str">
        <f t="array" ref="E665">IF(ISBLANK(XLOOKUP(E$3,daily_items,XLOOKUP($C665,daily_dates,big_daily_table))),NA(),XLOOKUP(E$3,daily_items,XLOOKUP($C665,daily_dates,big_daily_table)))</f>
        <v>#N/A</v>
      </c>
    </row>
    <row r="666" ht="14.25" customHeight="1">
      <c r="B666" s="7">
        <v>41571.0</v>
      </c>
      <c r="C666" s="7">
        <f t="shared" si="1"/>
        <v>41567</v>
      </c>
      <c r="D666" s="1" t="str">
        <f t="array" ref="D666">IF(ISBLANK(XLOOKUP(D$3,daily_items,XLOOKUP($C666,daily_dates,big_daily_table))),NA(),XLOOKUP(D$3,daily_items,XLOOKUP($C666,daily_dates,big_daily_table)))</f>
        <v>#N/A</v>
      </c>
      <c r="E666" s="1" t="str">
        <f t="array" ref="E666">IF(ISBLANK(XLOOKUP(E$3,daily_items,XLOOKUP($C666,daily_dates,big_daily_table))),NA(),XLOOKUP(E$3,daily_items,XLOOKUP($C666,daily_dates,big_daily_table)))</f>
        <v>#N/A</v>
      </c>
    </row>
    <row r="667" ht="14.25" customHeight="1">
      <c r="B667" s="7">
        <v>41572.0</v>
      </c>
      <c r="C667" s="7">
        <f t="shared" si="1"/>
        <v>41567</v>
      </c>
      <c r="D667" s="1" t="str">
        <f t="array" ref="D667">IF(ISBLANK(XLOOKUP(D$3,daily_items,XLOOKUP($C667,daily_dates,big_daily_table))),NA(),XLOOKUP(D$3,daily_items,XLOOKUP($C667,daily_dates,big_daily_table)))</f>
        <v>#N/A</v>
      </c>
      <c r="E667" s="1" t="str">
        <f t="array" ref="E667">IF(ISBLANK(XLOOKUP(E$3,daily_items,XLOOKUP($C667,daily_dates,big_daily_table))),NA(),XLOOKUP(E$3,daily_items,XLOOKUP($C667,daily_dates,big_daily_table)))</f>
        <v>#N/A</v>
      </c>
    </row>
    <row r="668" ht="14.25" customHeight="1">
      <c r="B668" s="7">
        <v>41573.0</v>
      </c>
      <c r="C668" s="7">
        <f t="shared" si="1"/>
        <v>41567</v>
      </c>
      <c r="D668" s="1" t="str">
        <f t="array" ref="D668">IF(ISBLANK(XLOOKUP(D$3,daily_items,XLOOKUP($C668,daily_dates,big_daily_table))),NA(),XLOOKUP(D$3,daily_items,XLOOKUP($C668,daily_dates,big_daily_table)))</f>
        <v>#N/A</v>
      </c>
      <c r="E668" s="1" t="str">
        <f t="array" ref="E668">IF(ISBLANK(XLOOKUP(E$3,daily_items,XLOOKUP($C668,daily_dates,big_daily_table))),NA(),XLOOKUP(E$3,daily_items,XLOOKUP($C668,daily_dates,big_daily_table)))</f>
        <v>#N/A</v>
      </c>
    </row>
    <row r="669" ht="14.25" customHeight="1">
      <c r="B669" s="7">
        <v>41574.0</v>
      </c>
      <c r="C669" s="7">
        <f t="shared" si="1"/>
        <v>41574</v>
      </c>
      <c r="D669" s="1" t="str">
        <f t="array" ref="D669">IF(ISBLANK(XLOOKUP(D$3,daily_items,XLOOKUP($C669,daily_dates,big_daily_table))),NA(),XLOOKUP(D$3,daily_items,XLOOKUP($C669,daily_dates,big_daily_table)))</f>
        <v>#N/A</v>
      </c>
      <c r="E669" s="1" t="str">
        <f t="array" ref="E669">IF(ISBLANK(XLOOKUP(E$3,daily_items,XLOOKUP($C669,daily_dates,big_daily_table))),NA(),XLOOKUP(E$3,daily_items,XLOOKUP($C669,daily_dates,big_daily_table)))</f>
        <v>#N/A</v>
      </c>
    </row>
    <row r="670" ht="14.25" customHeight="1">
      <c r="B670" s="7">
        <v>41575.0</v>
      </c>
      <c r="C670" s="7">
        <f t="shared" si="1"/>
        <v>41574</v>
      </c>
      <c r="D670" s="1" t="str">
        <f t="array" ref="D670">IF(ISBLANK(XLOOKUP(D$3,daily_items,XLOOKUP($C670,daily_dates,big_daily_table))),NA(),XLOOKUP(D$3,daily_items,XLOOKUP($C670,daily_dates,big_daily_table)))</f>
        <v>#N/A</v>
      </c>
      <c r="E670" s="1" t="str">
        <f t="array" ref="E670">IF(ISBLANK(XLOOKUP(E$3,daily_items,XLOOKUP($C670,daily_dates,big_daily_table))),NA(),XLOOKUP(E$3,daily_items,XLOOKUP($C670,daily_dates,big_daily_table)))</f>
        <v>#N/A</v>
      </c>
    </row>
    <row r="671" ht="14.25" customHeight="1">
      <c r="B671" s="7">
        <v>41576.0</v>
      </c>
      <c r="C671" s="7">
        <f t="shared" si="1"/>
        <v>41574</v>
      </c>
      <c r="D671" s="1" t="str">
        <f t="array" ref="D671">IF(ISBLANK(XLOOKUP(D$3,daily_items,XLOOKUP($C671,daily_dates,big_daily_table))),NA(),XLOOKUP(D$3,daily_items,XLOOKUP($C671,daily_dates,big_daily_table)))</f>
        <v>#N/A</v>
      </c>
      <c r="E671" s="1" t="str">
        <f t="array" ref="E671">IF(ISBLANK(XLOOKUP(E$3,daily_items,XLOOKUP($C671,daily_dates,big_daily_table))),NA(),XLOOKUP(E$3,daily_items,XLOOKUP($C671,daily_dates,big_daily_table)))</f>
        <v>#N/A</v>
      </c>
    </row>
    <row r="672" ht="14.25" customHeight="1">
      <c r="B672" s="7">
        <v>41577.0</v>
      </c>
      <c r="C672" s="7">
        <f t="shared" si="1"/>
        <v>41574</v>
      </c>
      <c r="D672" s="1" t="str">
        <f t="array" ref="D672">IF(ISBLANK(XLOOKUP(D$3,daily_items,XLOOKUP($C672,daily_dates,big_daily_table))),NA(),XLOOKUP(D$3,daily_items,XLOOKUP($C672,daily_dates,big_daily_table)))</f>
        <v>#N/A</v>
      </c>
      <c r="E672" s="1" t="str">
        <f t="array" ref="E672">IF(ISBLANK(XLOOKUP(E$3,daily_items,XLOOKUP($C672,daily_dates,big_daily_table))),NA(),XLOOKUP(E$3,daily_items,XLOOKUP($C672,daily_dates,big_daily_table)))</f>
        <v>#N/A</v>
      </c>
    </row>
    <row r="673" ht="14.25" customHeight="1">
      <c r="B673" s="7">
        <v>41578.0</v>
      </c>
      <c r="C673" s="7">
        <f t="shared" si="1"/>
        <v>41574</v>
      </c>
      <c r="D673" s="1" t="str">
        <f t="array" ref="D673">IF(ISBLANK(XLOOKUP(D$3,daily_items,XLOOKUP($C673,daily_dates,big_daily_table))),NA(),XLOOKUP(D$3,daily_items,XLOOKUP($C673,daily_dates,big_daily_table)))</f>
        <v>#N/A</v>
      </c>
      <c r="E673" s="1" t="str">
        <f t="array" ref="E673">IF(ISBLANK(XLOOKUP(E$3,daily_items,XLOOKUP($C673,daily_dates,big_daily_table))),NA(),XLOOKUP(E$3,daily_items,XLOOKUP($C673,daily_dates,big_daily_table)))</f>
        <v>#N/A</v>
      </c>
    </row>
    <row r="674" ht="14.25" customHeight="1">
      <c r="B674" s="7">
        <v>41579.0</v>
      </c>
      <c r="C674" s="7">
        <f t="shared" si="1"/>
        <v>41574</v>
      </c>
      <c r="D674" s="1" t="str">
        <f t="array" ref="D674">IF(ISBLANK(XLOOKUP(D$3,daily_items,XLOOKUP($C674,daily_dates,big_daily_table))),NA(),XLOOKUP(D$3,daily_items,XLOOKUP($C674,daily_dates,big_daily_table)))</f>
        <v>#N/A</v>
      </c>
      <c r="E674" s="1" t="str">
        <f t="array" ref="E674">IF(ISBLANK(XLOOKUP(E$3,daily_items,XLOOKUP($C674,daily_dates,big_daily_table))),NA(),XLOOKUP(E$3,daily_items,XLOOKUP($C674,daily_dates,big_daily_table)))</f>
        <v>#N/A</v>
      </c>
    </row>
    <row r="675" ht="14.25" customHeight="1">
      <c r="B675" s="7">
        <v>41580.0</v>
      </c>
      <c r="C675" s="7">
        <f t="shared" si="1"/>
        <v>41574</v>
      </c>
      <c r="D675" s="1" t="str">
        <f t="array" ref="D675">IF(ISBLANK(XLOOKUP(D$3,daily_items,XLOOKUP($C675,daily_dates,big_daily_table))),NA(),XLOOKUP(D$3,daily_items,XLOOKUP($C675,daily_dates,big_daily_table)))</f>
        <v>#N/A</v>
      </c>
      <c r="E675" s="1" t="str">
        <f t="array" ref="E675">IF(ISBLANK(XLOOKUP(E$3,daily_items,XLOOKUP($C675,daily_dates,big_daily_table))),NA(),XLOOKUP(E$3,daily_items,XLOOKUP($C675,daily_dates,big_daily_table)))</f>
        <v>#N/A</v>
      </c>
    </row>
    <row r="676" ht="14.25" customHeight="1">
      <c r="B676" s="7">
        <v>41581.0</v>
      </c>
      <c r="C676" s="7">
        <f t="shared" si="1"/>
        <v>41581</v>
      </c>
      <c r="D676" s="1" t="str">
        <f t="array" ref="D676">IF(ISBLANK(XLOOKUP(D$3,daily_items,XLOOKUP($C676,daily_dates,big_daily_table))),NA(),XLOOKUP(D$3,daily_items,XLOOKUP($C676,daily_dates,big_daily_table)))</f>
        <v>#N/A</v>
      </c>
      <c r="E676" s="1" t="str">
        <f t="array" ref="E676">IF(ISBLANK(XLOOKUP(E$3,daily_items,XLOOKUP($C676,daily_dates,big_daily_table))),NA(),XLOOKUP(E$3,daily_items,XLOOKUP($C676,daily_dates,big_daily_table)))</f>
        <v>#N/A</v>
      </c>
    </row>
    <row r="677" ht="14.25" customHeight="1">
      <c r="B677" s="7">
        <v>41582.0</v>
      </c>
      <c r="C677" s="7">
        <f t="shared" si="1"/>
        <v>41581</v>
      </c>
      <c r="D677" s="1" t="str">
        <f t="array" ref="D677">IF(ISBLANK(XLOOKUP(D$3,daily_items,XLOOKUP($C677,daily_dates,big_daily_table))),NA(),XLOOKUP(D$3,daily_items,XLOOKUP($C677,daily_dates,big_daily_table)))</f>
        <v>#N/A</v>
      </c>
      <c r="E677" s="1" t="str">
        <f t="array" ref="E677">IF(ISBLANK(XLOOKUP(E$3,daily_items,XLOOKUP($C677,daily_dates,big_daily_table))),NA(),XLOOKUP(E$3,daily_items,XLOOKUP($C677,daily_dates,big_daily_table)))</f>
        <v>#N/A</v>
      </c>
    </row>
    <row r="678" ht="14.25" customHeight="1">
      <c r="B678" s="7">
        <v>41583.0</v>
      </c>
      <c r="C678" s="7">
        <f t="shared" si="1"/>
        <v>41581</v>
      </c>
      <c r="D678" s="1" t="str">
        <f t="array" ref="D678">IF(ISBLANK(XLOOKUP(D$3,daily_items,XLOOKUP($C678,daily_dates,big_daily_table))),NA(),XLOOKUP(D$3,daily_items,XLOOKUP($C678,daily_dates,big_daily_table)))</f>
        <v>#N/A</v>
      </c>
      <c r="E678" s="1" t="str">
        <f t="array" ref="E678">IF(ISBLANK(XLOOKUP(E$3,daily_items,XLOOKUP($C678,daily_dates,big_daily_table))),NA(),XLOOKUP(E$3,daily_items,XLOOKUP($C678,daily_dates,big_daily_table)))</f>
        <v>#N/A</v>
      </c>
    </row>
    <row r="679" ht="14.25" customHeight="1">
      <c r="B679" s="7">
        <v>41584.0</v>
      </c>
      <c r="C679" s="7">
        <f t="shared" si="1"/>
        <v>41581</v>
      </c>
      <c r="D679" s="1" t="str">
        <f t="array" ref="D679">IF(ISBLANK(XLOOKUP(D$3,daily_items,XLOOKUP($C679,daily_dates,big_daily_table))),NA(),XLOOKUP(D$3,daily_items,XLOOKUP($C679,daily_dates,big_daily_table)))</f>
        <v>#N/A</v>
      </c>
      <c r="E679" s="1" t="str">
        <f t="array" ref="E679">IF(ISBLANK(XLOOKUP(E$3,daily_items,XLOOKUP($C679,daily_dates,big_daily_table))),NA(),XLOOKUP(E$3,daily_items,XLOOKUP($C679,daily_dates,big_daily_table)))</f>
        <v>#N/A</v>
      </c>
    </row>
    <row r="680" ht="14.25" customHeight="1">
      <c r="B680" s="7">
        <v>41585.0</v>
      </c>
      <c r="C680" s="7">
        <f t="shared" si="1"/>
        <v>41581</v>
      </c>
      <c r="D680" s="1" t="str">
        <f t="array" ref="D680">IF(ISBLANK(XLOOKUP(D$3,daily_items,XLOOKUP($C680,daily_dates,big_daily_table))),NA(),XLOOKUP(D$3,daily_items,XLOOKUP($C680,daily_dates,big_daily_table)))</f>
        <v>#N/A</v>
      </c>
      <c r="E680" s="1" t="str">
        <f t="array" ref="E680">IF(ISBLANK(XLOOKUP(E$3,daily_items,XLOOKUP($C680,daily_dates,big_daily_table))),NA(),XLOOKUP(E$3,daily_items,XLOOKUP($C680,daily_dates,big_daily_table)))</f>
        <v>#N/A</v>
      </c>
    </row>
    <row r="681" ht="14.25" customHeight="1">
      <c r="B681" s="7">
        <v>41586.0</v>
      </c>
      <c r="C681" s="7">
        <f t="shared" si="1"/>
        <v>41581</v>
      </c>
      <c r="D681" s="1" t="str">
        <f t="array" ref="D681">IF(ISBLANK(XLOOKUP(D$3,daily_items,XLOOKUP($C681,daily_dates,big_daily_table))),NA(),XLOOKUP(D$3,daily_items,XLOOKUP($C681,daily_dates,big_daily_table)))</f>
        <v>#N/A</v>
      </c>
      <c r="E681" s="1" t="str">
        <f t="array" ref="E681">IF(ISBLANK(XLOOKUP(E$3,daily_items,XLOOKUP($C681,daily_dates,big_daily_table))),NA(),XLOOKUP(E$3,daily_items,XLOOKUP($C681,daily_dates,big_daily_table)))</f>
        <v>#N/A</v>
      </c>
    </row>
    <row r="682" ht="14.25" customHeight="1">
      <c r="B682" s="7">
        <v>41587.0</v>
      </c>
      <c r="C682" s="7">
        <f t="shared" si="1"/>
        <v>41581</v>
      </c>
      <c r="D682" s="1" t="str">
        <f t="array" ref="D682">IF(ISBLANK(XLOOKUP(D$3,daily_items,XLOOKUP($C682,daily_dates,big_daily_table))),NA(),XLOOKUP(D$3,daily_items,XLOOKUP($C682,daily_dates,big_daily_table)))</f>
        <v>#N/A</v>
      </c>
      <c r="E682" s="1" t="str">
        <f t="array" ref="E682">IF(ISBLANK(XLOOKUP(E$3,daily_items,XLOOKUP($C682,daily_dates,big_daily_table))),NA(),XLOOKUP(E$3,daily_items,XLOOKUP($C682,daily_dates,big_daily_table)))</f>
        <v>#N/A</v>
      </c>
    </row>
    <row r="683" ht="14.25" customHeight="1">
      <c r="B683" s="7">
        <v>41588.0</v>
      </c>
      <c r="C683" s="7">
        <f t="shared" si="1"/>
        <v>41588</v>
      </c>
      <c r="D683" s="1" t="str">
        <f t="array" ref="D683">IF(ISBLANK(XLOOKUP(D$3,daily_items,XLOOKUP($C683,daily_dates,big_daily_table))),NA(),XLOOKUP(D$3,daily_items,XLOOKUP($C683,daily_dates,big_daily_table)))</f>
        <v>#N/A</v>
      </c>
      <c r="E683" s="1" t="str">
        <f t="array" ref="E683">IF(ISBLANK(XLOOKUP(E$3,daily_items,XLOOKUP($C683,daily_dates,big_daily_table))),NA(),XLOOKUP(E$3,daily_items,XLOOKUP($C683,daily_dates,big_daily_table)))</f>
        <v>#N/A</v>
      </c>
    </row>
    <row r="684" ht="14.25" customHeight="1">
      <c r="B684" s="7">
        <v>41589.0</v>
      </c>
      <c r="C684" s="7">
        <f t="shared" si="1"/>
        <v>41588</v>
      </c>
      <c r="D684" s="1" t="str">
        <f t="array" ref="D684">IF(ISBLANK(XLOOKUP(D$3,daily_items,XLOOKUP($C684,daily_dates,big_daily_table))),NA(),XLOOKUP(D$3,daily_items,XLOOKUP($C684,daily_dates,big_daily_table)))</f>
        <v>#N/A</v>
      </c>
      <c r="E684" s="1" t="str">
        <f t="array" ref="E684">IF(ISBLANK(XLOOKUP(E$3,daily_items,XLOOKUP($C684,daily_dates,big_daily_table))),NA(),XLOOKUP(E$3,daily_items,XLOOKUP($C684,daily_dates,big_daily_table)))</f>
        <v>#N/A</v>
      </c>
    </row>
    <row r="685" ht="14.25" customHeight="1">
      <c r="B685" s="7">
        <v>41590.0</v>
      </c>
      <c r="C685" s="7">
        <f t="shared" si="1"/>
        <v>41588</v>
      </c>
      <c r="D685" s="1" t="str">
        <f t="array" ref="D685">IF(ISBLANK(XLOOKUP(D$3,daily_items,XLOOKUP($C685,daily_dates,big_daily_table))),NA(),XLOOKUP(D$3,daily_items,XLOOKUP($C685,daily_dates,big_daily_table)))</f>
        <v>#N/A</v>
      </c>
      <c r="E685" s="1" t="str">
        <f t="array" ref="E685">IF(ISBLANK(XLOOKUP(E$3,daily_items,XLOOKUP($C685,daily_dates,big_daily_table))),NA(),XLOOKUP(E$3,daily_items,XLOOKUP($C685,daily_dates,big_daily_table)))</f>
        <v>#N/A</v>
      </c>
    </row>
    <row r="686" ht="14.25" customHeight="1">
      <c r="B686" s="7">
        <v>41591.0</v>
      </c>
      <c r="C686" s="7">
        <f t="shared" si="1"/>
        <v>41588</v>
      </c>
      <c r="D686" s="1" t="str">
        <f t="array" ref="D686">IF(ISBLANK(XLOOKUP(D$3,daily_items,XLOOKUP($C686,daily_dates,big_daily_table))),NA(),XLOOKUP(D$3,daily_items,XLOOKUP($C686,daily_dates,big_daily_table)))</f>
        <v>#N/A</v>
      </c>
      <c r="E686" s="1" t="str">
        <f t="array" ref="E686">IF(ISBLANK(XLOOKUP(E$3,daily_items,XLOOKUP($C686,daily_dates,big_daily_table))),NA(),XLOOKUP(E$3,daily_items,XLOOKUP($C686,daily_dates,big_daily_table)))</f>
        <v>#N/A</v>
      </c>
    </row>
    <row r="687" ht="14.25" customHeight="1">
      <c r="B687" s="7">
        <v>41592.0</v>
      </c>
      <c r="C687" s="7">
        <f t="shared" si="1"/>
        <v>41588</v>
      </c>
      <c r="D687" s="1" t="str">
        <f t="array" ref="D687">IF(ISBLANK(XLOOKUP(D$3,daily_items,XLOOKUP($C687,daily_dates,big_daily_table))),NA(),XLOOKUP(D$3,daily_items,XLOOKUP($C687,daily_dates,big_daily_table)))</f>
        <v>#N/A</v>
      </c>
      <c r="E687" s="1" t="str">
        <f t="array" ref="E687">IF(ISBLANK(XLOOKUP(E$3,daily_items,XLOOKUP($C687,daily_dates,big_daily_table))),NA(),XLOOKUP(E$3,daily_items,XLOOKUP($C687,daily_dates,big_daily_table)))</f>
        <v>#N/A</v>
      </c>
    </row>
    <row r="688" ht="14.25" customHeight="1">
      <c r="B688" s="7">
        <v>41593.0</v>
      </c>
      <c r="C688" s="7">
        <f t="shared" si="1"/>
        <v>41588</v>
      </c>
      <c r="D688" s="1" t="str">
        <f t="array" ref="D688">IF(ISBLANK(XLOOKUP(D$3,daily_items,XLOOKUP($C688,daily_dates,big_daily_table))),NA(),XLOOKUP(D$3,daily_items,XLOOKUP($C688,daily_dates,big_daily_table)))</f>
        <v>#N/A</v>
      </c>
      <c r="E688" s="1" t="str">
        <f t="array" ref="E688">IF(ISBLANK(XLOOKUP(E$3,daily_items,XLOOKUP($C688,daily_dates,big_daily_table))),NA(),XLOOKUP(E$3,daily_items,XLOOKUP($C688,daily_dates,big_daily_table)))</f>
        <v>#N/A</v>
      </c>
    </row>
    <row r="689" ht="14.25" customHeight="1">
      <c r="B689" s="7">
        <v>41594.0</v>
      </c>
      <c r="C689" s="7">
        <f t="shared" si="1"/>
        <v>41588</v>
      </c>
      <c r="D689" s="1" t="str">
        <f t="array" ref="D689">IF(ISBLANK(XLOOKUP(D$3,daily_items,XLOOKUP($C689,daily_dates,big_daily_table))),NA(),XLOOKUP(D$3,daily_items,XLOOKUP($C689,daily_dates,big_daily_table)))</f>
        <v>#N/A</v>
      </c>
      <c r="E689" s="1" t="str">
        <f t="array" ref="E689">IF(ISBLANK(XLOOKUP(E$3,daily_items,XLOOKUP($C689,daily_dates,big_daily_table))),NA(),XLOOKUP(E$3,daily_items,XLOOKUP($C689,daily_dates,big_daily_table)))</f>
        <v>#N/A</v>
      </c>
    </row>
    <row r="690" ht="14.25" customHeight="1">
      <c r="B690" s="7">
        <v>41595.0</v>
      </c>
      <c r="C690" s="7">
        <f t="shared" si="1"/>
        <v>41595</v>
      </c>
      <c r="D690" s="1" t="str">
        <f t="array" ref="D690">IF(ISBLANK(XLOOKUP(D$3,daily_items,XLOOKUP($C690,daily_dates,big_daily_table))),NA(),XLOOKUP(D$3,daily_items,XLOOKUP($C690,daily_dates,big_daily_table)))</f>
        <v>#N/A</v>
      </c>
      <c r="E690" s="1" t="str">
        <f t="array" ref="E690">IF(ISBLANK(XLOOKUP(E$3,daily_items,XLOOKUP($C690,daily_dates,big_daily_table))),NA(),XLOOKUP(E$3,daily_items,XLOOKUP($C690,daily_dates,big_daily_table)))</f>
        <v>#N/A</v>
      </c>
    </row>
    <row r="691" ht="14.25" customHeight="1">
      <c r="B691" s="7">
        <v>41596.0</v>
      </c>
      <c r="C691" s="7">
        <f t="shared" si="1"/>
        <v>41595</v>
      </c>
      <c r="D691" s="1" t="str">
        <f t="array" ref="D691">IF(ISBLANK(XLOOKUP(D$3,daily_items,XLOOKUP($C691,daily_dates,big_daily_table))),NA(),XLOOKUP(D$3,daily_items,XLOOKUP($C691,daily_dates,big_daily_table)))</f>
        <v>#N/A</v>
      </c>
      <c r="E691" s="1" t="str">
        <f t="array" ref="E691">IF(ISBLANK(XLOOKUP(E$3,daily_items,XLOOKUP($C691,daily_dates,big_daily_table))),NA(),XLOOKUP(E$3,daily_items,XLOOKUP($C691,daily_dates,big_daily_table)))</f>
        <v>#N/A</v>
      </c>
    </row>
    <row r="692" ht="14.25" customHeight="1">
      <c r="B692" s="7">
        <v>41597.0</v>
      </c>
      <c r="C692" s="7">
        <f t="shared" si="1"/>
        <v>41595</v>
      </c>
      <c r="D692" s="1" t="str">
        <f t="array" ref="D692">IF(ISBLANK(XLOOKUP(D$3,daily_items,XLOOKUP($C692,daily_dates,big_daily_table))),NA(),XLOOKUP(D$3,daily_items,XLOOKUP($C692,daily_dates,big_daily_table)))</f>
        <v>#N/A</v>
      </c>
      <c r="E692" s="1" t="str">
        <f t="array" ref="E692">IF(ISBLANK(XLOOKUP(E$3,daily_items,XLOOKUP($C692,daily_dates,big_daily_table))),NA(),XLOOKUP(E$3,daily_items,XLOOKUP($C692,daily_dates,big_daily_table)))</f>
        <v>#N/A</v>
      </c>
    </row>
    <row r="693" ht="14.25" customHeight="1">
      <c r="B693" s="7">
        <v>41598.0</v>
      </c>
      <c r="C693" s="7">
        <f t="shared" si="1"/>
        <v>41595</v>
      </c>
      <c r="D693" s="1" t="str">
        <f t="array" ref="D693">IF(ISBLANK(XLOOKUP(D$3,daily_items,XLOOKUP($C693,daily_dates,big_daily_table))),NA(),XLOOKUP(D$3,daily_items,XLOOKUP($C693,daily_dates,big_daily_table)))</f>
        <v>#N/A</v>
      </c>
      <c r="E693" s="1" t="str">
        <f t="array" ref="E693">IF(ISBLANK(XLOOKUP(E$3,daily_items,XLOOKUP($C693,daily_dates,big_daily_table))),NA(),XLOOKUP(E$3,daily_items,XLOOKUP($C693,daily_dates,big_daily_table)))</f>
        <v>#N/A</v>
      </c>
    </row>
    <row r="694" ht="14.25" customHeight="1">
      <c r="B694" s="7">
        <v>41599.0</v>
      </c>
      <c r="C694" s="7">
        <f t="shared" si="1"/>
        <v>41595</v>
      </c>
      <c r="D694" s="1" t="str">
        <f t="array" ref="D694">IF(ISBLANK(XLOOKUP(D$3,daily_items,XLOOKUP($C694,daily_dates,big_daily_table))),NA(),XLOOKUP(D$3,daily_items,XLOOKUP($C694,daily_dates,big_daily_table)))</f>
        <v>#N/A</v>
      </c>
      <c r="E694" s="1" t="str">
        <f t="array" ref="E694">IF(ISBLANK(XLOOKUP(E$3,daily_items,XLOOKUP($C694,daily_dates,big_daily_table))),NA(),XLOOKUP(E$3,daily_items,XLOOKUP($C694,daily_dates,big_daily_table)))</f>
        <v>#N/A</v>
      </c>
    </row>
    <row r="695" ht="14.25" customHeight="1">
      <c r="B695" s="7">
        <v>41600.0</v>
      </c>
      <c r="C695" s="7">
        <f t="shared" si="1"/>
        <v>41595</v>
      </c>
      <c r="D695" s="1" t="str">
        <f t="array" ref="D695">IF(ISBLANK(XLOOKUP(D$3,daily_items,XLOOKUP($C695,daily_dates,big_daily_table))),NA(),XLOOKUP(D$3,daily_items,XLOOKUP($C695,daily_dates,big_daily_table)))</f>
        <v>#N/A</v>
      </c>
      <c r="E695" s="1" t="str">
        <f t="array" ref="E695">IF(ISBLANK(XLOOKUP(E$3,daily_items,XLOOKUP($C695,daily_dates,big_daily_table))),NA(),XLOOKUP(E$3,daily_items,XLOOKUP($C695,daily_dates,big_daily_table)))</f>
        <v>#N/A</v>
      </c>
    </row>
    <row r="696" ht="14.25" customHeight="1">
      <c r="B696" s="7">
        <v>41601.0</v>
      </c>
      <c r="C696" s="7">
        <f t="shared" si="1"/>
        <v>41595</v>
      </c>
      <c r="D696" s="1" t="str">
        <f t="array" ref="D696">IF(ISBLANK(XLOOKUP(D$3,daily_items,XLOOKUP($C696,daily_dates,big_daily_table))),NA(),XLOOKUP(D$3,daily_items,XLOOKUP($C696,daily_dates,big_daily_table)))</f>
        <v>#N/A</v>
      </c>
      <c r="E696" s="1" t="str">
        <f t="array" ref="E696">IF(ISBLANK(XLOOKUP(E$3,daily_items,XLOOKUP($C696,daily_dates,big_daily_table))),NA(),XLOOKUP(E$3,daily_items,XLOOKUP($C696,daily_dates,big_daily_table)))</f>
        <v>#N/A</v>
      </c>
    </row>
    <row r="697" ht="14.25" customHeight="1">
      <c r="B697" s="7">
        <v>41602.0</v>
      </c>
      <c r="C697" s="7">
        <f t="shared" si="1"/>
        <v>41602</v>
      </c>
      <c r="D697" s="1" t="str">
        <f t="array" ref="D697">IF(ISBLANK(XLOOKUP(D$3,daily_items,XLOOKUP($C697,daily_dates,big_daily_table))),NA(),XLOOKUP(D$3,daily_items,XLOOKUP($C697,daily_dates,big_daily_table)))</f>
        <v>#N/A</v>
      </c>
      <c r="E697" s="1" t="str">
        <f t="array" ref="E697">IF(ISBLANK(XLOOKUP(E$3,daily_items,XLOOKUP($C697,daily_dates,big_daily_table))),NA(),XLOOKUP(E$3,daily_items,XLOOKUP($C697,daily_dates,big_daily_table)))</f>
        <v>#N/A</v>
      </c>
    </row>
    <row r="698" ht="14.25" customHeight="1">
      <c r="B698" s="7">
        <v>41603.0</v>
      </c>
      <c r="C698" s="7">
        <f t="shared" si="1"/>
        <v>41602</v>
      </c>
      <c r="D698" s="1" t="str">
        <f t="array" ref="D698">IF(ISBLANK(XLOOKUP(D$3,daily_items,XLOOKUP($C698,daily_dates,big_daily_table))),NA(),XLOOKUP(D$3,daily_items,XLOOKUP($C698,daily_dates,big_daily_table)))</f>
        <v>#N/A</v>
      </c>
      <c r="E698" s="1" t="str">
        <f t="array" ref="E698">IF(ISBLANK(XLOOKUP(E$3,daily_items,XLOOKUP($C698,daily_dates,big_daily_table))),NA(),XLOOKUP(E$3,daily_items,XLOOKUP($C698,daily_dates,big_daily_table)))</f>
        <v>#N/A</v>
      </c>
    </row>
    <row r="699" ht="14.25" customHeight="1">
      <c r="B699" s="7">
        <v>41604.0</v>
      </c>
      <c r="C699" s="7">
        <f t="shared" si="1"/>
        <v>41602</v>
      </c>
      <c r="D699" s="1" t="str">
        <f t="array" ref="D699">IF(ISBLANK(XLOOKUP(D$3,daily_items,XLOOKUP($C699,daily_dates,big_daily_table))),NA(),XLOOKUP(D$3,daily_items,XLOOKUP($C699,daily_dates,big_daily_table)))</f>
        <v>#N/A</v>
      </c>
      <c r="E699" s="1" t="str">
        <f t="array" ref="E699">IF(ISBLANK(XLOOKUP(E$3,daily_items,XLOOKUP($C699,daily_dates,big_daily_table))),NA(),XLOOKUP(E$3,daily_items,XLOOKUP($C699,daily_dates,big_daily_table)))</f>
        <v>#N/A</v>
      </c>
    </row>
    <row r="700" ht="14.25" customHeight="1">
      <c r="B700" s="7">
        <v>41605.0</v>
      </c>
      <c r="C700" s="7">
        <f t="shared" si="1"/>
        <v>41602</v>
      </c>
      <c r="D700" s="1" t="str">
        <f t="array" ref="D700">IF(ISBLANK(XLOOKUP(D$3,daily_items,XLOOKUP($C700,daily_dates,big_daily_table))),NA(),XLOOKUP(D$3,daily_items,XLOOKUP($C700,daily_dates,big_daily_table)))</f>
        <v>#N/A</v>
      </c>
      <c r="E700" s="1" t="str">
        <f t="array" ref="E700">IF(ISBLANK(XLOOKUP(E$3,daily_items,XLOOKUP($C700,daily_dates,big_daily_table))),NA(),XLOOKUP(E$3,daily_items,XLOOKUP($C700,daily_dates,big_daily_table)))</f>
        <v>#N/A</v>
      </c>
    </row>
    <row r="701" ht="14.25" customHeight="1">
      <c r="B701" s="7">
        <v>41606.0</v>
      </c>
      <c r="C701" s="7">
        <f t="shared" si="1"/>
        <v>41602</v>
      </c>
      <c r="D701" s="1" t="str">
        <f t="array" ref="D701">IF(ISBLANK(XLOOKUP(D$3,daily_items,XLOOKUP($C701,daily_dates,big_daily_table))),NA(),XLOOKUP(D$3,daily_items,XLOOKUP($C701,daily_dates,big_daily_table)))</f>
        <v>#N/A</v>
      </c>
      <c r="E701" s="1" t="str">
        <f t="array" ref="E701">IF(ISBLANK(XLOOKUP(E$3,daily_items,XLOOKUP($C701,daily_dates,big_daily_table))),NA(),XLOOKUP(E$3,daily_items,XLOOKUP($C701,daily_dates,big_daily_table)))</f>
        <v>#N/A</v>
      </c>
    </row>
    <row r="702" ht="14.25" customHeight="1">
      <c r="B702" s="7">
        <v>41607.0</v>
      </c>
      <c r="C702" s="7">
        <f t="shared" si="1"/>
        <v>41602</v>
      </c>
      <c r="D702" s="1" t="str">
        <f t="array" ref="D702">IF(ISBLANK(XLOOKUP(D$3,daily_items,XLOOKUP($C702,daily_dates,big_daily_table))),NA(),XLOOKUP(D$3,daily_items,XLOOKUP($C702,daily_dates,big_daily_table)))</f>
        <v>#N/A</v>
      </c>
      <c r="E702" s="1" t="str">
        <f t="array" ref="E702">IF(ISBLANK(XLOOKUP(E$3,daily_items,XLOOKUP($C702,daily_dates,big_daily_table))),NA(),XLOOKUP(E$3,daily_items,XLOOKUP($C702,daily_dates,big_daily_table)))</f>
        <v>#N/A</v>
      </c>
    </row>
    <row r="703" ht="14.25" customHeight="1">
      <c r="B703" s="7">
        <v>41608.0</v>
      </c>
      <c r="C703" s="7">
        <f t="shared" si="1"/>
        <v>41602</v>
      </c>
      <c r="D703" s="1" t="str">
        <f t="array" ref="D703">IF(ISBLANK(XLOOKUP(D$3,daily_items,XLOOKUP($C703,daily_dates,big_daily_table))),NA(),XLOOKUP(D$3,daily_items,XLOOKUP($C703,daily_dates,big_daily_table)))</f>
        <v>#N/A</v>
      </c>
      <c r="E703" s="1" t="str">
        <f t="array" ref="E703">IF(ISBLANK(XLOOKUP(E$3,daily_items,XLOOKUP($C703,daily_dates,big_daily_table))),NA(),XLOOKUP(E$3,daily_items,XLOOKUP($C703,daily_dates,big_daily_table)))</f>
        <v>#N/A</v>
      </c>
    </row>
    <row r="704" ht="14.25" customHeight="1">
      <c r="B704" s="7">
        <v>41609.0</v>
      </c>
      <c r="C704" s="7">
        <f t="shared" si="1"/>
        <v>41609</v>
      </c>
      <c r="D704" s="1" t="str">
        <f t="array" ref="D704">IF(ISBLANK(XLOOKUP(D$3,daily_items,XLOOKUP($C704,daily_dates,big_daily_table))),NA(),XLOOKUP(D$3,daily_items,XLOOKUP($C704,daily_dates,big_daily_table)))</f>
        <v>#N/A</v>
      </c>
      <c r="E704" s="1" t="str">
        <f t="array" ref="E704">IF(ISBLANK(XLOOKUP(E$3,daily_items,XLOOKUP($C704,daily_dates,big_daily_table))),NA(),XLOOKUP(E$3,daily_items,XLOOKUP($C704,daily_dates,big_daily_table)))</f>
        <v>#N/A</v>
      </c>
    </row>
    <row r="705" ht="14.25" customHeight="1">
      <c r="B705" s="7">
        <v>41610.0</v>
      </c>
      <c r="C705" s="7">
        <f t="shared" si="1"/>
        <v>41609</v>
      </c>
      <c r="D705" s="1" t="str">
        <f t="array" ref="D705">IF(ISBLANK(XLOOKUP(D$3,daily_items,XLOOKUP($C705,daily_dates,big_daily_table))),NA(),XLOOKUP(D$3,daily_items,XLOOKUP($C705,daily_dates,big_daily_table)))</f>
        <v>#N/A</v>
      </c>
      <c r="E705" s="1" t="str">
        <f t="array" ref="E705">IF(ISBLANK(XLOOKUP(E$3,daily_items,XLOOKUP($C705,daily_dates,big_daily_table))),NA(),XLOOKUP(E$3,daily_items,XLOOKUP($C705,daily_dates,big_daily_table)))</f>
        <v>#N/A</v>
      </c>
    </row>
    <row r="706" ht="14.25" customHeight="1">
      <c r="B706" s="7">
        <v>41611.0</v>
      </c>
      <c r="C706" s="7">
        <f t="shared" si="1"/>
        <v>41609</v>
      </c>
      <c r="D706" s="1" t="str">
        <f t="array" ref="D706">IF(ISBLANK(XLOOKUP(D$3,daily_items,XLOOKUP($C706,daily_dates,big_daily_table))),NA(),XLOOKUP(D$3,daily_items,XLOOKUP($C706,daily_dates,big_daily_table)))</f>
        <v>#N/A</v>
      </c>
      <c r="E706" s="1" t="str">
        <f t="array" ref="E706">IF(ISBLANK(XLOOKUP(E$3,daily_items,XLOOKUP($C706,daily_dates,big_daily_table))),NA(),XLOOKUP(E$3,daily_items,XLOOKUP($C706,daily_dates,big_daily_table)))</f>
        <v>#N/A</v>
      </c>
    </row>
    <row r="707" ht="14.25" customHeight="1">
      <c r="B707" s="7">
        <v>41612.0</v>
      </c>
      <c r="C707" s="7">
        <f t="shared" si="1"/>
        <v>41609</v>
      </c>
      <c r="D707" s="1" t="str">
        <f t="array" ref="D707">IF(ISBLANK(XLOOKUP(D$3,daily_items,XLOOKUP($C707,daily_dates,big_daily_table))),NA(),XLOOKUP(D$3,daily_items,XLOOKUP($C707,daily_dates,big_daily_table)))</f>
        <v>#N/A</v>
      </c>
      <c r="E707" s="1" t="str">
        <f t="array" ref="E707">IF(ISBLANK(XLOOKUP(E$3,daily_items,XLOOKUP($C707,daily_dates,big_daily_table))),NA(),XLOOKUP(E$3,daily_items,XLOOKUP($C707,daily_dates,big_daily_table)))</f>
        <v>#N/A</v>
      </c>
    </row>
    <row r="708" ht="14.25" customHeight="1">
      <c r="B708" s="7">
        <v>41613.0</v>
      </c>
      <c r="C708" s="7">
        <f t="shared" si="1"/>
        <v>41609</v>
      </c>
      <c r="D708" s="1" t="str">
        <f t="array" ref="D708">IF(ISBLANK(XLOOKUP(D$3,daily_items,XLOOKUP($C708,daily_dates,big_daily_table))),NA(),XLOOKUP(D$3,daily_items,XLOOKUP($C708,daily_dates,big_daily_table)))</f>
        <v>#N/A</v>
      </c>
      <c r="E708" s="1" t="str">
        <f t="array" ref="E708">IF(ISBLANK(XLOOKUP(E$3,daily_items,XLOOKUP($C708,daily_dates,big_daily_table))),NA(),XLOOKUP(E$3,daily_items,XLOOKUP($C708,daily_dates,big_daily_table)))</f>
        <v>#N/A</v>
      </c>
    </row>
    <row r="709" ht="14.25" customHeight="1">
      <c r="B709" s="7">
        <v>41614.0</v>
      </c>
      <c r="C709" s="7">
        <f t="shared" si="1"/>
        <v>41609</v>
      </c>
      <c r="D709" s="1" t="str">
        <f t="array" ref="D709">IF(ISBLANK(XLOOKUP(D$3,daily_items,XLOOKUP($C709,daily_dates,big_daily_table))),NA(),XLOOKUP(D$3,daily_items,XLOOKUP($C709,daily_dates,big_daily_table)))</f>
        <v>#N/A</v>
      </c>
      <c r="E709" s="1" t="str">
        <f t="array" ref="E709">IF(ISBLANK(XLOOKUP(E$3,daily_items,XLOOKUP($C709,daily_dates,big_daily_table))),NA(),XLOOKUP(E$3,daily_items,XLOOKUP($C709,daily_dates,big_daily_table)))</f>
        <v>#N/A</v>
      </c>
    </row>
    <row r="710" ht="14.25" customHeight="1">
      <c r="B710" s="7">
        <v>41615.0</v>
      </c>
      <c r="C710" s="7">
        <f t="shared" si="1"/>
        <v>41609</v>
      </c>
      <c r="D710" s="1" t="str">
        <f t="array" ref="D710">IF(ISBLANK(XLOOKUP(D$3,daily_items,XLOOKUP($C710,daily_dates,big_daily_table))),NA(),XLOOKUP(D$3,daily_items,XLOOKUP($C710,daily_dates,big_daily_table)))</f>
        <v>#N/A</v>
      </c>
      <c r="E710" s="1" t="str">
        <f t="array" ref="E710">IF(ISBLANK(XLOOKUP(E$3,daily_items,XLOOKUP($C710,daily_dates,big_daily_table))),NA(),XLOOKUP(E$3,daily_items,XLOOKUP($C710,daily_dates,big_daily_table)))</f>
        <v>#N/A</v>
      </c>
    </row>
    <row r="711" ht="14.25" customHeight="1">
      <c r="B711" s="7">
        <v>41616.0</v>
      </c>
      <c r="C711" s="7">
        <f t="shared" si="1"/>
        <v>41616</v>
      </c>
      <c r="D711" s="1" t="str">
        <f t="array" ref="D711">IF(ISBLANK(XLOOKUP(D$3,daily_items,XLOOKUP($C711,daily_dates,big_daily_table))),NA(),XLOOKUP(D$3,daily_items,XLOOKUP($C711,daily_dates,big_daily_table)))</f>
        <v>#N/A</v>
      </c>
      <c r="E711" s="1" t="str">
        <f t="array" ref="E711">IF(ISBLANK(XLOOKUP(E$3,daily_items,XLOOKUP($C711,daily_dates,big_daily_table))),NA(),XLOOKUP(E$3,daily_items,XLOOKUP($C711,daily_dates,big_daily_table)))</f>
        <v>#N/A</v>
      </c>
    </row>
    <row r="712" ht="14.25" customHeight="1">
      <c r="B712" s="7">
        <v>41617.0</v>
      </c>
      <c r="C712" s="7">
        <f t="shared" si="1"/>
        <v>41616</v>
      </c>
      <c r="D712" s="1" t="str">
        <f t="array" ref="D712">IF(ISBLANK(XLOOKUP(D$3,daily_items,XLOOKUP($C712,daily_dates,big_daily_table))),NA(),XLOOKUP(D$3,daily_items,XLOOKUP($C712,daily_dates,big_daily_table)))</f>
        <v>#N/A</v>
      </c>
      <c r="E712" s="1" t="str">
        <f t="array" ref="E712">IF(ISBLANK(XLOOKUP(E$3,daily_items,XLOOKUP($C712,daily_dates,big_daily_table))),NA(),XLOOKUP(E$3,daily_items,XLOOKUP($C712,daily_dates,big_daily_table)))</f>
        <v>#N/A</v>
      </c>
    </row>
    <row r="713" ht="14.25" customHeight="1">
      <c r="B713" s="7">
        <v>41618.0</v>
      </c>
      <c r="C713" s="7">
        <f t="shared" si="1"/>
        <v>41616</v>
      </c>
      <c r="D713" s="1" t="str">
        <f t="array" ref="D713">IF(ISBLANK(XLOOKUP(D$3,daily_items,XLOOKUP($C713,daily_dates,big_daily_table))),NA(),XLOOKUP(D$3,daily_items,XLOOKUP($C713,daily_dates,big_daily_table)))</f>
        <v>#N/A</v>
      </c>
      <c r="E713" s="1" t="str">
        <f t="array" ref="E713">IF(ISBLANK(XLOOKUP(E$3,daily_items,XLOOKUP($C713,daily_dates,big_daily_table))),NA(),XLOOKUP(E$3,daily_items,XLOOKUP($C713,daily_dates,big_daily_table)))</f>
        <v>#N/A</v>
      </c>
    </row>
    <row r="714" ht="14.25" customHeight="1">
      <c r="B714" s="7">
        <v>41619.0</v>
      </c>
      <c r="C714" s="7">
        <f t="shared" si="1"/>
        <v>41616</v>
      </c>
      <c r="D714" s="1" t="str">
        <f t="array" ref="D714">IF(ISBLANK(XLOOKUP(D$3,daily_items,XLOOKUP($C714,daily_dates,big_daily_table))),NA(),XLOOKUP(D$3,daily_items,XLOOKUP($C714,daily_dates,big_daily_table)))</f>
        <v>#N/A</v>
      </c>
      <c r="E714" s="1" t="str">
        <f t="array" ref="E714">IF(ISBLANK(XLOOKUP(E$3,daily_items,XLOOKUP($C714,daily_dates,big_daily_table))),NA(),XLOOKUP(E$3,daily_items,XLOOKUP($C714,daily_dates,big_daily_table)))</f>
        <v>#N/A</v>
      </c>
    </row>
    <row r="715" ht="14.25" customHeight="1">
      <c r="B715" s="7">
        <v>41620.0</v>
      </c>
      <c r="C715" s="7">
        <f t="shared" si="1"/>
        <v>41616</v>
      </c>
      <c r="D715" s="1" t="str">
        <f t="array" ref="D715">IF(ISBLANK(XLOOKUP(D$3,daily_items,XLOOKUP($C715,daily_dates,big_daily_table))),NA(),XLOOKUP(D$3,daily_items,XLOOKUP($C715,daily_dates,big_daily_table)))</f>
        <v>#N/A</v>
      </c>
      <c r="E715" s="1" t="str">
        <f t="array" ref="E715">IF(ISBLANK(XLOOKUP(E$3,daily_items,XLOOKUP($C715,daily_dates,big_daily_table))),NA(),XLOOKUP(E$3,daily_items,XLOOKUP($C715,daily_dates,big_daily_table)))</f>
        <v>#N/A</v>
      </c>
    </row>
    <row r="716" ht="14.25" customHeight="1">
      <c r="B716" s="7">
        <v>41621.0</v>
      </c>
      <c r="C716" s="7">
        <f t="shared" si="1"/>
        <v>41616</v>
      </c>
      <c r="D716" s="1" t="str">
        <f t="array" ref="D716">IF(ISBLANK(XLOOKUP(D$3,daily_items,XLOOKUP($C716,daily_dates,big_daily_table))),NA(),XLOOKUP(D$3,daily_items,XLOOKUP($C716,daily_dates,big_daily_table)))</f>
        <v>#N/A</v>
      </c>
      <c r="E716" s="1" t="str">
        <f t="array" ref="E716">IF(ISBLANK(XLOOKUP(E$3,daily_items,XLOOKUP($C716,daily_dates,big_daily_table))),NA(),XLOOKUP(E$3,daily_items,XLOOKUP($C716,daily_dates,big_daily_table)))</f>
        <v>#N/A</v>
      </c>
    </row>
    <row r="717" ht="14.25" customHeight="1">
      <c r="B717" s="7">
        <v>41622.0</v>
      </c>
      <c r="C717" s="7">
        <f t="shared" si="1"/>
        <v>41616</v>
      </c>
      <c r="D717" s="1" t="str">
        <f t="array" ref="D717">IF(ISBLANK(XLOOKUP(D$3,daily_items,XLOOKUP($C717,daily_dates,big_daily_table))),NA(),XLOOKUP(D$3,daily_items,XLOOKUP($C717,daily_dates,big_daily_table)))</f>
        <v>#N/A</v>
      </c>
      <c r="E717" s="1" t="str">
        <f t="array" ref="E717">IF(ISBLANK(XLOOKUP(E$3,daily_items,XLOOKUP($C717,daily_dates,big_daily_table))),NA(),XLOOKUP(E$3,daily_items,XLOOKUP($C717,daily_dates,big_daily_table)))</f>
        <v>#N/A</v>
      </c>
    </row>
    <row r="718" ht="14.25" customHeight="1">
      <c r="B718" s="7">
        <v>41623.0</v>
      </c>
      <c r="C718" s="7">
        <f t="shared" si="1"/>
        <v>41623</v>
      </c>
      <c r="D718" s="1" t="str">
        <f t="array" ref="D718">IF(ISBLANK(XLOOKUP(D$3,daily_items,XLOOKUP($C718,daily_dates,big_daily_table))),NA(),XLOOKUP(D$3,daily_items,XLOOKUP($C718,daily_dates,big_daily_table)))</f>
        <v>#N/A</v>
      </c>
      <c r="E718" s="1" t="str">
        <f t="array" ref="E718">IF(ISBLANK(XLOOKUP(E$3,daily_items,XLOOKUP($C718,daily_dates,big_daily_table))),NA(),XLOOKUP(E$3,daily_items,XLOOKUP($C718,daily_dates,big_daily_table)))</f>
        <v>#N/A</v>
      </c>
    </row>
    <row r="719" ht="14.25" customHeight="1">
      <c r="B719" s="7">
        <v>41624.0</v>
      </c>
      <c r="C719" s="7">
        <f t="shared" si="1"/>
        <v>41623</v>
      </c>
      <c r="D719" s="1" t="str">
        <f t="array" ref="D719">IF(ISBLANK(XLOOKUP(D$3,daily_items,XLOOKUP($C719,daily_dates,big_daily_table))),NA(),XLOOKUP(D$3,daily_items,XLOOKUP($C719,daily_dates,big_daily_table)))</f>
        <v>#N/A</v>
      </c>
      <c r="E719" s="1" t="str">
        <f t="array" ref="E719">IF(ISBLANK(XLOOKUP(E$3,daily_items,XLOOKUP($C719,daily_dates,big_daily_table))),NA(),XLOOKUP(E$3,daily_items,XLOOKUP($C719,daily_dates,big_daily_table)))</f>
        <v>#N/A</v>
      </c>
    </row>
    <row r="720" ht="14.25" customHeight="1">
      <c r="B720" s="7">
        <v>41625.0</v>
      </c>
      <c r="C720" s="7">
        <f t="shared" si="1"/>
        <v>41623</v>
      </c>
      <c r="D720" s="1" t="str">
        <f t="array" ref="D720">IF(ISBLANK(XLOOKUP(D$3,daily_items,XLOOKUP($C720,daily_dates,big_daily_table))),NA(),XLOOKUP(D$3,daily_items,XLOOKUP($C720,daily_dates,big_daily_table)))</f>
        <v>#N/A</v>
      </c>
      <c r="E720" s="1" t="str">
        <f t="array" ref="E720">IF(ISBLANK(XLOOKUP(E$3,daily_items,XLOOKUP($C720,daily_dates,big_daily_table))),NA(),XLOOKUP(E$3,daily_items,XLOOKUP($C720,daily_dates,big_daily_table)))</f>
        <v>#N/A</v>
      </c>
    </row>
    <row r="721" ht="14.25" customHeight="1">
      <c r="B721" s="7">
        <v>41626.0</v>
      </c>
      <c r="C721" s="7">
        <f t="shared" si="1"/>
        <v>41623</v>
      </c>
      <c r="D721" s="1" t="str">
        <f t="array" ref="D721">IF(ISBLANK(XLOOKUP(D$3,daily_items,XLOOKUP($C721,daily_dates,big_daily_table))),NA(),XLOOKUP(D$3,daily_items,XLOOKUP($C721,daily_dates,big_daily_table)))</f>
        <v>#N/A</v>
      </c>
      <c r="E721" s="1" t="str">
        <f t="array" ref="E721">IF(ISBLANK(XLOOKUP(E$3,daily_items,XLOOKUP($C721,daily_dates,big_daily_table))),NA(),XLOOKUP(E$3,daily_items,XLOOKUP($C721,daily_dates,big_daily_table)))</f>
        <v>#N/A</v>
      </c>
    </row>
    <row r="722" ht="14.25" customHeight="1">
      <c r="B722" s="7">
        <v>41627.0</v>
      </c>
      <c r="C722" s="7">
        <f t="shared" si="1"/>
        <v>41623</v>
      </c>
      <c r="D722" s="1" t="str">
        <f t="array" ref="D722">IF(ISBLANK(XLOOKUP(D$3,daily_items,XLOOKUP($C722,daily_dates,big_daily_table))),NA(),XLOOKUP(D$3,daily_items,XLOOKUP($C722,daily_dates,big_daily_table)))</f>
        <v>#N/A</v>
      </c>
      <c r="E722" s="1" t="str">
        <f t="array" ref="E722">IF(ISBLANK(XLOOKUP(E$3,daily_items,XLOOKUP($C722,daily_dates,big_daily_table))),NA(),XLOOKUP(E$3,daily_items,XLOOKUP($C722,daily_dates,big_daily_table)))</f>
        <v>#N/A</v>
      </c>
    </row>
    <row r="723" ht="14.25" customHeight="1">
      <c r="B723" s="7">
        <v>41628.0</v>
      </c>
      <c r="C723" s="7">
        <f t="shared" si="1"/>
        <v>41623</v>
      </c>
      <c r="D723" s="1" t="str">
        <f t="array" ref="D723">IF(ISBLANK(XLOOKUP(D$3,daily_items,XLOOKUP($C723,daily_dates,big_daily_table))),NA(),XLOOKUP(D$3,daily_items,XLOOKUP($C723,daily_dates,big_daily_table)))</f>
        <v>#N/A</v>
      </c>
      <c r="E723" s="1" t="str">
        <f t="array" ref="E723">IF(ISBLANK(XLOOKUP(E$3,daily_items,XLOOKUP($C723,daily_dates,big_daily_table))),NA(),XLOOKUP(E$3,daily_items,XLOOKUP($C723,daily_dates,big_daily_table)))</f>
        <v>#N/A</v>
      </c>
    </row>
    <row r="724" ht="14.25" customHeight="1">
      <c r="B724" s="7">
        <v>41629.0</v>
      </c>
      <c r="C724" s="7">
        <f t="shared" si="1"/>
        <v>41623</v>
      </c>
      <c r="D724" s="1" t="str">
        <f t="array" ref="D724">IF(ISBLANK(XLOOKUP(D$3,daily_items,XLOOKUP($C724,daily_dates,big_daily_table))),NA(),XLOOKUP(D$3,daily_items,XLOOKUP($C724,daily_dates,big_daily_table)))</f>
        <v>#N/A</v>
      </c>
      <c r="E724" s="1" t="str">
        <f t="array" ref="E724">IF(ISBLANK(XLOOKUP(E$3,daily_items,XLOOKUP($C724,daily_dates,big_daily_table))),NA(),XLOOKUP(E$3,daily_items,XLOOKUP($C724,daily_dates,big_daily_table)))</f>
        <v>#N/A</v>
      </c>
    </row>
    <row r="725" ht="14.25" customHeight="1">
      <c r="B725" s="7">
        <v>41630.0</v>
      </c>
      <c r="C725" s="7">
        <f t="shared" si="1"/>
        <v>41630</v>
      </c>
      <c r="D725" s="1" t="str">
        <f t="array" ref="D725">IF(ISBLANK(XLOOKUP(D$3,daily_items,XLOOKUP($C725,daily_dates,big_daily_table))),NA(),XLOOKUP(D$3,daily_items,XLOOKUP($C725,daily_dates,big_daily_table)))</f>
        <v>#N/A</v>
      </c>
      <c r="E725" s="1" t="str">
        <f t="array" ref="E725">IF(ISBLANK(XLOOKUP(E$3,daily_items,XLOOKUP($C725,daily_dates,big_daily_table))),NA(),XLOOKUP(E$3,daily_items,XLOOKUP($C725,daily_dates,big_daily_table)))</f>
        <v>#N/A</v>
      </c>
    </row>
    <row r="726" ht="14.25" customHeight="1">
      <c r="B726" s="7">
        <v>41631.0</v>
      </c>
      <c r="C726" s="7">
        <f t="shared" si="1"/>
        <v>41630</v>
      </c>
      <c r="D726" s="1" t="str">
        <f t="array" ref="D726">IF(ISBLANK(XLOOKUP(D$3,daily_items,XLOOKUP($C726,daily_dates,big_daily_table))),NA(),XLOOKUP(D$3,daily_items,XLOOKUP($C726,daily_dates,big_daily_table)))</f>
        <v>#N/A</v>
      </c>
      <c r="E726" s="1" t="str">
        <f t="array" ref="E726">IF(ISBLANK(XLOOKUP(E$3,daily_items,XLOOKUP($C726,daily_dates,big_daily_table))),NA(),XLOOKUP(E$3,daily_items,XLOOKUP($C726,daily_dates,big_daily_table)))</f>
        <v>#N/A</v>
      </c>
    </row>
    <row r="727" ht="14.25" customHeight="1">
      <c r="B727" s="7">
        <v>41632.0</v>
      </c>
      <c r="C727" s="7">
        <f t="shared" si="1"/>
        <v>41630</v>
      </c>
      <c r="D727" s="1" t="str">
        <f t="array" ref="D727">IF(ISBLANK(XLOOKUP(D$3,daily_items,XLOOKUP($C727,daily_dates,big_daily_table))),NA(),XLOOKUP(D$3,daily_items,XLOOKUP($C727,daily_dates,big_daily_table)))</f>
        <v>#N/A</v>
      </c>
      <c r="E727" s="1" t="str">
        <f t="array" ref="E727">IF(ISBLANK(XLOOKUP(E$3,daily_items,XLOOKUP($C727,daily_dates,big_daily_table))),NA(),XLOOKUP(E$3,daily_items,XLOOKUP($C727,daily_dates,big_daily_table)))</f>
        <v>#N/A</v>
      </c>
    </row>
    <row r="728" ht="14.25" customHeight="1">
      <c r="B728" s="7">
        <v>41633.0</v>
      </c>
      <c r="C728" s="7">
        <f t="shared" si="1"/>
        <v>41630</v>
      </c>
      <c r="D728" s="1" t="str">
        <f t="array" ref="D728">IF(ISBLANK(XLOOKUP(D$3,daily_items,XLOOKUP($C728,daily_dates,big_daily_table))),NA(),XLOOKUP(D$3,daily_items,XLOOKUP($C728,daily_dates,big_daily_table)))</f>
        <v>#N/A</v>
      </c>
      <c r="E728" s="1" t="str">
        <f t="array" ref="E728">IF(ISBLANK(XLOOKUP(E$3,daily_items,XLOOKUP($C728,daily_dates,big_daily_table))),NA(),XLOOKUP(E$3,daily_items,XLOOKUP($C728,daily_dates,big_daily_table)))</f>
        <v>#N/A</v>
      </c>
    </row>
    <row r="729" ht="14.25" customHeight="1">
      <c r="B729" s="7">
        <v>41634.0</v>
      </c>
      <c r="C729" s="7">
        <f t="shared" si="1"/>
        <v>41630</v>
      </c>
      <c r="D729" s="1" t="str">
        <f t="array" ref="D729">IF(ISBLANK(XLOOKUP(D$3,daily_items,XLOOKUP($C729,daily_dates,big_daily_table))),NA(),XLOOKUP(D$3,daily_items,XLOOKUP($C729,daily_dates,big_daily_table)))</f>
        <v>#N/A</v>
      </c>
      <c r="E729" s="1" t="str">
        <f t="array" ref="E729">IF(ISBLANK(XLOOKUP(E$3,daily_items,XLOOKUP($C729,daily_dates,big_daily_table))),NA(),XLOOKUP(E$3,daily_items,XLOOKUP($C729,daily_dates,big_daily_table)))</f>
        <v>#N/A</v>
      </c>
    </row>
    <row r="730" ht="14.25" customHeight="1">
      <c r="B730" s="7">
        <v>41635.0</v>
      </c>
      <c r="C730" s="7">
        <f t="shared" si="1"/>
        <v>41630</v>
      </c>
      <c r="D730" s="1" t="str">
        <f t="array" ref="D730">IF(ISBLANK(XLOOKUP(D$3,daily_items,XLOOKUP($C730,daily_dates,big_daily_table))),NA(),XLOOKUP(D$3,daily_items,XLOOKUP($C730,daily_dates,big_daily_table)))</f>
        <v>#N/A</v>
      </c>
      <c r="E730" s="1" t="str">
        <f t="array" ref="E730">IF(ISBLANK(XLOOKUP(E$3,daily_items,XLOOKUP($C730,daily_dates,big_daily_table))),NA(),XLOOKUP(E$3,daily_items,XLOOKUP($C730,daily_dates,big_daily_table)))</f>
        <v>#N/A</v>
      </c>
    </row>
    <row r="731" ht="14.25" customHeight="1">
      <c r="B731" s="7">
        <v>41636.0</v>
      </c>
      <c r="C731" s="7">
        <f t="shared" si="1"/>
        <v>41630</v>
      </c>
      <c r="D731" s="1" t="str">
        <f t="array" ref="D731">IF(ISBLANK(XLOOKUP(D$3,daily_items,XLOOKUP($C731,daily_dates,big_daily_table))),NA(),XLOOKUP(D$3,daily_items,XLOOKUP($C731,daily_dates,big_daily_table)))</f>
        <v>#N/A</v>
      </c>
      <c r="E731" s="1" t="str">
        <f t="array" ref="E731">IF(ISBLANK(XLOOKUP(E$3,daily_items,XLOOKUP($C731,daily_dates,big_daily_table))),NA(),XLOOKUP(E$3,daily_items,XLOOKUP($C731,daily_dates,big_daily_table)))</f>
        <v>#N/A</v>
      </c>
    </row>
    <row r="732" ht="14.25" customHeight="1">
      <c r="B732" s="7">
        <v>41637.0</v>
      </c>
      <c r="C732" s="7">
        <f t="shared" si="1"/>
        <v>41637</v>
      </c>
      <c r="D732" s="1" t="str">
        <f t="array" ref="D732">IF(ISBLANK(XLOOKUP(D$3,daily_items,XLOOKUP($C732,daily_dates,big_daily_table))),NA(),XLOOKUP(D$3,daily_items,XLOOKUP($C732,daily_dates,big_daily_table)))</f>
        <v>#N/A</v>
      </c>
      <c r="E732" s="1" t="str">
        <f t="array" ref="E732">IF(ISBLANK(XLOOKUP(E$3,daily_items,XLOOKUP($C732,daily_dates,big_daily_table))),NA(),XLOOKUP(E$3,daily_items,XLOOKUP($C732,daily_dates,big_daily_table)))</f>
        <v>#N/A</v>
      </c>
    </row>
    <row r="733" ht="14.25" customHeight="1">
      <c r="B733" s="7">
        <v>41638.0</v>
      </c>
      <c r="C733" s="7">
        <f t="shared" si="1"/>
        <v>41637</v>
      </c>
      <c r="D733" s="1" t="str">
        <f t="array" ref="D733">IF(ISBLANK(XLOOKUP(D$3,daily_items,XLOOKUP($C733,daily_dates,big_daily_table))),NA(),XLOOKUP(D$3,daily_items,XLOOKUP($C733,daily_dates,big_daily_table)))</f>
        <v>#N/A</v>
      </c>
      <c r="E733" s="1" t="str">
        <f t="array" ref="E733">IF(ISBLANK(XLOOKUP(E$3,daily_items,XLOOKUP($C733,daily_dates,big_daily_table))),NA(),XLOOKUP(E$3,daily_items,XLOOKUP($C733,daily_dates,big_daily_table)))</f>
        <v>#N/A</v>
      </c>
    </row>
    <row r="734" ht="14.25" customHeight="1">
      <c r="B734" s="7">
        <v>41639.0</v>
      </c>
      <c r="C734" s="7">
        <f t="shared" si="1"/>
        <v>41637</v>
      </c>
      <c r="D734" s="1" t="str">
        <f t="array" ref="D734">IF(ISBLANK(XLOOKUP(D$3,daily_items,XLOOKUP($C734,daily_dates,big_daily_table))),NA(),XLOOKUP(D$3,daily_items,XLOOKUP($C734,daily_dates,big_daily_table)))</f>
        <v>#N/A</v>
      </c>
      <c r="E734" s="1" t="str">
        <f t="array" ref="E734">IF(ISBLANK(XLOOKUP(E$3,daily_items,XLOOKUP($C734,daily_dates,big_daily_table))),NA(),XLOOKUP(E$3,daily_items,XLOOKUP($C734,daily_dates,big_daily_table)))</f>
        <v>#N/A</v>
      </c>
    </row>
    <row r="735" ht="14.25" customHeight="1">
      <c r="B735" s="7">
        <v>41640.0</v>
      </c>
      <c r="C735" s="7">
        <f t="shared" si="1"/>
        <v>41637</v>
      </c>
      <c r="D735" s="1" t="str">
        <f t="array" ref="D735">IF(ISBLANK(XLOOKUP(D$3,daily_items,XLOOKUP($C735,daily_dates,big_daily_table))),NA(),XLOOKUP(D$3,daily_items,XLOOKUP($C735,daily_dates,big_daily_table)))</f>
        <v>#N/A</v>
      </c>
      <c r="E735" s="1" t="str">
        <f t="array" ref="E735">IF(ISBLANK(XLOOKUP(E$3,daily_items,XLOOKUP($C735,daily_dates,big_daily_table))),NA(),XLOOKUP(E$3,daily_items,XLOOKUP($C735,daily_dates,big_daily_table)))</f>
        <v>#N/A</v>
      </c>
    </row>
    <row r="736" ht="14.25" customHeight="1">
      <c r="B736" s="7">
        <v>41641.0</v>
      </c>
      <c r="C736" s="7">
        <f t="shared" si="1"/>
        <v>41637</v>
      </c>
      <c r="D736" s="1" t="str">
        <f t="array" ref="D736">IF(ISBLANK(XLOOKUP(D$3,daily_items,XLOOKUP($C736,daily_dates,big_daily_table))),NA(),XLOOKUP(D$3,daily_items,XLOOKUP($C736,daily_dates,big_daily_table)))</f>
        <v>#N/A</v>
      </c>
      <c r="E736" s="1" t="str">
        <f t="array" ref="E736">IF(ISBLANK(XLOOKUP(E$3,daily_items,XLOOKUP($C736,daily_dates,big_daily_table))),NA(),XLOOKUP(E$3,daily_items,XLOOKUP($C736,daily_dates,big_daily_table)))</f>
        <v>#N/A</v>
      </c>
    </row>
    <row r="737" ht="14.25" customHeight="1">
      <c r="B737" s="7">
        <v>41642.0</v>
      </c>
      <c r="C737" s="7">
        <f t="shared" si="1"/>
        <v>41637</v>
      </c>
      <c r="D737" s="1" t="str">
        <f t="array" ref="D737">IF(ISBLANK(XLOOKUP(D$3,daily_items,XLOOKUP($C737,daily_dates,big_daily_table))),NA(),XLOOKUP(D$3,daily_items,XLOOKUP($C737,daily_dates,big_daily_table)))</f>
        <v>#N/A</v>
      </c>
      <c r="E737" s="1" t="str">
        <f t="array" ref="E737">IF(ISBLANK(XLOOKUP(E$3,daily_items,XLOOKUP($C737,daily_dates,big_daily_table))),NA(),XLOOKUP(E$3,daily_items,XLOOKUP($C737,daily_dates,big_daily_table)))</f>
        <v>#N/A</v>
      </c>
    </row>
    <row r="738" ht="14.25" customHeight="1">
      <c r="B738" s="7">
        <v>41643.0</v>
      </c>
      <c r="C738" s="7">
        <f t="shared" si="1"/>
        <v>41637</v>
      </c>
      <c r="D738" s="1" t="str">
        <f t="array" ref="D738">IF(ISBLANK(XLOOKUP(D$3,daily_items,XLOOKUP($C738,daily_dates,big_daily_table))),NA(),XLOOKUP(D$3,daily_items,XLOOKUP($C738,daily_dates,big_daily_table)))</f>
        <v>#N/A</v>
      </c>
      <c r="E738" s="1" t="str">
        <f t="array" ref="E738">IF(ISBLANK(XLOOKUP(E$3,daily_items,XLOOKUP($C738,daily_dates,big_daily_table))),NA(),XLOOKUP(E$3,daily_items,XLOOKUP($C738,daily_dates,big_daily_table)))</f>
        <v>#N/A</v>
      </c>
    </row>
    <row r="739" ht="14.25" customHeight="1">
      <c r="B739" s="7">
        <v>41644.0</v>
      </c>
      <c r="C739" s="7">
        <f t="shared" si="1"/>
        <v>41644</v>
      </c>
      <c r="D739" s="1" t="str">
        <f t="array" ref="D739">IF(ISBLANK(XLOOKUP(D$3,daily_items,XLOOKUP($C739,daily_dates,big_daily_table))),NA(),XLOOKUP(D$3,daily_items,XLOOKUP($C739,daily_dates,big_daily_table)))</f>
        <v>#N/A</v>
      </c>
      <c r="E739" s="1" t="str">
        <f t="array" ref="E739">IF(ISBLANK(XLOOKUP(E$3,daily_items,XLOOKUP($C739,daily_dates,big_daily_table))),NA(),XLOOKUP(E$3,daily_items,XLOOKUP($C739,daily_dates,big_daily_table)))</f>
        <v>#N/A</v>
      </c>
    </row>
    <row r="740" ht="14.25" customHeight="1">
      <c r="B740" s="7">
        <v>41645.0</v>
      </c>
      <c r="C740" s="7">
        <f t="shared" si="1"/>
        <v>41644</v>
      </c>
      <c r="D740" s="1" t="str">
        <f t="array" ref="D740">IF(ISBLANK(XLOOKUP(D$3,daily_items,XLOOKUP($C740,daily_dates,big_daily_table))),NA(),XLOOKUP(D$3,daily_items,XLOOKUP($C740,daily_dates,big_daily_table)))</f>
        <v>#N/A</v>
      </c>
      <c r="E740" s="1" t="str">
        <f t="array" ref="E740">IF(ISBLANK(XLOOKUP(E$3,daily_items,XLOOKUP($C740,daily_dates,big_daily_table))),NA(),XLOOKUP(E$3,daily_items,XLOOKUP($C740,daily_dates,big_daily_table)))</f>
        <v>#N/A</v>
      </c>
    </row>
    <row r="741" ht="14.25" customHeight="1">
      <c r="B741" s="7">
        <v>41646.0</v>
      </c>
      <c r="C741" s="7">
        <f t="shared" si="1"/>
        <v>41644</v>
      </c>
      <c r="D741" s="1" t="str">
        <f t="array" ref="D741">IF(ISBLANK(XLOOKUP(D$3,daily_items,XLOOKUP($C741,daily_dates,big_daily_table))),NA(),XLOOKUP(D$3,daily_items,XLOOKUP($C741,daily_dates,big_daily_table)))</f>
        <v>#N/A</v>
      </c>
      <c r="E741" s="1" t="str">
        <f t="array" ref="E741">IF(ISBLANK(XLOOKUP(E$3,daily_items,XLOOKUP($C741,daily_dates,big_daily_table))),NA(),XLOOKUP(E$3,daily_items,XLOOKUP($C741,daily_dates,big_daily_table)))</f>
        <v>#N/A</v>
      </c>
    </row>
    <row r="742" ht="14.25" customHeight="1">
      <c r="B742" s="7">
        <v>41647.0</v>
      </c>
      <c r="C742" s="7">
        <f t="shared" si="1"/>
        <v>41644</v>
      </c>
      <c r="D742" s="1" t="str">
        <f t="array" ref="D742">IF(ISBLANK(XLOOKUP(D$3,daily_items,XLOOKUP($C742,daily_dates,big_daily_table))),NA(),XLOOKUP(D$3,daily_items,XLOOKUP($C742,daily_dates,big_daily_table)))</f>
        <v>#N/A</v>
      </c>
      <c r="E742" s="1" t="str">
        <f t="array" ref="E742">IF(ISBLANK(XLOOKUP(E$3,daily_items,XLOOKUP($C742,daily_dates,big_daily_table))),NA(),XLOOKUP(E$3,daily_items,XLOOKUP($C742,daily_dates,big_daily_table)))</f>
        <v>#N/A</v>
      </c>
    </row>
    <row r="743" ht="14.25" customHeight="1">
      <c r="B743" s="7">
        <v>41648.0</v>
      </c>
      <c r="C743" s="7">
        <f t="shared" si="1"/>
        <v>41644</v>
      </c>
      <c r="D743" s="1" t="str">
        <f t="array" ref="D743">IF(ISBLANK(XLOOKUP(D$3,daily_items,XLOOKUP($C743,daily_dates,big_daily_table))),NA(),XLOOKUP(D$3,daily_items,XLOOKUP($C743,daily_dates,big_daily_table)))</f>
        <v>#N/A</v>
      </c>
      <c r="E743" s="1" t="str">
        <f t="array" ref="E743">IF(ISBLANK(XLOOKUP(E$3,daily_items,XLOOKUP($C743,daily_dates,big_daily_table))),NA(),XLOOKUP(E$3,daily_items,XLOOKUP($C743,daily_dates,big_daily_table)))</f>
        <v>#N/A</v>
      </c>
    </row>
    <row r="744" ht="14.25" customHeight="1">
      <c r="B744" s="7">
        <v>41649.0</v>
      </c>
      <c r="C744" s="7">
        <f t="shared" si="1"/>
        <v>41644</v>
      </c>
      <c r="D744" s="1" t="str">
        <f t="array" ref="D744">IF(ISBLANK(XLOOKUP(D$3,daily_items,XLOOKUP($C744,daily_dates,big_daily_table))),NA(),XLOOKUP(D$3,daily_items,XLOOKUP($C744,daily_dates,big_daily_table)))</f>
        <v>#N/A</v>
      </c>
      <c r="E744" s="1" t="str">
        <f t="array" ref="E744">IF(ISBLANK(XLOOKUP(E$3,daily_items,XLOOKUP($C744,daily_dates,big_daily_table))),NA(),XLOOKUP(E$3,daily_items,XLOOKUP($C744,daily_dates,big_daily_table)))</f>
        <v>#N/A</v>
      </c>
    </row>
    <row r="745" ht="14.25" customHeight="1">
      <c r="B745" s="7">
        <v>41650.0</v>
      </c>
      <c r="C745" s="7">
        <f t="shared" si="1"/>
        <v>41644</v>
      </c>
      <c r="D745" s="1" t="str">
        <f t="array" ref="D745">IF(ISBLANK(XLOOKUP(D$3,daily_items,XLOOKUP($C745,daily_dates,big_daily_table))),NA(),XLOOKUP(D$3,daily_items,XLOOKUP($C745,daily_dates,big_daily_table)))</f>
        <v>#N/A</v>
      </c>
      <c r="E745" s="1" t="str">
        <f t="array" ref="E745">IF(ISBLANK(XLOOKUP(E$3,daily_items,XLOOKUP($C745,daily_dates,big_daily_table))),NA(),XLOOKUP(E$3,daily_items,XLOOKUP($C745,daily_dates,big_daily_table)))</f>
        <v>#N/A</v>
      </c>
    </row>
    <row r="746" ht="14.25" customHeight="1">
      <c r="B746" s="7">
        <v>41651.0</v>
      </c>
      <c r="C746" s="7">
        <f t="shared" si="1"/>
        <v>41651</v>
      </c>
      <c r="D746" s="1" t="str">
        <f t="array" ref="D746">IF(ISBLANK(XLOOKUP(D$3,daily_items,XLOOKUP($C746,daily_dates,big_daily_table))),NA(),XLOOKUP(D$3,daily_items,XLOOKUP($C746,daily_dates,big_daily_table)))</f>
        <v>#N/A</v>
      </c>
      <c r="E746" s="1" t="str">
        <f t="array" ref="E746">IF(ISBLANK(XLOOKUP(E$3,daily_items,XLOOKUP($C746,daily_dates,big_daily_table))),NA(),XLOOKUP(E$3,daily_items,XLOOKUP($C746,daily_dates,big_daily_table)))</f>
        <v>#N/A</v>
      </c>
    </row>
    <row r="747" ht="14.25" customHeight="1">
      <c r="B747" s="7">
        <v>41652.0</v>
      </c>
      <c r="C747" s="7">
        <f t="shared" si="1"/>
        <v>41651</v>
      </c>
      <c r="D747" s="1" t="str">
        <f t="array" ref="D747">IF(ISBLANK(XLOOKUP(D$3,daily_items,XLOOKUP($C747,daily_dates,big_daily_table))),NA(),XLOOKUP(D$3,daily_items,XLOOKUP($C747,daily_dates,big_daily_table)))</f>
        <v>#N/A</v>
      </c>
      <c r="E747" s="1" t="str">
        <f t="array" ref="E747">IF(ISBLANK(XLOOKUP(E$3,daily_items,XLOOKUP($C747,daily_dates,big_daily_table))),NA(),XLOOKUP(E$3,daily_items,XLOOKUP($C747,daily_dates,big_daily_table)))</f>
        <v>#N/A</v>
      </c>
    </row>
    <row r="748" ht="14.25" customHeight="1">
      <c r="B748" s="7">
        <v>41653.0</v>
      </c>
      <c r="C748" s="7">
        <f t="shared" si="1"/>
        <v>41651</v>
      </c>
      <c r="D748" s="1" t="str">
        <f t="array" ref="D748">IF(ISBLANK(XLOOKUP(D$3,daily_items,XLOOKUP($C748,daily_dates,big_daily_table))),NA(),XLOOKUP(D$3,daily_items,XLOOKUP($C748,daily_dates,big_daily_table)))</f>
        <v>#N/A</v>
      </c>
      <c r="E748" s="1" t="str">
        <f t="array" ref="E748">IF(ISBLANK(XLOOKUP(E$3,daily_items,XLOOKUP($C748,daily_dates,big_daily_table))),NA(),XLOOKUP(E$3,daily_items,XLOOKUP($C748,daily_dates,big_daily_table)))</f>
        <v>#N/A</v>
      </c>
    </row>
    <row r="749" ht="14.25" customHeight="1">
      <c r="B749" s="7">
        <v>41654.0</v>
      </c>
      <c r="C749" s="7">
        <f t="shared" si="1"/>
        <v>41651</v>
      </c>
      <c r="D749" s="1" t="str">
        <f t="array" ref="D749">IF(ISBLANK(XLOOKUP(D$3,daily_items,XLOOKUP($C749,daily_dates,big_daily_table))),NA(),XLOOKUP(D$3,daily_items,XLOOKUP($C749,daily_dates,big_daily_table)))</f>
        <v>#N/A</v>
      </c>
      <c r="E749" s="1" t="str">
        <f t="array" ref="E749">IF(ISBLANK(XLOOKUP(E$3,daily_items,XLOOKUP($C749,daily_dates,big_daily_table))),NA(),XLOOKUP(E$3,daily_items,XLOOKUP($C749,daily_dates,big_daily_table)))</f>
        <v>#N/A</v>
      </c>
    </row>
    <row r="750" ht="14.25" customHeight="1">
      <c r="B750" s="7">
        <v>41655.0</v>
      </c>
      <c r="C750" s="7">
        <f t="shared" si="1"/>
        <v>41651</v>
      </c>
      <c r="D750" s="1" t="str">
        <f t="array" ref="D750">IF(ISBLANK(XLOOKUP(D$3,daily_items,XLOOKUP($C750,daily_dates,big_daily_table))),NA(),XLOOKUP(D$3,daily_items,XLOOKUP($C750,daily_dates,big_daily_table)))</f>
        <v>#N/A</v>
      </c>
      <c r="E750" s="1" t="str">
        <f t="array" ref="E750">IF(ISBLANK(XLOOKUP(E$3,daily_items,XLOOKUP($C750,daily_dates,big_daily_table))),NA(),XLOOKUP(E$3,daily_items,XLOOKUP($C750,daily_dates,big_daily_table)))</f>
        <v>#N/A</v>
      </c>
    </row>
    <row r="751" ht="14.25" customHeight="1">
      <c r="B751" s="7">
        <v>41656.0</v>
      </c>
      <c r="C751" s="7">
        <f t="shared" si="1"/>
        <v>41651</v>
      </c>
      <c r="D751" s="1" t="str">
        <f t="array" ref="D751">IF(ISBLANK(XLOOKUP(D$3,daily_items,XLOOKUP($C751,daily_dates,big_daily_table))),NA(),XLOOKUP(D$3,daily_items,XLOOKUP($C751,daily_dates,big_daily_table)))</f>
        <v>#N/A</v>
      </c>
      <c r="E751" s="1" t="str">
        <f t="array" ref="E751">IF(ISBLANK(XLOOKUP(E$3,daily_items,XLOOKUP($C751,daily_dates,big_daily_table))),NA(),XLOOKUP(E$3,daily_items,XLOOKUP($C751,daily_dates,big_daily_table)))</f>
        <v>#N/A</v>
      </c>
    </row>
    <row r="752" ht="14.25" customHeight="1">
      <c r="B752" s="7">
        <v>41657.0</v>
      </c>
      <c r="C752" s="7">
        <f t="shared" si="1"/>
        <v>41651</v>
      </c>
      <c r="D752" s="1" t="str">
        <f t="array" ref="D752">IF(ISBLANK(XLOOKUP(D$3,daily_items,XLOOKUP($C752,daily_dates,big_daily_table))),NA(),XLOOKUP(D$3,daily_items,XLOOKUP($C752,daily_dates,big_daily_table)))</f>
        <v>#N/A</v>
      </c>
      <c r="E752" s="1" t="str">
        <f t="array" ref="E752">IF(ISBLANK(XLOOKUP(E$3,daily_items,XLOOKUP($C752,daily_dates,big_daily_table))),NA(),XLOOKUP(E$3,daily_items,XLOOKUP($C752,daily_dates,big_daily_table)))</f>
        <v>#N/A</v>
      </c>
    </row>
    <row r="753" ht="14.25" customHeight="1">
      <c r="B753" s="7">
        <v>41658.0</v>
      </c>
      <c r="C753" s="7">
        <f t="shared" si="1"/>
        <v>41658</v>
      </c>
      <c r="D753" s="1" t="str">
        <f t="array" ref="D753">IF(ISBLANK(XLOOKUP(D$3,daily_items,XLOOKUP($C753,daily_dates,big_daily_table))),NA(),XLOOKUP(D$3,daily_items,XLOOKUP($C753,daily_dates,big_daily_table)))</f>
        <v>#N/A</v>
      </c>
      <c r="E753" s="1" t="str">
        <f t="array" ref="E753">IF(ISBLANK(XLOOKUP(E$3,daily_items,XLOOKUP($C753,daily_dates,big_daily_table))),NA(),XLOOKUP(E$3,daily_items,XLOOKUP($C753,daily_dates,big_daily_table)))</f>
        <v>#N/A</v>
      </c>
    </row>
    <row r="754" ht="14.25" customHeight="1">
      <c r="B754" s="7">
        <v>41659.0</v>
      </c>
      <c r="C754" s="7">
        <f t="shared" si="1"/>
        <v>41658</v>
      </c>
      <c r="D754" s="1" t="str">
        <f t="array" ref="D754">IF(ISBLANK(XLOOKUP(D$3,daily_items,XLOOKUP($C754,daily_dates,big_daily_table))),NA(),XLOOKUP(D$3,daily_items,XLOOKUP($C754,daily_dates,big_daily_table)))</f>
        <v>#N/A</v>
      </c>
      <c r="E754" s="1" t="str">
        <f t="array" ref="E754">IF(ISBLANK(XLOOKUP(E$3,daily_items,XLOOKUP($C754,daily_dates,big_daily_table))),NA(),XLOOKUP(E$3,daily_items,XLOOKUP($C754,daily_dates,big_daily_table)))</f>
        <v>#N/A</v>
      </c>
    </row>
    <row r="755" ht="14.25" customHeight="1">
      <c r="B755" s="7">
        <v>41660.0</v>
      </c>
      <c r="C755" s="7">
        <f t="shared" si="1"/>
        <v>41658</v>
      </c>
      <c r="D755" s="1" t="str">
        <f t="array" ref="D755">IF(ISBLANK(XLOOKUP(D$3,daily_items,XLOOKUP($C755,daily_dates,big_daily_table))),NA(),XLOOKUP(D$3,daily_items,XLOOKUP($C755,daily_dates,big_daily_table)))</f>
        <v>#N/A</v>
      </c>
      <c r="E755" s="1" t="str">
        <f t="array" ref="E755">IF(ISBLANK(XLOOKUP(E$3,daily_items,XLOOKUP($C755,daily_dates,big_daily_table))),NA(),XLOOKUP(E$3,daily_items,XLOOKUP($C755,daily_dates,big_daily_table)))</f>
        <v>#N/A</v>
      </c>
    </row>
    <row r="756" ht="14.25" customHeight="1">
      <c r="B756" s="7">
        <v>41661.0</v>
      </c>
      <c r="C756" s="7">
        <f t="shared" si="1"/>
        <v>41658</v>
      </c>
      <c r="D756" s="1" t="str">
        <f t="array" ref="D756">IF(ISBLANK(XLOOKUP(D$3,daily_items,XLOOKUP($C756,daily_dates,big_daily_table))),NA(),XLOOKUP(D$3,daily_items,XLOOKUP($C756,daily_dates,big_daily_table)))</f>
        <v>#N/A</v>
      </c>
      <c r="E756" s="1" t="str">
        <f t="array" ref="E756">IF(ISBLANK(XLOOKUP(E$3,daily_items,XLOOKUP($C756,daily_dates,big_daily_table))),NA(),XLOOKUP(E$3,daily_items,XLOOKUP($C756,daily_dates,big_daily_table)))</f>
        <v>#N/A</v>
      </c>
    </row>
    <row r="757" ht="14.25" customHeight="1">
      <c r="B757" s="7">
        <v>41662.0</v>
      </c>
      <c r="C757" s="7">
        <f t="shared" si="1"/>
        <v>41658</v>
      </c>
      <c r="D757" s="1" t="str">
        <f t="array" ref="D757">IF(ISBLANK(XLOOKUP(D$3,daily_items,XLOOKUP($C757,daily_dates,big_daily_table))),NA(),XLOOKUP(D$3,daily_items,XLOOKUP($C757,daily_dates,big_daily_table)))</f>
        <v>#N/A</v>
      </c>
      <c r="E757" s="1" t="str">
        <f t="array" ref="E757">IF(ISBLANK(XLOOKUP(E$3,daily_items,XLOOKUP($C757,daily_dates,big_daily_table))),NA(),XLOOKUP(E$3,daily_items,XLOOKUP($C757,daily_dates,big_daily_table)))</f>
        <v>#N/A</v>
      </c>
    </row>
    <row r="758" ht="14.25" customHeight="1">
      <c r="B758" s="7">
        <v>41663.0</v>
      </c>
      <c r="C758" s="7">
        <f t="shared" si="1"/>
        <v>41658</v>
      </c>
      <c r="D758" s="1" t="str">
        <f t="array" ref="D758">IF(ISBLANK(XLOOKUP(D$3,daily_items,XLOOKUP($C758,daily_dates,big_daily_table))),NA(),XLOOKUP(D$3,daily_items,XLOOKUP($C758,daily_dates,big_daily_table)))</f>
        <v>#N/A</v>
      </c>
      <c r="E758" s="1" t="str">
        <f t="array" ref="E758">IF(ISBLANK(XLOOKUP(E$3,daily_items,XLOOKUP($C758,daily_dates,big_daily_table))),NA(),XLOOKUP(E$3,daily_items,XLOOKUP($C758,daily_dates,big_daily_table)))</f>
        <v>#N/A</v>
      </c>
    </row>
    <row r="759" ht="14.25" customHeight="1">
      <c r="B759" s="7">
        <v>41664.0</v>
      </c>
      <c r="C759" s="7">
        <f t="shared" si="1"/>
        <v>41658</v>
      </c>
      <c r="D759" s="1" t="str">
        <f t="array" ref="D759">IF(ISBLANK(XLOOKUP(D$3,daily_items,XLOOKUP($C759,daily_dates,big_daily_table))),NA(),XLOOKUP(D$3,daily_items,XLOOKUP($C759,daily_dates,big_daily_table)))</f>
        <v>#N/A</v>
      </c>
      <c r="E759" s="1" t="str">
        <f t="array" ref="E759">IF(ISBLANK(XLOOKUP(E$3,daily_items,XLOOKUP($C759,daily_dates,big_daily_table))),NA(),XLOOKUP(E$3,daily_items,XLOOKUP($C759,daily_dates,big_daily_table)))</f>
        <v>#N/A</v>
      </c>
    </row>
    <row r="760" ht="14.25" customHeight="1">
      <c r="B760" s="7">
        <v>41665.0</v>
      </c>
      <c r="C760" s="7">
        <f t="shared" si="1"/>
        <v>41665</v>
      </c>
      <c r="D760" s="1" t="str">
        <f t="array" ref="D760">IF(ISBLANK(XLOOKUP(D$3,daily_items,XLOOKUP($C760,daily_dates,big_daily_table))),NA(),XLOOKUP(D$3,daily_items,XLOOKUP($C760,daily_dates,big_daily_table)))</f>
        <v>#N/A</v>
      </c>
      <c r="E760" s="1" t="str">
        <f t="array" ref="E760">IF(ISBLANK(XLOOKUP(E$3,daily_items,XLOOKUP($C760,daily_dates,big_daily_table))),NA(),XLOOKUP(E$3,daily_items,XLOOKUP($C760,daily_dates,big_daily_table)))</f>
        <v>#N/A</v>
      </c>
    </row>
    <row r="761" ht="14.25" customHeight="1">
      <c r="B761" s="7">
        <v>41666.0</v>
      </c>
      <c r="C761" s="7">
        <f t="shared" si="1"/>
        <v>41665</v>
      </c>
      <c r="D761" s="1" t="str">
        <f t="array" ref="D761">IF(ISBLANK(XLOOKUP(D$3,daily_items,XLOOKUP($C761,daily_dates,big_daily_table))),NA(),XLOOKUP(D$3,daily_items,XLOOKUP($C761,daily_dates,big_daily_table)))</f>
        <v>#N/A</v>
      </c>
      <c r="E761" s="1" t="str">
        <f t="array" ref="E761">IF(ISBLANK(XLOOKUP(E$3,daily_items,XLOOKUP($C761,daily_dates,big_daily_table))),NA(),XLOOKUP(E$3,daily_items,XLOOKUP($C761,daily_dates,big_daily_table)))</f>
        <v>#N/A</v>
      </c>
    </row>
    <row r="762" ht="14.25" customHeight="1">
      <c r="B762" s="7">
        <v>41667.0</v>
      </c>
      <c r="C762" s="7">
        <f t="shared" si="1"/>
        <v>41665</v>
      </c>
      <c r="D762" s="1" t="str">
        <f t="array" ref="D762">IF(ISBLANK(XLOOKUP(D$3,daily_items,XLOOKUP($C762,daily_dates,big_daily_table))),NA(),XLOOKUP(D$3,daily_items,XLOOKUP($C762,daily_dates,big_daily_table)))</f>
        <v>#N/A</v>
      </c>
      <c r="E762" s="1" t="str">
        <f t="array" ref="E762">IF(ISBLANK(XLOOKUP(E$3,daily_items,XLOOKUP($C762,daily_dates,big_daily_table))),NA(),XLOOKUP(E$3,daily_items,XLOOKUP($C762,daily_dates,big_daily_table)))</f>
        <v>#N/A</v>
      </c>
    </row>
    <row r="763" ht="14.25" customHeight="1">
      <c r="B763" s="7">
        <v>41668.0</v>
      </c>
      <c r="C763" s="7">
        <f t="shared" si="1"/>
        <v>41665</v>
      </c>
      <c r="D763" s="1" t="str">
        <f t="array" ref="D763">IF(ISBLANK(XLOOKUP(D$3,daily_items,XLOOKUP($C763,daily_dates,big_daily_table))),NA(),XLOOKUP(D$3,daily_items,XLOOKUP($C763,daily_dates,big_daily_table)))</f>
        <v>#N/A</v>
      </c>
      <c r="E763" s="1" t="str">
        <f t="array" ref="E763">IF(ISBLANK(XLOOKUP(E$3,daily_items,XLOOKUP($C763,daily_dates,big_daily_table))),NA(),XLOOKUP(E$3,daily_items,XLOOKUP($C763,daily_dates,big_daily_table)))</f>
        <v>#N/A</v>
      </c>
    </row>
    <row r="764" ht="14.25" customHeight="1">
      <c r="B764" s="7">
        <v>41669.0</v>
      </c>
      <c r="C764" s="7">
        <f t="shared" si="1"/>
        <v>41665</v>
      </c>
      <c r="D764" s="1" t="str">
        <f t="array" ref="D764">IF(ISBLANK(XLOOKUP(D$3,daily_items,XLOOKUP($C764,daily_dates,big_daily_table))),NA(),XLOOKUP(D$3,daily_items,XLOOKUP($C764,daily_dates,big_daily_table)))</f>
        <v>#N/A</v>
      </c>
      <c r="E764" s="1" t="str">
        <f t="array" ref="E764">IF(ISBLANK(XLOOKUP(E$3,daily_items,XLOOKUP($C764,daily_dates,big_daily_table))),NA(),XLOOKUP(E$3,daily_items,XLOOKUP($C764,daily_dates,big_daily_table)))</f>
        <v>#N/A</v>
      </c>
    </row>
    <row r="765" ht="14.25" customHeight="1">
      <c r="B765" s="7">
        <v>41670.0</v>
      </c>
      <c r="C765" s="7">
        <f t="shared" si="1"/>
        <v>41665</v>
      </c>
      <c r="D765" s="1" t="str">
        <f t="array" ref="D765">IF(ISBLANK(XLOOKUP(D$3,daily_items,XLOOKUP($C765,daily_dates,big_daily_table))),NA(),XLOOKUP(D$3,daily_items,XLOOKUP($C765,daily_dates,big_daily_table)))</f>
        <v>#N/A</v>
      </c>
      <c r="E765" s="1" t="str">
        <f t="array" ref="E765">IF(ISBLANK(XLOOKUP(E$3,daily_items,XLOOKUP($C765,daily_dates,big_daily_table))),NA(),XLOOKUP(E$3,daily_items,XLOOKUP($C765,daily_dates,big_daily_table)))</f>
        <v>#N/A</v>
      </c>
    </row>
    <row r="766" ht="14.25" customHeight="1">
      <c r="B766" s="7">
        <v>41671.0</v>
      </c>
      <c r="C766" s="7">
        <f t="shared" si="1"/>
        <v>41665</v>
      </c>
      <c r="D766" s="1" t="str">
        <f t="array" ref="D766">IF(ISBLANK(XLOOKUP(D$3,daily_items,XLOOKUP($C766,daily_dates,big_daily_table))),NA(),XLOOKUP(D$3,daily_items,XLOOKUP($C766,daily_dates,big_daily_table)))</f>
        <v>#N/A</v>
      </c>
      <c r="E766" s="1" t="str">
        <f t="array" ref="E766">IF(ISBLANK(XLOOKUP(E$3,daily_items,XLOOKUP($C766,daily_dates,big_daily_table))),NA(),XLOOKUP(E$3,daily_items,XLOOKUP($C766,daily_dates,big_daily_table)))</f>
        <v>#N/A</v>
      </c>
    </row>
    <row r="767" ht="14.25" customHeight="1">
      <c r="B767" s="7">
        <v>41672.0</v>
      </c>
      <c r="C767" s="7">
        <f t="shared" si="1"/>
        <v>41672</v>
      </c>
      <c r="D767" s="1" t="str">
        <f t="array" ref="D767">IF(ISBLANK(XLOOKUP(D$3,daily_items,XLOOKUP($C767,daily_dates,big_daily_table))),NA(),XLOOKUP(D$3,daily_items,XLOOKUP($C767,daily_dates,big_daily_table)))</f>
        <v>#N/A</v>
      </c>
      <c r="E767" s="1" t="str">
        <f t="array" ref="E767">IF(ISBLANK(XLOOKUP(E$3,daily_items,XLOOKUP($C767,daily_dates,big_daily_table))),NA(),XLOOKUP(E$3,daily_items,XLOOKUP($C767,daily_dates,big_daily_table)))</f>
        <v>#N/A</v>
      </c>
    </row>
    <row r="768" ht="14.25" customHeight="1">
      <c r="B768" s="7">
        <v>41673.0</v>
      </c>
      <c r="C768" s="7">
        <f t="shared" si="1"/>
        <v>41672</v>
      </c>
      <c r="D768" s="1" t="str">
        <f t="array" ref="D768">IF(ISBLANK(XLOOKUP(D$3,daily_items,XLOOKUP($C768,daily_dates,big_daily_table))),NA(),XLOOKUP(D$3,daily_items,XLOOKUP($C768,daily_dates,big_daily_table)))</f>
        <v>#N/A</v>
      </c>
      <c r="E768" s="1" t="str">
        <f t="array" ref="E768">IF(ISBLANK(XLOOKUP(E$3,daily_items,XLOOKUP($C768,daily_dates,big_daily_table))),NA(),XLOOKUP(E$3,daily_items,XLOOKUP($C768,daily_dates,big_daily_table)))</f>
        <v>#N/A</v>
      </c>
    </row>
    <row r="769" ht="14.25" customHeight="1">
      <c r="B769" s="7">
        <v>41674.0</v>
      </c>
      <c r="C769" s="7">
        <f t="shared" si="1"/>
        <v>41672</v>
      </c>
      <c r="D769" s="1" t="str">
        <f t="array" ref="D769">IF(ISBLANK(XLOOKUP(D$3,daily_items,XLOOKUP($C769,daily_dates,big_daily_table))),NA(),XLOOKUP(D$3,daily_items,XLOOKUP($C769,daily_dates,big_daily_table)))</f>
        <v>#N/A</v>
      </c>
      <c r="E769" s="1" t="str">
        <f t="array" ref="E769">IF(ISBLANK(XLOOKUP(E$3,daily_items,XLOOKUP($C769,daily_dates,big_daily_table))),NA(),XLOOKUP(E$3,daily_items,XLOOKUP($C769,daily_dates,big_daily_table)))</f>
        <v>#N/A</v>
      </c>
    </row>
    <row r="770" ht="14.25" customHeight="1">
      <c r="B770" s="7">
        <v>41675.0</v>
      </c>
      <c r="C770" s="7">
        <f t="shared" si="1"/>
        <v>41672</v>
      </c>
      <c r="D770" s="1" t="str">
        <f t="array" ref="D770">IF(ISBLANK(XLOOKUP(D$3,daily_items,XLOOKUP($C770,daily_dates,big_daily_table))),NA(),XLOOKUP(D$3,daily_items,XLOOKUP($C770,daily_dates,big_daily_table)))</f>
        <v>#N/A</v>
      </c>
      <c r="E770" s="1" t="str">
        <f t="array" ref="E770">IF(ISBLANK(XLOOKUP(E$3,daily_items,XLOOKUP($C770,daily_dates,big_daily_table))),NA(),XLOOKUP(E$3,daily_items,XLOOKUP($C770,daily_dates,big_daily_table)))</f>
        <v>#N/A</v>
      </c>
    </row>
    <row r="771" ht="14.25" customHeight="1">
      <c r="B771" s="7">
        <v>41676.0</v>
      </c>
      <c r="C771" s="7">
        <f t="shared" si="1"/>
        <v>41672</v>
      </c>
      <c r="D771" s="1" t="str">
        <f t="array" ref="D771">IF(ISBLANK(XLOOKUP(D$3,daily_items,XLOOKUP($C771,daily_dates,big_daily_table))),NA(),XLOOKUP(D$3,daily_items,XLOOKUP($C771,daily_dates,big_daily_table)))</f>
        <v>#N/A</v>
      </c>
      <c r="E771" s="1" t="str">
        <f t="array" ref="E771">IF(ISBLANK(XLOOKUP(E$3,daily_items,XLOOKUP($C771,daily_dates,big_daily_table))),NA(),XLOOKUP(E$3,daily_items,XLOOKUP($C771,daily_dates,big_daily_table)))</f>
        <v>#N/A</v>
      </c>
    </row>
    <row r="772" ht="14.25" customHeight="1">
      <c r="B772" s="7">
        <v>41677.0</v>
      </c>
      <c r="C772" s="7">
        <f t="shared" si="1"/>
        <v>41672</v>
      </c>
      <c r="D772" s="1" t="str">
        <f t="array" ref="D772">IF(ISBLANK(XLOOKUP(D$3,daily_items,XLOOKUP($C772,daily_dates,big_daily_table))),NA(),XLOOKUP(D$3,daily_items,XLOOKUP($C772,daily_dates,big_daily_table)))</f>
        <v>#N/A</v>
      </c>
      <c r="E772" s="1" t="str">
        <f t="array" ref="E772">IF(ISBLANK(XLOOKUP(E$3,daily_items,XLOOKUP($C772,daily_dates,big_daily_table))),NA(),XLOOKUP(E$3,daily_items,XLOOKUP($C772,daily_dates,big_daily_table)))</f>
        <v>#N/A</v>
      </c>
    </row>
    <row r="773" ht="14.25" customHeight="1">
      <c r="B773" s="7">
        <v>41678.0</v>
      </c>
      <c r="C773" s="7">
        <f t="shared" si="1"/>
        <v>41672</v>
      </c>
      <c r="D773" s="1" t="str">
        <f t="array" ref="D773">IF(ISBLANK(XLOOKUP(D$3,daily_items,XLOOKUP($C773,daily_dates,big_daily_table))),NA(),XLOOKUP(D$3,daily_items,XLOOKUP($C773,daily_dates,big_daily_table)))</f>
        <v>#N/A</v>
      </c>
      <c r="E773" s="1" t="str">
        <f t="array" ref="E773">IF(ISBLANK(XLOOKUP(E$3,daily_items,XLOOKUP($C773,daily_dates,big_daily_table))),NA(),XLOOKUP(E$3,daily_items,XLOOKUP($C773,daily_dates,big_daily_table)))</f>
        <v>#N/A</v>
      </c>
    </row>
    <row r="774" ht="14.25" customHeight="1">
      <c r="B774" s="7">
        <v>41679.0</v>
      </c>
      <c r="C774" s="7">
        <f t="shared" si="1"/>
        <v>41679</v>
      </c>
      <c r="D774" s="1" t="str">
        <f t="array" ref="D774">IF(ISBLANK(XLOOKUP(D$3,daily_items,XLOOKUP($C774,daily_dates,big_daily_table))),NA(),XLOOKUP(D$3,daily_items,XLOOKUP($C774,daily_dates,big_daily_table)))</f>
        <v>#N/A</v>
      </c>
      <c r="E774" s="1" t="str">
        <f t="array" ref="E774">IF(ISBLANK(XLOOKUP(E$3,daily_items,XLOOKUP($C774,daily_dates,big_daily_table))),NA(),XLOOKUP(E$3,daily_items,XLOOKUP($C774,daily_dates,big_daily_table)))</f>
        <v>#N/A</v>
      </c>
    </row>
    <row r="775" ht="14.25" customHeight="1">
      <c r="B775" s="7">
        <v>41680.0</v>
      </c>
      <c r="C775" s="7">
        <f t="shared" si="1"/>
        <v>41679</v>
      </c>
      <c r="D775" s="1" t="str">
        <f t="array" ref="D775">IF(ISBLANK(XLOOKUP(D$3,daily_items,XLOOKUP($C775,daily_dates,big_daily_table))),NA(),XLOOKUP(D$3,daily_items,XLOOKUP($C775,daily_dates,big_daily_table)))</f>
        <v>#N/A</v>
      </c>
      <c r="E775" s="1" t="str">
        <f t="array" ref="E775">IF(ISBLANK(XLOOKUP(E$3,daily_items,XLOOKUP($C775,daily_dates,big_daily_table))),NA(),XLOOKUP(E$3,daily_items,XLOOKUP($C775,daily_dates,big_daily_table)))</f>
        <v>#N/A</v>
      </c>
    </row>
    <row r="776" ht="14.25" customHeight="1">
      <c r="B776" s="7">
        <v>41681.0</v>
      </c>
      <c r="C776" s="7">
        <f t="shared" si="1"/>
        <v>41679</v>
      </c>
      <c r="D776" s="1" t="str">
        <f t="array" ref="D776">IF(ISBLANK(XLOOKUP(D$3,daily_items,XLOOKUP($C776,daily_dates,big_daily_table))),NA(),XLOOKUP(D$3,daily_items,XLOOKUP($C776,daily_dates,big_daily_table)))</f>
        <v>#N/A</v>
      </c>
      <c r="E776" s="1" t="str">
        <f t="array" ref="E776">IF(ISBLANK(XLOOKUP(E$3,daily_items,XLOOKUP($C776,daily_dates,big_daily_table))),NA(),XLOOKUP(E$3,daily_items,XLOOKUP($C776,daily_dates,big_daily_table)))</f>
        <v>#N/A</v>
      </c>
    </row>
    <row r="777" ht="14.25" customHeight="1">
      <c r="B777" s="7">
        <v>41682.0</v>
      </c>
      <c r="C777" s="7">
        <f t="shared" si="1"/>
        <v>41679</v>
      </c>
      <c r="D777" s="1" t="str">
        <f t="array" ref="D777">IF(ISBLANK(XLOOKUP(D$3,daily_items,XLOOKUP($C777,daily_dates,big_daily_table))),NA(),XLOOKUP(D$3,daily_items,XLOOKUP($C777,daily_dates,big_daily_table)))</f>
        <v>#N/A</v>
      </c>
      <c r="E777" s="1" t="str">
        <f t="array" ref="E777">IF(ISBLANK(XLOOKUP(E$3,daily_items,XLOOKUP($C777,daily_dates,big_daily_table))),NA(),XLOOKUP(E$3,daily_items,XLOOKUP($C777,daily_dates,big_daily_table)))</f>
        <v>#N/A</v>
      </c>
    </row>
    <row r="778" ht="14.25" customHeight="1">
      <c r="B778" s="7">
        <v>41683.0</v>
      </c>
      <c r="C778" s="7">
        <f t="shared" si="1"/>
        <v>41679</v>
      </c>
      <c r="D778" s="1" t="str">
        <f t="array" ref="D778">IF(ISBLANK(XLOOKUP(D$3,daily_items,XLOOKUP($C778,daily_dates,big_daily_table))),NA(),XLOOKUP(D$3,daily_items,XLOOKUP($C778,daily_dates,big_daily_table)))</f>
        <v>#N/A</v>
      </c>
      <c r="E778" s="1" t="str">
        <f t="array" ref="E778">IF(ISBLANK(XLOOKUP(E$3,daily_items,XLOOKUP($C778,daily_dates,big_daily_table))),NA(),XLOOKUP(E$3,daily_items,XLOOKUP($C778,daily_dates,big_daily_table)))</f>
        <v>#N/A</v>
      </c>
    </row>
    <row r="779" ht="14.25" customHeight="1">
      <c r="B779" s="7">
        <v>41684.0</v>
      </c>
      <c r="C779" s="7">
        <f t="shared" si="1"/>
        <v>41679</v>
      </c>
      <c r="D779" s="1" t="str">
        <f t="array" ref="D779">IF(ISBLANK(XLOOKUP(D$3,daily_items,XLOOKUP($C779,daily_dates,big_daily_table))),NA(),XLOOKUP(D$3,daily_items,XLOOKUP($C779,daily_dates,big_daily_table)))</f>
        <v>#N/A</v>
      </c>
      <c r="E779" s="1" t="str">
        <f t="array" ref="E779">IF(ISBLANK(XLOOKUP(E$3,daily_items,XLOOKUP($C779,daily_dates,big_daily_table))),NA(),XLOOKUP(E$3,daily_items,XLOOKUP($C779,daily_dates,big_daily_table)))</f>
        <v>#N/A</v>
      </c>
    </row>
    <row r="780" ht="14.25" customHeight="1">
      <c r="B780" s="7">
        <v>41685.0</v>
      </c>
      <c r="C780" s="7">
        <f t="shared" si="1"/>
        <v>41679</v>
      </c>
      <c r="D780" s="1" t="str">
        <f t="array" ref="D780">IF(ISBLANK(XLOOKUP(D$3,daily_items,XLOOKUP($C780,daily_dates,big_daily_table))),NA(),XLOOKUP(D$3,daily_items,XLOOKUP($C780,daily_dates,big_daily_table)))</f>
        <v>#N/A</v>
      </c>
      <c r="E780" s="1" t="str">
        <f t="array" ref="E780">IF(ISBLANK(XLOOKUP(E$3,daily_items,XLOOKUP($C780,daily_dates,big_daily_table))),NA(),XLOOKUP(E$3,daily_items,XLOOKUP($C780,daily_dates,big_daily_table)))</f>
        <v>#N/A</v>
      </c>
    </row>
    <row r="781" ht="14.25" customHeight="1">
      <c r="B781" s="7">
        <v>41686.0</v>
      </c>
      <c r="C781" s="7">
        <f t="shared" si="1"/>
        <v>41686</v>
      </c>
      <c r="D781" s="1" t="str">
        <f t="array" ref="D781">IF(ISBLANK(XLOOKUP(D$3,daily_items,XLOOKUP($C781,daily_dates,big_daily_table))),NA(),XLOOKUP(D$3,daily_items,XLOOKUP($C781,daily_dates,big_daily_table)))</f>
        <v>#N/A</v>
      </c>
      <c r="E781" s="1" t="str">
        <f t="array" ref="E781">IF(ISBLANK(XLOOKUP(E$3,daily_items,XLOOKUP($C781,daily_dates,big_daily_table))),NA(),XLOOKUP(E$3,daily_items,XLOOKUP($C781,daily_dates,big_daily_table)))</f>
        <v>#N/A</v>
      </c>
    </row>
    <row r="782" ht="14.25" customHeight="1">
      <c r="B782" s="7">
        <v>41687.0</v>
      </c>
      <c r="C782" s="7">
        <f t="shared" si="1"/>
        <v>41686</v>
      </c>
      <c r="D782" s="1" t="str">
        <f t="array" ref="D782">IF(ISBLANK(XLOOKUP(D$3,daily_items,XLOOKUP($C782,daily_dates,big_daily_table))),NA(),XLOOKUP(D$3,daily_items,XLOOKUP($C782,daily_dates,big_daily_table)))</f>
        <v>#N/A</v>
      </c>
      <c r="E782" s="1" t="str">
        <f t="array" ref="E782">IF(ISBLANK(XLOOKUP(E$3,daily_items,XLOOKUP($C782,daily_dates,big_daily_table))),NA(),XLOOKUP(E$3,daily_items,XLOOKUP($C782,daily_dates,big_daily_table)))</f>
        <v>#N/A</v>
      </c>
    </row>
    <row r="783" ht="14.25" customHeight="1">
      <c r="B783" s="7">
        <v>41688.0</v>
      </c>
      <c r="C783" s="7">
        <f t="shared" si="1"/>
        <v>41686</v>
      </c>
      <c r="D783" s="1" t="str">
        <f t="array" ref="D783">IF(ISBLANK(XLOOKUP(D$3,daily_items,XLOOKUP($C783,daily_dates,big_daily_table))),NA(),XLOOKUP(D$3,daily_items,XLOOKUP($C783,daily_dates,big_daily_table)))</f>
        <v>#N/A</v>
      </c>
      <c r="E783" s="1" t="str">
        <f t="array" ref="E783">IF(ISBLANK(XLOOKUP(E$3,daily_items,XLOOKUP($C783,daily_dates,big_daily_table))),NA(),XLOOKUP(E$3,daily_items,XLOOKUP($C783,daily_dates,big_daily_table)))</f>
        <v>#N/A</v>
      </c>
    </row>
    <row r="784" ht="14.25" customHeight="1">
      <c r="B784" s="7">
        <v>41689.0</v>
      </c>
      <c r="C784" s="7">
        <f t="shared" si="1"/>
        <v>41686</v>
      </c>
      <c r="D784" s="1" t="str">
        <f t="array" ref="D784">IF(ISBLANK(XLOOKUP(D$3,daily_items,XLOOKUP($C784,daily_dates,big_daily_table))),NA(),XLOOKUP(D$3,daily_items,XLOOKUP($C784,daily_dates,big_daily_table)))</f>
        <v>#N/A</v>
      </c>
      <c r="E784" s="1" t="str">
        <f t="array" ref="E784">IF(ISBLANK(XLOOKUP(E$3,daily_items,XLOOKUP($C784,daily_dates,big_daily_table))),NA(),XLOOKUP(E$3,daily_items,XLOOKUP($C784,daily_dates,big_daily_table)))</f>
        <v>#N/A</v>
      </c>
    </row>
    <row r="785" ht="14.25" customHeight="1">
      <c r="B785" s="7">
        <v>41690.0</v>
      </c>
      <c r="C785" s="7">
        <f t="shared" si="1"/>
        <v>41686</v>
      </c>
      <c r="D785" s="1" t="str">
        <f t="array" ref="D785">IF(ISBLANK(XLOOKUP(D$3,daily_items,XLOOKUP($C785,daily_dates,big_daily_table))),NA(),XLOOKUP(D$3,daily_items,XLOOKUP($C785,daily_dates,big_daily_table)))</f>
        <v>#N/A</v>
      </c>
      <c r="E785" s="1" t="str">
        <f t="array" ref="E785">IF(ISBLANK(XLOOKUP(E$3,daily_items,XLOOKUP($C785,daily_dates,big_daily_table))),NA(),XLOOKUP(E$3,daily_items,XLOOKUP($C785,daily_dates,big_daily_table)))</f>
        <v>#N/A</v>
      </c>
    </row>
    <row r="786" ht="14.25" customHeight="1">
      <c r="B786" s="7">
        <v>41691.0</v>
      </c>
      <c r="C786" s="7">
        <f t="shared" si="1"/>
        <v>41686</v>
      </c>
      <c r="D786" s="1" t="str">
        <f t="array" ref="D786">IF(ISBLANK(XLOOKUP(D$3,daily_items,XLOOKUP($C786,daily_dates,big_daily_table))),NA(),XLOOKUP(D$3,daily_items,XLOOKUP($C786,daily_dates,big_daily_table)))</f>
        <v>#N/A</v>
      </c>
      <c r="E786" s="1" t="str">
        <f t="array" ref="E786">IF(ISBLANK(XLOOKUP(E$3,daily_items,XLOOKUP($C786,daily_dates,big_daily_table))),NA(),XLOOKUP(E$3,daily_items,XLOOKUP($C786,daily_dates,big_daily_table)))</f>
        <v>#N/A</v>
      </c>
    </row>
    <row r="787" ht="14.25" customHeight="1">
      <c r="B787" s="7">
        <v>41692.0</v>
      </c>
      <c r="C787" s="7">
        <f t="shared" si="1"/>
        <v>41686</v>
      </c>
      <c r="D787" s="1" t="str">
        <f t="array" ref="D787">IF(ISBLANK(XLOOKUP(D$3,daily_items,XLOOKUP($C787,daily_dates,big_daily_table))),NA(),XLOOKUP(D$3,daily_items,XLOOKUP($C787,daily_dates,big_daily_table)))</f>
        <v>#N/A</v>
      </c>
      <c r="E787" s="1" t="str">
        <f t="array" ref="E787">IF(ISBLANK(XLOOKUP(E$3,daily_items,XLOOKUP($C787,daily_dates,big_daily_table))),NA(),XLOOKUP(E$3,daily_items,XLOOKUP($C787,daily_dates,big_daily_table)))</f>
        <v>#N/A</v>
      </c>
    </row>
    <row r="788" ht="14.25" customHeight="1">
      <c r="B788" s="7">
        <v>41693.0</v>
      </c>
      <c r="C788" s="7">
        <f t="shared" si="1"/>
        <v>41693</v>
      </c>
      <c r="D788" s="1" t="str">
        <f t="array" ref="D788">IF(ISBLANK(XLOOKUP(D$3,daily_items,XLOOKUP($C788,daily_dates,big_daily_table))),NA(),XLOOKUP(D$3,daily_items,XLOOKUP($C788,daily_dates,big_daily_table)))</f>
        <v>#N/A</v>
      </c>
      <c r="E788" s="1" t="str">
        <f t="array" ref="E788">IF(ISBLANK(XLOOKUP(E$3,daily_items,XLOOKUP($C788,daily_dates,big_daily_table))),NA(),XLOOKUP(E$3,daily_items,XLOOKUP($C788,daily_dates,big_daily_table)))</f>
        <v>#N/A</v>
      </c>
    </row>
    <row r="789" ht="14.25" customHeight="1">
      <c r="B789" s="7">
        <v>41694.0</v>
      </c>
      <c r="C789" s="7">
        <f t="shared" si="1"/>
        <v>41693</v>
      </c>
      <c r="D789" s="1" t="str">
        <f t="array" ref="D789">IF(ISBLANK(XLOOKUP(D$3,daily_items,XLOOKUP($C789,daily_dates,big_daily_table))),NA(),XLOOKUP(D$3,daily_items,XLOOKUP($C789,daily_dates,big_daily_table)))</f>
        <v>#N/A</v>
      </c>
      <c r="E789" s="1" t="str">
        <f t="array" ref="E789">IF(ISBLANK(XLOOKUP(E$3,daily_items,XLOOKUP($C789,daily_dates,big_daily_table))),NA(),XLOOKUP(E$3,daily_items,XLOOKUP($C789,daily_dates,big_daily_table)))</f>
        <v>#N/A</v>
      </c>
    </row>
    <row r="790" ht="14.25" customHeight="1">
      <c r="B790" s="7">
        <v>41695.0</v>
      </c>
      <c r="C790" s="7">
        <f t="shared" si="1"/>
        <v>41693</v>
      </c>
      <c r="D790" s="1" t="str">
        <f t="array" ref="D790">IF(ISBLANK(XLOOKUP(D$3,daily_items,XLOOKUP($C790,daily_dates,big_daily_table))),NA(),XLOOKUP(D$3,daily_items,XLOOKUP($C790,daily_dates,big_daily_table)))</f>
        <v>#N/A</v>
      </c>
      <c r="E790" s="1" t="str">
        <f t="array" ref="E790">IF(ISBLANK(XLOOKUP(E$3,daily_items,XLOOKUP($C790,daily_dates,big_daily_table))),NA(),XLOOKUP(E$3,daily_items,XLOOKUP($C790,daily_dates,big_daily_table)))</f>
        <v>#N/A</v>
      </c>
    </row>
    <row r="791" ht="14.25" customHeight="1">
      <c r="B791" s="7">
        <v>41696.0</v>
      </c>
      <c r="C791" s="7">
        <f t="shared" si="1"/>
        <v>41693</v>
      </c>
      <c r="D791" s="1" t="str">
        <f t="array" ref="D791">IF(ISBLANK(XLOOKUP(D$3,daily_items,XLOOKUP($C791,daily_dates,big_daily_table))),NA(),XLOOKUP(D$3,daily_items,XLOOKUP($C791,daily_dates,big_daily_table)))</f>
        <v>#N/A</v>
      </c>
      <c r="E791" s="1" t="str">
        <f t="array" ref="E791">IF(ISBLANK(XLOOKUP(E$3,daily_items,XLOOKUP($C791,daily_dates,big_daily_table))),NA(),XLOOKUP(E$3,daily_items,XLOOKUP($C791,daily_dates,big_daily_table)))</f>
        <v>#N/A</v>
      </c>
    </row>
    <row r="792" ht="14.25" customHeight="1">
      <c r="B792" s="7">
        <v>41697.0</v>
      </c>
      <c r="C792" s="7">
        <f t="shared" si="1"/>
        <v>41693</v>
      </c>
      <c r="D792" s="1" t="str">
        <f t="array" ref="D792">IF(ISBLANK(XLOOKUP(D$3,daily_items,XLOOKUP($C792,daily_dates,big_daily_table))),NA(),XLOOKUP(D$3,daily_items,XLOOKUP($C792,daily_dates,big_daily_table)))</f>
        <v>#N/A</v>
      </c>
      <c r="E792" s="1" t="str">
        <f t="array" ref="E792">IF(ISBLANK(XLOOKUP(E$3,daily_items,XLOOKUP($C792,daily_dates,big_daily_table))),NA(),XLOOKUP(E$3,daily_items,XLOOKUP($C792,daily_dates,big_daily_table)))</f>
        <v>#N/A</v>
      </c>
    </row>
    <row r="793" ht="14.25" customHeight="1">
      <c r="B793" s="7">
        <v>41698.0</v>
      </c>
      <c r="C793" s="7">
        <f t="shared" si="1"/>
        <v>41693</v>
      </c>
      <c r="D793" s="1" t="str">
        <f t="array" ref="D793">IF(ISBLANK(XLOOKUP(D$3,daily_items,XLOOKUP($C793,daily_dates,big_daily_table))),NA(),XLOOKUP(D$3,daily_items,XLOOKUP($C793,daily_dates,big_daily_table)))</f>
        <v>#N/A</v>
      </c>
      <c r="E793" s="1" t="str">
        <f t="array" ref="E793">IF(ISBLANK(XLOOKUP(E$3,daily_items,XLOOKUP($C793,daily_dates,big_daily_table))),NA(),XLOOKUP(E$3,daily_items,XLOOKUP($C793,daily_dates,big_daily_table)))</f>
        <v>#N/A</v>
      </c>
    </row>
    <row r="794" ht="14.25" customHeight="1">
      <c r="B794" s="7">
        <v>41699.0</v>
      </c>
      <c r="C794" s="7">
        <f t="shared" si="1"/>
        <v>41693</v>
      </c>
      <c r="D794" s="1" t="str">
        <f t="array" ref="D794">IF(ISBLANK(XLOOKUP(D$3,daily_items,XLOOKUP($C794,daily_dates,big_daily_table))),NA(),XLOOKUP(D$3,daily_items,XLOOKUP($C794,daily_dates,big_daily_table)))</f>
        <v>#N/A</v>
      </c>
      <c r="E794" s="1" t="str">
        <f t="array" ref="E794">IF(ISBLANK(XLOOKUP(E$3,daily_items,XLOOKUP($C794,daily_dates,big_daily_table))),NA(),XLOOKUP(E$3,daily_items,XLOOKUP($C794,daily_dates,big_daily_table)))</f>
        <v>#N/A</v>
      </c>
    </row>
    <row r="795" ht="14.25" customHeight="1">
      <c r="B795" s="7">
        <v>41700.0</v>
      </c>
      <c r="C795" s="7">
        <f t="shared" si="1"/>
        <v>41700</v>
      </c>
      <c r="D795" s="1" t="str">
        <f t="array" ref="D795">IF(ISBLANK(XLOOKUP(D$3,daily_items,XLOOKUP($C795,daily_dates,big_daily_table))),NA(),XLOOKUP(D$3,daily_items,XLOOKUP($C795,daily_dates,big_daily_table)))</f>
        <v>#N/A</v>
      </c>
      <c r="E795" s="1" t="str">
        <f t="array" ref="E795">IF(ISBLANK(XLOOKUP(E$3,daily_items,XLOOKUP($C795,daily_dates,big_daily_table))),NA(),XLOOKUP(E$3,daily_items,XLOOKUP($C795,daily_dates,big_daily_table)))</f>
        <v>#N/A</v>
      </c>
    </row>
    <row r="796" ht="14.25" customHeight="1">
      <c r="B796" s="7">
        <v>41701.0</v>
      </c>
      <c r="C796" s="7">
        <f t="shared" si="1"/>
        <v>41700</v>
      </c>
      <c r="D796" s="1" t="str">
        <f t="array" ref="D796">IF(ISBLANK(XLOOKUP(D$3,daily_items,XLOOKUP($C796,daily_dates,big_daily_table))),NA(),XLOOKUP(D$3,daily_items,XLOOKUP($C796,daily_dates,big_daily_table)))</f>
        <v>#N/A</v>
      </c>
      <c r="E796" s="1" t="str">
        <f t="array" ref="E796">IF(ISBLANK(XLOOKUP(E$3,daily_items,XLOOKUP($C796,daily_dates,big_daily_table))),NA(),XLOOKUP(E$3,daily_items,XLOOKUP($C796,daily_dates,big_daily_table)))</f>
        <v>#N/A</v>
      </c>
    </row>
    <row r="797" ht="14.25" customHeight="1">
      <c r="B797" s="7">
        <v>41702.0</v>
      </c>
      <c r="C797" s="7">
        <f t="shared" si="1"/>
        <v>41700</v>
      </c>
      <c r="D797" s="1" t="str">
        <f t="array" ref="D797">IF(ISBLANK(XLOOKUP(D$3,daily_items,XLOOKUP($C797,daily_dates,big_daily_table))),NA(),XLOOKUP(D$3,daily_items,XLOOKUP($C797,daily_dates,big_daily_table)))</f>
        <v>#N/A</v>
      </c>
      <c r="E797" s="1" t="str">
        <f t="array" ref="E797">IF(ISBLANK(XLOOKUP(E$3,daily_items,XLOOKUP($C797,daily_dates,big_daily_table))),NA(),XLOOKUP(E$3,daily_items,XLOOKUP($C797,daily_dates,big_daily_table)))</f>
        <v>#N/A</v>
      </c>
    </row>
    <row r="798" ht="14.25" customHeight="1">
      <c r="B798" s="7">
        <v>41703.0</v>
      </c>
      <c r="C798" s="7">
        <f t="shared" si="1"/>
        <v>41700</v>
      </c>
      <c r="D798" s="1" t="str">
        <f t="array" ref="D798">IF(ISBLANK(XLOOKUP(D$3,daily_items,XLOOKUP($C798,daily_dates,big_daily_table))),NA(),XLOOKUP(D$3,daily_items,XLOOKUP($C798,daily_dates,big_daily_table)))</f>
        <v>#N/A</v>
      </c>
      <c r="E798" s="1" t="str">
        <f t="array" ref="E798">IF(ISBLANK(XLOOKUP(E$3,daily_items,XLOOKUP($C798,daily_dates,big_daily_table))),NA(),XLOOKUP(E$3,daily_items,XLOOKUP($C798,daily_dates,big_daily_table)))</f>
        <v>#N/A</v>
      </c>
    </row>
    <row r="799" ht="14.25" customHeight="1">
      <c r="B799" s="7">
        <v>41704.0</v>
      </c>
      <c r="C799" s="7">
        <f t="shared" si="1"/>
        <v>41700</v>
      </c>
      <c r="D799" s="1" t="str">
        <f t="array" ref="D799">IF(ISBLANK(XLOOKUP(D$3,daily_items,XLOOKUP($C799,daily_dates,big_daily_table))),NA(),XLOOKUP(D$3,daily_items,XLOOKUP($C799,daily_dates,big_daily_table)))</f>
        <v>#N/A</v>
      </c>
      <c r="E799" s="1" t="str">
        <f t="array" ref="E799">IF(ISBLANK(XLOOKUP(E$3,daily_items,XLOOKUP($C799,daily_dates,big_daily_table))),NA(),XLOOKUP(E$3,daily_items,XLOOKUP($C799,daily_dates,big_daily_table)))</f>
        <v>#N/A</v>
      </c>
    </row>
    <row r="800" ht="14.25" customHeight="1">
      <c r="B800" s="7">
        <v>41705.0</v>
      </c>
      <c r="C800" s="7">
        <f t="shared" si="1"/>
        <v>41700</v>
      </c>
      <c r="D800" s="1" t="str">
        <f t="array" ref="D800">IF(ISBLANK(XLOOKUP(D$3,daily_items,XLOOKUP($C800,daily_dates,big_daily_table))),NA(),XLOOKUP(D$3,daily_items,XLOOKUP($C800,daily_dates,big_daily_table)))</f>
        <v>#N/A</v>
      </c>
      <c r="E800" s="1" t="str">
        <f t="array" ref="E800">IF(ISBLANK(XLOOKUP(E$3,daily_items,XLOOKUP($C800,daily_dates,big_daily_table))),NA(),XLOOKUP(E$3,daily_items,XLOOKUP($C800,daily_dates,big_daily_table)))</f>
        <v>#N/A</v>
      </c>
    </row>
    <row r="801" ht="14.25" customHeight="1">
      <c r="B801" s="7">
        <v>41706.0</v>
      </c>
      <c r="C801" s="7">
        <f t="shared" si="1"/>
        <v>41700</v>
      </c>
      <c r="D801" s="1" t="str">
        <f t="array" ref="D801">IF(ISBLANK(XLOOKUP(D$3,daily_items,XLOOKUP($C801,daily_dates,big_daily_table))),NA(),XLOOKUP(D$3,daily_items,XLOOKUP($C801,daily_dates,big_daily_table)))</f>
        <v>#N/A</v>
      </c>
      <c r="E801" s="1" t="str">
        <f t="array" ref="E801">IF(ISBLANK(XLOOKUP(E$3,daily_items,XLOOKUP($C801,daily_dates,big_daily_table))),NA(),XLOOKUP(E$3,daily_items,XLOOKUP($C801,daily_dates,big_daily_table)))</f>
        <v>#N/A</v>
      </c>
    </row>
    <row r="802" ht="14.25" customHeight="1">
      <c r="B802" s="7">
        <v>41707.0</v>
      </c>
      <c r="C802" s="7">
        <f t="shared" si="1"/>
        <v>41707</v>
      </c>
      <c r="D802" s="1" t="str">
        <f t="array" ref="D802">IF(ISBLANK(XLOOKUP(D$3,daily_items,XLOOKUP($C802,daily_dates,big_daily_table))),NA(),XLOOKUP(D$3,daily_items,XLOOKUP($C802,daily_dates,big_daily_table)))</f>
        <v>#N/A</v>
      </c>
      <c r="E802" s="1" t="str">
        <f t="array" ref="E802">IF(ISBLANK(XLOOKUP(E$3,daily_items,XLOOKUP($C802,daily_dates,big_daily_table))),NA(),XLOOKUP(E$3,daily_items,XLOOKUP($C802,daily_dates,big_daily_table)))</f>
        <v>#N/A</v>
      </c>
    </row>
    <row r="803" ht="14.25" customHeight="1">
      <c r="B803" s="7">
        <v>41708.0</v>
      </c>
      <c r="C803" s="7">
        <f t="shared" si="1"/>
        <v>41707</v>
      </c>
      <c r="D803" s="1" t="str">
        <f t="array" ref="D803">IF(ISBLANK(XLOOKUP(D$3,daily_items,XLOOKUP($C803,daily_dates,big_daily_table))),NA(),XLOOKUP(D$3,daily_items,XLOOKUP($C803,daily_dates,big_daily_table)))</f>
        <v>#N/A</v>
      </c>
      <c r="E803" s="1" t="str">
        <f t="array" ref="E803">IF(ISBLANK(XLOOKUP(E$3,daily_items,XLOOKUP($C803,daily_dates,big_daily_table))),NA(),XLOOKUP(E$3,daily_items,XLOOKUP($C803,daily_dates,big_daily_table)))</f>
        <v>#N/A</v>
      </c>
    </row>
    <row r="804" ht="14.25" customHeight="1">
      <c r="B804" s="7">
        <v>41709.0</v>
      </c>
      <c r="C804" s="7">
        <f t="shared" si="1"/>
        <v>41707</v>
      </c>
      <c r="D804" s="1" t="str">
        <f t="array" ref="D804">IF(ISBLANK(XLOOKUP(D$3,daily_items,XLOOKUP($C804,daily_dates,big_daily_table))),NA(),XLOOKUP(D$3,daily_items,XLOOKUP($C804,daily_dates,big_daily_table)))</f>
        <v>#N/A</v>
      </c>
      <c r="E804" s="1" t="str">
        <f t="array" ref="E804">IF(ISBLANK(XLOOKUP(E$3,daily_items,XLOOKUP($C804,daily_dates,big_daily_table))),NA(),XLOOKUP(E$3,daily_items,XLOOKUP($C804,daily_dates,big_daily_table)))</f>
        <v>#N/A</v>
      </c>
    </row>
    <row r="805" ht="14.25" customHeight="1">
      <c r="B805" s="7">
        <v>41710.0</v>
      </c>
      <c r="C805" s="7">
        <f t="shared" si="1"/>
        <v>41707</v>
      </c>
      <c r="D805" s="1" t="str">
        <f t="array" ref="D805">IF(ISBLANK(XLOOKUP(D$3,daily_items,XLOOKUP($C805,daily_dates,big_daily_table))),NA(),XLOOKUP(D$3,daily_items,XLOOKUP($C805,daily_dates,big_daily_table)))</f>
        <v>#N/A</v>
      </c>
      <c r="E805" s="1" t="str">
        <f t="array" ref="E805">IF(ISBLANK(XLOOKUP(E$3,daily_items,XLOOKUP($C805,daily_dates,big_daily_table))),NA(),XLOOKUP(E$3,daily_items,XLOOKUP($C805,daily_dates,big_daily_table)))</f>
        <v>#N/A</v>
      </c>
    </row>
    <row r="806" ht="14.25" customHeight="1">
      <c r="B806" s="7">
        <v>41711.0</v>
      </c>
      <c r="C806" s="7">
        <f t="shared" si="1"/>
        <v>41707</v>
      </c>
      <c r="D806" s="1" t="str">
        <f t="array" ref="D806">IF(ISBLANK(XLOOKUP(D$3,daily_items,XLOOKUP($C806,daily_dates,big_daily_table))),NA(),XLOOKUP(D$3,daily_items,XLOOKUP($C806,daily_dates,big_daily_table)))</f>
        <v>#N/A</v>
      </c>
      <c r="E806" s="1" t="str">
        <f t="array" ref="E806">IF(ISBLANK(XLOOKUP(E$3,daily_items,XLOOKUP($C806,daily_dates,big_daily_table))),NA(),XLOOKUP(E$3,daily_items,XLOOKUP($C806,daily_dates,big_daily_table)))</f>
        <v>#N/A</v>
      </c>
    </row>
    <row r="807" ht="14.25" customHeight="1">
      <c r="B807" s="7">
        <v>41712.0</v>
      </c>
      <c r="C807" s="7">
        <f t="shared" si="1"/>
        <v>41707</v>
      </c>
      <c r="D807" s="1" t="str">
        <f t="array" ref="D807">IF(ISBLANK(XLOOKUP(D$3,daily_items,XLOOKUP($C807,daily_dates,big_daily_table))),NA(),XLOOKUP(D$3,daily_items,XLOOKUP($C807,daily_dates,big_daily_table)))</f>
        <v>#N/A</v>
      </c>
      <c r="E807" s="1" t="str">
        <f t="array" ref="E807">IF(ISBLANK(XLOOKUP(E$3,daily_items,XLOOKUP($C807,daily_dates,big_daily_table))),NA(),XLOOKUP(E$3,daily_items,XLOOKUP($C807,daily_dates,big_daily_table)))</f>
        <v>#N/A</v>
      </c>
    </row>
    <row r="808" ht="14.25" customHeight="1">
      <c r="B808" s="7">
        <v>41713.0</v>
      </c>
      <c r="C808" s="7">
        <f t="shared" si="1"/>
        <v>41707</v>
      </c>
      <c r="D808" s="1" t="str">
        <f t="array" ref="D808">IF(ISBLANK(XLOOKUP(D$3,daily_items,XLOOKUP($C808,daily_dates,big_daily_table))),NA(),XLOOKUP(D$3,daily_items,XLOOKUP($C808,daily_dates,big_daily_table)))</f>
        <v>#N/A</v>
      </c>
      <c r="E808" s="1" t="str">
        <f t="array" ref="E808">IF(ISBLANK(XLOOKUP(E$3,daily_items,XLOOKUP($C808,daily_dates,big_daily_table))),NA(),XLOOKUP(E$3,daily_items,XLOOKUP($C808,daily_dates,big_daily_table)))</f>
        <v>#N/A</v>
      </c>
    </row>
    <row r="809" ht="14.25" customHeight="1">
      <c r="B809" s="7">
        <v>41714.0</v>
      </c>
      <c r="C809" s="7">
        <f t="shared" si="1"/>
        <v>41714</v>
      </c>
      <c r="D809" s="1" t="str">
        <f t="array" ref="D809">IF(ISBLANK(XLOOKUP(D$3,daily_items,XLOOKUP($C809,daily_dates,big_daily_table))),NA(),XLOOKUP(D$3,daily_items,XLOOKUP($C809,daily_dates,big_daily_table)))</f>
        <v>#N/A</v>
      </c>
      <c r="E809" s="1" t="str">
        <f t="array" ref="E809">IF(ISBLANK(XLOOKUP(E$3,daily_items,XLOOKUP($C809,daily_dates,big_daily_table))),NA(),XLOOKUP(E$3,daily_items,XLOOKUP($C809,daily_dates,big_daily_table)))</f>
        <v>#N/A</v>
      </c>
    </row>
    <row r="810" ht="14.25" customHeight="1">
      <c r="B810" s="7">
        <v>41715.0</v>
      </c>
      <c r="C810" s="7">
        <f t="shared" si="1"/>
        <v>41714</v>
      </c>
      <c r="D810" s="1" t="str">
        <f t="array" ref="D810">IF(ISBLANK(XLOOKUP(D$3,daily_items,XLOOKUP($C810,daily_dates,big_daily_table))),NA(),XLOOKUP(D$3,daily_items,XLOOKUP($C810,daily_dates,big_daily_table)))</f>
        <v>#N/A</v>
      </c>
      <c r="E810" s="1" t="str">
        <f t="array" ref="E810">IF(ISBLANK(XLOOKUP(E$3,daily_items,XLOOKUP($C810,daily_dates,big_daily_table))),NA(),XLOOKUP(E$3,daily_items,XLOOKUP($C810,daily_dates,big_daily_table)))</f>
        <v>#N/A</v>
      </c>
    </row>
    <row r="811" ht="14.25" customHeight="1">
      <c r="B811" s="7">
        <v>41716.0</v>
      </c>
      <c r="C811" s="7">
        <f t="shared" si="1"/>
        <v>41714</v>
      </c>
      <c r="D811" s="1" t="str">
        <f t="array" ref="D811">IF(ISBLANK(XLOOKUP(D$3,daily_items,XLOOKUP($C811,daily_dates,big_daily_table))),NA(),XLOOKUP(D$3,daily_items,XLOOKUP($C811,daily_dates,big_daily_table)))</f>
        <v>#N/A</v>
      </c>
      <c r="E811" s="1" t="str">
        <f t="array" ref="E811">IF(ISBLANK(XLOOKUP(E$3,daily_items,XLOOKUP($C811,daily_dates,big_daily_table))),NA(),XLOOKUP(E$3,daily_items,XLOOKUP($C811,daily_dates,big_daily_table)))</f>
        <v>#N/A</v>
      </c>
    </row>
    <row r="812" ht="14.25" customHeight="1">
      <c r="B812" s="7">
        <v>41717.0</v>
      </c>
      <c r="C812" s="7">
        <f t="shared" si="1"/>
        <v>41714</v>
      </c>
      <c r="D812" s="1" t="str">
        <f t="array" ref="D812">IF(ISBLANK(XLOOKUP(D$3,daily_items,XLOOKUP($C812,daily_dates,big_daily_table))),NA(),XLOOKUP(D$3,daily_items,XLOOKUP($C812,daily_dates,big_daily_table)))</f>
        <v>#N/A</v>
      </c>
      <c r="E812" s="1" t="str">
        <f t="array" ref="E812">IF(ISBLANK(XLOOKUP(E$3,daily_items,XLOOKUP($C812,daily_dates,big_daily_table))),NA(),XLOOKUP(E$3,daily_items,XLOOKUP($C812,daily_dates,big_daily_table)))</f>
        <v>#N/A</v>
      </c>
    </row>
    <row r="813" ht="14.25" customHeight="1">
      <c r="B813" s="7">
        <v>41718.0</v>
      </c>
      <c r="C813" s="7">
        <f t="shared" si="1"/>
        <v>41714</v>
      </c>
      <c r="D813" s="1" t="str">
        <f t="array" ref="D813">IF(ISBLANK(XLOOKUP(D$3,daily_items,XLOOKUP($C813,daily_dates,big_daily_table))),NA(),XLOOKUP(D$3,daily_items,XLOOKUP($C813,daily_dates,big_daily_table)))</f>
        <v>#N/A</v>
      </c>
      <c r="E813" s="1" t="str">
        <f t="array" ref="E813">IF(ISBLANK(XLOOKUP(E$3,daily_items,XLOOKUP($C813,daily_dates,big_daily_table))),NA(),XLOOKUP(E$3,daily_items,XLOOKUP($C813,daily_dates,big_daily_table)))</f>
        <v>#N/A</v>
      </c>
    </row>
    <row r="814" ht="14.25" customHeight="1">
      <c r="B814" s="7">
        <v>41719.0</v>
      </c>
      <c r="C814" s="7">
        <f t="shared" si="1"/>
        <v>41714</v>
      </c>
      <c r="D814" s="1" t="str">
        <f t="array" ref="D814">IF(ISBLANK(XLOOKUP(D$3,daily_items,XLOOKUP($C814,daily_dates,big_daily_table))),NA(),XLOOKUP(D$3,daily_items,XLOOKUP($C814,daily_dates,big_daily_table)))</f>
        <v>#N/A</v>
      </c>
      <c r="E814" s="1" t="str">
        <f t="array" ref="E814">IF(ISBLANK(XLOOKUP(E$3,daily_items,XLOOKUP($C814,daily_dates,big_daily_table))),NA(),XLOOKUP(E$3,daily_items,XLOOKUP($C814,daily_dates,big_daily_table)))</f>
        <v>#N/A</v>
      </c>
    </row>
    <row r="815" ht="14.25" customHeight="1">
      <c r="B815" s="7">
        <v>41720.0</v>
      </c>
      <c r="C815" s="7">
        <f t="shared" si="1"/>
        <v>41714</v>
      </c>
      <c r="D815" s="1" t="str">
        <f t="array" ref="D815">IF(ISBLANK(XLOOKUP(D$3,daily_items,XLOOKUP($C815,daily_dates,big_daily_table))),NA(),XLOOKUP(D$3,daily_items,XLOOKUP($C815,daily_dates,big_daily_table)))</f>
        <v>#N/A</v>
      </c>
      <c r="E815" s="1" t="str">
        <f t="array" ref="E815">IF(ISBLANK(XLOOKUP(E$3,daily_items,XLOOKUP($C815,daily_dates,big_daily_table))),NA(),XLOOKUP(E$3,daily_items,XLOOKUP($C815,daily_dates,big_daily_table)))</f>
        <v>#N/A</v>
      </c>
    </row>
    <row r="816" ht="14.25" customHeight="1">
      <c r="B816" s="7">
        <v>41721.0</v>
      </c>
      <c r="C816" s="7">
        <f t="shared" si="1"/>
        <v>41721</v>
      </c>
      <c r="D816" s="1" t="str">
        <f t="array" ref="D816">IF(ISBLANK(XLOOKUP(D$3,daily_items,XLOOKUP($C816,daily_dates,big_daily_table))),NA(),XLOOKUP(D$3,daily_items,XLOOKUP($C816,daily_dates,big_daily_table)))</f>
        <v>#N/A</v>
      </c>
      <c r="E816" s="1" t="str">
        <f t="array" ref="E816">IF(ISBLANK(XLOOKUP(E$3,daily_items,XLOOKUP($C816,daily_dates,big_daily_table))),NA(),XLOOKUP(E$3,daily_items,XLOOKUP($C816,daily_dates,big_daily_table)))</f>
        <v>#N/A</v>
      </c>
    </row>
    <row r="817" ht="14.25" customHeight="1">
      <c r="B817" s="7">
        <v>41722.0</v>
      </c>
      <c r="C817" s="7">
        <f t="shared" si="1"/>
        <v>41721</v>
      </c>
      <c r="D817" s="1" t="str">
        <f t="array" ref="D817">IF(ISBLANK(XLOOKUP(D$3,daily_items,XLOOKUP($C817,daily_dates,big_daily_table))),NA(),XLOOKUP(D$3,daily_items,XLOOKUP($C817,daily_dates,big_daily_table)))</f>
        <v>#N/A</v>
      </c>
      <c r="E817" s="1" t="str">
        <f t="array" ref="E817">IF(ISBLANK(XLOOKUP(E$3,daily_items,XLOOKUP($C817,daily_dates,big_daily_table))),NA(),XLOOKUP(E$3,daily_items,XLOOKUP($C817,daily_dates,big_daily_table)))</f>
        <v>#N/A</v>
      </c>
    </row>
    <row r="818" ht="14.25" customHeight="1">
      <c r="B818" s="7">
        <v>41723.0</v>
      </c>
      <c r="C818" s="7">
        <f t="shared" si="1"/>
        <v>41721</v>
      </c>
      <c r="D818" s="1" t="str">
        <f t="array" ref="D818">IF(ISBLANK(XLOOKUP(D$3,daily_items,XLOOKUP($C818,daily_dates,big_daily_table))),NA(),XLOOKUP(D$3,daily_items,XLOOKUP($C818,daily_dates,big_daily_table)))</f>
        <v>#N/A</v>
      </c>
      <c r="E818" s="1" t="str">
        <f t="array" ref="E818">IF(ISBLANK(XLOOKUP(E$3,daily_items,XLOOKUP($C818,daily_dates,big_daily_table))),NA(),XLOOKUP(E$3,daily_items,XLOOKUP($C818,daily_dates,big_daily_table)))</f>
        <v>#N/A</v>
      </c>
    </row>
    <row r="819" ht="14.25" customHeight="1">
      <c r="B819" s="7">
        <v>41724.0</v>
      </c>
      <c r="C819" s="7">
        <f t="shared" si="1"/>
        <v>41721</v>
      </c>
      <c r="D819" s="1" t="str">
        <f t="array" ref="D819">IF(ISBLANK(XLOOKUP(D$3,daily_items,XLOOKUP($C819,daily_dates,big_daily_table))),NA(),XLOOKUP(D$3,daily_items,XLOOKUP($C819,daily_dates,big_daily_table)))</f>
        <v>#N/A</v>
      </c>
      <c r="E819" s="1" t="str">
        <f t="array" ref="E819">IF(ISBLANK(XLOOKUP(E$3,daily_items,XLOOKUP($C819,daily_dates,big_daily_table))),NA(),XLOOKUP(E$3,daily_items,XLOOKUP($C819,daily_dates,big_daily_table)))</f>
        <v>#N/A</v>
      </c>
    </row>
    <row r="820" ht="14.25" customHeight="1">
      <c r="B820" s="7">
        <v>41725.0</v>
      </c>
      <c r="C820" s="7">
        <f t="shared" si="1"/>
        <v>41721</v>
      </c>
      <c r="D820" s="1" t="str">
        <f t="array" ref="D820">IF(ISBLANK(XLOOKUP(D$3,daily_items,XLOOKUP($C820,daily_dates,big_daily_table))),NA(),XLOOKUP(D$3,daily_items,XLOOKUP($C820,daily_dates,big_daily_table)))</f>
        <v>#N/A</v>
      </c>
      <c r="E820" s="1" t="str">
        <f t="array" ref="E820">IF(ISBLANK(XLOOKUP(E$3,daily_items,XLOOKUP($C820,daily_dates,big_daily_table))),NA(),XLOOKUP(E$3,daily_items,XLOOKUP($C820,daily_dates,big_daily_table)))</f>
        <v>#N/A</v>
      </c>
    </row>
    <row r="821" ht="14.25" customHeight="1">
      <c r="B821" s="7">
        <v>41726.0</v>
      </c>
      <c r="C821" s="7">
        <f t="shared" si="1"/>
        <v>41721</v>
      </c>
      <c r="D821" s="1" t="str">
        <f t="array" ref="D821">IF(ISBLANK(XLOOKUP(D$3,daily_items,XLOOKUP($C821,daily_dates,big_daily_table))),NA(),XLOOKUP(D$3,daily_items,XLOOKUP($C821,daily_dates,big_daily_table)))</f>
        <v>#N/A</v>
      </c>
      <c r="E821" s="1" t="str">
        <f t="array" ref="E821">IF(ISBLANK(XLOOKUP(E$3,daily_items,XLOOKUP($C821,daily_dates,big_daily_table))),NA(),XLOOKUP(E$3,daily_items,XLOOKUP($C821,daily_dates,big_daily_table)))</f>
        <v>#N/A</v>
      </c>
    </row>
    <row r="822" ht="14.25" customHeight="1">
      <c r="B822" s="7">
        <v>41727.0</v>
      </c>
      <c r="C822" s="7">
        <f t="shared" si="1"/>
        <v>41721</v>
      </c>
      <c r="D822" s="1" t="str">
        <f t="array" ref="D822">IF(ISBLANK(XLOOKUP(D$3,daily_items,XLOOKUP($C822,daily_dates,big_daily_table))),NA(),XLOOKUP(D$3,daily_items,XLOOKUP($C822,daily_dates,big_daily_table)))</f>
        <v>#N/A</v>
      </c>
      <c r="E822" s="1" t="str">
        <f t="array" ref="E822">IF(ISBLANK(XLOOKUP(E$3,daily_items,XLOOKUP($C822,daily_dates,big_daily_table))),NA(),XLOOKUP(E$3,daily_items,XLOOKUP($C822,daily_dates,big_daily_table)))</f>
        <v>#N/A</v>
      </c>
    </row>
    <row r="823" ht="14.25" customHeight="1">
      <c r="B823" s="7">
        <v>41728.0</v>
      </c>
      <c r="C823" s="7">
        <f t="shared" si="1"/>
        <v>41728</v>
      </c>
      <c r="D823" s="1" t="str">
        <f t="array" ref="D823">IF(ISBLANK(XLOOKUP(D$3,daily_items,XLOOKUP($C823,daily_dates,big_daily_table))),NA(),XLOOKUP(D$3,daily_items,XLOOKUP($C823,daily_dates,big_daily_table)))</f>
        <v>#N/A</v>
      </c>
      <c r="E823" s="1" t="str">
        <f t="array" ref="E823">IF(ISBLANK(XLOOKUP(E$3,daily_items,XLOOKUP($C823,daily_dates,big_daily_table))),NA(),XLOOKUP(E$3,daily_items,XLOOKUP($C823,daily_dates,big_daily_table)))</f>
        <v>#N/A</v>
      </c>
    </row>
    <row r="824" ht="14.25" customHeight="1">
      <c r="B824" s="7">
        <v>41729.0</v>
      </c>
      <c r="C824" s="7">
        <f t="shared" si="1"/>
        <v>41728</v>
      </c>
      <c r="D824" s="1" t="str">
        <f t="array" ref="D824">IF(ISBLANK(XLOOKUP(D$3,daily_items,XLOOKUP($C824,daily_dates,big_daily_table))),NA(),XLOOKUP(D$3,daily_items,XLOOKUP($C824,daily_dates,big_daily_table)))</f>
        <v>#N/A</v>
      </c>
      <c r="E824" s="1" t="str">
        <f t="array" ref="E824">IF(ISBLANK(XLOOKUP(E$3,daily_items,XLOOKUP($C824,daily_dates,big_daily_table))),NA(),XLOOKUP(E$3,daily_items,XLOOKUP($C824,daily_dates,big_daily_table)))</f>
        <v>#N/A</v>
      </c>
    </row>
    <row r="825" ht="14.25" customHeight="1">
      <c r="B825" s="7">
        <v>41730.0</v>
      </c>
      <c r="C825" s="7">
        <f t="shared" si="1"/>
        <v>41728</v>
      </c>
      <c r="D825" s="1" t="str">
        <f t="array" ref="D825">IF(ISBLANK(XLOOKUP(D$3,daily_items,XLOOKUP($C825,daily_dates,big_daily_table))),NA(),XLOOKUP(D$3,daily_items,XLOOKUP($C825,daily_dates,big_daily_table)))</f>
        <v>#N/A</v>
      </c>
      <c r="E825" s="1" t="str">
        <f t="array" ref="E825">IF(ISBLANK(XLOOKUP(E$3,daily_items,XLOOKUP($C825,daily_dates,big_daily_table))),NA(),XLOOKUP(E$3,daily_items,XLOOKUP($C825,daily_dates,big_daily_table)))</f>
        <v>#N/A</v>
      </c>
    </row>
    <row r="826" ht="14.25" customHeight="1">
      <c r="B826" s="7">
        <v>41731.0</v>
      </c>
      <c r="C826" s="7">
        <f t="shared" si="1"/>
        <v>41728</v>
      </c>
      <c r="D826" s="1" t="str">
        <f t="array" ref="D826">IF(ISBLANK(XLOOKUP(D$3,daily_items,XLOOKUP($C826,daily_dates,big_daily_table))),NA(),XLOOKUP(D$3,daily_items,XLOOKUP($C826,daily_dates,big_daily_table)))</f>
        <v>#N/A</v>
      </c>
      <c r="E826" s="1" t="str">
        <f t="array" ref="E826">IF(ISBLANK(XLOOKUP(E$3,daily_items,XLOOKUP($C826,daily_dates,big_daily_table))),NA(),XLOOKUP(E$3,daily_items,XLOOKUP($C826,daily_dates,big_daily_table)))</f>
        <v>#N/A</v>
      </c>
    </row>
    <row r="827" ht="14.25" customHeight="1">
      <c r="B827" s="7">
        <v>41732.0</v>
      </c>
      <c r="C827" s="7">
        <f t="shared" si="1"/>
        <v>41728</v>
      </c>
      <c r="D827" s="1" t="str">
        <f t="array" ref="D827">IF(ISBLANK(XLOOKUP(D$3,daily_items,XLOOKUP($C827,daily_dates,big_daily_table))),NA(),XLOOKUP(D$3,daily_items,XLOOKUP($C827,daily_dates,big_daily_table)))</f>
        <v>#N/A</v>
      </c>
      <c r="E827" s="1" t="str">
        <f t="array" ref="E827">IF(ISBLANK(XLOOKUP(E$3,daily_items,XLOOKUP($C827,daily_dates,big_daily_table))),NA(),XLOOKUP(E$3,daily_items,XLOOKUP($C827,daily_dates,big_daily_table)))</f>
        <v>#N/A</v>
      </c>
    </row>
    <row r="828" ht="14.25" customHeight="1">
      <c r="B828" s="7">
        <v>41733.0</v>
      </c>
      <c r="C828" s="7">
        <f t="shared" si="1"/>
        <v>41728</v>
      </c>
      <c r="D828" s="1" t="str">
        <f t="array" ref="D828">IF(ISBLANK(XLOOKUP(D$3,daily_items,XLOOKUP($C828,daily_dates,big_daily_table))),NA(),XLOOKUP(D$3,daily_items,XLOOKUP($C828,daily_dates,big_daily_table)))</f>
        <v>#N/A</v>
      </c>
      <c r="E828" s="1" t="str">
        <f t="array" ref="E828">IF(ISBLANK(XLOOKUP(E$3,daily_items,XLOOKUP($C828,daily_dates,big_daily_table))),NA(),XLOOKUP(E$3,daily_items,XLOOKUP($C828,daily_dates,big_daily_table)))</f>
        <v>#N/A</v>
      </c>
    </row>
    <row r="829" ht="14.25" customHeight="1">
      <c r="B829" s="7">
        <v>41734.0</v>
      </c>
      <c r="C829" s="7">
        <f t="shared" si="1"/>
        <v>41728</v>
      </c>
      <c r="D829" s="1" t="str">
        <f t="array" ref="D829">IF(ISBLANK(XLOOKUP(D$3,daily_items,XLOOKUP($C829,daily_dates,big_daily_table))),NA(),XLOOKUP(D$3,daily_items,XLOOKUP($C829,daily_dates,big_daily_table)))</f>
        <v>#N/A</v>
      </c>
      <c r="E829" s="1" t="str">
        <f t="array" ref="E829">IF(ISBLANK(XLOOKUP(E$3,daily_items,XLOOKUP($C829,daily_dates,big_daily_table))),NA(),XLOOKUP(E$3,daily_items,XLOOKUP($C829,daily_dates,big_daily_table)))</f>
        <v>#N/A</v>
      </c>
    </row>
    <row r="830" ht="14.25" customHeight="1">
      <c r="B830" s="7">
        <v>41735.0</v>
      </c>
      <c r="C830" s="7">
        <f t="shared" si="1"/>
        <v>41735</v>
      </c>
      <c r="D830" s="1" t="str">
        <f t="array" ref="D830">IF(ISBLANK(XLOOKUP(D$3,daily_items,XLOOKUP($C830,daily_dates,big_daily_table))),NA(),XLOOKUP(D$3,daily_items,XLOOKUP($C830,daily_dates,big_daily_table)))</f>
        <v>#N/A</v>
      </c>
      <c r="E830" s="1" t="str">
        <f t="array" ref="E830">IF(ISBLANK(XLOOKUP(E$3,daily_items,XLOOKUP($C830,daily_dates,big_daily_table))),NA(),XLOOKUP(E$3,daily_items,XLOOKUP($C830,daily_dates,big_daily_table)))</f>
        <v>#N/A</v>
      </c>
    </row>
    <row r="831" ht="14.25" customHeight="1">
      <c r="B831" s="7">
        <v>41736.0</v>
      </c>
      <c r="C831" s="7">
        <f t="shared" si="1"/>
        <v>41735</v>
      </c>
      <c r="D831" s="1" t="str">
        <f t="array" ref="D831">IF(ISBLANK(XLOOKUP(D$3,daily_items,XLOOKUP($C831,daily_dates,big_daily_table))),NA(),XLOOKUP(D$3,daily_items,XLOOKUP($C831,daily_dates,big_daily_table)))</f>
        <v>#N/A</v>
      </c>
      <c r="E831" s="1" t="str">
        <f t="array" ref="E831">IF(ISBLANK(XLOOKUP(E$3,daily_items,XLOOKUP($C831,daily_dates,big_daily_table))),NA(),XLOOKUP(E$3,daily_items,XLOOKUP($C831,daily_dates,big_daily_table)))</f>
        <v>#N/A</v>
      </c>
    </row>
    <row r="832" ht="14.25" customHeight="1">
      <c r="B832" s="7">
        <v>41737.0</v>
      </c>
      <c r="C832" s="7">
        <f t="shared" si="1"/>
        <v>41735</v>
      </c>
      <c r="D832" s="1" t="str">
        <f t="array" ref="D832">IF(ISBLANK(XLOOKUP(D$3,daily_items,XLOOKUP($C832,daily_dates,big_daily_table))),NA(),XLOOKUP(D$3,daily_items,XLOOKUP($C832,daily_dates,big_daily_table)))</f>
        <v>#N/A</v>
      </c>
      <c r="E832" s="1" t="str">
        <f t="array" ref="E832">IF(ISBLANK(XLOOKUP(E$3,daily_items,XLOOKUP($C832,daily_dates,big_daily_table))),NA(),XLOOKUP(E$3,daily_items,XLOOKUP($C832,daily_dates,big_daily_table)))</f>
        <v>#N/A</v>
      </c>
    </row>
    <row r="833" ht="14.25" customHeight="1">
      <c r="B833" s="7">
        <v>41738.0</v>
      </c>
      <c r="C833" s="7">
        <f t="shared" si="1"/>
        <v>41735</v>
      </c>
      <c r="D833" s="1" t="str">
        <f t="array" ref="D833">IF(ISBLANK(XLOOKUP(D$3,daily_items,XLOOKUP($C833,daily_dates,big_daily_table))),NA(),XLOOKUP(D$3,daily_items,XLOOKUP($C833,daily_dates,big_daily_table)))</f>
        <v>#N/A</v>
      </c>
      <c r="E833" s="1" t="str">
        <f t="array" ref="E833">IF(ISBLANK(XLOOKUP(E$3,daily_items,XLOOKUP($C833,daily_dates,big_daily_table))),NA(),XLOOKUP(E$3,daily_items,XLOOKUP($C833,daily_dates,big_daily_table)))</f>
        <v>#N/A</v>
      </c>
    </row>
    <row r="834" ht="14.25" customHeight="1">
      <c r="B834" s="7">
        <v>41739.0</v>
      </c>
      <c r="C834" s="7">
        <f t="shared" si="1"/>
        <v>41735</v>
      </c>
      <c r="D834" s="1" t="str">
        <f t="array" ref="D834">IF(ISBLANK(XLOOKUP(D$3,daily_items,XLOOKUP($C834,daily_dates,big_daily_table))),NA(),XLOOKUP(D$3,daily_items,XLOOKUP($C834,daily_dates,big_daily_table)))</f>
        <v>#N/A</v>
      </c>
      <c r="E834" s="1" t="str">
        <f t="array" ref="E834">IF(ISBLANK(XLOOKUP(E$3,daily_items,XLOOKUP($C834,daily_dates,big_daily_table))),NA(),XLOOKUP(E$3,daily_items,XLOOKUP($C834,daily_dates,big_daily_table)))</f>
        <v>#N/A</v>
      </c>
    </row>
    <row r="835" ht="14.25" customHeight="1">
      <c r="B835" s="7">
        <v>41740.0</v>
      </c>
      <c r="C835" s="7">
        <f t="shared" si="1"/>
        <v>41735</v>
      </c>
      <c r="D835" s="1" t="str">
        <f t="array" ref="D835">IF(ISBLANK(XLOOKUP(D$3,daily_items,XLOOKUP($C835,daily_dates,big_daily_table))),NA(),XLOOKUP(D$3,daily_items,XLOOKUP($C835,daily_dates,big_daily_table)))</f>
        <v>#N/A</v>
      </c>
      <c r="E835" s="1" t="str">
        <f t="array" ref="E835">IF(ISBLANK(XLOOKUP(E$3,daily_items,XLOOKUP($C835,daily_dates,big_daily_table))),NA(),XLOOKUP(E$3,daily_items,XLOOKUP($C835,daily_dates,big_daily_table)))</f>
        <v>#N/A</v>
      </c>
    </row>
    <row r="836" ht="14.25" customHeight="1">
      <c r="B836" s="7">
        <v>41741.0</v>
      </c>
      <c r="C836" s="7">
        <f t="shared" si="1"/>
        <v>41735</v>
      </c>
      <c r="D836" s="1" t="str">
        <f t="array" ref="D836">IF(ISBLANK(XLOOKUP(D$3,daily_items,XLOOKUP($C836,daily_dates,big_daily_table))),NA(),XLOOKUP(D$3,daily_items,XLOOKUP($C836,daily_dates,big_daily_table)))</f>
        <v>#N/A</v>
      </c>
      <c r="E836" s="1" t="str">
        <f t="array" ref="E836">IF(ISBLANK(XLOOKUP(E$3,daily_items,XLOOKUP($C836,daily_dates,big_daily_table))),NA(),XLOOKUP(E$3,daily_items,XLOOKUP($C836,daily_dates,big_daily_table)))</f>
        <v>#N/A</v>
      </c>
    </row>
    <row r="837" ht="14.25" customHeight="1">
      <c r="B837" s="7">
        <v>41742.0</v>
      </c>
      <c r="C837" s="7">
        <f t="shared" si="1"/>
        <v>41742</v>
      </c>
      <c r="D837" s="1" t="str">
        <f t="array" ref="D837">IF(ISBLANK(XLOOKUP(D$3,daily_items,XLOOKUP($C837,daily_dates,big_daily_table))),NA(),XLOOKUP(D$3,daily_items,XLOOKUP($C837,daily_dates,big_daily_table)))</f>
        <v>#N/A</v>
      </c>
      <c r="E837" s="1" t="str">
        <f t="array" ref="E837">IF(ISBLANK(XLOOKUP(E$3,daily_items,XLOOKUP($C837,daily_dates,big_daily_table))),NA(),XLOOKUP(E$3,daily_items,XLOOKUP($C837,daily_dates,big_daily_table)))</f>
        <v>#N/A</v>
      </c>
    </row>
    <row r="838" ht="14.25" customHeight="1">
      <c r="B838" s="7">
        <v>41743.0</v>
      </c>
      <c r="C838" s="7">
        <f t="shared" si="1"/>
        <v>41742</v>
      </c>
      <c r="D838" s="1" t="str">
        <f t="array" ref="D838">IF(ISBLANK(XLOOKUP(D$3,daily_items,XLOOKUP($C838,daily_dates,big_daily_table))),NA(),XLOOKUP(D$3,daily_items,XLOOKUP($C838,daily_dates,big_daily_table)))</f>
        <v>#N/A</v>
      </c>
      <c r="E838" s="1" t="str">
        <f t="array" ref="E838">IF(ISBLANK(XLOOKUP(E$3,daily_items,XLOOKUP($C838,daily_dates,big_daily_table))),NA(),XLOOKUP(E$3,daily_items,XLOOKUP($C838,daily_dates,big_daily_table)))</f>
        <v>#N/A</v>
      </c>
    </row>
    <row r="839" ht="14.25" customHeight="1">
      <c r="B839" s="7">
        <v>41744.0</v>
      </c>
      <c r="C839" s="7">
        <f t="shared" si="1"/>
        <v>41742</v>
      </c>
      <c r="D839" s="1" t="str">
        <f t="array" ref="D839">IF(ISBLANK(XLOOKUP(D$3,daily_items,XLOOKUP($C839,daily_dates,big_daily_table))),NA(),XLOOKUP(D$3,daily_items,XLOOKUP($C839,daily_dates,big_daily_table)))</f>
        <v>#N/A</v>
      </c>
      <c r="E839" s="1" t="str">
        <f t="array" ref="E839">IF(ISBLANK(XLOOKUP(E$3,daily_items,XLOOKUP($C839,daily_dates,big_daily_table))),NA(),XLOOKUP(E$3,daily_items,XLOOKUP($C839,daily_dates,big_daily_table)))</f>
        <v>#N/A</v>
      </c>
    </row>
    <row r="840" ht="14.25" customHeight="1">
      <c r="B840" s="7">
        <v>41745.0</v>
      </c>
      <c r="C840" s="7">
        <f t="shared" si="1"/>
        <v>41742</v>
      </c>
      <c r="D840" s="1" t="str">
        <f t="array" ref="D840">IF(ISBLANK(XLOOKUP(D$3,daily_items,XLOOKUP($C840,daily_dates,big_daily_table))),NA(),XLOOKUP(D$3,daily_items,XLOOKUP($C840,daily_dates,big_daily_table)))</f>
        <v>#N/A</v>
      </c>
      <c r="E840" s="1" t="str">
        <f t="array" ref="E840">IF(ISBLANK(XLOOKUP(E$3,daily_items,XLOOKUP($C840,daily_dates,big_daily_table))),NA(),XLOOKUP(E$3,daily_items,XLOOKUP($C840,daily_dates,big_daily_table)))</f>
        <v>#N/A</v>
      </c>
    </row>
    <row r="841" ht="14.25" customHeight="1">
      <c r="B841" s="7">
        <v>41746.0</v>
      </c>
      <c r="C841" s="7">
        <f t="shared" si="1"/>
        <v>41742</v>
      </c>
      <c r="D841" s="1" t="str">
        <f t="array" ref="D841">IF(ISBLANK(XLOOKUP(D$3,daily_items,XLOOKUP($C841,daily_dates,big_daily_table))),NA(),XLOOKUP(D$3,daily_items,XLOOKUP($C841,daily_dates,big_daily_table)))</f>
        <v>#N/A</v>
      </c>
      <c r="E841" s="1" t="str">
        <f t="array" ref="E841">IF(ISBLANK(XLOOKUP(E$3,daily_items,XLOOKUP($C841,daily_dates,big_daily_table))),NA(),XLOOKUP(E$3,daily_items,XLOOKUP($C841,daily_dates,big_daily_table)))</f>
        <v>#N/A</v>
      </c>
    </row>
    <row r="842" ht="14.25" customHeight="1">
      <c r="B842" s="7">
        <v>41747.0</v>
      </c>
      <c r="C842" s="7">
        <f t="shared" si="1"/>
        <v>41742</v>
      </c>
      <c r="D842" s="1" t="str">
        <f t="array" ref="D842">IF(ISBLANK(XLOOKUP(D$3,daily_items,XLOOKUP($C842,daily_dates,big_daily_table))),NA(),XLOOKUP(D$3,daily_items,XLOOKUP($C842,daily_dates,big_daily_table)))</f>
        <v>#N/A</v>
      </c>
      <c r="E842" s="1" t="str">
        <f t="array" ref="E842">IF(ISBLANK(XLOOKUP(E$3,daily_items,XLOOKUP($C842,daily_dates,big_daily_table))),NA(),XLOOKUP(E$3,daily_items,XLOOKUP($C842,daily_dates,big_daily_table)))</f>
        <v>#N/A</v>
      </c>
    </row>
    <row r="843" ht="14.25" customHeight="1">
      <c r="B843" s="7">
        <v>41748.0</v>
      </c>
      <c r="C843" s="7">
        <f t="shared" si="1"/>
        <v>41742</v>
      </c>
      <c r="D843" s="1" t="str">
        <f t="array" ref="D843">IF(ISBLANK(XLOOKUP(D$3,daily_items,XLOOKUP($C843,daily_dates,big_daily_table))),NA(),XLOOKUP(D$3,daily_items,XLOOKUP($C843,daily_dates,big_daily_table)))</f>
        <v>#N/A</v>
      </c>
      <c r="E843" s="1" t="str">
        <f t="array" ref="E843">IF(ISBLANK(XLOOKUP(E$3,daily_items,XLOOKUP($C843,daily_dates,big_daily_table))),NA(),XLOOKUP(E$3,daily_items,XLOOKUP($C843,daily_dates,big_daily_table)))</f>
        <v>#N/A</v>
      </c>
    </row>
    <row r="844" ht="14.25" customHeight="1">
      <c r="B844" s="7">
        <v>41749.0</v>
      </c>
      <c r="C844" s="7">
        <f t="shared" si="1"/>
        <v>41749</v>
      </c>
      <c r="D844" s="1" t="str">
        <f t="array" ref="D844">IF(ISBLANK(XLOOKUP(D$3,daily_items,XLOOKUP($C844,daily_dates,big_daily_table))),NA(),XLOOKUP(D$3,daily_items,XLOOKUP($C844,daily_dates,big_daily_table)))</f>
        <v>#N/A</v>
      </c>
      <c r="E844" s="1" t="str">
        <f t="array" ref="E844">IF(ISBLANK(XLOOKUP(E$3,daily_items,XLOOKUP($C844,daily_dates,big_daily_table))),NA(),XLOOKUP(E$3,daily_items,XLOOKUP($C844,daily_dates,big_daily_table)))</f>
        <v>#N/A</v>
      </c>
    </row>
    <row r="845" ht="14.25" customHeight="1">
      <c r="B845" s="7">
        <v>41750.0</v>
      </c>
      <c r="C845" s="7">
        <f t="shared" si="1"/>
        <v>41749</v>
      </c>
      <c r="D845" s="1" t="str">
        <f t="array" ref="D845">IF(ISBLANK(XLOOKUP(D$3,daily_items,XLOOKUP($C845,daily_dates,big_daily_table))),NA(),XLOOKUP(D$3,daily_items,XLOOKUP($C845,daily_dates,big_daily_table)))</f>
        <v>#N/A</v>
      </c>
      <c r="E845" s="1" t="str">
        <f t="array" ref="E845">IF(ISBLANK(XLOOKUP(E$3,daily_items,XLOOKUP($C845,daily_dates,big_daily_table))),NA(),XLOOKUP(E$3,daily_items,XLOOKUP($C845,daily_dates,big_daily_table)))</f>
        <v>#N/A</v>
      </c>
    </row>
    <row r="846" ht="14.25" customHeight="1">
      <c r="B846" s="7">
        <v>41751.0</v>
      </c>
      <c r="C846" s="7">
        <f t="shared" si="1"/>
        <v>41749</v>
      </c>
      <c r="D846" s="1" t="str">
        <f t="array" ref="D846">IF(ISBLANK(XLOOKUP(D$3,daily_items,XLOOKUP($C846,daily_dates,big_daily_table))),NA(),XLOOKUP(D$3,daily_items,XLOOKUP($C846,daily_dates,big_daily_table)))</f>
        <v>#N/A</v>
      </c>
      <c r="E846" s="1" t="str">
        <f t="array" ref="E846">IF(ISBLANK(XLOOKUP(E$3,daily_items,XLOOKUP($C846,daily_dates,big_daily_table))),NA(),XLOOKUP(E$3,daily_items,XLOOKUP($C846,daily_dates,big_daily_table)))</f>
        <v>#N/A</v>
      </c>
    </row>
    <row r="847" ht="14.25" customHeight="1">
      <c r="B847" s="7">
        <v>41752.0</v>
      </c>
      <c r="C847" s="7">
        <f t="shared" si="1"/>
        <v>41749</v>
      </c>
      <c r="D847" s="1" t="str">
        <f t="array" ref="D847">IF(ISBLANK(XLOOKUP(D$3,daily_items,XLOOKUP($C847,daily_dates,big_daily_table))),NA(),XLOOKUP(D$3,daily_items,XLOOKUP($C847,daily_dates,big_daily_table)))</f>
        <v>#N/A</v>
      </c>
      <c r="E847" s="1" t="str">
        <f t="array" ref="E847">IF(ISBLANK(XLOOKUP(E$3,daily_items,XLOOKUP($C847,daily_dates,big_daily_table))),NA(),XLOOKUP(E$3,daily_items,XLOOKUP($C847,daily_dates,big_daily_table)))</f>
        <v>#N/A</v>
      </c>
    </row>
    <row r="848" ht="14.25" customHeight="1">
      <c r="B848" s="7">
        <v>41753.0</v>
      </c>
      <c r="C848" s="7">
        <f t="shared" si="1"/>
        <v>41749</v>
      </c>
      <c r="D848" s="1" t="str">
        <f t="array" ref="D848">IF(ISBLANK(XLOOKUP(D$3,daily_items,XLOOKUP($C848,daily_dates,big_daily_table))),NA(),XLOOKUP(D$3,daily_items,XLOOKUP($C848,daily_dates,big_daily_table)))</f>
        <v>#N/A</v>
      </c>
      <c r="E848" s="1" t="str">
        <f t="array" ref="E848">IF(ISBLANK(XLOOKUP(E$3,daily_items,XLOOKUP($C848,daily_dates,big_daily_table))),NA(),XLOOKUP(E$3,daily_items,XLOOKUP($C848,daily_dates,big_daily_table)))</f>
        <v>#N/A</v>
      </c>
    </row>
    <row r="849" ht="14.25" customHeight="1">
      <c r="B849" s="7">
        <v>41754.0</v>
      </c>
      <c r="C849" s="7">
        <f t="shared" si="1"/>
        <v>41749</v>
      </c>
      <c r="D849" s="1" t="str">
        <f t="array" ref="D849">IF(ISBLANK(XLOOKUP(D$3,daily_items,XLOOKUP($C849,daily_dates,big_daily_table))),NA(),XLOOKUP(D$3,daily_items,XLOOKUP($C849,daily_dates,big_daily_table)))</f>
        <v>#N/A</v>
      </c>
      <c r="E849" s="1" t="str">
        <f t="array" ref="E849">IF(ISBLANK(XLOOKUP(E$3,daily_items,XLOOKUP($C849,daily_dates,big_daily_table))),NA(),XLOOKUP(E$3,daily_items,XLOOKUP($C849,daily_dates,big_daily_table)))</f>
        <v>#N/A</v>
      </c>
    </row>
    <row r="850" ht="14.25" customHeight="1">
      <c r="B850" s="7">
        <v>41755.0</v>
      </c>
      <c r="C850" s="7">
        <f t="shared" si="1"/>
        <v>41749</v>
      </c>
      <c r="D850" s="1" t="str">
        <f t="array" ref="D850">IF(ISBLANK(XLOOKUP(D$3,daily_items,XLOOKUP($C850,daily_dates,big_daily_table))),NA(),XLOOKUP(D$3,daily_items,XLOOKUP($C850,daily_dates,big_daily_table)))</f>
        <v>#N/A</v>
      </c>
      <c r="E850" s="1" t="str">
        <f t="array" ref="E850">IF(ISBLANK(XLOOKUP(E$3,daily_items,XLOOKUP($C850,daily_dates,big_daily_table))),NA(),XLOOKUP(E$3,daily_items,XLOOKUP($C850,daily_dates,big_daily_table)))</f>
        <v>#N/A</v>
      </c>
    </row>
    <row r="851" ht="14.25" customHeight="1">
      <c r="B851" s="7">
        <v>41756.0</v>
      </c>
      <c r="C851" s="7">
        <f t="shared" si="1"/>
        <v>41756</v>
      </c>
      <c r="D851" s="1" t="str">
        <f t="array" ref="D851">IF(ISBLANK(XLOOKUP(D$3,daily_items,XLOOKUP($C851,daily_dates,big_daily_table))),NA(),XLOOKUP(D$3,daily_items,XLOOKUP($C851,daily_dates,big_daily_table)))</f>
        <v>#N/A</v>
      </c>
      <c r="E851" s="1" t="str">
        <f t="array" ref="E851">IF(ISBLANK(XLOOKUP(E$3,daily_items,XLOOKUP($C851,daily_dates,big_daily_table))),NA(),XLOOKUP(E$3,daily_items,XLOOKUP($C851,daily_dates,big_daily_table)))</f>
        <v>#N/A</v>
      </c>
    </row>
    <row r="852" ht="14.25" customHeight="1">
      <c r="B852" s="7">
        <v>41757.0</v>
      </c>
      <c r="C852" s="7">
        <f t="shared" si="1"/>
        <v>41756</v>
      </c>
      <c r="D852" s="1" t="str">
        <f t="array" ref="D852">IF(ISBLANK(XLOOKUP(D$3,daily_items,XLOOKUP($C852,daily_dates,big_daily_table))),NA(),XLOOKUP(D$3,daily_items,XLOOKUP($C852,daily_dates,big_daily_table)))</f>
        <v>#N/A</v>
      </c>
      <c r="E852" s="1" t="str">
        <f t="array" ref="E852">IF(ISBLANK(XLOOKUP(E$3,daily_items,XLOOKUP($C852,daily_dates,big_daily_table))),NA(),XLOOKUP(E$3,daily_items,XLOOKUP($C852,daily_dates,big_daily_table)))</f>
        <v>#N/A</v>
      </c>
    </row>
    <row r="853" ht="14.25" customHeight="1">
      <c r="B853" s="7">
        <v>41758.0</v>
      </c>
      <c r="C853" s="7">
        <f t="shared" si="1"/>
        <v>41756</v>
      </c>
      <c r="D853" s="1" t="str">
        <f t="array" ref="D853">IF(ISBLANK(XLOOKUP(D$3,daily_items,XLOOKUP($C853,daily_dates,big_daily_table))),NA(),XLOOKUP(D$3,daily_items,XLOOKUP($C853,daily_dates,big_daily_table)))</f>
        <v>#N/A</v>
      </c>
      <c r="E853" s="1" t="str">
        <f t="array" ref="E853">IF(ISBLANK(XLOOKUP(E$3,daily_items,XLOOKUP($C853,daily_dates,big_daily_table))),NA(),XLOOKUP(E$3,daily_items,XLOOKUP($C853,daily_dates,big_daily_table)))</f>
        <v>#N/A</v>
      </c>
    </row>
    <row r="854" ht="14.25" customHeight="1">
      <c r="B854" s="7">
        <v>41759.0</v>
      </c>
      <c r="C854" s="7">
        <f t="shared" si="1"/>
        <v>41756</v>
      </c>
      <c r="D854" s="1" t="str">
        <f t="array" ref="D854">IF(ISBLANK(XLOOKUP(D$3,daily_items,XLOOKUP($C854,daily_dates,big_daily_table))),NA(),XLOOKUP(D$3,daily_items,XLOOKUP($C854,daily_dates,big_daily_table)))</f>
        <v>#N/A</v>
      </c>
      <c r="E854" s="1" t="str">
        <f t="array" ref="E854">IF(ISBLANK(XLOOKUP(E$3,daily_items,XLOOKUP($C854,daily_dates,big_daily_table))),NA(),XLOOKUP(E$3,daily_items,XLOOKUP($C854,daily_dates,big_daily_table)))</f>
        <v>#N/A</v>
      </c>
    </row>
    <row r="855" ht="14.25" customHeight="1">
      <c r="B855" s="7">
        <v>41760.0</v>
      </c>
      <c r="C855" s="7">
        <f t="shared" si="1"/>
        <v>41756</v>
      </c>
      <c r="D855" s="1" t="str">
        <f t="array" ref="D855">IF(ISBLANK(XLOOKUP(D$3,daily_items,XLOOKUP($C855,daily_dates,big_daily_table))),NA(),XLOOKUP(D$3,daily_items,XLOOKUP($C855,daily_dates,big_daily_table)))</f>
        <v>#N/A</v>
      </c>
      <c r="E855" s="1" t="str">
        <f t="array" ref="E855">IF(ISBLANK(XLOOKUP(E$3,daily_items,XLOOKUP($C855,daily_dates,big_daily_table))),NA(),XLOOKUP(E$3,daily_items,XLOOKUP($C855,daily_dates,big_daily_table)))</f>
        <v>#N/A</v>
      </c>
    </row>
    <row r="856" ht="14.25" customHeight="1">
      <c r="B856" s="7">
        <v>41761.0</v>
      </c>
      <c r="C856" s="7">
        <f t="shared" si="1"/>
        <v>41756</v>
      </c>
      <c r="D856" s="1" t="str">
        <f t="array" ref="D856">IF(ISBLANK(XLOOKUP(D$3,daily_items,XLOOKUP($C856,daily_dates,big_daily_table))),NA(),XLOOKUP(D$3,daily_items,XLOOKUP($C856,daily_dates,big_daily_table)))</f>
        <v>#N/A</v>
      </c>
      <c r="E856" s="1" t="str">
        <f t="array" ref="E856">IF(ISBLANK(XLOOKUP(E$3,daily_items,XLOOKUP($C856,daily_dates,big_daily_table))),NA(),XLOOKUP(E$3,daily_items,XLOOKUP($C856,daily_dates,big_daily_table)))</f>
        <v>#N/A</v>
      </c>
    </row>
    <row r="857" ht="14.25" customHeight="1">
      <c r="B857" s="7">
        <v>41762.0</v>
      </c>
      <c r="C857" s="7">
        <f t="shared" si="1"/>
        <v>41756</v>
      </c>
      <c r="D857" s="1" t="str">
        <f t="array" ref="D857">IF(ISBLANK(XLOOKUP(D$3,daily_items,XLOOKUP($C857,daily_dates,big_daily_table))),NA(),XLOOKUP(D$3,daily_items,XLOOKUP($C857,daily_dates,big_daily_table)))</f>
        <v>#N/A</v>
      </c>
      <c r="E857" s="1" t="str">
        <f t="array" ref="E857">IF(ISBLANK(XLOOKUP(E$3,daily_items,XLOOKUP($C857,daily_dates,big_daily_table))),NA(),XLOOKUP(E$3,daily_items,XLOOKUP($C857,daily_dates,big_daily_table)))</f>
        <v>#N/A</v>
      </c>
    </row>
    <row r="858" ht="14.25" customHeight="1">
      <c r="B858" s="7">
        <v>41763.0</v>
      </c>
      <c r="C858" s="7">
        <f t="shared" si="1"/>
        <v>41763</v>
      </c>
      <c r="D858" s="1" t="str">
        <f t="array" ref="D858">IF(ISBLANK(XLOOKUP(D$3,daily_items,XLOOKUP($C858,daily_dates,big_daily_table))),NA(),XLOOKUP(D$3,daily_items,XLOOKUP($C858,daily_dates,big_daily_table)))</f>
        <v>#N/A</v>
      </c>
      <c r="E858" s="1" t="str">
        <f t="array" ref="E858">IF(ISBLANK(XLOOKUP(E$3,daily_items,XLOOKUP($C858,daily_dates,big_daily_table))),NA(),XLOOKUP(E$3,daily_items,XLOOKUP($C858,daily_dates,big_daily_table)))</f>
        <v>#N/A</v>
      </c>
    </row>
    <row r="859" ht="14.25" customHeight="1">
      <c r="B859" s="7">
        <v>41764.0</v>
      </c>
      <c r="C859" s="7">
        <f t="shared" si="1"/>
        <v>41763</v>
      </c>
      <c r="D859" s="1" t="str">
        <f t="array" ref="D859">IF(ISBLANK(XLOOKUP(D$3,daily_items,XLOOKUP($C859,daily_dates,big_daily_table))),NA(),XLOOKUP(D$3,daily_items,XLOOKUP($C859,daily_dates,big_daily_table)))</f>
        <v>#N/A</v>
      </c>
      <c r="E859" s="1" t="str">
        <f t="array" ref="E859">IF(ISBLANK(XLOOKUP(E$3,daily_items,XLOOKUP($C859,daily_dates,big_daily_table))),NA(),XLOOKUP(E$3,daily_items,XLOOKUP($C859,daily_dates,big_daily_table)))</f>
        <v>#N/A</v>
      </c>
    </row>
    <row r="860" ht="14.25" customHeight="1">
      <c r="B860" s="7">
        <v>41765.0</v>
      </c>
      <c r="C860" s="7">
        <f t="shared" si="1"/>
        <v>41763</v>
      </c>
      <c r="D860" s="1" t="str">
        <f t="array" ref="D860">IF(ISBLANK(XLOOKUP(D$3,daily_items,XLOOKUP($C860,daily_dates,big_daily_table))),NA(),XLOOKUP(D$3,daily_items,XLOOKUP($C860,daily_dates,big_daily_table)))</f>
        <v>#N/A</v>
      </c>
      <c r="E860" s="1" t="str">
        <f t="array" ref="E860">IF(ISBLANK(XLOOKUP(E$3,daily_items,XLOOKUP($C860,daily_dates,big_daily_table))),NA(),XLOOKUP(E$3,daily_items,XLOOKUP($C860,daily_dates,big_daily_table)))</f>
        <v>#N/A</v>
      </c>
    </row>
    <row r="861" ht="14.25" customHeight="1">
      <c r="B861" s="7">
        <v>41766.0</v>
      </c>
      <c r="C861" s="7">
        <f t="shared" si="1"/>
        <v>41763</v>
      </c>
      <c r="D861" s="1" t="str">
        <f t="array" ref="D861">IF(ISBLANK(XLOOKUP(D$3,daily_items,XLOOKUP($C861,daily_dates,big_daily_table))),NA(),XLOOKUP(D$3,daily_items,XLOOKUP($C861,daily_dates,big_daily_table)))</f>
        <v>#N/A</v>
      </c>
      <c r="E861" s="1" t="str">
        <f t="array" ref="E861">IF(ISBLANK(XLOOKUP(E$3,daily_items,XLOOKUP($C861,daily_dates,big_daily_table))),NA(),XLOOKUP(E$3,daily_items,XLOOKUP($C861,daily_dates,big_daily_table)))</f>
        <v>#N/A</v>
      </c>
    </row>
    <row r="862" ht="14.25" customHeight="1">
      <c r="B862" s="7">
        <v>41767.0</v>
      </c>
      <c r="C862" s="7">
        <f t="shared" si="1"/>
        <v>41763</v>
      </c>
      <c r="D862" s="1" t="str">
        <f t="array" ref="D862">IF(ISBLANK(XLOOKUP(D$3,daily_items,XLOOKUP($C862,daily_dates,big_daily_table))),NA(),XLOOKUP(D$3,daily_items,XLOOKUP($C862,daily_dates,big_daily_table)))</f>
        <v>#N/A</v>
      </c>
      <c r="E862" s="1" t="str">
        <f t="array" ref="E862">IF(ISBLANK(XLOOKUP(E$3,daily_items,XLOOKUP($C862,daily_dates,big_daily_table))),NA(),XLOOKUP(E$3,daily_items,XLOOKUP($C862,daily_dates,big_daily_table)))</f>
        <v>#N/A</v>
      </c>
    </row>
    <row r="863" ht="14.25" customHeight="1">
      <c r="B863" s="7">
        <v>41768.0</v>
      </c>
      <c r="C863" s="7">
        <f t="shared" si="1"/>
        <v>41763</v>
      </c>
      <c r="D863" s="1" t="str">
        <f t="array" ref="D863">IF(ISBLANK(XLOOKUP(D$3,daily_items,XLOOKUP($C863,daily_dates,big_daily_table))),NA(),XLOOKUP(D$3,daily_items,XLOOKUP($C863,daily_dates,big_daily_table)))</f>
        <v>#N/A</v>
      </c>
      <c r="E863" s="1" t="str">
        <f t="array" ref="E863">IF(ISBLANK(XLOOKUP(E$3,daily_items,XLOOKUP($C863,daily_dates,big_daily_table))),NA(),XLOOKUP(E$3,daily_items,XLOOKUP($C863,daily_dates,big_daily_table)))</f>
        <v>#N/A</v>
      </c>
    </row>
    <row r="864" ht="14.25" customHeight="1">
      <c r="B864" s="7">
        <v>41769.0</v>
      </c>
      <c r="C864" s="7">
        <f t="shared" si="1"/>
        <v>41763</v>
      </c>
      <c r="D864" s="1" t="str">
        <f t="array" ref="D864">IF(ISBLANK(XLOOKUP(D$3,daily_items,XLOOKUP($C864,daily_dates,big_daily_table))),NA(),XLOOKUP(D$3,daily_items,XLOOKUP($C864,daily_dates,big_daily_table)))</f>
        <v>#N/A</v>
      </c>
      <c r="E864" s="1" t="str">
        <f t="array" ref="E864">IF(ISBLANK(XLOOKUP(E$3,daily_items,XLOOKUP($C864,daily_dates,big_daily_table))),NA(),XLOOKUP(E$3,daily_items,XLOOKUP($C864,daily_dates,big_daily_table)))</f>
        <v>#N/A</v>
      </c>
    </row>
    <row r="865" ht="14.25" customHeight="1">
      <c r="B865" s="7">
        <v>41770.0</v>
      </c>
      <c r="C865" s="7">
        <f t="shared" si="1"/>
        <v>41770</v>
      </c>
      <c r="D865" s="1" t="str">
        <f t="array" ref="D865">IF(ISBLANK(XLOOKUP(D$3,daily_items,XLOOKUP($C865,daily_dates,big_daily_table))),NA(),XLOOKUP(D$3,daily_items,XLOOKUP($C865,daily_dates,big_daily_table)))</f>
        <v>#N/A</v>
      </c>
      <c r="E865" s="1" t="str">
        <f t="array" ref="E865">IF(ISBLANK(XLOOKUP(E$3,daily_items,XLOOKUP($C865,daily_dates,big_daily_table))),NA(),XLOOKUP(E$3,daily_items,XLOOKUP($C865,daily_dates,big_daily_table)))</f>
        <v>#N/A</v>
      </c>
    </row>
    <row r="866" ht="14.25" customHeight="1">
      <c r="B866" s="7">
        <v>41771.0</v>
      </c>
      <c r="C866" s="7">
        <f t="shared" si="1"/>
        <v>41770</v>
      </c>
      <c r="D866" s="1" t="str">
        <f t="array" ref="D866">IF(ISBLANK(XLOOKUP(D$3,daily_items,XLOOKUP($C866,daily_dates,big_daily_table))),NA(),XLOOKUP(D$3,daily_items,XLOOKUP($C866,daily_dates,big_daily_table)))</f>
        <v>#N/A</v>
      </c>
      <c r="E866" s="1" t="str">
        <f t="array" ref="E866">IF(ISBLANK(XLOOKUP(E$3,daily_items,XLOOKUP($C866,daily_dates,big_daily_table))),NA(),XLOOKUP(E$3,daily_items,XLOOKUP($C866,daily_dates,big_daily_table)))</f>
        <v>#N/A</v>
      </c>
    </row>
    <row r="867" ht="14.25" customHeight="1">
      <c r="B867" s="7">
        <v>41772.0</v>
      </c>
      <c r="C867" s="7">
        <f t="shared" si="1"/>
        <v>41770</v>
      </c>
      <c r="D867" s="1" t="str">
        <f t="array" ref="D867">IF(ISBLANK(XLOOKUP(D$3,daily_items,XLOOKUP($C867,daily_dates,big_daily_table))),NA(),XLOOKUP(D$3,daily_items,XLOOKUP($C867,daily_dates,big_daily_table)))</f>
        <v>#N/A</v>
      </c>
      <c r="E867" s="1" t="str">
        <f t="array" ref="E867">IF(ISBLANK(XLOOKUP(E$3,daily_items,XLOOKUP($C867,daily_dates,big_daily_table))),NA(),XLOOKUP(E$3,daily_items,XLOOKUP($C867,daily_dates,big_daily_table)))</f>
        <v>#N/A</v>
      </c>
    </row>
    <row r="868" ht="14.25" customHeight="1">
      <c r="B868" s="7">
        <v>41773.0</v>
      </c>
      <c r="C868" s="7">
        <f t="shared" si="1"/>
        <v>41770</v>
      </c>
      <c r="D868" s="1" t="str">
        <f t="array" ref="D868">IF(ISBLANK(XLOOKUP(D$3,daily_items,XLOOKUP($C868,daily_dates,big_daily_table))),NA(),XLOOKUP(D$3,daily_items,XLOOKUP($C868,daily_dates,big_daily_table)))</f>
        <v>#N/A</v>
      </c>
      <c r="E868" s="1" t="str">
        <f t="array" ref="E868">IF(ISBLANK(XLOOKUP(E$3,daily_items,XLOOKUP($C868,daily_dates,big_daily_table))),NA(),XLOOKUP(E$3,daily_items,XLOOKUP($C868,daily_dates,big_daily_table)))</f>
        <v>#N/A</v>
      </c>
    </row>
    <row r="869" ht="14.25" customHeight="1">
      <c r="B869" s="7">
        <v>41774.0</v>
      </c>
      <c r="C869" s="7">
        <f t="shared" si="1"/>
        <v>41770</v>
      </c>
      <c r="D869" s="1" t="str">
        <f t="array" ref="D869">IF(ISBLANK(XLOOKUP(D$3,daily_items,XLOOKUP($C869,daily_dates,big_daily_table))),NA(),XLOOKUP(D$3,daily_items,XLOOKUP($C869,daily_dates,big_daily_table)))</f>
        <v>#N/A</v>
      </c>
      <c r="E869" s="1" t="str">
        <f t="array" ref="E869">IF(ISBLANK(XLOOKUP(E$3,daily_items,XLOOKUP($C869,daily_dates,big_daily_table))),NA(),XLOOKUP(E$3,daily_items,XLOOKUP($C869,daily_dates,big_daily_table)))</f>
        <v>#N/A</v>
      </c>
    </row>
    <row r="870" ht="14.25" customHeight="1">
      <c r="B870" s="7">
        <v>41775.0</v>
      </c>
      <c r="C870" s="7">
        <f t="shared" si="1"/>
        <v>41770</v>
      </c>
      <c r="D870" s="1" t="str">
        <f t="array" ref="D870">IF(ISBLANK(XLOOKUP(D$3,daily_items,XLOOKUP($C870,daily_dates,big_daily_table))),NA(),XLOOKUP(D$3,daily_items,XLOOKUP($C870,daily_dates,big_daily_table)))</f>
        <v>#N/A</v>
      </c>
      <c r="E870" s="1" t="str">
        <f t="array" ref="E870">IF(ISBLANK(XLOOKUP(E$3,daily_items,XLOOKUP($C870,daily_dates,big_daily_table))),NA(),XLOOKUP(E$3,daily_items,XLOOKUP($C870,daily_dates,big_daily_table)))</f>
        <v>#N/A</v>
      </c>
    </row>
    <row r="871" ht="14.25" customHeight="1">
      <c r="B871" s="7">
        <v>41776.0</v>
      </c>
      <c r="C871" s="7">
        <f t="shared" si="1"/>
        <v>41770</v>
      </c>
      <c r="D871" s="1" t="str">
        <f t="array" ref="D871">IF(ISBLANK(XLOOKUP(D$3,daily_items,XLOOKUP($C871,daily_dates,big_daily_table))),NA(),XLOOKUP(D$3,daily_items,XLOOKUP($C871,daily_dates,big_daily_table)))</f>
        <v>#N/A</v>
      </c>
      <c r="E871" s="1" t="str">
        <f t="array" ref="E871">IF(ISBLANK(XLOOKUP(E$3,daily_items,XLOOKUP($C871,daily_dates,big_daily_table))),NA(),XLOOKUP(E$3,daily_items,XLOOKUP($C871,daily_dates,big_daily_table)))</f>
        <v>#N/A</v>
      </c>
    </row>
    <row r="872" ht="14.25" customHeight="1">
      <c r="B872" s="7">
        <v>41777.0</v>
      </c>
      <c r="C872" s="7">
        <f t="shared" si="1"/>
        <v>41777</v>
      </c>
      <c r="D872" s="1" t="str">
        <f t="array" ref="D872">IF(ISBLANK(XLOOKUP(D$3,daily_items,XLOOKUP($C872,daily_dates,big_daily_table))),NA(),XLOOKUP(D$3,daily_items,XLOOKUP($C872,daily_dates,big_daily_table)))</f>
        <v>#N/A</v>
      </c>
      <c r="E872" s="1" t="str">
        <f t="array" ref="E872">IF(ISBLANK(XLOOKUP(E$3,daily_items,XLOOKUP($C872,daily_dates,big_daily_table))),NA(),XLOOKUP(E$3,daily_items,XLOOKUP($C872,daily_dates,big_daily_table)))</f>
        <v>#N/A</v>
      </c>
    </row>
    <row r="873" ht="14.25" customHeight="1">
      <c r="B873" s="7">
        <v>41778.0</v>
      </c>
      <c r="C873" s="7">
        <f t="shared" si="1"/>
        <v>41777</v>
      </c>
      <c r="D873" s="1" t="str">
        <f t="array" ref="D873">IF(ISBLANK(XLOOKUP(D$3,daily_items,XLOOKUP($C873,daily_dates,big_daily_table))),NA(),XLOOKUP(D$3,daily_items,XLOOKUP($C873,daily_dates,big_daily_table)))</f>
        <v>#N/A</v>
      </c>
      <c r="E873" s="1" t="str">
        <f t="array" ref="E873">IF(ISBLANK(XLOOKUP(E$3,daily_items,XLOOKUP($C873,daily_dates,big_daily_table))),NA(),XLOOKUP(E$3,daily_items,XLOOKUP($C873,daily_dates,big_daily_table)))</f>
        <v>#N/A</v>
      </c>
    </row>
    <row r="874" ht="14.25" customHeight="1">
      <c r="B874" s="7">
        <v>41779.0</v>
      </c>
      <c r="C874" s="7">
        <f t="shared" si="1"/>
        <v>41777</v>
      </c>
      <c r="D874" s="1" t="str">
        <f t="array" ref="D874">IF(ISBLANK(XLOOKUP(D$3,daily_items,XLOOKUP($C874,daily_dates,big_daily_table))),NA(),XLOOKUP(D$3,daily_items,XLOOKUP($C874,daily_dates,big_daily_table)))</f>
        <v>#N/A</v>
      </c>
      <c r="E874" s="1" t="str">
        <f t="array" ref="E874">IF(ISBLANK(XLOOKUP(E$3,daily_items,XLOOKUP($C874,daily_dates,big_daily_table))),NA(),XLOOKUP(E$3,daily_items,XLOOKUP($C874,daily_dates,big_daily_table)))</f>
        <v>#N/A</v>
      </c>
    </row>
    <row r="875" ht="14.25" customHeight="1">
      <c r="B875" s="7">
        <v>41780.0</v>
      </c>
      <c r="C875" s="7">
        <f t="shared" si="1"/>
        <v>41777</v>
      </c>
      <c r="D875" s="1" t="str">
        <f t="array" ref="D875">IF(ISBLANK(XLOOKUP(D$3,daily_items,XLOOKUP($C875,daily_dates,big_daily_table))),NA(),XLOOKUP(D$3,daily_items,XLOOKUP($C875,daily_dates,big_daily_table)))</f>
        <v>#N/A</v>
      </c>
      <c r="E875" s="1" t="str">
        <f t="array" ref="E875">IF(ISBLANK(XLOOKUP(E$3,daily_items,XLOOKUP($C875,daily_dates,big_daily_table))),NA(),XLOOKUP(E$3,daily_items,XLOOKUP($C875,daily_dates,big_daily_table)))</f>
        <v>#N/A</v>
      </c>
    </row>
    <row r="876" ht="14.25" customHeight="1">
      <c r="B876" s="7">
        <v>41781.0</v>
      </c>
      <c r="C876" s="7">
        <f t="shared" si="1"/>
        <v>41777</v>
      </c>
      <c r="D876" s="1" t="str">
        <f t="array" ref="D876">IF(ISBLANK(XLOOKUP(D$3,daily_items,XLOOKUP($C876,daily_dates,big_daily_table))),NA(),XLOOKUP(D$3,daily_items,XLOOKUP($C876,daily_dates,big_daily_table)))</f>
        <v>#N/A</v>
      </c>
      <c r="E876" s="1" t="str">
        <f t="array" ref="E876">IF(ISBLANK(XLOOKUP(E$3,daily_items,XLOOKUP($C876,daily_dates,big_daily_table))),NA(),XLOOKUP(E$3,daily_items,XLOOKUP($C876,daily_dates,big_daily_table)))</f>
        <v>#N/A</v>
      </c>
    </row>
    <row r="877" ht="14.25" customHeight="1">
      <c r="B877" s="7">
        <v>41782.0</v>
      </c>
      <c r="C877" s="7">
        <f t="shared" si="1"/>
        <v>41777</v>
      </c>
      <c r="D877" s="1" t="str">
        <f t="array" ref="D877">IF(ISBLANK(XLOOKUP(D$3,daily_items,XLOOKUP($C877,daily_dates,big_daily_table))),NA(),XLOOKUP(D$3,daily_items,XLOOKUP($C877,daily_dates,big_daily_table)))</f>
        <v>#N/A</v>
      </c>
      <c r="E877" s="1" t="str">
        <f t="array" ref="E877">IF(ISBLANK(XLOOKUP(E$3,daily_items,XLOOKUP($C877,daily_dates,big_daily_table))),NA(),XLOOKUP(E$3,daily_items,XLOOKUP($C877,daily_dates,big_daily_table)))</f>
        <v>#N/A</v>
      </c>
    </row>
    <row r="878" ht="14.25" customHeight="1">
      <c r="B878" s="7">
        <v>41783.0</v>
      </c>
      <c r="C878" s="7">
        <f t="shared" si="1"/>
        <v>41777</v>
      </c>
      <c r="D878" s="1" t="str">
        <f t="array" ref="D878">IF(ISBLANK(XLOOKUP(D$3,daily_items,XLOOKUP($C878,daily_dates,big_daily_table))),NA(),XLOOKUP(D$3,daily_items,XLOOKUP($C878,daily_dates,big_daily_table)))</f>
        <v>#N/A</v>
      </c>
      <c r="E878" s="1" t="str">
        <f t="array" ref="E878">IF(ISBLANK(XLOOKUP(E$3,daily_items,XLOOKUP($C878,daily_dates,big_daily_table))),NA(),XLOOKUP(E$3,daily_items,XLOOKUP($C878,daily_dates,big_daily_table)))</f>
        <v>#N/A</v>
      </c>
    </row>
    <row r="879" ht="14.25" customHeight="1">
      <c r="B879" s="7">
        <v>41784.0</v>
      </c>
      <c r="C879" s="7">
        <f t="shared" si="1"/>
        <v>41784</v>
      </c>
      <c r="D879" s="1" t="str">
        <f t="array" ref="D879">IF(ISBLANK(XLOOKUP(D$3,daily_items,XLOOKUP($C879,daily_dates,big_daily_table))),NA(),XLOOKUP(D$3,daily_items,XLOOKUP($C879,daily_dates,big_daily_table)))</f>
        <v>#N/A</v>
      </c>
      <c r="E879" s="1" t="str">
        <f t="array" ref="E879">IF(ISBLANK(XLOOKUP(E$3,daily_items,XLOOKUP($C879,daily_dates,big_daily_table))),NA(),XLOOKUP(E$3,daily_items,XLOOKUP($C879,daily_dates,big_daily_table)))</f>
        <v>#N/A</v>
      </c>
    </row>
    <row r="880" ht="14.25" customHeight="1">
      <c r="B880" s="7">
        <v>41785.0</v>
      </c>
      <c r="C880" s="7">
        <f t="shared" si="1"/>
        <v>41784</v>
      </c>
      <c r="D880" s="1" t="str">
        <f t="array" ref="D880">IF(ISBLANK(XLOOKUP(D$3,daily_items,XLOOKUP($C880,daily_dates,big_daily_table))),NA(),XLOOKUP(D$3,daily_items,XLOOKUP($C880,daily_dates,big_daily_table)))</f>
        <v>#N/A</v>
      </c>
      <c r="E880" s="1" t="str">
        <f t="array" ref="E880">IF(ISBLANK(XLOOKUP(E$3,daily_items,XLOOKUP($C880,daily_dates,big_daily_table))),NA(),XLOOKUP(E$3,daily_items,XLOOKUP($C880,daily_dates,big_daily_table)))</f>
        <v>#N/A</v>
      </c>
    </row>
    <row r="881" ht="14.25" customHeight="1">
      <c r="B881" s="7">
        <v>41786.0</v>
      </c>
      <c r="C881" s="7">
        <f t="shared" si="1"/>
        <v>41784</v>
      </c>
      <c r="D881" s="1" t="str">
        <f t="array" ref="D881">IF(ISBLANK(XLOOKUP(D$3,daily_items,XLOOKUP($C881,daily_dates,big_daily_table))),NA(),XLOOKUP(D$3,daily_items,XLOOKUP($C881,daily_dates,big_daily_table)))</f>
        <v>#N/A</v>
      </c>
      <c r="E881" s="1" t="str">
        <f t="array" ref="E881">IF(ISBLANK(XLOOKUP(E$3,daily_items,XLOOKUP($C881,daily_dates,big_daily_table))),NA(),XLOOKUP(E$3,daily_items,XLOOKUP($C881,daily_dates,big_daily_table)))</f>
        <v>#N/A</v>
      </c>
    </row>
    <row r="882" ht="14.25" customHeight="1">
      <c r="B882" s="7">
        <v>41787.0</v>
      </c>
      <c r="C882" s="7">
        <f t="shared" si="1"/>
        <v>41784</v>
      </c>
      <c r="D882" s="1" t="str">
        <f t="array" ref="D882">IF(ISBLANK(XLOOKUP(D$3,daily_items,XLOOKUP($C882,daily_dates,big_daily_table))),NA(),XLOOKUP(D$3,daily_items,XLOOKUP($C882,daily_dates,big_daily_table)))</f>
        <v>#N/A</v>
      </c>
      <c r="E882" s="1" t="str">
        <f t="array" ref="E882">IF(ISBLANK(XLOOKUP(E$3,daily_items,XLOOKUP($C882,daily_dates,big_daily_table))),NA(),XLOOKUP(E$3,daily_items,XLOOKUP($C882,daily_dates,big_daily_table)))</f>
        <v>#N/A</v>
      </c>
    </row>
    <row r="883" ht="14.25" customHeight="1">
      <c r="B883" s="7">
        <v>41788.0</v>
      </c>
      <c r="C883" s="7">
        <f t="shared" si="1"/>
        <v>41784</v>
      </c>
      <c r="D883" s="1" t="str">
        <f t="array" ref="D883">IF(ISBLANK(XLOOKUP(D$3,daily_items,XLOOKUP($C883,daily_dates,big_daily_table))),NA(),XLOOKUP(D$3,daily_items,XLOOKUP($C883,daily_dates,big_daily_table)))</f>
        <v>#N/A</v>
      </c>
      <c r="E883" s="1" t="str">
        <f t="array" ref="E883">IF(ISBLANK(XLOOKUP(E$3,daily_items,XLOOKUP($C883,daily_dates,big_daily_table))),NA(),XLOOKUP(E$3,daily_items,XLOOKUP($C883,daily_dates,big_daily_table)))</f>
        <v>#N/A</v>
      </c>
    </row>
    <row r="884" ht="14.25" customHeight="1">
      <c r="B884" s="7">
        <v>41789.0</v>
      </c>
      <c r="C884" s="7">
        <f t="shared" si="1"/>
        <v>41784</v>
      </c>
      <c r="D884" s="1" t="str">
        <f t="array" ref="D884">IF(ISBLANK(XLOOKUP(D$3,daily_items,XLOOKUP($C884,daily_dates,big_daily_table))),NA(),XLOOKUP(D$3,daily_items,XLOOKUP($C884,daily_dates,big_daily_table)))</f>
        <v>#N/A</v>
      </c>
      <c r="E884" s="1" t="str">
        <f t="array" ref="E884">IF(ISBLANK(XLOOKUP(E$3,daily_items,XLOOKUP($C884,daily_dates,big_daily_table))),NA(),XLOOKUP(E$3,daily_items,XLOOKUP($C884,daily_dates,big_daily_table)))</f>
        <v>#N/A</v>
      </c>
    </row>
    <row r="885" ht="14.25" customHeight="1">
      <c r="B885" s="7">
        <v>41790.0</v>
      </c>
      <c r="C885" s="7">
        <f t="shared" si="1"/>
        <v>41784</v>
      </c>
      <c r="D885" s="1" t="str">
        <f t="array" ref="D885">IF(ISBLANK(XLOOKUP(D$3,daily_items,XLOOKUP($C885,daily_dates,big_daily_table))),NA(),XLOOKUP(D$3,daily_items,XLOOKUP($C885,daily_dates,big_daily_table)))</f>
        <v>#N/A</v>
      </c>
      <c r="E885" s="1" t="str">
        <f t="array" ref="E885">IF(ISBLANK(XLOOKUP(E$3,daily_items,XLOOKUP($C885,daily_dates,big_daily_table))),NA(),XLOOKUP(E$3,daily_items,XLOOKUP($C885,daily_dates,big_daily_table)))</f>
        <v>#N/A</v>
      </c>
    </row>
    <row r="886" ht="14.25" customHeight="1">
      <c r="B886" s="7">
        <v>41791.0</v>
      </c>
      <c r="C886" s="7">
        <f t="shared" si="1"/>
        <v>41791</v>
      </c>
      <c r="D886" s="1" t="str">
        <f t="array" ref="D886">IF(ISBLANK(XLOOKUP(D$3,daily_items,XLOOKUP($C886,daily_dates,big_daily_table))),NA(),XLOOKUP(D$3,daily_items,XLOOKUP($C886,daily_dates,big_daily_table)))</f>
        <v>#N/A</v>
      </c>
      <c r="E886" s="1" t="str">
        <f t="array" ref="E886">IF(ISBLANK(XLOOKUP(E$3,daily_items,XLOOKUP($C886,daily_dates,big_daily_table))),NA(),XLOOKUP(E$3,daily_items,XLOOKUP($C886,daily_dates,big_daily_table)))</f>
        <v>#N/A</v>
      </c>
    </row>
    <row r="887" ht="14.25" customHeight="1">
      <c r="B887" s="7">
        <v>41792.0</v>
      </c>
      <c r="C887" s="7">
        <f t="shared" si="1"/>
        <v>41791</v>
      </c>
      <c r="D887" s="1" t="str">
        <f t="array" ref="D887">IF(ISBLANK(XLOOKUP(D$3,daily_items,XLOOKUP($C887,daily_dates,big_daily_table))),NA(),XLOOKUP(D$3,daily_items,XLOOKUP($C887,daily_dates,big_daily_table)))</f>
        <v>#N/A</v>
      </c>
      <c r="E887" s="1" t="str">
        <f t="array" ref="E887">IF(ISBLANK(XLOOKUP(E$3,daily_items,XLOOKUP($C887,daily_dates,big_daily_table))),NA(),XLOOKUP(E$3,daily_items,XLOOKUP($C887,daily_dates,big_daily_table)))</f>
        <v>#N/A</v>
      </c>
    </row>
    <row r="888" ht="14.25" customHeight="1">
      <c r="B888" s="7">
        <v>41793.0</v>
      </c>
      <c r="C888" s="7">
        <f t="shared" si="1"/>
        <v>41791</v>
      </c>
      <c r="D888" s="1" t="str">
        <f t="array" ref="D888">IF(ISBLANK(XLOOKUP(D$3,daily_items,XLOOKUP($C888,daily_dates,big_daily_table))),NA(),XLOOKUP(D$3,daily_items,XLOOKUP($C888,daily_dates,big_daily_table)))</f>
        <v>#N/A</v>
      </c>
      <c r="E888" s="1" t="str">
        <f t="array" ref="E888">IF(ISBLANK(XLOOKUP(E$3,daily_items,XLOOKUP($C888,daily_dates,big_daily_table))),NA(),XLOOKUP(E$3,daily_items,XLOOKUP($C888,daily_dates,big_daily_table)))</f>
        <v>#N/A</v>
      </c>
    </row>
    <row r="889" ht="14.25" customHeight="1">
      <c r="B889" s="7">
        <v>41794.0</v>
      </c>
      <c r="C889" s="7">
        <f t="shared" si="1"/>
        <v>41791</v>
      </c>
      <c r="D889" s="1" t="str">
        <f t="array" ref="D889">IF(ISBLANK(XLOOKUP(D$3,daily_items,XLOOKUP($C889,daily_dates,big_daily_table))),NA(),XLOOKUP(D$3,daily_items,XLOOKUP($C889,daily_dates,big_daily_table)))</f>
        <v>#N/A</v>
      </c>
      <c r="E889" s="1" t="str">
        <f t="array" ref="E889">IF(ISBLANK(XLOOKUP(E$3,daily_items,XLOOKUP($C889,daily_dates,big_daily_table))),NA(),XLOOKUP(E$3,daily_items,XLOOKUP($C889,daily_dates,big_daily_table)))</f>
        <v>#N/A</v>
      </c>
    </row>
    <row r="890" ht="14.25" customHeight="1">
      <c r="B890" s="7">
        <v>41795.0</v>
      </c>
      <c r="C890" s="7">
        <f t="shared" si="1"/>
        <v>41791</v>
      </c>
      <c r="D890" s="1" t="str">
        <f t="array" ref="D890">IF(ISBLANK(XLOOKUP(D$3,daily_items,XLOOKUP($C890,daily_dates,big_daily_table))),NA(),XLOOKUP(D$3,daily_items,XLOOKUP($C890,daily_dates,big_daily_table)))</f>
        <v>#N/A</v>
      </c>
      <c r="E890" s="1" t="str">
        <f t="array" ref="E890">IF(ISBLANK(XLOOKUP(E$3,daily_items,XLOOKUP($C890,daily_dates,big_daily_table))),NA(),XLOOKUP(E$3,daily_items,XLOOKUP($C890,daily_dates,big_daily_table)))</f>
        <v>#N/A</v>
      </c>
    </row>
    <row r="891" ht="14.25" customHeight="1">
      <c r="B891" s="7">
        <v>41796.0</v>
      </c>
      <c r="C891" s="7">
        <f t="shared" si="1"/>
        <v>41791</v>
      </c>
      <c r="D891" s="1" t="str">
        <f t="array" ref="D891">IF(ISBLANK(XLOOKUP(D$3,daily_items,XLOOKUP($C891,daily_dates,big_daily_table))),NA(),XLOOKUP(D$3,daily_items,XLOOKUP($C891,daily_dates,big_daily_table)))</f>
        <v>#N/A</v>
      </c>
      <c r="E891" s="1" t="str">
        <f t="array" ref="E891">IF(ISBLANK(XLOOKUP(E$3,daily_items,XLOOKUP($C891,daily_dates,big_daily_table))),NA(),XLOOKUP(E$3,daily_items,XLOOKUP($C891,daily_dates,big_daily_table)))</f>
        <v>#N/A</v>
      </c>
    </row>
    <row r="892" ht="14.25" customHeight="1">
      <c r="B892" s="7">
        <v>41797.0</v>
      </c>
      <c r="C892" s="7">
        <f t="shared" si="1"/>
        <v>41791</v>
      </c>
      <c r="D892" s="1" t="str">
        <f t="array" ref="D892">IF(ISBLANK(XLOOKUP(D$3,daily_items,XLOOKUP($C892,daily_dates,big_daily_table))),NA(),XLOOKUP(D$3,daily_items,XLOOKUP($C892,daily_dates,big_daily_table)))</f>
        <v>#N/A</v>
      </c>
      <c r="E892" s="1" t="str">
        <f t="array" ref="E892">IF(ISBLANK(XLOOKUP(E$3,daily_items,XLOOKUP($C892,daily_dates,big_daily_table))),NA(),XLOOKUP(E$3,daily_items,XLOOKUP($C892,daily_dates,big_daily_table)))</f>
        <v>#N/A</v>
      </c>
    </row>
    <row r="893" ht="14.25" customHeight="1">
      <c r="B893" s="7">
        <v>41798.0</v>
      </c>
      <c r="C893" s="7">
        <f t="shared" si="1"/>
        <v>41798</v>
      </c>
      <c r="D893" s="1" t="str">
        <f t="array" ref="D893">IF(ISBLANK(XLOOKUP(D$3,daily_items,XLOOKUP($C893,daily_dates,big_daily_table))),NA(),XLOOKUP(D$3,daily_items,XLOOKUP($C893,daily_dates,big_daily_table)))</f>
        <v>#N/A</v>
      </c>
      <c r="E893" s="1" t="str">
        <f t="array" ref="E893">IF(ISBLANK(XLOOKUP(E$3,daily_items,XLOOKUP($C893,daily_dates,big_daily_table))),NA(),XLOOKUP(E$3,daily_items,XLOOKUP($C893,daily_dates,big_daily_table)))</f>
        <v>#N/A</v>
      </c>
    </row>
    <row r="894" ht="14.25" customHeight="1">
      <c r="B894" s="7">
        <v>41799.0</v>
      </c>
      <c r="C894" s="7">
        <f t="shared" si="1"/>
        <v>41798</v>
      </c>
      <c r="D894" s="1" t="str">
        <f t="array" ref="D894">IF(ISBLANK(XLOOKUP(D$3,daily_items,XLOOKUP($C894,daily_dates,big_daily_table))),NA(),XLOOKUP(D$3,daily_items,XLOOKUP($C894,daily_dates,big_daily_table)))</f>
        <v>#N/A</v>
      </c>
      <c r="E894" s="1" t="str">
        <f t="array" ref="E894">IF(ISBLANK(XLOOKUP(E$3,daily_items,XLOOKUP($C894,daily_dates,big_daily_table))),NA(),XLOOKUP(E$3,daily_items,XLOOKUP($C894,daily_dates,big_daily_table)))</f>
        <v>#N/A</v>
      </c>
    </row>
    <row r="895" ht="14.25" customHeight="1">
      <c r="B895" s="7">
        <v>41800.0</v>
      </c>
      <c r="C895" s="7">
        <f t="shared" si="1"/>
        <v>41798</v>
      </c>
      <c r="D895" s="1" t="str">
        <f t="array" ref="D895">IF(ISBLANK(XLOOKUP(D$3,daily_items,XLOOKUP($C895,daily_dates,big_daily_table))),NA(),XLOOKUP(D$3,daily_items,XLOOKUP($C895,daily_dates,big_daily_table)))</f>
        <v>#N/A</v>
      </c>
      <c r="E895" s="1" t="str">
        <f t="array" ref="E895">IF(ISBLANK(XLOOKUP(E$3,daily_items,XLOOKUP($C895,daily_dates,big_daily_table))),NA(),XLOOKUP(E$3,daily_items,XLOOKUP($C895,daily_dates,big_daily_table)))</f>
        <v>#N/A</v>
      </c>
    </row>
    <row r="896" ht="14.25" customHeight="1">
      <c r="B896" s="7">
        <v>41801.0</v>
      </c>
      <c r="C896" s="7">
        <f t="shared" si="1"/>
        <v>41798</v>
      </c>
      <c r="D896" s="1" t="str">
        <f t="array" ref="D896">IF(ISBLANK(XLOOKUP(D$3,daily_items,XLOOKUP($C896,daily_dates,big_daily_table))),NA(),XLOOKUP(D$3,daily_items,XLOOKUP($C896,daily_dates,big_daily_table)))</f>
        <v>#N/A</v>
      </c>
      <c r="E896" s="1" t="str">
        <f t="array" ref="E896">IF(ISBLANK(XLOOKUP(E$3,daily_items,XLOOKUP($C896,daily_dates,big_daily_table))),NA(),XLOOKUP(E$3,daily_items,XLOOKUP($C896,daily_dates,big_daily_table)))</f>
        <v>#N/A</v>
      </c>
    </row>
    <row r="897" ht="14.25" customHeight="1">
      <c r="B897" s="7">
        <v>41802.0</v>
      </c>
      <c r="C897" s="7">
        <f t="shared" si="1"/>
        <v>41798</v>
      </c>
      <c r="D897" s="1" t="str">
        <f t="array" ref="D897">IF(ISBLANK(XLOOKUP(D$3,daily_items,XLOOKUP($C897,daily_dates,big_daily_table))),NA(),XLOOKUP(D$3,daily_items,XLOOKUP($C897,daily_dates,big_daily_table)))</f>
        <v>#N/A</v>
      </c>
      <c r="E897" s="1" t="str">
        <f t="array" ref="E897">IF(ISBLANK(XLOOKUP(E$3,daily_items,XLOOKUP($C897,daily_dates,big_daily_table))),NA(),XLOOKUP(E$3,daily_items,XLOOKUP($C897,daily_dates,big_daily_table)))</f>
        <v>#N/A</v>
      </c>
    </row>
    <row r="898" ht="14.25" customHeight="1">
      <c r="B898" s="7">
        <v>41803.0</v>
      </c>
      <c r="C898" s="7">
        <f t="shared" si="1"/>
        <v>41798</v>
      </c>
      <c r="D898" s="1" t="str">
        <f t="array" ref="D898">IF(ISBLANK(XLOOKUP(D$3,daily_items,XLOOKUP($C898,daily_dates,big_daily_table))),NA(),XLOOKUP(D$3,daily_items,XLOOKUP($C898,daily_dates,big_daily_table)))</f>
        <v>#N/A</v>
      </c>
      <c r="E898" s="1" t="str">
        <f t="array" ref="E898">IF(ISBLANK(XLOOKUP(E$3,daily_items,XLOOKUP($C898,daily_dates,big_daily_table))),NA(),XLOOKUP(E$3,daily_items,XLOOKUP($C898,daily_dates,big_daily_table)))</f>
        <v>#N/A</v>
      </c>
    </row>
    <row r="899" ht="14.25" customHeight="1">
      <c r="B899" s="7">
        <v>41804.0</v>
      </c>
      <c r="C899" s="7">
        <f t="shared" si="1"/>
        <v>41798</v>
      </c>
      <c r="D899" s="1" t="str">
        <f t="array" ref="D899">IF(ISBLANK(XLOOKUP(D$3,daily_items,XLOOKUP($C899,daily_dates,big_daily_table))),NA(),XLOOKUP(D$3,daily_items,XLOOKUP($C899,daily_dates,big_daily_table)))</f>
        <v>#N/A</v>
      </c>
      <c r="E899" s="1" t="str">
        <f t="array" ref="E899">IF(ISBLANK(XLOOKUP(E$3,daily_items,XLOOKUP($C899,daily_dates,big_daily_table))),NA(),XLOOKUP(E$3,daily_items,XLOOKUP($C899,daily_dates,big_daily_table)))</f>
        <v>#N/A</v>
      </c>
    </row>
    <row r="900" ht="14.25" customHeight="1">
      <c r="B900" s="7">
        <v>41805.0</v>
      </c>
      <c r="C900" s="7">
        <f t="shared" si="1"/>
        <v>41805</v>
      </c>
      <c r="D900" s="1" t="str">
        <f t="array" ref="D900">IF(ISBLANK(XLOOKUP(D$3,daily_items,XLOOKUP($C900,daily_dates,big_daily_table))),NA(),XLOOKUP(D$3,daily_items,XLOOKUP($C900,daily_dates,big_daily_table)))</f>
        <v>#N/A</v>
      </c>
      <c r="E900" s="1" t="str">
        <f t="array" ref="E900">IF(ISBLANK(XLOOKUP(E$3,daily_items,XLOOKUP($C900,daily_dates,big_daily_table))),NA(),XLOOKUP(E$3,daily_items,XLOOKUP($C900,daily_dates,big_daily_table)))</f>
        <v>#N/A</v>
      </c>
    </row>
    <row r="901" ht="14.25" customHeight="1">
      <c r="B901" s="7">
        <v>41806.0</v>
      </c>
      <c r="C901" s="7">
        <f t="shared" si="1"/>
        <v>41805</v>
      </c>
      <c r="D901" s="1" t="str">
        <f t="array" ref="D901">IF(ISBLANK(XLOOKUP(D$3,daily_items,XLOOKUP($C901,daily_dates,big_daily_table))),NA(),XLOOKUP(D$3,daily_items,XLOOKUP($C901,daily_dates,big_daily_table)))</f>
        <v>#N/A</v>
      </c>
      <c r="E901" s="1" t="str">
        <f t="array" ref="E901">IF(ISBLANK(XLOOKUP(E$3,daily_items,XLOOKUP($C901,daily_dates,big_daily_table))),NA(),XLOOKUP(E$3,daily_items,XLOOKUP($C901,daily_dates,big_daily_table)))</f>
        <v>#N/A</v>
      </c>
    </row>
    <row r="902" ht="14.25" customHeight="1">
      <c r="B902" s="7">
        <v>41807.0</v>
      </c>
      <c r="C902" s="7">
        <f t="shared" si="1"/>
        <v>41805</v>
      </c>
      <c r="D902" s="1" t="str">
        <f t="array" ref="D902">IF(ISBLANK(XLOOKUP(D$3,daily_items,XLOOKUP($C902,daily_dates,big_daily_table))),NA(),XLOOKUP(D$3,daily_items,XLOOKUP($C902,daily_dates,big_daily_table)))</f>
        <v>#N/A</v>
      </c>
      <c r="E902" s="1" t="str">
        <f t="array" ref="E902">IF(ISBLANK(XLOOKUP(E$3,daily_items,XLOOKUP($C902,daily_dates,big_daily_table))),NA(),XLOOKUP(E$3,daily_items,XLOOKUP($C902,daily_dates,big_daily_table)))</f>
        <v>#N/A</v>
      </c>
    </row>
    <row r="903" ht="14.25" customHeight="1">
      <c r="B903" s="7">
        <v>41808.0</v>
      </c>
      <c r="C903" s="7">
        <f t="shared" si="1"/>
        <v>41805</v>
      </c>
      <c r="D903" s="1" t="str">
        <f t="array" ref="D903">IF(ISBLANK(XLOOKUP(D$3,daily_items,XLOOKUP($C903,daily_dates,big_daily_table))),NA(),XLOOKUP(D$3,daily_items,XLOOKUP($C903,daily_dates,big_daily_table)))</f>
        <v>#N/A</v>
      </c>
      <c r="E903" s="1" t="str">
        <f t="array" ref="E903">IF(ISBLANK(XLOOKUP(E$3,daily_items,XLOOKUP($C903,daily_dates,big_daily_table))),NA(),XLOOKUP(E$3,daily_items,XLOOKUP($C903,daily_dates,big_daily_table)))</f>
        <v>#N/A</v>
      </c>
    </row>
    <row r="904" ht="14.25" customHeight="1">
      <c r="B904" s="7">
        <v>41809.0</v>
      </c>
      <c r="C904" s="7">
        <f t="shared" si="1"/>
        <v>41805</v>
      </c>
      <c r="D904" s="1" t="str">
        <f t="array" ref="D904">IF(ISBLANK(XLOOKUP(D$3,daily_items,XLOOKUP($C904,daily_dates,big_daily_table))),NA(),XLOOKUP(D$3,daily_items,XLOOKUP($C904,daily_dates,big_daily_table)))</f>
        <v>#N/A</v>
      </c>
      <c r="E904" s="1" t="str">
        <f t="array" ref="E904">IF(ISBLANK(XLOOKUP(E$3,daily_items,XLOOKUP($C904,daily_dates,big_daily_table))),NA(),XLOOKUP(E$3,daily_items,XLOOKUP($C904,daily_dates,big_daily_table)))</f>
        <v>#N/A</v>
      </c>
    </row>
    <row r="905" ht="14.25" customHeight="1">
      <c r="B905" s="7">
        <v>41810.0</v>
      </c>
      <c r="C905" s="7">
        <f t="shared" si="1"/>
        <v>41805</v>
      </c>
      <c r="D905" s="1" t="str">
        <f t="array" ref="D905">IF(ISBLANK(XLOOKUP(D$3,daily_items,XLOOKUP($C905,daily_dates,big_daily_table))),NA(),XLOOKUP(D$3,daily_items,XLOOKUP($C905,daily_dates,big_daily_table)))</f>
        <v>#N/A</v>
      </c>
      <c r="E905" s="1" t="str">
        <f t="array" ref="E905">IF(ISBLANK(XLOOKUP(E$3,daily_items,XLOOKUP($C905,daily_dates,big_daily_table))),NA(),XLOOKUP(E$3,daily_items,XLOOKUP($C905,daily_dates,big_daily_table)))</f>
        <v>#N/A</v>
      </c>
    </row>
    <row r="906" ht="14.25" customHeight="1">
      <c r="B906" s="7">
        <v>41811.0</v>
      </c>
      <c r="C906" s="7">
        <f t="shared" si="1"/>
        <v>41805</v>
      </c>
      <c r="D906" s="1" t="str">
        <f t="array" ref="D906">IF(ISBLANK(XLOOKUP(D$3,daily_items,XLOOKUP($C906,daily_dates,big_daily_table))),NA(),XLOOKUP(D$3,daily_items,XLOOKUP($C906,daily_dates,big_daily_table)))</f>
        <v>#N/A</v>
      </c>
      <c r="E906" s="1" t="str">
        <f t="array" ref="E906">IF(ISBLANK(XLOOKUP(E$3,daily_items,XLOOKUP($C906,daily_dates,big_daily_table))),NA(),XLOOKUP(E$3,daily_items,XLOOKUP($C906,daily_dates,big_daily_table)))</f>
        <v>#N/A</v>
      </c>
    </row>
    <row r="907" ht="14.25" customHeight="1">
      <c r="B907" s="7">
        <v>41812.0</v>
      </c>
      <c r="C907" s="7">
        <f t="shared" si="1"/>
        <v>41812</v>
      </c>
      <c r="D907" s="1" t="str">
        <f t="array" ref="D907">IF(ISBLANK(XLOOKUP(D$3,daily_items,XLOOKUP($C907,daily_dates,big_daily_table))),NA(),XLOOKUP(D$3,daily_items,XLOOKUP($C907,daily_dates,big_daily_table)))</f>
        <v>#N/A</v>
      </c>
      <c r="E907" s="1" t="str">
        <f t="array" ref="E907">IF(ISBLANK(XLOOKUP(E$3,daily_items,XLOOKUP($C907,daily_dates,big_daily_table))),NA(),XLOOKUP(E$3,daily_items,XLOOKUP($C907,daily_dates,big_daily_table)))</f>
        <v>#N/A</v>
      </c>
    </row>
    <row r="908" ht="14.25" customHeight="1">
      <c r="B908" s="7">
        <v>41813.0</v>
      </c>
      <c r="C908" s="7">
        <f t="shared" si="1"/>
        <v>41812</v>
      </c>
      <c r="D908" s="1" t="str">
        <f t="array" ref="D908">IF(ISBLANK(XLOOKUP(D$3,daily_items,XLOOKUP($C908,daily_dates,big_daily_table))),NA(),XLOOKUP(D$3,daily_items,XLOOKUP($C908,daily_dates,big_daily_table)))</f>
        <v>#N/A</v>
      </c>
      <c r="E908" s="1" t="str">
        <f t="array" ref="E908">IF(ISBLANK(XLOOKUP(E$3,daily_items,XLOOKUP($C908,daily_dates,big_daily_table))),NA(),XLOOKUP(E$3,daily_items,XLOOKUP($C908,daily_dates,big_daily_table)))</f>
        <v>#N/A</v>
      </c>
    </row>
    <row r="909" ht="14.25" customHeight="1">
      <c r="B909" s="7">
        <v>41814.0</v>
      </c>
      <c r="C909" s="7">
        <f t="shared" si="1"/>
        <v>41812</v>
      </c>
      <c r="D909" s="1" t="str">
        <f t="array" ref="D909">IF(ISBLANK(XLOOKUP(D$3,daily_items,XLOOKUP($C909,daily_dates,big_daily_table))),NA(),XLOOKUP(D$3,daily_items,XLOOKUP($C909,daily_dates,big_daily_table)))</f>
        <v>#N/A</v>
      </c>
      <c r="E909" s="1" t="str">
        <f t="array" ref="E909">IF(ISBLANK(XLOOKUP(E$3,daily_items,XLOOKUP($C909,daily_dates,big_daily_table))),NA(),XLOOKUP(E$3,daily_items,XLOOKUP($C909,daily_dates,big_daily_table)))</f>
        <v>#N/A</v>
      </c>
    </row>
    <row r="910" ht="14.25" customHeight="1">
      <c r="B910" s="7">
        <v>41815.0</v>
      </c>
      <c r="C910" s="7">
        <f t="shared" si="1"/>
        <v>41812</v>
      </c>
      <c r="D910" s="1" t="str">
        <f t="array" ref="D910">IF(ISBLANK(XLOOKUP(D$3,daily_items,XLOOKUP($C910,daily_dates,big_daily_table))),NA(),XLOOKUP(D$3,daily_items,XLOOKUP($C910,daily_dates,big_daily_table)))</f>
        <v>#N/A</v>
      </c>
      <c r="E910" s="1" t="str">
        <f t="array" ref="E910">IF(ISBLANK(XLOOKUP(E$3,daily_items,XLOOKUP($C910,daily_dates,big_daily_table))),NA(),XLOOKUP(E$3,daily_items,XLOOKUP($C910,daily_dates,big_daily_table)))</f>
        <v>#N/A</v>
      </c>
    </row>
    <row r="911" ht="14.25" customHeight="1">
      <c r="B911" s="7">
        <v>41816.0</v>
      </c>
      <c r="C911" s="7">
        <f t="shared" si="1"/>
        <v>41812</v>
      </c>
      <c r="D911" s="1" t="str">
        <f t="array" ref="D911">IF(ISBLANK(XLOOKUP(D$3,daily_items,XLOOKUP($C911,daily_dates,big_daily_table))),NA(),XLOOKUP(D$3,daily_items,XLOOKUP($C911,daily_dates,big_daily_table)))</f>
        <v>#N/A</v>
      </c>
      <c r="E911" s="1" t="str">
        <f t="array" ref="E911">IF(ISBLANK(XLOOKUP(E$3,daily_items,XLOOKUP($C911,daily_dates,big_daily_table))),NA(),XLOOKUP(E$3,daily_items,XLOOKUP($C911,daily_dates,big_daily_table)))</f>
        <v>#N/A</v>
      </c>
    </row>
    <row r="912" ht="14.25" customHeight="1">
      <c r="B912" s="7">
        <v>41817.0</v>
      </c>
      <c r="C912" s="7">
        <f t="shared" si="1"/>
        <v>41812</v>
      </c>
      <c r="D912" s="1" t="str">
        <f t="array" ref="D912">IF(ISBLANK(XLOOKUP(D$3,daily_items,XLOOKUP($C912,daily_dates,big_daily_table))),NA(),XLOOKUP(D$3,daily_items,XLOOKUP($C912,daily_dates,big_daily_table)))</f>
        <v>#N/A</v>
      </c>
      <c r="E912" s="1" t="str">
        <f t="array" ref="E912">IF(ISBLANK(XLOOKUP(E$3,daily_items,XLOOKUP($C912,daily_dates,big_daily_table))),NA(),XLOOKUP(E$3,daily_items,XLOOKUP($C912,daily_dates,big_daily_table)))</f>
        <v>#N/A</v>
      </c>
    </row>
    <row r="913" ht="14.25" customHeight="1">
      <c r="B913" s="7">
        <v>41818.0</v>
      </c>
      <c r="C913" s="7">
        <f t="shared" si="1"/>
        <v>41812</v>
      </c>
      <c r="D913" s="1" t="str">
        <f t="array" ref="D913">IF(ISBLANK(XLOOKUP(D$3,daily_items,XLOOKUP($C913,daily_dates,big_daily_table))),NA(),XLOOKUP(D$3,daily_items,XLOOKUP($C913,daily_dates,big_daily_table)))</f>
        <v>#N/A</v>
      </c>
      <c r="E913" s="1" t="str">
        <f t="array" ref="E913">IF(ISBLANK(XLOOKUP(E$3,daily_items,XLOOKUP($C913,daily_dates,big_daily_table))),NA(),XLOOKUP(E$3,daily_items,XLOOKUP($C913,daily_dates,big_daily_table)))</f>
        <v>#N/A</v>
      </c>
    </row>
    <row r="914" ht="14.25" customHeight="1">
      <c r="B914" s="7">
        <v>41819.0</v>
      </c>
      <c r="C914" s="7">
        <f t="shared" si="1"/>
        <v>41819</v>
      </c>
      <c r="D914" s="1" t="str">
        <f t="array" ref="D914">IF(ISBLANK(XLOOKUP(D$3,daily_items,XLOOKUP($C914,daily_dates,big_daily_table))),NA(),XLOOKUP(D$3,daily_items,XLOOKUP($C914,daily_dates,big_daily_table)))</f>
        <v>#N/A</v>
      </c>
      <c r="E914" s="1" t="str">
        <f t="array" ref="E914">IF(ISBLANK(XLOOKUP(E$3,daily_items,XLOOKUP($C914,daily_dates,big_daily_table))),NA(),XLOOKUP(E$3,daily_items,XLOOKUP($C914,daily_dates,big_daily_table)))</f>
        <v>#N/A</v>
      </c>
    </row>
    <row r="915" ht="14.25" customHeight="1">
      <c r="B915" s="7">
        <v>41820.0</v>
      </c>
      <c r="C915" s="7">
        <f t="shared" si="1"/>
        <v>41819</v>
      </c>
      <c r="D915" s="1" t="str">
        <f t="array" ref="D915">IF(ISBLANK(XLOOKUP(D$3,daily_items,XLOOKUP($C915,daily_dates,big_daily_table))),NA(),XLOOKUP(D$3,daily_items,XLOOKUP($C915,daily_dates,big_daily_table)))</f>
        <v>#N/A</v>
      </c>
      <c r="E915" s="1" t="str">
        <f t="array" ref="E915">IF(ISBLANK(XLOOKUP(E$3,daily_items,XLOOKUP($C915,daily_dates,big_daily_table))),NA(),XLOOKUP(E$3,daily_items,XLOOKUP($C915,daily_dates,big_daily_table)))</f>
        <v>#N/A</v>
      </c>
    </row>
    <row r="916" ht="14.25" customHeight="1">
      <c r="B916" s="7">
        <v>41821.0</v>
      </c>
      <c r="C916" s="7">
        <f t="shared" si="1"/>
        <v>41819</v>
      </c>
      <c r="D916" s="1" t="str">
        <f t="array" ref="D916">IF(ISBLANK(XLOOKUP(D$3,daily_items,XLOOKUP($C916,daily_dates,big_daily_table))),NA(),XLOOKUP(D$3,daily_items,XLOOKUP($C916,daily_dates,big_daily_table)))</f>
        <v>#N/A</v>
      </c>
      <c r="E916" s="1" t="str">
        <f t="array" ref="E916">IF(ISBLANK(XLOOKUP(E$3,daily_items,XLOOKUP($C916,daily_dates,big_daily_table))),NA(),XLOOKUP(E$3,daily_items,XLOOKUP($C916,daily_dates,big_daily_table)))</f>
        <v>#N/A</v>
      </c>
    </row>
    <row r="917" ht="14.25" customHeight="1">
      <c r="B917" s="7">
        <v>41822.0</v>
      </c>
      <c r="C917" s="7">
        <f t="shared" si="1"/>
        <v>41819</v>
      </c>
      <c r="D917" s="1" t="str">
        <f t="array" ref="D917">IF(ISBLANK(XLOOKUP(D$3,daily_items,XLOOKUP($C917,daily_dates,big_daily_table))),NA(),XLOOKUP(D$3,daily_items,XLOOKUP($C917,daily_dates,big_daily_table)))</f>
        <v>#N/A</v>
      </c>
      <c r="E917" s="1" t="str">
        <f t="array" ref="E917">IF(ISBLANK(XLOOKUP(E$3,daily_items,XLOOKUP($C917,daily_dates,big_daily_table))),NA(),XLOOKUP(E$3,daily_items,XLOOKUP($C917,daily_dates,big_daily_table)))</f>
        <v>#N/A</v>
      </c>
    </row>
    <row r="918" ht="14.25" customHeight="1">
      <c r="B918" s="7">
        <v>41823.0</v>
      </c>
      <c r="C918" s="7">
        <f t="shared" si="1"/>
        <v>41819</v>
      </c>
      <c r="D918" s="1" t="str">
        <f t="array" ref="D918">IF(ISBLANK(XLOOKUP(D$3,daily_items,XLOOKUP($C918,daily_dates,big_daily_table))),NA(),XLOOKUP(D$3,daily_items,XLOOKUP($C918,daily_dates,big_daily_table)))</f>
        <v>#N/A</v>
      </c>
      <c r="E918" s="1" t="str">
        <f t="array" ref="E918">IF(ISBLANK(XLOOKUP(E$3,daily_items,XLOOKUP($C918,daily_dates,big_daily_table))),NA(),XLOOKUP(E$3,daily_items,XLOOKUP($C918,daily_dates,big_daily_table)))</f>
        <v>#N/A</v>
      </c>
    </row>
    <row r="919" ht="14.25" customHeight="1">
      <c r="B919" s="7">
        <v>41824.0</v>
      </c>
      <c r="C919" s="7">
        <f t="shared" si="1"/>
        <v>41819</v>
      </c>
      <c r="D919" s="1" t="str">
        <f t="array" ref="D919">IF(ISBLANK(XLOOKUP(D$3,daily_items,XLOOKUP($C919,daily_dates,big_daily_table))),NA(),XLOOKUP(D$3,daily_items,XLOOKUP($C919,daily_dates,big_daily_table)))</f>
        <v>#N/A</v>
      </c>
      <c r="E919" s="1" t="str">
        <f t="array" ref="E919">IF(ISBLANK(XLOOKUP(E$3,daily_items,XLOOKUP($C919,daily_dates,big_daily_table))),NA(),XLOOKUP(E$3,daily_items,XLOOKUP($C919,daily_dates,big_daily_table)))</f>
        <v>#N/A</v>
      </c>
    </row>
    <row r="920" ht="14.25" customHeight="1">
      <c r="B920" s="7">
        <v>41825.0</v>
      </c>
      <c r="C920" s="7">
        <f t="shared" si="1"/>
        <v>41819</v>
      </c>
      <c r="D920" s="1" t="str">
        <f t="array" ref="D920">IF(ISBLANK(XLOOKUP(D$3,daily_items,XLOOKUP($C920,daily_dates,big_daily_table))),NA(),XLOOKUP(D$3,daily_items,XLOOKUP($C920,daily_dates,big_daily_table)))</f>
        <v>#N/A</v>
      </c>
      <c r="E920" s="1" t="str">
        <f t="array" ref="E920">IF(ISBLANK(XLOOKUP(E$3,daily_items,XLOOKUP($C920,daily_dates,big_daily_table))),NA(),XLOOKUP(E$3,daily_items,XLOOKUP($C920,daily_dates,big_daily_table)))</f>
        <v>#N/A</v>
      </c>
    </row>
    <row r="921" ht="14.25" customHeight="1">
      <c r="B921" s="7">
        <v>41826.0</v>
      </c>
      <c r="C921" s="7">
        <f t="shared" si="1"/>
        <v>41826</v>
      </c>
      <c r="D921" s="1" t="str">
        <f t="array" ref="D921">IF(ISBLANK(XLOOKUP(D$3,daily_items,XLOOKUP($C921,daily_dates,big_daily_table))),NA(),XLOOKUP(D$3,daily_items,XLOOKUP($C921,daily_dates,big_daily_table)))</f>
        <v>#N/A</v>
      </c>
      <c r="E921" s="1" t="str">
        <f t="array" ref="E921">IF(ISBLANK(XLOOKUP(E$3,daily_items,XLOOKUP($C921,daily_dates,big_daily_table))),NA(),XLOOKUP(E$3,daily_items,XLOOKUP($C921,daily_dates,big_daily_table)))</f>
        <v>#N/A</v>
      </c>
    </row>
    <row r="922" ht="14.25" customHeight="1">
      <c r="B922" s="7">
        <v>41827.0</v>
      </c>
      <c r="C922" s="7">
        <f t="shared" si="1"/>
        <v>41826</v>
      </c>
      <c r="D922" s="1" t="str">
        <f t="array" ref="D922">IF(ISBLANK(XLOOKUP(D$3,daily_items,XLOOKUP($C922,daily_dates,big_daily_table))),NA(),XLOOKUP(D$3,daily_items,XLOOKUP($C922,daily_dates,big_daily_table)))</f>
        <v>#N/A</v>
      </c>
      <c r="E922" s="1" t="str">
        <f t="array" ref="E922">IF(ISBLANK(XLOOKUP(E$3,daily_items,XLOOKUP($C922,daily_dates,big_daily_table))),NA(),XLOOKUP(E$3,daily_items,XLOOKUP($C922,daily_dates,big_daily_table)))</f>
        <v>#N/A</v>
      </c>
    </row>
    <row r="923" ht="14.25" customHeight="1">
      <c r="B923" s="7">
        <v>41828.0</v>
      </c>
      <c r="C923" s="7">
        <f t="shared" si="1"/>
        <v>41826</v>
      </c>
      <c r="D923" s="1" t="str">
        <f t="array" ref="D923">IF(ISBLANK(XLOOKUP(D$3,daily_items,XLOOKUP($C923,daily_dates,big_daily_table))),NA(),XLOOKUP(D$3,daily_items,XLOOKUP($C923,daily_dates,big_daily_table)))</f>
        <v>#N/A</v>
      </c>
      <c r="E923" s="1" t="str">
        <f t="array" ref="E923">IF(ISBLANK(XLOOKUP(E$3,daily_items,XLOOKUP($C923,daily_dates,big_daily_table))),NA(),XLOOKUP(E$3,daily_items,XLOOKUP($C923,daily_dates,big_daily_table)))</f>
        <v>#N/A</v>
      </c>
    </row>
    <row r="924" ht="14.25" customHeight="1">
      <c r="B924" s="7">
        <v>41829.0</v>
      </c>
      <c r="C924" s="7">
        <f t="shared" si="1"/>
        <v>41826</v>
      </c>
      <c r="D924" s="1" t="str">
        <f t="array" ref="D924">IF(ISBLANK(XLOOKUP(D$3,daily_items,XLOOKUP($C924,daily_dates,big_daily_table))),NA(),XLOOKUP(D$3,daily_items,XLOOKUP($C924,daily_dates,big_daily_table)))</f>
        <v>#N/A</v>
      </c>
      <c r="E924" s="1" t="str">
        <f t="array" ref="E924">IF(ISBLANK(XLOOKUP(E$3,daily_items,XLOOKUP($C924,daily_dates,big_daily_table))),NA(),XLOOKUP(E$3,daily_items,XLOOKUP($C924,daily_dates,big_daily_table)))</f>
        <v>#N/A</v>
      </c>
    </row>
    <row r="925" ht="14.25" customHeight="1">
      <c r="B925" s="7">
        <v>41830.0</v>
      </c>
      <c r="C925" s="7">
        <f t="shared" si="1"/>
        <v>41826</v>
      </c>
      <c r="D925" s="1" t="str">
        <f t="array" ref="D925">IF(ISBLANK(XLOOKUP(D$3,daily_items,XLOOKUP($C925,daily_dates,big_daily_table))),NA(),XLOOKUP(D$3,daily_items,XLOOKUP($C925,daily_dates,big_daily_table)))</f>
        <v>#N/A</v>
      </c>
      <c r="E925" s="1" t="str">
        <f t="array" ref="E925">IF(ISBLANK(XLOOKUP(E$3,daily_items,XLOOKUP($C925,daily_dates,big_daily_table))),NA(),XLOOKUP(E$3,daily_items,XLOOKUP($C925,daily_dates,big_daily_table)))</f>
        <v>#N/A</v>
      </c>
    </row>
    <row r="926" ht="14.25" customHeight="1">
      <c r="B926" s="7">
        <v>41831.0</v>
      </c>
      <c r="C926" s="7">
        <f t="shared" si="1"/>
        <v>41826</v>
      </c>
      <c r="D926" s="1" t="str">
        <f t="array" ref="D926">IF(ISBLANK(XLOOKUP(D$3,daily_items,XLOOKUP($C926,daily_dates,big_daily_table))),NA(),XLOOKUP(D$3,daily_items,XLOOKUP($C926,daily_dates,big_daily_table)))</f>
        <v>#N/A</v>
      </c>
      <c r="E926" s="1" t="str">
        <f t="array" ref="E926">IF(ISBLANK(XLOOKUP(E$3,daily_items,XLOOKUP($C926,daily_dates,big_daily_table))),NA(),XLOOKUP(E$3,daily_items,XLOOKUP($C926,daily_dates,big_daily_table)))</f>
        <v>#N/A</v>
      </c>
    </row>
    <row r="927" ht="14.25" customHeight="1">
      <c r="B927" s="7">
        <v>41832.0</v>
      </c>
      <c r="C927" s="7">
        <f t="shared" si="1"/>
        <v>41826</v>
      </c>
      <c r="D927" s="1" t="str">
        <f t="array" ref="D927">IF(ISBLANK(XLOOKUP(D$3,daily_items,XLOOKUP($C927,daily_dates,big_daily_table))),NA(),XLOOKUP(D$3,daily_items,XLOOKUP($C927,daily_dates,big_daily_table)))</f>
        <v>#N/A</v>
      </c>
      <c r="E927" s="1" t="str">
        <f t="array" ref="E927">IF(ISBLANK(XLOOKUP(E$3,daily_items,XLOOKUP($C927,daily_dates,big_daily_table))),NA(),XLOOKUP(E$3,daily_items,XLOOKUP($C927,daily_dates,big_daily_table)))</f>
        <v>#N/A</v>
      </c>
    </row>
    <row r="928" ht="14.25" customHeight="1">
      <c r="B928" s="7">
        <v>41833.0</v>
      </c>
      <c r="C928" s="7">
        <f t="shared" si="1"/>
        <v>41833</v>
      </c>
      <c r="D928" s="1" t="str">
        <f t="array" ref="D928">IF(ISBLANK(XLOOKUP(D$3,daily_items,XLOOKUP($C928,daily_dates,big_daily_table))),NA(),XLOOKUP(D$3,daily_items,XLOOKUP($C928,daily_dates,big_daily_table)))</f>
        <v>#N/A</v>
      </c>
      <c r="E928" s="1" t="str">
        <f t="array" ref="E928">IF(ISBLANK(XLOOKUP(E$3,daily_items,XLOOKUP($C928,daily_dates,big_daily_table))),NA(),XLOOKUP(E$3,daily_items,XLOOKUP($C928,daily_dates,big_daily_table)))</f>
        <v>#N/A</v>
      </c>
    </row>
    <row r="929" ht="14.25" customHeight="1">
      <c r="B929" s="7">
        <v>41834.0</v>
      </c>
      <c r="C929" s="7">
        <f t="shared" si="1"/>
        <v>41833</v>
      </c>
      <c r="D929" s="1" t="str">
        <f t="array" ref="D929">IF(ISBLANK(XLOOKUP(D$3,daily_items,XLOOKUP($C929,daily_dates,big_daily_table))),NA(),XLOOKUP(D$3,daily_items,XLOOKUP($C929,daily_dates,big_daily_table)))</f>
        <v>#N/A</v>
      </c>
      <c r="E929" s="1" t="str">
        <f t="array" ref="E929">IF(ISBLANK(XLOOKUP(E$3,daily_items,XLOOKUP($C929,daily_dates,big_daily_table))),NA(),XLOOKUP(E$3,daily_items,XLOOKUP($C929,daily_dates,big_daily_table)))</f>
        <v>#N/A</v>
      </c>
    </row>
    <row r="930" ht="14.25" customHeight="1">
      <c r="B930" s="7">
        <v>41835.0</v>
      </c>
      <c r="C930" s="7">
        <f t="shared" si="1"/>
        <v>41833</v>
      </c>
      <c r="D930" s="1" t="str">
        <f t="array" ref="D930">IF(ISBLANK(XLOOKUP(D$3,daily_items,XLOOKUP($C930,daily_dates,big_daily_table))),NA(),XLOOKUP(D$3,daily_items,XLOOKUP($C930,daily_dates,big_daily_table)))</f>
        <v>#N/A</v>
      </c>
      <c r="E930" s="1" t="str">
        <f t="array" ref="E930">IF(ISBLANK(XLOOKUP(E$3,daily_items,XLOOKUP($C930,daily_dates,big_daily_table))),NA(),XLOOKUP(E$3,daily_items,XLOOKUP($C930,daily_dates,big_daily_table)))</f>
        <v>#N/A</v>
      </c>
    </row>
    <row r="931" ht="14.25" customHeight="1">
      <c r="B931" s="7">
        <v>41836.0</v>
      </c>
      <c r="C931" s="7">
        <f t="shared" si="1"/>
        <v>41833</v>
      </c>
      <c r="D931" s="1" t="str">
        <f t="array" ref="D931">IF(ISBLANK(XLOOKUP(D$3,daily_items,XLOOKUP($C931,daily_dates,big_daily_table))),NA(),XLOOKUP(D$3,daily_items,XLOOKUP($C931,daily_dates,big_daily_table)))</f>
        <v>#N/A</v>
      </c>
      <c r="E931" s="1" t="str">
        <f t="array" ref="E931">IF(ISBLANK(XLOOKUP(E$3,daily_items,XLOOKUP($C931,daily_dates,big_daily_table))),NA(),XLOOKUP(E$3,daily_items,XLOOKUP($C931,daily_dates,big_daily_table)))</f>
        <v>#N/A</v>
      </c>
    </row>
    <row r="932" ht="14.25" customHeight="1">
      <c r="B932" s="7">
        <v>41837.0</v>
      </c>
      <c r="C932" s="7">
        <f t="shared" si="1"/>
        <v>41833</v>
      </c>
      <c r="D932" s="1" t="str">
        <f t="array" ref="D932">IF(ISBLANK(XLOOKUP(D$3,daily_items,XLOOKUP($C932,daily_dates,big_daily_table))),NA(),XLOOKUP(D$3,daily_items,XLOOKUP($C932,daily_dates,big_daily_table)))</f>
        <v>#N/A</v>
      </c>
      <c r="E932" s="1" t="str">
        <f t="array" ref="E932">IF(ISBLANK(XLOOKUP(E$3,daily_items,XLOOKUP($C932,daily_dates,big_daily_table))),NA(),XLOOKUP(E$3,daily_items,XLOOKUP($C932,daily_dates,big_daily_table)))</f>
        <v>#N/A</v>
      </c>
    </row>
    <row r="933" ht="14.25" customHeight="1">
      <c r="B933" s="7">
        <v>41838.0</v>
      </c>
      <c r="C933" s="7">
        <f t="shared" si="1"/>
        <v>41833</v>
      </c>
      <c r="D933" s="1" t="str">
        <f t="array" ref="D933">IF(ISBLANK(XLOOKUP(D$3,daily_items,XLOOKUP($C933,daily_dates,big_daily_table))),NA(),XLOOKUP(D$3,daily_items,XLOOKUP($C933,daily_dates,big_daily_table)))</f>
        <v>#N/A</v>
      </c>
      <c r="E933" s="1" t="str">
        <f t="array" ref="E933">IF(ISBLANK(XLOOKUP(E$3,daily_items,XLOOKUP($C933,daily_dates,big_daily_table))),NA(),XLOOKUP(E$3,daily_items,XLOOKUP($C933,daily_dates,big_daily_table)))</f>
        <v>#N/A</v>
      </c>
    </row>
    <row r="934" ht="14.25" customHeight="1">
      <c r="B934" s="7">
        <v>41839.0</v>
      </c>
      <c r="C934" s="7">
        <f t="shared" si="1"/>
        <v>41833</v>
      </c>
      <c r="D934" s="1" t="str">
        <f t="array" ref="D934">IF(ISBLANK(XLOOKUP(D$3,daily_items,XLOOKUP($C934,daily_dates,big_daily_table))),NA(),XLOOKUP(D$3,daily_items,XLOOKUP($C934,daily_dates,big_daily_table)))</f>
        <v>#N/A</v>
      </c>
      <c r="E934" s="1" t="str">
        <f t="array" ref="E934">IF(ISBLANK(XLOOKUP(E$3,daily_items,XLOOKUP($C934,daily_dates,big_daily_table))),NA(),XLOOKUP(E$3,daily_items,XLOOKUP($C934,daily_dates,big_daily_table)))</f>
        <v>#N/A</v>
      </c>
    </row>
    <row r="935" ht="14.25" customHeight="1">
      <c r="B935" s="7">
        <v>41840.0</v>
      </c>
      <c r="C935" s="7">
        <f t="shared" si="1"/>
        <v>41840</v>
      </c>
      <c r="D935" s="1" t="str">
        <f t="array" ref="D935">IF(ISBLANK(XLOOKUP(D$3,daily_items,XLOOKUP($C935,daily_dates,big_daily_table))),NA(),XLOOKUP(D$3,daily_items,XLOOKUP($C935,daily_dates,big_daily_table)))</f>
        <v>#N/A</v>
      </c>
      <c r="E935" s="1" t="str">
        <f t="array" ref="E935">IF(ISBLANK(XLOOKUP(E$3,daily_items,XLOOKUP($C935,daily_dates,big_daily_table))),NA(),XLOOKUP(E$3,daily_items,XLOOKUP($C935,daily_dates,big_daily_table)))</f>
        <v>#N/A</v>
      </c>
    </row>
    <row r="936" ht="14.25" customHeight="1">
      <c r="B936" s="7">
        <v>41841.0</v>
      </c>
      <c r="C936" s="7">
        <f t="shared" si="1"/>
        <v>41840</v>
      </c>
      <c r="D936" s="1" t="str">
        <f t="array" ref="D936">IF(ISBLANK(XLOOKUP(D$3,daily_items,XLOOKUP($C936,daily_dates,big_daily_table))),NA(),XLOOKUP(D$3,daily_items,XLOOKUP($C936,daily_dates,big_daily_table)))</f>
        <v>#N/A</v>
      </c>
      <c r="E936" s="1" t="str">
        <f t="array" ref="E936">IF(ISBLANK(XLOOKUP(E$3,daily_items,XLOOKUP($C936,daily_dates,big_daily_table))),NA(),XLOOKUP(E$3,daily_items,XLOOKUP($C936,daily_dates,big_daily_table)))</f>
        <v>#N/A</v>
      </c>
    </row>
    <row r="937" ht="14.25" customHeight="1">
      <c r="B937" s="7">
        <v>41842.0</v>
      </c>
      <c r="C937" s="7">
        <f t="shared" si="1"/>
        <v>41840</v>
      </c>
      <c r="D937" s="1" t="str">
        <f t="array" ref="D937">IF(ISBLANK(XLOOKUP(D$3,daily_items,XLOOKUP($C937,daily_dates,big_daily_table))),NA(),XLOOKUP(D$3,daily_items,XLOOKUP($C937,daily_dates,big_daily_table)))</f>
        <v>#N/A</v>
      </c>
      <c r="E937" s="1" t="str">
        <f t="array" ref="E937">IF(ISBLANK(XLOOKUP(E$3,daily_items,XLOOKUP($C937,daily_dates,big_daily_table))),NA(),XLOOKUP(E$3,daily_items,XLOOKUP($C937,daily_dates,big_daily_table)))</f>
        <v>#N/A</v>
      </c>
    </row>
    <row r="938" ht="14.25" customHeight="1">
      <c r="B938" s="7">
        <v>41843.0</v>
      </c>
      <c r="C938" s="7">
        <f t="shared" si="1"/>
        <v>41840</v>
      </c>
      <c r="D938" s="1" t="str">
        <f t="array" ref="D938">IF(ISBLANK(XLOOKUP(D$3,daily_items,XLOOKUP($C938,daily_dates,big_daily_table))),NA(),XLOOKUP(D$3,daily_items,XLOOKUP($C938,daily_dates,big_daily_table)))</f>
        <v>#N/A</v>
      </c>
      <c r="E938" s="1" t="str">
        <f t="array" ref="E938">IF(ISBLANK(XLOOKUP(E$3,daily_items,XLOOKUP($C938,daily_dates,big_daily_table))),NA(),XLOOKUP(E$3,daily_items,XLOOKUP($C938,daily_dates,big_daily_table)))</f>
        <v>#N/A</v>
      </c>
    </row>
    <row r="939" ht="14.25" customHeight="1">
      <c r="B939" s="7">
        <v>41844.0</v>
      </c>
      <c r="C939" s="7">
        <f t="shared" si="1"/>
        <v>41840</v>
      </c>
      <c r="D939" s="1" t="str">
        <f t="array" ref="D939">IF(ISBLANK(XLOOKUP(D$3,daily_items,XLOOKUP($C939,daily_dates,big_daily_table))),NA(),XLOOKUP(D$3,daily_items,XLOOKUP($C939,daily_dates,big_daily_table)))</f>
        <v>#N/A</v>
      </c>
      <c r="E939" s="1" t="str">
        <f t="array" ref="E939">IF(ISBLANK(XLOOKUP(E$3,daily_items,XLOOKUP($C939,daily_dates,big_daily_table))),NA(),XLOOKUP(E$3,daily_items,XLOOKUP($C939,daily_dates,big_daily_table)))</f>
        <v>#N/A</v>
      </c>
    </row>
    <row r="940" ht="14.25" customHeight="1">
      <c r="B940" s="7">
        <v>41845.0</v>
      </c>
      <c r="C940" s="7">
        <f t="shared" si="1"/>
        <v>41840</v>
      </c>
      <c r="D940" s="1" t="str">
        <f t="array" ref="D940">IF(ISBLANK(XLOOKUP(D$3,daily_items,XLOOKUP($C940,daily_dates,big_daily_table))),NA(),XLOOKUP(D$3,daily_items,XLOOKUP($C940,daily_dates,big_daily_table)))</f>
        <v>#N/A</v>
      </c>
      <c r="E940" s="1" t="str">
        <f t="array" ref="E940">IF(ISBLANK(XLOOKUP(E$3,daily_items,XLOOKUP($C940,daily_dates,big_daily_table))),NA(),XLOOKUP(E$3,daily_items,XLOOKUP($C940,daily_dates,big_daily_table)))</f>
        <v>#N/A</v>
      </c>
    </row>
    <row r="941" ht="14.25" customHeight="1">
      <c r="B941" s="7">
        <v>41846.0</v>
      </c>
      <c r="C941" s="7">
        <f t="shared" si="1"/>
        <v>41840</v>
      </c>
      <c r="D941" s="1" t="str">
        <f t="array" ref="D941">IF(ISBLANK(XLOOKUP(D$3,daily_items,XLOOKUP($C941,daily_dates,big_daily_table))),NA(),XLOOKUP(D$3,daily_items,XLOOKUP($C941,daily_dates,big_daily_table)))</f>
        <v>#N/A</v>
      </c>
      <c r="E941" s="1" t="str">
        <f t="array" ref="E941">IF(ISBLANK(XLOOKUP(E$3,daily_items,XLOOKUP($C941,daily_dates,big_daily_table))),NA(),XLOOKUP(E$3,daily_items,XLOOKUP($C941,daily_dates,big_daily_table)))</f>
        <v>#N/A</v>
      </c>
    </row>
    <row r="942" ht="14.25" customHeight="1">
      <c r="B942" s="7">
        <v>41847.0</v>
      </c>
      <c r="C942" s="7">
        <f t="shared" si="1"/>
        <v>41847</v>
      </c>
      <c r="D942" s="1" t="str">
        <f t="array" ref="D942">IF(ISBLANK(XLOOKUP(D$3,daily_items,XLOOKUP($C942,daily_dates,big_daily_table))),NA(),XLOOKUP(D$3,daily_items,XLOOKUP($C942,daily_dates,big_daily_table)))</f>
        <v>#N/A</v>
      </c>
      <c r="E942" s="1" t="str">
        <f t="array" ref="E942">IF(ISBLANK(XLOOKUP(E$3,daily_items,XLOOKUP($C942,daily_dates,big_daily_table))),NA(),XLOOKUP(E$3,daily_items,XLOOKUP($C942,daily_dates,big_daily_table)))</f>
        <v>#N/A</v>
      </c>
    </row>
    <row r="943" ht="14.25" customHeight="1">
      <c r="B943" s="7">
        <v>41848.0</v>
      </c>
      <c r="C943" s="7">
        <f t="shared" si="1"/>
        <v>41847</v>
      </c>
      <c r="D943" s="1" t="str">
        <f t="array" ref="D943">IF(ISBLANK(XLOOKUP(D$3,daily_items,XLOOKUP($C943,daily_dates,big_daily_table))),NA(),XLOOKUP(D$3,daily_items,XLOOKUP($C943,daily_dates,big_daily_table)))</f>
        <v>#N/A</v>
      </c>
      <c r="E943" s="1" t="str">
        <f t="array" ref="E943">IF(ISBLANK(XLOOKUP(E$3,daily_items,XLOOKUP($C943,daily_dates,big_daily_table))),NA(),XLOOKUP(E$3,daily_items,XLOOKUP($C943,daily_dates,big_daily_table)))</f>
        <v>#N/A</v>
      </c>
    </row>
    <row r="944" ht="14.25" customHeight="1">
      <c r="B944" s="7">
        <v>41849.0</v>
      </c>
      <c r="C944" s="7">
        <f t="shared" si="1"/>
        <v>41847</v>
      </c>
      <c r="D944" s="1" t="str">
        <f t="array" ref="D944">IF(ISBLANK(XLOOKUP(D$3,daily_items,XLOOKUP($C944,daily_dates,big_daily_table))),NA(),XLOOKUP(D$3,daily_items,XLOOKUP($C944,daily_dates,big_daily_table)))</f>
        <v>#N/A</v>
      </c>
      <c r="E944" s="1" t="str">
        <f t="array" ref="E944">IF(ISBLANK(XLOOKUP(E$3,daily_items,XLOOKUP($C944,daily_dates,big_daily_table))),NA(),XLOOKUP(E$3,daily_items,XLOOKUP($C944,daily_dates,big_daily_table)))</f>
        <v>#N/A</v>
      </c>
    </row>
    <row r="945" ht="14.25" customHeight="1">
      <c r="B945" s="7">
        <v>41850.0</v>
      </c>
      <c r="C945" s="7">
        <f t="shared" si="1"/>
        <v>41847</v>
      </c>
      <c r="D945" s="1" t="str">
        <f t="array" ref="D945">IF(ISBLANK(XLOOKUP(D$3,daily_items,XLOOKUP($C945,daily_dates,big_daily_table))),NA(),XLOOKUP(D$3,daily_items,XLOOKUP($C945,daily_dates,big_daily_table)))</f>
        <v>#N/A</v>
      </c>
      <c r="E945" s="1" t="str">
        <f t="array" ref="E945">IF(ISBLANK(XLOOKUP(E$3,daily_items,XLOOKUP($C945,daily_dates,big_daily_table))),NA(),XLOOKUP(E$3,daily_items,XLOOKUP($C945,daily_dates,big_daily_table)))</f>
        <v>#N/A</v>
      </c>
    </row>
    <row r="946" ht="14.25" customHeight="1">
      <c r="B946" s="7">
        <v>41851.0</v>
      </c>
      <c r="C946" s="7">
        <f t="shared" si="1"/>
        <v>41847</v>
      </c>
      <c r="D946" s="1" t="str">
        <f t="array" ref="D946">IF(ISBLANK(XLOOKUP(D$3,daily_items,XLOOKUP($C946,daily_dates,big_daily_table))),NA(),XLOOKUP(D$3,daily_items,XLOOKUP($C946,daily_dates,big_daily_table)))</f>
        <v>#N/A</v>
      </c>
      <c r="E946" s="1" t="str">
        <f t="array" ref="E946">IF(ISBLANK(XLOOKUP(E$3,daily_items,XLOOKUP($C946,daily_dates,big_daily_table))),NA(),XLOOKUP(E$3,daily_items,XLOOKUP($C946,daily_dates,big_daily_table)))</f>
        <v>#N/A</v>
      </c>
    </row>
    <row r="947" ht="14.25" customHeight="1">
      <c r="B947" s="7">
        <v>41852.0</v>
      </c>
      <c r="C947" s="7">
        <f t="shared" si="1"/>
        <v>41847</v>
      </c>
      <c r="D947" s="1" t="str">
        <f t="array" ref="D947">IF(ISBLANK(XLOOKUP(D$3,daily_items,XLOOKUP($C947,daily_dates,big_daily_table))),NA(),XLOOKUP(D$3,daily_items,XLOOKUP($C947,daily_dates,big_daily_table)))</f>
        <v>#N/A</v>
      </c>
      <c r="E947" s="1" t="str">
        <f t="array" ref="E947">IF(ISBLANK(XLOOKUP(E$3,daily_items,XLOOKUP($C947,daily_dates,big_daily_table))),NA(),XLOOKUP(E$3,daily_items,XLOOKUP($C947,daily_dates,big_daily_table)))</f>
        <v>#N/A</v>
      </c>
    </row>
    <row r="948" ht="14.25" customHeight="1">
      <c r="B948" s="7">
        <v>41853.0</v>
      </c>
      <c r="C948" s="7">
        <f t="shared" si="1"/>
        <v>41847</v>
      </c>
      <c r="D948" s="1" t="str">
        <f t="array" ref="D948">IF(ISBLANK(XLOOKUP(D$3,daily_items,XLOOKUP($C948,daily_dates,big_daily_table))),NA(),XLOOKUP(D$3,daily_items,XLOOKUP($C948,daily_dates,big_daily_table)))</f>
        <v>#N/A</v>
      </c>
      <c r="E948" s="1" t="str">
        <f t="array" ref="E948">IF(ISBLANK(XLOOKUP(E$3,daily_items,XLOOKUP($C948,daily_dates,big_daily_table))),NA(),XLOOKUP(E$3,daily_items,XLOOKUP($C948,daily_dates,big_daily_table)))</f>
        <v>#N/A</v>
      </c>
    </row>
    <row r="949" ht="14.25" customHeight="1">
      <c r="B949" s="7">
        <v>41854.0</v>
      </c>
      <c r="C949" s="7">
        <f t="shared" si="1"/>
        <v>41854</v>
      </c>
      <c r="D949" s="1" t="str">
        <f t="array" ref="D949">IF(ISBLANK(XLOOKUP(D$3,daily_items,XLOOKUP($C949,daily_dates,big_daily_table))),NA(),XLOOKUP(D$3,daily_items,XLOOKUP($C949,daily_dates,big_daily_table)))</f>
        <v>#N/A</v>
      </c>
      <c r="E949" s="1" t="str">
        <f t="array" ref="E949">IF(ISBLANK(XLOOKUP(E$3,daily_items,XLOOKUP($C949,daily_dates,big_daily_table))),NA(),XLOOKUP(E$3,daily_items,XLOOKUP($C949,daily_dates,big_daily_table)))</f>
        <v>#N/A</v>
      </c>
    </row>
    <row r="950" ht="14.25" customHeight="1">
      <c r="B950" s="7">
        <v>41855.0</v>
      </c>
      <c r="C950" s="7">
        <f t="shared" si="1"/>
        <v>41854</v>
      </c>
      <c r="D950" s="1" t="str">
        <f t="array" ref="D950">IF(ISBLANK(XLOOKUP(D$3,daily_items,XLOOKUP($C950,daily_dates,big_daily_table))),NA(),XLOOKUP(D$3,daily_items,XLOOKUP($C950,daily_dates,big_daily_table)))</f>
        <v>#N/A</v>
      </c>
      <c r="E950" s="1" t="str">
        <f t="array" ref="E950">IF(ISBLANK(XLOOKUP(E$3,daily_items,XLOOKUP($C950,daily_dates,big_daily_table))),NA(),XLOOKUP(E$3,daily_items,XLOOKUP($C950,daily_dates,big_daily_table)))</f>
        <v>#N/A</v>
      </c>
    </row>
    <row r="951" ht="14.25" customHeight="1">
      <c r="B951" s="7">
        <v>41856.0</v>
      </c>
      <c r="C951" s="7">
        <f t="shared" si="1"/>
        <v>41854</v>
      </c>
      <c r="D951" s="1" t="str">
        <f t="array" ref="D951">IF(ISBLANK(XLOOKUP(D$3,daily_items,XLOOKUP($C951,daily_dates,big_daily_table))),NA(),XLOOKUP(D$3,daily_items,XLOOKUP($C951,daily_dates,big_daily_table)))</f>
        <v>#N/A</v>
      </c>
      <c r="E951" s="1" t="str">
        <f t="array" ref="E951">IF(ISBLANK(XLOOKUP(E$3,daily_items,XLOOKUP($C951,daily_dates,big_daily_table))),NA(),XLOOKUP(E$3,daily_items,XLOOKUP($C951,daily_dates,big_daily_table)))</f>
        <v>#N/A</v>
      </c>
    </row>
    <row r="952" ht="14.25" customHeight="1">
      <c r="B952" s="7">
        <v>41857.0</v>
      </c>
      <c r="C952" s="7">
        <f t="shared" si="1"/>
        <v>41854</v>
      </c>
      <c r="D952" s="1" t="str">
        <f t="array" ref="D952">IF(ISBLANK(XLOOKUP(D$3,daily_items,XLOOKUP($C952,daily_dates,big_daily_table))),NA(),XLOOKUP(D$3,daily_items,XLOOKUP($C952,daily_dates,big_daily_table)))</f>
        <v>#N/A</v>
      </c>
      <c r="E952" s="1" t="str">
        <f t="array" ref="E952">IF(ISBLANK(XLOOKUP(E$3,daily_items,XLOOKUP($C952,daily_dates,big_daily_table))),NA(),XLOOKUP(E$3,daily_items,XLOOKUP($C952,daily_dates,big_daily_table)))</f>
        <v>#N/A</v>
      </c>
    </row>
    <row r="953" ht="14.25" customHeight="1">
      <c r="B953" s="7">
        <v>41858.0</v>
      </c>
      <c r="C953" s="7">
        <f t="shared" si="1"/>
        <v>41854</v>
      </c>
      <c r="D953" s="1" t="str">
        <f t="array" ref="D953">IF(ISBLANK(XLOOKUP(D$3,daily_items,XLOOKUP($C953,daily_dates,big_daily_table))),NA(),XLOOKUP(D$3,daily_items,XLOOKUP($C953,daily_dates,big_daily_table)))</f>
        <v>#N/A</v>
      </c>
      <c r="E953" s="1" t="str">
        <f t="array" ref="E953">IF(ISBLANK(XLOOKUP(E$3,daily_items,XLOOKUP($C953,daily_dates,big_daily_table))),NA(),XLOOKUP(E$3,daily_items,XLOOKUP($C953,daily_dates,big_daily_table)))</f>
        <v>#N/A</v>
      </c>
    </row>
    <row r="954" ht="14.25" customHeight="1">
      <c r="B954" s="7">
        <v>41859.0</v>
      </c>
      <c r="C954" s="7">
        <f t="shared" si="1"/>
        <v>41854</v>
      </c>
      <c r="D954" s="1" t="str">
        <f t="array" ref="D954">IF(ISBLANK(XLOOKUP(D$3,daily_items,XLOOKUP($C954,daily_dates,big_daily_table))),NA(),XLOOKUP(D$3,daily_items,XLOOKUP($C954,daily_dates,big_daily_table)))</f>
        <v>#N/A</v>
      </c>
      <c r="E954" s="1" t="str">
        <f t="array" ref="E954">IF(ISBLANK(XLOOKUP(E$3,daily_items,XLOOKUP($C954,daily_dates,big_daily_table))),NA(),XLOOKUP(E$3,daily_items,XLOOKUP($C954,daily_dates,big_daily_table)))</f>
        <v>#N/A</v>
      </c>
    </row>
    <row r="955" ht="14.25" customHeight="1">
      <c r="B955" s="7">
        <v>41860.0</v>
      </c>
      <c r="C955" s="7">
        <f t="shared" si="1"/>
        <v>41854</v>
      </c>
      <c r="D955" s="1" t="str">
        <f t="array" ref="D955">IF(ISBLANK(XLOOKUP(D$3,daily_items,XLOOKUP($C955,daily_dates,big_daily_table))),NA(),XLOOKUP(D$3,daily_items,XLOOKUP($C955,daily_dates,big_daily_table)))</f>
        <v>#N/A</v>
      </c>
      <c r="E955" s="1" t="str">
        <f t="array" ref="E955">IF(ISBLANK(XLOOKUP(E$3,daily_items,XLOOKUP($C955,daily_dates,big_daily_table))),NA(),XLOOKUP(E$3,daily_items,XLOOKUP($C955,daily_dates,big_daily_table)))</f>
        <v>#N/A</v>
      </c>
    </row>
    <row r="956" ht="14.25" customHeight="1">
      <c r="B956" s="7">
        <v>41861.0</v>
      </c>
      <c r="C956" s="7">
        <f t="shared" si="1"/>
        <v>41861</v>
      </c>
      <c r="D956" s="1" t="str">
        <f t="array" ref="D956">IF(ISBLANK(XLOOKUP(D$3,daily_items,XLOOKUP($C956,daily_dates,big_daily_table))),NA(),XLOOKUP(D$3,daily_items,XLOOKUP($C956,daily_dates,big_daily_table)))</f>
        <v>#N/A</v>
      </c>
      <c r="E956" s="1" t="str">
        <f t="array" ref="E956">IF(ISBLANK(XLOOKUP(E$3,daily_items,XLOOKUP($C956,daily_dates,big_daily_table))),NA(),XLOOKUP(E$3,daily_items,XLOOKUP($C956,daily_dates,big_daily_table)))</f>
        <v>#N/A</v>
      </c>
    </row>
    <row r="957" ht="14.25" customHeight="1">
      <c r="B957" s="7">
        <v>41862.0</v>
      </c>
      <c r="C957" s="7">
        <f t="shared" si="1"/>
        <v>41861</v>
      </c>
      <c r="D957" s="1" t="str">
        <f t="array" ref="D957">IF(ISBLANK(XLOOKUP(D$3,daily_items,XLOOKUP($C957,daily_dates,big_daily_table))),NA(),XLOOKUP(D$3,daily_items,XLOOKUP($C957,daily_dates,big_daily_table)))</f>
        <v>#N/A</v>
      </c>
      <c r="E957" s="1" t="str">
        <f t="array" ref="E957">IF(ISBLANK(XLOOKUP(E$3,daily_items,XLOOKUP($C957,daily_dates,big_daily_table))),NA(),XLOOKUP(E$3,daily_items,XLOOKUP($C957,daily_dates,big_daily_table)))</f>
        <v>#N/A</v>
      </c>
    </row>
    <row r="958" ht="14.25" customHeight="1">
      <c r="B958" s="7">
        <v>41863.0</v>
      </c>
      <c r="C958" s="7">
        <f t="shared" si="1"/>
        <v>41861</v>
      </c>
      <c r="D958" s="1" t="str">
        <f t="array" ref="D958">IF(ISBLANK(XLOOKUP(D$3,daily_items,XLOOKUP($C958,daily_dates,big_daily_table))),NA(),XLOOKUP(D$3,daily_items,XLOOKUP($C958,daily_dates,big_daily_table)))</f>
        <v>#N/A</v>
      </c>
      <c r="E958" s="1" t="str">
        <f t="array" ref="E958">IF(ISBLANK(XLOOKUP(E$3,daily_items,XLOOKUP($C958,daily_dates,big_daily_table))),NA(),XLOOKUP(E$3,daily_items,XLOOKUP($C958,daily_dates,big_daily_table)))</f>
        <v>#N/A</v>
      </c>
    </row>
    <row r="959" ht="14.25" customHeight="1">
      <c r="B959" s="7">
        <v>41864.0</v>
      </c>
      <c r="C959" s="7">
        <f t="shared" si="1"/>
        <v>41861</v>
      </c>
      <c r="D959" s="1" t="str">
        <f t="array" ref="D959">IF(ISBLANK(XLOOKUP(D$3,daily_items,XLOOKUP($C959,daily_dates,big_daily_table))),NA(),XLOOKUP(D$3,daily_items,XLOOKUP($C959,daily_dates,big_daily_table)))</f>
        <v>#N/A</v>
      </c>
      <c r="E959" s="1" t="str">
        <f t="array" ref="E959">IF(ISBLANK(XLOOKUP(E$3,daily_items,XLOOKUP($C959,daily_dates,big_daily_table))),NA(),XLOOKUP(E$3,daily_items,XLOOKUP($C959,daily_dates,big_daily_table)))</f>
        <v>#N/A</v>
      </c>
    </row>
    <row r="960" ht="14.25" customHeight="1">
      <c r="B960" s="7">
        <v>41865.0</v>
      </c>
      <c r="C960" s="7">
        <f t="shared" si="1"/>
        <v>41861</v>
      </c>
      <c r="D960" s="1" t="str">
        <f t="array" ref="D960">IF(ISBLANK(XLOOKUP(D$3,daily_items,XLOOKUP($C960,daily_dates,big_daily_table))),NA(),XLOOKUP(D$3,daily_items,XLOOKUP($C960,daily_dates,big_daily_table)))</f>
        <v>#N/A</v>
      </c>
      <c r="E960" s="1" t="str">
        <f t="array" ref="E960">IF(ISBLANK(XLOOKUP(E$3,daily_items,XLOOKUP($C960,daily_dates,big_daily_table))),NA(),XLOOKUP(E$3,daily_items,XLOOKUP($C960,daily_dates,big_daily_table)))</f>
        <v>#N/A</v>
      </c>
    </row>
    <row r="961" ht="14.25" customHeight="1">
      <c r="B961" s="7">
        <v>41866.0</v>
      </c>
      <c r="C961" s="7">
        <f t="shared" si="1"/>
        <v>41861</v>
      </c>
      <c r="D961" s="1" t="str">
        <f t="array" ref="D961">IF(ISBLANK(XLOOKUP(D$3,daily_items,XLOOKUP($C961,daily_dates,big_daily_table))),NA(),XLOOKUP(D$3,daily_items,XLOOKUP($C961,daily_dates,big_daily_table)))</f>
        <v>#N/A</v>
      </c>
      <c r="E961" s="1" t="str">
        <f t="array" ref="E961">IF(ISBLANK(XLOOKUP(E$3,daily_items,XLOOKUP($C961,daily_dates,big_daily_table))),NA(),XLOOKUP(E$3,daily_items,XLOOKUP($C961,daily_dates,big_daily_table)))</f>
        <v>#N/A</v>
      </c>
    </row>
    <row r="962" ht="14.25" customHeight="1">
      <c r="B962" s="7">
        <v>41867.0</v>
      </c>
      <c r="C962" s="7">
        <f t="shared" si="1"/>
        <v>41861</v>
      </c>
      <c r="D962" s="1" t="str">
        <f t="array" ref="D962">IF(ISBLANK(XLOOKUP(D$3,daily_items,XLOOKUP($C962,daily_dates,big_daily_table))),NA(),XLOOKUP(D$3,daily_items,XLOOKUP($C962,daily_dates,big_daily_table)))</f>
        <v>#N/A</v>
      </c>
      <c r="E962" s="1" t="str">
        <f t="array" ref="E962">IF(ISBLANK(XLOOKUP(E$3,daily_items,XLOOKUP($C962,daily_dates,big_daily_table))),NA(),XLOOKUP(E$3,daily_items,XLOOKUP($C962,daily_dates,big_daily_table)))</f>
        <v>#N/A</v>
      </c>
    </row>
    <row r="963" ht="14.25" customHeight="1">
      <c r="B963" s="7">
        <v>41868.0</v>
      </c>
      <c r="C963" s="7">
        <f t="shared" si="1"/>
        <v>41868</v>
      </c>
      <c r="D963" s="1" t="str">
        <f t="array" ref="D963">IF(ISBLANK(XLOOKUP(D$3,daily_items,XLOOKUP($C963,daily_dates,big_daily_table))),NA(),XLOOKUP(D$3,daily_items,XLOOKUP($C963,daily_dates,big_daily_table)))</f>
        <v>#N/A</v>
      </c>
      <c r="E963" s="1" t="str">
        <f t="array" ref="E963">IF(ISBLANK(XLOOKUP(E$3,daily_items,XLOOKUP($C963,daily_dates,big_daily_table))),NA(),XLOOKUP(E$3,daily_items,XLOOKUP($C963,daily_dates,big_daily_table)))</f>
        <v>#N/A</v>
      </c>
    </row>
    <row r="964" ht="14.25" customHeight="1">
      <c r="B964" s="7">
        <v>41869.0</v>
      </c>
      <c r="C964" s="7">
        <f t="shared" si="1"/>
        <v>41868</v>
      </c>
      <c r="D964" s="1" t="str">
        <f t="array" ref="D964">IF(ISBLANK(XLOOKUP(D$3,daily_items,XLOOKUP($C964,daily_dates,big_daily_table))),NA(),XLOOKUP(D$3,daily_items,XLOOKUP($C964,daily_dates,big_daily_table)))</f>
        <v>#N/A</v>
      </c>
      <c r="E964" s="1" t="str">
        <f t="array" ref="E964">IF(ISBLANK(XLOOKUP(E$3,daily_items,XLOOKUP($C964,daily_dates,big_daily_table))),NA(),XLOOKUP(E$3,daily_items,XLOOKUP($C964,daily_dates,big_daily_table)))</f>
        <v>#N/A</v>
      </c>
    </row>
    <row r="965" ht="14.25" customHeight="1">
      <c r="B965" s="7">
        <v>41870.0</v>
      </c>
      <c r="C965" s="7">
        <f t="shared" si="1"/>
        <v>41868</v>
      </c>
      <c r="D965" s="1" t="str">
        <f t="array" ref="D965">IF(ISBLANK(XLOOKUP(D$3,daily_items,XLOOKUP($C965,daily_dates,big_daily_table))),NA(),XLOOKUP(D$3,daily_items,XLOOKUP($C965,daily_dates,big_daily_table)))</f>
        <v>#N/A</v>
      </c>
      <c r="E965" s="1" t="str">
        <f t="array" ref="E965">IF(ISBLANK(XLOOKUP(E$3,daily_items,XLOOKUP($C965,daily_dates,big_daily_table))),NA(),XLOOKUP(E$3,daily_items,XLOOKUP($C965,daily_dates,big_daily_table)))</f>
        <v>#N/A</v>
      </c>
    </row>
    <row r="966" ht="14.25" customHeight="1">
      <c r="B966" s="7">
        <v>41871.0</v>
      </c>
      <c r="C966" s="7">
        <f t="shared" si="1"/>
        <v>41868</v>
      </c>
      <c r="D966" s="1" t="str">
        <f t="array" ref="D966">IF(ISBLANK(XLOOKUP(D$3,daily_items,XLOOKUP($C966,daily_dates,big_daily_table))),NA(),XLOOKUP(D$3,daily_items,XLOOKUP($C966,daily_dates,big_daily_table)))</f>
        <v>#N/A</v>
      </c>
      <c r="E966" s="1" t="str">
        <f t="array" ref="E966">IF(ISBLANK(XLOOKUP(E$3,daily_items,XLOOKUP($C966,daily_dates,big_daily_table))),NA(),XLOOKUP(E$3,daily_items,XLOOKUP($C966,daily_dates,big_daily_table)))</f>
        <v>#N/A</v>
      </c>
    </row>
    <row r="967" ht="14.25" customHeight="1">
      <c r="B967" s="7">
        <v>41872.0</v>
      </c>
      <c r="C967" s="7">
        <f t="shared" si="1"/>
        <v>41868</v>
      </c>
      <c r="D967" s="1" t="str">
        <f t="array" ref="D967">IF(ISBLANK(XLOOKUP(D$3,daily_items,XLOOKUP($C967,daily_dates,big_daily_table))),NA(),XLOOKUP(D$3,daily_items,XLOOKUP($C967,daily_dates,big_daily_table)))</f>
        <v>#N/A</v>
      </c>
      <c r="E967" s="1" t="str">
        <f t="array" ref="E967">IF(ISBLANK(XLOOKUP(E$3,daily_items,XLOOKUP($C967,daily_dates,big_daily_table))),NA(),XLOOKUP(E$3,daily_items,XLOOKUP($C967,daily_dates,big_daily_table)))</f>
        <v>#N/A</v>
      </c>
    </row>
    <row r="968" ht="14.25" customHeight="1">
      <c r="B968" s="7">
        <v>41873.0</v>
      </c>
      <c r="C968" s="7">
        <f t="shared" si="1"/>
        <v>41868</v>
      </c>
      <c r="D968" s="1" t="str">
        <f t="array" ref="D968">IF(ISBLANK(XLOOKUP(D$3,daily_items,XLOOKUP($C968,daily_dates,big_daily_table))),NA(),XLOOKUP(D$3,daily_items,XLOOKUP($C968,daily_dates,big_daily_table)))</f>
        <v>#N/A</v>
      </c>
      <c r="E968" s="1" t="str">
        <f t="array" ref="E968">IF(ISBLANK(XLOOKUP(E$3,daily_items,XLOOKUP($C968,daily_dates,big_daily_table))),NA(),XLOOKUP(E$3,daily_items,XLOOKUP($C968,daily_dates,big_daily_table)))</f>
        <v>#N/A</v>
      </c>
    </row>
    <row r="969" ht="14.25" customHeight="1">
      <c r="B969" s="7">
        <v>41874.0</v>
      </c>
      <c r="C969" s="7">
        <f t="shared" si="1"/>
        <v>41868</v>
      </c>
      <c r="D969" s="1" t="str">
        <f t="array" ref="D969">IF(ISBLANK(XLOOKUP(D$3,daily_items,XLOOKUP($C969,daily_dates,big_daily_table))),NA(),XLOOKUP(D$3,daily_items,XLOOKUP($C969,daily_dates,big_daily_table)))</f>
        <v>#N/A</v>
      </c>
      <c r="E969" s="1" t="str">
        <f t="array" ref="E969">IF(ISBLANK(XLOOKUP(E$3,daily_items,XLOOKUP($C969,daily_dates,big_daily_table))),NA(),XLOOKUP(E$3,daily_items,XLOOKUP($C969,daily_dates,big_daily_table)))</f>
        <v>#N/A</v>
      </c>
    </row>
    <row r="970" ht="14.25" customHeight="1">
      <c r="B970" s="7">
        <v>41875.0</v>
      </c>
      <c r="C970" s="7">
        <f t="shared" si="1"/>
        <v>41875</v>
      </c>
      <c r="D970" s="1" t="str">
        <f t="array" ref="D970">IF(ISBLANK(XLOOKUP(D$3,daily_items,XLOOKUP($C970,daily_dates,big_daily_table))),NA(),XLOOKUP(D$3,daily_items,XLOOKUP($C970,daily_dates,big_daily_table)))</f>
        <v>#N/A</v>
      </c>
      <c r="E970" s="1" t="str">
        <f t="array" ref="E970">IF(ISBLANK(XLOOKUP(E$3,daily_items,XLOOKUP($C970,daily_dates,big_daily_table))),NA(),XLOOKUP(E$3,daily_items,XLOOKUP($C970,daily_dates,big_daily_table)))</f>
        <v>#N/A</v>
      </c>
    </row>
    <row r="971" ht="14.25" customHeight="1">
      <c r="B971" s="7">
        <v>41876.0</v>
      </c>
      <c r="C971" s="7">
        <f t="shared" si="1"/>
        <v>41875</v>
      </c>
      <c r="D971" s="1" t="str">
        <f t="array" ref="D971">IF(ISBLANK(XLOOKUP(D$3,daily_items,XLOOKUP($C971,daily_dates,big_daily_table))),NA(),XLOOKUP(D$3,daily_items,XLOOKUP($C971,daily_dates,big_daily_table)))</f>
        <v>#N/A</v>
      </c>
      <c r="E971" s="1" t="str">
        <f t="array" ref="E971">IF(ISBLANK(XLOOKUP(E$3,daily_items,XLOOKUP($C971,daily_dates,big_daily_table))),NA(),XLOOKUP(E$3,daily_items,XLOOKUP($C971,daily_dates,big_daily_table)))</f>
        <v>#N/A</v>
      </c>
    </row>
    <row r="972" ht="14.25" customHeight="1">
      <c r="B972" s="7">
        <v>41877.0</v>
      </c>
      <c r="C972" s="7">
        <f t="shared" si="1"/>
        <v>41875</v>
      </c>
      <c r="D972" s="1" t="str">
        <f t="array" ref="D972">IF(ISBLANK(XLOOKUP(D$3,daily_items,XLOOKUP($C972,daily_dates,big_daily_table))),NA(),XLOOKUP(D$3,daily_items,XLOOKUP($C972,daily_dates,big_daily_table)))</f>
        <v>#N/A</v>
      </c>
      <c r="E972" s="1" t="str">
        <f t="array" ref="E972">IF(ISBLANK(XLOOKUP(E$3,daily_items,XLOOKUP($C972,daily_dates,big_daily_table))),NA(),XLOOKUP(E$3,daily_items,XLOOKUP($C972,daily_dates,big_daily_table)))</f>
        <v>#N/A</v>
      </c>
    </row>
    <row r="973" ht="14.25" customHeight="1">
      <c r="B973" s="7">
        <v>41878.0</v>
      </c>
      <c r="C973" s="7">
        <f t="shared" si="1"/>
        <v>41875</v>
      </c>
      <c r="D973" s="1" t="str">
        <f t="array" ref="D973">IF(ISBLANK(XLOOKUP(D$3,daily_items,XLOOKUP($C973,daily_dates,big_daily_table))),NA(),XLOOKUP(D$3,daily_items,XLOOKUP($C973,daily_dates,big_daily_table)))</f>
        <v>#N/A</v>
      </c>
      <c r="E973" s="1" t="str">
        <f t="array" ref="E973">IF(ISBLANK(XLOOKUP(E$3,daily_items,XLOOKUP($C973,daily_dates,big_daily_table))),NA(),XLOOKUP(E$3,daily_items,XLOOKUP($C973,daily_dates,big_daily_table)))</f>
        <v>#N/A</v>
      </c>
    </row>
    <row r="974" ht="14.25" customHeight="1">
      <c r="B974" s="7">
        <v>41879.0</v>
      </c>
      <c r="C974" s="7">
        <f t="shared" si="1"/>
        <v>41875</v>
      </c>
      <c r="D974" s="1" t="str">
        <f t="array" ref="D974">IF(ISBLANK(XLOOKUP(D$3,daily_items,XLOOKUP($C974,daily_dates,big_daily_table))),NA(),XLOOKUP(D$3,daily_items,XLOOKUP($C974,daily_dates,big_daily_table)))</f>
        <v>#N/A</v>
      </c>
      <c r="E974" s="1" t="str">
        <f t="array" ref="E974">IF(ISBLANK(XLOOKUP(E$3,daily_items,XLOOKUP($C974,daily_dates,big_daily_table))),NA(),XLOOKUP(E$3,daily_items,XLOOKUP($C974,daily_dates,big_daily_table)))</f>
        <v>#N/A</v>
      </c>
    </row>
    <row r="975" ht="14.25" customHeight="1">
      <c r="B975" s="7">
        <v>41880.0</v>
      </c>
      <c r="C975" s="7">
        <f t="shared" si="1"/>
        <v>41875</v>
      </c>
      <c r="D975" s="1" t="str">
        <f t="array" ref="D975">IF(ISBLANK(XLOOKUP(D$3,daily_items,XLOOKUP($C975,daily_dates,big_daily_table))),NA(),XLOOKUP(D$3,daily_items,XLOOKUP($C975,daily_dates,big_daily_table)))</f>
        <v>#N/A</v>
      </c>
      <c r="E975" s="1" t="str">
        <f t="array" ref="E975">IF(ISBLANK(XLOOKUP(E$3,daily_items,XLOOKUP($C975,daily_dates,big_daily_table))),NA(),XLOOKUP(E$3,daily_items,XLOOKUP($C975,daily_dates,big_daily_table)))</f>
        <v>#N/A</v>
      </c>
    </row>
    <row r="976" ht="14.25" customHeight="1">
      <c r="B976" s="7">
        <v>41881.0</v>
      </c>
      <c r="C976" s="7">
        <f t="shared" si="1"/>
        <v>41875</v>
      </c>
      <c r="D976" s="1" t="str">
        <f t="array" ref="D976">IF(ISBLANK(XLOOKUP(D$3,daily_items,XLOOKUP($C976,daily_dates,big_daily_table))),NA(),XLOOKUP(D$3,daily_items,XLOOKUP($C976,daily_dates,big_daily_table)))</f>
        <v>#N/A</v>
      </c>
      <c r="E976" s="1" t="str">
        <f t="array" ref="E976">IF(ISBLANK(XLOOKUP(E$3,daily_items,XLOOKUP($C976,daily_dates,big_daily_table))),NA(),XLOOKUP(E$3,daily_items,XLOOKUP($C976,daily_dates,big_daily_table)))</f>
        <v>#N/A</v>
      </c>
    </row>
    <row r="977" ht="14.25" customHeight="1">
      <c r="B977" s="7">
        <v>41882.0</v>
      </c>
      <c r="C977" s="7">
        <f t="shared" si="1"/>
        <v>41882</v>
      </c>
      <c r="D977" s="1" t="str">
        <f t="array" ref="D977">IF(ISBLANK(XLOOKUP(D$3,daily_items,XLOOKUP($C977,daily_dates,big_daily_table))),NA(),XLOOKUP(D$3,daily_items,XLOOKUP($C977,daily_dates,big_daily_table)))</f>
        <v>#N/A</v>
      </c>
      <c r="E977" s="1" t="str">
        <f t="array" ref="E977">IF(ISBLANK(XLOOKUP(E$3,daily_items,XLOOKUP($C977,daily_dates,big_daily_table))),NA(),XLOOKUP(E$3,daily_items,XLOOKUP($C977,daily_dates,big_daily_table)))</f>
        <v>#N/A</v>
      </c>
    </row>
    <row r="978" ht="14.25" customHeight="1">
      <c r="B978" s="7">
        <v>41883.0</v>
      </c>
      <c r="C978" s="7">
        <f t="shared" si="1"/>
        <v>41882</v>
      </c>
      <c r="D978" s="1" t="str">
        <f t="array" ref="D978">IF(ISBLANK(XLOOKUP(D$3,daily_items,XLOOKUP($C978,daily_dates,big_daily_table))),NA(),XLOOKUP(D$3,daily_items,XLOOKUP($C978,daily_dates,big_daily_table)))</f>
        <v>#N/A</v>
      </c>
      <c r="E978" s="1" t="str">
        <f t="array" ref="E978">IF(ISBLANK(XLOOKUP(E$3,daily_items,XLOOKUP($C978,daily_dates,big_daily_table))),NA(),XLOOKUP(E$3,daily_items,XLOOKUP($C978,daily_dates,big_daily_table)))</f>
        <v>#N/A</v>
      </c>
    </row>
    <row r="979" ht="14.25" customHeight="1">
      <c r="B979" s="7">
        <v>41884.0</v>
      </c>
      <c r="C979" s="7">
        <f t="shared" si="1"/>
        <v>41882</v>
      </c>
      <c r="D979" s="1" t="str">
        <f t="array" ref="D979">IF(ISBLANK(XLOOKUP(D$3,daily_items,XLOOKUP($C979,daily_dates,big_daily_table))),NA(),XLOOKUP(D$3,daily_items,XLOOKUP($C979,daily_dates,big_daily_table)))</f>
        <v>#N/A</v>
      </c>
      <c r="E979" s="1" t="str">
        <f t="array" ref="E979">IF(ISBLANK(XLOOKUP(E$3,daily_items,XLOOKUP($C979,daily_dates,big_daily_table))),NA(),XLOOKUP(E$3,daily_items,XLOOKUP($C979,daily_dates,big_daily_table)))</f>
        <v>#N/A</v>
      </c>
    </row>
    <row r="980" ht="14.25" customHeight="1">
      <c r="B980" s="7">
        <v>41885.0</v>
      </c>
      <c r="C980" s="7">
        <f t="shared" si="1"/>
        <v>41882</v>
      </c>
      <c r="D980" s="1" t="str">
        <f t="array" ref="D980">IF(ISBLANK(XLOOKUP(D$3,daily_items,XLOOKUP($C980,daily_dates,big_daily_table))),NA(),XLOOKUP(D$3,daily_items,XLOOKUP($C980,daily_dates,big_daily_table)))</f>
        <v>#N/A</v>
      </c>
      <c r="E980" s="1" t="str">
        <f t="array" ref="E980">IF(ISBLANK(XLOOKUP(E$3,daily_items,XLOOKUP($C980,daily_dates,big_daily_table))),NA(),XLOOKUP(E$3,daily_items,XLOOKUP($C980,daily_dates,big_daily_table)))</f>
        <v>#N/A</v>
      </c>
    </row>
    <row r="981" ht="14.25" customHeight="1">
      <c r="B981" s="7">
        <v>41886.0</v>
      </c>
      <c r="C981" s="7">
        <f t="shared" si="1"/>
        <v>41882</v>
      </c>
      <c r="D981" s="1" t="str">
        <f t="array" ref="D981">IF(ISBLANK(XLOOKUP(D$3,daily_items,XLOOKUP($C981,daily_dates,big_daily_table))),NA(),XLOOKUP(D$3,daily_items,XLOOKUP($C981,daily_dates,big_daily_table)))</f>
        <v>#N/A</v>
      </c>
      <c r="E981" s="1" t="str">
        <f t="array" ref="E981">IF(ISBLANK(XLOOKUP(E$3,daily_items,XLOOKUP($C981,daily_dates,big_daily_table))),NA(),XLOOKUP(E$3,daily_items,XLOOKUP($C981,daily_dates,big_daily_table)))</f>
        <v>#N/A</v>
      </c>
    </row>
    <row r="982" ht="14.25" customHeight="1">
      <c r="B982" s="7">
        <v>41887.0</v>
      </c>
      <c r="C982" s="7">
        <f t="shared" si="1"/>
        <v>41882</v>
      </c>
      <c r="D982" s="1" t="str">
        <f t="array" ref="D982">IF(ISBLANK(XLOOKUP(D$3,daily_items,XLOOKUP($C982,daily_dates,big_daily_table))),NA(),XLOOKUP(D$3,daily_items,XLOOKUP($C982,daily_dates,big_daily_table)))</f>
        <v>#N/A</v>
      </c>
      <c r="E982" s="1" t="str">
        <f t="array" ref="E982">IF(ISBLANK(XLOOKUP(E$3,daily_items,XLOOKUP($C982,daily_dates,big_daily_table))),NA(),XLOOKUP(E$3,daily_items,XLOOKUP($C982,daily_dates,big_daily_table)))</f>
        <v>#N/A</v>
      </c>
    </row>
    <row r="983" ht="14.25" customHeight="1">
      <c r="B983" s="7">
        <v>41888.0</v>
      </c>
      <c r="C983" s="7">
        <f t="shared" si="1"/>
        <v>41882</v>
      </c>
      <c r="D983" s="1" t="str">
        <f t="array" ref="D983">IF(ISBLANK(XLOOKUP(D$3,daily_items,XLOOKUP($C983,daily_dates,big_daily_table))),NA(),XLOOKUP(D$3,daily_items,XLOOKUP($C983,daily_dates,big_daily_table)))</f>
        <v>#N/A</v>
      </c>
      <c r="E983" s="1" t="str">
        <f t="array" ref="E983">IF(ISBLANK(XLOOKUP(E$3,daily_items,XLOOKUP($C983,daily_dates,big_daily_table))),NA(),XLOOKUP(E$3,daily_items,XLOOKUP($C983,daily_dates,big_daily_table)))</f>
        <v>#N/A</v>
      </c>
    </row>
    <row r="984" ht="14.25" customHeight="1">
      <c r="B984" s="7">
        <v>41889.0</v>
      </c>
      <c r="C984" s="7">
        <f t="shared" si="1"/>
        <v>41889</v>
      </c>
      <c r="D984" s="1" t="str">
        <f t="array" ref="D984">IF(ISBLANK(XLOOKUP(D$3,daily_items,XLOOKUP($C984,daily_dates,big_daily_table))),NA(),XLOOKUP(D$3,daily_items,XLOOKUP($C984,daily_dates,big_daily_table)))</f>
        <v>#N/A</v>
      </c>
      <c r="E984" s="1" t="str">
        <f t="array" ref="E984">IF(ISBLANK(XLOOKUP(E$3,daily_items,XLOOKUP($C984,daily_dates,big_daily_table))),NA(),XLOOKUP(E$3,daily_items,XLOOKUP($C984,daily_dates,big_daily_table)))</f>
        <v>#N/A</v>
      </c>
    </row>
    <row r="985" ht="14.25" customHeight="1">
      <c r="B985" s="7">
        <v>41890.0</v>
      </c>
      <c r="C985" s="7">
        <f t="shared" si="1"/>
        <v>41889</v>
      </c>
      <c r="D985" s="1" t="str">
        <f t="array" ref="D985">IF(ISBLANK(XLOOKUP(D$3,daily_items,XLOOKUP($C985,daily_dates,big_daily_table))),NA(),XLOOKUP(D$3,daily_items,XLOOKUP($C985,daily_dates,big_daily_table)))</f>
        <v>#N/A</v>
      </c>
      <c r="E985" s="1" t="str">
        <f t="array" ref="E985">IF(ISBLANK(XLOOKUP(E$3,daily_items,XLOOKUP($C985,daily_dates,big_daily_table))),NA(),XLOOKUP(E$3,daily_items,XLOOKUP($C985,daily_dates,big_daily_table)))</f>
        <v>#N/A</v>
      </c>
    </row>
    <row r="986" ht="14.25" customHeight="1">
      <c r="B986" s="7">
        <v>41891.0</v>
      </c>
      <c r="C986" s="7">
        <f t="shared" si="1"/>
        <v>41889</v>
      </c>
      <c r="D986" s="1" t="str">
        <f t="array" ref="D986">IF(ISBLANK(XLOOKUP(D$3,daily_items,XLOOKUP($C986,daily_dates,big_daily_table))),NA(),XLOOKUP(D$3,daily_items,XLOOKUP($C986,daily_dates,big_daily_table)))</f>
        <v>#N/A</v>
      </c>
      <c r="E986" s="1" t="str">
        <f t="array" ref="E986">IF(ISBLANK(XLOOKUP(E$3,daily_items,XLOOKUP($C986,daily_dates,big_daily_table))),NA(),XLOOKUP(E$3,daily_items,XLOOKUP($C986,daily_dates,big_daily_table)))</f>
        <v>#N/A</v>
      </c>
    </row>
    <row r="987" ht="14.25" customHeight="1">
      <c r="B987" s="7">
        <v>41892.0</v>
      </c>
      <c r="C987" s="7">
        <f t="shared" si="1"/>
        <v>41889</v>
      </c>
      <c r="D987" s="1" t="str">
        <f t="array" ref="D987">IF(ISBLANK(XLOOKUP(D$3,daily_items,XLOOKUP($C987,daily_dates,big_daily_table))),NA(),XLOOKUP(D$3,daily_items,XLOOKUP($C987,daily_dates,big_daily_table)))</f>
        <v>#N/A</v>
      </c>
      <c r="E987" s="1" t="str">
        <f t="array" ref="E987">IF(ISBLANK(XLOOKUP(E$3,daily_items,XLOOKUP($C987,daily_dates,big_daily_table))),NA(),XLOOKUP(E$3,daily_items,XLOOKUP($C987,daily_dates,big_daily_table)))</f>
        <v>#N/A</v>
      </c>
    </row>
    <row r="988" ht="14.25" customHeight="1">
      <c r="B988" s="7">
        <v>41893.0</v>
      </c>
      <c r="C988" s="7">
        <f t="shared" si="1"/>
        <v>41889</v>
      </c>
      <c r="D988" s="1" t="str">
        <f t="array" ref="D988">IF(ISBLANK(XLOOKUP(D$3,daily_items,XLOOKUP($C988,daily_dates,big_daily_table))),NA(),XLOOKUP(D$3,daily_items,XLOOKUP($C988,daily_dates,big_daily_table)))</f>
        <v>#N/A</v>
      </c>
      <c r="E988" s="1" t="str">
        <f t="array" ref="E988">IF(ISBLANK(XLOOKUP(E$3,daily_items,XLOOKUP($C988,daily_dates,big_daily_table))),NA(),XLOOKUP(E$3,daily_items,XLOOKUP($C988,daily_dates,big_daily_table)))</f>
        <v>#N/A</v>
      </c>
    </row>
    <row r="989" ht="14.25" customHeight="1">
      <c r="B989" s="7">
        <v>41894.0</v>
      </c>
      <c r="C989" s="7">
        <f t="shared" si="1"/>
        <v>41889</v>
      </c>
      <c r="D989" s="1" t="str">
        <f t="array" ref="D989">IF(ISBLANK(XLOOKUP(D$3,daily_items,XLOOKUP($C989,daily_dates,big_daily_table))),NA(),XLOOKUP(D$3,daily_items,XLOOKUP($C989,daily_dates,big_daily_table)))</f>
        <v>#N/A</v>
      </c>
      <c r="E989" s="1" t="str">
        <f t="array" ref="E989">IF(ISBLANK(XLOOKUP(E$3,daily_items,XLOOKUP($C989,daily_dates,big_daily_table))),NA(),XLOOKUP(E$3,daily_items,XLOOKUP($C989,daily_dates,big_daily_table)))</f>
        <v>#N/A</v>
      </c>
    </row>
    <row r="990" ht="14.25" customHeight="1">
      <c r="B990" s="7">
        <v>41895.0</v>
      </c>
      <c r="C990" s="7">
        <f t="shared" si="1"/>
        <v>41889</v>
      </c>
      <c r="D990" s="1" t="str">
        <f t="array" ref="D990">IF(ISBLANK(XLOOKUP(D$3,daily_items,XLOOKUP($C990,daily_dates,big_daily_table))),NA(),XLOOKUP(D$3,daily_items,XLOOKUP($C990,daily_dates,big_daily_table)))</f>
        <v>#N/A</v>
      </c>
      <c r="E990" s="1" t="str">
        <f t="array" ref="E990">IF(ISBLANK(XLOOKUP(E$3,daily_items,XLOOKUP($C990,daily_dates,big_daily_table))),NA(),XLOOKUP(E$3,daily_items,XLOOKUP($C990,daily_dates,big_daily_table)))</f>
        <v>#N/A</v>
      </c>
    </row>
    <row r="991" ht="14.25" customHeight="1">
      <c r="B991" s="7">
        <v>41896.0</v>
      </c>
      <c r="C991" s="7">
        <f t="shared" si="1"/>
        <v>41896</v>
      </c>
      <c r="D991" s="1" t="str">
        <f t="array" ref="D991">IF(ISBLANK(XLOOKUP(D$3,daily_items,XLOOKUP($C991,daily_dates,big_daily_table))),NA(),XLOOKUP(D$3,daily_items,XLOOKUP($C991,daily_dates,big_daily_table)))</f>
        <v>#N/A</v>
      </c>
      <c r="E991" s="1" t="str">
        <f t="array" ref="E991">IF(ISBLANK(XLOOKUP(E$3,daily_items,XLOOKUP($C991,daily_dates,big_daily_table))),NA(),XLOOKUP(E$3,daily_items,XLOOKUP($C991,daily_dates,big_daily_table)))</f>
        <v>#N/A</v>
      </c>
    </row>
    <row r="992" ht="14.25" customHeight="1">
      <c r="B992" s="7">
        <v>41897.0</v>
      </c>
      <c r="C992" s="7">
        <f t="shared" si="1"/>
        <v>41896</v>
      </c>
      <c r="D992" s="1" t="str">
        <f t="array" ref="D992">IF(ISBLANK(XLOOKUP(D$3,daily_items,XLOOKUP($C992,daily_dates,big_daily_table))),NA(),XLOOKUP(D$3,daily_items,XLOOKUP($C992,daily_dates,big_daily_table)))</f>
        <v>#N/A</v>
      </c>
      <c r="E992" s="1" t="str">
        <f t="array" ref="E992">IF(ISBLANK(XLOOKUP(E$3,daily_items,XLOOKUP($C992,daily_dates,big_daily_table))),NA(),XLOOKUP(E$3,daily_items,XLOOKUP($C992,daily_dates,big_daily_table)))</f>
        <v>#N/A</v>
      </c>
    </row>
    <row r="993" ht="14.25" customHeight="1">
      <c r="B993" s="7">
        <v>41898.0</v>
      </c>
      <c r="C993" s="7">
        <f t="shared" si="1"/>
        <v>41896</v>
      </c>
      <c r="D993" s="1" t="str">
        <f t="array" ref="D993">IF(ISBLANK(XLOOKUP(D$3,daily_items,XLOOKUP($C993,daily_dates,big_daily_table))),NA(),XLOOKUP(D$3,daily_items,XLOOKUP($C993,daily_dates,big_daily_table)))</f>
        <v>#N/A</v>
      </c>
      <c r="E993" s="1" t="str">
        <f t="array" ref="E993">IF(ISBLANK(XLOOKUP(E$3,daily_items,XLOOKUP($C993,daily_dates,big_daily_table))),NA(),XLOOKUP(E$3,daily_items,XLOOKUP($C993,daily_dates,big_daily_table)))</f>
        <v>#N/A</v>
      </c>
    </row>
    <row r="994" ht="14.25" customHeight="1">
      <c r="B994" s="7">
        <v>41899.0</v>
      </c>
      <c r="C994" s="7">
        <f t="shared" si="1"/>
        <v>41896</v>
      </c>
      <c r="D994" s="1" t="str">
        <f t="array" ref="D994">IF(ISBLANK(XLOOKUP(D$3,daily_items,XLOOKUP($C994,daily_dates,big_daily_table))),NA(),XLOOKUP(D$3,daily_items,XLOOKUP($C994,daily_dates,big_daily_table)))</f>
        <v>#N/A</v>
      </c>
      <c r="E994" s="1" t="str">
        <f t="array" ref="E994">IF(ISBLANK(XLOOKUP(E$3,daily_items,XLOOKUP($C994,daily_dates,big_daily_table))),NA(),XLOOKUP(E$3,daily_items,XLOOKUP($C994,daily_dates,big_daily_table)))</f>
        <v>#N/A</v>
      </c>
    </row>
    <row r="995" ht="14.25" customHeight="1">
      <c r="B995" s="7">
        <v>41900.0</v>
      </c>
      <c r="C995" s="7">
        <f t="shared" si="1"/>
        <v>41896</v>
      </c>
      <c r="D995" s="1" t="str">
        <f t="array" ref="D995">IF(ISBLANK(XLOOKUP(D$3,daily_items,XLOOKUP($C995,daily_dates,big_daily_table))),NA(),XLOOKUP(D$3,daily_items,XLOOKUP($C995,daily_dates,big_daily_table)))</f>
        <v>#N/A</v>
      </c>
      <c r="E995" s="1" t="str">
        <f t="array" ref="E995">IF(ISBLANK(XLOOKUP(E$3,daily_items,XLOOKUP($C995,daily_dates,big_daily_table))),NA(),XLOOKUP(E$3,daily_items,XLOOKUP($C995,daily_dates,big_daily_table)))</f>
        <v>#N/A</v>
      </c>
    </row>
    <row r="996" ht="14.25" customHeight="1">
      <c r="B996" s="7">
        <v>41901.0</v>
      </c>
      <c r="C996" s="7">
        <f t="shared" si="1"/>
        <v>41896</v>
      </c>
      <c r="D996" s="1" t="str">
        <f t="array" ref="D996">IF(ISBLANK(XLOOKUP(D$3,daily_items,XLOOKUP($C996,daily_dates,big_daily_table))),NA(),XLOOKUP(D$3,daily_items,XLOOKUP($C996,daily_dates,big_daily_table)))</f>
        <v>#N/A</v>
      </c>
      <c r="E996" s="1" t="str">
        <f t="array" ref="E996">IF(ISBLANK(XLOOKUP(E$3,daily_items,XLOOKUP($C996,daily_dates,big_daily_table))),NA(),XLOOKUP(E$3,daily_items,XLOOKUP($C996,daily_dates,big_daily_table)))</f>
        <v>#N/A</v>
      </c>
    </row>
    <row r="997" ht="14.25" customHeight="1">
      <c r="B997" s="7">
        <v>41902.0</v>
      </c>
      <c r="C997" s="7">
        <f t="shared" si="1"/>
        <v>41896</v>
      </c>
      <c r="D997" s="1" t="str">
        <f t="array" ref="D997">IF(ISBLANK(XLOOKUP(D$3,daily_items,XLOOKUP($C997,daily_dates,big_daily_table))),NA(),XLOOKUP(D$3,daily_items,XLOOKUP($C997,daily_dates,big_daily_table)))</f>
        <v>#N/A</v>
      </c>
      <c r="E997" s="1" t="str">
        <f t="array" ref="E997">IF(ISBLANK(XLOOKUP(E$3,daily_items,XLOOKUP($C997,daily_dates,big_daily_table))),NA(),XLOOKUP(E$3,daily_items,XLOOKUP($C997,daily_dates,big_daily_table)))</f>
        <v>#N/A</v>
      </c>
    </row>
    <row r="998" ht="14.25" customHeight="1">
      <c r="B998" s="7">
        <v>41903.0</v>
      </c>
      <c r="C998" s="7">
        <f t="shared" si="1"/>
        <v>41903</v>
      </c>
      <c r="D998" s="1" t="str">
        <f t="array" ref="D998">IF(ISBLANK(XLOOKUP(D$3,daily_items,XLOOKUP($C998,daily_dates,big_daily_table))),NA(),XLOOKUP(D$3,daily_items,XLOOKUP($C998,daily_dates,big_daily_table)))</f>
        <v>#N/A</v>
      </c>
      <c r="E998" s="1" t="str">
        <f t="array" ref="E998">IF(ISBLANK(XLOOKUP(E$3,daily_items,XLOOKUP($C998,daily_dates,big_daily_table))),NA(),XLOOKUP(E$3,daily_items,XLOOKUP($C998,daily_dates,big_daily_table)))</f>
        <v>#N/A</v>
      </c>
    </row>
    <row r="999" ht="14.25" customHeight="1">
      <c r="B999" s="7">
        <v>41904.0</v>
      </c>
      <c r="C999" s="7">
        <f t="shared" si="1"/>
        <v>41903</v>
      </c>
      <c r="D999" s="1" t="str">
        <f t="array" ref="D999">IF(ISBLANK(XLOOKUP(D$3,daily_items,XLOOKUP($C999,daily_dates,big_daily_table))),NA(),XLOOKUP(D$3,daily_items,XLOOKUP($C999,daily_dates,big_daily_table)))</f>
        <v>#N/A</v>
      </c>
      <c r="E999" s="1" t="str">
        <f t="array" ref="E999">IF(ISBLANK(XLOOKUP(E$3,daily_items,XLOOKUP($C999,daily_dates,big_daily_table))),NA(),XLOOKUP(E$3,daily_items,XLOOKUP($C999,daily_dates,big_daily_table)))</f>
        <v>#N/A</v>
      </c>
    </row>
    <row r="1000" ht="14.25" customHeight="1">
      <c r="B1000" s="7">
        <v>41905.0</v>
      </c>
      <c r="C1000" s="7">
        <f t="shared" si="1"/>
        <v>41903</v>
      </c>
      <c r="D1000" s="1" t="str">
        <f t="array" ref="D1000">IF(ISBLANK(XLOOKUP(D$3,daily_items,XLOOKUP($C1000,daily_dates,big_daily_table))),NA(),XLOOKUP(D$3,daily_items,XLOOKUP($C1000,daily_dates,big_daily_table)))</f>
        <v>#N/A</v>
      </c>
      <c r="E1000" s="1" t="str">
        <f t="array" ref="E1000">IF(ISBLANK(XLOOKUP(E$3,daily_items,XLOOKUP($C1000,daily_dates,big_daily_table))),NA(),XLOOKUP(E$3,daily_items,XLOOKUP($C1000,daily_dates,big_daily_table)))</f>
        <v>#N/A</v>
      </c>
    </row>
    <row r="1001" ht="14.25" customHeight="1">
      <c r="B1001" s="7">
        <v>41906.0</v>
      </c>
      <c r="C1001" s="7">
        <f t="shared" si="1"/>
        <v>41903</v>
      </c>
      <c r="D1001" s="1" t="str">
        <f t="array" ref="D1001">IF(ISBLANK(XLOOKUP(D$3,daily_items,XLOOKUP($C1001,daily_dates,big_daily_table))),NA(),XLOOKUP(D$3,daily_items,XLOOKUP($C1001,daily_dates,big_daily_table)))</f>
        <v>#N/A</v>
      </c>
      <c r="E1001" s="1" t="str">
        <f t="array" ref="E1001">IF(ISBLANK(XLOOKUP(E$3,daily_items,XLOOKUP($C1001,daily_dates,big_daily_table))),NA(),XLOOKUP(E$3,daily_items,XLOOKUP($C1001,daily_dates,big_daily_table)))</f>
        <v>#N/A</v>
      </c>
    </row>
    <row r="1002" ht="14.25" customHeight="1">
      <c r="B1002" s="7">
        <v>41907.0</v>
      </c>
      <c r="C1002" s="7">
        <f t="shared" si="1"/>
        <v>41903</v>
      </c>
      <c r="D1002" s="1" t="str">
        <f t="array" ref="D1002">IF(ISBLANK(XLOOKUP(D$3,daily_items,XLOOKUP($C1002,daily_dates,big_daily_table))),NA(),XLOOKUP(D$3,daily_items,XLOOKUP($C1002,daily_dates,big_daily_table)))</f>
        <v>#N/A</v>
      </c>
      <c r="E1002" s="1" t="str">
        <f t="array" ref="E1002">IF(ISBLANK(XLOOKUP(E$3,daily_items,XLOOKUP($C1002,daily_dates,big_daily_table))),NA(),XLOOKUP(E$3,daily_items,XLOOKUP($C1002,daily_dates,big_daily_table)))</f>
        <v>#N/A</v>
      </c>
    </row>
    <row r="1003" ht="14.25" customHeight="1">
      <c r="B1003" s="7">
        <v>41908.0</v>
      </c>
      <c r="C1003" s="7">
        <f t="shared" si="1"/>
        <v>41903</v>
      </c>
      <c r="D1003" s="1" t="str">
        <f t="array" ref="D1003">IF(ISBLANK(XLOOKUP(D$3,daily_items,XLOOKUP($C1003,daily_dates,big_daily_table))),NA(),XLOOKUP(D$3,daily_items,XLOOKUP($C1003,daily_dates,big_daily_table)))</f>
        <v>#N/A</v>
      </c>
      <c r="E1003" s="1" t="str">
        <f t="array" ref="E1003">IF(ISBLANK(XLOOKUP(E$3,daily_items,XLOOKUP($C1003,daily_dates,big_daily_table))),NA(),XLOOKUP(E$3,daily_items,XLOOKUP($C1003,daily_dates,big_daily_table)))</f>
        <v>#N/A</v>
      </c>
    </row>
    <row r="1004" ht="14.25" customHeight="1">
      <c r="B1004" s="7">
        <v>41909.0</v>
      </c>
      <c r="C1004" s="7">
        <f t="shared" si="1"/>
        <v>41903</v>
      </c>
      <c r="D1004" s="1" t="str">
        <f t="array" ref="D1004">IF(ISBLANK(XLOOKUP(D$3,daily_items,XLOOKUP($C1004,daily_dates,big_daily_table))),NA(),XLOOKUP(D$3,daily_items,XLOOKUP($C1004,daily_dates,big_daily_table)))</f>
        <v>#N/A</v>
      </c>
      <c r="E1004" s="1" t="str">
        <f t="array" ref="E1004">IF(ISBLANK(XLOOKUP(E$3,daily_items,XLOOKUP($C1004,daily_dates,big_daily_table))),NA(),XLOOKUP(E$3,daily_items,XLOOKUP($C1004,daily_dates,big_daily_table)))</f>
        <v>#N/A</v>
      </c>
    </row>
    <row r="1005" ht="14.25" customHeight="1">
      <c r="B1005" s="7">
        <v>41910.0</v>
      </c>
      <c r="C1005" s="7">
        <f t="shared" si="1"/>
        <v>41910</v>
      </c>
      <c r="D1005" s="1" t="str">
        <f t="array" ref="D1005">IF(ISBLANK(XLOOKUP(D$3,daily_items,XLOOKUP($C1005,daily_dates,big_daily_table))),NA(),XLOOKUP(D$3,daily_items,XLOOKUP($C1005,daily_dates,big_daily_table)))</f>
        <v>#N/A</v>
      </c>
      <c r="E1005" s="1" t="str">
        <f t="array" ref="E1005">IF(ISBLANK(XLOOKUP(E$3,daily_items,XLOOKUP($C1005,daily_dates,big_daily_table))),NA(),XLOOKUP(E$3,daily_items,XLOOKUP($C1005,daily_dates,big_daily_table)))</f>
        <v>#N/A</v>
      </c>
    </row>
    <row r="1006" ht="14.25" customHeight="1">
      <c r="B1006" s="7">
        <v>41911.0</v>
      </c>
      <c r="C1006" s="7">
        <f t="shared" si="1"/>
        <v>41910</v>
      </c>
      <c r="D1006" s="1" t="str">
        <f t="array" ref="D1006">IF(ISBLANK(XLOOKUP(D$3,daily_items,XLOOKUP($C1006,daily_dates,big_daily_table))),NA(),XLOOKUP(D$3,daily_items,XLOOKUP($C1006,daily_dates,big_daily_table)))</f>
        <v>#N/A</v>
      </c>
      <c r="E1006" s="1" t="str">
        <f t="array" ref="E1006">IF(ISBLANK(XLOOKUP(E$3,daily_items,XLOOKUP($C1006,daily_dates,big_daily_table))),NA(),XLOOKUP(E$3,daily_items,XLOOKUP($C1006,daily_dates,big_daily_table)))</f>
        <v>#N/A</v>
      </c>
    </row>
    <row r="1007" ht="14.25" customHeight="1">
      <c r="B1007" s="7">
        <v>41912.0</v>
      </c>
      <c r="C1007" s="7">
        <f t="shared" si="1"/>
        <v>41910</v>
      </c>
      <c r="D1007" s="1" t="str">
        <f t="array" ref="D1007">IF(ISBLANK(XLOOKUP(D$3,daily_items,XLOOKUP($C1007,daily_dates,big_daily_table))),NA(),XLOOKUP(D$3,daily_items,XLOOKUP($C1007,daily_dates,big_daily_table)))</f>
        <v>#N/A</v>
      </c>
      <c r="E1007" s="1" t="str">
        <f t="array" ref="E1007">IF(ISBLANK(XLOOKUP(E$3,daily_items,XLOOKUP($C1007,daily_dates,big_daily_table))),NA(),XLOOKUP(E$3,daily_items,XLOOKUP($C1007,daily_dates,big_daily_table)))</f>
        <v>#N/A</v>
      </c>
    </row>
    <row r="1008" ht="14.25" customHeight="1">
      <c r="B1008" s="7">
        <v>41913.0</v>
      </c>
      <c r="C1008" s="7">
        <f t="shared" si="1"/>
        <v>41910</v>
      </c>
      <c r="D1008" s="1" t="str">
        <f t="array" ref="D1008">IF(ISBLANK(XLOOKUP(D$3,daily_items,XLOOKUP($C1008,daily_dates,big_daily_table))),NA(),XLOOKUP(D$3,daily_items,XLOOKUP($C1008,daily_dates,big_daily_table)))</f>
        <v>#N/A</v>
      </c>
      <c r="E1008" s="1" t="str">
        <f t="array" ref="E1008">IF(ISBLANK(XLOOKUP(E$3,daily_items,XLOOKUP($C1008,daily_dates,big_daily_table))),NA(),XLOOKUP(E$3,daily_items,XLOOKUP($C1008,daily_dates,big_daily_table)))</f>
        <v>#N/A</v>
      </c>
    </row>
    <row r="1009" ht="14.25" customHeight="1">
      <c r="B1009" s="7">
        <v>41914.0</v>
      </c>
      <c r="C1009" s="7">
        <f t="shared" si="1"/>
        <v>41910</v>
      </c>
      <c r="D1009" s="1" t="str">
        <f t="array" ref="D1009">IF(ISBLANK(XLOOKUP(D$3,daily_items,XLOOKUP($C1009,daily_dates,big_daily_table))),NA(),XLOOKUP(D$3,daily_items,XLOOKUP($C1009,daily_dates,big_daily_table)))</f>
        <v>#N/A</v>
      </c>
      <c r="E1009" s="1" t="str">
        <f t="array" ref="E1009">IF(ISBLANK(XLOOKUP(E$3,daily_items,XLOOKUP($C1009,daily_dates,big_daily_table))),NA(),XLOOKUP(E$3,daily_items,XLOOKUP($C1009,daily_dates,big_daily_table)))</f>
        <v>#N/A</v>
      </c>
    </row>
    <row r="1010" ht="14.25" customHeight="1">
      <c r="B1010" s="7">
        <v>41915.0</v>
      </c>
      <c r="C1010" s="7">
        <f t="shared" si="1"/>
        <v>41910</v>
      </c>
      <c r="D1010" s="1" t="str">
        <f t="array" ref="D1010">IF(ISBLANK(XLOOKUP(D$3,daily_items,XLOOKUP($C1010,daily_dates,big_daily_table))),NA(),XLOOKUP(D$3,daily_items,XLOOKUP($C1010,daily_dates,big_daily_table)))</f>
        <v>#N/A</v>
      </c>
      <c r="E1010" s="1" t="str">
        <f t="array" ref="E1010">IF(ISBLANK(XLOOKUP(E$3,daily_items,XLOOKUP($C1010,daily_dates,big_daily_table))),NA(),XLOOKUP(E$3,daily_items,XLOOKUP($C1010,daily_dates,big_daily_table)))</f>
        <v>#N/A</v>
      </c>
    </row>
    <row r="1011" ht="14.25" customHeight="1">
      <c r="B1011" s="7">
        <v>41916.0</v>
      </c>
      <c r="C1011" s="7">
        <f t="shared" si="1"/>
        <v>41910</v>
      </c>
      <c r="D1011" s="1" t="str">
        <f t="array" ref="D1011">IF(ISBLANK(XLOOKUP(D$3,daily_items,XLOOKUP($C1011,daily_dates,big_daily_table))),NA(),XLOOKUP(D$3,daily_items,XLOOKUP($C1011,daily_dates,big_daily_table)))</f>
        <v>#N/A</v>
      </c>
      <c r="E1011" s="1" t="str">
        <f t="array" ref="E1011">IF(ISBLANK(XLOOKUP(E$3,daily_items,XLOOKUP($C1011,daily_dates,big_daily_table))),NA(),XLOOKUP(E$3,daily_items,XLOOKUP($C1011,daily_dates,big_daily_table)))</f>
        <v>#N/A</v>
      </c>
    </row>
    <row r="1012" ht="14.25" customHeight="1">
      <c r="B1012" s="7">
        <v>41917.0</v>
      </c>
      <c r="C1012" s="7">
        <f t="shared" si="1"/>
        <v>41917</v>
      </c>
      <c r="D1012" s="1" t="str">
        <f t="array" ref="D1012">IF(ISBLANK(XLOOKUP(D$3,daily_items,XLOOKUP($C1012,daily_dates,big_daily_table))),NA(),XLOOKUP(D$3,daily_items,XLOOKUP($C1012,daily_dates,big_daily_table)))</f>
        <v>#N/A</v>
      </c>
      <c r="E1012" s="1" t="str">
        <f t="array" ref="E1012">IF(ISBLANK(XLOOKUP(E$3,daily_items,XLOOKUP($C1012,daily_dates,big_daily_table))),NA(),XLOOKUP(E$3,daily_items,XLOOKUP($C1012,daily_dates,big_daily_table)))</f>
        <v>#N/A</v>
      </c>
    </row>
    <row r="1013" ht="14.25" customHeight="1">
      <c r="B1013" s="7">
        <v>41918.0</v>
      </c>
      <c r="C1013" s="7">
        <f t="shared" si="1"/>
        <v>41917</v>
      </c>
      <c r="D1013" s="1" t="str">
        <f t="array" ref="D1013">IF(ISBLANK(XLOOKUP(D$3,daily_items,XLOOKUP($C1013,daily_dates,big_daily_table))),NA(),XLOOKUP(D$3,daily_items,XLOOKUP($C1013,daily_dates,big_daily_table)))</f>
        <v>#N/A</v>
      </c>
      <c r="E1013" s="1" t="str">
        <f t="array" ref="E1013">IF(ISBLANK(XLOOKUP(E$3,daily_items,XLOOKUP($C1013,daily_dates,big_daily_table))),NA(),XLOOKUP(E$3,daily_items,XLOOKUP($C1013,daily_dates,big_daily_table)))</f>
        <v>#N/A</v>
      </c>
    </row>
    <row r="1014" ht="14.25" customHeight="1">
      <c r="B1014" s="7">
        <v>41919.0</v>
      </c>
      <c r="C1014" s="7">
        <f t="shared" si="1"/>
        <v>41917</v>
      </c>
      <c r="D1014" s="1" t="str">
        <f t="array" ref="D1014">IF(ISBLANK(XLOOKUP(D$3,daily_items,XLOOKUP($C1014,daily_dates,big_daily_table))),NA(),XLOOKUP(D$3,daily_items,XLOOKUP($C1014,daily_dates,big_daily_table)))</f>
        <v>#N/A</v>
      </c>
      <c r="E1014" s="1" t="str">
        <f t="array" ref="E1014">IF(ISBLANK(XLOOKUP(E$3,daily_items,XLOOKUP($C1014,daily_dates,big_daily_table))),NA(),XLOOKUP(E$3,daily_items,XLOOKUP($C1014,daily_dates,big_daily_table)))</f>
        <v>#N/A</v>
      </c>
    </row>
    <row r="1015" ht="14.25" customHeight="1">
      <c r="B1015" s="7">
        <v>41920.0</v>
      </c>
      <c r="C1015" s="7">
        <f t="shared" si="1"/>
        <v>41917</v>
      </c>
      <c r="D1015" s="1" t="str">
        <f t="array" ref="D1015">IF(ISBLANK(XLOOKUP(D$3,daily_items,XLOOKUP($C1015,daily_dates,big_daily_table))),NA(),XLOOKUP(D$3,daily_items,XLOOKUP($C1015,daily_dates,big_daily_table)))</f>
        <v>#N/A</v>
      </c>
      <c r="E1015" s="1" t="str">
        <f t="array" ref="E1015">IF(ISBLANK(XLOOKUP(E$3,daily_items,XLOOKUP($C1015,daily_dates,big_daily_table))),NA(),XLOOKUP(E$3,daily_items,XLOOKUP($C1015,daily_dates,big_daily_table)))</f>
        <v>#N/A</v>
      </c>
    </row>
    <row r="1016" ht="14.25" customHeight="1">
      <c r="B1016" s="7">
        <v>41921.0</v>
      </c>
      <c r="C1016" s="7">
        <f t="shared" si="1"/>
        <v>41917</v>
      </c>
      <c r="D1016" s="1" t="str">
        <f t="array" ref="D1016">IF(ISBLANK(XLOOKUP(D$3,daily_items,XLOOKUP($C1016,daily_dates,big_daily_table))),NA(),XLOOKUP(D$3,daily_items,XLOOKUP($C1016,daily_dates,big_daily_table)))</f>
        <v>#N/A</v>
      </c>
      <c r="E1016" s="1" t="str">
        <f t="array" ref="E1016">IF(ISBLANK(XLOOKUP(E$3,daily_items,XLOOKUP($C1016,daily_dates,big_daily_table))),NA(),XLOOKUP(E$3,daily_items,XLOOKUP($C1016,daily_dates,big_daily_table)))</f>
        <v>#N/A</v>
      </c>
    </row>
    <row r="1017" ht="14.25" customHeight="1">
      <c r="B1017" s="7">
        <v>41922.0</v>
      </c>
      <c r="C1017" s="7">
        <f t="shared" si="1"/>
        <v>41917</v>
      </c>
      <c r="D1017" s="1" t="str">
        <f t="array" ref="D1017">IF(ISBLANK(XLOOKUP(D$3,daily_items,XLOOKUP($C1017,daily_dates,big_daily_table))),NA(),XLOOKUP(D$3,daily_items,XLOOKUP($C1017,daily_dates,big_daily_table)))</f>
        <v>#N/A</v>
      </c>
      <c r="E1017" s="1" t="str">
        <f t="array" ref="E1017">IF(ISBLANK(XLOOKUP(E$3,daily_items,XLOOKUP($C1017,daily_dates,big_daily_table))),NA(),XLOOKUP(E$3,daily_items,XLOOKUP($C1017,daily_dates,big_daily_table)))</f>
        <v>#N/A</v>
      </c>
    </row>
    <row r="1018" ht="14.25" customHeight="1">
      <c r="B1018" s="7">
        <v>41923.0</v>
      </c>
      <c r="C1018" s="7">
        <f t="shared" si="1"/>
        <v>41917</v>
      </c>
      <c r="D1018" s="1" t="str">
        <f t="array" ref="D1018">IF(ISBLANK(XLOOKUP(D$3,daily_items,XLOOKUP($C1018,daily_dates,big_daily_table))),NA(),XLOOKUP(D$3,daily_items,XLOOKUP($C1018,daily_dates,big_daily_table)))</f>
        <v>#N/A</v>
      </c>
      <c r="E1018" s="1" t="str">
        <f t="array" ref="E1018">IF(ISBLANK(XLOOKUP(E$3,daily_items,XLOOKUP($C1018,daily_dates,big_daily_table))),NA(),XLOOKUP(E$3,daily_items,XLOOKUP($C1018,daily_dates,big_daily_table)))</f>
        <v>#N/A</v>
      </c>
    </row>
    <row r="1019" ht="14.25" customHeight="1">
      <c r="B1019" s="7">
        <v>41924.0</v>
      </c>
      <c r="C1019" s="7">
        <f t="shared" si="1"/>
        <v>41924</v>
      </c>
      <c r="D1019" s="1" t="str">
        <f t="array" ref="D1019">IF(ISBLANK(XLOOKUP(D$3,daily_items,XLOOKUP($C1019,daily_dates,big_daily_table))),NA(),XLOOKUP(D$3,daily_items,XLOOKUP($C1019,daily_dates,big_daily_table)))</f>
        <v>#N/A</v>
      </c>
      <c r="E1019" s="1" t="str">
        <f t="array" ref="E1019">IF(ISBLANK(XLOOKUP(E$3,daily_items,XLOOKUP($C1019,daily_dates,big_daily_table))),NA(),XLOOKUP(E$3,daily_items,XLOOKUP($C1019,daily_dates,big_daily_table)))</f>
        <v>#N/A</v>
      </c>
    </row>
    <row r="1020" ht="14.25" customHeight="1">
      <c r="B1020" s="7">
        <v>41925.0</v>
      </c>
      <c r="C1020" s="7">
        <f t="shared" si="1"/>
        <v>41924</v>
      </c>
      <c r="D1020" s="1" t="str">
        <f t="array" ref="D1020">IF(ISBLANK(XLOOKUP(D$3,daily_items,XLOOKUP($C1020,daily_dates,big_daily_table))),NA(),XLOOKUP(D$3,daily_items,XLOOKUP($C1020,daily_dates,big_daily_table)))</f>
        <v>#N/A</v>
      </c>
      <c r="E1020" s="1" t="str">
        <f t="array" ref="E1020">IF(ISBLANK(XLOOKUP(E$3,daily_items,XLOOKUP($C1020,daily_dates,big_daily_table))),NA(),XLOOKUP(E$3,daily_items,XLOOKUP($C1020,daily_dates,big_daily_table)))</f>
        <v>#N/A</v>
      </c>
    </row>
    <row r="1021" ht="14.25" customHeight="1">
      <c r="B1021" s="7">
        <v>41926.0</v>
      </c>
      <c r="C1021" s="7">
        <f t="shared" si="1"/>
        <v>41924</v>
      </c>
      <c r="D1021" s="1" t="str">
        <f t="array" ref="D1021">IF(ISBLANK(XLOOKUP(D$3,daily_items,XLOOKUP($C1021,daily_dates,big_daily_table))),NA(),XLOOKUP(D$3,daily_items,XLOOKUP($C1021,daily_dates,big_daily_table)))</f>
        <v>#N/A</v>
      </c>
      <c r="E1021" s="1" t="str">
        <f t="array" ref="E1021">IF(ISBLANK(XLOOKUP(E$3,daily_items,XLOOKUP($C1021,daily_dates,big_daily_table))),NA(),XLOOKUP(E$3,daily_items,XLOOKUP($C1021,daily_dates,big_daily_table)))</f>
        <v>#N/A</v>
      </c>
    </row>
    <row r="1022" ht="14.25" customHeight="1">
      <c r="B1022" s="7">
        <v>41927.0</v>
      </c>
      <c r="C1022" s="7">
        <f t="shared" si="1"/>
        <v>41924</v>
      </c>
      <c r="D1022" s="1" t="str">
        <f t="array" ref="D1022">IF(ISBLANK(XLOOKUP(D$3,daily_items,XLOOKUP($C1022,daily_dates,big_daily_table))),NA(),XLOOKUP(D$3,daily_items,XLOOKUP($C1022,daily_dates,big_daily_table)))</f>
        <v>#N/A</v>
      </c>
      <c r="E1022" s="1" t="str">
        <f t="array" ref="E1022">IF(ISBLANK(XLOOKUP(E$3,daily_items,XLOOKUP($C1022,daily_dates,big_daily_table))),NA(),XLOOKUP(E$3,daily_items,XLOOKUP($C1022,daily_dates,big_daily_table)))</f>
        <v>#N/A</v>
      </c>
    </row>
    <row r="1023" ht="14.25" customHeight="1">
      <c r="B1023" s="7">
        <v>41928.0</v>
      </c>
      <c r="C1023" s="7">
        <f t="shared" si="1"/>
        <v>41924</v>
      </c>
      <c r="D1023" s="1" t="str">
        <f t="array" ref="D1023">IF(ISBLANK(XLOOKUP(D$3,daily_items,XLOOKUP($C1023,daily_dates,big_daily_table))),NA(),XLOOKUP(D$3,daily_items,XLOOKUP($C1023,daily_dates,big_daily_table)))</f>
        <v>#N/A</v>
      </c>
      <c r="E1023" s="1" t="str">
        <f t="array" ref="E1023">IF(ISBLANK(XLOOKUP(E$3,daily_items,XLOOKUP($C1023,daily_dates,big_daily_table))),NA(),XLOOKUP(E$3,daily_items,XLOOKUP($C1023,daily_dates,big_daily_table)))</f>
        <v>#N/A</v>
      </c>
    </row>
    <row r="1024" ht="14.25" customHeight="1">
      <c r="B1024" s="7">
        <v>41929.0</v>
      </c>
      <c r="C1024" s="7">
        <f t="shared" si="1"/>
        <v>41924</v>
      </c>
      <c r="D1024" s="1" t="str">
        <f t="array" ref="D1024">IF(ISBLANK(XLOOKUP(D$3,daily_items,XLOOKUP($C1024,daily_dates,big_daily_table))),NA(),XLOOKUP(D$3,daily_items,XLOOKUP($C1024,daily_dates,big_daily_table)))</f>
        <v>#N/A</v>
      </c>
      <c r="E1024" s="1" t="str">
        <f t="array" ref="E1024">IF(ISBLANK(XLOOKUP(E$3,daily_items,XLOOKUP($C1024,daily_dates,big_daily_table))),NA(),XLOOKUP(E$3,daily_items,XLOOKUP($C1024,daily_dates,big_daily_table)))</f>
        <v>#N/A</v>
      </c>
    </row>
    <row r="1025" ht="14.25" customHeight="1">
      <c r="B1025" s="7">
        <v>41930.0</v>
      </c>
      <c r="C1025" s="7">
        <f t="shared" si="1"/>
        <v>41924</v>
      </c>
      <c r="D1025" s="1" t="str">
        <f t="array" ref="D1025">IF(ISBLANK(XLOOKUP(D$3,daily_items,XLOOKUP($C1025,daily_dates,big_daily_table))),NA(),XLOOKUP(D$3,daily_items,XLOOKUP($C1025,daily_dates,big_daily_table)))</f>
        <v>#N/A</v>
      </c>
      <c r="E1025" s="1" t="str">
        <f t="array" ref="E1025">IF(ISBLANK(XLOOKUP(E$3,daily_items,XLOOKUP($C1025,daily_dates,big_daily_table))),NA(),XLOOKUP(E$3,daily_items,XLOOKUP($C1025,daily_dates,big_daily_table)))</f>
        <v>#N/A</v>
      </c>
    </row>
    <row r="1026" ht="14.25" customHeight="1">
      <c r="B1026" s="7">
        <v>41931.0</v>
      </c>
      <c r="C1026" s="7">
        <f t="shared" si="1"/>
        <v>41931</v>
      </c>
      <c r="D1026" s="1" t="str">
        <f t="array" ref="D1026">IF(ISBLANK(XLOOKUP(D$3,daily_items,XLOOKUP($C1026,daily_dates,big_daily_table))),NA(),XLOOKUP(D$3,daily_items,XLOOKUP($C1026,daily_dates,big_daily_table)))</f>
        <v>#N/A</v>
      </c>
      <c r="E1026" s="1" t="str">
        <f t="array" ref="E1026">IF(ISBLANK(XLOOKUP(E$3,daily_items,XLOOKUP($C1026,daily_dates,big_daily_table))),NA(),XLOOKUP(E$3,daily_items,XLOOKUP($C1026,daily_dates,big_daily_table)))</f>
        <v>#N/A</v>
      </c>
    </row>
    <row r="1027" ht="14.25" customHeight="1">
      <c r="B1027" s="7">
        <v>41932.0</v>
      </c>
      <c r="C1027" s="7">
        <f t="shared" si="1"/>
        <v>41931</v>
      </c>
      <c r="D1027" s="1" t="str">
        <f t="array" ref="D1027">IF(ISBLANK(XLOOKUP(D$3,daily_items,XLOOKUP($C1027,daily_dates,big_daily_table))),NA(),XLOOKUP(D$3,daily_items,XLOOKUP($C1027,daily_dates,big_daily_table)))</f>
        <v>#N/A</v>
      </c>
      <c r="E1027" s="1" t="str">
        <f t="array" ref="E1027">IF(ISBLANK(XLOOKUP(E$3,daily_items,XLOOKUP($C1027,daily_dates,big_daily_table))),NA(),XLOOKUP(E$3,daily_items,XLOOKUP($C1027,daily_dates,big_daily_table)))</f>
        <v>#N/A</v>
      </c>
    </row>
    <row r="1028" ht="14.25" customHeight="1">
      <c r="B1028" s="7">
        <v>41933.0</v>
      </c>
      <c r="C1028" s="7">
        <f t="shared" si="1"/>
        <v>41931</v>
      </c>
      <c r="D1028" s="1" t="str">
        <f t="array" ref="D1028">IF(ISBLANK(XLOOKUP(D$3,daily_items,XLOOKUP($C1028,daily_dates,big_daily_table))),NA(),XLOOKUP(D$3,daily_items,XLOOKUP($C1028,daily_dates,big_daily_table)))</f>
        <v>#N/A</v>
      </c>
      <c r="E1028" s="1" t="str">
        <f t="array" ref="E1028">IF(ISBLANK(XLOOKUP(E$3,daily_items,XLOOKUP($C1028,daily_dates,big_daily_table))),NA(),XLOOKUP(E$3,daily_items,XLOOKUP($C1028,daily_dates,big_daily_table)))</f>
        <v>#N/A</v>
      </c>
    </row>
    <row r="1029" ht="14.25" customHeight="1">
      <c r="B1029" s="7">
        <v>41934.0</v>
      </c>
      <c r="C1029" s="7">
        <f t="shared" si="1"/>
        <v>41931</v>
      </c>
      <c r="D1029" s="1" t="str">
        <f t="array" ref="D1029">IF(ISBLANK(XLOOKUP(D$3,daily_items,XLOOKUP($C1029,daily_dates,big_daily_table))),NA(),XLOOKUP(D$3,daily_items,XLOOKUP($C1029,daily_dates,big_daily_table)))</f>
        <v>#N/A</v>
      </c>
      <c r="E1029" s="1" t="str">
        <f t="array" ref="E1029">IF(ISBLANK(XLOOKUP(E$3,daily_items,XLOOKUP($C1029,daily_dates,big_daily_table))),NA(),XLOOKUP(E$3,daily_items,XLOOKUP($C1029,daily_dates,big_daily_table)))</f>
        <v>#N/A</v>
      </c>
    </row>
    <row r="1030" ht="14.25" customHeight="1">
      <c r="B1030" s="7">
        <v>41935.0</v>
      </c>
      <c r="C1030" s="7">
        <f t="shared" si="1"/>
        <v>41931</v>
      </c>
      <c r="D1030" s="1" t="str">
        <f t="array" ref="D1030">IF(ISBLANK(XLOOKUP(D$3,daily_items,XLOOKUP($C1030,daily_dates,big_daily_table))),NA(),XLOOKUP(D$3,daily_items,XLOOKUP($C1030,daily_dates,big_daily_table)))</f>
        <v>#N/A</v>
      </c>
      <c r="E1030" s="1" t="str">
        <f t="array" ref="E1030">IF(ISBLANK(XLOOKUP(E$3,daily_items,XLOOKUP($C1030,daily_dates,big_daily_table))),NA(),XLOOKUP(E$3,daily_items,XLOOKUP($C1030,daily_dates,big_daily_table)))</f>
        <v>#N/A</v>
      </c>
    </row>
    <row r="1031" ht="14.25" customHeight="1">
      <c r="B1031" s="7">
        <v>41936.0</v>
      </c>
      <c r="C1031" s="7">
        <f t="shared" si="1"/>
        <v>41931</v>
      </c>
      <c r="D1031" s="1" t="str">
        <f t="array" ref="D1031">IF(ISBLANK(XLOOKUP(D$3,daily_items,XLOOKUP($C1031,daily_dates,big_daily_table))),NA(),XLOOKUP(D$3,daily_items,XLOOKUP($C1031,daily_dates,big_daily_table)))</f>
        <v>#N/A</v>
      </c>
      <c r="E1031" s="1" t="str">
        <f t="array" ref="E1031">IF(ISBLANK(XLOOKUP(E$3,daily_items,XLOOKUP($C1031,daily_dates,big_daily_table))),NA(),XLOOKUP(E$3,daily_items,XLOOKUP($C1031,daily_dates,big_daily_table)))</f>
        <v>#N/A</v>
      </c>
    </row>
    <row r="1032" ht="14.25" customHeight="1">
      <c r="B1032" s="7">
        <v>41937.0</v>
      </c>
      <c r="C1032" s="7">
        <f t="shared" si="1"/>
        <v>41931</v>
      </c>
      <c r="D1032" s="1" t="str">
        <f t="array" ref="D1032">IF(ISBLANK(XLOOKUP(D$3,daily_items,XLOOKUP($C1032,daily_dates,big_daily_table))),NA(),XLOOKUP(D$3,daily_items,XLOOKUP($C1032,daily_dates,big_daily_table)))</f>
        <v>#N/A</v>
      </c>
      <c r="E1032" s="1" t="str">
        <f t="array" ref="E1032">IF(ISBLANK(XLOOKUP(E$3,daily_items,XLOOKUP($C1032,daily_dates,big_daily_table))),NA(),XLOOKUP(E$3,daily_items,XLOOKUP($C1032,daily_dates,big_daily_table)))</f>
        <v>#N/A</v>
      </c>
    </row>
    <row r="1033" ht="14.25" customHeight="1">
      <c r="B1033" s="7">
        <v>41938.0</v>
      </c>
      <c r="C1033" s="7">
        <f t="shared" si="1"/>
        <v>41938</v>
      </c>
      <c r="D1033" s="1" t="str">
        <f t="array" ref="D1033">IF(ISBLANK(XLOOKUP(D$3,daily_items,XLOOKUP($C1033,daily_dates,big_daily_table))),NA(),XLOOKUP(D$3,daily_items,XLOOKUP($C1033,daily_dates,big_daily_table)))</f>
        <v>#N/A</v>
      </c>
      <c r="E1033" s="1" t="str">
        <f t="array" ref="E1033">IF(ISBLANK(XLOOKUP(E$3,daily_items,XLOOKUP($C1033,daily_dates,big_daily_table))),NA(),XLOOKUP(E$3,daily_items,XLOOKUP($C1033,daily_dates,big_daily_table)))</f>
        <v>#N/A</v>
      </c>
    </row>
    <row r="1034" ht="14.25" customHeight="1">
      <c r="B1034" s="7">
        <v>41939.0</v>
      </c>
      <c r="C1034" s="7">
        <f t="shared" si="1"/>
        <v>41938</v>
      </c>
      <c r="D1034" s="1" t="str">
        <f t="array" ref="D1034">IF(ISBLANK(XLOOKUP(D$3,daily_items,XLOOKUP($C1034,daily_dates,big_daily_table))),NA(),XLOOKUP(D$3,daily_items,XLOOKUP($C1034,daily_dates,big_daily_table)))</f>
        <v>#N/A</v>
      </c>
      <c r="E1034" s="1" t="str">
        <f t="array" ref="E1034">IF(ISBLANK(XLOOKUP(E$3,daily_items,XLOOKUP($C1034,daily_dates,big_daily_table))),NA(),XLOOKUP(E$3,daily_items,XLOOKUP($C1034,daily_dates,big_daily_table)))</f>
        <v>#N/A</v>
      </c>
    </row>
    <row r="1035" ht="14.25" customHeight="1">
      <c r="B1035" s="7">
        <v>41940.0</v>
      </c>
      <c r="C1035" s="7">
        <f t="shared" si="1"/>
        <v>41938</v>
      </c>
      <c r="D1035" s="1" t="str">
        <f t="array" ref="D1035">IF(ISBLANK(XLOOKUP(D$3,daily_items,XLOOKUP($C1035,daily_dates,big_daily_table))),NA(),XLOOKUP(D$3,daily_items,XLOOKUP($C1035,daily_dates,big_daily_table)))</f>
        <v>#N/A</v>
      </c>
      <c r="E1035" s="1" t="str">
        <f t="array" ref="E1035">IF(ISBLANK(XLOOKUP(E$3,daily_items,XLOOKUP($C1035,daily_dates,big_daily_table))),NA(),XLOOKUP(E$3,daily_items,XLOOKUP($C1035,daily_dates,big_daily_table)))</f>
        <v>#N/A</v>
      </c>
    </row>
    <row r="1036" ht="14.25" customHeight="1">
      <c r="B1036" s="7">
        <v>41941.0</v>
      </c>
      <c r="C1036" s="7">
        <f t="shared" si="1"/>
        <v>41938</v>
      </c>
      <c r="D1036" s="1" t="str">
        <f t="array" ref="D1036">IF(ISBLANK(XLOOKUP(D$3,daily_items,XLOOKUP($C1036,daily_dates,big_daily_table))),NA(),XLOOKUP(D$3,daily_items,XLOOKUP($C1036,daily_dates,big_daily_table)))</f>
        <v>#N/A</v>
      </c>
      <c r="E1036" s="1" t="str">
        <f t="array" ref="E1036">IF(ISBLANK(XLOOKUP(E$3,daily_items,XLOOKUP($C1036,daily_dates,big_daily_table))),NA(),XLOOKUP(E$3,daily_items,XLOOKUP($C1036,daily_dates,big_daily_table)))</f>
        <v>#N/A</v>
      </c>
    </row>
    <row r="1037" ht="14.25" customHeight="1">
      <c r="B1037" s="7">
        <v>41942.0</v>
      </c>
      <c r="C1037" s="7">
        <f t="shared" si="1"/>
        <v>41938</v>
      </c>
      <c r="D1037" s="1" t="str">
        <f t="array" ref="D1037">IF(ISBLANK(XLOOKUP(D$3,daily_items,XLOOKUP($C1037,daily_dates,big_daily_table))),NA(),XLOOKUP(D$3,daily_items,XLOOKUP($C1037,daily_dates,big_daily_table)))</f>
        <v>#N/A</v>
      </c>
      <c r="E1037" s="1" t="str">
        <f t="array" ref="E1037">IF(ISBLANK(XLOOKUP(E$3,daily_items,XLOOKUP($C1037,daily_dates,big_daily_table))),NA(),XLOOKUP(E$3,daily_items,XLOOKUP($C1037,daily_dates,big_daily_table)))</f>
        <v>#N/A</v>
      </c>
    </row>
    <row r="1038" ht="14.25" customHeight="1">
      <c r="B1038" s="7">
        <v>41943.0</v>
      </c>
      <c r="C1038" s="7">
        <f t="shared" si="1"/>
        <v>41938</v>
      </c>
      <c r="D1038" s="1" t="str">
        <f t="array" ref="D1038">IF(ISBLANK(XLOOKUP(D$3,daily_items,XLOOKUP($C1038,daily_dates,big_daily_table))),NA(),XLOOKUP(D$3,daily_items,XLOOKUP($C1038,daily_dates,big_daily_table)))</f>
        <v>#N/A</v>
      </c>
      <c r="E1038" s="1" t="str">
        <f t="array" ref="E1038">IF(ISBLANK(XLOOKUP(E$3,daily_items,XLOOKUP($C1038,daily_dates,big_daily_table))),NA(),XLOOKUP(E$3,daily_items,XLOOKUP($C1038,daily_dates,big_daily_table)))</f>
        <v>#N/A</v>
      </c>
    </row>
    <row r="1039" ht="14.25" customHeight="1">
      <c r="B1039" s="7">
        <v>41944.0</v>
      </c>
      <c r="C1039" s="7">
        <f t="shared" si="1"/>
        <v>41938</v>
      </c>
      <c r="D1039" s="1" t="str">
        <f t="array" ref="D1039">IF(ISBLANK(XLOOKUP(D$3,daily_items,XLOOKUP($C1039,daily_dates,big_daily_table))),NA(),XLOOKUP(D$3,daily_items,XLOOKUP($C1039,daily_dates,big_daily_table)))</f>
        <v>#N/A</v>
      </c>
      <c r="E1039" s="1" t="str">
        <f t="array" ref="E1039">IF(ISBLANK(XLOOKUP(E$3,daily_items,XLOOKUP($C1039,daily_dates,big_daily_table))),NA(),XLOOKUP(E$3,daily_items,XLOOKUP($C1039,daily_dates,big_daily_table)))</f>
        <v>#N/A</v>
      </c>
    </row>
    <row r="1040" ht="14.25" customHeight="1">
      <c r="B1040" s="7">
        <v>41945.0</v>
      </c>
      <c r="C1040" s="7">
        <f t="shared" si="1"/>
        <v>41945</v>
      </c>
      <c r="D1040" s="1" t="str">
        <f t="array" ref="D1040">IF(ISBLANK(XLOOKUP(D$3,daily_items,XLOOKUP($C1040,daily_dates,big_daily_table))),NA(),XLOOKUP(D$3,daily_items,XLOOKUP($C1040,daily_dates,big_daily_table)))</f>
        <v>#N/A</v>
      </c>
      <c r="E1040" s="1" t="str">
        <f t="array" ref="E1040">IF(ISBLANK(XLOOKUP(E$3,daily_items,XLOOKUP($C1040,daily_dates,big_daily_table))),NA(),XLOOKUP(E$3,daily_items,XLOOKUP($C1040,daily_dates,big_daily_table)))</f>
        <v>#N/A</v>
      </c>
    </row>
    <row r="1041" ht="14.25" customHeight="1">
      <c r="B1041" s="7">
        <v>41946.0</v>
      </c>
      <c r="C1041" s="7">
        <f t="shared" si="1"/>
        <v>41945</v>
      </c>
      <c r="D1041" s="1" t="str">
        <f t="array" ref="D1041">IF(ISBLANK(XLOOKUP(D$3,daily_items,XLOOKUP($C1041,daily_dates,big_daily_table))),NA(),XLOOKUP(D$3,daily_items,XLOOKUP($C1041,daily_dates,big_daily_table)))</f>
        <v>#N/A</v>
      </c>
      <c r="E1041" s="1" t="str">
        <f t="array" ref="E1041">IF(ISBLANK(XLOOKUP(E$3,daily_items,XLOOKUP($C1041,daily_dates,big_daily_table))),NA(),XLOOKUP(E$3,daily_items,XLOOKUP($C1041,daily_dates,big_daily_table)))</f>
        <v>#N/A</v>
      </c>
    </row>
    <row r="1042" ht="14.25" customHeight="1">
      <c r="B1042" s="7">
        <v>41947.0</v>
      </c>
      <c r="C1042" s="7">
        <f t="shared" si="1"/>
        <v>41945</v>
      </c>
      <c r="D1042" s="1" t="str">
        <f t="array" ref="D1042">IF(ISBLANK(XLOOKUP(D$3,daily_items,XLOOKUP($C1042,daily_dates,big_daily_table))),NA(),XLOOKUP(D$3,daily_items,XLOOKUP($C1042,daily_dates,big_daily_table)))</f>
        <v>#N/A</v>
      </c>
      <c r="E1042" s="1" t="str">
        <f t="array" ref="E1042">IF(ISBLANK(XLOOKUP(E$3,daily_items,XLOOKUP($C1042,daily_dates,big_daily_table))),NA(),XLOOKUP(E$3,daily_items,XLOOKUP($C1042,daily_dates,big_daily_table)))</f>
        <v>#N/A</v>
      </c>
    </row>
    <row r="1043" ht="14.25" customHeight="1">
      <c r="B1043" s="7">
        <v>41948.0</v>
      </c>
      <c r="C1043" s="7">
        <f t="shared" si="1"/>
        <v>41945</v>
      </c>
      <c r="D1043" s="1" t="str">
        <f t="array" ref="D1043">IF(ISBLANK(XLOOKUP(D$3,daily_items,XLOOKUP($C1043,daily_dates,big_daily_table))),NA(),XLOOKUP(D$3,daily_items,XLOOKUP($C1043,daily_dates,big_daily_table)))</f>
        <v>#N/A</v>
      </c>
      <c r="E1043" s="1" t="str">
        <f t="array" ref="E1043">IF(ISBLANK(XLOOKUP(E$3,daily_items,XLOOKUP($C1043,daily_dates,big_daily_table))),NA(),XLOOKUP(E$3,daily_items,XLOOKUP($C1043,daily_dates,big_daily_table)))</f>
        <v>#N/A</v>
      </c>
    </row>
    <row r="1044" ht="14.25" customHeight="1">
      <c r="B1044" s="7">
        <v>41949.0</v>
      </c>
      <c r="C1044" s="7">
        <f t="shared" si="1"/>
        <v>41945</v>
      </c>
      <c r="D1044" s="1" t="str">
        <f t="array" ref="D1044">IF(ISBLANK(XLOOKUP(D$3,daily_items,XLOOKUP($C1044,daily_dates,big_daily_table))),NA(),XLOOKUP(D$3,daily_items,XLOOKUP($C1044,daily_dates,big_daily_table)))</f>
        <v>#N/A</v>
      </c>
      <c r="E1044" s="1" t="str">
        <f t="array" ref="E1044">IF(ISBLANK(XLOOKUP(E$3,daily_items,XLOOKUP($C1044,daily_dates,big_daily_table))),NA(),XLOOKUP(E$3,daily_items,XLOOKUP($C1044,daily_dates,big_daily_table)))</f>
        <v>#N/A</v>
      </c>
    </row>
    <row r="1045" ht="14.25" customHeight="1">
      <c r="B1045" s="7">
        <v>41950.0</v>
      </c>
      <c r="C1045" s="7">
        <f t="shared" si="1"/>
        <v>41945</v>
      </c>
      <c r="D1045" s="1" t="str">
        <f t="array" ref="D1045">IF(ISBLANK(XLOOKUP(D$3,daily_items,XLOOKUP($C1045,daily_dates,big_daily_table))),NA(),XLOOKUP(D$3,daily_items,XLOOKUP($C1045,daily_dates,big_daily_table)))</f>
        <v>#N/A</v>
      </c>
      <c r="E1045" s="1" t="str">
        <f t="array" ref="E1045">IF(ISBLANK(XLOOKUP(E$3,daily_items,XLOOKUP($C1045,daily_dates,big_daily_table))),NA(),XLOOKUP(E$3,daily_items,XLOOKUP($C1045,daily_dates,big_daily_table)))</f>
        <v>#N/A</v>
      </c>
    </row>
    <row r="1046" ht="14.25" customHeight="1">
      <c r="B1046" s="7">
        <v>41951.0</v>
      </c>
      <c r="C1046" s="7">
        <f t="shared" si="1"/>
        <v>41945</v>
      </c>
      <c r="D1046" s="1" t="str">
        <f t="array" ref="D1046">IF(ISBLANK(XLOOKUP(D$3,daily_items,XLOOKUP($C1046,daily_dates,big_daily_table))),NA(),XLOOKUP(D$3,daily_items,XLOOKUP($C1046,daily_dates,big_daily_table)))</f>
        <v>#N/A</v>
      </c>
      <c r="E1046" s="1" t="str">
        <f t="array" ref="E1046">IF(ISBLANK(XLOOKUP(E$3,daily_items,XLOOKUP($C1046,daily_dates,big_daily_table))),NA(),XLOOKUP(E$3,daily_items,XLOOKUP($C1046,daily_dates,big_daily_table)))</f>
        <v>#N/A</v>
      </c>
    </row>
    <row r="1047" ht="14.25" customHeight="1">
      <c r="B1047" s="7">
        <v>41952.0</v>
      </c>
      <c r="C1047" s="7">
        <f t="shared" si="1"/>
        <v>41952</v>
      </c>
      <c r="D1047" s="1" t="str">
        <f t="array" ref="D1047">IF(ISBLANK(XLOOKUP(D$3,daily_items,XLOOKUP($C1047,daily_dates,big_daily_table))),NA(),XLOOKUP(D$3,daily_items,XLOOKUP($C1047,daily_dates,big_daily_table)))</f>
        <v>#N/A</v>
      </c>
      <c r="E1047" s="1" t="str">
        <f t="array" ref="E1047">IF(ISBLANK(XLOOKUP(E$3,daily_items,XLOOKUP($C1047,daily_dates,big_daily_table))),NA(),XLOOKUP(E$3,daily_items,XLOOKUP($C1047,daily_dates,big_daily_table)))</f>
        <v>#N/A</v>
      </c>
    </row>
    <row r="1048" ht="14.25" customHeight="1">
      <c r="B1048" s="7">
        <v>41953.0</v>
      </c>
      <c r="C1048" s="7">
        <f t="shared" si="1"/>
        <v>41952</v>
      </c>
      <c r="D1048" s="1" t="str">
        <f t="array" ref="D1048">IF(ISBLANK(XLOOKUP(D$3,daily_items,XLOOKUP($C1048,daily_dates,big_daily_table))),NA(),XLOOKUP(D$3,daily_items,XLOOKUP($C1048,daily_dates,big_daily_table)))</f>
        <v>#N/A</v>
      </c>
      <c r="E1048" s="1" t="str">
        <f t="array" ref="E1048">IF(ISBLANK(XLOOKUP(E$3,daily_items,XLOOKUP($C1048,daily_dates,big_daily_table))),NA(),XLOOKUP(E$3,daily_items,XLOOKUP($C1048,daily_dates,big_daily_table)))</f>
        <v>#N/A</v>
      </c>
    </row>
    <row r="1049" ht="14.25" customHeight="1">
      <c r="B1049" s="7">
        <v>41954.0</v>
      </c>
      <c r="C1049" s="7">
        <f t="shared" si="1"/>
        <v>41952</v>
      </c>
      <c r="D1049" s="1" t="str">
        <f t="array" ref="D1049">IF(ISBLANK(XLOOKUP(D$3,daily_items,XLOOKUP($C1049,daily_dates,big_daily_table))),NA(),XLOOKUP(D$3,daily_items,XLOOKUP($C1049,daily_dates,big_daily_table)))</f>
        <v>#N/A</v>
      </c>
      <c r="E1049" s="1" t="str">
        <f t="array" ref="E1049">IF(ISBLANK(XLOOKUP(E$3,daily_items,XLOOKUP($C1049,daily_dates,big_daily_table))),NA(),XLOOKUP(E$3,daily_items,XLOOKUP($C1049,daily_dates,big_daily_table)))</f>
        <v>#N/A</v>
      </c>
    </row>
    <row r="1050" ht="14.25" customHeight="1">
      <c r="B1050" s="7">
        <v>41955.0</v>
      </c>
      <c r="C1050" s="7">
        <f t="shared" si="1"/>
        <v>41952</v>
      </c>
      <c r="D1050" s="1" t="str">
        <f t="array" ref="D1050">IF(ISBLANK(XLOOKUP(D$3,daily_items,XLOOKUP($C1050,daily_dates,big_daily_table))),NA(),XLOOKUP(D$3,daily_items,XLOOKUP($C1050,daily_dates,big_daily_table)))</f>
        <v>#N/A</v>
      </c>
      <c r="E1050" s="1" t="str">
        <f t="array" ref="E1050">IF(ISBLANK(XLOOKUP(E$3,daily_items,XLOOKUP($C1050,daily_dates,big_daily_table))),NA(),XLOOKUP(E$3,daily_items,XLOOKUP($C1050,daily_dates,big_daily_table)))</f>
        <v>#N/A</v>
      </c>
    </row>
    <row r="1051" ht="14.25" customHeight="1">
      <c r="B1051" s="7">
        <v>41956.0</v>
      </c>
      <c r="C1051" s="7">
        <f t="shared" si="1"/>
        <v>41952</v>
      </c>
      <c r="D1051" s="1" t="str">
        <f t="array" ref="D1051">IF(ISBLANK(XLOOKUP(D$3,daily_items,XLOOKUP($C1051,daily_dates,big_daily_table))),NA(),XLOOKUP(D$3,daily_items,XLOOKUP($C1051,daily_dates,big_daily_table)))</f>
        <v>#N/A</v>
      </c>
      <c r="E1051" s="1" t="str">
        <f t="array" ref="E1051">IF(ISBLANK(XLOOKUP(E$3,daily_items,XLOOKUP($C1051,daily_dates,big_daily_table))),NA(),XLOOKUP(E$3,daily_items,XLOOKUP($C1051,daily_dates,big_daily_table)))</f>
        <v>#N/A</v>
      </c>
    </row>
    <row r="1052" ht="14.25" customHeight="1">
      <c r="B1052" s="7">
        <v>41957.0</v>
      </c>
      <c r="C1052" s="7">
        <f t="shared" si="1"/>
        <v>41952</v>
      </c>
      <c r="D1052" s="1" t="str">
        <f t="array" ref="D1052">IF(ISBLANK(XLOOKUP(D$3,daily_items,XLOOKUP($C1052,daily_dates,big_daily_table))),NA(),XLOOKUP(D$3,daily_items,XLOOKUP($C1052,daily_dates,big_daily_table)))</f>
        <v>#N/A</v>
      </c>
      <c r="E1052" s="1" t="str">
        <f t="array" ref="E1052">IF(ISBLANK(XLOOKUP(E$3,daily_items,XLOOKUP($C1052,daily_dates,big_daily_table))),NA(),XLOOKUP(E$3,daily_items,XLOOKUP($C1052,daily_dates,big_daily_table)))</f>
        <v>#N/A</v>
      </c>
    </row>
    <row r="1053" ht="14.25" customHeight="1">
      <c r="B1053" s="7">
        <v>41958.0</v>
      </c>
      <c r="C1053" s="7">
        <f t="shared" si="1"/>
        <v>41952</v>
      </c>
      <c r="D1053" s="1" t="str">
        <f t="array" ref="D1053">IF(ISBLANK(XLOOKUP(D$3,daily_items,XLOOKUP($C1053,daily_dates,big_daily_table))),NA(),XLOOKUP(D$3,daily_items,XLOOKUP($C1053,daily_dates,big_daily_table)))</f>
        <v>#N/A</v>
      </c>
      <c r="E1053" s="1" t="str">
        <f t="array" ref="E1053">IF(ISBLANK(XLOOKUP(E$3,daily_items,XLOOKUP($C1053,daily_dates,big_daily_table))),NA(),XLOOKUP(E$3,daily_items,XLOOKUP($C1053,daily_dates,big_daily_table)))</f>
        <v>#N/A</v>
      </c>
    </row>
    <row r="1054" ht="14.25" customHeight="1">
      <c r="B1054" s="7">
        <v>41959.0</v>
      </c>
      <c r="C1054" s="7">
        <f t="shared" si="1"/>
        <v>41959</v>
      </c>
      <c r="D1054" s="1" t="str">
        <f t="array" ref="D1054">IF(ISBLANK(XLOOKUP(D$3,daily_items,XLOOKUP($C1054,daily_dates,big_daily_table))),NA(),XLOOKUP(D$3,daily_items,XLOOKUP($C1054,daily_dates,big_daily_table)))</f>
        <v>#N/A</v>
      </c>
      <c r="E1054" s="1" t="str">
        <f t="array" ref="E1054">IF(ISBLANK(XLOOKUP(E$3,daily_items,XLOOKUP($C1054,daily_dates,big_daily_table))),NA(),XLOOKUP(E$3,daily_items,XLOOKUP($C1054,daily_dates,big_daily_table)))</f>
        <v>#N/A</v>
      </c>
    </row>
    <row r="1055" ht="14.25" customHeight="1">
      <c r="B1055" s="7">
        <v>41960.0</v>
      </c>
      <c r="C1055" s="7">
        <f t="shared" si="1"/>
        <v>41959</v>
      </c>
      <c r="D1055" s="1" t="str">
        <f t="array" ref="D1055">IF(ISBLANK(XLOOKUP(D$3,daily_items,XLOOKUP($C1055,daily_dates,big_daily_table))),NA(),XLOOKUP(D$3,daily_items,XLOOKUP($C1055,daily_dates,big_daily_table)))</f>
        <v>#N/A</v>
      </c>
      <c r="E1055" s="1" t="str">
        <f t="array" ref="E1055">IF(ISBLANK(XLOOKUP(E$3,daily_items,XLOOKUP($C1055,daily_dates,big_daily_table))),NA(),XLOOKUP(E$3,daily_items,XLOOKUP($C1055,daily_dates,big_daily_table)))</f>
        <v>#N/A</v>
      </c>
    </row>
    <row r="1056" ht="14.25" customHeight="1">
      <c r="B1056" s="7">
        <v>41961.0</v>
      </c>
      <c r="C1056" s="7">
        <f t="shared" si="1"/>
        <v>41959</v>
      </c>
      <c r="D1056" s="1" t="str">
        <f t="array" ref="D1056">IF(ISBLANK(XLOOKUP(D$3,daily_items,XLOOKUP($C1056,daily_dates,big_daily_table))),NA(),XLOOKUP(D$3,daily_items,XLOOKUP($C1056,daily_dates,big_daily_table)))</f>
        <v>#N/A</v>
      </c>
      <c r="E1056" s="1" t="str">
        <f t="array" ref="E1056">IF(ISBLANK(XLOOKUP(E$3,daily_items,XLOOKUP($C1056,daily_dates,big_daily_table))),NA(),XLOOKUP(E$3,daily_items,XLOOKUP($C1056,daily_dates,big_daily_table)))</f>
        <v>#N/A</v>
      </c>
    </row>
    <row r="1057" ht="14.25" customHeight="1">
      <c r="B1057" s="7">
        <v>41962.0</v>
      </c>
      <c r="C1057" s="7">
        <f t="shared" si="1"/>
        <v>41959</v>
      </c>
      <c r="D1057" s="1" t="str">
        <f t="array" ref="D1057">IF(ISBLANK(XLOOKUP(D$3,daily_items,XLOOKUP($C1057,daily_dates,big_daily_table))),NA(),XLOOKUP(D$3,daily_items,XLOOKUP($C1057,daily_dates,big_daily_table)))</f>
        <v>#N/A</v>
      </c>
      <c r="E1057" s="1" t="str">
        <f t="array" ref="E1057">IF(ISBLANK(XLOOKUP(E$3,daily_items,XLOOKUP($C1057,daily_dates,big_daily_table))),NA(),XLOOKUP(E$3,daily_items,XLOOKUP($C1057,daily_dates,big_daily_table)))</f>
        <v>#N/A</v>
      </c>
    </row>
    <row r="1058" ht="14.25" customHeight="1">
      <c r="B1058" s="7">
        <v>41963.0</v>
      </c>
      <c r="C1058" s="7">
        <f t="shared" si="1"/>
        <v>41959</v>
      </c>
      <c r="D1058" s="1" t="str">
        <f t="array" ref="D1058">IF(ISBLANK(XLOOKUP(D$3,daily_items,XLOOKUP($C1058,daily_dates,big_daily_table))),NA(),XLOOKUP(D$3,daily_items,XLOOKUP($C1058,daily_dates,big_daily_table)))</f>
        <v>#N/A</v>
      </c>
      <c r="E1058" s="1" t="str">
        <f t="array" ref="E1058">IF(ISBLANK(XLOOKUP(E$3,daily_items,XLOOKUP($C1058,daily_dates,big_daily_table))),NA(),XLOOKUP(E$3,daily_items,XLOOKUP($C1058,daily_dates,big_daily_table)))</f>
        <v>#N/A</v>
      </c>
    </row>
    <row r="1059" ht="14.25" customHeight="1">
      <c r="B1059" s="7">
        <v>41964.0</v>
      </c>
      <c r="C1059" s="7">
        <f t="shared" si="1"/>
        <v>41959</v>
      </c>
      <c r="D1059" s="1" t="str">
        <f t="array" ref="D1059">IF(ISBLANK(XLOOKUP(D$3,daily_items,XLOOKUP($C1059,daily_dates,big_daily_table))),NA(),XLOOKUP(D$3,daily_items,XLOOKUP($C1059,daily_dates,big_daily_table)))</f>
        <v>#N/A</v>
      </c>
      <c r="E1059" s="1" t="str">
        <f t="array" ref="E1059">IF(ISBLANK(XLOOKUP(E$3,daily_items,XLOOKUP($C1059,daily_dates,big_daily_table))),NA(),XLOOKUP(E$3,daily_items,XLOOKUP($C1059,daily_dates,big_daily_table)))</f>
        <v>#N/A</v>
      </c>
    </row>
    <row r="1060" ht="14.25" customHeight="1">
      <c r="B1060" s="7">
        <v>41965.0</v>
      </c>
      <c r="C1060" s="7">
        <f t="shared" si="1"/>
        <v>41959</v>
      </c>
      <c r="D1060" s="1" t="str">
        <f t="array" ref="D1060">IF(ISBLANK(XLOOKUP(D$3,daily_items,XLOOKUP($C1060,daily_dates,big_daily_table))),NA(),XLOOKUP(D$3,daily_items,XLOOKUP($C1060,daily_dates,big_daily_table)))</f>
        <v>#N/A</v>
      </c>
      <c r="E1060" s="1" t="str">
        <f t="array" ref="E1060">IF(ISBLANK(XLOOKUP(E$3,daily_items,XLOOKUP($C1060,daily_dates,big_daily_table))),NA(),XLOOKUP(E$3,daily_items,XLOOKUP($C1060,daily_dates,big_daily_table)))</f>
        <v>#N/A</v>
      </c>
    </row>
    <row r="1061" ht="14.25" customHeight="1">
      <c r="B1061" s="7">
        <v>41966.0</v>
      </c>
      <c r="C1061" s="7">
        <f t="shared" si="1"/>
        <v>41966</v>
      </c>
      <c r="D1061" s="1" t="str">
        <f t="array" ref="D1061">IF(ISBLANK(XLOOKUP(D$3,daily_items,XLOOKUP($C1061,daily_dates,big_daily_table))),NA(),XLOOKUP(D$3,daily_items,XLOOKUP($C1061,daily_dates,big_daily_table)))</f>
        <v>#N/A</v>
      </c>
      <c r="E1061" s="1" t="str">
        <f t="array" ref="E1061">IF(ISBLANK(XLOOKUP(E$3,daily_items,XLOOKUP($C1061,daily_dates,big_daily_table))),NA(),XLOOKUP(E$3,daily_items,XLOOKUP($C1061,daily_dates,big_daily_table)))</f>
        <v>#N/A</v>
      </c>
    </row>
    <row r="1062" ht="14.25" customHeight="1">
      <c r="B1062" s="7">
        <v>41967.0</v>
      </c>
      <c r="C1062" s="7">
        <f t="shared" si="1"/>
        <v>41966</v>
      </c>
      <c r="D1062" s="1" t="str">
        <f t="array" ref="D1062">IF(ISBLANK(XLOOKUP(D$3,daily_items,XLOOKUP($C1062,daily_dates,big_daily_table))),NA(),XLOOKUP(D$3,daily_items,XLOOKUP($C1062,daily_dates,big_daily_table)))</f>
        <v>#N/A</v>
      </c>
      <c r="E1062" s="1" t="str">
        <f t="array" ref="E1062">IF(ISBLANK(XLOOKUP(E$3,daily_items,XLOOKUP($C1062,daily_dates,big_daily_table))),NA(),XLOOKUP(E$3,daily_items,XLOOKUP($C1062,daily_dates,big_daily_table)))</f>
        <v>#N/A</v>
      </c>
    </row>
    <row r="1063" ht="14.25" customHeight="1">
      <c r="B1063" s="7">
        <v>41968.0</v>
      </c>
      <c r="C1063" s="7">
        <f t="shared" si="1"/>
        <v>41966</v>
      </c>
      <c r="D1063" s="1" t="str">
        <f t="array" ref="D1063">IF(ISBLANK(XLOOKUP(D$3,daily_items,XLOOKUP($C1063,daily_dates,big_daily_table))),NA(),XLOOKUP(D$3,daily_items,XLOOKUP($C1063,daily_dates,big_daily_table)))</f>
        <v>#N/A</v>
      </c>
      <c r="E1063" s="1" t="str">
        <f t="array" ref="E1063">IF(ISBLANK(XLOOKUP(E$3,daily_items,XLOOKUP($C1063,daily_dates,big_daily_table))),NA(),XLOOKUP(E$3,daily_items,XLOOKUP($C1063,daily_dates,big_daily_table)))</f>
        <v>#N/A</v>
      </c>
    </row>
    <row r="1064" ht="14.25" customHeight="1">
      <c r="B1064" s="7">
        <v>41969.0</v>
      </c>
      <c r="C1064" s="7">
        <f t="shared" si="1"/>
        <v>41966</v>
      </c>
      <c r="D1064" s="1" t="str">
        <f t="array" ref="D1064">IF(ISBLANK(XLOOKUP(D$3,daily_items,XLOOKUP($C1064,daily_dates,big_daily_table))),NA(),XLOOKUP(D$3,daily_items,XLOOKUP($C1064,daily_dates,big_daily_table)))</f>
        <v>#N/A</v>
      </c>
      <c r="E1064" s="1" t="str">
        <f t="array" ref="E1064">IF(ISBLANK(XLOOKUP(E$3,daily_items,XLOOKUP($C1064,daily_dates,big_daily_table))),NA(),XLOOKUP(E$3,daily_items,XLOOKUP($C1064,daily_dates,big_daily_table)))</f>
        <v>#N/A</v>
      </c>
    </row>
    <row r="1065" ht="14.25" customHeight="1">
      <c r="B1065" s="7">
        <v>41970.0</v>
      </c>
      <c r="C1065" s="7">
        <f t="shared" si="1"/>
        <v>41966</v>
      </c>
      <c r="D1065" s="1" t="str">
        <f t="array" ref="D1065">IF(ISBLANK(XLOOKUP(D$3,daily_items,XLOOKUP($C1065,daily_dates,big_daily_table))),NA(),XLOOKUP(D$3,daily_items,XLOOKUP($C1065,daily_dates,big_daily_table)))</f>
        <v>#N/A</v>
      </c>
      <c r="E1065" s="1" t="str">
        <f t="array" ref="E1065">IF(ISBLANK(XLOOKUP(E$3,daily_items,XLOOKUP($C1065,daily_dates,big_daily_table))),NA(),XLOOKUP(E$3,daily_items,XLOOKUP($C1065,daily_dates,big_daily_table)))</f>
        <v>#N/A</v>
      </c>
    </row>
    <row r="1066" ht="14.25" customHeight="1">
      <c r="B1066" s="7">
        <v>41971.0</v>
      </c>
      <c r="C1066" s="7">
        <f t="shared" si="1"/>
        <v>41966</v>
      </c>
      <c r="D1066" s="1" t="str">
        <f t="array" ref="D1066">IF(ISBLANK(XLOOKUP(D$3,daily_items,XLOOKUP($C1066,daily_dates,big_daily_table))),NA(),XLOOKUP(D$3,daily_items,XLOOKUP($C1066,daily_dates,big_daily_table)))</f>
        <v>#N/A</v>
      </c>
      <c r="E1066" s="1" t="str">
        <f t="array" ref="E1066">IF(ISBLANK(XLOOKUP(E$3,daily_items,XLOOKUP($C1066,daily_dates,big_daily_table))),NA(),XLOOKUP(E$3,daily_items,XLOOKUP($C1066,daily_dates,big_daily_table)))</f>
        <v>#N/A</v>
      </c>
    </row>
    <row r="1067" ht="14.25" customHeight="1">
      <c r="B1067" s="7">
        <v>41972.0</v>
      </c>
      <c r="C1067" s="7">
        <f t="shared" si="1"/>
        <v>41966</v>
      </c>
      <c r="D1067" s="1" t="str">
        <f t="array" ref="D1067">IF(ISBLANK(XLOOKUP(D$3,daily_items,XLOOKUP($C1067,daily_dates,big_daily_table))),NA(),XLOOKUP(D$3,daily_items,XLOOKUP($C1067,daily_dates,big_daily_table)))</f>
        <v>#N/A</v>
      </c>
      <c r="E1067" s="1" t="str">
        <f t="array" ref="E1067">IF(ISBLANK(XLOOKUP(E$3,daily_items,XLOOKUP($C1067,daily_dates,big_daily_table))),NA(),XLOOKUP(E$3,daily_items,XLOOKUP($C1067,daily_dates,big_daily_table)))</f>
        <v>#N/A</v>
      </c>
    </row>
    <row r="1068" ht="14.25" customHeight="1">
      <c r="B1068" s="7">
        <v>41973.0</v>
      </c>
      <c r="C1068" s="7">
        <f t="shared" si="1"/>
        <v>41973</v>
      </c>
      <c r="D1068" s="1" t="str">
        <f t="array" ref="D1068">IF(ISBLANK(XLOOKUP(D$3,daily_items,XLOOKUP($C1068,daily_dates,big_daily_table))),NA(),XLOOKUP(D$3,daily_items,XLOOKUP($C1068,daily_dates,big_daily_table)))</f>
        <v>#N/A</v>
      </c>
      <c r="E1068" s="1" t="str">
        <f t="array" ref="E1068">IF(ISBLANK(XLOOKUP(E$3,daily_items,XLOOKUP($C1068,daily_dates,big_daily_table))),NA(),XLOOKUP(E$3,daily_items,XLOOKUP($C1068,daily_dates,big_daily_table)))</f>
        <v>#N/A</v>
      </c>
    </row>
    <row r="1069" ht="14.25" customHeight="1">
      <c r="B1069" s="7">
        <v>41974.0</v>
      </c>
      <c r="C1069" s="7">
        <f t="shared" si="1"/>
        <v>41973</v>
      </c>
      <c r="D1069" s="1" t="str">
        <f t="array" ref="D1069">IF(ISBLANK(XLOOKUP(D$3,daily_items,XLOOKUP($C1069,daily_dates,big_daily_table))),NA(),XLOOKUP(D$3,daily_items,XLOOKUP($C1069,daily_dates,big_daily_table)))</f>
        <v>#N/A</v>
      </c>
      <c r="E1069" s="1" t="str">
        <f t="array" ref="E1069">IF(ISBLANK(XLOOKUP(E$3,daily_items,XLOOKUP($C1069,daily_dates,big_daily_table))),NA(),XLOOKUP(E$3,daily_items,XLOOKUP($C1069,daily_dates,big_daily_table)))</f>
        <v>#N/A</v>
      </c>
    </row>
    <row r="1070" ht="14.25" customHeight="1">
      <c r="B1070" s="7">
        <v>41975.0</v>
      </c>
      <c r="C1070" s="7">
        <f t="shared" si="1"/>
        <v>41973</v>
      </c>
      <c r="D1070" s="1" t="str">
        <f t="array" ref="D1070">IF(ISBLANK(XLOOKUP(D$3,daily_items,XLOOKUP($C1070,daily_dates,big_daily_table))),NA(),XLOOKUP(D$3,daily_items,XLOOKUP($C1070,daily_dates,big_daily_table)))</f>
        <v>#N/A</v>
      </c>
      <c r="E1070" s="1" t="str">
        <f t="array" ref="E1070">IF(ISBLANK(XLOOKUP(E$3,daily_items,XLOOKUP($C1070,daily_dates,big_daily_table))),NA(),XLOOKUP(E$3,daily_items,XLOOKUP($C1070,daily_dates,big_daily_table)))</f>
        <v>#N/A</v>
      </c>
    </row>
    <row r="1071" ht="14.25" customHeight="1">
      <c r="B1071" s="7">
        <v>41976.0</v>
      </c>
      <c r="C1071" s="7">
        <f t="shared" si="1"/>
        <v>41973</v>
      </c>
      <c r="D1071" s="1" t="str">
        <f t="array" ref="D1071">IF(ISBLANK(XLOOKUP(D$3,daily_items,XLOOKUP($C1071,daily_dates,big_daily_table))),NA(),XLOOKUP(D$3,daily_items,XLOOKUP($C1071,daily_dates,big_daily_table)))</f>
        <v>#N/A</v>
      </c>
      <c r="E1071" s="1" t="str">
        <f t="array" ref="E1071">IF(ISBLANK(XLOOKUP(E$3,daily_items,XLOOKUP($C1071,daily_dates,big_daily_table))),NA(),XLOOKUP(E$3,daily_items,XLOOKUP($C1071,daily_dates,big_daily_table)))</f>
        <v>#N/A</v>
      </c>
    </row>
    <row r="1072" ht="14.25" customHeight="1">
      <c r="B1072" s="7">
        <v>41977.0</v>
      </c>
      <c r="C1072" s="7">
        <f t="shared" si="1"/>
        <v>41973</v>
      </c>
      <c r="D1072" s="1" t="str">
        <f t="array" ref="D1072">IF(ISBLANK(XLOOKUP(D$3,daily_items,XLOOKUP($C1072,daily_dates,big_daily_table))),NA(),XLOOKUP(D$3,daily_items,XLOOKUP($C1072,daily_dates,big_daily_table)))</f>
        <v>#N/A</v>
      </c>
      <c r="E1072" s="1" t="str">
        <f t="array" ref="E1072">IF(ISBLANK(XLOOKUP(E$3,daily_items,XLOOKUP($C1072,daily_dates,big_daily_table))),NA(),XLOOKUP(E$3,daily_items,XLOOKUP($C1072,daily_dates,big_daily_table)))</f>
        <v>#N/A</v>
      </c>
    </row>
    <row r="1073" ht="14.25" customHeight="1">
      <c r="B1073" s="7">
        <v>41978.0</v>
      </c>
      <c r="C1073" s="7">
        <f t="shared" si="1"/>
        <v>41973</v>
      </c>
      <c r="D1073" s="1" t="str">
        <f t="array" ref="D1073">IF(ISBLANK(XLOOKUP(D$3,daily_items,XLOOKUP($C1073,daily_dates,big_daily_table))),NA(),XLOOKUP(D$3,daily_items,XLOOKUP($C1073,daily_dates,big_daily_table)))</f>
        <v>#N/A</v>
      </c>
      <c r="E1073" s="1" t="str">
        <f t="array" ref="E1073">IF(ISBLANK(XLOOKUP(E$3,daily_items,XLOOKUP($C1073,daily_dates,big_daily_table))),NA(),XLOOKUP(E$3,daily_items,XLOOKUP($C1073,daily_dates,big_daily_table)))</f>
        <v>#N/A</v>
      </c>
    </row>
    <row r="1074" ht="14.25" customHeight="1">
      <c r="B1074" s="7">
        <v>41979.0</v>
      </c>
      <c r="C1074" s="7">
        <f t="shared" si="1"/>
        <v>41973</v>
      </c>
      <c r="D1074" s="1" t="str">
        <f t="array" ref="D1074">IF(ISBLANK(XLOOKUP(D$3,daily_items,XLOOKUP($C1074,daily_dates,big_daily_table))),NA(),XLOOKUP(D$3,daily_items,XLOOKUP($C1074,daily_dates,big_daily_table)))</f>
        <v>#N/A</v>
      </c>
      <c r="E1074" s="1" t="str">
        <f t="array" ref="E1074">IF(ISBLANK(XLOOKUP(E$3,daily_items,XLOOKUP($C1074,daily_dates,big_daily_table))),NA(),XLOOKUP(E$3,daily_items,XLOOKUP($C1074,daily_dates,big_daily_table)))</f>
        <v>#N/A</v>
      </c>
    </row>
    <row r="1075" ht="14.25" customHeight="1">
      <c r="B1075" s="7">
        <v>41980.0</v>
      </c>
      <c r="C1075" s="7">
        <f t="shared" si="1"/>
        <v>41980</v>
      </c>
      <c r="D1075" s="1" t="str">
        <f t="array" ref="D1075">IF(ISBLANK(XLOOKUP(D$3,daily_items,XLOOKUP($C1075,daily_dates,big_daily_table))),NA(),XLOOKUP(D$3,daily_items,XLOOKUP($C1075,daily_dates,big_daily_table)))</f>
        <v>#N/A</v>
      </c>
      <c r="E1075" s="1" t="str">
        <f t="array" ref="E1075">IF(ISBLANK(XLOOKUP(E$3,daily_items,XLOOKUP($C1075,daily_dates,big_daily_table))),NA(),XLOOKUP(E$3,daily_items,XLOOKUP($C1075,daily_dates,big_daily_table)))</f>
        <v>#N/A</v>
      </c>
    </row>
    <row r="1076" ht="14.25" customHeight="1">
      <c r="B1076" s="7">
        <v>41981.0</v>
      </c>
      <c r="C1076" s="7">
        <f t="shared" si="1"/>
        <v>41980</v>
      </c>
      <c r="D1076" s="1" t="str">
        <f t="array" ref="D1076">IF(ISBLANK(XLOOKUP(D$3,daily_items,XLOOKUP($C1076,daily_dates,big_daily_table))),NA(),XLOOKUP(D$3,daily_items,XLOOKUP($C1076,daily_dates,big_daily_table)))</f>
        <v>#N/A</v>
      </c>
      <c r="E1076" s="1" t="str">
        <f t="array" ref="E1076">IF(ISBLANK(XLOOKUP(E$3,daily_items,XLOOKUP($C1076,daily_dates,big_daily_table))),NA(),XLOOKUP(E$3,daily_items,XLOOKUP($C1076,daily_dates,big_daily_table)))</f>
        <v>#N/A</v>
      </c>
    </row>
    <row r="1077" ht="14.25" customHeight="1">
      <c r="B1077" s="7">
        <v>41982.0</v>
      </c>
      <c r="C1077" s="7">
        <f t="shared" si="1"/>
        <v>41980</v>
      </c>
      <c r="D1077" s="1" t="str">
        <f t="array" ref="D1077">IF(ISBLANK(XLOOKUP(D$3,daily_items,XLOOKUP($C1077,daily_dates,big_daily_table))),NA(),XLOOKUP(D$3,daily_items,XLOOKUP($C1077,daily_dates,big_daily_table)))</f>
        <v>#N/A</v>
      </c>
      <c r="E1077" s="1" t="str">
        <f t="array" ref="E1077">IF(ISBLANK(XLOOKUP(E$3,daily_items,XLOOKUP($C1077,daily_dates,big_daily_table))),NA(),XLOOKUP(E$3,daily_items,XLOOKUP($C1077,daily_dates,big_daily_table)))</f>
        <v>#N/A</v>
      </c>
    </row>
    <row r="1078" ht="14.25" customHeight="1">
      <c r="B1078" s="7">
        <v>41983.0</v>
      </c>
      <c r="C1078" s="7">
        <f t="shared" si="1"/>
        <v>41980</v>
      </c>
      <c r="D1078" s="1" t="str">
        <f t="array" ref="D1078">IF(ISBLANK(XLOOKUP(D$3,daily_items,XLOOKUP($C1078,daily_dates,big_daily_table))),NA(),XLOOKUP(D$3,daily_items,XLOOKUP($C1078,daily_dates,big_daily_table)))</f>
        <v>#N/A</v>
      </c>
      <c r="E1078" s="1" t="str">
        <f t="array" ref="E1078">IF(ISBLANK(XLOOKUP(E$3,daily_items,XLOOKUP($C1078,daily_dates,big_daily_table))),NA(),XLOOKUP(E$3,daily_items,XLOOKUP($C1078,daily_dates,big_daily_table)))</f>
        <v>#N/A</v>
      </c>
    </row>
    <row r="1079" ht="14.25" customHeight="1">
      <c r="B1079" s="7">
        <v>41984.0</v>
      </c>
      <c r="C1079" s="7">
        <f t="shared" si="1"/>
        <v>41980</v>
      </c>
      <c r="D1079" s="1" t="str">
        <f t="array" ref="D1079">IF(ISBLANK(XLOOKUP(D$3,daily_items,XLOOKUP($C1079,daily_dates,big_daily_table))),NA(),XLOOKUP(D$3,daily_items,XLOOKUP($C1079,daily_dates,big_daily_table)))</f>
        <v>#N/A</v>
      </c>
      <c r="E1079" s="1" t="str">
        <f t="array" ref="E1079">IF(ISBLANK(XLOOKUP(E$3,daily_items,XLOOKUP($C1079,daily_dates,big_daily_table))),NA(),XLOOKUP(E$3,daily_items,XLOOKUP($C1079,daily_dates,big_daily_table)))</f>
        <v>#N/A</v>
      </c>
    </row>
    <row r="1080" ht="14.25" customHeight="1">
      <c r="B1080" s="7">
        <v>41985.0</v>
      </c>
      <c r="C1080" s="7">
        <f t="shared" si="1"/>
        <v>41980</v>
      </c>
      <c r="D1080" s="1" t="str">
        <f t="array" ref="D1080">IF(ISBLANK(XLOOKUP(D$3,daily_items,XLOOKUP($C1080,daily_dates,big_daily_table))),NA(),XLOOKUP(D$3,daily_items,XLOOKUP($C1080,daily_dates,big_daily_table)))</f>
        <v>#N/A</v>
      </c>
      <c r="E1080" s="1" t="str">
        <f t="array" ref="E1080">IF(ISBLANK(XLOOKUP(E$3,daily_items,XLOOKUP($C1080,daily_dates,big_daily_table))),NA(),XLOOKUP(E$3,daily_items,XLOOKUP($C1080,daily_dates,big_daily_table)))</f>
        <v>#N/A</v>
      </c>
    </row>
    <row r="1081" ht="14.25" customHeight="1">
      <c r="B1081" s="7">
        <v>41986.0</v>
      </c>
      <c r="C1081" s="7">
        <f t="shared" si="1"/>
        <v>41980</v>
      </c>
      <c r="D1081" s="1" t="str">
        <f t="array" ref="D1081">IF(ISBLANK(XLOOKUP(D$3,daily_items,XLOOKUP($C1081,daily_dates,big_daily_table))),NA(),XLOOKUP(D$3,daily_items,XLOOKUP($C1081,daily_dates,big_daily_table)))</f>
        <v>#N/A</v>
      </c>
      <c r="E1081" s="1" t="str">
        <f t="array" ref="E1081">IF(ISBLANK(XLOOKUP(E$3,daily_items,XLOOKUP($C1081,daily_dates,big_daily_table))),NA(),XLOOKUP(E$3,daily_items,XLOOKUP($C1081,daily_dates,big_daily_table)))</f>
        <v>#N/A</v>
      </c>
    </row>
    <row r="1082" ht="14.25" customHeight="1">
      <c r="B1082" s="7">
        <v>41987.0</v>
      </c>
      <c r="C1082" s="7">
        <f t="shared" si="1"/>
        <v>41987</v>
      </c>
      <c r="D1082" s="1" t="str">
        <f t="array" ref="D1082">IF(ISBLANK(XLOOKUP(D$3,daily_items,XLOOKUP($C1082,daily_dates,big_daily_table))),NA(),XLOOKUP(D$3,daily_items,XLOOKUP($C1082,daily_dates,big_daily_table)))</f>
        <v>#N/A</v>
      </c>
      <c r="E1082" s="1" t="str">
        <f t="array" ref="E1082">IF(ISBLANK(XLOOKUP(E$3,daily_items,XLOOKUP($C1082,daily_dates,big_daily_table))),NA(),XLOOKUP(E$3,daily_items,XLOOKUP($C1082,daily_dates,big_daily_table)))</f>
        <v>#N/A</v>
      </c>
    </row>
    <row r="1083" ht="14.25" customHeight="1">
      <c r="B1083" s="7">
        <v>41988.0</v>
      </c>
      <c r="C1083" s="7">
        <f t="shared" si="1"/>
        <v>41987</v>
      </c>
      <c r="D1083" s="1" t="str">
        <f t="array" ref="D1083">IF(ISBLANK(XLOOKUP(D$3,daily_items,XLOOKUP($C1083,daily_dates,big_daily_table))),NA(),XLOOKUP(D$3,daily_items,XLOOKUP($C1083,daily_dates,big_daily_table)))</f>
        <v>#N/A</v>
      </c>
      <c r="E1083" s="1" t="str">
        <f t="array" ref="E1083">IF(ISBLANK(XLOOKUP(E$3,daily_items,XLOOKUP($C1083,daily_dates,big_daily_table))),NA(),XLOOKUP(E$3,daily_items,XLOOKUP($C1083,daily_dates,big_daily_table)))</f>
        <v>#N/A</v>
      </c>
    </row>
    <row r="1084" ht="14.25" customHeight="1">
      <c r="B1084" s="7">
        <v>41989.0</v>
      </c>
      <c r="C1084" s="7">
        <f t="shared" si="1"/>
        <v>41987</v>
      </c>
      <c r="D1084" s="1" t="str">
        <f t="array" ref="D1084">IF(ISBLANK(XLOOKUP(D$3,daily_items,XLOOKUP($C1084,daily_dates,big_daily_table))),NA(),XLOOKUP(D$3,daily_items,XLOOKUP($C1084,daily_dates,big_daily_table)))</f>
        <v>#N/A</v>
      </c>
      <c r="E1084" s="1" t="str">
        <f t="array" ref="E1084">IF(ISBLANK(XLOOKUP(E$3,daily_items,XLOOKUP($C1084,daily_dates,big_daily_table))),NA(),XLOOKUP(E$3,daily_items,XLOOKUP($C1084,daily_dates,big_daily_table)))</f>
        <v>#N/A</v>
      </c>
    </row>
    <row r="1085" ht="14.25" customHeight="1">
      <c r="B1085" s="7">
        <v>41990.0</v>
      </c>
      <c r="C1085" s="7">
        <f t="shared" si="1"/>
        <v>41987</v>
      </c>
      <c r="D1085" s="1" t="str">
        <f t="array" ref="D1085">IF(ISBLANK(XLOOKUP(D$3,daily_items,XLOOKUP($C1085,daily_dates,big_daily_table))),NA(),XLOOKUP(D$3,daily_items,XLOOKUP($C1085,daily_dates,big_daily_table)))</f>
        <v>#N/A</v>
      </c>
      <c r="E1085" s="1" t="str">
        <f t="array" ref="E1085">IF(ISBLANK(XLOOKUP(E$3,daily_items,XLOOKUP($C1085,daily_dates,big_daily_table))),NA(),XLOOKUP(E$3,daily_items,XLOOKUP($C1085,daily_dates,big_daily_table)))</f>
        <v>#N/A</v>
      </c>
    </row>
    <row r="1086" ht="14.25" customHeight="1">
      <c r="B1086" s="7">
        <v>41991.0</v>
      </c>
      <c r="C1086" s="7">
        <f t="shared" si="1"/>
        <v>41987</v>
      </c>
      <c r="D1086" s="1" t="str">
        <f t="array" ref="D1086">IF(ISBLANK(XLOOKUP(D$3,daily_items,XLOOKUP($C1086,daily_dates,big_daily_table))),NA(),XLOOKUP(D$3,daily_items,XLOOKUP($C1086,daily_dates,big_daily_table)))</f>
        <v>#N/A</v>
      </c>
      <c r="E1086" s="1" t="str">
        <f t="array" ref="E1086">IF(ISBLANK(XLOOKUP(E$3,daily_items,XLOOKUP($C1086,daily_dates,big_daily_table))),NA(),XLOOKUP(E$3,daily_items,XLOOKUP($C1086,daily_dates,big_daily_table)))</f>
        <v>#N/A</v>
      </c>
    </row>
    <row r="1087" ht="14.25" customHeight="1">
      <c r="B1087" s="7">
        <v>41992.0</v>
      </c>
      <c r="C1087" s="7">
        <f t="shared" si="1"/>
        <v>41987</v>
      </c>
      <c r="D1087" s="1" t="str">
        <f t="array" ref="D1087">IF(ISBLANK(XLOOKUP(D$3,daily_items,XLOOKUP($C1087,daily_dates,big_daily_table))),NA(),XLOOKUP(D$3,daily_items,XLOOKUP($C1087,daily_dates,big_daily_table)))</f>
        <v>#N/A</v>
      </c>
      <c r="E1087" s="1" t="str">
        <f t="array" ref="E1087">IF(ISBLANK(XLOOKUP(E$3,daily_items,XLOOKUP($C1087,daily_dates,big_daily_table))),NA(),XLOOKUP(E$3,daily_items,XLOOKUP($C1087,daily_dates,big_daily_table)))</f>
        <v>#N/A</v>
      </c>
    </row>
    <row r="1088" ht="14.25" customHeight="1">
      <c r="B1088" s="7">
        <v>41993.0</v>
      </c>
      <c r="C1088" s="7">
        <f t="shared" si="1"/>
        <v>41987</v>
      </c>
      <c r="D1088" s="1" t="str">
        <f t="array" ref="D1088">IF(ISBLANK(XLOOKUP(D$3,daily_items,XLOOKUP($C1088,daily_dates,big_daily_table))),NA(),XLOOKUP(D$3,daily_items,XLOOKUP($C1088,daily_dates,big_daily_table)))</f>
        <v>#N/A</v>
      </c>
      <c r="E1088" s="1" t="str">
        <f t="array" ref="E1088">IF(ISBLANK(XLOOKUP(E$3,daily_items,XLOOKUP($C1088,daily_dates,big_daily_table))),NA(),XLOOKUP(E$3,daily_items,XLOOKUP($C1088,daily_dates,big_daily_table)))</f>
        <v>#N/A</v>
      </c>
    </row>
    <row r="1089" ht="14.25" customHeight="1">
      <c r="B1089" s="7">
        <v>41994.0</v>
      </c>
      <c r="C1089" s="7">
        <f t="shared" si="1"/>
        <v>41994</v>
      </c>
      <c r="D1089" s="1" t="str">
        <f t="array" ref="D1089">IF(ISBLANK(XLOOKUP(D$3,daily_items,XLOOKUP($C1089,daily_dates,big_daily_table))),NA(),XLOOKUP(D$3,daily_items,XLOOKUP($C1089,daily_dates,big_daily_table)))</f>
        <v>#N/A</v>
      </c>
      <c r="E1089" s="1" t="str">
        <f t="array" ref="E1089">IF(ISBLANK(XLOOKUP(E$3,daily_items,XLOOKUP($C1089,daily_dates,big_daily_table))),NA(),XLOOKUP(E$3,daily_items,XLOOKUP($C1089,daily_dates,big_daily_table)))</f>
        <v>#N/A</v>
      </c>
    </row>
    <row r="1090" ht="14.25" customHeight="1">
      <c r="B1090" s="7">
        <v>41995.0</v>
      </c>
      <c r="C1090" s="7">
        <f t="shared" si="1"/>
        <v>41994</v>
      </c>
      <c r="D1090" s="1" t="str">
        <f t="array" ref="D1090">IF(ISBLANK(XLOOKUP(D$3,daily_items,XLOOKUP($C1090,daily_dates,big_daily_table))),NA(),XLOOKUP(D$3,daily_items,XLOOKUP($C1090,daily_dates,big_daily_table)))</f>
        <v>#N/A</v>
      </c>
      <c r="E1090" s="1" t="str">
        <f t="array" ref="E1090">IF(ISBLANK(XLOOKUP(E$3,daily_items,XLOOKUP($C1090,daily_dates,big_daily_table))),NA(),XLOOKUP(E$3,daily_items,XLOOKUP($C1090,daily_dates,big_daily_table)))</f>
        <v>#N/A</v>
      </c>
    </row>
    <row r="1091" ht="14.25" customHeight="1">
      <c r="B1091" s="7">
        <v>41996.0</v>
      </c>
      <c r="C1091" s="7">
        <f t="shared" si="1"/>
        <v>41994</v>
      </c>
      <c r="D1091" s="1" t="str">
        <f t="array" ref="D1091">IF(ISBLANK(XLOOKUP(D$3,daily_items,XLOOKUP($C1091,daily_dates,big_daily_table))),NA(),XLOOKUP(D$3,daily_items,XLOOKUP($C1091,daily_dates,big_daily_table)))</f>
        <v>#N/A</v>
      </c>
      <c r="E1091" s="1" t="str">
        <f t="array" ref="E1091">IF(ISBLANK(XLOOKUP(E$3,daily_items,XLOOKUP($C1091,daily_dates,big_daily_table))),NA(),XLOOKUP(E$3,daily_items,XLOOKUP($C1091,daily_dates,big_daily_table)))</f>
        <v>#N/A</v>
      </c>
    </row>
    <row r="1092" ht="14.25" customHeight="1">
      <c r="B1092" s="7">
        <v>41997.0</v>
      </c>
      <c r="C1092" s="7">
        <f t="shared" si="1"/>
        <v>41994</v>
      </c>
      <c r="D1092" s="1" t="str">
        <f t="array" ref="D1092">IF(ISBLANK(XLOOKUP(D$3,daily_items,XLOOKUP($C1092,daily_dates,big_daily_table))),NA(),XLOOKUP(D$3,daily_items,XLOOKUP($C1092,daily_dates,big_daily_table)))</f>
        <v>#N/A</v>
      </c>
      <c r="E1092" s="1" t="str">
        <f t="array" ref="E1092">IF(ISBLANK(XLOOKUP(E$3,daily_items,XLOOKUP($C1092,daily_dates,big_daily_table))),NA(),XLOOKUP(E$3,daily_items,XLOOKUP($C1092,daily_dates,big_daily_table)))</f>
        <v>#N/A</v>
      </c>
    </row>
    <row r="1093" ht="14.25" customHeight="1">
      <c r="B1093" s="7">
        <v>41998.0</v>
      </c>
      <c r="C1093" s="7">
        <f t="shared" si="1"/>
        <v>41994</v>
      </c>
      <c r="D1093" s="1" t="str">
        <f t="array" ref="D1093">IF(ISBLANK(XLOOKUP(D$3,daily_items,XLOOKUP($C1093,daily_dates,big_daily_table))),NA(),XLOOKUP(D$3,daily_items,XLOOKUP($C1093,daily_dates,big_daily_table)))</f>
        <v>#N/A</v>
      </c>
      <c r="E1093" s="1" t="str">
        <f t="array" ref="E1093">IF(ISBLANK(XLOOKUP(E$3,daily_items,XLOOKUP($C1093,daily_dates,big_daily_table))),NA(),XLOOKUP(E$3,daily_items,XLOOKUP($C1093,daily_dates,big_daily_table)))</f>
        <v>#N/A</v>
      </c>
    </row>
    <row r="1094" ht="14.25" customHeight="1">
      <c r="B1094" s="7">
        <v>41999.0</v>
      </c>
      <c r="C1094" s="7">
        <f t="shared" si="1"/>
        <v>41994</v>
      </c>
      <c r="D1094" s="1" t="str">
        <f t="array" ref="D1094">IF(ISBLANK(XLOOKUP(D$3,daily_items,XLOOKUP($C1094,daily_dates,big_daily_table))),NA(),XLOOKUP(D$3,daily_items,XLOOKUP($C1094,daily_dates,big_daily_table)))</f>
        <v>#N/A</v>
      </c>
      <c r="E1094" s="1" t="str">
        <f t="array" ref="E1094">IF(ISBLANK(XLOOKUP(E$3,daily_items,XLOOKUP($C1094,daily_dates,big_daily_table))),NA(),XLOOKUP(E$3,daily_items,XLOOKUP($C1094,daily_dates,big_daily_table)))</f>
        <v>#N/A</v>
      </c>
    </row>
    <row r="1095" ht="14.25" customHeight="1">
      <c r="B1095" s="7">
        <v>42000.0</v>
      </c>
      <c r="C1095" s="7">
        <f t="shared" si="1"/>
        <v>41994</v>
      </c>
      <c r="D1095" s="1" t="str">
        <f t="array" ref="D1095">IF(ISBLANK(XLOOKUP(D$3,daily_items,XLOOKUP($C1095,daily_dates,big_daily_table))),NA(),XLOOKUP(D$3,daily_items,XLOOKUP($C1095,daily_dates,big_daily_table)))</f>
        <v>#N/A</v>
      </c>
      <c r="E1095" s="1" t="str">
        <f t="array" ref="E1095">IF(ISBLANK(XLOOKUP(E$3,daily_items,XLOOKUP($C1095,daily_dates,big_daily_table))),NA(),XLOOKUP(E$3,daily_items,XLOOKUP($C1095,daily_dates,big_daily_table)))</f>
        <v>#N/A</v>
      </c>
    </row>
    <row r="1096" ht="14.25" customHeight="1">
      <c r="B1096" s="7">
        <v>42001.0</v>
      </c>
      <c r="C1096" s="7">
        <f t="shared" si="1"/>
        <v>42001</v>
      </c>
      <c r="D1096" s="1" t="str">
        <f t="array" ref="D1096">IF(ISBLANK(XLOOKUP(D$3,daily_items,XLOOKUP($C1096,daily_dates,big_daily_table))),NA(),XLOOKUP(D$3,daily_items,XLOOKUP($C1096,daily_dates,big_daily_table)))</f>
        <v>#N/A</v>
      </c>
      <c r="E1096" s="1" t="str">
        <f t="array" ref="E1096">IF(ISBLANK(XLOOKUP(E$3,daily_items,XLOOKUP($C1096,daily_dates,big_daily_table))),NA(),XLOOKUP(E$3,daily_items,XLOOKUP($C1096,daily_dates,big_daily_table)))</f>
        <v>#N/A</v>
      </c>
    </row>
    <row r="1097" ht="14.25" customHeight="1">
      <c r="B1097" s="7">
        <v>42002.0</v>
      </c>
      <c r="C1097" s="7">
        <f t="shared" si="1"/>
        <v>42001</v>
      </c>
      <c r="D1097" s="1" t="str">
        <f t="array" ref="D1097">IF(ISBLANK(XLOOKUP(D$3,daily_items,XLOOKUP($C1097,daily_dates,big_daily_table))),NA(),XLOOKUP(D$3,daily_items,XLOOKUP($C1097,daily_dates,big_daily_table)))</f>
        <v>#N/A</v>
      </c>
      <c r="E1097" s="1" t="str">
        <f t="array" ref="E1097">IF(ISBLANK(XLOOKUP(E$3,daily_items,XLOOKUP($C1097,daily_dates,big_daily_table))),NA(),XLOOKUP(E$3,daily_items,XLOOKUP($C1097,daily_dates,big_daily_table)))</f>
        <v>#N/A</v>
      </c>
    </row>
    <row r="1098" ht="14.25" customHeight="1">
      <c r="B1098" s="7">
        <v>42003.0</v>
      </c>
      <c r="C1098" s="7">
        <f t="shared" si="1"/>
        <v>42001</v>
      </c>
      <c r="D1098" s="1" t="str">
        <f t="array" ref="D1098">IF(ISBLANK(XLOOKUP(D$3,daily_items,XLOOKUP($C1098,daily_dates,big_daily_table))),NA(),XLOOKUP(D$3,daily_items,XLOOKUP($C1098,daily_dates,big_daily_table)))</f>
        <v>#N/A</v>
      </c>
      <c r="E1098" s="1" t="str">
        <f t="array" ref="E1098">IF(ISBLANK(XLOOKUP(E$3,daily_items,XLOOKUP($C1098,daily_dates,big_daily_table))),NA(),XLOOKUP(E$3,daily_items,XLOOKUP($C1098,daily_dates,big_daily_table)))</f>
        <v>#N/A</v>
      </c>
    </row>
    <row r="1099" ht="14.25" customHeight="1">
      <c r="B1099" s="7">
        <v>42004.0</v>
      </c>
      <c r="C1099" s="7">
        <f t="shared" si="1"/>
        <v>42001</v>
      </c>
      <c r="D1099" s="1" t="str">
        <f t="array" ref="D1099">IF(ISBLANK(XLOOKUP(D$3,daily_items,XLOOKUP($C1099,daily_dates,big_daily_table))),NA(),XLOOKUP(D$3,daily_items,XLOOKUP($C1099,daily_dates,big_daily_table)))</f>
        <v>#N/A</v>
      </c>
      <c r="E1099" s="1" t="str">
        <f t="array" ref="E1099">IF(ISBLANK(XLOOKUP(E$3,daily_items,XLOOKUP($C1099,daily_dates,big_daily_table))),NA(),XLOOKUP(E$3,daily_items,XLOOKUP($C1099,daily_dates,big_daily_table)))</f>
        <v>#N/A</v>
      </c>
    </row>
    <row r="1100" ht="14.25" customHeight="1">
      <c r="B1100" s="7">
        <v>42005.0</v>
      </c>
      <c r="C1100" s="7">
        <f t="shared" si="1"/>
        <v>42001</v>
      </c>
      <c r="D1100" s="1" t="str">
        <f t="array" ref="D1100">IF(ISBLANK(XLOOKUP(D$3,daily_items,XLOOKUP($C1100,daily_dates,big_daily_table))),NA(),XLOOKUP(D$3,daily_items,XLOOKUP($C1100,daily_dates,big_daily_table)))</f>
        <v>#N/A</v>
      </c>
      <c r="E1100" s="1" t="str">
        <f t="array" ref="E1100">IF(ISBLANK(XLOOKUP(E$3,daily_items,XLOOKUP($C1100,daily_dates,big_daily_table))),NA(),XLOOKUP(E$3,daily_items,XLOOKUP($C1100,daily_dates,big_daily_table)))</f>
        <v>#N/A</v>
      </c>
    </row>
    <row r="1101" ht="14.25" customHeight="1">
      <c r="B1101" s="7">
        <v>42006.0</v>
      </c>
      <c r="C1101" s="7">
        <f t="shared" si="1"/>
        <v>42001</v>
      </c>
      <c r="D1101" s="1" t="str">
        <f t="array" ref="D1101">IF(ISBLANK(XLOOKUP(D$3,daily_items,XLOOKUP($C1101,daily_dates,big_daily_table))),NA(),XLOOKUP(D$3,daily_items,XLOOKUP($C1101,daily_dates,big_daily_table)))</f>
        <v>#N/A</v>
      </c>
      <c r="E1101" s="1" t="str">
        <f t="array" ref="E1101">IF(ISBLANK(XLOOKUP(E$3,daily_items,XLOOKUP($C1101,daily_dates,big_daily_table))),NA(),XLOOKUP(E$3,daily_items,XLOOKUP($C1101,daily_dates,big_daily_table)))</f>
        <v>#N/A</v>
      </c>
    </row>
    <row r="1102" ht="14.25" customHeight="1">
      <c r="B1102" s="7">
        <v>42007.0</v>
      </c>
      <c r="C1102" s="7">
        <f t="shared" si="1"/>
        <v>42001</v>
      </c>
      <c r="D1102" s="1" t="str">
        <f t="array" ref="D1102">IF(ISBLANK(XLOOKUP(D$3,daily_items,XLOOKUP($C1102,daily_dates,big_daily_table))),NA(),XLOOKUP(D$3,daily_items,XLOOKUP($C1102,daily_dates,big_daily_table)))</f>
        <v>#N/A</v>
      </c>
      <c r="E1102" s="1" t="str">
        <f t="array" ref="E1102">IF(ISBLANK(XLOOKUP(E$3,daily_items,XLOOKUP($C1102,daily_dates,big_daily_table))),NA(),XLOOKUP(E$3,daily_items,XLOOKUP($C1102,daily_dates,big_daily_table)))</f>
        <v>#N/A</v>
      </c>
    </row>
    <row r="1103" ht="14.25" customHeight="1">
      <c r="B1103" s="7">
        <v>42008.0</v>
      </c>
      <c r="C1103" s="7">
        <f t="shared" si="1"/>
        <v>42008</v>
      </c>
      <c r="D1103" s="1" t="str">
        <f t="array" ref="D1103">IF(ISBLANK(XLOOKUP(D$3,daily_items,XLOOKUP($C1103,daily_dates,big_daily_table))),NA(),XLOOKUP(D$3,daily_items,XLOOKUP($C1103,daily_dates,big_daily_table)))</f>
        <v>#N/A</v>
      </c>
      <c r="E1103" s="1" t="str">
        <f t="array" ref="E1103">IF(ISBLANK(XLOOKUP(E$3,daily_items,XLOOKUP($C1103,daily_dates,big_daily_table))),NA(),XLOOKUP(E$3,daily_items,XLOOKUP($C1103,daily_dates,big_daily_table)))</f>
        <v>#N/A</v>
      </c>
    </row>
    <row r="1104" ht="14.25" customHeight="1">
      <c r="B1104" s="7">
        <v>42009.0</v>
      </c>
      <c r="C1104" s="7">
        <f t="shared" si="1"/>
        <v>42008</v>
      </c>
      <c r="D1104" s="1" t="str">
        <f t="array" ref="D1104">IF(ISBLANK(XLOOKUP(D$3,daily_items,XLOOKUP($C1104,daily_dates,big_daily_table))),NA(),XLOOKUP(D$3,daily_items,XLOOKUP($C1104,daily_dates,big_daily_table)))</f>
        <v>#N/A</v>
      </c>
      <c r="E1104" s="1" t="str">
        <f t="array" ref="E1104">IF(ISBLANK(XLOOKUP(E$3,daily_items,XLOOKUP($C1104,daily_dates,big_daily_table))),NA(),XLOOKUP(E$3,daily_items,XLOOKUP($C1104,daily_dates,big_daily_table)))</f>
        <v>#N/A</v>
      </c>
    </row>
    <row r="1105" ht="14.25" customHeight="1">
      <c r="B1105" s="7">
        <v>42010.0</v>
      </c>
      <c r="C1105" s="7">
        <f t="shared" si="1"/>
        <v>42008</v>
      </c>
      <c r="D1105" s="1" t="str">
        <f t="array" ref="D1105">IF(ISBLANK(XLOOKUP(D$3,daily_items,XLOOKUP($C1105,daily_dates,big_daily_table))),NA(),XLOOKUP(D$3,daily_items,XLOOKUP($C1105,daily_dates,big_daily_table)))</f>
        <v>#N/A</v>
      </c>
      <c r="E1105" s="1" t="str">
        <f t="array" ref="E1105">IF(ISBLANK(XLOOKUP(E$3,daily_items,XLOOKUP($C1105,daily_dates,big_daily_table))),NA(),XLOOKUP(E$3,daily_items,XLOOKUP($C1105,daily_dates,big_daily_table)))</f>
        <v>#N/A</v>
      </c>
    </row>
    <row r="1106" ht="14.25" customHeight="1">
      <c r="B1106" s="7">
        <v>42011.0</v>
      </c>
      <c r="C1106" s="7">
        <f t="shared" si="1"/>
        <v>42008</v>
      </c>
      <c r="D1106" s="1" t="str">
        <f t="array" ref="D1106">IF(ISBLANK(XLOOKUP(D$3,daily_items,XLOOKUP($C1106,daily_dates,big_daily_table))),NA(),XLOOKUP(D$3,daily_items,XLOOKUP($C1106,daily_dates,big_daily_table)))</f>
        <v>#N/A</v>
      </c>
      <c r="E1106" s="1" t="str">
        <f t="array" ref="E1106">IF(ISBLANK(XLOOKUP(E$3,daily_items,XLOOKUP($C1106,daily_dates,big_daily_table))),NA(),XLOOKUP(E$3,daily_items,XLOOKUP($C1106,daily_dates,big_daily_table)))</f>
        <v>#N/A</v>
      </c>
    </row>
    <row r="1107" ht="14.25" customHeight="1">
      <c r="B1107" s="7">
        <v>42012.0</v>
      </c>
      <c r="C1107" s="7">
        <f t="shared" si="1"/>
        <v>42008</v>
      </c>
      <c r="D1107" s="1" t="str">
        <f t="array" ref="D1107">IF(ISBLANK(XLOOKUP(D$3,daily_items,XLOOKUP($C1107,daily_dates,big_daily_table))),NA(),XLOOKUP(D$3,daily_items,XLOOKUP($C1107,daily_dates,big_daily_table)))</f>
        <v>#N/A</v>
      </c>
      <c r="E1107" s="1" t="str">
        <f t="array" ref="E1107">IF(ISBLANK(XLOOKUP(E$3,daily_items,XLOOKUP($C1107,daily_dates,big_daily_table))),NA(),XLOOKUP(E$3,daily_items,XLOOKUP($C1107,daily_dates,big_daily_table)))</f>
        <v>#N/A</v>
      </c>
    </row>
    <row r="1108" ht="14.25" customHeight="1">
      <c r="B1108" s="7">
        <v>42013.0</v>
      </c>
      <c r="C1108" s="7">
        <f t="shared" si="1"/>
        <v>42008</v>
      </c>
      <c r="D1108" s="1" t="str">
        <f t="array" ref="D1108">IF(ISBLANK(XLOOKUP(D$3,daily_items,XLOOKUP($C1108,daily_dates,big_daily_table))),NA(),XLOOKUP(D$3,daily_items,XLOOKUP($C1108,daily_dates,big_daily_table)))</f>
        <v>#N/A</v>
      </c>
      <c r="E1108" s="1" t="str">
        <f t="array" ref="E1108">IF(ISBLANK(XLOOKUP(E$3,daily_items,XLOOKUP($C1108,daily_dates,big_daily_table))),NA(),XLOOKUP(E$3,daily_items,XLOOKUP($C1108,daily_dates,big_daily_table)))</f>
        <v>#N/A</v>
      </c>
    </row>
    <row r="1109" ht="14.25" customHeight="1">
      <c r="B1109" s="7">
        <v>42014.0</v>
      </c>
      <c r="C1109" s="7">
        <f t="shared" si="1"/>
        <v>42008</v>
      </c>
      <c r="D1109" s="1" t="str">
        <f t="array" ref="D1109">IF(ISBLANK(XLOOKUP(D$3,daily_items,XLOOKUP($C1109,daily_dates,big_daily_table))),NA(),XLOOKUP(D$3,daily_items,XLOOKUP($C1109,daily_dates,big_daily_table)))</f>
        <v>#N/A</v>
      </c>
      <c r="E1109" s="1" t="str">
        <f t="array" ref="E1109">IF(ISBLANK(XLOOKUP(E$3,daily_items,XLOOKUP($C1109,daily_dates,big_daily_table))),NA(),XLOOKUP(E$3,daily_items,XLOOKUP($C1109,daily_dates,big_daily_table)))</f>
        <v>#N/A</v>
      </c>
    </row>
    <row r="1110" ht="14.25" customHeight="1">
      <c r="B1110" s="7">
        <v>42015.0</v>
      </c>
      <c r="C1110" s="7">
        <f t="shared" si="1"/>
        <v>42015</v>
      </c>
      <c r="D1110" s="1" t="str">
        <f t="array" ref="D1110">IF(ISBLANK(XLOOKUP(D$3,daily_items,XLOOKUP($C1110,daily_dates,big_daily_table))),NA(),XLOOKUP(D$3,daily_items,XLOOKUP($C1110,daily_dates,big_daily_table)))</f>
        <v>#N/A</v>
      </c>
      <c r="E1110" s="1" t="str">
        <f t="array" ref="E1110">IF(ISBLANK(XLOOKUP(E$3,daily_items,XLOOKUP($C1110,daily_dates,big_daily_table))),NA(),XLOOKUP(E$3,daily_items,XLOOKUP($C1110,daily_dates,big_daily_table)))</f>
        <v>#N/A</v>
      </c>
    </row>
    <row r="1111" ht="14.25" customHeight="1">
      <c r="B1111" s="7">
        <v>42016.0</v>
      </c>
      <c r="C1111" s="7">
        <f t="shared" si="1"/>
        <v>42015</v>
      </c>
      <c r="D1111" s="1" t="str">
        <f t="array" ref="D1111">IF(ISBLANK(XLOOKUP(D$3,daily_items,XLOOKUP($C1111,daily_dates,big_daily_table))),NA(),XLOOKUP(D$3,daily_items,XLOOKUP($C1111,daily_dates,big_daily_table)))</f>
        <v>#N/A</v>
      </c>
      <c r="E1111" s="1" t="str">
        <f t="array" ref="E1111">IF(ISBLANK(XLOOKUP(E$3,daily_items,XLOOKUP($C1111,daily_dates,big_daily_table))),NA(),XLOOKUP(E$3,daily_items,XLOOKUP($C1111,daily_dates,big_daily_table)))</f>
        <v>#N/A</v>
      </c>
    </row>
    <row r="1112" ht="14.25" customHeight="1">
      <c r="B1112" s="7">
        <v>42017.0</v>
      </c>
      <c r="C1112" s="7">
        <f t="shared" si="1"/>
        <v>42015</v>
      </c>
      <c r="D1112" s="1" t="str">
        <f t="array" ref="D1112">IF(ISBLANK(XLOOKUP(D$3,daily_items,XLOOKUP($C1112,daily_dates,big_daily_table))),NA(),XLOOKUP(D$3,daily_items,XLOOKUP($C1112,daily_dates,big_daily_table)))</f>
        <v>#N/A</v>
      </c>
      <c r="E1112" s="1" t="str">
        <f t="array" ref="E1112">IF(ISBLANK(XLOOKUP(E$3,daily_items,XLOOKUP($C1112,daily_dates,big_daily_table))),NA(),XLOOKUP(E$3,daily_items,XLOOKUP($C1112,daily_dates,big_daily_table)))</f>
        <v>#N/A</v>
      </c>
    </row>
    <row r="1113" ht="14.25" customHeight="1">
      <c r="B1113" s="7">
        <v>42018.0</v>
      </c>
      <c r="C1113" s="7">
        <f t="shared" si="1"/>
        <v>42015</v>
      </c>
      <c r="D1113" s="1" t="str">
        <f t="array" ref="D1113">IF(ISBLANK(XLOOKUP(D$3,daily_items,XLOOKUP($C1113,daily_dates,big_daily_table))),NA(),XLOOKUP(D$3,daily_items,XLOOKUP($C1113,daily_dates,big_daily_table)))</f>
        <v>#N/A</v>
      </c>
      <c r="E1113" s="1" t="str">
        <f t="array" ref="E1113">IF(ISBLANK(XLOOKUP(E$3,daily_items,XLOOKUP($C1113,daily_dates,big_daily_table))),NA(),XLOOKUP(E$3,daily_items,XLOOKUP($C1113,daily_dates,big_daily_table)))</f>
        <v>#N/A</v>
      </c>
    </row>
    <row r="1114" ht="14.25" customHeight="1">
      <c r="B1114" s="7">
        <v>42019.0</v>
      </c>
      <c r="C1114" s="7">
        <f t="shared" si="1"/>
        <v>42015</v>
      </c>
      <c r="D1114" s="1" t="str">
        <f t="array" ref="D1114">IF(ISBLANK(XLOOKUP(D$3,daily_items,XLOOKUP($C1114,daily_dates,big_daily_table))),NA(),XLOOKUP(D$3,daily_items,XLOOKUP($C1114,daily_dates,big_daily_table)))</f>
        <v>#N/A</v>
      </c>
      <c r="E1114" s="1" t="str">
        <f t="array" ref="E1114">IF(ISBLANK(XLOOKUP(E$3,daily_items,XLOOKUP($C1114,daily_dates,big_daily_table))),NA(),XLOOKUP(E$3,daily_items,XLOOKUP($C1114,daily_dates,big_daily_table)))</f>
        <v>#N/A</v>
      </c>
    </row>
    <row r="1115" ht="14.25" customHeight="1">
      <c r="B1115" s="7">
        <v>42020.0</v>
      </c>
      <c r="C1115" s="7">
        <f t="shared" si="1"/>
        <v>42015</v>
      </c>
      <c r="D1115" s="1" t="str">
        <f t="array" ref="D1115">IF(ISBLANK(XLOOKUP(D$3,daily_items,XLOOKUP($C1115,daily_dates,big_daily_table))),NA(),XLOOKUP(D$3,daily_items,XLOOKUP($C1115,daily_dates,big_daily_table)))</f>
        <v>#N/A</v>
      </c>
      <c r="E1115" s="1" t="str">
        <f t="array" ref="E1115">IF(ISBLANK(XLOOKUP(E$3,daily_items,XLOOKUP($C1115,daily_dates,big_daily_table))),NA(),XLOOKUP(E$3,daily_items,XLOOKUP($C1115,daily_dates,big_daily_table)))</f>
        <v>#N/A</v>
      </c>
    </row>
    <row r="1116" ht="14.25" customHeight="1">
      <c r="B1116" s="7">
        <v>42021.0</v>
      </c>
      <c r="C1116" s="7">
        <f t="shared" si="1"/>
        <v>42015</v>
      </c>
      <c r="D1116" s="1" t="str">
        <f t="array" ref="D1116">IF(ISBLANK(XLOOKUP(D$3,daily_items,XLOOKUP($C1116,daily_dates,big_daily_table))),NA(),XLOOKUP(D$3,daily_items,XLOOKUP($C1116,daily_dates,big_daily_table)))</f>
        <v>#N/A</v>
      </c>
      <c r="E1116" s="1" t="str">
        <f t="array" ref="E1116">IF(ISBLANK(XLOOKUP(E$3,daily_items,XLOOKUP($C1116,daily_dates,big_daily_table))),NA(),XLOOKUP(E$3,daily_items,XLOOKUP($C1116,daily_dates,big_daily_table)))</f>
        <v>#N/A</v>
      </c>
    </row>
    <row r="1117" ht="14.25" customHeight="1">
      <c r="B1117" s="7">
        <v>42022.0</v>
      </c>
      <c r="C1117" s="7">
        <f t="shared" si="1"/>
        <v>42022</v>
      </c>
      <c r="D1117" s="1" t="str">
        <f t="array" ref="D1117">IF(ISBLANK(XLOOKUP(D$3,daily_items,XLOOKUP($C1117,daily_dates,big_daily_table))),NA(),XLOOKUP(D$3,daily_items,XLOOKUP($C1117,daily_dates,big_daily_table)))</f>
        <v>#N/A</v>
      </c>
      <c r="E1117" s="1" t="str">
        <f t="array" ref="E1117">IF(ISBLANK(XLOOKUP(E$3,daily_items,XLOOKUP($C1117,daily_dates,big_daily_table))),NA(),XLOOKUP(E$3,daily_items,XLOOKUP($C1117,daily_dates,big_daily_table)))</f>
        <v>#N/A</v>
      </c>
    </row>
    <row r="1118" ht="14.25" customHeight="1">
      <c r="B1118" s="7">
        <v>42023.0</v>
      </c>
      <c r="C1118" s="7">
        <f t="shared" si="1"/>
        <v>42022</v>
      </c>
      <c r="D1118" s="1" t="str">
        <f t="array" ref="D1118">IF(ISBLANK(XLOOKUP(D$3,daily_items,XLOOKUP($C1118,daily_dates,big_daily_table))),NA(),XLOOKUP(D$3,daily_items,XLOOKUP($C1118,daily_dates,big_daily_table)))</f>
        <v>#N/A</v>
      </c>
      <c r="E1118" s="1" t="str">
        <f t="array" ref="E1118">IF(ISBLANK(XLOOKUP(E$3,daily_items,XLOOKUP($C1118,daily_dates,big_daily_table))),NA(),XLOOKUP(E$3,daily_items,XLOOKUP($C1118,daily_dates,big_daily_table)))</f>
        <v>#N/A</v>
      </c>
    </row>
    <row r="1119" ht="14.25" customHeight="1">
      <c r="B1119" s="7">
        <v>42024.0</v>
      </c>
      <c r="C1119" s="7">
        <f t="shared" si="1"/>
        <v>42022</v>
      </c>
      <c r="D1119" s="1" t="str">
        <f t="array" ref="D1119">IF(ISBLANK(XLOOKUP(D$3,daily_items,XLOOKUP($C1119,daily_dates,big_daily_table))),NA(),XLOOKUP(D$3,daily_items,XLOOKUP($C1119,daily_dates,big_daily_table)))</f>
        <v>#N/A</v>
      </c>
      <c r="E1119" s="1" t="str">
        <f t="array" ref="E1119">IF(ISBLANK(XLOOKUP(E$3,daily_items,XLOOKUP($C1119,daily_dates,big_daily_table))),NA(),XLOOKUP(E$3,daily_items,XLOOKUP($C1119,daily_dates,big_daily_table)))</f>
        <v>#N/A</v>
      </c>
    </row>
    <row r="1120" ht="14.25" customHeight="1">
      <c r="B1120" s="7">
        <v>42025.0</v>
      </c>
      <c r="C1120" s="7">
        <f t="shared" si="1"/>
        <v>42022</v>
      </c>
      <c r="D1120" s="1" t="str">
        <f t="array" ref="D1120">IF(ISBLANK(XLOOKUP(D$3,daily_items,XLOOKUP($C1120,daily_dates,big_daily_table))),NA(),XLOOKUP(D$3,daily_items,XLOOKUP($C1120,daily_dates,big_daily_table)))</f>
        <v>#N/A</v>
      </c>
      <c r="E1120" s="1" t="str">
        <f t="array" ref="E1120">IF(ISBLANK(XLOOKUP(E$3,daily_items,XLOOKUP($C1120,daily_dates,big_daily_table))),NA(),XLOOKUP(E$3,daily_items,XLOOKUP($C1120,daily_dates,big_daily_table)))</f>
        <v>#N/A</v>
      </c>
    </row>
    <row r="1121" ht="14.25" customHeight="1">
      <c r="B1121" s="7">
        <v>42026.0</v>
      </c>
      <c r="C1121" s="7">
        <f t="shared" si="1"/>
        <v>42022</v>
      </c>
      <c r="D1121" s="1" t="str">
        <f t="array" ref="D1121">IF(ISBLANK(XLOOKUP(D$3,daily_items,XLOOKUP($C1121,daily_dates,big_daily_table))),NA(),XLOOKUP(D$3,daily_items,XLOOKUP($C1121,daily_dates,big_daily_table)))</f>
        <v>#N/A</v>
      </c>
      <c r="E1121" s="1" t="str">
        <f t="array" ref="E1121">IF(ISBLANK(XLOOKUP(E$3,daily_items,XLOOKUP($C1121,daily_dates,big_daily_table))),NA(),XLOOKUP(E$3,daily_items,XLOOKUP($C1121,daily_dates,big_daily_table)))</f>
        <v>#N/A</v>
      </c>
    </row>
    <row r="1122" ht="14.25" customHeight="1">
      <c r="B1122" s="7">
        <v>42027.0</v>
      </c>
      <c r="C1122" s="7">
        <f t="shared" si="1"/>
        <v>42022</v>
      </c>
      <c r="D1122" s="1" t="str">
        <f t="array" ref="D1122">IF(ISBLANK(XLOOKUP(D$3,daily_items,XLOOKUP($C1122,daily_dates,big_daily_table))),NA(),XLOOKUP(D$3,daily_items,XLOOKUP($C1122,daily_dates,big_daily_table)))</f>
        <v>#N/A</v>
      </c>
      <c r="E1122" s="1" t="str">
        <f t="array" ref="E1122">IF(ISBLANK(XLOOKUP(E$3,daily_items,XLOOKUP($C1122,daily_dates,big_daily_table))),NA(),XLOOKUP(E$3,daily_items,XLOOKUP($C1122,daily_dates,big_daily_table)))</f>
        <v>#N/A</v>
      </c>
    </row>
    <row r="1123" ht="14.25" customHeight="1">
      <c r="B1123" s="7">
        <v>42028.0</v>
      </c>
      <c r="C1123" s="7">
        <f t="shared" si="1"/>
        <v>42022</v>
      </c>
      <c r="D1123" s="1" t="str">
        <f t="array" ref="D1123">IF(ISBLANK(XLOOKUP(D$3,daily_items,XLOOKUP($C1123,daily_dates,big_daily_table))),NA(),XLOOKUP(D$3,daily_items,XLOOKUP($C1123,daily_dates,big_daily_table)))</f>
        <v>#N/A</v>
      </c>
      <c r="E1123" s="1" t="str">
        <f t="array" ref="E1123">IF(ISBLANK(XLOOKUP(E$3,daily_items,XLOOKUP($C1123,daily_dates,big_daily_table))),NA(),XLOOKUP(E$3,daily_items,XLOOKUP($C1123,daily_dates,big_daily_table)))</f>
        <v>#N/A</v>
      </c>
    </row>
    <row r="1124" ht="14.25" customHeight="1">
      <c r="B1124" s="7">
        <v>42029.0</v>
      </c>
      <c r="C1124" s="7">
        <f t="shared" si="1"/>
        <v>42029</v>
      </c>
      <c r="D1124" s="1" t="str">
        <f t="array" ref="D1124">IF(ISBLANK(XLOOKUP(D$3,daily_items,XLOOKUP($C1124,daily_dates,big_daily_table))),NA(),XLOOKUP(D$3,daily_items,XLOOKUP($C1124,daily_dates,big_daily_table)))</f>
        <v>#N/A</v>
      </c>
      <c r="E1124" s="1" t="str">
        <f t="array" ref="E1124">IF(ISBLANK(XLOOKUP(E$3,daily_items,XLOOKUP($C1124,daily_dates,big_daily_table))),NA(),XLOOKUP(E$3,daily_items,XLOOKUP($C1124,daily_dates,big_daily_table)))</f>
        <v>#N/A</v>
      </c>
    </row>
    <row r="1125" ht="14.25" customHeight="1">
      <c r="B1125" s="7">
        <v>42030.0</v>
      </c>
      <c r="C1125" s="7">
        <f t="shared" si="1"/>
        <v>42029</v>
      </c>
      <c r="D1125" s="1" t="str">
        <f t="array" ref="D1125">IF(ISBLANK(XLOOKUP(D$3,daily_items,XLOOKUP($C1125,daily_dates,big_daily_table))),NA(),XLOOKUP(D$3,daily_items,XLOOKUP($C1125,daily_dates,big_daily_table)))</f>
        <v>#N/A</v>
      </c>
      <c r="E1125" s="1" t="str">
        <f t="array" ref="E1125">IF(ISBLANK(XLOOKUP(E$3,daily_items,XLOOKUP($C1125,daily_dates,big_daily_table))),NA(),XLOOKUP(E$3,daily_items,XLOOKUP($C1125,daily_dates,big_daily_table)))</f>
        <v>#N/A</v>
      </c>
    </row>
    <row r="1126" ht="14.25" customHeight="1">
      <c r="B1126" s="7">
        <v>42031.0</v>
      </c>
      <c r="C1126" s="7">
        <f t="shared" si="1"/>
        <v>42029</v>
      </c>
      <c r="D1126" s="1" t="str">
        <f t="array" ref="D1126">IF(ISBLANK(XLOOKUP(D$3,daily_items,XLOOKUP($C1126,daily_dates,big_daily_table))),NA(),XLOOKUP(D$3,daily_items,XLOOKUP($C1126,daily_dates,big_daily_table)))</f>
        <v>#N/A</v>
      </c>
      <c r="E1126" s="1" t="str">
        <f t="array" ref="E1126">IF(ISBLANK(XLOOKUP(E$3,daily_items,XLOOKUP($C1126,daily_dates,big_daily_table))),NA(),XLOOKUP(E$3,daily_items,XLOOKUP($C1126,daily_dates,big_daily_table)))</f>
        <v>#N/A</v>
      </c>
    </row>
    <row r="1127" ht="14.25" customHeight="1">
      <c r="B1127" s="7">
        <v>42032.0</v>
      </c>
      <c r="C1127" s="7">
        <f t="shared" si="1"/>
        <v>42029</v>
      </c>
      <c r="D1127" s="1" t="str">
        <f t="array" ref="D1127">IF(ISBLANK(XLOOKUP(D$3,daily_items,XLOOKUP($C1127,daily_dates,big_daily_table))),NA(),XLOOKUP(D$3,daily_items,XLOOKUP($C1127,daily_dates,big_daily_table)))</f>
        <v>#N/A</v>
      </c>
      <c r="E1127" s="1" t="str">
        <f t="array" ref="E1127">IF(ISBLANK(XLOOKUP(E$3,daily_items,XLOOKUP($C1127,daily_dates,big_daily_table))),NA(),XLOOKUP(E$3,daily_items,XLOOKUP($C1127,daily_dates,big_daily_table)))</f>
        <v>#N/A</v>
      </c>
    </row>
    <row r="1128" ht="14.25" customHeight="1">
      <c r="B1128" s="7">
        <v>42033.0</v>
      </c>
      <c r="C1128" s="7">
        <f t="shared" si="1"/>
        <v>42029</v>
      </c>
      <c r="D1128" s="1" t="str">
        <f t="array" ref="D1128">IF(ISBLANK(XLOOKUP(D$3,daily_items,XLOOKUP($C1128,daily_dates,big_daily_table))),NA(),XLOOKUP(D$3,daily_items,XLOOKUP($C1128,daily_dates,big_daily_table)))</f>
        <v>#N/A</v>
      </c>
      <c r="E1128" s="1" t="str">
        <f t="array" ref="E1128">IF(ISBLANK(XLOOKUP(E$3,daily_items,XLOOKUP($C1128,daily_dates,big_daily_table))),NA(),XLOOKUP(E$3,daily_items,XLOOKUP($C1128,daily_dates,big_daily_table)))</f>
        <v>#N/A</v>
      </c>
    </row>
    <row r="1129" ht="14.25" customHeight="1">
      <c r="B1129" s="7">
        <v>42034.0</v>
      </c>
      <c r="C1129" s="7">
        <f t="shared" si="1"/>
        <v>42029</v>
      </c>
      <c r="D1129" s="1" t="str">
        <f t="array" ref="D1129">IF(ISBLANK(XLOOKUP(D$3,daily_items,XLOOKUP($C1129,daily_dates,big_daily_table))),NA(),XLOOKUP(D$3,daily_items,XLOOKUP($C1129,daily_dates,big_daily_table)))</f>
        <v>#N/A</v>
      </c>
      <c r="E1129" s="1" t="str">
        <f t="array" ref="E1129">IF(ISBLANK(XLOOKUP(E$3,daily_items,XLOOKUP($C1129,daily_dates,big_daily_table))),NA(),XLOOKUP(E$3,daily_items,XLOOKUP($C1129,daily_dates,big_daily_table)))</f>
        <v>#N/A</v>
      </c>
    </row>
    <row r="1130" ht="14.25" customHeight="1">
      <c r="B1130" s="7">
        <v>42035.0</v>
      </c>
      <c r="C1130" s="7">
        <f t="shared" si="1"/>
        <v>42029</v>
      </c>
      <c r="D1130" s="1" t="str">
        <f t="array" ref="D1130">IF(ISBLANK(XLOOKUP(D$3,daily_items,XLOOKUP($C1130,daily_dates,big_daily_table))),NA(),XLOOKUP(D$3,daily_items,XLOOKUP($C1130,daily_dates,big_daily_table)))</f>
        <v>#N/A</v>
      </c>
      <c r="E1130" s="1" t="str">
        <f t="array" ref="E1130">IF(ISBLANK(XLOOKUP(E$3,daily_items,XLOOKUP($C1130,daily_dates,big_daily_table))),NA(),XLOOKUP(E$3,daily_items,XLOOKUP($C1130,daily_dates,big_daily_table)))</f>
        <v>#N/A</v>
      </c>
    </row>
    <row r="1131" ht="14.25" customHeight="1">
      <c r="B1131" s="7">
        <v>42036.0</v>
      </c>
      <c r="C1131" s="7">
        <f t="shared" si="1"/>
        <v>42036</v>
      </c>
      <c r="D1131" s="1" t="str">
        <f t="array" ref="D1131">IF(ISBLANK(XLOOKUP(D$3,daily_items,XLOOKUP($C1131,daily_dates,big_daily_table))),NA(),XLOOKUP(D$3,daily_items,XLOOKUP($C1131,daily_dates,big_daily_table)))</f>
        <v>#N/A</v>
      </c>
      <c r="E1131" s="1" t="str">
        <f t="array" ref="E1131">IF(ISBLANK(XLOOKUP(E$3,daily_items,XLOOKUP($C1131,daily_dates,big_daily_table))),NA(),XLOOKUP(E$3,daily_items,XLOOKUP($C1131,daily_dates,big_daily_table)))</f>
        <v>#N/A</v>
      </c>
    </row>
    <row r="1132" ht="14.25" customHeight="1">
      <c r="B1132" s="7">
        <v>42037.0</v>
      </c>
      <c r="C1132" s="7">
        <f t="shared" si="1"/>
        <v>42036</v>
      </c>
      <c r="D1132" s="1" t="str">
        <f t="array" ref="D1132">IF(ISBLANK(XLOOKUP(D$3,daily_items,XLOOKUP($C1132,daily_dates,big_daily_table))),NA(),XLOOKUP(D$3,daily_items,XLOOKUP($C1132,daily_dates,big_daily_table)))</f>
        <v>#N/A</v>
      </c>
      <c r="E1132" s="1" t="str">
        <f t="array" ref="E1132">IF(ISBLANK(XLOOKUP(E$3,daily_items,XLOOKUP($C1132,daily_dates,big_daily_table))),NA(),XLOOKUP(E$3,daily_items,XLOOKUP($C1132,daily_dates,big_daily_table)))</f>
        <v>#N/A</v>
      </c>
    </row>
    <row r="1133" ht="14.25" customHeight="1">
      <c r="B1133" s="7">
        <v>42038.0</v>
      </c>
      <c r="C1133" s="7">
        <f t="shared" si="1"/>
        <v>42036</v>
      </c>
      <c r="D1133" s="1" t="str">
        <f t="array" ref="D1133">IF(ISBLANK(XLOOKUP(D$3,daily_items,XLOOKUP($C1133,daily_dates,big_daily_table))),NA(),XLOOKUP(D$3,daily_items,XLOOKUP($C1133,daily_dates,big_daily_table)))</f>
        <v>#N/A</v>
      </c>
      <c r="E1133" s="1" t="str">
        <f t="array" ref="E1133">IF(ISBLANK(XLOOKUP(E$3,daily_items,XLOOKUP($C1133,daily_dates,big_daily_table))),NA(),XLOOKUP(E$3,daily_items,XLOOKUP($C1133,daily_dates,big_daily_table)))</f>
        <v>#N/A</v>
      </c>
    </row>
    <row r="1134" ht="14.25" customHeight="1">
      <c r="B1134" s="7">
        <v>42039.0</v>
      </c>
      <c r="C1134" s="7">
        <f t="shared" si="1"/>
        <v>42036</v>
      </c>
      <c r="D1134" s="1" t="str">
        <f t="array" ref="D1134">IF(ISBLANK(XLOOKUP(D$3,daily_items,XLOOKUP($C1134,daily_dates,big_daily_table))),NA(),XLOOKUP(D$3,daily_items,XLOOKUP($C1134,daily_dates,big_daily_table)))</f>
        <v>#N/A</v>
      </c>
      <c r="E1134" s="1" t="str">
        <f t="array" ref="E1134">IF(ISBLANK(XLOOKUP(E$3,daily_items,XLOOKUP($C1134,daily_dates,big_daily_table))),NA(),XLOOKUP(E$3,daily_items,XLOOKUP($C1134,daily_dates,big_daily_table)))</f>
        <v>#N/A</v>
      </c>
    </row>
    <row r="1135" ht="14.25" customHeight="1">
      <c r="B1135" s="7">
        <v>42040.0</v>
      </c>
      <c r="C1135" s="7">
        <f t="shared" si="1"/>
        <v>42036</v>
      </c>
      <c r="D1135" s="1" t="str">
        <f t="array" ref="D1135">IF(ISBLANK(XLOOKUP(D$3,daily_items,XLOOKUP($C1135,daily_dates,big_daily_table))),NA(),XLOOKUP(D$3,daily_items,XLOOKUP($C1135,daily_dates,big_daily_table)))</f>
        <v>#N/A</v>
      </c>
      <c r="E1135" s="1" t="str">
        <f t="array" ref="E1135">IF(ISBLANK(XLOOKUP(E$3,daily_items,XLOOKUP($C1135,daily_dates,big_daily_table))),NA(),XLOOKUP(E$3,daily_items,XLOOKUP($C1135,daily_dates,big_daily_table)))</f>
        <v>#N/A</v>
      </c>
    </row>
    <row r="1136" ht="14.25" customHeight="1">
      <c r="B1136" s="7">
        <v>42041.0</v>
      </c>
      <c r="C1136" s="7">
        <f t="shared" si="1"/>
        <v>42036</v>
      </c>
      <c r="D1136" s="1" t="str">
        <f t="array" ref="D1136">IF(ISBLANK(XLOOKUP(D$3,daily_items,XLOOKUP($C1136,daily_dates,big_daily_table))),NA(),XLOOKUP(D$3,daily_items,XLOOKUP($C1136,daily_dates,big_daily_table)))</f>
        <v>#N/A</v>
      </c>
      <c r="E1136" s="1" t="str">
        <f t="array" ref="E1136">IF(ISBLANK(XLOOKUP(E$3,daily_items,XLOOKUP($C1136,daily_dates,big_daily_table))),NA(),XLOOKUP(E$3,daily_items,XLOOKUP($C1136,daily_dates,big_daily_table)))</f>
        <v>#N/A</v>
      </c>
    </row>
    <row r="1137" ht="14.25" customHeight="1">
      <c r="B1137" s="7">
        <v>42042.0</v>
      </c>
      <c r="C1137" s="7">
        <f t="shared" si="1"/>
        <v>42036</v>
      </c>
      <c r="D1137" s="1" t="str">
        <f t="array" ref="D1137">IF(ISBLANK(XLOOKUP(D$3,daily_items,XLOOKUP($C1137,daily_dates,big_daily_table))),NA(),XLOOKUP(D$3,daily_items,XLOOKUP($C1137,daily_dates,big_daily_table)))</f>
        <v>#N/A</v>
      </c>
      <c r="E1137" s="1" t="str">
        <f t="array" ref="E1137">IF(ISBLANK(XLOOKUP(E$3,daily_items,XLOOKUP($C1137,daily_dates,big_daily_table))),NA(),XLOOKUP(E$3,daily_items,XLOOKUP($C1137,daily_dates,big_daily_table)))</f>
        <v>#N/A</v>
      </c>
    </row>
    <row r="1138" ht="14.25" customHeight="1">
      <c r="B1138" s="7">
        <v>42043.0</v>
      </c>
      <c r="C1138" s="7">
        <f t="shared" si="1"/>
        <v>42043</v>
      </c>
      <c r="D1138" s="1" t="str">
        <f t="array" ref="D1138">IF(ISBLANK(XLOOKUP(D$3,daily_items,XLOOKUP($C1138,daily_dates,big_daily_table))),NA(),XLOOKUP(D$3,daily_items,XLOOKUP($C1138,daily_dates,big_daily_table)))</f>
        <v>#N/A</v>
      </c>
      <c r="E1138" s="1" t="str">
        <f t="array" ref="E1138">IF(ISBLANK(XLOOKUP(E$3,daily_items,XLOOKUP($C1138,daily_dates,big_daily_table))),NA(),XLOOKUP(E$3,daily_items,XLOOKUP($C1138,daily_dates,big_daily_table)))</f>
        <v>#N/A</v>
      </c>
    </row>
    <row r="1139" ht="14.25" customHeight="1">
      <c r="B1139" s="7">
        <v>42044.0</v>
      </c>
      <c r="C1139" s="7">
        <f t="shared" si="1"/>
        <v>42043</v>
      </c>
      <c r="D1139" s="1" t="str">
        <f t="array" ref="D1139">IF(ISBLANK(XLOOKUP(D$3,daily_items,XLOOKUP($C1139,daily_dates,big_daily_table))),NA(),XLOOKUP(D$3,daily_items,XLOOKUP($C1139,daily_dates,big_daily_table)))</f>
        <v>#N/A</v>
      </c>
      <c r="E1139" s="1" t="str">
        <f t="array" ref="E1139">IF(ISBLANK(XLOOKUP(E$3,daily_items,XLOOKUP($C1139,daily_dates,big_daily_table))),NA(),XLOOKUP(E$3,daily_items,XLOOKUP($C1139,daily_dates,big_daily_table)))</f>
        <v>#N/A</v>
      </c>
    </row>
    <row r="1140" ht="14.25" customHeight="1">
      <c r="B1140" s="7">
        <v>42045.0</v>
      </c>
      <c r="C1140" s="7">
        <f t="shared" si="1"/>
        <v>42043</v>
      </c>
      <c r="D1140" s="1" t="str">
        <f t="array" ref="D1140">IF(ISBLANK(XLOOKUP(D$3,daily_items,XLOOKUP($C1140,daily_dates,big_daily_table))),NA(),XLOOKUP(D$3,daily_items,XLOOKUP($C1140,daily_dates,big_daily_table)))</f>
        <v>#N/A</v>
      </c>
      <c r="E1140" s="1" t="str">
        <f t="array" ref="E1140">IF(ISBLANK(XLOOKUP(E$3,daily_items,XLOOKUP($C1140,daily_dates,big_daily_table))),NA(),XLOOKUP(E$3,daily_items,XLOOKUP($C1140,daily_dates,big_daily_table)))</f>
        <v>#N/A</v>
      </c>
    </row>
    <row r="1141" ht="14.25" customHeight="1">
      <c r="B1141" s="7">
        <v>42046.0</v>
      </c>
      <c r="C1141" s="7">
        <f t="shared" si="1"/>
        <v>42043</v>
      </c>
      <c r="D1141" s="1" t="str">
        <f t="array" ref="D1141">IF(ISBLANK(XLOOKUP(D$3,daily_items,XLOOKUP($C1141,daily_dates,big_daily_table))),NA(),XLOOKUP(D$3,daily_items,XLOOKUP($C1141,daily_dates,big_daily_table)))</f>
        <v>#N/A</v>
      </c>
      <c r="E1141" s="1" t="str">
        <f t="array" ref="E1141">IF(ISBLANK(XLOOKUP(E$3,daily_items,XLOOKUP($C1141,daily_dates,big_daily_table))),NA(),XLOOKUP(E$3,daily_items,XLOOKUP($C1141,daily_dates,big_daily_table)))</f>
        <v>#N/A</v>
      </c>
    </row>
    <row r="1142" ht="14.25" customHeight="1">
      <c r="B1142" s="7">
        <v>42047.0</v>
      </c>
      <c r="C1142" s="7">
        <f t="shared" si="1"/>
        <v>42043</v>
      </c>
      <c r="D1142" s="1" t="str">
        <f t="array" ref="D1142">IF(ISBLANK(XLOOKUP(D$3,daily_items,XLOOKUP($C1142,daily_dates,big_daily_table))),NA(),XLOOKUP(D$3,daily_items,XLOOKUP($C1142,daily_dates,big_daily_table)))</f>
        <v>#N/A</v>
      </c>
      <c r="E1142" s="1" t="str">
        <f t="array" ref="E1142">IF(ISBLANK(XLOOKUP(E$3,daily_items,XLOOKUP($C1142,daily_dates,big_daily_table))),NA(),XLOOKUP(E$3,daily_items,XLOOKUP($C1142,daily_dates,big_daily_table)))</f>
        <v>#N/A</v>
      </c>
    </row>
    <row r="1143" ht="14.25" customHeight="1">
      <c r="B1143" s="7">
        <v>42048.0</v>
      </c>
      <c r="C1143" s="7">
        <f t="shared" si="1"/>
        <v>42043</v>
      </c>
      <c r="D1143" s="1" t="str">
        <f t="array" ref="D1143">IF(ISBLANK(XLOOKUP(D$3,daily_items,XLOOKUP($C1143,daily_dates,big_daily_table))),NA(),XLOOKUP(D$3,daily_items,XLOOKUP($C1143,daily_dates,big_daily_table)))</f>
        <v>#N/A</v>
      </c>
      <c r="E1143" s="1" t="str">
        <f t="array" ref="E1143">IF(ISBLANK(XLOOKUP(E$3,daily_items,XLOOKUP($C1143,daily_dates,big_daily_table))),NA(),XLOOKUP(E$3,daily_items,XLOOKUP($C1143,daily_dates,big_daily_table)))</f>
        <v>#N/A</v>
      </c>
    </row>
    <row r="1144" ht="14.25" customHeight="1">
      <c r="B1144" s="7">
        <v>42049.0</v>
      </c>
      <c r="C1144" s="7">
        <f t="shared" si="1"/>
        <v>42043</v>
      </c>
      <c r="D1144" s="1" t="str">
        <f t="array" ref="D1144">IF(ISBLANK(XLOOKUP(D$3,daily_items,XLOOKUP($C1144,daily_dates,big_daily_table))),NA(),XLOOKUP(D$3,daily_items,XLOOKUP($C1144,daily_dates,big_daily_table)))</f>
        <v>#N/A</v>
      </c>
      <c r="E1144" s="1" t="str">
        <f t="array" ref="E1144">IF(ISBLANK(XLOOKUP(E$3,daily_items,XLOOKUP($C1144,daily_dates,big_daily_table))),NA(),XLOOKUP(E$3,daily_items,XLOOKUP($C1144,daily_dates,big_daily_table)))</f>
        <v>#N/A</v>
      </c>
    </row>
    <row r="1145" ht="14.25" customHeight="1">
      <c r="B1145" s="7">
        <v>42050.0</v>
      </c>
      <c r="C1145" s="7">
        <f t="shared" si="1"/>
        <v>42050</v>
      </c>
      <c r="D1145" s="1" t="str">
        <f t="array" ref="D1145">IF(ISBLANK(XLOOKUP(D$3,daily_items,XLOOKUP($C1145,daily_dates,big_daily_table))),NA(),XLOOKUP(D$3,daily_items,XLOOKUP($C1145,daily_dates,big_daily_table)))</f>
        <v>#N/A</v>
      </c>
      <c r="E1145" s="1" t="str">
        <f t="array" ref="E1145">IF(ISBLANK(XLOOKUP(E$3,daily_items,XLOOKUP($C1145,daily_dates,big_daily_table))),NA(),XLOOKUP(E$3,daily_items,XLOOKUP($C1145,daily_dates,big_daily_table)))</f>
        <v>#N/A</v>
      </c>
    </row>
    <row r="1146" ht="14.25" customHeight="1">
      <c r="B1146" s="7">
        <v>42051.0</v>
      </c>
      <c r="C1146" s="7">
        <f t="shared" si="1"/>
        <v>42050</v>
      </c>
      <c r="D1146" s="1" t="str">
        <f t="array" ref="D1146">IF(ISBLANK(XLOOKUP(D$3,daily_items,XLOOKUP($C1146,daily_dates,big_daily_table))),NA(),XLOOKUP(D$3,daily_items,XLOOKUP($C1146,daily_dates,big_daily_table)))</f>
        <v>#N/A</v>
      </c>
      <c r="E1146" s="1" t="str">
        <f t="array" ref="E1146">IF(ISBLANK(XLOOKUP(E$3,daily_items,XLOOKUP($C1146,daily_dates,big_daily_table))),NA(),XLOOKUP(E$3,daily_items,XLOOKUP($C1146,daily_dates,big_daily_table)))</f>
        <v>#N/A</v>
      </c>
    </row>
    <row r="1147" ht="14.25" customHeight="1">
      <c r="B1147" s="7">
        <v>42052.0</v>
      </c>
      <c r="C1147" s="7">
        <f t="shared" si="1"/>
        <v>42050</v>
      </c>
      <c r="D1147" s="1" t="str">
        <f t="array" ref="D1147">IF(ISBLANK(XLOOKUP(D$3,daily_items,XLOOKUP($C1147,daily_dates,big_daily_table))),NA(),XLOOKUP(D$3,daily_items,XLOOKUP($C1147,daily_dates,big_daily_table)))</f>
        <v>#N/A</v>
      </c>
      <c r="E1147" s="1" t="str">
        <f t="array" ref="E1147">IF(ISBLANK(XLOOKUP(E$3,daily_items,XLOOKUP($C1147,daily_dates,big_daily_table))),NA(),XLOOKUP(E$3,daily_items,XLOOKUP($C1147,daily_dates,big_daily_table)))</f>
        <v>#N/A</v>
      </c>
    </row>
    <row r="1148" ht="14.25" customHeight="1">
      <c r="B1148" s="7">
        <v>42053.0</v>
      </c>
      <c r="C1148" s="7">
        <f t="shared" si="1"/>
        <v>42050</v>
      </c>
      <c r="D1148" s="1" t="str">
        <f t="array" ref="D1148">IF(ISBLANK(XLOOKUP(D$3,daily_items,XLOOKUP($C1148,daily_dates,big_daily_table))),NA(),XLOOKUP(D$3,daily_items,XLOOKUP($C1148,daily_dates,big_daily_table)))</f>
        <v>#N/A</v>
      </c>
      <c r="E1148" s="1" t="str">
        <f t="array" ref="E1148">IF(ISBLANK(XLOOKUP(E$3,daily_items,XLOOKUP($C1148,daily_dates,big_daily_table))),NA(),XLOOKUP(E$3,daily_items,XLOOKUP($C1148,daily_dates,big_daily_table)))</f>
        <v>#N/A</v>
      </c>
    </row>
    <row r="1149" ht="14.25" customHeight="1">
      <c r="B1149" s="7">
        <v>42054.0</v>
      </c>
      <c r="C1149" s="7">
        <f t="shared" si="1"/>
        <v>42050</v>
      </c>
      <c r="D1149" s="1" t="str">
        <f t="array" ref="D1149">IF(ISBLANK(XLOOKUP(D$3,daily_items,XLOOKUP($C1149,daily_dates,big_daily_table))),NA(),XLOOKUP(D$3,daily_items,XLOOKUP($C1149,daily_dates,big_daily_table)))</f>
        <v>#N/A</v>
      </c>
      <c r="E1149" s="1" t="str">
        <f t="array" ref="E1149">IF(ISBLANK(XLOOKUP(E$3,daily_items,XLOOKUP($C1149,daily_dates,big_daily_table))),NA(),XLOOKUP(E$3,daily_items,XLOOKUP($C1149,daily_dates,big_daily_table)))</f>
        <v>#N/A</v>
      </c>
    </row>
    <row r="1150" ht="14.25" customHeight="1">
      <c r="B1150" s="7">
        <v>42055.0</v>
      </c>
      <c r="C1150" s="7">
        <f t="shared" si="1"/>
        <v>42050</v>
      </c>
      <c r="D1150" s="1" t="str">
        <f t="array" ref="D1150">IF(ISBLANK(XLOOKUP(D$3,daily_items,XLOOKUP($C1150,daily_dates,big_daily_table))),NA(),XLOOKUP(D$3,daily_items,XLOOKUP($C1150,daily_dates,big_daily_table)))</f>
        <v>#N/A</v>
      </c>
      <c r="E1150" s="1" t="str">
        <f t="array" ref="E1150">IF(ISBLANK(XLOOKUP(E$3,daily_items,XLOOKUP($C1150,daily_dates,big_daily_table))),NA(),XLOOKUP(E$3,daily_items,XLOOKUP($C1150,daily_dates,big_daily_table)))</f>
        <v>#N/A</v>
      </c>
    </row>
    <row r="1151" ht="14.25" customHeight="1">
      <c r="B1151" s="7">
        <v>42056.0</v>
      </c>
      <c r="C1151" s="7">
        <f t="shared" si="1"/>
        <v>42050</v>
      </c>
      <c r="D1151" s="1" t="str">
        <f t="array" ref="D1151">IF(ISBLANK(XLOOKUP(D$3,daily_items,XLOOKUP($C1151,daily_dates,big_daily_table))),NA(),XLOOKUP(D$3,daily_items,XLOOKUP($C1151,daily_dates,big_daily_table)))</f>
        <v>#N/A</v>
      </c>
      <c r="E1151" s="1" t="str">
        <f t="array" ref="E1151">IF(ISBLANK(XLOOKUP(E$3,daily_items,XLOOKUP($C1151,daily_dates,big_daily_table))),NA(),XLOOKUP(E$3,daily_items,XLOOKUP($C1151,daily_dates,big_daily_table)))</f>
        <v>#N/A</v>
      </c>
    </row>
    <row r="1152" ht="14.25" customHeight="1">
      <c r="B1152" s="7">
        <v>42057.0</v>
      </c>
      <c r="C1152" s="7">
        <f t="shared" si="1"/>
        <v>42057</v>
      </c>
      <c r="D1152" s="1" t="str">
        <f t="array" ref="D1152">IF(ISBLANK(XLOOKUP(D$3,daily_items,XLOOKUP($C1152,daily_dates,big_daily_table))),NA(),XLOOKUP(D$3,daily_items,XLOOKUP($C1152,daily_dates,big_daily_table)))</f>
        <v>#N/A</v>
      </c>
      <c r="E1152" s="1" t="str">
        <f t="array" ref="E1152">IF(ISBLANK(XLOOKUP(E$3,daily_items,XLOOKUP($C1152,daily_dates,big_daily_table))),NA(),XLOOKUP(E$3,daily_items,XLOOKUP($C1152,daily_dates,big_daily_table)))</f>
        <v>#N/A</v>
      </c>
    </row>
    <row r="1153" ht="14.25" customHeight="1">
      <c r="B1153" s="7">
        <v>42058.0</v>
      </c>
      <c r="C1153" s="7">
        <f t="shared" si="1"/>
        <v>42057</v>
      </c>
      <c r="D1153" s="1" t="str">
        <f t="array" ref="D1153">IF(ISBLANK(XLOOKUP(D$3,daily_items,XLOOKUP($C1153,daily_dates,big_daily_table))),NA(),XLOOKUP(D$3,daily_items,XLOOKUP($C1153,daily_dates,big_daily_table)))</f>
        <v>#N/A</v>
      </c>
      <c r="E1153" s="1" t="str">
        <f t="array" ref="E1153">IF(ISBLANK(XLOOKUP(E$3,daily_items,XLOOKUP($C1153,daily_dates,big_daily_table))),NA(),XLOOKUP(E$3,daily_items,XLOOKUP($C1153,daily_dates,big_daily_table)))</f>
        <v>#N/A</v>
      </c>
    </row>
    <row r="1154" ht="14.25" customHeight="1">
      <c r="B1154" s="7">
        <v>42059.0</v>
      </c>
      <c r="C1154" s="7">
        <f t="shared" si="1"/>
        <v>42057</v>
      </c>
      <c r="D1154" s="1" t="str">
        <f t="array" ref="D1154">IF(ISBLANK(XLOOKUP(D$3,daily_items,XLOOKUP($C1154,daily_dates,big_daily_table))),NA(),XLOOKUP(D$3,daily_items,XLOOKUP($C1154,daily_dates,big_daily_table)))</f>
        <v>#N/A</v>
      </c>
      <c r="E1154" s="1" t="str">
        <f t="array" ref="E1154">IF(ISBLANK(XLOOKUP(E$3,daily_items,XLOOKUP($C1154,daily_dates,big_daily_table))),NA(),XLOOKUP(E$3,daily_items,XLOOKUP($C1154,daily_dates,big_daily_table)))</f>
        <v>#N/A</v>
      </c>
    </row>
    <row r="1155" ht="14.25" customHeight="1">
      <c r="B1155" s="7">
        <v>42060.0</v>
      </c>
      <c r="C1155" s="7">
        <f t="shared" si="1"/>
        <v>42057</v>
      </c>
      <c r="D1155" s="1" t="str">
        <f t="array" ref="D1155">IF(ISBLANK(XLOOKUP(D$3,daily_items,XLOOKUP($C1155,daily_dates,big_daily_table))),NA(),XLOOKUP(D$3,daily_items,XLOOKUP($C1155,daily_dates,big_daily_table)))</f>
        <v>#N/A</v>
      </c>
      <c r="E1155" s="1" t="str">
        <f t="array" ref="E1155">IF(ISBLANK(XLOOKUP(E$3,daily_items,XLOOKUP($C1155,daily_dates,big_daily_table))),NA(),XLOOKUP(E$3,daily_items,XLOOKUP($C1155,daily_dates,big_daily_table)))</f>
        <v>#N/A</v>
      </c>
    </row>
    <row r="1156" ht="14.25" customHeight="1">
      <c r="B1156" s="7">
        <v>42061.0</v>
      </c>
      <c r="C1156" s="7">
        <f t="shared" si="1"/>
        <v>42057</v>
      </c>
      <c r="D1156" s="1" t="str">
        <f t="array" ref="D1156">IF(ISBLANK(XLOOKUP(D$3,daily_items,XLOOKUP($C1156,daily_dates,big_daily_table))),NA(),XLOOKUP(D$3,daily_items,XLOOKUP($C1156,daily_dates,big_daily_table)))</f>
        <v>#N/A</v>
      </c>
      <c r="E1156" s="1" t="str">
        <f t="array" ref="E1156">IF(ISBLANK(XLOOKUP(E$3,daily_items,XLOOKUP($C1156,daily_dates,big_daily_table))),NA(),XLOOKUP(E$3,daily_items,XLOOKUP($C1156,daily_dates,big_daily_table)))</f>
        <v>#N/A</v>
      </c>
    </row>
    <row r="1157" ht="14.25" customHeight="1">
      <c r="B1157" s="7">
        <v>42062.0</v>
      </c>
      <c r="C1157" s="7">
        <f t="shared" si="1"/>
        <v>42057</v>
      </c>
      <c r="D1157" s="1" t="str">
        <f t="array" ref="D1157">IF(ISBLANK(XLOOKUP(D$3,daily_items,XLOOKUP($C1157,daily_dates,big_daily_table))),NA(),XLOOKUP(D$3,daily_items,XLOOKUP($C1157,daily_dates,big_daily_table)))</f>
        <v>#N/A</v>
      </c>
      <c r="E1157" s="1" t="str">
        <f t="array" ref="E1157">IF(ISBLANK(XLOOKUP(E$3,daily_items,XLOOKUP($C1157,daily_dates,big_daily_table))),NA(),XLOOKUP(E$3,daily_items,XLOOKUP($C1157,daily_dates,big_daily_table)))</f>
        <v>#N/A</v>
      </c>
    </row>
    <row r="1158" ht="14.25" customHeight="1">
      <c r="B1158" s="7">
        <v>42063.0</v>
      </c>
      <c r="C1158" s="7">
        <f t="shared" si="1"/>
        <v>42057</v>
      </c>
      <c r="D1158" s="1" t="str">
        <f t="array" ref="D1158">IF(ISBLANK(XLOOKUP(D$3,daily_items,XLOOKUP($C1158,daily_dates,big_daily_table))),NA(),XLOOKUP(D$3,daily_items,XLOOKUP($C1158,daily_dates,big_daily_table)))</f>
        <v>#N/A</v>
      </c>
      <c r="E1158" s="1" t="str">
        <f t="array" ref="E1158">IF(ISBLANK(XLOOKUP(E$3,daily_items,XLOOKUP($C1158,daily_dates,big_daily_table))),NA(),XLOOKUP(E$3,daily_items,XLOOKUP($C1158,daily_dates,big_daily_table)))</f>
        <v>#N/A</v>
      </c>
    </row>
    <row r="1159" ht="14.25" customHeight="1">
      <c r="B1159" s="7">
        <v>42064.0</v>
      </c>
      <c r="C1159" s="7">
        <f t="shared" si="1"/>
        <v>42064</v>
      </c>
      <c r="D1159" s="1" t="str">
        <f t="array" ref="D1159">IF(ISBLANK(XLOOKUP(D$3,daily_items,XLOOKUP($C1159,daily_dates,big_daily_table))),NA(),XLOOKUP(D$3,daily_items,XLOOKUP($C1159,daily_dates,big_daily_table)))</f>
        <v>#N/A</v>
      </c>
      <c r="E1159" s="1" t="str">
        <f t="array" ref="E1159">IF(ISBLANK(XLOOKUP(E$3,daily_items,XLOOKUP($C1159,daily_dates,big_daily_table))),NA(),XLOOKUP(E$3,daily_items,XLOOKUP($C1159,daily_dates,big_daily_table)))</f>
        <v>#N/A</v>
      </c>
    </row>
    <row r="1160" ht="14.25" customHeight="1">
      <c r="B1160" s="7">
        <v>42065.0</v>
      </c>
      <c r="C1160" s="7">
        <f t="shared" si="1"/>
        <v>42064</v>
      </c>
      <c r="D1160" s="1" t="str">
        <f t="array" ref="D1160">IF(ISBLANK(XLOOKUP(D$3,daily_items,XLOOKUP($C1160,daily_dates,big_daily_table))),NA(),XLOOKUP(D$3,daily_items,XLOOKUP($C1160,daily_dates,big_daily_table)))</f>
        <v>#N/A</v>
      </c>
      <c r="E1160" s="1" t="str">
        <f t="array" ref="E1160">IF(ISBLANK(XLOOKUP(E$3,daily_items,XLOOKUP($C1160,daily_dates,big_daily_table))),NA(),XLOOKUP(E$3,daily_items,XLOOKUP($C1160,daily_dates,big_daily_table)))</f>
        <v>#N/A</v>
      </c>
    </row>
    <row r="1161" ht="14.25" customHeight="1">
      <c r="B1161" s="7">
        <v>42066.0</v>
      </c>
      <c r="C1161" s="7">
        <f t="shared" si="1"/>
        <v>42064</v>
      </c>
      <c r="D1161" s="1" t="str">
        <f t="array" ref="D1161">IF(ISBLANK(XLOOKUP(D$3,daily_items,XLOOKUP($C1161,daily_dates,big_daily_table))),NA(),XLOOKUP(D$3,daily_items,XLOOKUP($C1161,daily_dates,big_daily_table)))</f>
        <v>#N/A</v>
      </c>
      <c r="E1161" s="1" t="str">
        <f t="array" ref="E1161">IF(ISBLANK(XLOOKUP(E$3,daily_items,XLOOKUP($C1161,daily_dates,big_daily_table))),NA(),XLOOKUP(E$3,daily_items,XLOOKUP($C1161,daily_dates,big_daily_table)))</f>
        <v>#N/A</v>
      </c>
    </row>
    <row r="1162" ht="14.25" customHeight="1">
      <c r="B1162" s="7">
        <v>42067.0</v>
      </c>
      <c r="C1162" s="7">
        <f t="shared" si="1"/>
        <v>42064</v>
      </c>
      <c r="D1162" s="1" t="str">
        <f t="array" ref="D1162">IF(ISBLANK(XLOOKUP(D$3,daily_items,XLOOKUP($C1162,daily_dates,big_daily_table))),NA(),XLOOKUP(D$3,daily_items,XLOOKUP($C1162,daily_dates,big_daily_table)))</f>
        <v>#N/A</v>
      </c>
      <c r="E1162" s="1" t="str">
        <f t="array" ref="E1162">IF(ISBLANK(XLOOKUP(E$3,daily_items,XLOOKUP($C1162,daily_dates,big_daily_table))),NA(),XLOOKUP(E$3,daily_items,XLOOKUP($C1162,daily_dates,big_daily_table)))</f>
        <v>#N/A</v>
      </c>
    </row>
    <row r="1163" ht="14.25" customHeight="1">
      <c r="B1163" s="7">
        <v>42068.0</v>
      </c>
      <c r="C1163" s="7">
        <f t="shared" si="1"/>
        <v>42064</v>
      </c>
      <c r="D1163" s="1" t="str">
        <f t="array" ref="D1163">IF(ISBLANK(XLOOKUP(D$3,daily_items,XLOOKUP($C1163,daily_dates,big_daily_table))),NA(),XLOOKUP(D$3,daily_items,XLOOKUP($C1163,daily_dates,big_daily_table)))</f>
        <v>#N/A</v>
      </c>
      <c r="E1163" s="1" t="str">
        <f t="array" ref="E1163">IF(ISBLANK(XLOOKUP(E$3,daily_items,XLOOKUP($C1163,daily_dates,big_daily_table))),NA(),XLOOKUP(E$3,daily_items,XLOOKUP($C1163,daily_dates,big_daily_table)))</f>
        <v>#N/A</v>
      </c>
    </row>
    <row r="1164" ht="14.25" customHeight="1">
      <c r="B1164" s="7">
        <v>42069.0</v>
      </c>
      <c r="C1164" s="7">
        <f t="shared" si="1"/>
        <v>42064</v>
      </c>
      <c r="D1164" s="1" t="str">
        <f t="array" ref="D1164">IF(ISBLANK(XLOOKUP(D$3,daily_items,XLOOKUP($C1164,daily_dates,big_daily_table))),NA(),XLOOKUP(D$3,daily_items,XLOOKUP($C1164,daily_dates,big_daily_table)))</f>
        <v>#N/A</v>
      </c>
      <c r="E1164" s="1" t="str">
        <f t="array" ref="E1164">IF(ISBLANK(XLOOKUP(E$3,daily_items,XLOOKUP($C1164,daily_dates,big_daily_table))),NA(),XLOOKUP(E$3,daily_items,XLOOKUP($C1164,daily_dates,big_daily_table)))</f>
        <v>#N/A</v>
      </c>
    </row>
    <row r="1165" ht="14.25" customHeight="1">
      <c r="B1165" s="7">
        <v>42070.0</v>
      </c>
      <c r="C1165" s="7">
        <f t="shared" si="1"/>
        <v>42064</v>
      </c>
      <c r="D1165" s="1" t="str">
        <f t="array" ref="D1165">IF(ISBLANK(XLOOKUP(D$3,daily_items,XLOOKUP($C1165,daily_dates,big_daily_table))),NA(),XLOOKUP(D$3,daily_items,XLOOKUP($C1165,daily_dates,big_daily_table)))</f>
        <v>#N/A</v>
      </c>
      <c r="E1165" s="1" t="str">
        <f t="array" ref="E1165">IF(ISBLANK(XLOOKUP(E$3,daily_items,XLOOKUP($C1165,daily_dates,big_daily_table))),NA(),XLOOKUP(E$3,daily_items,XLOOKUP($C1165,daily_dates,big_daily_table)))</f>
        <v>#N/A</v>
      </c>
    </row>
    <row r="1166" ht="14.25" customHeight="1">
      <c r="B1166" s="7">
        <v>42071.0</v>
      </c>
      <c r="C1166" s="7">
        <f t="shared" si="1"/>
        <v>42071</v>
      </c>
      <c r="D1166" s="1" t="str">
        <f t="array" ref="D1166">IF(ISBLANK(XLOOKUP(D$3,daily_items,XLOOKUP($C1166,daily_dates,big_daily_table))),NA(),XLOOKUP(D$3,daily_items,XLOOKUP($C1166,daily_dates,big_daily_table)))</f>
        <v>#N/A</v>
      </c>
      <c r="E1166" s="1" t="str">
        <f t="array" ref="E1166">IF(ISBLANK(XLOOKUP(E$3,daily_items,XLOOKUP($C1166,daily_dates,big_daily_table))),NA(),XLOOKUP(E$3,daily_items,XLOOKUP($C1166,daily_dates,big_daily_table)))</f>
        <v>#N/A</v>
      </c>
    </row>
    <row r="1167" ht="14.25" customHeight="1">
      <c r="B1167" s="7">
        <v>42072.0</v>
      </c>
      <c r="C1167" s="7">
        <f t="shared" si="1"/>
        <v>42071</v>
      </c>
      <c r="D1167" s="1" t="str">
        <f t="array" ref="D1167">IF(ISBLANK(XLOOKUP(D$3,daily_items,XLOOKUP($C1167,daily_dates,big_daily_table))),NA(),XLOOKUP(D$3,daily_items,XLOOKUP($C1167,daily_dates,big_daily_table)))</f>
        <v>#N/A</v>
      </c>
      <c r="E1167" s="1" t="str">
        <f t="array" ref="E1167">IF(ISBLANK(XLOOKUP(E$3,daily_items,XLOOKUP($C1167,daily_dates,big_daily_table))),NA(),XLOOKUP(E$3,daily_items,XLOOKUP($C1167,daily_dates,big_daily_table)))</f>
        <v>#N/A</v>
      </c>
    </row>
    <row r="1168" ht="14.25" customHeight="1">
      <c r="B1168" s="7">
        <v>42073.0</v>
      </c>
      <c r="C1168" s="7">
        <f t="shared" si="1"/>
        <v>42071</v>
      </c>
      <c r="D1168" s="1" t="str">
        <f t="array" ref="D1168">IF(ISBLANK(XLOOKUP(D$3,daily_items,XLOOKUP($C1168,daily_dates,big_daily_table))),NA(),XLOOKUP(D$3,daily_items,XLOOKUP($C1168,daily_dates,big_daily_table)))</f>
        <v>#N/A</v>
      </c>
      <c r="E1168" s="1" t="str">
        <f t="array" ref="E1168">IF(ISBLANK(XLOOKUP(E$3,daily_items,XLOOKUP($C1168,daily_dates,big_daily_table))),NA(),XLOOKUP(E$3,daily_items,XLOOKUP($C1168,daily_dates,big_daily_table)))</f>
        <v>#N/A</v>
      </c>
    </row>
    <row r="1169" ht="14.25" customHeight="1">
      <c r="B1169" s="7">
        <v>42074.0</v>
      </c>
      <c r="C1169" s="7">
        <f t="shared" si="1"/>
        <v>42071</v>
      </c>
      <c r="D1169" s="1" t="str">
        <f t="array" ref="D1169">IF(ISBLANK(XLOOKUP(D$3,daily_items,XLOOKUP($C1169,daily_dates,big_daily_table))),NA(),XLOOKUP(D$3,daily_items,XLOOKUP($C1169,daily_dates,big_daily_table)))</f>
        <v>#N/A</v>
      </c>
      <c r="E1169" s="1" t="str">
        <f t="array" ref="E1169">IF(ISBLANK(XLOOKUP(E$3,daily_items,XLOOKUP($C1169,daily_dates,big_daily_table))),NA(),XLOOKUP(E$3,daily_items,XLOOKUP($C1169,daily_dates,big_daily_table)))</f>
        <v>#N/A</v>
      </c>
    </row>
    <row r="1170" ht="14.25" customHeight="1">
      <c r="B1170" s="7">
        <v>42075.0</v>
      </c>
      <c r="C1170" s="7">
        <f t="shared" si="1"/>
        <v>42071</v>
      </c>
      <c r="D1170" s="1" t="str">
        <f t="array" ref="D1170">IF(ISBLANK(XLOOKUP(D$3,daily_items,XLOOKUP($C1170,daily_dates,big_daily_table))),NA(),XLOOKUP(D$3,daily_items,XLOOKUP($C1170,daily_dates,big_daily_table)))</f>
        <v>#N/A</v>
      </c>
      <c r="E1170" s="1" t="str">
        <f t="array" ref="E1170">IF(ISBLANK(XLOOKUP(E$3,daily_items,XLOOKUP($C1170,daily_dates,big_daily_table))),NA(),XLOOKUP(E$3,daily_items,XLOOKUP($C1170,daily_dates,big_daily_table)))</f>
        <v>#N/A</v>
      </c>
    </row>
    <row r="1171" ht="14.25" customHeight="1">
      <c r="B1171" s="7">
        <v>42076.0</v>
      </c>
      <c r="C1171" s="7">
        <f t="shared" si="1"/>
        <v>42071</v>
      </c>
      <c r="D1171" s="1" t="str">
        <f t="array" ref="D1171">IF(ISBLANK(XLOOKUP(D$3,daily_items,XLOOKUP($C1171,daily_dates,big_daily_table))),NA(),XLOOKUP(D$3,daily_items,XLOOKUP($C1171,daily_dates,big_daily_table)))</f>
        <v>#N/A</v>
      </c>
      <c r="E1171" s="1" t="str">
        <f t="array" ref="E1171">IF(ISBLANK(XLOOKUP(E$3,daily_items,XLOOKUP($C1171,daily_dates,big_daily_table))),NA(),XLOOKUP(E$3,daily_items,XLOOKUP($C1171,daily_dates,big_daily_table)))</f>
        <v>#N/A</v>
      </c>
    </row>
    <row r="1172" ht="14.25" customHeight="1">
      <c r="B1172" s="7">
        <v>42077.0</v>
      </c>
      <c r="C1172" s="7">
        <f t="shared" si="1"/>
        <v>42071</v>
      </c>
      <c r="D1172" s="1" t="str">
        <f t="array" ref="D1172">IF(ISBLANK(XLOOKUP(D$3,daily_items,XLOOKUP($C1172,daily_dates,big_daily_table))),NA(),XLOOKUP(D$3,daily_items,XLOOKUP($C1172,daily_dates,big_daily_table)))</f>
        <v>#N/A</v>
      </c>
      <c r="E1172" s="1" t="str">
        <f t="array" ref="E1172">IF(ISBLANK(XLOOKUP(E$3,daily_items,XLOOKUP($C1172,daily_dates,big_daily_table))),NA(),XLOOKUP(E$3,daily_items,XLOOKUP($C1172,daily_dates,big_daily_table)))</f>
        <v>#N/A</v>
      </c>
    </row>
    <row r="1173" ht="14.25" customHeight="1">
      <c r="B1173" s="7">
        <v>42078.0</v>
      </c>
      <c r="C1173" s="7">
        <f t="shared" si="1"/>
        <v>42078</v>
      </c>
      <c r="D1173" s="1" t="str">
        <f t="array" ref="D1173">IF(ISBLANK(XLOOKUP(D$3,daily_items,XLOOKUP($C1173,daily_dates,big_daily_table))),NA(),XLOOKUP(D$3,daily_items,XLOOKUP($C1173,daily_dates,big_daily_table)))</f>
        <v>#N/A</v>
      </c>
      <c r="E1173" s="1" t="str">
        <f t="array" ref="E1173">IF(ISBLANK(XLOOKUP(E$3,daily_items,XLOOKUP($C1173,daily_dates,big_daily_table))),NA(),XLOOKUP(E$3,daily_items,XLOOKUP($C1173,daily_dates,big_daily_table)))</f>
        <v>#N/A</v>
      </c>
    </row>
    <row r="1174" ht="14.25" customHeight="1">
      <c r="B1174" s="7">
        <v>42079.0</v>
      </c>
      <c r="C1174" s="7">
        <f t="shared" si="1"/>
        <v>42078</v>
      </c>
      <c r="D1174" s="1" t="str">
        <f t="array" ref="D1174">IF(ISBLANK(XLOOKUP(D$3,daily_items,XLOOKUP($C1174,daily_dates,big_daily_table))),NA(),XLOOKUP(D$3,daily_items,XLOOKUP($C1174,daily_dates,big_daily_table)))</f>
        <v>#N/A</v>
      </c>
      <c r="E1174" s="1" t="str">
        <f t="array" ref="E1174">IF(ISBLANK(XLOOKUP(E$3,daily_items,XLOOKUP($C1174,daily_dates,big_daily_table))),NA(),XLOOKUP(E$3,daily_items,XLOOKUP($C1174,daily_dates,big_daily_table)))</f>
        <v>#N/A</v>
      </c>
    </row>
    <row r="1175" ht="14.25" customHeight="1">
      <c r="B1175" s="7">
        <v>42080.0</v>
      </c>
      <c r="C1175" s="7">
        <f t="shared" si="1"/>
        <v>42078</v>
      </c>
      <c r="D1175" s="1" t="str">
        <f t="array" ref="D1175">IF(ISBLANK(XLOOKUP(D$3,daily_items,XLOOKUP($C1175,daily_dates,big_daily_table))),NA(),XLOOKUP(D$3,daily_items,XLOOKUP($C1175,daily_dates,big_daily_table)))</f>
        <v>#N/A</v>
      </c>
      <c r="E1175" s="1" t="str">
        <f t="array" ref="E1175">IF(ISBLANK(XLOOKUP(E$3,daily_items,XLOOKUP($C1175,daily_dates,big_daily_table))),NA(),XLOOKUP(E$3,daily_items,XLOOKUP($C1175,daily_dates,big_daily_table)))</f>
        <v>#N/A</v>
      </c>
    </row>
    <row r="1176" ht="14.25" customHeight="1">
      <c r="B1176" s="7">
        <v>42081.0</v>
      </c>
      <c r="C1176" s="7">
        <f t="shared" si="1"/>
        <v>42078</v>
      </c>
      <c r="D1176" s="1" t="str">
        <f t="array" ref="D1176">IF(ISBLANK(XLOOKUP(D$3,daily_items,XLOOKUP($C1176,daily_dates,big_daily_table))),NA(),XLOOKUP(D$3,daily_items,XLOOKUP($C1176,daily_dates,big_daily_table)))</f>
        <v>#N/A</v>
      </c>
      <c r="E1176" s="1" t="str">
        <f t="array" ref="E1176">IF(ISBLANK(XLOOKUP(E$3,daily_items,XLOOKUP($C1176,daily_dates,big_daily_table))),NA(),XLOOKUP(E$3,daily_items,XLOOKUP($C1176,daily_dates,big_daily_table)))</f>
        <v>#N/A</v>
      </c>
    </row>
    <row r="1177" ht="14.25" customHeight="1">
      <c r="B1177" s="7">
        <v>42082.0</v>
      </c>
      <c r="C1177" s="7">
        <f t="shared" si="1"/>
        <v>42078</v>
      </c>
      <c r="D1177" s="1" t="str">
        <f t="array" ref="D1177">IF(ISBLANK(XLOOKUP(D$3,daily_items,XLOOKUP($C1177,daily_dates,big_daily_table))),NA(),XLOOKUP(D$3,daily_items,XLOOKUP($C1177,daily_dates,big_daily_table)))</f>
        <v>#N/A</v>
      </c>
      <c r="E1177" s="1" t="str">
        <f t="array" ref="E1177">IF(ISBLANK(XLOOKUP(E$3,daily_items,XLOOKUP($C1177,daily_dates,big_daily_table))),NA(),XLOOKUP(E$3,daily_items,XLOOKUP($C1177,daily_dates,big_daily_table)))</f>
        <v>#N/A</v>
      </c>
    </row>
    <row r="1178" ht="14.25" customHeight="1">
      <c r="B1178" s="7">
        <v>42083.0</v>
      </c>
      <c r="C1178" s="7">
        <f t="shared" si="1"/>
        <v>42078</v>
      </c>
      <c r="D1178" s="1" t="str">
        <f t="array" ref="D1178">IF(ISBLANK(XLOOKUP(D$3,daily_items,XLOOKUP($C1178,daily_dates,big_daily_table))),NA(),XLOOKUP(D$3,daily_items,XLOOKUP($C1178,daily_dates,big_daily_table)))</f>
        <v>#N/A</v>
      </c>
      <c r="E1178" s="1" t="str">
        <f t="array" ref="E1178">IF(ISBLANK(XLOOKUP(E$3,daily_items,XLOOKUP($C1178,daily_dates,big_daily_table))),NA(),XLOOKUP(E$3,daily_items,XLOOKUP($C1178,daily_dates,big_daily_table)))</f>
        <v>#N/A</v>
      </c>
    </row>
    <row r="1179" ht="14.25" customHeight="1">
      <c r="B1179" s="7">
        <v>42084.0</v>
      </c>
      <c r="C1179" s="7">
        <f t="shared" si="1"/>
        <v>42078</v>
      </c>
      <c r="D1179" s="1" t="str">
        <f t="array" ref="D1179">IF(ISBLANK(XLOOKUP(D$3,daily_items,XLOOKUP($C1179,daily_dates,big_daily_table))),NA(),XLOOKUP(D$3,daily_items,XLOOKUP($C1179,daily_dates,big_daily_table)))</f>
        <v>#N/A</v>
      </c>
      <c r="E1179" s="1" t="str">
        <f t="array" ref="E1179">IF(ISBLANK(XLOOKUP(E$3,daily_items,XLOOKUP($C1179,daily_dates,big_daily_table))),NA(),XLOOKUP(E$3,daily_items,XLOOKUP($C1179,daily_dates,big_daily_table)))</f>
        <v>#N/A</v>
      </c>
    </row>
    <row r="1180" ht="14.25" customHeight="1">
      <c r="B1180" s="7">
        <v>42085.0</v>
      </c>
      <c r="C1180" s="7">
        <f t="shared" si="1"/>
        <v>42085</v>
      </c>
      <c r="D1180" s="1" t="str">
        <f t="array" ref="D1180">IF(ISBLANK(XLOOKUP(D$3,daily_items,XLOOKUP($C1180,daily_dates,big_daily_table))),NA(),XLOOKUP(D$3,daily_items,XLOOKUP($C1180,daily_dates,big_daily_table)))</f>
        <v>#N/A</v>
      </c>
      <c r="E1180" s="1" t="str">
        <f t="array" ref="E1180">IF(ISBLANK(XLOOKUP(E$3,daily_items,XLOOKUP($C1180,daily_dates,big_daily_table))),NA(),XLOOKUP(E$3,daily_items,XLOOKUP($C1180,daily_dates,big_daily_table)))</f>
        <v>#N/A</v>
      </c>
    </row>
    <row r="1181" ht="14.25" customHeight="1">
      <c r="B1181" s="7">
        <v>42086.0</v>
      </c>
      <c r="C1181" s="7">
        <f t="shared" si="1"/>
        <v>42085</v>
      </c>
      <c r="D1181" s="1" t="str">
        <f t="array" ref="D1181">IF(ISBLANK(XLOOKUP(D$3,daily_items,XLOOKUP($C1181,daily_dates,big_daily_table))),NA(),XLOOKUP(D$3,daily_items,XLOOKUP($C1181,daily_dates,big_daily_table)))</f>
        <v>#N/A</v>
      </c>
      <c r="E1181" s="1" t="str">
        <f t="array" ref="E1181">IF(ISBLANK(XLOOKUP(E$3,daily_items,XLOOKUP($C1181,daily_dates,big_daily_table))),NA(),XLOOKUP(E$3,daily_items,XLOOKUP($C1181,daily_dates,big_daily_table)))</f>
        <v>#N/A</v>
      </c>
    </row>
    <row r="1182" ht="14.25" customHeight="1">
      <c r="B1182" s="7">
        <v>42087.0</v>
      </c>
      <c r="C1182" s="7">
        <f t="shared" si="1"/>
        <v>42085</v>
      </c>
      <c r="D1182" s="1" t="str">
        <f t="array" ref="D1182">IF(ISBLANK(XLOOKUP(D$3,daily_items,XLOOKUP($C1182,daily_dates,big_daily_table))),NA(),XLOOKUP(D$3,daily_items,XLOOKUP($C1182,daily_dates,big_daily_table)))</f>
        <v>#N/A</v>
      </c>
      <c r="E1182" s="1" t="str">
        <f t="array" ref="E1182">IF(ISBLANK(XLOOKUP(E$3,daily_items,XLOOKUP($C1182,daily_dates,big_daily_table))),NA(),XLOOKUP(E$3,daily_items,XLOOKUP($C1182,daily_dates,big_daily_table)))</f>
        <v>#N/A</v>
      </c>
    </row>
    <row r="1183" ht="14.25" customHeight="1">
      <c r="B1183" s="7">
        <v>42088.0</v>
      </c>
      <c r="C1183" s="7">
        <f t="shared" si="1"/>
        <v>42085</v>
      </c>
      <c r="D1183" s="1" t="str">
        <f t="array" ref="D1183">IF(ISBLANK(XLOOKUP(D$3,daily_items,XLOOKUP($C1183,daily_dates,big_daily_table))),NA(),XLOOKUP(D$3,daily_items,XLOOKUP($C1183,daily_dates,big_daily_table)))</f>
        <v>#N/A</v>
      </c>
      <c r="E1183" s="1" t="str">
        <f t="array" ref="E1183">IF(ISBLANK(XLOOKUP(E$3,daily_items,XLOOKUP($C1183,daily_dates,big_daily_table))),NA(),XLOOKUP(E$3,daily_items,XLOOKUP($C1183,daily_dates,big_daily_table)))</f>
        <v>#N/A</v>
      </c>
    </row>
    <row r="1184" ht="14.25" customHeight="1">
      <c r="B1184" s="7">
        <v>42089.0</v>
      </c>
      <c r="C1184" s="7">
        <f t="shared" si="1"/>
        <v>42085</v>
      </c>
      <c r="D1184" s="1" t="str">
        <f t="array" ref="D1184">IF(ISBLANK(XLOOKUP(D$3,daily_items,XLOOKUP($C1184,daily_dates,big_daily_table))),NA(),XLOOKUP(D$3,daily_items,XLOOKUP($C1184,daily_dates,big_daily_table)))</f>
        <v>#N/A</v>
      </c>
      <c r="E1184" s="1" t="str">
        <f t="array" ref="E1184">IF(ISBLANK(XLOOKUP(E$3,daily_items,XLOOKUP($C1184,daily_dates,big_daily_table))),NA(),XLOOKUP(E$3,daily_items,XLOOKUP($C1184,daily_dates,big_daily_table)))</f>
        <v>#N/A</v>
      </c>
    </row>
    <row r="1185" ht="14.25" customHeight="1">
      <c r="B1185" s="7">
        <v>42090.0</v>
      </c>
      <c r="C1185" s="7">
        <f t="shared" si="1"/>
        <v>42085</v>
      </c>
      <c r="D1185" s="1" t="str">
        <f t="array" ref="D1185">IF(ISBLANK(XLOOKUP(D$3,daily_items,XLOOKUP($C1185,daily_dates,big_daily_table))),NA(),XLOOKUP(D$3,daily_items,XLOOKUP($C1185,daily_dates,big_daily_table)))</f>
        <v>#N/A</v>
      </c>
      <c r="E1185" s="1" t="str">
        <f t="array" ref="E1185">IF(ISBLANK(XLOOKUP(E$3,daily_items,XLOOKUP($C1185,daily_dates,big_daily_table))),NA(),XLOOKUP(E$3,daily_items,XLOOKUP($C1185,daily_dates,big_daily_table)))</f>
        <v>#N/A</v>
      </c>
    </row>
    <row r="1186" ht="14.25" customHeight="1">
      <c r="B1186" s="7">
        <v>42091.0</v>
      </c>
      <c r="C1186" s="7">
        <f t="shared" si="1"/>
        <v>42085</v>
      </c>
      <c r="D1186" s="1" t="str">
        <f t="array" ref="D1186">IF(ISBLANK(XLOOKUP(D$3,daily_items,XLOOKUP($C1186,daily_dates,big_daily_table))),NA(),XLOOKUP(D$3,daily_items,XLOOKUP($C1186,daily_dates,big_daily_table)))</f>
        <v>#N/A</v>
      </c>
      <c r="E1186" s="1" t="str">
        <f t="array" ref="E1186">IF(ISBLANK(XLOOKUP(E$3,daily_items,XLOOKUP($C1186,daily_dates,big_daily_table))),NA(),XLOOKUP(E$3,daily_items,XLOOKUP($C1186,daily_dates,big_daily_table)))</f>
        <v>#N/A</v>
      </c>
    </row>
    <row r="1187" ht="14.25" customHeight="1">
      <c r="B1187" s="7">
        <v>42092.0</v>
      </c>
      <c r="C1187" s="7">
        <f t="shared" si="1"/>
        <v>42092</v>
      </c>
      <c r="D1187" s="1" t="str">
        <f t="array" ref="D1187">IF(ISBLANK(XLOOKUP(D$3,daily_items,XLOOKUP($C1187,daily_dates,big_daily_table))),NA(),XLOOKUP(D$3,daily_items,XLOOKUP($C1187,daily_dates,big_daily_table)))</f>
        <v>#N/A</v>
      </c>
      <c r="E1187" s="1" t="str">
        <f t="array" ref="E1187">IF(ISBLANK(XLOOKUP(E$3,daily_items,XLOOKUP($C1187,daily_dates,big_daily_table))),NA(),XLOOKUP(E$3,daily_items,XLOOKUP($C1187,daily_dates,big_daily_table)))</f>
        <v>#N/A</v>
      </c>
    </row>
    <row r="1188" ht="14.25" customHeight="1">
      <c r="B1188" s="7">
        <v>42093.0</v>
      </c>
      <c r="C1188" s="7">
        <f t="shared" si="1"/>
        <v>42092</v>
      </c>
      <c r="D1188" s="1" t="str">
        <f t="array" ref="D1188">IF(ISBLANK(XLOOKUP(D$3,daily_items,XLOOKUP($C1188,daily_dates,big_daily_table))),NA(),XLOOKUP(D$3,daily_items,XLOOKUP($C1188,daily_dates,big_daily_table)))</f>
        <v>#N/A</v>
      </c>
      <c r="E1188" s="1" t="str">
        <f t="array" ref="E1188">IF(ISBLANK(XLOOKUP(E$3,daily_items,XLOOKUP($C1188,daily_dates,big_daily_table))),NA(),XLOOKUP(E$3,daily_items,XLOOKUP($C1188,daily_dates,big_daily_table)))</f>
        <v>#N/A</v>
      </c>
    </row>
    <row r="1189" ht="14.25" customHeight="1">
      <c r="B1189" s="7">
        <v>42094.0</v>
      </c>
      <c r="C1189" s="7">
        <f t="shared" si="1"/>
        <v>42092</v>
      </c>
      <c r="D1189" s="1" t="str">
        <f t="array" ref="D1189">IF(ISBLANK(XLOOKUP(D$3,daily_items,XLOOKUP($C1189,daily_dates,big_daily_table))),NA(),XLOOKUP(D$3,daily_items,XLOOKUP($C1189,daily_dates,big_daily_table)))</f>
        <v>#N/A</v>
      </c>
      <c r="E1189" s="1" t="str">
        <f t="array" ref="E1189">IF(ISBLANK(XLOOKUP(E$3,daily_items,XLOOKUP($C1189,daily_dates,big_daily_table))),NA(),XLOOKUP(E$3,daily_items,XLOOKUP($C1189,daily_dates,big_daily_table)))</f>
        <v>#N/A</v>
      </c>
    </row>
    <row r="1190" ht="14.25" customHeight="1">
      <c r="B1190" s="7">
        <v>42095.0</v>
      </c>
      <c r="C1190" s="7">
        <f t="shared" si="1"/>
        <v>42092</v>
      </c>
      <c r="D1190" s="1" t="str">
        <f t="array" ref="D1190">IF(ISBLANK(XLOOKUP(D$3,daily_items,XLOOKUP($C1190,daily_dates,big_daily_table))),NA(),XLOOKUP(D$3,daily_items,XLOOKUP($C1190,daily_dates,big_daily_table)))</f>
        <v>#N/A</v>
      </c>
      <c r="E1190" s="1" t="str">
        <f t="array" ref="E1190">IF(ISBLANK(XLOOKUP(E$3,daily_items,XLOOKUP($C1190,daily_dates,big_daily_table))),NA(),XLOOKUP(E$3,daily_items,XLOOKUP($C1190,daily_dates,big_daily_table)))</f>
        <v>#N/A</v>
      </c>
    </row>
    <row r="1191" ht="14.25" customHeight="1">
      <c r="B1191" s="7">
        <v>42096.0</v>
      </c>
      <c r="C1191" s="7">
        <f t="shared" si="1"/>
        <v>42092</v>
      </c>
      <c r="D1191" s="1" t="str">
        <f t="array" ref="D1191">IF(ISBLANK(XLOOKUP(D$3,daily_items,XLOOKUP($C1191,daily_dates,big_daily_table))),NA(),XLOOKUP(D$3,daily_items,XLOOKUP($C1191,daily_dates,big_daily_table)))</f>
        <v>#N/A</v>
      </c>
      <c r="E1191" s="1" t="str">
        <f t="array" ref="E1191">IF(ISBLANK(XLOOKUP(E$3,daily_items,XLOOKUP($C1191,daily_dates,big_daily_table))),NA(),XLOOKUP(E$3,daily_items,XLOOKUP($C1191,daily_dates,big_daily_table)))</f>
        <v>#N/A</v>
      </c>
    </row>
    <row r="1192" ht="14.25" customHeight="1">
      <c r="B1192" s="7">
        <v>42097.0</v>
      </c>
      <c r="C1192" s="7">
        <f t="shared" si="1"/>
        <v>42092</v>
      </c>
      <c r="D1192" s="1" t="str">
        <f t="array" ref="D1192">IF(ISBLANK(XLOOKUP(D$3,daily_items,XLOOKUP($C1192,daily_dates,big_daily_table))),NA(),XLOOKUP(D$3,daily_items,XLOOKUP($C1192,daily_dates,big_daily_table)))</f>
        <v>#N/A</v>
      </c>
      <c r="E1192" s="1" t="str">
        <f t="array" ref="E1192">IF(ISBLANK(XLOOKUP(E$3,daily_items,XLOOKUP($C1192,daily_dates,big_daily_table))),NA(),XLOOKUP(E$3,daily_items,XLOOKUP($C1192,daily_dates,big_daily_table)))</f>
        <v>#N/A</v>
      </c>
    </row>
    <row r="1193" ht="14.25" customHeight="1">
      <c r="B1193" s="7">
        <v>42098.0</v>
      </c>
      <c r="C1193" s="7">
        <f t="shared" si="1"/>
        <v>42092</v>
      </c>
      <c r="D1193" s="1" t="str">
        <f t="array" ref="D1193">IF(ISBLANK(XLOOKUP(D$3,daily_items,XLOOKUP($C1193,daily_dates,big_daily_table))),NA(),XLOOKUP(D$3,daily_items,XLOOKUP($C1193,daily_dates,big_daily_table)))</f>
        <v>#N/A</v>
      </c>
      <c r="E1193" s="1" t="str">
        <f t="array" ref="E1193">IF(ISBLANK(XLOOKUP(E$3,daily_items,XLOOKUP($C1193,daily_dates,big_daily_table))),NA(),XLOOKUP(E$3,daily_items,XLOOKUP($C1193,daily_dates,big_daily_table)))</f>
        <v>#N/A</v>
      </c>
    </row>
    <row r="1194" ht="14.25" customHeight="1">
      <c r="B1194" s="7">
        <v>42099.0</v>
      </c>
      <c r="C1194" s="7">
        <f t="shared" si="1"/>
        <v>42099</v>
      </c>
      <c r="D1194" s="1" t="str">
        <f t="array" ref="D1194">IF(ISBLANK(XLOOKUP(D$3,daily_items,XLOOKUP($C1194,daily_dates,big_daily_table))),NA(),XLOOKUP(D$3,daily_items,XLOOKUP($C1194,daily_dates,big_daily_table)))</f>
        <v>#N/A</v>
      </c>
      <c r="E1194" s="1" t="str">
        <f t="array" ref="E1194">IF(ISBLANK(XLOOKUP(E$3,daily_items,XLOOKUP($C1194,daily_dates,big_daily_table))),NA(),XLOOKUP(E$3,daily_items,XLOOKUP($C1194,daily_dates,big_daily_table)))</f>
        <v>#N/A</v>
      </c>
    </row>
    <row r="1195" ht="14.25" customHeight="1">
      <c r="B1195" s="7">
        <v>42100.0</v>
      </c>
      <c r="C1195" s="7">
        <f t="shared" si="1"/>
        <v>42099</v>
      </c>
      <c r="D1195" s="1" t="str">
        <f t="array" ref="D1195">IF(ISBLANK(XLOOKUP(D$3,daily_items,XLOOKUP($C1195,daily_dates,big_daily_table))),NA(),XLOOKUP(D$3,daily_items,XLOOKUP($C1195,daily_dates,big_daily_table)))</f>
        <v>#N/A</v>
      </c>
      <c r="E1195" s="1" t="str">
        <f t="array" ref="E1195">IF(ISBLANK(XLOOKUP(E$3,daily_items,XLOOKUP($C1195,daily_dates,big_daily_table))),NA(),XLOOKUP(E$3,daily_items,XLOOKUP($C1195,daily_dates,big_daily_table)))</f>
        <v>#N/A</v>
      </c>
    </row>
    <row r="1196" ht="14.25" customHeight="1">
      <c r="B1196" s="7">
        <v>42101.0</v>
      </c>
      <c r="C1196" s="7">
        <f t="shared" si="1"/>
        <v>42099</v>
      </c>
      <c r="D1196" s="1" t="str">
        <f t="array" ref="D1196">IF(ISBLANK(XLOOKUP(D$3,daily_items,XLOOKUP($C1196,daily_dates,big_daily_table))),NA(),XLOOKUP(D$3,daily_items,XLOOKUP($C1196,daily_dates,big_daily_table)))</f>
        <v>#N/A</v>
      </c>
      <c r="E1196" s="1" t="str">
        <f t="array" ref="E1196">IF(ISBLANK(XLOOKUP(E$3,daily_items,XLOOKUP($C1196,daily_dates,big_daily_table))),NA(),XLOOKUP(E$3,daily_items,XLOOKUP($C1196,daily_dates,big_daily_table)))</f>
        <v>#N/A</v>
      </c>
    </row>
    <row r="1197" ht="14.25" customHeight="1">
      <c r="B1197" s="7">
        <v>42102.0</v>
      </c>
      <c r="C1197" s="7">
        <f t="shared" si="1"/>
        <v>42099</v>
      </c>
      <c r="D1197" s="1" t="str">
        <f t="array" ref="D1197">IF(ISBLANK(XLOOKUP(D$3,daily_items,XLOOKUP($C1197,daily_dates,big_daily_table))),NA(),XLOOKUP(D$3,daily_items,XLOOKUP($C1197,daily_dates,big_daily_table)))</f>
        <v>#N/A</v>
      </c>
      <c r="E1197" s="1" t="str">
        <f t="array" ref="E1197">IF(ISBLANK(XLOOKUP(E$3,daily_items,XLOOKUP($C1197,daily_dates,big_daily_table))),NA(),XLOOKUP(E$3,daily_items,XLOOKUP($C1197,daily_dates,big_daily_table)))</f>
        <v>#N/A</v>
      </c>
    </row>
    <row r="1198" ht="14.25" customHeight="1">
      <c r="B1198" s="7">
        <v>42103.0</v>
      </c>
      <c r="C1198" s="7">
        <f t="shared" si="1"/>
        <v>42099</v>
      </c>
      <c r="D1198" s="1" t="str">
        <f t="array" ref="D1198">IF(ISBLANK(XLOOKUP(D$3,daily_items,XLOOKUP($C1198,daily_dates,big_daily_table))),NA(),XLOOKUP(D$3,daily_items,XLOOKUP($C1198,daily_dates,big_daily_table)))</f>
        <v>#N/A</v>
      </c>
      <c r="E1198" s="1" t="str">
        <f t="array" ref="E1198">IF(ISBLANK(XLOOKUP(E$3,daily_items,XLOOKUP($C1198,daily_dates,big_daily_table))),NA(),XLOOKUP(E$3,daily_items,XLOOKUP($C1198,daily_dates,big_daily_table)))</f>
        <v>#N/A</v>
      </c>
    </row>
    <row r="1199" ht="14.25" customHeight="1">
      <c r="B1199" s="7">
        <v>42104.0</v>
      </c>
      <c r="C1199" s="7">
        <f t="shared" si="1"/>
        <v>42099</v>
      </c>
      <c r="D1199" s="1" t="str">
        <f t="array" ref="D1199">IF(ISBLANK(XLOOKUP(D$3,daily_items,XLOOKUP($C1199,daily_dates,big_daily_table))),NA(),XLOOKUP(D$3,daily_items,XLOOKUP($C1199,daily_dates,big_daily_table)))</f>
        <v>#N/A</v>
      </c>
      <c r="E1199" s="1" t="str">
        <f t="array" ref="E1199">IF(ISBLANK(XLOOKUP(E$3,daily_items,XLOOKUP($C1199,daily_dates,big_daily_table))),NA(),XLOOKUP(E$3,daily_items,XLOOKUP($C1199,daily_dates,big_daily_table)))</f>
        <v>#N/A</v>
      </c>
    </row>
    <row r="1200" ht="14.25" customHeight="1">
      <c r="B1200" s="7">
        <v>42105.0</v>
      </c>
      <c r="C1200" s="7">
        <f t="shared" si="1"/>
        <v>42099</v>
      </c>
      <c r="D1200" s="1" t="str">
        <f t="array" ref="D1200">IF(ISBLANK(XLOOKUP(D$3,daily_items,XLOOKUP($C1200,daily_dates,big_daily_table))),NA(),XLOOKUP(D$3,daily_items,XLOOKUP($C1200,daily_dates,big_daily_table)))</f>
        <v>#N/A</v>
      </c>
      <c r="E1200" s="1" t="str">
        <f t="array" ref="E1200">IF(ISBLANK(XLOOKUP(E$3,daily_items,XLOOKUP($C1200,daily_dates,big_daily_table))),NA(),XLOOKUP(E$3,daily_items,XLOOKUP($C1200,daily_dates,big_daily_table)))</f>
        <v>#N/A</v>
      </c>
    </row>
    <row r="1201" ht="14.25" customHeight="1">
      <c r="B1201" s="7">
        <v>42106.0</v>
      </c>
      <c r="C1201" s="7">
        <f t="shared" si="1"/>
        <v>42106</v>
      </c>
      <c r="D1201" s="1" t="str">
        <f t="array" ref="D1201">IF(ISBLANK(XLOOKUP(D$3,daily_items,XLOOKUP($C1201,daily_dates,big_daily_table))),NA(),XLOOKUP(D$3,daily_items,XLOOKUP($C1201,daily_dates,big_daily_table)))</f>
        <v>#N/A</v>
      </c>
      <c r="E1201" s="1" t="str">
        <f t="array" ref="E1201">IF(ISBLANK(XLOOKUP(E$3,daily_items,XLOOKUP($C1201,daily_dates,big_daily_table))),NA(),XLOOKUP(E$3,daily_items,XLOOKUP($C1201,daily_dates,big_daily_table)))</f>
        <v>#N/A</v>
      </c>
    </row>
    <row r="1202" ht="14.25" customHeight="1">
      <c r="B1202" s="7">
        <v>42107.0</v>
      </c>
      <c r="C1202" s="7">
        <f t="shared" si="1"/>
        <v>42106</v>
      </c>
      <c r="D1202" s="1" t="str">
        <f t="array" ref="D1202">IF(ISBLANK(XLOOKUP(D$3,daily_items,XLOOKUP($C1202,daily_dates,big_daily_table))),NA(),XLOOKUP(D$3,daily_items,XLOOKUP($C1202,daily_dates,big_daily_table)))</f>
        <v>#N/A</v>
      </c>
      <c r="E1202" s="1" t="str">
        <f t="array" ref="E1202">IF(ISBLANK(XLOOKUP(E$3,daily_items,XLOOKUP($C1202,daily_dates,big_daily_table))),NA(),XLOOKUP(E$3,daily_items,XLOOKUP($C1202,daily_dates,big_daily_table)))</f>
        <v>#N/A</v>
      </c>
    </row>
    <row r="1203" ht="14.25" customHeight="1">
      <c r="B1203" s="7">
        <v>42108.0</v>
      </c>
      <c r="C1203" s="7">
        <f t="shared" si="1"/>
        <v>42106</v>
      </c>
      <c r="D1203" s="1" t="str">
        <f t="array" ref="D1203">IF(ISBLANK(XLOOKUP(D$3,daily_items,XLOOKUP($C1203,daily_dates,big_daily_table))),NA(),XLOOKUP(D$3,daily_items,XLOOKUP($C1203,daily_dates,big_daily_table)))</f>
        <v>#N/A</v>
      </c>
      <c r="E1203" s="1" t="str">
        <f t="array" ref="E1203">IF(ISBLANK(XLOOKUP(E$3,daily_items,XLOOKUP($C1203,daily_dates,big_daily_table))),NA(),XLOOKUP(E$3,daily_items,XLOOKUP($C1203,daily_dates,big_daily_table)))</f>
        <v>#N/A</v>
      </c>
    </row>
    <row r="1204" ht="14.25" customHeight="1">
      <c r="B1204" s="7">
        <v>42109.0</v>
      </c>
      <c r="C1204" s="7">
        <f t="shared" si="1"/>
        <v>42106</v>
      </c>
      <c r="D1204" s="1" t="str">
        <f t="array" ref="D1204">IF(ISBLANK(XLOOKUP(D$3,daily_items,XLOOKUP($C1204,daily_dates,big_daily_table))),NA(),XLOOKUP(D$3,daily_items,XLOOKUP($C1204,daily_dates,big_daily_table)))</f>
        <v>#N/A</v>
      </c>
      <c r="E1204" s="1" t="str">
        <f t="array" ref="E1204">IF(ISBLANK(XLOOKUP(E$3,daily_items,XLOOKUP($C1204,daily_dates,big_daily_table))),NA(),XLOOKUP(E$3,daily_items,XLOOKUP($C1204,daily_dates,big_daily_table)))</f>
        <v>#N/A</v>
      </c>
    </row>
    <row r="1205" ht="14.25" customHeight="1">
      <c r="B1205" s="7">
        <v>42110.0</v>
      </c>
      <c r="C1205" s="7">
        <f t="shared" si="1"/>
        <v>42106</v>
      </c>
      <c r="D1205" s="1" t="str">
        <f t="array" ref="D1205">IF(ISBLANK(XLOOKUP(D$3,daily_items,XLOOKUP($C1205,daily_dates,big_daily_table))),NA(),XLOOKUP(D$3,daily_items,XLOOKUP($C1205,daily_dates,big_daily_table)))</f>
        <v>#N/A</v>
      </c>
      <c r="E1205" s="1" t="str">
        <f t="array" ref="E1205">IF(ISBLANK(XLOOKUP(E$3,daily_items,XLOOKUP($C1205,daily_dates,big_daily_table))),NA(),XLOOKUP(E$3,daily_items,XLOOKUP($C1205,daily_dates,big_daily_table)))</f>
        <v>#N/A</v>
      </c>
    </row>
    <row r="1206" ht="14.25" customHeight="1">
      <c r="B1206" s="7">
        <v>42111.0</v>
      </c>
      <c r="C1206" s="7">
        <f t="shared" si="1"/>
        <v>42106</v>
      </c>
      <c r="D1206" s="1" t="str">
        <f t="array" ref="D1206">IF(ISBLANK(XLOOKUP(D$3,daily_items,XLOOKUP($C1206,daily_dates,big_daily_table))),NA(),XLOOKUP(D$3,daily_items,XLOOKUP($C1206,daily_dates,big_daily_table)))</f>
        <v>#N/A</v>
      </c>
      <c r="E1206" s="1" t="str">
        <f t="array" ref="E1206">IF(ISBLANK(XLOOKUP(E$3,daily_items,XLOOKUP($C1206,daily_dates,big_daily_table))),NA(),XLOOKUP(E$3,daily_items,XLOOKUP($C1206,daily_dates,big_daily_table)))</f>
        <v>#N/A</v>
      </c>
    </row>
    <row r="1207" ht="14.25" customHeight="1">
      <c r="B1207" s="7">
        <v>42112.0</v>
      </c>
      <c r="C1207" s="7">
        <f t="shared" si="1"/>
        <v>42106</v>
      </c>
      <c r="D1207" s="1" t="str">
        <f t="array" ref="D1207">IF(ISBLANK(XLOOKUP(D$3,daily_items,XLOOKUP($C1207,daily_dates,big_daily_table))),NA(),XLOOKUP(D$3,daily_items,XLOOKUP($C1207,daily_dates,big_daily_table)))</f>
        <v>#N/A</v>
      </c>
      <c r="E1207" s="1" t="str">
        <f t="array" ref="E1207">IF(ISBLANK(XLOOKUP(E$3,daily_items,XLOOKUP($C1207,daily_dates,big_daily_table))),NA(),XLOOKUP(E$3,daily_items,XLOOKUP($C1207,daily_dates,big_daily_table)))</f>
        <v>#N/A</v>
      </c>
    </row>
    <row r="1208" ht="14.25" customHeight="1">
      <c r="B1208" s="7">
        <v>42113.0</v>
      </c>
      <c r="C1208" s="7">
        <f t="shared" si="1"/>
        <v>42113</v>
      </c>
      <c r="D1208" s="1" t="str">
        <f t="array" ref="D1208">IF(ISBLANK(XLOOKUP(D$3,daily_items,XLOOKUP($C1208,daily_dates,big_daily_table))),NA(),XLOOKUP(D$3,daily_items,XLOOKUP($C1208,daily_dates,big_daily_table)))</f>
        <v>#N/A</v>
      </c>
      <c r="E1208" s="1" t="str">
        <f t="array" ref="E1208">IF(ISBLANK(XLOOKUP(E$3,daily_items,XLOOKUP($C1208,daily_dates,big_daily_table))),NA(),XLOOKUP(E$3,daily_items,XLOOKUP($C1208,daily_dates,big_daily_table)))</f>
        <v>#N/A</v>
      </c>
    </row>
    <row r="1209" ht="14.25" customHeight="1">
      <c r="B1209" s="7">
        <v>42114.0</v>
      </c>
      <c r="C1209" s="7">
        <f t="shared" si="1"/>
        <v>42113</v>
      </c>
      <c r="D1209" s="1" t="str">
        <f t="array" ref="D1209">IF(ISBLANK(XLOOKUP(D$3,daily_items,XLOOKUP($C1209,daily_dates,big_daily_table))),NA(),XLOOKUP(D$3,daily_items,XLOOKUP($C1209,daily_dates,big_daily_table)))</f>
        <v>#N/A</v>
      </c>
      <c r="E1209" s="1" t="str">
        <f t="array" ref="E1209">IF(ISBLANK(XLOOKUP(E$3,daily_items,XLOOKUP($C1209,daily_dates,big_daily_table))),NA(),XLOOKUP(E$3,daily_items,XLOOKUP($C1209,daily_dates,big_daily_table)))</f>
        <v>#N/A</v>
      </c>
    </row>
    <row r="1210" ht="14.25" customHeight="1">
      <c r="B1210" s="7">
        <v>42115.0</v>
      </c>
      <c r="C1210" s="7">
        <f t="shared" si="1"/>
        <v>42113</v>
      </c>
      <c r="D1210" s="1" t="str">
        <f t="array" ref="D1210">IF(ISBLANK(XLOOKUP(D$3,daily_items,XLOOKUP($C1210,daily_dates,big_daily_table))),NA(),XLOOKUP(D$3,daily_items,XLOOKUP($C1210,daily_dates,big_daily_table)))</f>
        <v>#N/A</v>
      </c>
      <c r="E1210" s="1" t="str">
        <f t="array" ref="E1210">IF(ISBLANK(XLOOKUP(E$3,daily_items,XLOOKUP($C1210,daily_dates,big_daily_table))),NA(),XLOOKUP(E$3,daily_items,XLOOKUP($C1210,daily_dates,big_daily_table)))</f>
        <v>#N/A</v>
      </c>
    </row>
    <row r="1211" ht="14.25" customHeight="1">
      <c r="B1211" s="7">
        <v>42116.0</v>
      </c>
      <c r="C1211" s="7">
        <f t="shared" si="1"/>
        <v>42113</v>
      </c>
      <c r="D1211" s="1" t="str">
        <f t="array" ref="D1211">IF(ISBLANK(XLOOKUP(D$3,daily_items,XLOOKUP($C1211,daily_dates,big_daily_table))),NA(),XLOOKUP(D$3,daily_items,XLOOKUP($C1211,daily_dates,big_daily_table)))</f>
        <v>#N/A</v>
      </c>
      <c r="E1211" s="1" t="str">
        <f t="array" ref="E1211">IF(ISBLANK(XLOOKUP(E$3,daily_items,XLOOKUP($C1211,daily_dates,big_daily_table))),NA(),XLOOKUP(E$3,daily_items,XLOOKUP($C1211,daily_dates,big_daily_table)))</f>
        <v>#N/A</v>
      </c>
    </row>
    <row r="1212" ht="14.25" customHeight="1">
      <c r="B1212" s="7">
        <v>42117.0</v>
      </c>
      <c r="C1212" s="7">
        <f t="shared" si="1"/>
        <v>42113</v>
      </c>
      <c r="D1212" s="1" t="str">
        <f t="array" ref="D1212">IF(ISBLANK(XLOOKUP(D$3,daily_items,XLOOKUP($C1212,daily_dates,big_daily_table))),NA(),XLOOKUP(D$3,daily_items,XLOOKUP($C1212,daily_dates,big_daily_table)))</f>
        <v>#N/A</v>
      </c>
      <c r="E1212" s="1" t="str">
        <f t="array" ref="E1212">IF(ISBLANK(XLOOKUP(E$3,daily_items,XLOOKUP($C1212,daily_dates,big_daily_table))),NA(),XLOOKUP(E$3,daily_items,XLOOKUP($C1212,daily_dates,big_daily_table)))</f>
        <v>#N/A</v>
      </c>
    </row>
    <row r="1213" ht="14.25" customHeight="1">
      <c r="B1213" s="7">
        <v>42118.0</v>
      </c>
      <c r="C1213" s="7">
        <f t="shared" si="1"/>
        <v>42113</v>
      </c>
      <c r="D1213" s="1" t="str">
        <f t="array" ref="D1213">IF(ISBLANK(XLOOKUP(D$3,daily_items,XLOOKUP($C1213,daily_dates,big_daily_table))),NA(),XLOOKUP(D$3,daily_items,XLOOKUP($C1213,daily_dates,big_daily_table)))</f>
        <v>#N/A</v>
      </c>
      <c r="E1213" s="1" t="str">
        <f t="array" ref="E1213">IF(ISBLANK(XLOOKUP(E$3,daily_items,XLOOKUP($C1213,daily_dates,big_daily_table))),NA(),XLOOKUP(E$3,daily_items,XLOOKUP($C1213,daily_dates,big_daily_table)))</f>
        <v>#N/A</v>
      </c>
    </row>
    <row r="1214" ht="14.25" customHeight="1">
      <c r="B1214" s="7">
        <v>42119.0</v>
      </c>
      <c r="C1214" s="7">
        <f t="shared" si="1"/>
        <v>42113</v>
      </c>
      <c r="D1214" s="1" t="str">
        <f t="array" ref="D1214">IF(ISBLANK(XLOOKUP(D$3,daily_items,XLOOKUP($C1214,daily_dates,big_daily_table))),NA(),XLOOKUP(D$3,daily_items,XLOOKUP($C1214,daily_dates,big_daily_table)))</f>
        <v>#N/A</v>
      </c>
      <c r="E1214" s="1" t="str">
        <f t="array" ref="E1214">IF(ISBLANK(XLOOKUP(E$3,daily_items,XLOOKUP($C1214,daily_dates,big_daily_table))),NA(),XLOOKUP(E$3,daily_items,XLOOKUP($C1214,daily_dates,big_daily_table)))</f>
        <v>#N/A</v>
      </c>
    </row>
    <row r="1215" ht="14.25" customHeight="1">
      <c r="B1215" s="7">
        <v>42120.0</v>
      </c>
      <c r="C1215" s="7">
        <f t="shared" si="1"/>
        <v>42120</v>
      </c>
      <c r="D1215" s="1" t="str">
        <f t="array" ref="D1215">IF(ISBLANK(XLOOKUP(D$3,daily_items,XLOOKUP($C1215,daily_dates,big_daily_table))),NA(),XLOOKUP(D$3,daily_items,XLOOKUP($C1215,daily_dates,big_daily_table)))</f>
        <v>#N/A</v>
      </c>
      <c r="E1215" s="1" t="str">
        <f t="array" ref="E1215">IF(ISBLANK(XLOOKUP(E$3,daily_items,XLOOKUP($C1215,daily_dates,big_daily_table))),NA(),XLOOKUP(E$3,daily_items,XLOOKUP($C1215,daily_dates,big_daily_table)))</f>
        <v>#N/A</v>
      </c>
    </row>
    <row r="1216" ht="14.25" customHeight="1">
      <c r="B1216" s="7">
        <v>42121.0</v>
      </c>
      <c r="C1216" s="7">
        <f t="shared" si="1"/>
        <v>42120</v>
      </c>
      <c r="D1216" s="1" t="str">
        <f t="array" ref="D1216">IF(ISBLANK(XLOOKUP(D$3,daily_items,XLOOKUP($C1216,daily_dates,big_daily_table))),NA(),XLOOKUP(D$3,daily_items,XLOOKUP($C1216,daily_dates,big_daily_table)))</f>
        <v>#N/A</v>
      </c>
      <c r="E1216" s="1" t="str">
        <f t="array" ref="E1216">IF(ISBLANK(XLOOKUP(E$3,daily_items,XLOOKUP($C1216,daily_dates,big_daily_table))),NA(),XLOOKUP(E$3,daily_items,XLOOKUP($C1216,daily_dates,big_daily_table)))</f>
        <v>#N/A</v>
      </c>
    </row>
    <row r="1217" ht="14.25" customHeight="1">
      <c r="B1217" s="7">
        <v>42122.0</v>
      </c>
      <c r="C1217" s="7">
        <f t="shared" si="1"/>
        <v>42120</v>
      </c>
      <c r="D1217" s="1" t="str">
        <f t="array" ref="D1217">IF(ISBLANK(XLOOKUP(D$3,daily_items,XLOOKUP($C1217,daily_dates,big_daily_table))),NA(),XLOOKUP(D$3,daily_items,XLOOKUP($C1217,daily_dates,big_daily_table)))</f>
        <v>#N/A</v>
      </c>
      <c r="E1217" s="1" t="str">
        <f t="array" ref="E1217">IF(ISBLANK(XLOOKUP(E$3,daily_items,XLOOKUP($C1217,daily_dates,big_daily_table))),NA(),XLOOKUP(E$3,daily_items,XLOOKUP($C1217,daily_dates,big_daily_table)))</f>
        <v>#N/A</v>
      </c>
    </row>
    <row r="1218" ht="14.25" customHeight="1">
      <c r="B1218" s="7">
        <v>42123.0</v>
      </c>
      <c r="C1218" s="7">
        <f t="shared" si="1"/>
        <v>42120</v>
      </c>
      <c r="D1218" s="1" t="str">
        <f t="array" ref="D1218">IF(ISBLANK(XLOOKUP(D$3,daily_items,XLOOKUP($C1218,daily_dates,big_daily_table))),NA(),XLOOKUP(D$3,daily_items,XLOOKUP($C1218,daily_dates,big_daily_table)))</f>
        <v>#N/A</v>
      </c>
      <c r="E1218" s="1" t="str">
        <f t="array" ref="E1218">IF(ISBLANK(XLOOKUP(E$3,daily_items,XLOOKUP($C1218,daily_dates,big_daily_table))),NA(),XLOOKUP(E$3,daily_items,XLOOKUP($C1218,daily_dates,big_daily_table)))</f>
        <v>#N/A</v>
      </c>
    </row>
    <row r="1219" ht="14.25" customHeight="1">
      <c r="B1219" s="7">
        <v>42124.0</v>
      </c>
      <c r="C1219" s="7">
        <f t="shared" si="1"/>
        <v>42120</v>
      </c>
      <c r="D1219" s="1" t="str">
        <f t="array" ref="D1219">IF(ISBLANK(XLOOKUP(D$3,daily_items,XLOOKUP($C1219,daily_dates,big_daily_table))),NA(),XLOOKUP(D$3,daily_items,XLOOKUP($C1219,daily_dates,big_daily_table)))</f>
        <v>#N/A</v>
      </c>
      <c r="E1219" s="1" t="str">
        <f t="array" ref="E1219">IF(ISBLANK(XLOOKUP(E$3,daily_items,XLOOKUP($C1219,daily_dates,big_daily_table))),NA(),XLOOKUP(E$3,daily_items,XLOOKUP($C1219,daily_dates,big_daily_table)))</f>
        <v>#N/A</v>
      </c>
    </row>
    <row r="1220" ht="14.25" customHeight="1">
      <c r="B1220" s="7">
        <v>42125.0</v>
      </c>
      <c r="C1220" s="7">
        <f t="shared" si="1"/>
        <v>42120</v>
      </c>
      <c r="D1220" s="1" t="str">
        <f t="array" ref="D1220">IF(ISBLANK(XLOOKUP(D$3,daily_items,XLOOKUP($C1220,daily_dates,big_daily_table))),NA(),XLOOKUP(D$3,daily_items,XLOOKUP($C1220,daily_dates,big_daily_table)))</f>
        <v>#N/A</v>
      </c>
      <c r="E1220" s="1" t="str">
        <f t="array" ref="E1220">IF(ISBLANK(XLOOKUP(E$3,daily_items,XLOOKUP($C1220,daily_dates,big_daily_table))),NA(),XLOOKUP(E$3,daily_items,XLOOKUP($C1220,daily_dates,big_daily_table)))</f>
        <v>#N/A</v>
      </c>
    </row>
    <row r="1221" ht="14.25" customHeight="1">
      <c r="B1221" s="7">
        <v>42126.0</v>
      </c>
      <c r="C1221" s="7">
        <f t="shared" si="1"/>
        <v>42120</v>
      </c>
      <c r="D1221" s="1" t="str">
        <f t="array" ref="D1221">IF(ISBLANK(XLOOKUP(D$3,daily_items,XLOOKUP($C1221,daily_dates,big_daily_table))),NA(),XLOOKUP(D$3,daily_items,XLOOKUP($C1221,daily_dates,big_daily_table)))</f>
        <v>#N/A</v>
      </c>
      <c r="E1221" s="1" t="str">
        <f t="array" ref="E1221">IF(ISBLANK(XLOOKUP(E$3,daily_items,XLOOKUP($C1221,daily_dates,big_daily_table))),NA(),XLOOKUP(E$3,daily_items,XLOOKUP($C1221,daily_dates,big_daily_table)))</f>
        <v>#N/A</v>
      </c>
    </row>
    <row r="1222" ht="14.25" customHeight="1">
      <c r="B1222" s="7">
        <v>42127.0</v>
      </c>
      <c r="C1222" s="7">
        <f t="shared" si="1"/>
        <v>42127</v>
      </c>
      <c r="D1222" s="1" t="str">
        <f t="array" ref="D1222">IF(ISBLANK(XLOOKUP(D$3,daily_items,XLOOKUP($C1222,daily_dates,big_daily_table))),NA(),XLOOKUP(D$3,daily_items,XLOOKUP($C1222,daily_dates,big_daily_table)))</f>
        <v>#N/A</v>
      </c>
      <c r="E1222" s="1" t="str">
        <f t="array" ref="E1222">IF(ISBLANK(XLOOKUP(E$3,daily_items,XLOOKUP($C1222,daily_dates,big_daily_table))),NA(),XLOOKUP(E$3,daily_items,XLOOKUP($C1222,daily_dates,big_daily_table)))</f>
        <v>#N/A</v>
      </c>
    </row>
    <row r="1223" ht="14.25" customHeight="1">
      <c r="B1223" s="7">
        <v>42128.0</v>
      </c>
      <c r="C1223" s="7">
        <f t="shared" si="1"/>
        <v>42127</v>
      </c>
      <c r="D1223" s="1" t="str">
        <f t="array" ref="D1223">IF(ISBLANK(XLOOKUP(D$3,daily_items,XLOOKUP($C1223,daily_dates,big_daily_table))),NA(),XLOOKUP(D$3,daily_items,XLOOKUP($C1223,daily_dates,big_daily_table)))</f>
        <v>#N/A</v>
      </c>
      <c r="E1223" s="1" t="str">
        <f t="array" ref="E1223">IF(ISBLANK(XLOOKUP(E$3,daily_items,XLOOKUP($C1223,daily_dates,big_daily_table))),NA(),XLOOKUP(E$3,daily_items,XLOOKUP($C1223,daily_dates,big_daily_table)))</f>
        <v>#N/A</v>
      </c>
    </row>
    <row r="1224" ht="14.25" customHeight="1">
      <c r="B1224" s="7">
        <v>42129.0</v>
      </c>
      <c r="C1224" s="7">
        <f t="shared" si="1"/>
        <v>42127</v>
      </c>
      <c r="D1224" s="1" t="str">
        <f t="array" ref="D1224">IF(ISBLANK(XLOOKUP(D$3,daily_items,XLOOKUP($C1224,daily_dates,big_daily_table))),NA(),XLOOKUP(D$3,daily_items,XLOOKUP($C1224,daily_dates,big_daily_table)))</f>
        <v>#N/A</v>
      </c>
      <c r="E1224" s="1" t="str">
        <f t="array" ref="E1224">IF(ISBLANK(XLOOKUP(E$3,daily_items,XLOOKUP($C1224,daily_dates,big_daily_table))),NA(),XLOOKUP(E$3,daily_items,XLOOKUP($C1224,daily_dates,big_daily_table)))</f>
        <v>#N/A</v>
      </c>
    </row>
    <row r="1225" ht="14.25" customHeight="1">
      <c r="B1225" s="7">
        <v>42130.0</v>
      </c>
      <c r="C1225" s="7">
        <f t="shared" si="1"/>
        <v>42127</v>
      </c>
      <c r="D1225" s="1" t="str">
        <f t="array" ref="D1225">IF(ISBLANK(XLOOKUP(D$3,daily_items,XLOOKUP($C1225,daily_dates,big_daily_table))),NA(),XLOOKUP(D$3,daily_items,XLOOKUP($C1225,daily_dates,big_daily_table)))</f>
        <v>#N/A</v>
      </c>
      <c r="E1225" s="1" t="str">
        <f t="array" ref="E1225">IF(ISBLANK(XLOOKUP(E$3,daily_items,XLOOKUP($C1225,daily_dates,big_daily_table))),NA(),XLOOKUP(E$3,daily_items,XLOOKUP($C1225,daily_dates,big_daily_table)))</f>
        <v>#N/A</v>
      </c>
    </row>
    <row r="1226" ht="14.25" customHeight="1">
      <c r="B1226" s="7">
        <v>42131.0</v>
      </c>
      <c r="C1226" s="7">
        <f t="shared" si="1"/>
        <v>42127</v>
      </c>
      <c r="D1226" s="1" t="str">
        <f t="array" ref="D1226">IF(ISBLANK(XLOOKUP(D$3,daily_items,XLOOKUP($C1226,daily_dates,big_daily_table))),NA(),XLOOKUP(D$3,daily_items,XLOOKUP($C1226,daily_dates,big_daily_table)))</f>
        <v>#N/A</v>
      </c>
      <c r="E1226" s="1" t="str">
        <f t="array" ref="E1226">IF(ISBLANK(XLOOKUP(E$3,daily_items,XLOOKUP($C1226,daily_dates,big_daily_table))),NA(),XLOOKUP(E$3,daily_items,XLOOKUP($C1226,daily_dates,big_daily_table)))</f>
        <v>#N/A</v>
      </c>
    </row>
    <row r="1227" ht="14.25" customHeight="1">
      <c r="B1227" s="7">
        <v>42132.0</v>
      </c>
      <c r="C1227" s="7">
        <f t="shared" si="1"/>
        <v>42127</v>
      </c>
      <c r="D1227" s="1" t="str">
        <f t="array" ref="D1227">IF(ISBLANK(XLOOKUP(D$3,daily_items,XLOOKUP($C1227,daily_dates,big_daily_table))),NA(),XLOOKUP(D$3,daily_items,XLOOKUP($C1227,daily_dates,big_daily_table)))</f>
        <v>#N/A</v>
      </c>
      <c r="E1227" s="1" t="str">
        <f t="array" ref="E1227">IF(ISBLANK(XLOOKUP(E$3,daily_items,XLOOKUP($C1227,daily_dates,big_daily_table))),NA(),XLOOKUP(E$3,daily_items,XLOOKUP($C1227,daily_dates,big_daily_table)))</f>
        <v>#N/A</v>
      </c>
    </row>
    <row r="1228" ht="14.25" customHeight="1">
      <c r="B1228" s="7">
        <v>42133.0</v>
      </c>
      <c r="C1228" s="7">
        <f t="shared" si="1"/>
        <v>42127</v>
      </c>
      <c r="D1228" s="1" t="str">
        <f t="array" ref="D1228">IF(ISBLANK(XLOOKUP(D$3,daily_items,XLOOKUP($C1228,daily_dates,big_daily_table))),NA(),XLOOKUP(D$3,daily_items,XLOOKUP($C1228,daily_dates,big_daily_table)))</f>
        <v>#N/A</v>
      </c>
      <c r="E1228" s="1" t="str">
        <f t="array" ref="E1228">IF(ISBLANK(XLOOKUP(E$3,daily_items,XLOOKUP($C1228,daily_dates,big_daily_table))),NA(),XLOOKUP(E$3,daily_items,XLOOKUP($C1228,daily_dates,big_daily_table)))</f>
        <v>#N/A</v>
      </c>
    </row>
    <row r="1229" ht="14.25" customHeight="1">
      <c r="B1229" s="7">
        <v>42134.0</v>
      </c>
      <c r="C1229" s="7">
        <f t="shared" si="1"/>
        <v>42134</v>
      </c>
      <c r="D1229" s="1" t="str">
        <f t="array" ref="D1229">IF(ISBLANK(XLOOKUP(D$3,daily_items,XLOOKUP($C1229,daily_dates,big_daily_table))),NA(),XLOOKUP(D$3,daily_items,XLOOKUP($C1229,daily_dates,big_daily_table)))</f>
        <v>#N/A</v>
      </c>
      <c r="E1229" s="1" t="str">
        <f t="array" ref="E1229">IF(ISBLANK(XLOOKUP(E$3,daily_items,XLOOKUP($C1229,daily_dates,big_daily_table))),NA(),XLOOKUP(E$3,daily_items,XLOOKUP($C1229,daily_dates,big_daily_table)))</f>
        <v>#N/A</v>
      </c>
    </row>
    <row r="1230" ht="14.25" customHeight="1">
      <c r="B1230" s="7">
        <v>42135.0</v>
      </c>
      <c r="C1230" s="7">
        <f t="shared" si="1"/>
        <v>42134</v>
      </c>
      <c r="D1230" s="1" t="str">
        <f t="array" ref="D1230">IF(ISBLANK(XLOOKUP(D$3,daily_items,XLOOKUP($C1230,daily_dates,big_daily_table))),NA(),XLOOKUP(D$3,daily_items,XLOOKUP($C1230,daily_dates,big_daily_table)))</f>
        <v>#N/A</v>
      </c>
      <c r="E1230" s="1" t="str">
        <f t="array" ref="E1230">IF(ISBLANK(XLOOKUP(E$3,daily_items,XLOOKUP($C1230,daily_dates,big_daily_table))),NA(),XLOOKUP(E$3,daily_items,XLOOKUP($C1230,daily_dates,big_daily_table)))</f>
        <v>#N/A</v>
      </c>
    </row>
    <row r="1231" ht="14.25" customHeight="1">
      <c r="B1231" s="7">
        <v>42136.0</v>
      </c>
      <c r="C1231" s="7">
        <f t="shared" si="1"/>
        <v>42134</v>
      </c>
      <c r="D1231" s="1" t="str">
        <f t="array" ref="D1231">IF(ISBLANK(XLOOKUP(D$3,daily_items,XLOOKUP($C1231,daily_dates,big_daily_table))),NA(),XLOOKUP(D$3,daily_items,XLOOKUP($C1231,daily_dates,big_daily_table)))</f>
        <v>#N/A</v>
      </c>
      <c r="E1231" s="1" t="str">
        <f t="array" ref="E1231">IF(ISBLANK(XLOOKUP(E$3,daily_items,XLOOKUP($C1231,daily_dates,big_daily_table))),NA(),XLOOKUP(E$3,daily_items,XLOOKUP($C1231,daily_dates,big_daily_table)))</f>
        <v>#N/A</v>
      </c>
    </row>
    <row r="1232" ht="14.25" customHeight="1">
      <c r="B1232" s="7">
        <v>42137.0</v>
      </c>
      <c r="C1232" s="7">
        <f t="shared" si="1"/>
        <v>42134</v>
      </c>
      <c r="D1232" s="1" t="str">
        <f t="array" ref="D1232">IF(ISBLANK(XLOOKUP(D$3,daily_items,XLOOKUP($C1232,daily_dates,big_daily_table))),NA(),XLOOKUP(D$3,daily_items,XLOOKUP($C1232,daily_dates,big_daily_table)))</f>
        <v>#N/A</v>
      </c>
      <c r="E1232" s="1" t="str">
        <f t="array" ref="E1232">IF(ISBLANK(XLOOKUP(E$3,daily_items,XLOOKUP($C1232,daily_dates,big_daily_table))),NA(),XLOOKUP(E$3,daily_items,XLOOKUP($C1232,daily_dates,big_daily_table)))</f>
        <v>#N/A</v>
      </c>
    </row>
    <row r="1233" ht="14.25" customHeight="1">
      <c r="B1233" s="7">
        <v>42138.0</v>
      </c>
      <c r="C1233" s="7">
        <f t="shared" si="1"/>
        <v>42134</v>
      </c>
      <c r="D1233" s="1" t="str">
        <f t="array" ref="D1233">IF(ISBLANK(XLOOKUP(D$3,daily_items,XLOOKUP($C1233,daily_dates,big_daily_table))),NA(),XLOOKUP(D$3,daily_items,XLOOKUP($C1233,daily_dates,big_daily_table)))</f>
        <v>#N/A</v>
      </c>
      <c r="E1233" s="1" t="str">
        <f t="array" ref="E1233">IF(ISBLANK(XLOOKUP(E$3,daily_items,XLOOKUP($C1233,daily_dates,big_daily_table))),NA(),XLOOKUP(E$3,daily_items,XLOOKUP($C1233,daily_dates,big_daily_table)))</f>
        <v>#N/A</v>
      </c>
    </row>
    <row r="1234" ht="14.25" customHeight="1">
      <c r="B1234" s="7">
        <v>42139.0</v>
      </c>
      <c r="C1234" s="7">
        <f t="shared" si="1"/>
        <v>42134</v>
      </c>
      <c r="D1234" s="1" t="str">
        <f t="array" ref="D1234">IF(ISBLANK(XLOOKUP(D$3,daily_items,XLOOKUP($C1234,daily_dates,big_daily_table))),NA(),XLOOKUP(D$3,daily_items,XLOOKUP($C1234,daily_dates,big_daily_table)))</f>
        <v>#N/A</v>
      </c>
      <c r="E1234" s="1" t="str">
        <f t="array" ref="E1234">IF(ISBLANK(XLOOKUP(E$3,daily_items,XLOOKUP($C1234,daily_dates,big_daily_table))),NA(),XLOOKUP(E$3,daily_items,XLOOKUP($C1234,daily_dates,big_daily_table)))</f>
        <v>#N/A</v>
      </c>
    </row>
    <row r="1235" ht="14.25" customHeight="1">
      <c r="B1235" s="7">
        <v>42140.0</v>
      </c>
      <c r="C1235" s="7">
        <f t="shared" si="1"/>
        <v>42134</v>
      </c>
      <c r="D1235" s="1" t="str">
        <f t="array" ref="D1235">IF(ISBLANK(XLOOKUP(D$3,daily_items,XLOOKUP($C1235,daily_dates,big_daily_table))),NA(),XLOOKUP(D$3,daily_items,XLOOKUP($C1235,daily_dates,big_daily_table)))</f>
        <v>#N/A</v>
      </c>
      <c r="E1235" s="1" t="str">
        <f t="array" ref="E1235">IF(ISBLANK(XLOOKUP(E$3,daily_items,XLOOKUP($C1235,daily_dates,big_daily_table))),NA(),XLOOKUP(E$3,daily_items,XLOOKUP($C1235,daily_dates,big_daily_table)))</f>
        <v>#N/A</v>
      </c>
    </row>
    <row r="1236" ht="14.25" customHeight="1">
      <c r="B1236" s="7">
        <v>42141.0</v>
      </c>
      <c r="C1236" s="7">
        <f t="shared" si="1"/>
        <v>42141</v>
      </c>
      <c r="D1236" s="1" t="str">
        <f t="array" ref="D1236">IF(ISBLANK(XLOOKUP(D$3,daily_items,XLOOKUP($C1236,daily_dates,big_daily_table))),NA(),XLOOKUP(D$3,daily_items,XLOOKUP($C1236,daily_dates,big_daily_table)))</f>
        <v>#N/A</v>
      </c>
      <c r="E1236" s="1" t="str">
        <f t="array" ref="E1236">IF(ISBLANK(XLOOKUP(E$3,daily_items,XLOOKUP($C1236,daily_dates,big_daily_table))),NA(),XLOOKUP(E$3,daily_items,XLOOKUP($C1236,daily_dates,big_daily_table)))</f>
        <v>#N/A</v>
      </c>
    </row>
    <row r="1237" ht="14.25" customHeight="1">
      <c r="B1237" s="7">
        <v>42142.0</v>
      </c>
      <c r="C1237" s="7">
        <f t="shared" si="1"/>
        <v>42141</v>
      </c>
      <c r="D1237" s="1" t="str">
        <f t="array" ref="D1237">IF(ISBLANK(XLOOKUP(D$3,daily_items,XLOOKUP($C1237,daily_dates,big_daily_table))),NA(),XLOOKUP(D$3,daily_items,XLOOKUP($C1237,daily_dates,big_daily_table)))</f>
        <v>#N/A</v>
      </c>
      <c r="E1237" s="1" t="str">
        <f t="array" ref="E1237">IF(ISBLANK(XLOOKUP(E$3,daily_items,XLOOKUP($C1237,daily_dates,big_daily_table))),NA(),XLOOKUP(E$3,daily_items,XLOOKUP($C1237,daily_dates,big_daily_table)))</f>
        <v>#N/A</v>
      </c>
    </row>
    <row r="1238" ht="14.25" customHeight="1">
      <c r="B1238" s="7">
        <v>42143.0</v>
      </c>
      <c r="C1238" s="7">
        <f t="shared" si="1"/>
        <v>42141</v>
      </c>
      <c r="D1238" s="1" t="str">
        <f t="array" ref="D1238">IF(ISBLANK(XLOOKUP(D$3,daily_items,XLOOKUP($C1238,daily_dates,big_daily_table))),NA(),XLOOKUP(D$3,daily_items,XLOOKUP($C1238,daily_dates,big_daily_table)))</f>
        <v>#N/A</v>
      </c>
      <c r="E1238" s="1" t="str">
        <f t="array" ref="E1238">IF(ISBLANK(XLOOKUP(E$3,daily_items,XLOOKUP($C1238,daily_dates,big_daily_table))),NA(),XLOOKUP(E$3,daily_items,XLOOKUP($C1238,daily_dates,big_daily_table)))</f>
        <v>#N/A</v>
      </c>
    </row>
    <row r="1239" ht="14.25" customHeight="1">
      <c r="B1239" s="7">
        <v>42144.0</v>
      </c>
      <c r="C1239" s="7">
        <f t="shared" si="1"/>
        <v>42141</v>
      </c>
      <c r="D1239" s="1" t="str">
        <f t="array" ref="D1239">IF(ISBLANK(XLOOKUP(D$3,daily_items,XLOOKUP($C1239,daily_dates,big_daily_table))),NA(),XLOOKUP(D$3,daily_items,XLOOKUP($C1239,daily_dates,big_daily_table)))</f>
        <v>#N/A</v>
      </c>
      <c r="E1239" s="1" t="str">
        <f t="array" ref="E1239">IF(ISBLANK(XLOOKUP(E$3,daily_items,XLOOKUP($C1239,daily_dates,big_daily_table))),NA(),XLOOKUP(E$3,daily_items,XLOOKUP($C1239,daily_dates,big_daily_table)))</f>
        <v>#N/A</v>
      </c>
    </row>
    <row r="1240" ht="14.25" customHeight="1">
      <c r="B1240" s="7">
        <v>42145.0</v>
      </c>
      <c r="C1240" s="7">
        <f t="shared" si="1"/>
        <v>42141</v>
      </c>
      <c r="D1240" s="1" t="str">
        <f t="array" ref="D1240">IF(ISBLANK(XLOOKUP(D$3,daily_items,XLOOKUP($C1240,daily_dates,big_daily_table))),NA(),XLOOKUP(D$3,daily_items,XLOOKUP($C1240,daily_dates,big_daily_table)))</f>
        <v>#N/A</v>
      </c>
      <c r="E1240" s="1" t="str">
        <f t="array" ref="E1240">IF(ISBLANK(XLOOKUP(E$3,daily_items,XLOOKUP($C1240,daily_dates,big_daily_table))),NA(),XLOOKUP(E$3,daily_items,XLOOKUP($C1240,daily_dates,big_daily_table)))</f>
        <v>#N/A</v>
      </c>
    </row>
    <row r="1241" ht="14.25" customHeight="1">
      <c r="B1241" s="7">
        <v>42146.0</v>
      </c>
      <c r="C1241" s="7">
        <f t="shared" si="1"/>
        <v>42141</v>
      </c>
      <c r="D1241" s="1" t="str">
        <f t="array" ref="D1241">IF(ISBLANK(XLOOKUP(D$3,daily_items,XLOOKUP($C1241,daily_dates,big_daily_table))),NA(),XLOOKUP(D$3,daily_items,XLOOKUP($C1241,daily_dates,big_daily_table)))</f>
        <v>#N/A</v>
      </c>
      <c r="E1241" s="1" t="str">
        <f t="array" ref="E1241">IF(ISBLANK(XLOOKUP(E$3,daily_items,XLOOKUP($C1241,daily_dates,big_daily_table))),NA(),XLOOKUP(E$3,daily_items,XLOOKUP($C1241,daily_dates,big_daily_table)))</f>
        <v>#N/A</v>
      </c>
    </row>
    <row r="1242" ht="14.25" customHeight="1">
      <c r="B1242" s="7">
        <v>42147.0</v>
      </c>
      <c r="C1242" s="7">
        <f t="shared" si="1"/>
        <v>42141</v>
      </c>
      <c r="D1242" s="1" t="str">
        <f t="array" ref="D1242">IF(ISBLANK(XLOOKUP(D$3,daily_items,XLOOKUP($C1242,daily_dates,big_daily_table))),NA(),XLOOKUP(D$3,daily_items,XLOOKUP($C1242,daily_dates,big_daily_table)))</f>
        <v>#N/A</v>
      </c>
      <c r="E1242" s="1" t="str">
        <f t="array" ref="E1242">IF(ISBLANK(XLOOKUP(E$3,daily_items,XLOOKUP($C1242,daily_dates,big_daily_table))),NA(),XLOOKUP(E$3,daily_items,XLOOKUP($C1242,daily_dates,big_daily_table)))</f>
        <v>#N/A</v>
      </c>
    </row>
    <row r="1243" ht="14.25" customHeight="1">
      <c r="B1243" s="7">
        <v>42148.0</v>
      </c>
      <c r="C1243" s="7">
        <f t="shared" si="1"/>
        <v>42148</v>
      </c>
      <c r="D1243" s="1" t="str">
        <f t="array" ref="D1243">IF(ISBLANK(XLOOKUP(D$3,daily_items,XLOOKUP($C1243,daily_dates,big_daily_table))),NA(),XLOOKUP(D$3,daily_items,XLOOKUP($C1243,daily_dates,big_daily_table)))</f>
        <v>#N/A</v>
      </c>
      <c r="E1243" s="1" t="str">
        <f t="array" ref="E1243">IF(ISBLANK(XLOOKUP(E$3,daily_items,XLOOKUP($C1243,daily_dates,big_daily_table))),NA(),XLOOKUP(E$3,daily_items,XLOOKUP($C1243,daily_dates,big_daily_table)))</f>
        <v>#N/A</v>
      </c>
    </row>
    <row r="1244" ht="14.25" customHeight="1">
      <c r="B1244" s="7">
        <v>42149.0</v>
      </c>
      <c r="C1244" s="7">
        <f t="shared" si="1"/>
        <v>42148</v>
      </c>
      <c r="D1244" s="1" t="str">
        <f t="array" ref="D1244">IF(ISBLANK(XLOOKUP(D$3,daily_items,XLOOKUP($C1244,daily_dates,big_daily_table))),NA(),XLOOKUP(D$3,daily_items,XLOOKUP($C1244,daily_dates,big_daily_table)))</f>
        <v>#N/A</v>
      </c>
      <c r="E1244" s="1" t="str">
        <f t="array" ref="E1244">IF(ISBLANK(XLOOKUP(E$3,daily_items,XLOOKUP($C1244,daily_dates,big_daily_table))),NA(),XLOOKUP(E$3,daily_items,XLOOKUP($C1244,daily_dates,big_daily_table)))</f>
        <v>#N/A</v>
      </c>
    </row>
    <row r="1245" ht="14.25" customHeight="1">
      <c r="B1245" s="7">
        <v>42150.0</v>
      </c>
      <c r="C1245" s="7">
        <f t="shared" si="1"/>
        <v>42148</v>
      </c>
      <c r="D1245" s="1" t="str">
        <f t="array" ref="D1245">IF(ISBLANK(XLOOKUP(D$3,daily_items,XLOOKUP($C1245,daily_dates,big_daily_table))),NA(),XLOOKUP(D$3,daily_items,XLOOKUP($C1245,daily_dates,big_daily_table)))</f>
        <v>#N/A</v>
      </c>
      <c r="E1245" s="1" t="str">
        <f t="array" ref="E1245">IF(ISBLANK(XLOOKUP(E$3,daily_items,XLOOKUP($C1245,daily_dates,big_daily_table))),NA(),XLOOKUP(E$3,daily_items,XLOOKUP($C1245,daily_dates,big_daily_table)))</f>
        <v>#N/A</v>
      </c>
    </row>
    <row r="1246" ht="14.25" customHeight="1">
      <c r="B1246" s="7">
        <v>42151.0</v>
      </c>
      <c r="C1246" s="7">
        <f t="shared" si="1"/>
        <v>42148</v>
      </c>
      <c r="D1246" s="1" t="str">
        <f t="array" ref="D1246">IF(ISBLANK(XLOOKUP(D$3,daily_items,XLOOKUP($C1246,daily_dates,big_daily_table))),NA(),XLOOKUP(D$3,daily_items,XLOOKUP($C1246,daily_dates,big_daily_table)))</f>
        <v>#N/A</v>
      </c>
      <c r="E1246" s="1" t="str">
        <f t="array" ref="E1246">IF(ISBLANK(XLOOKUP(E$3,daily_items,XLOOKUP($C1246,daily_dates,big_daily_table))),NA(),XLOOKUP(E$3,daily_items,XLOOKUP($C1246,daily_dates,big_daily_table)))</f>
        <v>#N/A</v>
      </c>
    </row>
    <row r="1247" ht="14.25" customHeight="1">
      <c r="B1247" s="7">
        <v>42152.0</v>
      </c>
      <c r="C1247" s="7">
        <f t="shared" si="1"/>
        <v>42148</v>
      </c>
      <c r="D1247" s="1" t="str">
        <f t="array" ref="D1247">IF(ISBLANK(XLOOKUP(D$3,daily_items,XLOOKUP($C1247,daily_dates,big_daily_table))),NA(),XLOOKUP(D$3,daily_items,XLOOKUP($C1247,daily_dates,big_daily_table)))</f>
        <v>#N/A</v>
      </c>
      <c r="E1247" s="1" t="str">
        <f t="array" ref="E1247">IF(ISBLANK(XLOOKUP(E$3,daily_items,XLOOKUP($C1247,daily_dates,big_daily_table))),NA(),XLOOKUP(E$3,daily_items,XLOOKUP($C1247,daily_dates,big_daily_table)))</f>
        <v>#N/A</v>
      </c>
    </row>
    <row r="1248" ht="14.25" customHeight="1">
      <c r="B1248" s="7">
        <v>42153.0</v>
      </c>
      <c r="C1248" s="7">
        <f t="shared" si="1"/>
        <v>42148</v>
      </c>
      <c r="D1248" s="1" t="str">
        <f t="array" ref="D1248">IF(ISBLANK(XLOOKUP(D$3,daily_items,XLOOKUP($C1248,daily_dates,big_daily_table))),NA(),XLOOKUP(D$3,daily_items,XLOOKUP($C1248,daily_dates,big_daily_table)))</f>
        <v>#N/A</v>
      </c>
      <c r="E1248" s="1" t="str">
        <f t="array" ref="E1248">IF(ISBLANK(XLOOKUP(E$3,daily_items,XLOOKUP($C1248,daily_dates,big_daily_table))),NA(),XLOOKUP(E$3,daily_items,XLOOKUP($C1248,daily_dates,big_daily_table)))</f>
        <v>#N/A</v>
      </c>
    </row>
    <row r="1249" ht="14.25" customHeight="1">
      <c r="B1249" s="7">
        <v>42154.0</v>
      </c>
      <c r="C1249" s="7">
        <f t="shared" si="1"/>
        <v>42148</v>
      </c>
      <c r="D1249" s="1" t="str">
        <f t="array" ref="D1249">IF(ISBLANK(XLOOKUP(D$3,daily_items,XLOOKUP($C1249,daily_dates,big_daily_table))),NA(),XLOOKUP(D$3,daily_items,XLOOKUP($C1249,daily_dates,big_daily_table)))</f>
        <v>#N/A</v>
      </c>
      <c r="E1249" s="1" t="str">
        <f t="array" ref="E1249">IF(ISBLANK(XLOOKUP(E$3,daily_items,XLOOKUP($C1249,daily_dates,big_daily_table))),NA(),XLOOKUP(E$3,daily_items,XLOOKUP($C1249,daily_dates,big_daily_table)))</f>
        <v>#N/A</v>
      </c>
    </row>
    <row r="1250" ht="14.25" customHeight="1">
      <c r="B1250" s="7">
        <v>42155.0</v>
      </c>
      <c r="C1250" s="7">
        <f t="shared" si="1"/>
        <v>42155</v>
      </c>
      <c r="D1250" s="1" t="str">
        <f t="array" ref="D1250">IF(ISBLANK(XLOOKUP(D$3,daily_items,XLOOKUP($C1250,daily_dates,big_daily_table))),NA(),XLOOKUP(D$3,daily_items,XLOOKUP($C1250,daily_dates,big_daily_table)))</f>
        <v>#N/A</v>
      </c>
      <c r="E1250" s="1" t="str">
        <f t="array" ref="E1250">IF(ISBLANK(XLOOKUP(E$3,daily_items,XLOOKUP($C1250,daily_dates,big_daily_table))),NA(),XLOOKUP(E$3,daily_items,XLOOKUP($C1250,daily_dates,big_daily_table)))</f>
        <v>#N/A</v>
      </c>
    </row>
    <row r="1251" ht="14.25" customHeight="1">
      <c r="B1251" s="7">
        <v>42156.0</v>
      </c>
      <c r="C1251" s="7">
        <f t="shared" si="1"/>
        <v>42155</v>
      </c>
      <c r="D1251" s="1" t="str">
        <f t="array" ref="D1251">IF(ISBLANK(XLOOKUP(D$3,daily_items,XLOOKUP($C1251,daily_dates,big_daily_table))),NA(),XLOOKUP(D$3,daily_items,XLOOKUP($C1251,daily_dates,big_daily_table)))</f>
        <v>#N/A</v>
      </c>
      <c r="E1251" s="1" t="str">
        <f t="array" ref="E1251">IF(ISBLANK(XLOOKUP(E$3,daily_items,XLOOKUP($C1251,daily_dates,big_daily_table))),NA(),XLOOKUP(E$3,daily_items,XLOOKUP($C1251,daily_dates,big_daily_table)))</f>
        <v>#N/A</v>
      </c>
    </row>
    <row r="1252" ht="14.25" customHeight="1">
      <c r="B1252" s="7">
        <v>42157.0</v>
      </c>
      <c r="C1252" s="7">
        <f t="shared" si="1"/>
        <v>42155</v>
      </c>
      <c r="D1252" s="1" t="str">
        <f t="array" ref="D1252">IF(ISBLANK(XLOOKUP(D$3,daily_items,XLOOKUP($C1252,daily_dates,big_daily_table))),NA(),XLOOKUP(D$3,daily_items,XLOOKUP($C1252,daily_dates,big_daily_table)))</f>
        <v>#N/A</v>
      </c>
      <c r="E1252" s="1" t="str">
        <f t="array" ref="E1252">IF(ISBLANK(XLOOKUP(E$3,daily_items,XLOOKUP($C1252,daily_dates,big_daily_table))),NA(),XLOOKUP(E$3,daily_items,XLOOKUP($C1252,daily_dates,big_daily_table)))</f>
        <v>#N/A</v>
      </c>
    </row>
    <row r="1253" ht="14.25" customHeight="1">
      <c r="B1253" s="7">
        <v>42158.0</v>
      </c>
      <c r="C1253" s="7">
        <f t="shared" si="1"/>
        <v>42155</v>
      </c>
      <c r="D1253" s="1" t="str">
        <f t="array" ref="D1253">IF(ISBLANK(XLOOKUP(D$3,daily_items,XLOOKUP($C1253,daily_dates,big_daily_table))),NA(),XLOOKUP(D$3,daily_items,XLOOKUP($C1253,daily_dates,big_daily_table)))</f>
        <v>#N/A</v>
      </c>
      <c r="E1253" s="1" t="str">
        <f t="array" ref="E1253">IF(ISBLANK(XLOOKUP(E$3,daily_items,XLOOKUP($C1253,daily_dates,big_daily_table))),NA(),XLOOKUP(E$3,daily_items,XLOOKUP($C1253,daily_dates,big_daily_table)))</f>
        <v>#N/A</v>
      </c>
    </row>
    <row r="1254" ht="14.25" customHeight="1">
      <c r="B1254" s="7">
        <v>42159.0</v>
      </c>
      <c r="C1254" s="7">
        <f t="shared" si="1"/>
        <v>42155</v>
      </c>
      <c r="D1254" s="1" t="str">
        <f t="array" ref="D1254">IF(ISBLANK(XLOOKUP(D$3,daily_items,XLOOKUP($C1254,daily_dates,big_daily_table))),NA(),XLOOKUP(D$3,daily_items,XLOOKUP($C1254,daily_dates,big_daily_table)))</f>
        <v>#N/A</v>
      </c>
      <c r="E1254" s="1" t="str">
        <f t="array" ref="E1254">IF(ISBLANK(XLOOKUP(E$3,daily_items,XLOOKUP($C1254,daily_dates,big_daily_table))),NA(),XLOOKUP(E$3,daily_items,XLOOKUP($C1254,daily_dates,big_daily_table)))</f>
        <v>#N/A</v>
      </c>
    </row>
    <row r="1255" ht="14.25" customHeight="1">
      <c r="B1255" s="7">
        <v>42160.0</v>
      </c>
      <c r="C1255" s="7">
        <f t="shared" si="1"/>
        <v>42155</v>
      </c>
      <c r="D1255" s="1" t="str">
        <f t="array" ref="D1255">IF(ISBLANK(XLOOKUP(D$3,daily_items,XLOOKUP($C1255,daily_dates,big_daily_table))),NA(),XLOOKUP(D$3,daily_items,XLOOKUP($C1255,daily_dates,big_daily_table)))</f>
        <v>#N/A</v>
      </c>
      <c r="E1255" s="1" t="str">
        <f t="array" ref="E1255">IF(ISBLANK(XLOOKUP(E$3,daily_items,XLOOKUP($C1255,daily_dates,big_daily_table))),NA(),XLOOKUP(E$3,daily_items,XLOOKUP($C1255,daily_dates,big_daily_table)))</f>
        <v>#N/A</v>
      </c>
    </row>
    <row r="1256" ht="14.25" customHeight="1">
      <c r="B1256" s="7">
        <v>42161.0</v>
      </c>
      <c r="C1256" s="7">
        <f t="shared" si="1"/>
        <v>42155</v>
      </c>
      <c r="D1256" s="1" t="str">
        <f t="array" ref="D1256">IF(ISBLANK(XLOOKUP(D$3,daily_items,XLOOKUP($C1256,daily_dates,big_daily_table))),NA(),XLOOKUP(D$3,daily_items,XLOOKUP($C1256,daily_dates,big_daily_table)))</f>
        <v>#N/A</v>
      </c>
      <c r="E1256" s="1" t="str">
        <f t="array" ref="E1256">IF(ISBLANK(XLOOKUP(E$3,daily_items,XLOOKUP($C1256,daily_dates,big_daily_table))),NA(),XLOOKUP(E$3,daily_items,XLOOKUP($C1256,daily_dates,big_daily_table)))</f>
        <v>#N/A</v>
      </c>
    </row>
    <row r="1257" ht="14.25" customHeight="1">
      <c r="B1257" s="7">
        <v>42162.0</v>
      </c>
      <c r="C1257" s="7">
        <f t="shared" si="1"/>
        <v>42162</v>
      </c>
      <c r="D1257" s="1" t="str">
        <f t="array" ref="D1257">IF(ISBLANK(XLOOKUP(D$3,daily_items,XLOOKUP($C1257,daily_dates,big_daily_table))),NA(),XLOOKUP(D$3,daily_items,XLOOKUP($C1257,daily_dates,big_daily_table)))</f>
        <v>#N/A</v>
      </c>
      <c r="E1257" s="1" t="str">
        <f t="array" ref="E1257">IF(ISBLANK(XLOOKUP(E$3,daily_items,XLOOKUP($C1257,daily_dates,big_daily_table))),NA(),XLOOKUP(E$3,daily_items,XLOOKUP($C1257,daily_dates,big_daily_table)))</f>
        <v>#N/A</v>
      </c>
    </row>
    <row r="1258" ht="14.25" customHeight="1">
      <c r="B1258" s="7">
        <v>42163.0</v>
      </c>
      <c r="C1258" s="7">
        <f t="shared" si="1"/>
        <v>42162</v>
      </c>
      <c r="D1258" s="1" t="str">
        <f t="array" ref="D1258">IF(ISBLANK(XLOOKUP(D$3,daily_items,XLOOKUP($C1258,daily_dates,big_daily_table))),NA(),XLOOKUP(D$3,daily_items,XLOOKUP($C1258,daily_dates,big_daily_table)))</f>
        <v>#N/A</v>
      </c>
      <c r="E1258" s="1" t="str">
        <f t="array" ref="E1258">IF(ISBLANK(XLOOKUP(E$3,daily_items,XLOOKUP($C1258,daily_dates,big_daily_table))),NA(),XLOOKUP(E$3,daily_items,XLOOKUP($C1258,daily_dates,big_daily_table)))</f>
        <v>#N/A</v>
      </c>
    </row>
    <row r="1259" ht="14.25" customHeight="1">
      <c r="B1259" s="7">
        <v>42164.0</v>
      </c>
      <c r="C1259" s="7">
        <f t="shared" si="1"/>
        <v>42162</v>
      </c>
      <c r="D1259" s="1" t="str">
        <f t="array" ref="D1259">IF(ISBLANK(XLOOKUP(D$3,daily_items,XLOOKUP($C1259,daily_dates,big_daily_table))),NA(),XLOOKUP(D$3,daily_items,XLOOKUP($C1259,daily_dates,big_daily_table)))</f>
        <v>#N/A</v>
      </c>
      <c r="E1259" s="1" t="str">
        <f t="array" ref="E1259">IF(ISBLANK(XLOOKUP(E$3,daily_items,XLOOKUP($C1259,daily_dates,big_daily_table))),NA(),XLOOKUP(E$3,daily_items,XLOOKUP($C1259,daily_dates,big_daily_table)))</f>
        <v>#N/A</v>
      </c>
    </row>
    <row r="1260" ht="14.25" customHeight="1">
      <c r="B1260" s="7">
        <v>42165.0</v>
      </c>
      <c r="C1260" s="7">
        <f t="shared" si="1"/>
        <v>42162</v>
      </c>
      <c r="D1260" s="1" t="str">
        <f t="array" ref="D1260">IF(ISBLANK(XLOOKUP(D$3,daily_items,XLOOKUP($C1260,daily_dates,big_daily_table))),NA(),XLOOKUP(D$3,daily_items,XLOOKUP($C1260,daily_dates,big_daily_table)))</f>
        <v>#N/A</v>
      </c>
      <c r="E1260" s="1" t="str">
        <f t="array" ref="E1260">IF(ISBLANK(XLOOKUP(E$3,daily_items,XLOOKUP($C1260,daily_dates,big_daily_table))),NA(),XLOOKUP(E$3,daily_items,XLOOKUP($C1260,daily_dates,big_daily_table)))</f>
        <v>#N/A</v>
      </c>
    </row>
    <row r="1261" ht="14.25" customHeight="1">
      <c r="B1261" s="7">
        <v>42166.0</v>
      </c>
      <c r="C1261" s="7">
        <f t="shared" si="1"/>
        <v>42162</v>
      </c>
      <c r="D1261" s="1" t="str">
        <f t="array" ref="D1261">IF(ISBLANK(XLOOKUP(D$3,daily_items,XLOOKUP($C1261,daily_dates,big_daily_table))),NA(),XLOOKUP(D$3,daily_items,XLOOKUP($C1261,daily_dates,big_daily_table)))</f>
        <v>#N/A</v>
      </c>
      <c r="E1261" s="1" t="str">
        <f t="array" ref="E1261">IF(ISBLANK(XLOOKUP(E$3,daily_items,XLOOKUP($C1261,daily_dates,big_daily_table))),NA(),XLOOKUP(E$3,daily_items,XLOOKUP($C1261,daily_dates,big_daily_table)))</f>
        <v>#N/A</v>
      </c>
    </row>
    <row r="1262" ht="14.25" customHeight="1">
      <c r="B1262" s="7">
        <v>42167.0</v>
      </c>
      <c r="C1262" s="7">
        <f t="shared" si="1"/>
        <v>42162</v>
      </c>
      <c r="D1262" s="1" t="str">
        <f t="array" ref="D1262">IF(ISBLANK(XLOOKUP(D$3,daily_items,XLOOKUP($C1262,daily_dates,big_daily_table))),NA(),XLOOKUP(D$3,daily_items,XLOOKUP($C1262,daily_dates,big_daily_table)))</f>
        <v>#N/A</v>
      </c>
      <c r="E1262" s="1" t="str">
        <f t="array" ref="E1262">IF(ISBLANK(XLOOKUP(E$3,daily_items,XLOOKUP($C1262,daily_dates,big_daily_table))),NA(),XLOOKUP(E$3,daily_items,XLOOKUP($C1262,daily_dates,big_daily_table)))</f>
        <v>#N/A</v>
      </c>
    </row>
    <row r="1263" ht="14.25" customHeight="1">
      <c r="B1263" s="7">
        <v>42168.0</v>
      </c>
      <c r="C1263" s="7">
        <f t="shared" si="1"/>
        <v>42162</v>
      </c>
      <c r="D1263" s="1" t="str">
        <f t="array" ref="D1263">IF(ISBLANK(XLOOKUP(D$3,daily_items,XLOOKUP($C1263,daily_dates,big_daily_table))),NA(),XLOOKUP(D$3,daily_items,XLOOKUP($C1263,daily_dates,big_daily_table)))</f>
        <v>#N/A</v>
      </c>
      <c r="E1263" s="1" t="str">
        <f t="array" ref="E1263">IF(ISBLANK(XLOOKUP(E$3,daily_items,XLOOKUP($C1263,daily_dates,big_daily_table))),NA(),XLOOKUP(E$3,daily_items,XLOOKUP($C1263,daily_dates,big_daily_table)))</f>
        <v>#N/A</v>
      </c>
    </row>
    <row r="1264" ht="14.25" customHeight="1">
      <c r="B1264" s="7">
        <v>42169.0</v>
      </c>
      <c r="C1264" s="7">
        <f t="shared" si="1"/>
        <v>42169</v>
      </c>
      <c r="D1264" s="1" t="str">
        <f t="array" ref="D1264">IF(ISBLANK(XLOOKUP(D$3,daily_items,XLOOKUP($C1264,daily_dates,big_daily_table))),NA(),XLOOKUP(D$3,daily_items,XLOOKUP($C1264,daily_dates,big_daily_table)))</f>
        <v>#N/A</v>
      </c>
      <c r="E1264" s="1" t="str">
        <f t="array" ref="E1264">IF(ISBLANK(XLOOKUP(E$3,daily_items,XLOOKUP($C1264,daily_dates,big_daily_table))),NA(),XLOOKUP(E$3,daily_items,XLOOKUP($C1264,daily_dates,big_daily_table)))</f>
        <v>#N/A</v>
      </c>
    </row>
    <row r="1265" ht="14.25" customHeight="1">
      <c r="B1265" s="7">
        <v>42170.0</v>
      </c>
      <c r="C1265" s="7">
        <f t="shared" si="1"/>
        <v>42169</v>
      </c>
      <c r="D1265" s="1" t="str">
        <f t="array" ref="D1265">IF(ISBLANK(XLOOKUP(D$3,daily_items,XLOOKUP($C1265,daily_dates,big_daily_table))),NA(),XLOOKUP(D$3,daily_items,XLOOKUP($C1265,daily_dates,big_daily_table)))</f>
        <v>#N/A</v>
      </c>
      <c r="E1265" s="1" t="str">
        <f t="array" ref="E1265">IF(ISBLANK(XLOOKUP(E$3,daily_items,XLOOKUP($C1265,daily_dates,big_daily_table))),NA(),XLOOKUP(E$3,daily_items,XLOOKUP($C1265,daily_dates,big_daily_table)))</f>
        <v>#N/A</v>
      </c>
    </row>
    <row r="1266" ht="14.25" customHeight="1">
      <c r="B1266" s="7">
        <v>42171.0</v>
      </c>
      <c r="C1266" s="7">
        <f t="shared" si="1"/>
        <v>42169</v>
      </c>
      <c r="D1266" s="1" t="str">
        <f t="array" ref="D1266">IF(ISBLANK(XLOOKUP(D$3,daily_items,XLOOKUP($C1266,daily_dates,big_daily_table))),NA(),XLOOKUP(D$3,daily_items,XLOOKUP($C1266,daily_dates,big_daily_table)))</f>
        <v>#N/A</v>
      </c>
      <c r="E1266" s="1" t="str">
        <f t="array" ref="E1266">IF(ISBLANK(XLOOKUP(E$3,daily_items,XLOOKUP($C1266,daily_dates,big_daily_table))),NA(),XLOOKUP(E$3,daily_items,XLOOKUP($C1266,daily_dates,big_daily_table)))</f>
        <v>#N/A</v>
      </c>
    </row>
    <row r="1267" ht="14.25" customHeight="1">
      <c r="B1267" s="7">
        <v>42172.0</v>
      </c>
      <c r="C1267" s="7">
        <f t="shared" si="1"/>
        <v>42169</v>
      </c>
      <c r="D1267" s="1" t="str">
        <f t="array" ref="D1267">IF(ISBLANK(XLOOKUP(D$3,daily_items,XLOOKUP($C1267,daily_dates,big_daily_table))),NA(),XLOOKUP(D$3,daily_items,XLOOKUP($C1267,daily_dates,big_daily_table)))</f>
        <v>#N/A</v>
      </c>
      <c r="E1267" s="1" t="str">
        <f t="array" ref="E1267">IF(ISBLANK(XLOOKUP(E$3,daily_items,XLOOKUP($C1267,daily_dates,big_daily_table))),NA(),XLOOKUP(E$3,daily_items,XLOOKUP($C1267,daily_dates,big_daily_table)))</f>
        <v>#N/A</v>
      </c>
    </row>
    <row r="1268" ht="14.25" customHeight="1">
      <c r="B1268" s="7">
        <v>42173.0</v>
      </c>
      <c r="C1268" s="7">
        <f t="shared" si="1"/>
        <v>42169</v>
      </c>
      <c r="D1268" s="1" t="str">
        <f t="array" ref="D1268">IF(ISBLANK(XLOOKUP(D$3,daily_items,XLOOKUP($C1268,daily_dates,big_daily_table))),NA(),XLOOKUP(D$3,daily_items,XLOOKUP($C1268,daily_dates,big_daily_table)))</f>
        <v>#N/A</v>
      </c>
      <c r="E1268" s="1" t="str">
        <f t="array" ref="E1268">IF(ISBLANK(XLOOKUP(E$3,daily_items,XLOOKUP($C1268,daily_dates,big_daily_table))),NA(),XLOOKUP(E$3,daily_items,XLOOKUP($C1268,daily_dates,big_daily_table)))</f>
        <v>#N/A</v>
      </c>
    </row>
    <row r="1269" ht="14.25" customHeight="1">
      <c r="B1269" s="7">
        <v>42174.0</v>
      </c>
      <c r="C1269" s="7">
        <f t="shared" si="1"/>
        <v>42169</v>
      </c>
      <c r="D1269" s="1" t="str">
        <f t="array" ref="D1269">IF(ISBLANK(XLOOKUP(D$3,daily_items,XLOOKUP($C1269,daily_dates,big_daily_table))),NA(),XLOOKUP(D$3,daily_items,XLOOKUP($C1269,daily_dates,big_daily_table)))</f>
        <v>#N/A</v>
      </c>
      <c r="E1269" s="1" t="str">
        <f t="array" ref="E1269">IF(ISBLANK(XLOOKUP(E$3,daily_items,XLOOKUP($C1269,daily_dates,big_daily_table))),NA(),XLOOKUP(E$3,daily_items,XLOOKUP($C1269,daily_dates,big_daily_table)))</f>
        <v>#N/A</v>
      </c>
    </row>
    <row r="1270" ht="14.25" customHeight="1">
      <c r="B1270" s="7">
        <v>42175.0</v>
      </c>
      <c r="C1270" s="7">
        <f t="shared" si="1"/>
        <v>42169</v>
      </c>
      <c r="D1270" s="1" t="str">
        <f t="array" ref="D1270">IF(ISBLANK(XLOOKUP(D$3,daily_items,XLOOKUP($C1270,daily_dates,big_daily_table))),NA(),XLOOKUP(D$3,daily_items,XLOOKUP($C1270,daily_dates,big_daily_table)))</f>
        <v>#N/A</v>
      </c>
      <c r="E1270" s="1" t="str">
        <f t="array" ref="E1270">IF(ISBLANK(XLOOKUP(E$3,daily_items,XLOOKUP($C1270,daily_dates,big_daily_table))),NA(),XLOOKUP(E$3,daily_items,XLOOKUP($C1270,daily_dates,big_daily_table)))</f>
        <v>#N/A</v>
      </c>
    </row>
    <row r="1271" ht="14.25" customHeight="1">
      <c r="B1271" s="7">
        <v>42176.0</v>
      </c>
      <c r="C1271" s="7">
        <f t="shared" si="1"/>
        <v>42176</v>
      </c>
      <c r="D1271" s="1" t="str">
        <f t="array" ref="D1271">IF(ISBLANK(XLOOKUP(D$3,daily_items,XLOOKUP($C1271,daily_dates,big_daily_table))),NA(),XLOOKUP(D$3,daily_items,XLOOKUP($C1271,daily_dates,big_daily_table)))</f>
        <v>#N/A</v>
      </c>
      <c r="E1271" s="1" t="str">
        <f t="array" ref="E1271">IF(ISBLANK(XLOOKUP(E$3,daily_items,XLOOKUP($C1271,daily_dates,big_daily_table))),NA(),XLOOKUP(E$3,daily_items,XLOOKUP($C1271,daily_dates,big_daily_table)))</f>
        <v>#N/A</v>
      </c>
    </row>
    <row r="1272" ht="14.25" customHeight="1">
      <c r="B1272" s="7">
        <v>42177.0</v>
      </c>
      <c r="C1272" s="7">
        <f t="shared" si="1"/>
        <v>42176</v>
      </c>
      <c r="D1272" s="1" t="str">
        <f t="array" ref="D1272">IF(ISBLANK(XLOOKUP(D$3,daily_items,XLOOKUP($C1272,daily_dates,big_daily_table))),NA(),XLOOKUP(D$3,daily_items,XLOOKUP($C1272,daily_dates,big_daily_table)))</f>
        <v>#N/A</v>
      </c>
      <c r="E1272" s="1" t="str">
        <f t="array" ref="E1272">IF(ISBLANK(XLOOKUP(E$3,daily_items,XLOOKUP($C1272,daily_dates,big_daily_table))),NA(),XLOOKUP(E$3,daily_items,XLOOKUP($C1272,daily_dates,big_daily_table)))</f>
        <v>#N/A</v>
      </c>
    </row>
    <row r="1273" ht="14.25" customHeight="1">
      <c r="B1273" s="7">
        <v>42178.0</v>
      </c>
      <c r="C1273" s="7">
        <f t="shared" si="1"/>
        <v>42176</v>
      </c>
      <c r="D1273" s="1" t="str">
        <f t="array" ref="D1273">IF(ISBLANK(XLOOKUP(D$3,daily_items,XLOOKUP($C1273,daily_dates,big_daily_table))),NA(),XLOOKUP(D$3,daily_items,XLOOKUP($C1273,daily_dates,big_daily_table)))</f>
        <v>#N/A</v>
      </c>
      <c r="E1273" s="1" t="str">
        <f t="array" ref="E1273">IF(ISBLANK(XLOOKUP(E$3,daily_items,XLOOKUP($C1273,daily_dates,big_daily_table))),NA(),XLOOKUP(E$3,daily_items,XLOOKUP($C1273,daily_dates,big_daily_table)))</f>
        <v>#N/A</v>
      </c>
    </row>
    <row r="1274" ht="14.25" customHeight="1">
      <c r="B1274" s="7">
        <v>42179.0</v>
      </c>
      <c r="C1274" s="7">
        <f t="shared" si="1"/>
        <v>42176</v>
      </c>
      <c r="D1274" s="1" t="str">
        <f t="array" ref="D1274">IF(ISBLANK(XLOOKUP(D$3,daily_items,XLOOKUP($C1274,daily_dates,big_daily_table))),NA(),XLOOKUP(D$3,daily_items,XLOOKUP($C1274,daily_dates,big_daily_table)))</f>
        <v>#N/A</v>
      </c>
      <c r="E1274" s="1" t="str">
        <f t="array" ref="E1274">IF(ISBLANK(XLOOKUP(E$3,daily_items,XLOOKUP($C1274,daily_dates,big_daily_table))),NA(),XLOOKUP(E$3,daily_items,XLOOKUP($C1274,daily_dates,big_daily_table)))</f>
        <v>#N/A</v>
      </c>
    </row>
    <row r="1275" ht="14.25" customHeight="1">
      <c r="B1275" s="7">
        <v>42180.0</v>
      </c>
      <c r="C1275" s="7">
        <f t="shared" si="1"/>
        <v>42176</v>
      </c>
      <c r="D1275" s="1" t="str">
        <f t="array" ref="D1275">IF(ISBLANK(XLOOKUP(D$3,daily_items,XLOOKUP($C1275,daily_dates,big_daily_table))),NA(),XLOOKUP(D$3,daily_items,XLOOKUP($C1275,daily_dates,big_daily_table)))</f>
        <v>#N/A</v>
      </c>
      <c r="E1275" s="1" t="str">
        <f t="array" ref="E1275">IF(ISBLANK(XLOOKUP(E$3,daily_items,XLOOKUP($C1275,daily_dates,big_daily_table))),NA(),XLOOKUP(E$3,daily_items,XLOOKUP($C1275,daily_dates,big_daily_table)))</f>
        <v>#N/A</v>
      </c>
    </row>
    <row r="1276" ht="14.25" customHeight="1">
      <c r="B1276" s="7">
        <v>42181.0</v>
      </c>
      <c r="C1276" s="7">
        <f t="shared" si="1"/>
        <v>42176</v>
      </c>
      <c r="D1276" s="1" t="str">
        <f t="array" ref="D1276">IF(ISBLANK(XLOOKUP(D$3,daily_items,XLOOKUP($C1276,daily_dates,big_daily_table))),NA(),XLOOKUP(D$3,daily_items,XLOOKUP($C1276,daily_dates,big_daily_table)))</f>
        <v>#N/A</v>
      </c>
      <c r="E1276" s="1" t="str">
        <f t="array" ref="E1276">IF(ISBLANK(XLOOKUP(E$3,daily_items,XLOOKUP($C1276,daily_dates,big_daily_table))),NA(),XLOOKUP(E$3,daily_items,XLOOKUP($C1276,daily_dates,big_daily_table)))</f>
        <v>#N/A</v>
      </c>
    </row>
    <row r="1277" ht="14.25" customHeight="1">
      <c r="B1277" s="7">
        <v>42182.0</v>
      </c>
      <c r="C1277" s="7">
        <f t="shared" si="1"/>
        <v>42176</v>
      </c>
      <c r="D1277" s="1" t="str">
        <f t="array" ref="D1277">IF(ISBLANK(XLOOKUP(D$3,daily_items,XLOOKUP($C1277,daily_dates,big_daily_table))),NA(),XLOOKUP(D$3,daily_items,XLOOKUP($C1277,daily_dates,big_daily_table)))</f>
        <v>#N/A</v>
      </c>
      <c r="E1277" s="1" t="str">
        <f t="array" ref="E1277">IF(ISBLANK(XLOOKUP(E$3,daily_items,XLOOKUP($C1277,daily_dates,big_daily_table))),NA(),XLOOKUP(E$3,daily_items,XLOOKUP($C1277,daily_dates,big_daily_table)))</f>
        <v>#N/A</v>
      </c>
    </row>
    <row r="1278" ht="14.25" customHeight="1">
      <c r="B1278" s="7">
        <v>42183.0</v>
      </c>
      <c r="C1278" s="7">
        <f t="shared" si="1"/>
        <v>42183</v>
      </c>
      <c r="D1278" s="1" t="str">
        <f t="array" ref="D1278">IF(ISBLANK(XLOOKUP(D$3,daily_items,XLOOKUP($C1278,daily_dates,big_daily_table))),NA(),XLOOKUP(D$3,daily_items,XLOOKUP($C1278,daily_dates,big_daily_table)))</f>
        <v>#N/A</v>
      </c>
      <c r="E1278" s="1" t="str">
        <f t="array" ref="E1278">IF(ISBLANK(XLOOKUP(E$3,daily_items,XLOOKUP($C1278,daily_dates,big_daily_table))),NA(),XLOOKUP(E$3,daily_items,XLOOKUP($C1278,daily_dates,big_daily_table)))</f>
        <v>#N/A</v>
      </c>
    </row>
    <row r="1279" ht="14.25" customHeight="1">
      <c r="B1279" s="7">
        <v>42184.0</v>
      </c>
      <c r="C1279" s="7">
        <f t="shared" si="1"/>
        <v>42183</v>
      </c>
      <c r="D1279" s="1" t="str">
        <f t="array" ref="D1279">IF(ISBLANK(XLOOKUP(D$3,daily_items,XLOOKUP($C1279,daily_dates,big_daily_table))),NA(),XLOOKUP(D$3,daily_items,XLOOKUP($C1279,daily_dates,big_daily_table)))</f>
        <v>#N/A</v>
      </c>
      <c r="E1279" s="1" t="str">
        <f t="array" ref="E1279">IF(ISBLANK(XLOOKUP(E$3,daily_items,XLOOKUP($C1279,daily_dates,big_daily_table))),NA(),XLOOKUP(E$3,daily_items,XLOOKUP($C1279,daily_dates,big_daily_table)))</f>
        <v>#N/A</v>
      </c>
    </row>
    <row r="1280" ht="14.25" customHeight="1">
      <c r="B1280" s="7">
        <v>42185.0</v>
      </c>
      <c r="C1280" s="7">
        <f t="shared" si="1"/>
        <v>42183</v>
      </c>
      <c r="D1280" s="1" t="str">
        <f t="array" ref="D1280">IF(ISBLANK(XLOOKUP(D$3,daily_items,XLOOKUP($C1280,daily_dates,big_daily_table))),NA(),XLOOKUP(D$3,daily_items,XLOOKUP($C1280,daily_dates,big_daily_table)))</f>
        <v>#N/A</v>
      </c>
      <c r="E1280" s="1" t="str">
        <f t="array" ref="E1280">IF(ISBLANK(XLOOKUP(E$3,daily_items,XLOOKUP($C1280,daily_dates,big_daily_table))),NA(),XLOOKUP(E$3,daily_items,XLOOKUP($C1280,daily_dates,big_daily_table)))</f>
        <v>#N/A</v>
      </c>
    </row>
    <row r="1281" ht="14.25" customHeight="1">
      <c r="B1281" s="7">
        <v>42186.0</v>
      </c>
      <c r="C1281" s="7">
        <f t="shared" si="1"/>
        <v>42183</v>
      </c>
      <c r="D1281" s="1" t="str">
        <f t="array" ref="D1281">IF(ISBLANK(XLOOKUP(D$3,daily_items,XLOOKUP($C1281,daily_dates,big_daily_table))),NA(),XLOOKUP(D$3,daily_items,XLOOKUP($C1281,daily_dates,big_daily_table)))</f>
        <v>#N/A</v>
      </c>
      <c r="E1281" s="1" t="str">
        <f t="array" ref="E1281">IF(ISBLANK(XLOOKUP(E$3,daily_items,XLOOKUP($C1281,daily_dates,big_daily_table))),NA(),XLOOKUP(E$3,daily_items,XLOOKUP($C1281,daily_dates,big_daily_table)))</f>
        <v>#N/A</v>
      </c>
    </row>
    <row r="1282" ht="14.25" customHeight="1">
      <c r="B1282" s="7">
        <v>42187.0</v>
      </c>
      <c r="C1282" s="7">
        <f t="shared" si="1"/>
        <v>42183</v>
      </c>
      <c r="D1282" s="1" t="str">
        <f t="array" ref="D1282">IF(ISBLANK(XLOOKUP(D$3,daily_items,XLOOKUP($C1282,daily_dates,big_daily_table))),NA(),XLOOKUP(D$3,daily_items,XLOOKUP($C1282,daily_dates,big_daily_table)))</f>
        <v>#N/A</v>
      </c>
      <c r="E1282" s="1" t="str">
        <f t="array" ref="E1282">IF(ISBLANK(XLOOKUP(E$3,daily_items,XLOOKUP($C1282,daily_dates,big_daily_table))),NA(),XLOOKUP(E$3,daily_items,XLOOKUP($C1282,daily_dates,big_daily_table)))</f>
        <v>#N/A</v>
      </c>
    </row>
    <row r="1283" ht="14.25" customHeight="1">
      <c r="B1283" s="7">
        <v>42188.0</v>
      </c>
      <c r="C1283" s="7">
        <f t="shared" si="1"/>
        <v>42183</v>
      </c>
      <c r="D1283" s="1" t="str">
        <f t="array" ref="D1283">IF(ISBLANK(XLOOKUP(D$3,daily_items,XLOOKUP($C1283,daily_dates,big_daily_table))),NA(),XLOOKUP(D$3,daily_items,XLOOKUP($C1283,daily_dates,big_daily_table)))</f>
        <v>#N/A</v>
      </c>
      <c r="E1283" s="1" t="str">
        <f t="array" ref="E1283">IF(ISBLANK(XLOOKUP(E$3,daily_items,XLOOKUP($C1283,daily_dates,big_daily_table))),NA(),XLOOKUP(E$3,daily_items,XLOOKUP($C1283,daily_dates,big_daily_table)))</f>
        <v>#N/A</v>
      </c>
    </row>
    <row r="1284" ht="14.25" customHeight="1">
      <c r="B1284" s="7">
        <v>42189.0</v>
      </c>
      <c r="C1284" s="7">
        <f t="shared" si="1"/>
        <v>42183</v>
      </c>
      <c r="D1284" s="1" t="str">
        <f t="array" ref="D1284">IF(ISBLANK(XLOOKUP(D$3,daily_items,XLOOKUP($C1284,daily_dates,big_daily_table))),NA(),XLOOKUP(D$3,daily_items,XLOOKUP($C1284,daily_dates,big_daily_table)))</f>
        <v>#N/A</v>
      </c>
      <c r="E1284" s="1" t="str">
        <f t="array" ref="E1284">IF(ISBLANK(XLOOKUP(E$3,daily_items,XLOOKUP($C1284,daily_dates,big_daily_table))),NA(),XLOOKUP(E$3,daily_items,XLOOKUP($C1284,daily_dates,big_daily_table)))</f>
        <v>#N/A</v>
      </c>
    </row>
    <row r="1285" ht="14.25" customHeight="1">
      <c r="B1285" s="7">
        <v>42190.0</v>
      </c>
      <c r="C1285" s="7">
        <f t="shared" si="1"/>
        <v>42190</v>
      </c>
      <c r="D1285" s="1" t="str">
        <f t="array" ref="D1285">IF(ISBLANK(XLOOKUP(D$3,daily_items,XLOOKUP($C1285,daily_dates,big_daily_table))),NA(),XLOOKUP(D$3,daily_items,XLOOKUP($C1285,daily_dates,big_daily_table)))</f>
        <v>#N/A</v>
      </c>
      <c r="E1285" s="1" t="str">
        <f t="array" ref="E1285">IF(ISBLANK(XLOOKUP(E$3,daily_items,XLOOKUP($C1285,daily_dates,big_daily_table))),NA(),XLOOKUP(E$3,daily_items,XLOOKUP($C1285,daily_dates,big_daily_table)))</f>
        <v>#N/A</v>
      </c>
    </row>
    <row r="1286" ht="14.25" customHeight="1">
      <c r="B1286" s="7">
        <v>42191.0</v>
      </c>
      <c r="C1286" s="7">
        <f t="shared" si="1"/>
        <v>42190</v>
      </c>
      <c r="D1286" s="1" t="str">
        <f t="array" ref="D1286">IF(ISBLANK(XLOOKUP(D$3,daily_items,XLOOKUP($C1286,daily_dates,big_daily_table))),NA(),XLOOKUP(D$3,daily_items,XLOOKUP($C1286,daily_dates,big_daily_table)))</f>
        <v>#N/A</v>
      </c>
      <c r="E1286" s="1" t="str">
        <f t="array" ref="E1286">IF(ISBLANK(XLOOKUP(E$3,daily_items,XLOOKUP($C1286,daily_dates,big_daily_table))),NA(),XLOOKUP(E$3,daily_items,XLOOKUP($C1286,daily_dates,big_daily_table)))</f>
        <v>#N/A</v>
      </c>
    </row>
    <row r="1287" ht="14.25" customHeight="1">
      <c r="B1287" s="7">
        <v>42192.0</v>
      </c>
      <c r="C1287" s="7">
        <f t="shared" si="1"/>
        <v>42190</v>
      </c>
      <c r="D1287" s="1" t="str">
        <f t="array" ref="D1287">IF(ISBLANK(XLOOKUP(D$3,daily_items,XLOOKUP($C1287,daily_dates,big_daily_table))),NA(),XLOOKUP(D$3,daily_items,XLOOKUP($C1287,daily_dates,big_daily_table)))</f>
        <v>#N/A</v>
      </c>
      <c r="E1287" s="1" t="str">
        <f t="array" ref="E1287">IF(ISBLANK(XLOOKUP(E$3,daily_items,XLOOKUP($C1287,daily_dates,big_daily_table))),NA(),XLOOKUP(E$3,daily_items,XLOOKUP($C1287,daily_dates,big_daily_table)))</f>
        <v>#N/A</v>
      </c>
    </row>
    <row r="1288" ht="14.25" customHeight="1">
      <c r="B1288" s="7">
        <v>42193.0</v>
      </c>
      <c r="C1288" s="7">
        <f t="shared" si="1"/>
        <v>42190</v>
      </c>
      <c r="D1288" s="1" t="str">
        <f t="array" ref="D1288">IF(ISBLANK(XLOOKUP(D$3,daily_items,XLOOKUP($C1288,daily_dates,big_daily_table))),NA(),XLOOKUP(D$3,daily_items,XLOOKUP($C1288,daily_dates,big_daily_table)))</f>
        <v>#N/A</v>
      </c>
      <c r="E1288" s="1" t="str">
        <f t="array" ref="E1288">IF(ISBLANK(XLOOKUP(E$3,daily_items,XLOOKUP($C1288,daily_dates,big_daily_table))),NA(),XLOOKUP(E$3,daily_items,XLOOKUP($C1288,daily_dates,big_daily_table)))</f>
        <v>#N/A</v>
      </c>
    </row>
    <row r="1289" ht="14.25" customHeight="1">
      <c r="B1289" s="7">
        <v>42194.0</v>
      </c>
      <c r="C1289" s="7">
        <f t="shared" si="1"/>
        <v>42190</v>
      </c>
      <c r="D1289" s="1" t="str">
        <f t="array" ref="D1289">IF(ISBLANK(XLOOKUP(D$3,daily_items,XLOOKUP($C1289,daily_dates,big_daily_table))),NA(),XLOOKUP(D$3,daily_items,XLOOKUP($C1289,daily_dates,big_daily_table)))</f>
        <v>#N/A</v>
      </c>
      <c r="E1289" s="1" t="str">
        <f t="array" ref="E1289">IF(ISBLANK(XLOOKUP(E$3,daily_items,XLOOKUP($C1289,daily_dates,big_daily_table))),NA(),XLOOKUP(E$3,daily_items,XLOOKUP($C1289,daily_dates,big_daily_table)))</f>
        <v>#N/A</v>
      </c>
    </row>
    <row r="1290" ht="14.25" customHeight="1">
      <c r="B1290" s="7">
        <v>42195.0</v>
      </c>
      <c r="C1290" s="7">
        <f t="shared" si="1"/>
        <v>42190</v>
      </c>
      <c r="D1290" s="1" t="str">
        <f t="array" ref="D1290">IF(ISBLANK(XLOOKUP(D$3,daily_items,XLOOKUP($C1290,daily_dates,big_daily_table))),NA(),XLOOKUP(D$3,daily_items,XLOOKUP($C1290,daily_dates,big_daily_table)))</f>
        <v>#N/A</v>
      </c>
      <c r="E1290" s="1" t="str">
        <f t="array" ref="E1290">IF(ISBLANK(XLOOKUP(E$3,daily_items,XLOOKUP($C1290,daily_dates,big_daily_table))),NA(),XLOOKUP(E$3,daily_items,XLOOKUP($C1290,daily_dates,big_daily_table)))</f>
        <v>#N/A</v>
      </c>
    </row>
    <row r="1291" ht="14.25" customHeight="1">
      <c r="B1291" s="7">
        <v>42196.0</v>
      </c>
      <c r="C1291" s="7">
        <f t="shared" si="1"/>
        <v>42190</v>
      </c>
      <c r="D1291" s="1" t="str">
        <f t="array" ref="D1291">IF(ISBLANK(XLOOKUP(D$3,daily_items,XLOOKUP($C1291,daily_dates,big_daily_table))),NA(),XLOOKUP(D$3,daily_items,XLOOKUP($C1291,daily_dates,big_daily_table)))</f>
        <v>#N/A</v>
      </c>
      <c r="E1291" s="1" t="str">
        <f t="array" ref="E1291">IF(ISBLANK(XLOOKUP(E$3,daily_items,XLOOKUP($C1291,daily_dates,big_daily_table))),NA(),XLOOKUP(E$3,daily_items,XLOOKUP($C1291,daily_dates,big_daily_table)))</f>
        <v>#N/A</v>
      </c>
    </row>
    <row r="1292" ht="14.25" customHeight="1">
      <c r="B1292" s="7">
        <v>42197.0</v>
      </c>
      <c r="C1292" s="7">
        <f t="shared" si="1"/>
        <v>42197</v>
      </c>
      <c r="D1292" s="1" t="str">
        <f t="array" ref="D1292">IF(ISBLANK(XLOOKUP(D$3,daily_items,XLOOKUP($C1292,daily_dates,big_daily_table))),NA(),XLOOKUP(D$3,daily_items,XLOOKUP($C1292,daily_dates,big_daily_table)))</f>
        <v>#N/A</v>
      </c>
      <c r="E1292" s="1" t="str">
        <f t="array" ref="E1292">IF(ISBLANK(XLOOKUP(E$3,daily_items,XLOOKUP($C1292,daily_dates,big_daily_table))),NA(),XLOOKUP(E$3,daily_items,XLOOKUP($C1292,daily_dates,big_daily_table)))</f>
        <v>#N/A</v>
      </c>
    </row>
    <row r="1293" ht="14.25" customHeight="1">
      <c r="B1293" s="7">
        <v>42198.0</v>
      </c>
      <c r="C1293" s="7">
        <f t="shared" si="1"/>
        <v>42197</v>
      </c>
      <c r="D1293" s="1" t="str">
        <f t="array" ref="D1293">IF(ISBLANK(XLOOKUP(D$3,daily_items,XLOOKUP($C1293,daily_dates,big_daily_table))),NA(),XLOOKUP(D$3,daily_items,XLOOKUP($C1293,daily_dates,big_daily_table)))</f>
        <v>#N/A</v>
      </c>
      <c r="E1293" s="1" t="str">
        <f t="array" ref="E1293">IF(ISBLANK(XLOOKUP(E$3,daily_items,XLOOKUP($C1293,daily_dates,big_daily_table))),NA(),XLOOKUP(E$3,daily_items,XLOOKUP($C1293,daily_dates,big_daily_table)))</f>
        <v>#N/A</v>
      </c>
    </row>
    <row r="1294" ht="14.25" customHeight="1">
      <c r="B1294" s="7">
        <v>42199.0</v>
      </c>
      <c r="C1294" s="7">
        <f t="shared" si="1"/>
        <v>42197</v>
      </c>
      <c r="D1294" s="1" t="str">
        <f t="array" ref="D1294">IF(ISBLANK(XLOOKUP(D$3,daily_items,XLOOKUP($C1294,daily_dates,big_daily_table))),NA(),XLOOKUP(D$3,daily_items,XLOOKUP($C1294,daily_dates,big_daily_table)))</f>
        <v>#N/A</v>
      </c>
      <c r="E1294" s="1" t="str">
        <f t="array" ref="E1294">IF(ISBLANK(XLOOKUP(E$3,daily_items,XLOOKUP($C1294,daily_dates,big_daily_table))),NA(),XLOOKUP(E$3,daily_items,XLOOKUP($C1294,daily_dates,big_daily_table)))</f>
        <v>#N/A</v>
      </c>
    </row>
    <row r="1295" ht="14.25" customHeight="1">
      <c r="B1295" s="7">
        <v>42200.0</v>
      </c>
      <c r="C1295" s="7">
        <f t="shared" si="1"/>
        <v>42197</v>
      </c>
      <c r="D1295" s="1" t="str">
        <f t="array" ref="D1295">IF(ISBLANK(XLOOKUP(D$3,daily_items,XLOOKUP($C1295,daily_dates,big_daily_table))),NA(),XLOOKUP(D$3,daily_items,XLOOKUP($C1295,daily_dates,big_daily_table)))</f>
        <v>#N/A</v>
      </c>
      <c r="E1295" s="1" t="str">
        <f t="array" ref="E1295">IF(ISBLANK(XLOOKUP(E$3,daily_items,XLOOKUP($C1295,daily_dates,big_daily_table))),NA(),XLOOKUP(E$3,daily_items,XLOOKUP($C1295,daily_dates,big_daily_table)))</f>
        <v>#N/A</v>
      </c>
    </row>
    <row r="1296" ht="14.25" customHeight="1">
      <c r="B1296" s="7">
        <v>42201.0</v>
      </c>
      <c r="C1296" s="7">
        <f t="shared" si="1"/>
        <v>42197</v>
      </c>
      <c r="D1296" s="1" t="str">
        <f t="array" ref="D1296">IF(ISBLANK(XLOOKUP(D$3,daily_items,XLOOKUP($C1296,daily_dates,big_daily_table))),NA(),XLOOKUP(D$3,daily_items,XLOOKUP($C1296,daily_dates,big_daily_table)))</f>
        <v>#N/A</v>
      </c>
      <c r="E1296" s="1" t="str">
        <f t="array" ref="E1296">IF(ISBLANK(XLOOKUP(E$3,daily_items,XLOOKUP($C1296,daily_dates,big_daily_table))),NA(),XLOOKUP(E$3,daily_items,XLOOKUP($C1296,daily_dates,big_daily_table)))</f>
        <v>#N/A</v>
      </c>
    </row>
    <row r="1297" ht="14.25" customHeight="1">
      <c r="B1297" s="7">
        <v>42202.0</v>
      </c>
      <c r="C1297" s="7">
        <f t="shared" si="1"/>
        <v>42197</v>
      </c>
      <c r="D1297" s="1" t="str">
        <f t="array" ref="D1297">IF(ISBLANK(XLOOKUP(D$3,daily_items,XLOOKUP($C1297,daily_dates,big_daily_table))),NA(),XLOOKUP(D$3,daily_items,XLOOKUP($C1297,daily_dates,big_daily_table)))</f>
        <v>#N/A</v>
      </c>
      <c r="E1297" s="1" t="str">
        <f t="array" ref="E1297">IF(ISBLANK(XLOOKUP(E$3,daily_items,XLOOKUP($C1297,daily_dates,big_daily_table))),NA(),XLOOKUP(E$3,daily_items,XLOOKUP($C1297,daily_dates,big_daily_table)))</f>
        <v>#N/A</v>
      </c>
    </row>
    <row r="1298" ht="14.25" customHeight="1">
      <c r="B1298" s="7">
        <v>42203.0</v>
      </c>
      <c r="C1298" s="7">
        <f t="shared" si="1"/>
        <v>42197</v>
      </c>
      <c r="D1298" s="1" t="str">
        <f t="array" ref="D1298">IF(ISBLANK(XLOOKUP(D$3,daily_items,XLOOKUP($C1298,daily_dates,big_daily_table))),NA(),XLOOKUP(D$3,daily_items,XLOOKUP($C1298,daily_dates,big_daily_table)))</f>
        <v>#N/A</v>
      </c>
      <c r="E1298" s="1" t="str">
        <f t="array" ref="E1298">IF(ISBLANK(XLOOKUP(E$3,daily_items,XLOOKUP($C1298,daily_dates,big_daily_table))),NA(),XLOOKUP(E$3,daily_items,XLOOKUP($C1298,daily_dates,big_daily_table)))</f>
        <v>#N/A</v>
      </c>
    </row>
    <row r="1299" ht="14.25" customHeight="1">
      <c r="B1299" s="7">
        <v>42204.0</v>
      </c>
      <c r="C1299" s="7">
        <f t="shared" si="1"/>
        <v>42204</v>
      </c>
      <c r="D1299" s="1" t="str">
        <f t="array" ref="D1299">IF(ISBLANK(XLOOKUP(D$3,daily_items,XLOOKUP($C1299,daily_dates,big_daily_table))),NA(),XLOOKUP(D$3,daily_items,XLOOKUP($C1299,daily_dates,big_daily_table)))</f>
        <v>#N/A</v>
      </c>
      <c r="E1299" s="1" t="str">
        <f t="array" ref="E1299">IF(ISBLANK(XLOOKUP(E$3,daily_items,XLOOKUP($C1299,daily_dates,big_daily_table))),NA(),XLOOKUP(E$3,daily_items,XLOOKUP($C1299,daily_dates,big_daily_table)))</f>
        <v>#N/A</v>
      </c>
    </row>
    <row r="1300" ht="14.25" customHeight="1">
      <c r="B1300" s="7">
        <v>42205.0</v>
      </c>
      <c r="C1300" s="7">
        <f t="shared" si="1"/>
        <v>42204</v>
      </c>
      <c r="D1300" s="1" t="str">
        <f t="array" ref="D1300">IF(ISBLANK(XLOOKUP(D$3,daily_items,XLOOKUP($C1300,daily_dates,big_daily_table))),NA(),XLOOKUP(D$3,daily_items,XLOOKUP($C1300,daily_dates,big_daily_table)))</f>
        <v>#N/A</v>
      </c>
      <c r="E1300" s="1" t="str">
        <f t="array" ref="E1300">IF(ISBLANK(XLOOKUP(E$3,daily_items,XLOOKUP($C1300,daily_dates,big_daily_table))),NA(),XLOOKUP(E$3,daily_items,XLOOKUP($C1300,daily_dates,big_daily_table)))</f>
        <v>#N/A</v>
      </c>
    </row>
    <row r="1301" ht="14.25" customHeight="1">
      <c r="B1301" s="7">
        <v>42206.0</v>
      </c>
      <c r="C1301" s="7">
        <f t="shared" si="1"/>
        <v>42204</v>
      </c>
      <c r="D1301" s="1" t="str">
        <f t="array" ref="D1301">IF(ISBLANK(XLOOKUP(D$3,daily_items,XLOOKUP($C1301,daily_dates,big_daily_table))),NA(),XLOOKUP(D$3,daily_items,XLOOKUP($C1301,daily_dates,big_daily_table)))</f>
        <v>#N/A</v>
      </c>
      <c r="E1301" s="1" t="str">
        <f t="array" ref="E1301">IF(ISBLANK(XLOOKUP(E$3,daily_items,XLOOKUP($C1301,daily_dates,big_daily_table))),NA(),XLOOKUP(E$3,daily_items,XLOOKUP($C1301,daily_dates,big_daily_table)))</f>
        <v>#N/A</v>
      </c>
    </row>
    <row r="1302" ht="14.25" customHeight="1">
      <c r="B1302" s="7">
        <v>42207.0</v>
      </c>
      <c r="C1302" s="7">
        <f t="shared" si="1"/>
        <v>42204</v>
      </c>
      <c r="D1302" s="1" t="str">
        <f t="array" ref="D1302">IF(ISBLANK(XLOOKUP(D$3,daily_items,XLOOKUP($C1302,daily_dates,big_daily_table))),NA(),XLOOKUP(D$3,daily_items,XLOOKUP($C1302,daily_dates,big_daily_table)))</f>
        <v>#N/A</v>
      </c>
      <c r="E1302" s="1" t="str">
        <f t="array" ref="E1302">IF(ISBLANK(XLOOKUP(E$3,daily_items,XLOOKUP($C1302,daily_dates,big_daily_table))),NA(),XLOOKUP(E$3,daily_items,XLOOKUP($C1302,daily_dates,big_daily_table)))</f>
        <v>#N/A</v>
      </c>
    </row>
    <row r="1303" ht="14.25" customHeight="1">
      <c r="B1303" s="7">
        <v>42208.0</v>
      </c>
      <c r="C1303" s="7">
        <f t="shared" si="1"/>
        <v>42204</v>
      </c>
      <c r="D1303" s="1" t="str">
        <f t="array" ref="D1303">IF(ISBLANK(XLOOKUP(D$3,daily_items,XLOOKUP($C1303,daily_dates,big_daily_table))),NA(),XLOOKUP(D$3,daily_items,XLOOKUP($C1303,daily_dates,big_daily_table)))</f>
        <v>#N/A</v>
      </c>
      <c r="E1303" s="1" t="str">
        <f t="array" ref="E1303">IF(ISBLANK(XLOOKUP(E$3,daily_items,XLOOKUP($C1303,daily_dates,big_daily_table))),NA(),XLOOKUP(E$3,daily_items,XLOOKUP($C1303,daily_dates,big_daily_table)))</f>
        <v>#N/A</v>
      </c>
    </row>
    <row r="1304" ht="14.25" customHeight="1">
      <c r="B1304" s="7">
        <v>42209.0</v>
      </c>
      <c r="C1304" s="7">
        <f t="shared" si="1"/>
        <v>42204</v>
      </c>
      <c r="D1304" s="1" t="str">
        <f t="array" ref="D1304">IF(ISBLANK(XLOOKUP(D$3,daily_items,XLOOKUP($C1304,daily_dates,big_daily_table))),NA(),XLOOKUP(D$3,daily_items,XLOOKUP($C1304,daily_dates,big_daily_table)))</f>
        <v>#N/A</v>
      </c>
      <c r="E1304" s="1" t="str">
        <f t="array" ref="E1304">IF(ISBLANK(XLOOKUP(E$3,daily_items,XLOOKUP($C1304,daily_dates,big_daily_table))),NA(),XLOOKUP(E$3,daily_items,XLOOKUP($C1304,daily_dates,big_daily_table)))</f>
        <v>#N/A</v>
      </c>
    </row>
    <row r="1305" ht="14.25" customHeight="1">
      <c r="B1305" s="7">
        <v>42210.0</v>
      </c>
      <c r="C1305" s="7">
        <f t="shared" si="1"/>
        <v>42204</v>
      </c>
      <c r="D1305" s="1" t="str">
        <f t="array" ref="D1305">IF(ISBLANK(XLOOKUP(D$3,daily_items,XLOOKUP($C1305,daily_dates,big_daily_table))),NA(),XLOOKUP(D$3,daily_items,XLOOKUP($C1305,daily_dates,big_daily_table)))</f>
        <v>#N/A</v>
      </c>
      <c r="E1305" s="1" t="str">
        <f t="array" ref="E1305">IF(ISBLANK(XLOOKUP(E$3,daily_items,XLOOKUP($C1305,daily_dates,big_daily_table))),NA(),XLOOKUP(E$3,daily_items,XLOOKUP($C1305,daily_dates,big_daily_table)))</f>
        <v>#N/A</v>
      </c>
    </row>
    <row r="1306" ht="14.25" customHeight="1">
      <c r="B1306" s="7">
        <v>42211.0</v>
      </c>
      <c r="C1306" s="7">
        <f t="shared" si="1"/>
        <v>42211</v>
      </c>
      <c r="D1306" s="1" t="str">
        <f t="array" ref="D1306">IF(ISBLANK(XLOOKUP(D$3,daily_items,XLOOKUP($C1306,daily_dates,big_daily_table))),NA(),XLOOKUP(D$3,daily_items,XLOOKUP($C1306,daily_dates,big_daily_table)))</f>
        <v>#N/A</v>
      </c>
      <c r="E1306" s="1" t="str">
        <f t="array" ref="E1306">IF(ISBLANK(XLOOKUP(E$3,daily_items,XLOOKUP($C1306,daily_dates,big_daily_table))),NA(),XLOOKUP(E$3,daily_items,XLOOKUP($C1306,daily_dates,big_daily_table)))</f>
        <v>#N/A</v>
      </c>
    </row>
    <row r="1307" ht="14.25" customHeight="1">
      <c r="B1307" s="7">
        <v>42212.0</v>
      </c>
      <c r="C1307" s="7">
        <f t="shared" si="1"/>
        <v>42211</v>
      </c>
      <c r="D1307" s="1" t="str">
        <f t="array" ref="D1307">IF(ISBLANK(XLOOKUP(D$3,daily_items,XLOOKUP($C1307,daily_dates,big_daily_table))),NA(),XLOOKUP(D$3,daily_items,XLOOKUP($C1307,daily_dates,big_daily_table)))</f>
        <v>#N/A</v>
      </c>
      <c r="E1307" s="1" t="str">
        <f t="array" ref="E1307">IF(ISBLANK(XLOOKUP(E$3,daily_items,XLOOKUP($C1307,daily_dates,big_daily_table))),NA(),XLOOKUP(E$3,daily_items,XLOOKUP($C1307,daily_dates,big_daily_table)))</f>
        <v>#N/A</v>
      </c>
    </row>
    <row r="1308" ht="14.25" customHeight="1">
      <c r="B1308" s="7">
        <v>42213.0</v>
      </c>
      <c r="C1308" s="7">
        <f t="shared" si="1"/>
        <v>42211</v>
      </c>
      <c r="D1308" s="1" t="str">
        <f t="array" ref="D1308">IF(ISBLANK(XLOOKUP(D$3,daily_items,XLOOKUP($C1308,daily_dates,big_daily_table))),NA(),XLOOKUP(D$3,daily_items,XLOOKUP($C1308,daily_dates,big_daily_table)))</f>
        <v>#N/A</v>
      </c>
      <c r="E1308" s="1" t="str">
        <f t="array" ref="E1308">IF(ISBLANK(XLOOKUP(E$3,daily_items,XLOOKUP($C1308,daily_dates,big_daily_table))),NA(),XLOOKUP(E$3,daily_items,XLOOKUP($C1308,daily_dates,big_daily_table)))</f>
        <v>#N/A</v>
      </c>
    </row>
    <row r="1309" ht="14.25" customHeight="1">
      <c r="B1309" s="7">
        <v>42214.0</v>
      </c>
      <c r="C1309" s="7">
        <f t="shared" si="1"/>
        <v>42211</v>
      </c>
      <c r="D1309" s="1" t="str">
        <f t="array" ref="D1309">IF(ISBLANK(XLOOKUP(D$3,daily_items,XLOOKUP($C1309,daily_dates,big_daily_table))),NA(),XLOOKUP(D$3,daily_items,XLOOKUP($C1309,daily_dates,big_daily_table)))</f>
        <v>#N/A</v>
      </c>
      <c r="E1309" s="1" t="str">
        <f t="array" ref="E1309">IF(ISBLANK(XLOOKUP(E$3,daily_items,XLOOKUP($C1309,daily_dates,big_daily_table))),NA(),XLOOKUP(E$3,daily_items,XLOOKUP($C1309,daily_dates,big_daily_table)))</f>
        <v>#N/A</v>
      </c>
    </row>
    <row r="1310" ht="14.25" customHeight="1">
      <c r="B1310" s="7">
        <v>42215.0</v>
      </c>
      <c r="C1310" s="7">
        <f t="shared" si="1"/>
        <v>42211</v>
      </c>
      <c r="D1310" s="1" t="str">
        <f t="array" ref="D1310">IF(ISBLANK(XLOOKUP(D$3,daily_items,XLOOKUP($C1310,daily_dates,big_daily_table))),NA(),XLOOKUP(D$3,daily_items,XLOOKUP($C1310,daily_dates,big_daily_table)))</f>
        <v>#N/A</v>
      </c>
      <c r="E1310" s="1" t="str">
        <f t="array" ref="E1310">IF(ISBLANK(XLOOKUP(E$3,daily_items,XLOOKUP($C1310,daily_dates,big_daily_table))),NA(),XLOOKUP(E$3,daily_items,XLOOKUP($C1310,daily_dates,big_daily_table)))</f>
        <v>#N/A</v>
      </c>
    </row>
    <row r="1311" ht="14.25" customHeight="1">
      <c r="B1311" s="7">
        <v>42216.0</v>
      </c>
      <c r="C1311" s="7">
        <f t="shared" si="1"/>
        <v>42211</v>
      </c>
      <c r="D1311" s="1" t="str">
        <f t="array" ref="D1311">IF(ISBLANK(XLOOKUP(D$3,daily_items,XLOOKUP($C1311,daily_dates,big_daily_table))),NA(),XLOOKUP(D$3,daily_items,XLOOKUP($C1311,daily_dates,big_daily_table)))</f>
        <v>#N/A</v>
      </c>
      <c r="E1311" s="1" t="str">
        <f t="array" ref="E1311">IF(ISBLANK(XLOOKUP(E$3,daily_items,XLOOKUP($C1311,daily_dates,big_daily_table))),NA(),XLOOKUP(E$3,daily_items,XLOOKUP($C1311,daily_dates,big_daily_table)))</f>
        <v>#N/A</v>
      </c>
    </row>
    <row r="1312" ht="14.25" customHeight="1">
      <c r="B1312" s="7">
        <v>42217.0</v>
      </c>
      <c r="C1312" s="7">
        <f t="shared" si="1"/>
        <v>42211</v>
      </c>
      <c r="D1312" s="1" t="str">
        <f t="array" ref="D1312">IF(ISBLANK(XLOOKUP(D$3,daily_items,XLOOKUP($C1312,daily_dates,big_daily_table))),NA(),XLOOKUP(D$3,daily_items,XLOOKUP($C1312,daily_dates,big_daily_table)))</f>
        <v>#N/A</v>
      </c>
      <c r="E1312" s="1" t="str">
        <f t="array" ref="E1312">IF(ISBLANK(XLOOKUP(E$3,daily_items,XLOOKUP($C1312,daily_dates,big_daily_table))),NA(),XLOOKUP(E$3,daily_items,XLOOKUP($C1312,daily_dates,big_daily_table)))</f>
        <v>#N/A</v>
      </c>
    </row>
    <row r="1313" ht="14.25" customHeight="1">
      <c r="B1313" s="7">
        <v>42218.0</v>
      </c>
      <c r="C1313" s="7">
        <f t="shared" si="1"/>
        <v>42218</v>
      </c>
      <c r="D1313" s="1" t="str">
        <f t="array" ref="D1313">IF(ISBLANK(XLOOKUP(D$3,daily_items,XLOOKUP($C1313,daily_dates,big_daily_table))),NA(),XLOOKUP(D$3,daily_items,XLOOKUP($C1313,daily_dates,big_daily_table)))</f>
        <v>#N/A</v>
      </c>
      <c r="E1313" s="1" t="str">
        <f t="array" ref="E1313">IF(ISBLANK(XLOOKUP(E$3,daily_items,XLOOKUP($C1313,daily_dates,big_daily_table))),NA(),XLOOKUP(E$3,daily_items,XLOOKUP($C1313,daily_dates,big_daily_table)))</f>
        <v>#N/A</v>
      </c>
    </row>
    <row r="1314" ht="14.25" customHeight="1">
      <c r="B1314" s="7">
        <v>42219.0</v>
      </c>
      <c r="C1314" s="7">
        <f t="shared" si="1"/>
        <v>42218</v>
      </c>
      <c r="D1314" s="1" t="str">
        <f t="array" ref="D1314">IF(ISBLANK(XLOOKUP(D$3,daily_items,XLOOKUP($C1314,daily_dates,big_daily_table))),NA(),XLOOKUP(D$3,daily_items,XLOOKUP($C1314,daily_dates,big_daily_table)))</f>
        <v>#N/A</v>
      </c>
      <c r="E1314" s="1" t="str">
        <f t="array" ref="E1314">IF(ISBLANK(XLOOKUP(E$3,daily_items,XLOOKUP($C1314,daily_dates,big_daily_table))),NA(),XLOOKUP(E$3,daily_items,XLOOKUP($C1314,daily_dates,big_daily_table)))</f>
        <v>#N/A</v>
      </c>
    </row>
    <row r="1315" ht="14.25" customHeight="1">
      <c r="B1315" s="7">
        <v>42220.0</v>
      </c>
      <c r="C1315" s="7">
        <f t="shared" si="1"/>
        <v>42218</v>
      </c>
      <c r="D1315" s="1" t="str">
        <f t="array" ref="D1315">IF(ISBLANK(XLOOKUP(D$3,daily_items,XLOOKUP($C1315,daily_dates,big_daily_table))),NA(),XLOOKUP(D$3,daily_items,XLOOKUP($C1315,daily_dates,big_daily_table)))</f>
        <v>#N/A</v>
      </c>
      <c r="E1315" s="1" t="str">
        <f t="array" ref="E1315">IF(ISBLANK(XLOOKUP(E$3,daily_items,XLOOKUP($C1315,daily_dates,big_daily_table))),NA(),XLOOKUP(E$3,daily_items,XLOOKUP($C1315,daily_dates,big_daily_table)))</f>
        <v>#N/A</v>
      </c>
    </row>
    <row r="1316" ht="14.25" customHeight="1">
      <c r="B1316" s="7">
        <v>42221.0</v>
      </c>
      <c r="C1316" s="7">
        <f t="shared" si="1"/>
        <v>42218</v>
      </c>
      <c r="D1316" s="1" t="str">
        <f t="array" ref="D1316">IF(ISBLANK(XLOOKUP(D$3,daily_items,XLOOKUP($C1316,daily_dates,big_daily_table))),NA(),XLOOKUP(D$3,daily_items,XLOOKUP($C1316,daily_dates,big_daily_table)))</f>
        <v>#N/A</v>
      </c>
      <c r="E1316" s="1" t="str">
        <f t="array" ref="E1316">IF(ISBLANK(XLOOKUP(E$3,daily_items,XLOOKUP($C1316,daily_dates,big_daily_table))),NA(),XLOOKUP(E$3,daily_items,XLOOKUP($C1316,daily_dates,big_daily_table)))</f>
        <v>#N/A</v>
      </c>
    </row>
    <row r="1317" ht="14.25" customHeight="1">
      <c r="B1317" s="7">
        <v>42222.0</v>
      </c>
      <c r="C1317" s="7">
        <f t="shared" si="1"/>
        <v>42218</v>
      </c>
      <c r="D1317" s="1" t="str">
        <f t="array" ref="D1317">IF(ISBLANK(XLOOKUP(D$3,daily_items,XLOOKUP($C1317,daily_dates,big_daily_table))),NA(),XLOOKUP(D$3,daily_items,XLOOKUP($C1317,daily_dates,big_daily_table)))</f>
        <v>#N/A</v>
      </c>
      <c r="E1317" s="1" t="str">
        <f t="array" ref="E1317">IF(ISBLANK(XLOOKUP(E$3,daily_items,XLOOKUP($C1317,daily_dates,big_daily_table))),NA(),XLOOKUP(E$3,daily_items,XLOOKUP($C1317,daily_dates,big_daily_table)))</f>
        <v>#N/A</v>
      </c>
    </row>
    <row r="1318" ht="14.25" customHeight="1">
      <c r="B1318" s="7">
        <v>42223.0</v>
      </c>
      <c r="C1318" s="7">
        <f t="shared" si="1"/>
        <v>42218</v>
      </c>
      <c r="D1318" s="1" t="str">
        <f t="array" ref="D1318">IF(ISBLANK(XLOOKUP(D$3,daily_items,XLOOKUP($C1318,daily_dates,big_daily_table))),NA(),XLOOKUP(D$3,daily_items,XLOOKUP($C1318,daily_dates,big_daily_table)))</f>
        <v>#N/A</v>
      </c>
      <c r="E1318" s="1" t="str">
        <f t="array" ref="E1318">IF(ISBLANK(XLOOKUP(E$3,daily_items,XLOOKUP($C1318,daily_dates,big_daily_table))),NA(),XLOOKUP(E$3,daily_items,XLOOKUP($C1318,daily_dates,big_daily_table)))</f>
        <v>#N/A</v>
      </c>
    </row>
    <row r="1319" ht="14.25" customHeight="1">
      <c r="B1319" s="7">
        <v>42224.0</v>
      </c>
      <c r="C1319" s="7">
        <f t="shared" si="1"/>
        <v>42218</v>
      </c>
      <c r="D1319" s="1" t="str">
        <f t="array" ref="D1319">IF(ISBLANK(XLOOKUP(D$3,daily_items,XLOOKUP($C1319,daily_dates,big_daily_table))),NA(),XLOOKUP(D$3,daily_items,XLOOKUP($C1319,daily_dates,big_daily_table)))</f>
        <v>#N/A</v>
      </c>
      <c r="E1319" s="1" t="str">
        <f t="array" ref="E1319">IF(ISBLANK(XLOOKUP(E$3,daily_items,XLOOKUP($C1319,daily_dates,big_daily_table))),NA(),XLOOKUP(E$3,daily_items,XLOOKUP($C1319,daily_dates,big_daily_table)))</f>
        <v>#N/A</v>
      </c>
    </row>
    <row r="1320" ht="14.25" customHeight="1">
      <c r="B1320" s="7">
        <v>42225.0</v>
      </c>
      <c r="C1320" s="7">
        <f t="shared" si="1"/>
        <v>42225</v>
      </c>
      <c r="D1320" s="1" t="str">
        <f t="array" ref="D1320">IF(ISBLANK(XLOOKUP(D$3,daily_items,XLOOKUP($C1320,daily_dates,big_daily_table))),NA(),XLOOKUP(D$3,daily_items,XLOOKUP($C1320,daily_dates,big_daily_table)))</f>
        <v>#N/A</v>
      </c>
      <c r="E1320" s="1" t="str">
        <f t="array" ref="E1320">IF(ISBLANK(XLOOKUP(E$3,daily_items,XLOOKUP($C1320,daily_dates,big_daily_table))),NA(),XLOOKUP(E$3,daily_items,XLOOKUP($C1320,daily_dates,big_daily_table)))</f>
        <v>#N/A</v>
      </c>
    </row>
    <row r="1321" ht="14.25" customHeight="1">
      <c r="B1321" s="7">
        <v>42226.0</v>
      </c>
      <c r="C1321" s="7">
        <f t="shared" si="1"/>
        <v>42225</v>
      </c>
      <c r="D1321" s="1" t="str">
        <f t="array" ref="D1321">IF(ISBLANK(XLOOKUP(D$3,daily_items,XLOOKUP($C1321,daily_dates,big_daily_table))),NA(),XLOOKUP(D$3,daily_items,XLOOKUP($C1321,daily_dates,big_daily_table)))</f>
        <v>#N/A</v>
      </c>
      <c r="E1321" s="1" t="str">
        <f t="array" ref="E1321">IF(ISBLANK(XLOOKUP(E$3,daily_items,XLOOKUP($C1321,daily_dates,big_daily_table))),NA(),XLOOKUP(E$3,daily_items,XLOOKUP($C1321,daily_dates,big_daily_table)))</f>
        <v>#N/A</v>
      </c>
    </row>
    <row r="1322" ht="14.25" customHeight="1">
      <c r="B1322" s="7">
        <v>42227.0</v>
      </c>
      <c r="C1322" s="7">
        <f t="shared" si="1"/>
        <v>42225</v>
      </c>
      <c r="D1322" s="1" t="str">
        <f t="array" ref="D1322">IF(ISBLANK(XLOOKUP(D$3,daily_items,XLOOKUP($C1322,daily_dates,big_daily_table))),NA(),XLOOKUP(D$3,daily_items,XLOOKUP($C1322,daily_dates,big_daily_table)))</f>
        <v>#N/A</v>
      </c>
      <c r="E1322" s="1" t="str">
        <f t="array" ref="E1322">IF(ISBLANK(XLOOKUP(E$3,daily_items,XLOOKUP($C1322,daily_dates,big_daily_table))),NA(),XLOOKUP(E$3,daily_items,XLOOKUP($C1322,daily_dates,big_daily_table)))</f>
        <v>#N/A</v>
      </c>
    </row>
    <row r="1323" ht="14.25" customHeight="1">
      <c r="B1323" s="7">
        <v>42228.0</v>
      </c>
      <c r="C1323" s="7">
        <f t="shared" si="1"/>
        <v>42225</v>
      </c>
      <c r="D1323" s="1" t="str">
        <f t="array" ref="D1323">IF(ISBLANK(XLOOKUP(D$3,daily_items,XLOOKUP($C1323,daily_dates,big_daily_table))),NA(),XLOOKUP(D$3,daily_items,XLOOKUP($C1323,daily_dates,big_daily_table)))</f>
        <v>#N/A</v>
      </c>
      <c r="E1323" s="1" t="str">
        <f t="array" ref="E1323">IF(ISBLANK(XLOOKUP(E$3,daily_items,XLOOKUP($C1323,daily_dates,big_daily_table))),NA(),XLOOKUP(E$3,daily_items,XLOOKUP($C1323,daily_dates,big_daily_table)))</f>
        <v>#N/A</v>
      </c>
    </row>
    <row r="1324" ht="14.25" customHeight="1">
      <c r="B1324" s="7">
        <v>42229.0</v>
      </c>
      <c r="C1324" s="7">
        <f t="shared" si="1"/>
        <v>42225</v>
      </c>
      <c r="D1324" s="1" t="str">
        <f t="array" ref="D1324">IF(ISBLANK(XLOOKUP(D$3,daily_items,XLOOKUP($C1324,daily_dates,big_daily_table))),NA(),XLOOKUP(D$3,daily_items,XLOOKUP($C1324,daily_dates,big_daily_table)))</f>
        <v>#N/A</v>
      </c>
      <c r="E1324" s="1" t="str">
        <f t="array" ref="E1324">IF(ISBLANK(XLOOKUP(E$3,daily_items,XLOOKUP($C1324,daily_dates,big_daily_table))),NA(),XLOOKUP(E$3,daily_items,XLOOKUP($C1324,daily_dates,big_daily_table)))</f>
        <v>#N/A</v>
      </c>
    </row>
    <row r="1325" ht="14.25" customHeight="1">
      <c r="B1325" s="7">
        <v>42230.0</v>
      </c>
      <c r="C1325" s="7">
        <f t="shared" si="1"/>
        <v>42225</v>
      </c>
      <c r="D1325" s="1" t="str">
        <f t="array" ref="D1325">IF(ISBLANK(XLOOKUP(D$3,daily_items,XLOOKUP($C1325,daily_dates,big_daily_table))),NA(),XLOOKUP(D$3,daily_items,XLOOKUP($C1325,daily_dates,big_daily_table)))</f>
        <v>#N/A</v>
      </c>
      <c r="E1325" s="1" t="str">
        <f t="array" ref="E1325">IF(ISBLANK(XLOOKUP(E$3,daily_items,XLOOKUP($C1325,daily_dates,big_daily_table))),NA(),XLOOKUP(E$3,daily_items,XLOOKUP($C1325,daily_dates,big_daily_table)))</f>
        <v>#N/A</v>
      </c>
    </row>
    <row r="1326" ht="14.25" customHeight="1">
      <c r="B1326" s="7">
        <v>42231.0</v>
      </c>
      <c r="C1326" s="7">
        <f t="shared" si="1"/>
        <v>42225</v>
      </c>
      <c r="D1326" s="1" t="str">
        <f t="array" ref="D1326">IF(ISBLANK(XLOOKUP(D$3,daily_items,XLOOKUP($C1326,daily_dates,big_daily_table))),NA(),XLOOKUP(D$3,daily_items,XLOOKUP($C1326,daily_dates,big_daily_table)))</f>
        <v>#N/A</v>
      </c>
      <c r="E1326" s="1" t="str">
        <f t="array" ref="E1326">IF(ISBLANK(XLOOKUP(E$3,daily_items,XLOOKUP($C1326,daily_dates,big_daily_table))),NA(),XLOOKUP(E$3,daily_items,XLOOKUP($C1326,daily_dates,big_daily_table)))</f>
        <v>#N/A</v>
      </c>
    </row>
    <row r="1327" ht="14.25" customHeight="1">
      <c r="B1327" s="7">
        <v>42232.0</v>
      </c>
      <c r="C1327" s="7">
        <f t="shared" si="1"/>
        <v>42232</v>
      </c>
      <c r="D1327" s="1" t="str">
        <f t="array" ref="D1327">IF(ISBLANK(XLOOKUP(D$3,daily_items,XLOOKUP($C1327,daily_dates,big_daily_table))),NA(),XLOOKUP(D$3,daily_items,XLOOKUP($C1327,daily_dates,big_daily_table)))</f>
        <v>#N/A</v>
      </c>
      <c r="E1327" s="1" t="str">
        <f t="array" ref="E1327">IF(ISBLANK(XLOOKUP(E$3,daily_items,XLOOKUP($C1327,daily_dates,big_daily_table))),NA(),XLOOKUP(E$3,daily_items,XLOOKUP($C1327,daily_dates,big_daily_table)))</f>
        <v>#N/A</v>
      </c>
    </row>
    <row r="1328" ht="14.25" customHeight="1">
      <c r="B1328" s="7">
        <v>42233.0</v>
      </c>
      <c r="C1328" s="7">
        <f t="shared" si="1"/>
        <v>42232</v>
      </c>
      <c r="D1328" s="1" t="str">
        <f t="array" ref="D1328">IF(ISBLANK(XLOOKUP(D$3,daily_items,XLOOKUP($C1328,daily_dates,big_daily_table))),NA(),XLOOKUP(D$3,daily_items,XLOOKUP($C1328,daily_dates,big_daily_table)))</f>
        <v>#N/A</v>
      </c>
      <c r="E1328" s="1" t="str">
        <f t="array" ref="E1328">IF(ISBLANK(XLOOKUP(E$3,daily_items,XLOOKUP($C1328,daily_dates,big_daily_table))),NA(),XLOOKUP(E$3,daily_items,XLOOKUP($C1328,daily_dates,big_daily_table)))</f>
        <v>#N/A</v>
      </c>
    </row>
    <row r="1329" ht="14.25" customHeight="1">
      <c r="B1329" s="7">
        <v>42234.0</v>
      </c>
      <c r="C1329" s="7">
        <f t="shared" si="1"/>
        <v>42232</v>
      </c>
      <c r="D1329" s="1" t="str">
        <f t="array" ref="D1329">IF(ISBLANK(XLOOKUP(D$3,daily_items,XLOOKUP($C1329,daily_dates,big_daily_table))),NA(),XLOOKUP(D$3,daily_items,XLOOKUP($C1329,daily_dates,big_daily_table)))</f>
        <v>#N/A</v>
      </c>
      <c r="E1329" s="1" t="str">
        <f t="array" ref="E1329">IF(ISBLANK(XLOOKUP(E$3,daily_items,XLOOKUP($C1329,daily_dates,big_daily_table))),NA(),XLOOKUP(E$3,daily_items,XLOOKUP($C1329,daily_dates,big_daily_table)))</f>
        <v>#N/A</v>
      </c>
    </row>
    <row r="1330" ht="14.25" customHeight="1">
      <c r="B1330" s="7">
        <v>42235.0</v>
      </c>
      <c r="C1330" s="7">
        <f t="shared" si="1"/>
        <v>42232</v>
      </c>
      <c r="D1330" s="1" t="str">
        <f t="array" ref="D1330">IF(ISBLANK(XLOOKUP(D$3,daily_items,XLOOKUP($C1330,daily_dates,big_daily_table))),NA(),XLOOKUP(D$3,daily_items,XLOOKUP($C1330,daily_dates,big_daily_table)))</f>
        <v>#N/A</v>
      </c>
      <c r="E1330" s="1" t="str">
        <f t="array" ref="E1330">IF(ISBLANK(XLOOKUP(E$3,daily_items,XLOOKUP($C1330,daily_dates,big_daily_table))),NA(),XLOOKUP(E$3,daily_items,XLOOKUP($C1330,daily_dates,big_daily_table)))</f>
        <v>#N/A</v>
      </c>
    </row>
    <row r="1331" ht="14.25" customHeight="1">
      <c r="B1331" s="7">
        <v>42236.0</v>
      </c>
      <c r="C1331" s="7">
        <f t="shared" si="1"/>
        <v>42232</v>
      </c>
      <c r="D1331" s="1" t="str">
        <f t="array" ref="D1331">IF(ISBLANK(XLOOKUP(D$3,daily_items,XLOOKUP($C1331,daily_dates,big_daily_table))),NA(),XLOOKUP(D$3,daily_items,XLOOKUP($C1331,daily_dates,big_daily_table)))</f>
        <v>#N/A</v>
      </c>
      <c r="E1331" s="1" t="str">
        <f t="array" ref="E1331">IF(ISBLANK(XLOOKUP(E$3,daily_items,XLOOKUP($C1331,daily_dates,big_daily_table))),NA(),XLOOKUP(E$3,daily_items,XLOOKUP($C1331,daily_dates,big_daily_table)))</f>
        <v>#N/A</v>
      </c>
    </row>
    <row r="1332" ht="14.25" customHeight="1">
      <c r="B1332" s="7">
        <v>42237.0</v>
      </c>
      <c r="C1332" s="7">
        <f t="shared" si="1"/>
        <v>42232</v>
      </c>
      <c r="D1332" s="1" t="str">
        <f t="array" ref="D1332">IF(ISBLANK(XLOOKUP(D$3,daily_items,XLOOKUP($C1332,daily_dates,big_daily_table))),NA(),XLOOKUP(D$3,daily_items,XLOOKUP($C1332,daily_dates,big_daily_table)))</f>
        <v>#N/A</v>
      </c>
      <c r="E1332" s="1" t="str">
        <f t="array" ref="E1332">IF(ISBLANK(XLOOKUP(E$3,daily_items,XLOOKUP($C1332,daily_dates,big_daily_table))),NA(),XLOOKUP(E$3,daily_items,XLOOKUP($C1332,daily_dates,big_daily_table)))</f>
        <v>#N/A</v>
      </c>
    </row>
    <row r="1333" ht="14.25" customHeight="1">
      <c r="B1333" s="7">
        <v>42238.0</v>
      </c>
      <c r="C1333" s="7">
        <f t="shared" si="1"/>
        <v>42232</v>
      </c>
      <c r="D1333" s="1" t="str">
        <f t="array" ref="D1333">IF(ISBLANK(XLOOKUP(D$3,daily_items,XLOOKUP($C1333,daily_dates,big_daily_table))),NA(),XLOOKUP(D$3,daily_items,XLOOKUP($C1333,daily_dates,big_daily_table)))</f>
        <v>#N/A</v>
      </c>
      <c r="E1333" s="1" t="str">
        <f t="array" ref="E1333">IF(ISBLANK(XLOOKUP(E$3,daily_items,XLOOKUP($C1333,daily_dates,big_daily_table))),NA(),XLOOKUP(E$3,daily_items,XLOOKUP($C1333,daily_dates,big_daily_table)))</f>
        <v>#N/A</v>
      </c>
    </row>
    <row r="1334" ht="14.25" customHeight="1">
      <c r="B1334" s="7">
        <v>42239.0</v>
      </c>
      <c r="C1334" s="7">
        <f t="shared" si="1"/>
        <v>42239</v>
      </c>
      <c r="D1334" s="1" t="str">
        <f t="array" ref="D1334">IF(ISBLANK(XLOOKUP(D$3,daily_items,XLOOKUP($C1334,daily_dates,big_daily_table))),NA(),XLOOKUP(D$3,daily_items,XLOOKUP($C1334,daily_dates,big_daily_table)))</f>
        <v>#N/A</v>
      </c>
      <c r="E1334" s="1" t="str">
        <f t="array" ref="E1334">IF(ISBLANK(XLOOKUP(E$3,daily_items,XLOOKUP($C1334,daily_dates,big_daily_table))),NA(),XLOOKUP(E$3,daily_items,XLOOKUP($C1334,daily_dates,big_daily_table)))</f>
        <v>#N/A</v>
      </c>
    </row>
    <row r="1335" ht="14.25" customHeight="1">
      <c r="B1335" s="7">
        <v>42240.0</v>
      </c>
      <c r="C1335" s="7">
        <f t="shared" si="1"/>
        <v>42239</v>
      </c>
      <c r="D1335" s="1" t="str">
        <f t="array" ref="D1335">IF(ISBLANK(XLOOKUP(D$3,daily_items,XLOOKUP($C1335,daily_dates,big_daily_table))),NA(),XLOOKUP(D$3,daily_items,XLOOKUP($C1335,daily_dates,big_daily_table)))</f>
        <v>#N/A</v>
      </c>
      <c r="E1335" s="1" t="str">
        <f t="array" ref="E1335">IF(ISBLANK(XLOOKUP(E$3,daily_items,XLOOKUP($C1335,daily_dates,big_daily_table))),NA(),XLOOKUP(E$3,daily_items,XLOOKUP($C1335,daily_dates,big_daily_table)))</f>
        <v>#N/A</v>
      </c>
    </row>
    <row r="1336" ht="14.25" customHeight="1">
      <c r="B1336" s="7">
        <v>42241.0</v>
      </c>
      <c r="C1336" s="7">
        <f t="shared" si="1"/>
        <v>42239</v>
      </c>
      <c r="D1336" s="1" t="str">
        <f t="array" ref="D1336">IF(ISBLANK(XLOOKUP(D$3,daily_items,XLOOKUP($C1336,daily_dates,big_daily_table))),NA(),XLOOKUP(D$3,daily_items,XLOOKUP($C1336,daily_dates,big_daily_table)))</f>
        <v>#N/A</v>
      </c>
      <c r="E1336" s="1" t="str">
        <f t="array" ref="E1336">IF(ISBLANK(XLOOKUP(E$3,daily_items,XLOOKUP($C1336,daily_dates,big_daily_table))),NA(),XLOOKUP(E$3,daily_items,XLOOKUP($C1336,daily_dates,big_daily_table)))</f>
        <v>#N/A</v>
      </c>
    </row>
    <row r="1337" ht="14.25" customHeight="1">
      <c r="B1337" s="7">
        <v>42242.0</v>
      </c>
      <c r="C1337" s="7">
        <f t="shared" si="1"/>
        <v>42239</v>
      </c>
      <c r="D1337" s="1" t="str">
        <f t="array" ref="D1337">IF(ISBLANK(XLOOKUP(D$3,daily_items,XLOOKUP($C1337,daily_dates,big_daily_table))),NA(),XLOOKUP(D$3,daily_items,XLOOKUP($C1337,daily_dates,big_daily_table)))</f>
        <v>#N/A</v>
      </c>
      <c r="E1337" s="1" t="str">
        <f t="array" ref="E1337">IF(ISBLANK(XLOOKUP(E$3,daily_items,XLOOKUP($C1337,daily_dates,big_daily_table))),NA(),XLOOKUP(E$3,daily_items,XLOOKUP($C1337,daily_dates,big_daily_table)))</f>
        <v>#N/A</v>
      </c>
    </row>
    <row r="1338" ht="14.25" customHeight="1">
      <c r="B1338" s="7">
        <v>42243.0</v>
      </c>
      <c r="C1338" s="7">
        <f t="shared" si="1"/>
        <v>42239</v>
      </c>
      <c r="D1338" s="1" t="str">
        <f t="array" ref="D1338">IF(ISBLANK(XLOOKUP(D$3,daily_items,XLOOKUP($C1338,daily_dates,big_daily_table))),NA(),XLOOKUP(D$3,daily_items,XLOOKUP($C1338,daily_dates,big_daily_table)))</f>
        <v>#N/A</v>
      </c>
      <c r="E1338" s="1" t="str">
        <f t="array" ref="E1338">IF(ISBLANK(XLOOKUP(E$3,daily_items,XLOOKUP($C1338,daily_dates,big_daily_table))),NA(),XLOOKUP(E$3,daily_items,XLOOKUP($C1338,daily_dates,big_daily_table)))</f>
        <v>#N/A</v>
      </c>
    </row>
    <row r="1339" ht="14.25" customHeight="1">
      <c r="B1339" s="7">
        <v>42244.0</v>
      </c>
      <c r="C1339" s="7">
        <f t="shared" si="1"/>
        <v>42239</v>
      </c>
      <c r="D1339" s="1" t="str">
        <f t="array" ref="D1339">IF(ISBLANK(XLOOKUP(D$3,daily_items,XLOOKUP($C1339,daily_dates,big_daily_table))),NA(),XLOOKUP(D$3,daily_items,XLOOKUP($C1339,daily_dates,big_daily_table)))</f>
        <v>#N/A</v>
      </c>
      <c r="E1339" s="1" t="str">
        <f t="array" ref="E1339">IF(ISBLANK(XLOOKUP(E$3,daily_items,XLOOKUP($C1339,daily_dates,big_daily_table))),NA(),XLOOKUP(E$3,daily_items,XLOOKUP($C1339,daily_dates,big_daily_table)))</f>
        <v>#N/A</v>
      </c>
    </row>
    <row r="1340" ht="14.25" customHeight="1">
      <c r="B1340" s="7">
        <v>42245.0</v>
      </c>
      <c r="C1340" s="7">
        <f t="shared" si="1"/>
        <v>42239</v>
      </c>
      <c r="D1340" s="1" t="str">
        <f t="array" ref="D1340">IF(ISBLANK(XLOOKUP(D$3,daily_items,XLOOKUP($C1340,daily_dates,big_daily_table))),NA(),XLOOKUP(D$3,daily_items,XLOOKUP($C1340,daily_dates,big_daily_table)))</f>
        <v>#N/A</v>
      </c>
      <c r="E1340" s="1" t="str">
        <f t="array" ref="E1340">IF(ISBLANK(XLOOKUP(E$3,daily_items,XLOOKUP($C1340,daily_dates,big_daily_table))),NA(),XLOOKUP(E$3,daily_items,XLOOKUP($C1340,daily_dates,big_daily_table)))</f>
        <v>#N/A</v>
      </c>
    </row>
    <row r="1341" ht="14.25" customHeight="1">
      <c r="B1341" s="7">
        <v>42246.0</v>
      </c>
      <c r="C1341" s="7">
        <f t="shared" si="1"/>
        <v>42246</v>
      </c>
      <c r="D1341" s="1" t="str">
        <f t="array" ref="D1341">IF(ISBLANK(XLOOKUP(D$3,daily_items,XLOOKUP($C1341,daily_dates,big_daily_table))),NA(),XLOOKUP(D$3,daily_items,XLOOKUP($C1341,daily_dates,big_daily_table)))</f>
        <v>#N/A</v>
      </c>
      <c r="E1341" s="1" t="str">
        <f t="array" ref="E1341">IF(ISBLANK(XLOOKUP(E$3,daily_items,XLOOKUP($C1341,daily_dates,big_daily_table))),NA(),XLOOKUP(E$3,daily_items,XLOOKUP($C1341,daily_dates,big_daily_table)))</f>
        <v>#N/A</v>
      </c>
    </row>
    <row r="1342" ht="14.25" customHeight="1">
      <c r="B1342" s="7">
        <v>42247.0</v>
      </c>
      <c r="C1342" s="7">
        <f t="shared" si="1"/>
        <v>42246</v>
      </c>
      <c r="D1342" s="1" t="str">
        <f t="array" ref="D1342">IF(ISBLANK(XLOOKUP(D$3,daily_items,XLOOKUP($C1342,daily_dates,big_daily_table))),NA(),XLOOKUP(D$3,daily_items,XLOOKUP($C1342,daily_dates,big_daily_table)))</f>
        <v>#N/A</v>
      </c>
      <c r="E1342" s="1" t="str">
        <f t="array" ref="E1342">IF(ISBLANK(XLOOKUP(E$3,daily_items,XLOOKUP($C1342,daily_dates,big_daily_table))),NA(),XLOOKUP(E$3,daily_items,XLOOKUP($C1342,daily_dates,big_daily_table)))</f>
        <v>#N/A</v>
      </c>
    </row>
    <row r="1343" ht="14.25" customHeight="1">
      <c r="B1343" s="7">
        <v>42248.0</v>
      </c>
      <c r="C1343" s="7">
        <f t="shared" si="1"/>
        <v>42246</v>
      </c>
      <c r="D1343" s="1" t="str">
        <f t="array" ref="D1343">IF(ISBLANK(XLOOKUP(D$3,daily_items,XLOOKUP($C1343,daily_dates,big_daily_table))),NA(),XLOOKUP(D$3,daily_items,XLOOKUP($C1343,daily_dates,big_daily_table)))</f>
        <v>#N/A</v>
      </c>
      <c r="E1343" s="1" t="str">
        <f t="array" ref="E1343">IF(ISBLANK(XLOOKUP(E$3,daily_items,XLOOKUP($C1343,daily_dates,big_daily_table))),NA(),XLOOKUP(E$3,daily_items,XLOOKUP($C1343,daily_dates,big_daily_table)))</f>
        <v>#N/A</v>
      </c>
    </row>
    <row r="1344" ht="14.25" customHeight="1">
      <c r="B1344" s="7">
        <v>42249.0</v>
      </c>
      <c r="C1344" s="7">
        <f t="shared" si="1"/>
        <v>42246</v>
      </c>
      <c r="D1344" s="1" t="str">
        <f t="array" ref="D1344">IF(ISBLANK(XLOOKUP(D$3,daily_items,XLOOKUP($C1344,daily_dates,big_daily_table))),NA(),XLOOKUP(D$3,daily_items,XLOOKUP($C1344,daily_dates,big_daily_table)))</f>
        <v>#N/A</v>
      </c>
      <c r="E1344" s="1" t="str">
        <f t="array" ref="E1344">IF(ISBLANK(XLOOKUP(E$3,daily_items,XLOOKUP($C1344,daily_dates,big_daily_table))),NA(),XLOOKUP(E$3,daily_items,XLOOKUP($C1344,daily_dates,big_daily_table)))</f>
        <v>#N/A</v>
      </c>
    </row>
    <row r="1345" ht="14.25" customHeight="1">
      <c r="B1345" s="7">
        <v>42250.0</v>
      </c>
      <c r="C1345" s="7">
        <f t="shared" si="1"/>
        <v>42246</v>
      </c>
      <c r="D1345" s="1" t="str">
        <f t="array" ref="D1345">IF(ISBLANK(XLOOKUP(D$3,daily_items,XLOOKUP($C1345,daily_dates,big_daily_table))),NA(),XLOOKUP(D$3,daily_items,XLOOKUP($C1345,daily_dates,big_daily_table)))</f>
        <v>#N/A</v>
      </c>
      <c r="E1345" s="1" t="str">
        <f t="array" ref="E1345">IF(ISBLANK(XLOOKUP(E$3,daily_items,XLOOKUP($C1345,daily_dates,big_daily_table))),NA(),XLOOKUP(E$3,daily_items,XLOOKUP($C1345,daily_dates,big_daily_table)))</f>
        <v>#N/A</v>
      </c>
    </row>
    <row r="1346" ht="14.25" customHeight="1">
      <c r="B1346" s="7">
        <v>42251.0</v>
      </c>
      <c r="C1346" s="7">
        <f t="shared" si="1"/>
        <v>42246</v>
      </c>
      <c r="D1346" s="1" t="str">
        <f t="array" ref="D1346">IF(ISBLANK(XLOOKUP(D$3,daily_items,XLOOKUP($C1346,daily_dates,big_daily_table))),NA(),XLOOKUP(D$3,daily_items,XLOOKUP($C1346,daily_dates,big_daily_table)))</f>
        <v>#N/A</v>
      </c>
      <c r="E1346" s="1" t="str">
        <f t="array" ref="E1346">IF(ISBLANK(XLOOKUP(E$3,daily_items,XLOOKUP($C1346,daily_dates,big_daily_table))),NA(),XLOOKUP(E$3,daily_items,XLOOKUP($C1346,daily_dates,big_daily_table)))</f>
        <v>#N/A</v>
      </c>
    </row>
    <row r="1347" ht="14.25" customHeight="1">
      <c r="B1347" s="7">
        <v>42252.0</v>
      </c>
      <c r="C1347" s="7">
        <f t="shared" si="1"/>
        <v>42246</v>
      </c>
      <c r="D1347" s="1" t="str">
        <f t="array" ref="D1347">IF(ISBLANK(XLOOKUP(D$3,daily_items,XLOOKUP($C1347,daily_dates,big_daily_table))),NA(),XLOOKUP(D$3,daily_items,XLOOKUP($C1347,daily_dates,big_daily_table)))</f>
        <v>#N/A</v>
      </c>
      <c r="E1347" s="1" t="str">
        <f t="array" ref="E1347">IF(ISBLANK(XLOOKUP(E$3,daily_items,XLOOKUP($C1347,daily_dates,big_daily_table))),NA(),XLOOKUP(E$3,daily_items,XLOOKUP($C1347,daily_dates,big_daily_table)))</f>
        <v>#N/A</v>
      </c>
    </row>
    <row r="1348" ht="14.25" customHeight="1">
      <c r="B1348" s="7">
        <v>42253.0</v>
      </c>
      <c r="C1348" s="7">
        <f t="shared" si="1"/>
        <v>42253</v>
      </c>
      <c r="D1348" s="1" t="str">
        <f t="array" ref="D1348">IF(ISBLANK(XLOOKUP(D$3,daily_items,XLOOKUP($C1348,daily_dates,big_daily_table))),NA(),XLOOKUP(D$3,daily_items,XLOOKUP($C1348,daily_dates,big_daily_table)))</f>
        <v>#N/A</v>
      </c>
      <c r="E1348" s="1" t="str">
        <f t="array" ref="E1348">IF(ISBLANK(XLOOKUP(E$3,daily_items,XLOOKUP($C1348,daily_dates,big_daily_table))),NA(),XLOOKUP(E$3,daily_items,XLOOKUP($C1348,daily_dates,big_daily_table)))</f>
        <v>#N/A</v>
      </c>
    </row>
    <row r="1349" ht="14.25" customHeight="1">
      <c r="B1349" s="7">
        <v>42254.0</v>
      </c>
      <c r="C1349" s="7">
        <f t="shared" si="1"/>
        <v>42253</v>
      </c>
      <c r="D1349" s="1" t="str">
        <f t="array" ref="D1349">IF(ISBLANK(XLOOKUP(D$3,daily_items,XLOOKUP($C1349,daily_dates,big_daily_table))),NA(),XLOOKUP(D$3,daily_items,XLOOKUP($C1349,daily_dates,big_daily_table)))</f>
        <v>#N/A</v>
      </c>
      <c r="E1349" s="1" t="str">
        <f t="array" ref="E1349">IF(ISBLANK(XLOOKUP(E$3,daily_items,XLOOKUP($C1349,daily_dates,big_daily_table))),NA(),XLOOKUP(E$3,daily_items,XLOOKUP($C1349,daily_dates,big_daily_table)))</f>
        <v>#N/A</v>
      </c>
    </row>
    <row r="1350" ht="14.25" customHeight="1">
      <c r="B1350" s="7">
        <v>42255.0</v>
      </c>
      <c r="C1350" s="7">
        <f t="shared" si="1"/>
        <v>42253</v>
      </c>
      <c r="D1350" s="1" t="str">
        <f t="array" ref="D1350">IF(ISBLANK(XLOOKUP(D$3,daily_items,XLOOKUP($C1350,daily_dates,big_daily_table))),NA(),XLOOKUP(D$3,daily_items,XLOOKUP($C1350,daily_dates,big_daily_table)))</f>
        <v>#N/A</v>
      </c>
      <c r="E1350" s="1" t="str">
        <f t="array" ref="E1350">IF(ISBLANK(XLOOKUP(E$3,daily_items,XLOOKUP($C1350,daily_dates,big_daily_table))),NA(),XLOOKUP(E$3,daily_items,XLOOKUP($C1350,daily_dates,big_daily_table)))</f>
        <v>#N/A</v>
      </c>
    </row>
    <row r="1351" ht="14.25" customHeight="1">
      <c r="B1351" s="7">
        <v>42256.0</v>
      </c>
      <c r="C1351" s="7">
        <f t="shared" si="1"/>
        <v>42253</v>
      </c>
      <c r="D1351" s="1" t="str">
        <f t="array" ref="D1351">IF(ISBLANK(XLOOKUP(D$3,daily_items,XLOOKUP($C1351,daily_dates,big_daily_table))),NA(),XLOOKUP(D$3,daily_items,XLOOKUP($C1351,daily_dates,big_daily_table)))</f>
        <v>#N/A</v>
      </c>
      <c r="E1351" s="1" t="str">
        <f t="array" ref="E1351">IF(ISBLANK(XLOOKUP(E$3,daily_items,XLOOKUP($C1351,daily_dates,big_daily_table))),NA(),XLOOKUP(E$3,daily_items,XLOOKUP($C1351,daily_dates,big_daily_table)))</f>
        <v>#N/A</v>
      </c>
    </row>
    <row r="1352" ht="14.25" customHeight="1">
      <c r="B1352" s="7">
        <v>42257.0</v>
      </c>
      <c r="C1352" s="7">
        <f t="shared" si="1"/>
        <v>42253</v>
      </c>
      <c r="D1352" s="1" t="str">
        <f t="array" ref="D1352">IF(ISBLANK(XLOOKUP(D$3,daily_items,XLOOKUP($C1352,daily_dates,big_daily_table))),NA(),XLOOKUP(D$3,daily_items,XLOOKUP($C1352,daily_dates,big_daily_table)))</f>
        <v>#N/A</v>
      </c>
      <c r="E1352" s="1" t="str">
        <f t="array" ref="E1352">IF(ISBLANK(XLOOKUP(E$3,daily_items,XLOOKUP($C1352,daily_dates,big_daily_table))),NA(),XLOOKUP(E$3,daily_items,XLOOKUP($C1352,daily_dates,big_daily_table)))</f>
        <v>#N/A</v>
      </c>
    </row>
    <row r="1353" ht="14.25" customHeight="1">
      <c r="B1353" s="7">
        <v>42258.0</v>
      </c>
      <c r="C1353" s="7">
        <f t="shared" si="1"/>
        <v>42253</v>
      </c>
      <c r="D1353" s="1" t="str">
        <f t="array" ref="D1353">IF(ISBLANK(XLOOKUP(D$3,daily_items,XLOOKUP($C1353,daily_dates,big_daily_table))),NA(),XLOOKUP(D$3,daily_items,XLOOKUP($C1353,daily_dates,big_daily_table)))</f>
        <v>#N/A</v>
      </c>
      <c r="E1353" s="1" t="str">
        <f t="array" ref="E1353">IF(ISBLANK(XLOOKUP(E$3,daily_items,XLOOKUP($C1353,daily_dates,big_daily_table))),NA(),XLOOKUP(E$3,daily_items,XLOOKUP($C1353,daily_dates,big_daily_table)))</f>
        <v>#N/A</v>
      </c>
    </row>
    <row r="1354" ht="14.25" customHeight="1">
      <c r="B1354" s="7">
        <v>42259.0</v>
      </c>
      <c r="C1354" s="7">
        <f t="shared" si="1"/>
        <v>42253</v>
      </c>
      <c r="D1354" s="1" t="str">
        <f t="array" ref="D1354">IF(ISBLANK(XLOOKUP(D$3,daily_items,XLOOKUP($C1354,daily_dates,big_daily_table))),NA(),XLOOKUP(D$3,daily_items,XLOOKUP($C1354,daily_dates,big_daily_table)))</f>
        <v>#N/A</v>
      </c>
      <c r="E1354" s="1" t="str">
        <f t="array" ref="E1354">IF(ISBLANK(XLOOKUP(E$3,daily_items,XLOOKUP($C1354,daily_dates,big_daily_table))),NA(),XLOOKUP(E$3,daily_items,XLOOKUP($C1354,daily_dates,big_daily_table)))</f>
        <v>#N/A</v>
      </c>
    </row>
    <row r="1355" ht="14.25" customHeight="1">
      <c r="B1355" s="7">
        <v>42260.0</v>
      </c>
      <c r="C1355" s="7">
        <f t="shared" si="1"/>
        <v>42260</v>
      </c>
      <c r="D1355" s="1" t="str">
        <f t="array" ref="D1355">IF(ISBLANK(XLOOKUP(D$3,daily_items,XLOOKUP($C1355,daily_dates,big_daily_table))),NA(),XLOOKUP(D$3,daily_items,XLOOKUP($C1355,daily_dates,big_daily_table)))</f>
        <v>#N/A</v>
      </c>
      <c r="E1355" s="1" t="str">
        <f t="array" ref="E1355">IF(ISBLANK(XLOOKUP(E$3,daily_items,XLOOKUP($C1355,daily_dates,big_daily_table))),NA(),XLOOKUP(E$3,daily_items,XLOOKUP($C1355,daily_dates,big_daily_table)))</f>
        <v>#N/A</v>
      </c>
    </row>
    <row r="1356" ht="14.25" customHeight="1">
      <c r="B1356" s="7">
        <v>42261.0</v>
      </c>
      <c r="C1356" s="7">
        <f t="shared" si="1"/>
        <v>42260</v>
      </c>
      <c r="D1356" s="1" t="str">
        <f t="array" ref="D1356">IF(ISBLANK(XLOOKUP(D$3,daily_items,XLOOKUP($C1356,daily_dates,big_daily_table))),NA(),XLOOKUP(D$3,daily_items,XLOOKUP($C1356,daily_dates,big_daily_table)))</f>
        <v>#N/A</v>
      </c>
      <c r="E1356" s="1" t="str">
        <f t="array" ref="E1356">IF(ISBLANK(XLOOKUP(E$3,daily_items,XLOOKUP($C1356,daily_dates,big_daily_table))),NA(),XLOOKUP(E$3,daily_items,XLOOKUP($C1356,daily_dates,big_daily_table)))</f>
        <v>#N/A</v>
      </c>
    </row>
    <row r="1357" ht="14.25" customHeight="1">
      <c r="B1357" s="7">
        <v>42262.0</v>
      </c>
      <c r="C1357" s="7">
        <f t="shared" si="1"/>
        <v>42260</v>
      </c>
      <c r="D1357" s="1" t="str">
        <f t="array" ref="D1357">IF(ISBLANK(XLOOKUP(D$3,daily_items,XLOOKUP($C1357,daily_dates,big_daily_table))),NA(),XLOOKUP(D$3,daily_items,XLOOKUP($C1357,daily_dates,big_daily_table)))</f>
        <v>#N/A</v>
      </c>
      <c r="E1357" s="1" t="str">
        <f t="array" ref="E1357">IF(ISBLANK(XLOOKUP(E$3,daily_items,XLOOKUP($C1357,daily_dates,big_daily_table))),NA(),XLOOKUP(E$3,daily_items,XLOOKUP($C1357,daily_dates,big_daily_table)))</f>
        <v>#N/A</v>
      </c>
    </row>
    <row r="1358" ht="14.25" customHeight="1">
      <c r="B1358" s="7">
        <v>42263.0</v>
      </c>
      <c r="C1358" s="7">
        <f t="shared" si="1"/>
        <v>42260</v>
      </c>
      <c r="D1358" s="1" t="str">
        <f t="array" ref="D1358">IF(ISBLANK(XLOOKUP(D$3,daily_items,XLOOKUP($C1358,daily_dates,big_daily_table))),NA(),XLOOKUP(D$3,daily_items,XLOOKUP($C1358,daily_dates,big_daily_table)))</f>
        <v>#N/A</v>
      </c>
      <c r="E1358" s="1" t="str">
        <f t="array" ref="E1358">IF(ISBLANK(XLOOKUP(E$3,daily_items,XLOOKUP($C1358,daily_dates,big_daily_table))),NA(),XLOOKUP(E$3,daily_items,XLOOKUP($C1358,daily_dates,big_daily_table)))</f>
        <v>#N/A</v>
      </c>
    </row>
    <row r="1359" ht="14.25" customHeight="1">
      <c r="B1359" s="7">
        <v>42264.0</v>
      </c>
      <c r="C1359" s="7">
        <f t="shared" si="1"/>
        <v>42260</v>
      </c>
      <c r="D1359" s="1" t="str">
        <f t="array" ref="D1359">IF(ISBLANK(XLOOKUP(D$3,daily_items,XLOOKUP($C1359,daily_dates,big_daily_table))),NA(),XLOOKUP(D$3,daily_items,XLOOKUP($C1359,daily_dates,big_daily_table)))</f>
        <v>#N/A</v>
      </c>
      <c r="E1359" s="1" t="str">
        <f t="array" ref="E1359">IF(ISBLANK(XLOOKUP(E$3,daily_items,XLOOKUP($C1359,daily_dates,big_daily_table))),NA(),XLOOKUP(E$3,daily_items,XLOOKUP($C1359,daily_dates,big_daily_table)))</f>
        <v>#N/A</v>
      </c>
    </row>
    <row r="1360" ht="14.25" customHeight="1">
      <c r="B1360" s="7">
        <v>42265.0</v>
      </c>
      <c r="C1360" s="7">
        <f t="shared" si="1"/>
        <v>42260</v>
      </c>
      <c r="D1360" s="1" t="str">
        <f t="array" ref="D1360">IF(ISBLANK(XLOOKUP(D$3,daily_items,XLOOKUP($C1360,daily_dates,big_daily_table))),NA(),XLOOKUP(D$3,daily_items,XLOOKUP($C1360,daily_dates,big_daily_table)))</f>
        <v>#N/A</v>
      </c>
      <c r="E1360" s="1" t="str">
        <f t="array" ref="E1360">IF(ISBLANK(XLOOKUP(E$3,daily_items,XLOOKUP($C1360,daily_dates,big_daily_table))),NA(),XLOOKUP(E$3,daily_items,XLOOKUP($C1360,daily_dates,big_daily_table)))</f>
        <v>#N/A</v>
      </c>
    </row>
    <row r="1361" ht="14.25" customHeight="1">
      <c r="B1361" s="7">
        <v>42266.0</v>
      </c>
      <c r="C1361" s="7">
        <f t="shared" si="1"/>
        <v>42260</v>
      </c>
      <c r="D1361" s="1" t="str">
        <f t="array" ref="D1361">IF(ISBLANK(XLOOKUP(D$3,daily_items,XLOOKUP($C1361,daily_dates,big_daily_table))),NA(),XLOOKUP(D$3,daily_items,XLOOKUP($C1361,daily_dates,big_daily_table)))</f>
        <v>#N/A</v>
      </c>
      <c r="E1361" s="1" t="str">
        <f t="array" ref="E1361">IF(ISBLANK(XLOOKUP(E$3,daily_items,XLOOKUP($C1361,daily_dates,big_daily_table))),NA(),XLOOKUP(E$3,daily_items,XLOOKUP($C1361,daily_dates,big_daily_table)))</f>
        <v>#N/A</v>
      </c>
    </row>
    <row r="1362" ht="14.25" customHeight="1">
      <c r="B1362" s="7">
        <v>42267.0</v>
      </c>
      <c r="C1362" s="7">
        <f t="shared" si="1"/>
        <v>42267</v>
      </c>
      <c r="D1362" s="1" t="str">
        <f t="array" ref="D1362">IF(ISBLANK(XLOOKUP(D$3,daily_items,XLOOKUP($C1362,daily_dates,big_daily_table))),NA(),XLOOKUP(D$3,daily_items,XLOOKUP($C1362,daily_dates,big_daily_table)))</f>
        <v>#N/A</v>
      </c>
      <c r="E1362" s="1" t="str">
        <f t="array" ref="E1362">IF(ISBLANK(XLOOKUP(E$3,daily_items,XLOOKUP($C1362,daily_dates,big_daily_table))),NA(),XLOOKUP(E$3,daily_items,XLOOKUP($C1362,daily_dates,big_daily_table)))</f>
        <v>#N/A</v>
      </c>
    </row>
    <row r="1363" ht="14.25" customHeight="1">
      <c r="B1363" s="7">
        <v>42268.0</v>
      </c>
      <c r="C1363" s="7">
        <f t="shared" si="1"/>
        <v>42267</v>
      </c>
      <c r="D1363" s="1" t="str">
        <f t="array" ref="D1363">IF(ISBLANK(XLOOKUP(D$3,daily_items,XLOOKUP($C1363,daily_dates,big_daily_table))),NA(),XLOOKUP(D$3,daily_items,XLOOKUP($C1363,daily_dates,big_daily_table)))</f>
        <v>#N/A</v>
      </c>
      <c r="E1363" s="1" t="str">
        <f t="array" ref="E1363">IF(ISBLANK(XLOOKUP(E$3,daily_items,XLOOKUP($C1363,daily_dates,big_daily_table))),NA(),XLOOKUP(E$3,daily_items,XLOOKUP($C1363,daily_dates,big_daily_table)))</f>
        <v>#N/A</v>
      </c>
    </row>
    <row r="1364" ht="14.25" customHeight="1">
      <c r="B1364" s="7">
        <v>42269.0</v>
      </c>
      <c r="C1364" s="7">
        <f t="shared" si="1"/>
        <v>42267</v>
      </c>
      <c r="D1364" s="1" t="str">
        <f t="array" ref="D1364">IF(ISBLANK(XLOOKUP(D$3,daily_items,XLOOKUP($C1364,daily_dates,big_daily_table))),NA(),XLOOKUP(D$3,daily_items,XLOOKUP($C1364,daily_dates,big_daily_table)))</f>
        <v>#N/A</v>
      </c>
      <c r="E1364" s="1" t="str">
        <f t="array" ref="E1364">IF(ISBLANK(XLOOKUP(E$3,daily_items,XLOOKUP($C1364,daily_dates,big_daily_table))),NA(),XLOOKUP(E$3,daily_items,XLOOKUP($C1364,daily_dates,big_daily_table)))</f>
        <v>#N/A</v>
      </c>
    </row>
    <row r="1365" ht="14.25" customHeight="1">
      <c r="B1365" s="7">
        <v>42270.0</v>
      </c>
      <c r="C1365" s="7">
        <f t="shared" si="1"/>
        <v>42267</v>
      </c>
      <c r="D1365" s="1" t="str">
        <f t="array" ref="D1365">IF(ISBLANK(XLOOKUP(D$3,daily_items,XLOOKUP($C1365,daily_dates,big_daily_table))),NA(),XLOOKUP(D$3,daily_items,XLOOKUP($C1365,daily_dates,big_daily_table)))</f>
        <v>#N/A</v>
      </c>
      <c r="E1365" s="1" t="str">
        <f t="array" ref="E1365">IF(ISBLANK(XLOOKUP(E$3,daily_items,XLOOKUP($C1365,daily_dates,big_daily_table))),NA(),XLOOKUP(E$3,daily_items,XLOOKUP($C1365,daily_dates,big_daily_table)))</f>
        <v>#N/A</v>
      </c>
    </row>
    <row r="1366" ht="14.25" customHeight="1">
      <c r="B1366" s="7">
        <v>42271.0</v>
      </c>
      <c r="C1366" s="7">
        <f t="shared" si="1"/>
        <v>42267</v>
      </c>
      <c r="D1366" s="1" t="str">
        <f t="array" ref="D1366">IF(ISBLANK(XLOOKUP(D$3,daily_items,XLOOKUP($C1366,daily_dates,big_daily_table))),NA(),XLOOKUP(D$3,daily_items,XLOOKUP($C1366,daily_dates,big_daily_table)))</f>
        <v>#N/A</v>
      </c>
      <c r="E1366" s="1" t="str">
        <f t="array" ref="E1366">IF(ISBLANK(XLOOKUP(E$3,daily_items,XLOOKUP($C1366,daily_dates,big_daily_table))),NA(),XLOOKUP(E$3,daily_items,XLOOKUP($C1366,daily_dates,big_daily_table)))</f>
        <v>#N/A</v>
      </c>
    </row>
    <row r="1367" ht="14.25" customHeight="1">
      <c r="B1367" s="7">
        <v>42272.0</v>
      </c>
      <c r="C1367" s="7">
        <f t="shared" si="1"/>
        <v>42267</v>
      </c>
      <c r="D1367" s="1" t="str">
        <f t="array" ref="D1367">IF(ISBLANK(XLOOKUP(D$3,daily_items,XLOOKUP($C1367,daily_dates,big_daily_table))),NA(),XLOOKUP(D$3,daily_items,XLOOKUP($C1367,daily_dates,big_daily_table)))</f>
        <v>#N/A</v>
      </c>
      <c r="E1367" s="1" t="str">
        <f t="array" ref="E1367">IF(ISBLANK(XLOOKUP(E$3,daily_items,XLOOKUP($C1367,daily_dates,big_daily_table))),NA(),XLOOKUP(E$3,daily_items,XLOOKUP($C1367,daily_dates,big_daily_table)))</f>
        <v>#N/A</v>
      </c>
    </row>
    <row r="1368" ht="14.25" customHeight="1">
      <c r="B1368" s="7">
        <v>42273.0</v>
      </c>
      <c r="C1368" s="7">
        <f t="shared" si="1"/>
        <v>42267</v>
      </c>
      <c r="D1368" s="1" t="str">
        <f t="array" ref="D1368">IF(ISBLANK(XLOOKUP(D$3,daily_items,XLOOKUP($C1368,daily_dates,big_daily_table))),NA(),XLOOKUP(D$3,daily_items,XLOOKUP($C1368,daily_dates,big_daily_table)))</f>
        <v>#N/A</v>
      </c>
      <c r="E1368" s="1" t="str">
        <f t="array" ref="E1368">IF(ISBLANK(XLOOKUP(E$3,daily_items,XLOOKUP($C1368,daily_dates,big_daily_table))),NA(),XLOOKUP(E$3,daily_items,XLOOKUP($C1368,daily_dates,big_daily_table)))</f>
        <v>#N/A</v>
      </c>
    </row>
    <row r="1369" ht="14.25" customHeight="1">
      <c r="B1369" s="7">
        <v>42274.0</v>
      </c>
      <c r="C1369" s="7">
        <f t="shared" si="1"/>
        <v>42274</v>
      </c>
      <c r="D1369" s="1" t="str">
        <f t="array" ref="D1369">IF(ISBLANK(XLOOKUP(D$3,daily_items,XLOOKUP($C1369,daily_dates,big_daily_table))),NA(),XLOOKUP(D$3,daily_items,XLOOKUP($C1369,daily_dates,big_daily_table)))</f>
        <v>#N/A</v>
      </c>
      <c r="E1369" s="1" t="str">
        <f t="array" ref="E1369">IF(ISBLANK(XLOOKUP(E$3,daily_items,XLOOKUP($C1369,daily_dates,big_daily_table))),NA(),XLOOKUP(E$3,daily_items,XLOOKUP($C1369,daily_dates,big_daily_table)))</f>
        <v>#N/A</v>
      </c>
    </row>
    <row r="1370" ht="14.25" customHeight="1">
      <c r="B1370" s="7">
        <v>42275.0</v>
      </c>
      <c r="C1370" s="7">
        <f t="shared" si="1"/>
        <v>42274</v>
      </c>
      <c r="D1370" s="1" t="str">
        <f t="array" ref="D1370">IF(ISBLANK(XLOOKUP(D$3,daily_items,XLOOKUP($C1370,daily_dates,big_daily_table))),NA(),XLOOKUP(D$3,daily_items,XLOOKUP($C1370,daily_dates,big_daily_table)))</f>
        <v>#N/A</v>
      </c>
      <c r="E1370" s="1" t="str">
        <f t="array" ref="E1370">IF(ISBLANK(XLOOKUP(E$3,daily_items,XLOOKUP($C1370,daily_dates,big_daily_table))),NA(),XLOOKUP(E$3,daily_items,XLOOKUP($C1370,daily_dates,big_daily_table)))</f>
        <v>#N/A</v>
      </c>
    </row>
    <row r="1371" ht="14.25" customHeight="1">
      <c r="B1371" s="7">
        <v>42276.0</v>
      </c>
      <c r="C1371" s="7">
        <f t="shared" si="1"/>
        <v>42274</v>
      </c>
      <c r="D1371" s="1" t="str">
        <f t="array" ref="D1371">IF(ISBLANK(XLOOKUP(D$3,daily_items,XLOOKUP($C1371,daily_dates,big_daily_table))),NA(),XLOOKUP(D$3,daily_items,XLOOKUP($C1371,daily_dates,big_daily_table)))</f>
        <v>#N/A</v>
      </c>
      <c r="E1371" s="1" t="str">
        <f t="array" ref="E1371">IF(ISBLANK(XLOOKUP(E$3,daily_items,XLOOKUP($C1371,daily_dates,big_daily_table))),NA(),XLOOKUP(E$3,daily_items,XLOOKUP($C1371,daily_dates,big_daily_table)))</f>
        <v>#N/A</v>
      </c>
    </row>
    <row r="1372" ht="14.25" customHeight="1">
      <c r="B1372" s="7">
        <v>42277.0</v>
      </c>
      <c r="C1372" s="7">
        <f t="shared" si="1"/>
        <v>42274</v>
      </c>
      <c r="D1372" s="1" t="str">
        <f t="array" ref="D1372">IF(ISBLANK(XLOOKUP(D$3,daily_items,XLOOKUP($C1372,daily_dates,big_daily_table))),NA(),XLOOKUP(D$3,daily_items,XLOOKUP($C1372,daily_dates,big_daily_table)))</f>
        <v>#N/A</v>
      </c>
      <c r="E1372" s="1" t="str">
        <f t="array" ref="E1372">IF(ISBLANK(XLOOKUP(E$3,daily_items,XLOOKUP($C1372,daily_dates,big_daily_table))),NA(),XLOOKUP(E$3,daily_items,XLOOKUP($C1372,daily_dates,big_daily_table)))</f>
        <v>#N/A</v>
      </c>
    </row>
    <row r="1373" ht="14.25" customHeight="1">
      <c r="B1373" s="7">
        <v>42278.0</v>
      </c>
      <c r="C1373" s="7">
        <f t="shared" si="1"/>
        <v>42274</v>
      </c>
      <c r="D1373" s="1" t="str">
        <f t="array" ref="D1373">IF(ISBLANK(XLOOKUP(D$3,daily_items,XLOOKUP($C1373,daily_dates,big_daily_table))),NA(),XLOOKUP(D$3,daily_items,XLOOKUP($C1373,daily_dates,big_daily_table)))</f>
        <v>#N/A</v>
      </c>
      <c r="E1373" s="1" t="str">
        <f t="array" ref="E1373">IF(ISBLANK(XLOOKUP(E$3,daily_items,XLOOKUP($C1373,daily_dates,big_daily_table))),NA(),XLOOKUP(E$3,daily_items,XLOOKUP($C1373,daily_dates,big_daily_table)))</f>
        <v>#N/A</v>
      </c>
    </row>
    <row r="1374" ht="14.25" customHeight="1">
      <c r="B1374" s="7">
        <v>42279.0</v>
      </c>
      <c r="C1374" s="7">
        <f t="shared" si="1"/>
        <v>42274</v>
      </c>
      <c r="D1374" s="1" t="str">
        <f t="array" ref="D1374">IF(ISBLANK(XLOOKUP(D$3,daily_items,XLOOKUP($C1374,daily_dates,big_daily_table))),NA(),XLOOKUP(D$3,daily_items,XLOOKUP($C1374,daily_dates,big_daily_table)))</f>
        <v>#N/A</v>
      </c>
      <c r="E1374" s="1" t="str">
        <f t="array" ref="E1374">IF(ISBLANK(XLOOKUP(E$3,daily_items,XLOOKUP($C1374,daily_dates,big_daily_table))),NA(),XLOOKUP(E$3,daily_items,XLOOKUP($C1374,daily_dates,big_daily_table)))</f>
        <v>#N/A</v>
      </c>
    </row>
    <row r="1375" ht="14.25" customHeight="1">
      <c r="B1375" s="7">
        <v>42280.0</v>
      </c>
      <c r="C1375" s="7">
        <f t="shared" si="1"/>
        <v>42274</v>
      </c>
      <c r="D1375" s="1" t="str">
        <f t="array" ref="D1375">IF(ISBLANK(XLOOKUP(D$3,daily_items,XLOOKUP($C1375,daily_dates,big_daily_table))),NA(),XLOOKUP(D$3,daily_items,XLOOKUP($C1375,daily_dates,big_daily_table)))</f>
        <v>#N/A</v>
      </c>
      <c r="E1375" s="1" t="str">
        <f t="array" ref="E1375">IF(ISBLANK(XLOOKUP(E$3,daily_items,XLOOKUP($C1375,daily_dates,big_daily_table))),NA(),XLOOKUP(E$3,daily_items,XLOOKUP($C1375,daily_dates,big_daily_table)))</f>
        <v>#N/A</v>
      </c>
    </row>
    <row r="1376" ht="14.25" customHeight="1">
      <c r="B1376" s="7">
        <v>42281.0</v>
      </c>
      <c r="C1376" s="7">
        <f t="shared" si="1"/>
        <v>42281</v>
      </c>
      <c r="D1376" s="1" t="str">
        <f t="array" ref="D1376">IF(ISBLANK(XLOOKUP(D$3,daily_items,XLOOKUP($C1376,daily_dates,big_daily_table))),NA(),XLOOKUP(D$3,daily_items,XLOOKUP($C1376,daily_dates,big_daily_table)))</f>
        <v>#N/A</v>
      </c>
      <c r="E1376" s="1" t="str">
        <f t="array" ref="E1376">IF(ISBLANK(XLOOKUP(E$3,daily_items,XLOOKUP($C1376,daily_dates,big_daily_table))),NA(),XLOOKUP(E$3,daily_items,XLOOKUP($C1376,daily_dates,big_daily_table)))</f>
        <v>#N/A</v>
      </c>
    </row>
    <row r="1377" ht="14.25" customHeight="1">
      <c r="B1377" s="7">
        <v>42282.0</v>
      </c>
      <c r="C1377" s="7">
        <f t="shared" si="1"/>
        <v>42281</v>
      </c>
      <c r="D1377" s="1" t="str">
        <f t="array" ref="D1377">IF(ISBLANK(XLOOKUP(D$3,daily_items,XLOOKUP($C1377,daily_dates,big_daily_table))),NA(),XLOOKUP(D$3,daily_items,XLOOKUP($C1377,daily_dates,big_daily_table)))</f>
        <v>#N/A</v>
      </c>
      <c r="E1377" s="1" t="str">
        <f t="array" ref="E1377">IF(ISBLANK(XLOOKUP(E$3,daily_items,XLOOKUP($C1377,daily_dates,big_daily_table))),NA(),XLOOKUP(E$3,daily_items,XLOOKUP($C1377,daily_dates,big_daily_table)))</f>
        <v>#N/A</v>
      </c>
    </row>
    <row r="1378" ht="14.25" customHeight="1">
      <c r="B1378" s="7">
        <v>42283.0</v>
      </c>
      <c r="C1378" s="7">
        <f t="shared" si="1"/>
        <v>42281</v>
      </c>
      <c r="D1378" s="1" t="str">
        <f t="array" ref="D1378">IF(ISBLANK(XLOOKUP(D$3,daily_items,XLOOKUP($C1378,daily_dates,big_daily_table))),NA(),XLOOKUP(D$3,daily_items,XLOOKUP($C1378,daily_dates,big_daily_table)))</f>
        <v>#N/A</v>
      </c>
      <c r="E1378" s="1" t="str">
        <f t="array" ref="E1378">IF(ISBLANK(XLOOKUP(E$3,daily_items,XLOOKUP($C1378,daily_dates,big_daily_table))),NA(),XLOOKUP(E$3,daily_items,XLOOKUP($C1378,daily_dates,big_daily_table)))</f>
        <v>#N/A</v>
      </c>
    </row>
    <row r="1379" ht="14.25" customHeight="1">
      <c r="B1379" s="7">
        <v>42284.0</v>
      </c>
      <c r="C1379" s="7">
        <f t="shared" si="1"/>
        <v>42281</v>
      </c>
      <c r="D1379" s="1" t="str">
        <f t="array" ref="D1379">IF(ISBLANK(XLOOKUP(D$3,daily_items,XLOOKUP($C1379,daily_dates,big_daily_table))),NA(),XLOOKUP(D$3,daily_items,XLOOKUP($C1379,daily_dates,big_daily_table)))</f>
        <v>#N/A</v>
      </c>
      <c r="E1379" s="1" t="str">
        <f t="array" ref="E1379">IF(ISBLANK(XLOOKUP(E$3,daily_items,XLOOKUP($C1379,daily_dates,big_daily_table))),NA(),XLOOKUP(E$3,daily_items,XLOOKUP($C1379,daily_dates,big_daily_table)))</f>
        <v>#N/A</v>
      </c>
    </row>
    <row r="1380" ht="14.25" customHeight="1">
      <c r="B1380" s="7">
        <v>42285.0</v>
      </c>
      <c r="C1380" s="7">
        <f t="shared" si="1"/>
        <v>42281</v>
      </c>
      <c r="D1380" s="1" t="str">
        <f t="array" ref="D1380">IF(ISBLANK(XLOOKUP(D$3,daily_items,XLOOKUP($C1380,daily_dates,big_daily_table))),NA(),XLOOKUP(D$3,daily_items,XLOOKUP($C1380,daily_dates,big_daily_table)))</f>
        <v>#N/A</v>
      </c>
      <c r="E1380" s="1" t="str">
        <f t="array" ref="E1380">IF(ISBLANK(XLOOKUP(E$3,daily_items,XLOOKUP($C1380,daily_dates,big_daily_table))),NA(),XLOOKUP(E$3,daily_items,XLOOKUP($C1380,daily_dates,big_daily_table)))</f>
        <v>#N/A</v>
      </c>
    </row>
    <row r="1381" ht="14.25" customHeight="1">
      <c r="B1381" s="7">
        <v>42286.0</v>
      </c>
      <c r="C1381" s="7">
        <f t="shared" si="1"/>
        <v>42281</v>
      </c>
      <c r="D1381" s="1" t="str">
        <f t="array" ref="D1381">IF(ISBLANK(XLOOKUP(D$3,daily_items,XLOOKUP($C1381,daily_dates,big_daily_table))),NA(),XLOOKUP(D$3,daily_items,XLOOKUP($C1381,daily_dates,big_daily_table)))</f>
        <v>#N/A</v>
      </c>
      <c r="E1381" s="1" t="str">
        <f t="array" ref="E1381">IF(ISBLANK(XLOOKUP(E$3,daily_items,XLOOKUP($C1381,daily_dates,big_daily_table))),NA(),XLOOKUP(E$3,daily_items,XLOOKUP($C1381,daily_dates,big_daily_table)))</f>
        <v>#N/A</v>
      </c>
    </row>
    <row r="1382" ht="14.25" customHeight="1">
      <c r="B1382" s="7">
        <v>42287.0</v>
      </c>
      <c r="C1382" s="7">
        <f t="shared" si="1"/>
        <v>42281</v>
      </c>
      <c r="D1382" s="1" t="str">
        <f t="array" ref="D1382">IF(ISBLANK(XLOOKUP(D$3,daily_items,XLOOKUP($C1382,daily_dates,big_daily_table))),NA(),XLOOKUP(D$3,daily_items,XLOOKUP($C1382,daily_dates,big_daily_table)))</f>
        <v>#N/A</v>
      </c>
      <c r="E1382" s="1" t="str">
        <f t="array" ref="E1382">IF(ISBLANK(XLOOKUP(E$3,daily_items,XLOOKUP($C1382,daily_dates,big_daily_table))),NA(),XLOOKUP(E$3,daily_items,XLOOKUP($C1382,daily_dates,big_daily_table)))</f>
        <v>#N/A</v>
      </c>
    </row>
    <row r="1383" ht="14.25" customHeight="1">
      <c r="B1383" s="7">
        <v>42288.0</v>
      </c>
      <c r="C1383" s="7">
        <f t="shared" si="1"/>
        <v>42288</v>
      </c>
      <c r="D1383" s="1" t="str">
        <f t="array" ref="D1383">IF(ISBLANK(XLOOKUP(D$3,daily_items,XLOOKUP($C1383,daily_dates,big_daily_table))),NA(),XLOOKUP(D$3,daily_items,XLOOKUP($C1383,daily_dates,big_daily_table)))</f>
        <v>#N/A</v>
      </c>
      <c r="E1383" s="1" t="str">
        <f t="array" ref="E1383">IF(ISBLANK(XLOOKUP(E$3,daily_items,XLOOKUP($C1383,daily_dates,big_daily_table))),NA(),XLOOKUP(E$3,daily_items,XLOOKUP($C1383,daily_dates,big_daily_table)))</f>
        <v>#N/A</v>
      </c>
    </row>
    <row r="1384" ht="14.25" customHeight="1">
      <c r="B1384" s="7">
        <v>42289.0</v>
      </c>
      <c r="C1384" s="7">
        <f t="shared" si="1"/>
        <v>42288</v>
      </c>
      <c r="D1384" s="1" t="str">
        <f t="array" ref="D1384">IF(ISBLANK(XLOOKUP(D$3,daily_items,XLOOKUP($C1384,daily_dates,big_daily_table))),NA(),XLOOKUP(D$3,daily_items,XLOOKUP($C1384,daily_dates,big_daily_table)))</f>
        <v>#N/A</v>
      </c>
      <c r="E1384" s="1" t="str">
        <f t="array" ref="E1384">IF(ISBLANK(XLOOKUP(E$3,daily_items,XLOOKUP($C1384,daily_dates,big_daily_table))),NA(),XLOOKUP(E$3,daily_items,XLOOKUP($C1384,daily_dates,big_daily_table)))</f>
        <v>#N/A</v>
      </c>
    </row>
    <row r="1385" ht="14.25" customHeight="1">
      <c r="B1385" s="7">
        <v>42290.0</v>
      </c>
      <c r="C1385" s="7">
        <f t="shared" si="1"/>
        <v>42288</v>
      </c>
      <c r="D1385" s="1" t="str">
        <f t="array" ref="D1385">IF(ISBLANK(XLOOKUP(D$3,daily_items,XLOOKUP($C1385,daily_dates,big_daily_table))),NA(),XLOOKUP(D$3,daily_items,XLOOKUP($C1385,daily_dates,big_daily_table)))</f>
        <v>#N/A</v>
      </c>
      <c r="E1385" s="1" t="str">
        <f t="array" ref="E1385">IF(ISBLANK(XLOOKUP(E$3,daily_items,XLOOKUP($C1385,daily_dates,big_daily_table))),NA(),XLOOKUP(E$3,daily_items,XLOOKUP($C1385,daily_dates,big_daily_table)))</f>
        <v>#N/A</v>
      </c>
    </row>
    <row r="1386" ht="14.25" customHeight="1">
      <c r="B1386" s="7">
        <v>42291.0</v>
      </c>
      <c r="C1386" s="7">
        <f t="shared" si="1"/>
        <v>42288</v>
      </c>
      <c r="D1386" s="1" t="str">
        <f t="array" ref="D1386">IF(ISBLANK(XLOOKUP(D$3,daily_items,XLOOKUP($C1386,daily_dates,big_daily_table))),NA(),XLOOKUP(D$3,daily_items,XLOOKUP($C1386,daily_dates,big_daily_table)))</f>
        <v>#N/A</v>
      </c>
      <c r="E1386" s="1" t="str">
        <f t="array" ref="E1386">IF(ISBLANK(XLOOKUP(E$3,daily_items,XLOOKUP($C1386,daily_dates,big_daily_table))),NA(),XLOOKUP(E$3,daily_items,XLOOKUP($C1386,daily_dates,big_daily_table)))</f>
        <v>#N/A</v>
      </c>
    </row>
    <row r="1387" ht="14.25" customHeight="1">
      <c r="B1387" s="7">
        <v>42292.0</v>
      </c>
      <c r="C1387" s="7">
        <f t="shared" si="1"/>
        <v>42288</v>
      </c>
      <c r="D1387" s="1" t="str">
        <f t="array" ref="D1387">IF(ISBLANK(XLOOKUP(D$3,daily_items,XLOOKUP($C1387,daily_dates,big_daily_table))),NA(),XLOOKUP(D$3,daily_items,XLOOKUP($C1387,daily_dates,big_daily_table)))</f>
        <v>#N/A</v>
      </c>
      <c r="E1387" s="1" t="str">
        <f t="array" ref="E1387">IF(ISBLANK(XLOOKUP(E$3,daily_items,XLOOKUP($C1387,daily_dates,big_daily_table))),NA(),XLOOKUP(E$3,daily_items,XLOOKUP($C1387,daily_dates,big_daily_table)))</f>
        <v>#N/A</v>
      </c>
    </row>
    <row r="1388" ht="14.25" customHeight="1">
      <c r="B1388" s="7">
        <v>42293.0</v>
      </c>
      <c r="C1388" s="7">
        <f t="shared" si="1"/>
        <v>42288</v>
      </c>
      <c r="D1388" s="1" t="str">
        <f t="array" ref="D1388">IF(ISBLANK(XLOOKUP(D$3,daily_items,XLOOKUP($C1388,daily_dates,big_daily_table))),NA(),XLOOKUP(D$3,daily_items,XLOOKUP($C1388,daily_dates,big_daily_table)))</f>
        <v>#N/A</v>
      </c>
      <c r="E1388" s="1" t="str">
        <f t="array" ref="E1388">IF(ISBLANK(XLOOKUP(E$3,daily_items,XLOOKUP($C1388,daily_dates,big_daily_table))),NA(),XLOOKUP(E$3,daily_items,XLOOKUP($C1388,daily_dates,big_daily_table)))</f>
        <v>#N/A</v>
      </c>
    </row>
    <row r="1389" ht="14.25" customHeight="1">
      <c r="B1389" s="7">
        <v>42294.0</v>
      </c>
      <c r="C1389" s="7">
        <f t="shared" si="1"/>
        <v>42288</v>
      </c>
      <c r="D1389" s="1" t="str">
        <f t="array" ref="D1389">IF(ISBLANK(XLOOKUP(D$3,daily_items,XLOOKUP($C1389,daily_dates,big_daily_table))),NA(),XLOOKUP(D$3,daily_items,XLOOKUP($C1389,daily_dates,big_daily_table)))</f>
        <v>#N/A</v>
      </c>
      <c r="E1389" s="1" t="str">
        <f t="array" ref="E1389">IF(ISBLANK(XLOOKUP(E$3,daily_items,XLOOKUP($C1389,daily_dates,big_daily_table))),NA(),XLOOKUP(E$3,daily_items,XLOOKUP($C1389,daily_dates,big_daily_table)))</f>
        <v>#N/A</v>
      </c>
    </row>
    <row r="1390" ht="14.25" customHeight="1">
      <c r="B1390" s="7">
        <v>42295.0</v>
      </c>
      <c r="C1390" s="7">
        <f t="shared" si="1"/>
        <v>42295</v>
      </c>
      <c r="D1390" s="1" t="str">
        <f t="array" ref="D1390">IF(ISBLANK(XLOOKUP(D$3,daily_items,XLOOKUP($C1390,daily_dates,big_daily_table))),NA(),XLOOKUP(D$3,daily_items,XLOOKUP($C1390,daily_dates,big_daily_table)))</f>
        <v>#N/A</v>
      </c>
      <c r="E1390" s="1" t="str">
        <f t="array" ref="E1390">IF(ISBLANK(XLOOKUP(E$3,daily_items,XLOOKUP($C1390,daily_dates,big_daily_table))),NA(),XLOOKUP(E$3,daily_items,XLOOKUP($C1390,daily_dates,big_daily_table)))</f>
        <v>#N/A</v>
      </c>
    </row>
    <row r="1391" ht="14.25" customHeight="1">
      <c r="B1391" s="7">
        <v>42296.0</v>
      </c>
      <c r="C1391" s="7">
        <f t="shared" si="1"/>
        <v>42295</v>
      </c>
      <c r="D1391" s="1" t="str">
        <f t="array" ref="D1391">IF(ISBLANK(XLOOKUP(D$3,daily_items,XLOOKUP($C1391,daily_dates,big_daily_table))),NA(),XLOOKUP(D$3,daily_items,XLOOKUP($C1391,daily_dates,big_daily_table)))</f>
        <v>#N/A</v>
      </c>
      <c r="E1391" s="1" t="str">
        <f t="array" ref="E1391">IF(ISBLANK(XLOOKUP(E$3,daily_items,XLOOKUP($C1391,daily_dates,big_daily_table))),NA(),XLOOKUP(E$3,daily_items,XLOOKUP($C1391,daily_dates,big_daily_table)))</f>
        <v>#N/A</v>
      </c>
    </row>
    <row r="1392" ht="14.25" customHeight="1">
      <c r="B1392" s="7">
        <v>42297.0</v>
      </c>
      <c r="C1392" s="7">
        <f t="shared" si="1"/>
        <v>42295</v>
      </c>
      <c r="D1392" s="1" t="str">
        <f t="array" ref="D1392">IF(ISBLANK(XLOOKUP(D$3,daily_items,XLOOKUP($C1392,daily_dates,big_daily_table))),NA(),XLOOKUP(D$3,daily_items,XLOOKUP($C1392,daily_dates,big_daily_table)))</f>
        <v>#N/A</v>
      </c>
      <c r="E1392" s="1" t="str">
        <f t="array" ref="E1392">IF(ISBLANK(XLOOKUP(E$3,daily_items,XLOOKUP($C1392,daily_dates,big_daily_table))),NA(),XLOOKUP(E$3,daily_items,XLOOKUP($C1392,daily_dates,big_daily_table)))</f>
        <v>#N/A</v>
      </c>
    </row>
    <row r="1393" ht="14.25" customHeight="1">
      <c r="B1393" s="7">
        <v>42298.0</v>
      </c>
      <c r="C1393" s="7">
        <f t="shared" si="1"/>
        <v>42295</v>
      </c>
      <c r="D1393" s="1" t="str">
        <f t="array" ref="D1393">IF(ISBLANK(XLOOKUP(D$3,daily_items,XLOOKUP($C1393,daily_dates,big_daily_table))),NA(),XLOOKUP(D$3,daily_items,XLOOKUP($C1393,daily_dates,big_daily_table)))</f>
        <v>#N/A</v>
      </c>
      <c r="E1393" s="1" t="str">
        <f t="array" ref="E1393">IF(ISBLANK(XLOOKUP(E$3,daily_items,XLOOKUP($C1393,daily_dates,big_daily_table))),NA(),XLOOKUP(E$3,daily_items,XLOOKUP($C1393,daily_dates,big_daily_table)))</f>
        <v>#N/A</v>
      </c>
    </row>
    <row r="1394" ht="14.25" customHeight="1">
      <c r="B1394" s="7">
        <v>42299.0</v>
      </c>
      <c r="C1394" s="7">
        <f t="shared" si="1"/>
        <v>42295</v>
      </c>
      <c r="D1394" s="1" t="str">
        <f t="array" ref="D1394">IF(ISBLANK(XLOOKUP(D$3,daily_items,XLOOKUP($C1394,daily_dates,big_daily_table))),NA(),XLOOKUP(D$3,daily_items,XLOOKUP($C1394,daily_dates,big_daily_table)))</f>
        <v>#N/A</v>
      </c>
      <c r="E1394" s="1" t="str">
        <f t="array" ref="E1394">IF(ISBLANK(XLOOKUP(E$3,daily_items,XLOOKUP($C1394,daily_dates,big_daily_table))),NA(),XLOOKUP(E$3,daily_items,XLOOKUP($C1394,daily_dates,big_daily_table)))</f>
        <v>#N/A</v>
      </c>
    </row>
    <row r="1395" ht="14.25" customHeight="1">
      <c r="B1395" s="7">
        <v>42300.0</v>
      </c>
      <c r="C1395" s="7">
        <f t="shared" si="1"/>
        <v>42295</v>
      </c>
      <c r="D1395" s="1" t="str">
        <f t="array" ref="D1395">IF(ISBLANK(XLOOKUP(D$3,daily_items,XLOOKUP($C1395,daily_dates,big_daily_table))),NA(),XLOOKUP(D$3,daily_items,XLOOKUP($C1395,daily_dates,big_daily_table)))</f>
        <v>#N/A</v>
      </c>
      <c r="E1395" s="1" t="str">
        <f t="array" ref="E1395">IF(ISBLANK(XLOOKUP(E$3,daily_items,XLOOKUP($C1395,daily_dates,big_daily_table))),NA(),XLOOKUP(E$3,daily_items,XLOOKUP($C1395,daily_dates,big_daily_table)))</f>
        <v>#N/A</v>
      </c>
    </row>
    <row r="1396" ht="14.25" customHeight="1">
      <c r="B1396" s="7">
        <v>42301.0</v>
      </c>
      <c r="C1396" s="7">
        <f t="shared" si="1"/>
        <v>42295</v>
      </c>
      <c r="D1396" s="1" t="str">
        <f t="array" ref="D1396">IF(ISBLANK(XLOOKUP(D$3,daily_items,XLOOKUP($C1396,daily_dates,big_daily_table))),NA(),XLOOKUP(D$3,daily_items,XLOOKUP($C1396,daily_dates,big_daily_table)))</f>
        <v>#N/A</v>
      </c>
      <c r="E1396" s="1" t="str">
        <f t="array" ref="E1396">IF(ISBLANK(XLOOKUP(E$3,daily_items,XLOOKUP($C1396,daily_dates,big_daily_table))),NA(),XLOOKUP(E$3,daily_items,XLOOKUP($C1396,daily_dates,big_daily_table)))</f>
        <v>#N/A</v>
      </c>
    </row>
    <row r="1397" ht="14.25" customHeight="1">
      <c r="B1397" s="7">
        <v>42302.0</v>
      </c>
      <c r="C1397" s="7">
        <f t="shared" si="1"/>
        <v>42302</v>
      </c>
      <c r="D1397" s="1" t="str">
        <f t="array" ref="D1397">IF(ISBLANK(XLOOKUP(D$3,daily_items,XLOOKUP($C1397,daily_dates,big_daily_table))),NA(),XLOOKUP(D$3,daily_items,XLOOKUP($C1397,daily_dates,big_daily_table)))</f>
        <v>#N/A</v>
      </c>
      <c r="E1397" s="1" t="str">
        <f t="array" ref="E1397">IF(ISBLANK(XLOOKUP(E$3,daily_items,XLOOKUP($C1397,daily_dates,big_daily_table))),NA(),XLOOKUP(E$3,daily_items,XLOOKUP($C1397,daily_dates,big_daily_table)))</f>
        <v>#N/A</v>
      </c>
    </row>
    <row r="1398" ht="14.25" customHeight="1">
      <c r="B1398" s="7">
        <v>42303.0</v>
      </c>
      <c r="C1398" s="7">
        <f t="shared" si="1"/>
        <v>42302</v>
      </c>
      <c r="D1398" s="1" t="str">
        <f t="array" ref="D1398">IF(ISBLANK(XLOOKUP(D$3,daily_items,XLOOKUP($C1398,daily_dates,big_daily_table))),NA(),XLOOKUP(D$3,daily_items,XLOOKUP($C1398,daily_dates,big_daily_table)))</f>
        <v>#N/A</v>
      </c>
      <c r="E1398" s="1" t="str">
        <f t="array" ref="E1398">IF(ISBLANK(XLOOKUP(E$3,daily_items,XLOOKUP($C1398,daily_dates,big_daily_table))),NA(),XLOOKUP(E$3,daily_items,XLOOKUP($C1398,daily_dates,big_daily_table)))</f>
        <v>#N/A</v>
      </c>
    </row>
    <row r="1399" ht="14.25" customHeight="1">
      <c r="B1399" s="7">
        <v>42304.0</v>
      </c>
      <c r="C1399" s="7">
        <f t="shared" si="1"/>
        <v>42302</v>
      </c>
      <c r="D1399" s="1" t="str">
        <f t="array" ref="D1399">IF(ISBLANK(XLOOKUP(D$3,daily_items,XLOOKUP($C1399,daily_dates,big_daily_table))),NA(),XLOOKUP(D$3,daily_items,XLOOKUP($C1399,daily_dates,big_daily_table)))</f>
        <v>#N/A</v>
      </c>
      <c r="E1399" s="1" t="str">
        <f t="array" ref="E1399">IF(ISBLANK(XLOOKUP(E$3,daily_items,XLOOKUP($C1399,daily_dates,big_daily_table))),NA(),XLOOKUP(E$3,daily_items,XLOOKUP($C1399,daily_dates,big_daily_table)))</f>
        <v>#N/A</v>
      </c>
    </row>
    <row r="1400" ht="14.25" customHeight="1">
      <c r="B1400" s="7">
        <v>42305.0</v>
      </c>
      <c r="C1400" s="7">
        <f t="shared" si="1"/>
        <v>42302</v>
      </c>
      <c r="D1400" s="1" t="str">
        <f t="array" ref="D1400">IF(ISBLANK(XLOOKUP(D$3,daily_items,XLOOKUP($C1400,daily_dates,big_daily_table))),NA(),XLOOKUP(D$3,daily_items,XLOOKUP($C1400,daily_dates,big_daily_table)))</f>
        <v>#N/A</v>
      </c>
      <c r="E1400" s="1" t="str">
        <f t="array" ref="E1400">IF(ISBLANK(XLOOKUP(E$3,daily_items,XLOOKUP($C1400,daily_dates,big_daily_table))),NA(),XLOOKUP(E$3,daily_items,XLOOKUP($C1400,daily_dates,big_daily_table)))</f>
        <v>#N/A</v>
      </c>
    </row>
    <row r="1401" ht="14.25" customHeight="1">
      <c r="B1401" s="7">
        <v>42306.0</v>
      </c>
      <c r="C1401" s="7">
        <f t="shared" si="1"/>
        <v>42302</v>
      </c>
      <c r="D1401" s="1" t="str">
        <f t="array" ref="D1401">IF(ISBLANK(XLOOKUP(D$3,daily_items,XLOOKUP($C1401,daily_dates,big_daily_table))),NA(),XLOOKUP(D$3,daily_items,XLOOKUP($C1401,daily_dates,big_daily_table)))</f>
        <v>#N/A</v>
      </c>
      <c r="E1401" s="1" t="str">
        <f t="array" ref="E1401">IF(ISBLANK(XLOOKUP(E$3,daily_items,XLOOKUP($C1401,daily_dates,big_daily_table))),NA(),XLOOKUP(E$3,daily_items,XLOOKUP($C1401,daily_dates,big_daily_table)))</f>
        <v>#N/A</v>
      </c>
    </row>
    <row r="1402" ht="14.25" customHeight="1">
      <c r="B1402" s="7">
        <v>42307.0</v>
      </c>
      <c r="C1402" s="7">
        <f t="shared" si="1"/>
        <v>42302</v>
      </c>
      <c r="D1402" s="1" t="str">
        <f t="array" ref="D1402">IF(ISBLANK(XLOOKUP(D$3,daily_items,XLOOKUP($C1402,daily_dates,big_daily_table))),NA(),XLOOKUP(D$3,daily_items,XLOOKUP($C1402,daily_dates,big_daily_table)))</f>
        <v>#N/A</v>
      </c>
      <c r="E1402" s="1" t="str">
        <f t="array" ref="E1402">IF(ISBLANK(XLOOKUP(E$3,daily_items,XLOOKUP($C1402,daily_dates,big_daily_table))),NA(),XLOOKUP(E$3,daily_items,XLOOKUP($C1402,daily_dates,big_daily_table)))</f>
        <v>#N/A</v>
      </c>
    </row>
    <row r="1403" ht="14.25" customHeight="1">
      <c r="B1403" s="7">
        <v>42308.0</v>
      </c>
      <c r="C1403" s="7">
        <f t="shared" si="1"/>
        <v>42302</v>
      </c>
      <c r="D1403" s="1" t="str">
        <f t="array" ref="D1403">IF(ISBLANK(XLOOKUP(D$3,daily_items,XLOOKUP($C1403,daily_dates,big_daily_table))),NA(),XLOOKUP(D$3,daily_items,XLOOKUP($C1403,daily_dates,big_daily_table)))</f>
        <v>#N/A</v>
      </c>
      <c r="E1403" s="1" t="str">
        <f t="array" ref="E1403">IF(ISBLANK(XLOOKUP(E$3,daily_items,XLOOKUP($C1403,daily_dates,big_daily_table))),NA(),XLOOKUP(E$3,daily_items,XLOOKUP($C1403,daily_dates,big_daily_table)))</f>
        <v>#N/A</v>
      </c>
    </row>
    <row r="1404" ht="14.25" customHeight="1">
      <c r="B1404" s="7">
        <v>42309.0</v>
      </c>
      <c r="C1404" s="7">
        <f t="shared" si="1"/>
        <v>42309</v>
      </c>
      <c r="D1404" s="1" t="str">
        <f t="array" ref="D1404">IF(ISBLANK(XLOOKUP(D$3,daily_items,XLOOKUP($C1404,daily_dates,big_daily_table))),NA(),XLOOKUP(D$3,daily_items,XLOOKUP($C1404,daily_dates,big_daily_table)))</f>
        <v>#N/A</v>
      </c>
      <c r="E1404" s="1" t="str">
        <f t="array" ref="E1404">IF(ISBLANK(XLOOKUP(E$3,daily_items,XLOOKUP($C1404,daily_dates,big_daily_table))),NA(),XLOOKUP(E$3,daily_items,XLOOKUP($C1404,daily_dates,big_daily_table)))</f>
        <v>#N/A</v>
      </c>
    </row>
    <row r="1405" ht="14.25" customHeight="1">
      <c r="B1405" s="7">
        <v>42310.0</v>
      </c>
      <c r="C1405" s="7">
        <f t="shared" si="1"/>
        <v>42309</v>
      </c>
      <c r="D1405" s="1" t="str">
        <f t="array" ref="D1405">IF(ISBLANK(XLOOKUP(D$3,daily_items,XLOOKUP($C1405,daily_dates,big_daily_table))),NA(),XLOOKUP(D$3,daily_items,XLOOKUP($C1405,daily_dates,big_daily_table)))</f>
        <v>#N/A</v>
      </c>
      <c r="E1405" s="1" t="str">
        <f t="array" ref="E1405">IF(ISBLANK(XLOOKUP(E$3,daily_items,XLOOKUP($C1405,daily_dates,big_daily_table))),NA(),XLOOKUP(E$3,daily_items,XLOOKUP($C1405,daily_dates,big_daily_table)))</f>
        <v>#N/A</v>
      </c>
    </row>
    <row r="1406" ht="14.25" customHeight="1">
      <c r="B1406" s="7">
        <v>42311.0</v>
      </c>
      <c r="C1406" s="7">
        <f t="shared" si="1"/>
        <v>42309</v>
      </c>
      <c r="D1406" s="1" t="str">
        <f t="array" ref="D1406">IF(ISBLANK(XLOOKUP(D$3,daily_items,XLOOKUP($C1406,daily_dates,big_daily_table))),NA(),XLOOKUP(D$3,daily_items,XLOOKUP($C1406,daily_dates,big_daily_table)))</f>
        <v>#N/A</v>
      </c>
      <c r="E1406" s="1" t="str">
        <f t="array" ref="E1406">IF(ISBLANK(XLOOKUP(E$3,daily_items,XLOOKUP($C1406,daily_dates,big_daily_table))),NA(),XLOOKUP(E$3,daily_items,XLOOKUP($C1406,daily_dates,big_daily_table)))</f>
        <v>#N/A</v>
      </c>
    </row>
    <row r="1407" ht="14.25" customHeight="1">
      <c r="B1407" s="7">
        <v>42312.0</v>
      </c>
      <c r="C1407" s="7">
        <f t="shared" si="1"/>
        <v>42309</v>
      </c>
      <c r="D1407" s="1" t="str">
        <f t="array" ref="D1407">IF(ISBLANK(XLOOKUP(D$3,daily_items,XLOOKUP($C1407,daily_dates,big_daily_table))),NA(),XLOOKUP(D$3,daily_items,XLOOKUP($C1407,daily_dates,big_daily_table)))</f>
        <v>#N/A</v>
      </c>
      <c r="E1407" s="1" t="str">
        <f t="array" ref="E1407">IF(ISBLANK(XLOOKUP(E$3,daily_items,XLOOKUP($C1407,daily_dates,big_daily_table))),NA(),XLOOKUP(E$3,daily_items,XLOOKUP($C1407,daily_dates,big_daily_table)))</f>
        <v>#N/A</v>
      </c>
    </row>
    <row r="1408" ht="14.25" customHeight="1">
      <c r="B1408" s="7">
        <v>42313.0</v>
      </c>
      <c r="C1408" s="7">
        <f t="shared" si="1"/>
        <v>42309</v>
      </c>
      <c r="D1408" s="1" t="str">
        <f t="array" ref="D1408">IF(ISBLANK(XLOOKUP(D$3,daily_items,XLOOKUP($C1408,daily_dates,big_daily_table))),NA(),XLOOKUP(D$3,daily_items,XLOOKUP($C1408,daily_dates,big_daily_table)))</f>
        <v>#N/A</v>
      </c>
      <c r="E1408" s="1" t="str">
        <f t="array" ref="E1408">IF(ISBLANK(XLOOKUP(E$3,daily_items,XLOOKUP($C1408,daily_dates,big_daily_table))),NA(),XLOOKUP(E$3,daily_items,XLOOKUP($C1408,daily_dates,big_daily_table)))</f>
        <v>#N/A</v>
      </c>
    </row>
    <row r="1409" ht="14.25" customHeight="1">
      <c r="B1409" s="7">
        <v>42314.0</v>
      </c>
      <c r="C1409" s="7">
        <f t="shared" si="1"/>
        <v>42309</v>
      </c>
      <c r="D1409" s="1" t="str">
        <f t="array" ref="D1409">IF(ISBLANK(XLOOKUP(D$3,daily_items,XLOOKUP($C1409,daily_dates,big_daily_table))),NA(),XLOOKUP(D$3,daily_items,XLOOKUP($C1409,daily_dates,big_daily_table)))</f>
        <v>#N/A</v>
      </c>
      <c r="E1409" s="1" t="str">
        <f t="array" ref="E1409">IF(ISBLANK(XLOOKUP(E$3,daily_items,XLOOKUP($C1409,daily_dates,big_daily_table))),NA(),XLOOKUP(E$3,daily_items,XLOOKUP($C1409,daily_dates,big_daily_table)))</f>
        <v>#N/A</v>
      </c>
    </row>
    <row r="1410" ht="14.25" customHeight="1">
      <c r="B1410" s="7">
        <v>42315.0</v>
      </c>
      <c r="C1410" s="7">
        <f t="shared" si="1"/>
        <v>42309</v>
      </c>
      <c r="D1410" s="1" t="str">
        <f t="array" ref="D1410">IF(ISBLANK(XLOOKUP(D$3,daily_items,XLOOKUP($C1410,daily_dates,big_daily_table))),NA(),XLOOKUP(D$3,daily_items,XLOOKUP($C1410,daily_dates,big_daily_table)))</f>
        <v>#N/A</v>
      </c>
      <c r="E1410" s="1" t="str">
        <f t="array" ref="E1410">IF(ISBLANK(XLOOKUP(E$3,daily_items,XLOOKUP($C1410,daily_dates,big_daily_table))),NA(),XLOOKUP(E$3,daily_items,XLOOKUP($C1410,daily_dates,big_daily_table)))</f>
        <v>#N/A</v>
      </c>
    </row>
    <row r="1411" ht="14.25" customHeight="1">
      <c r="B1411" s="7">
        <v>42316.0</v>
      </c>
      <c r="C1411" s="7">
        <f t="shared" si="1"/>
        <v>42316</v>
      </c>
      <c r="D1411" s="1" t="str">
        <f t="array" ref="D1411">IF(ISBLANK(XLOOKUP(D$3,daily_items,XLOOKUP($C1411,daily_dates,big_daily_table))),NA(),XLOOKUP(D$3,daily_items,XLOOKUP($C1411,daily_dates,big_daily_table)))</f>
        <v>#N/A</v>
      </c>
      <c r="E1411" s="1" t="str">
        <f t="array" ref="E1411">IF(ISBLANK(XLOOKUP(E$3,daily_items,XLOOKUP($C1411,daily_dates,big_daily_table))),NA(),XLOOKUP(E$3,daily_items,XLOOKUP($C1411,daily_dates,big_daily_table)))</f>
        <v>#N/A</v>
      </c>
    </row>
    <row r="1412" ht="14.25" customHeight="1">
      <c r="B1412" s="7">
        <v>42317.0</v>
      </c>
      <c r="C1412" s="7">
        <f t="shared" si="1"/>
        <v>42316</v>
      </c>
      <c r="D1412" s="1" t="str">
        <f t="array" ref="D1412">IF(ISBLANK(XLOOKUP(D$3,daily_items,XLOOKUP($C1412,daily_dates,big_daily_table))),NA(),XLOOKUP(D$3,daily_items,XLOOKUP($C1412,daily_dates,big_daily_table)))</f>
        <v>#N/A</v>
      </c>
      <c r="E1412" s="1" t="str">
        <f t="array" ref="E1412">IF(ISBLANK(XLOOKUP(E$3,daily_items,XLOOKUP($C1412,daily_dates,big_daily_table))),NA(),XLOOKUP(E$3,daily_items,XLOOKUP($C1412,daily_dates,big_daily_table)))</f>
        <v>#N/A</v>
      </c>
    </row>
    <row r="1413" ht="14.25" customHeight="1">
      <c r="B1413" s="7">
        <v>42318.0</v>
      </c>
      <c r="C1413" s="7">
        <f t="shared" si="1"/>
        <v>42316</v>
      </c>
      <c r="D1413" s="1" t="str">
        <f t="array" ref="D1413">IF(ISBLANK(XLOOKUP(D$3,daily_items,XLOOKUP($C1413,daily_dates,big_daily_table))),NA(),XLOOKUP(D$3,daily_items,XLOOKUP($C1413,daily_dates,big_daily_table)))</f>
        <v>#N/A</v>
      </c>
      <c r="E1413" s="1" t="str">
        <f t="array" ref="E1413">IF(ISBLANK(XLOOKUP(E$3,daily_items,XLOOKUP($C1413,daily_dates,big_daily_table))),NA(),XLOOKUP(E$3,daily_items,XLOOKUP($C1413,daily_dates,big_daily_table)))</f>
        <v>#N/A</v>
      </c>
    </row>
    <row r="1414" ht="14.25" customHeight="1">
      <c r="B1414" s="7">
        <v>42319.0</v>
      </c>
      <c r="C1414" s="7">
        <f t="shared" si="1"/>
        <v>42316</v>
      </c>
      <c r="D1414" s="1" t="str">
        <f t="array" ref="D1414">IF(ISBLANK(XLOOKUP(D$3,daily_items,XLOOKUP($C1414,daily_dates,big_daily_table))),NA(),XLOOKUP(D$3,daily_items,XLOOKUP($C1414,daily_dates,big_daily_table)))</f>
        <v>#N/A</v>
      </c>
      <c r="E1414" s="1" t="str">
        <f t="array" ref="E1414">IF(ISBLANK(XLOOKUP(E$3,daily_items,XLOOKUP($C1414,daily_dates,big_daily_table))),NA(),XLOOKUP(E$3,daily_items,XLOOKUP($C1414,daily_dates,big_daily_table)))</f>
        <v>#N/A</v>
      </c>
    </row>
    <row r="1415" ht="14.25" customHeight="1">
      <c r="B1415" s="7">
        <v>42320.0</v>
      </c>
      <c r="C1415" s="7">
        <f t="shared" si="1"/>
        <v>42316</v>
      </c>
      <c r="D1415" s="1" t="str">
        <f t="array" ref="D1415">IF(ISBLANK(XLOOKUP(D$3,daily_items,XLOOKUP($C1415,daily_dates,big_daily_table))),NA(),XLOOKUP(D$3,daily_items,XLOOKUP($C1415,daily_dates,big_daily_table)))</f>
        <v>#N/A</v>
      </c>
      <c r="E1415" s="1" t="str">
        <f t="array" ref="E1415">IF(ISBLANK(XLOOKUP(E$3,daily_items,XLOOKUP($C1415,daily_dates,big_daily_table))),NA(),XLOOKUP(E$3,daily_items,XLOOKUP($C1415,daily_dates,big_daily_table)))</f>
        <v>#N/A</v>
      </c>
    </row>
    <row r="1416" ht="14.25" customHeight="1">
      <c r="B1416" s="7">
        <v>42321.0</v>
      </c>
      <c r="C1416" s="7">
        <f t="shared" si="1"/>
        <v>42316</v>
      </c>
      <c r="D1416" s="1" t="str">
        <f t="array" ref="D1416">IF(ISBLANK(XLOOKUP(D$3,daily_items,XLOOKUP($C1416,daily_dates,big_daily_table))),NA(),XLOOKUP(D$3,daily_items,XLOOKUP($C1416,daily_dates,big_daily_table)))</f>
        <v>#N/A</v>
      </c>
      <c r="E1416" s="1" t="str">
        <f t="array" ref="E1416">IF(ISBLANK(XLOOKUP(E$3,daily_items,XLOOKUP($C1416,daily_dates,big_daily_table))),NA(),XLOOKUP(E$3,daily_items,XLOOKUP($C1416,daily_dates,big_daily_table)))</f>
        <v>#N/A</v>
      </c>
    </row>
    <row r="1417" ht="14.25" customHeight="1">
      <c r="B1417" s="7">
        <v>42322.0</v>
      </c>
      <c r="C1417" s="7">
        <f t="shared" si="1"/>
        <v>42316</v>
      </c>
      <c r="D1417" s="1" t="str">
        <f t="array" ref="D1417">IF(ISBLANK(XLOOKUP(D$3,daily_items,XLOOKUP($C1417,daily_dates,big_daily_table))),NA(),XLOOKUP(D$3,daily_items,XLOOKUP($C1417,daily_dates,big_daily_table)))</f>
        <v>#N/A</v>
      </c>
      <c r="E1417" s="1" t="str">
        <f t="array" ref="E1417">IF(ISBLANK(XLOOKUP(E$3,daily_items,XLOOKUP($C1417,daily_dates,big_daily_table))),NA(),XLOOKUP(E$3,daily_items,XLOOKUP($C1417,daily_dates,big_daily_table)))</f>
        <v>#N/A</v>
      </c>
    </row>
    <row r="1418" ht="14.25" customHeight="1">
      <c r="B1418" s="7">
        <v>42323.0</v>
      </c>
      <c r="C1418" s="7">
        <f t="shared" si="1"/>
        <v>42323</v>
      </c>
      <c r="D1418" s="1" t="str">
        <f t="array" ref="D1418">IF(ISBLANK(XLOOKUP(D$3,daily_items,XLOOKUP($C1418,daily_dates,big_daily_table))),NA(),XLOOKUP(D$3,daily_items,XLOOKUP($C1418,daily_dates,big_daily_table)))</f>
        <v>#N/A</v>
      </c>
      <c r="E1418" s="1" t="str">
        <f t="array" ref="E1418">IF(ISBLANK(XLOOKUP(E$3,daily_items,XLOOKUP($C1418,daily_dates,big_daily_table))),NA(),XLOOKUP(E$3,daily_items,XLOOKUP($C1418,daily_dates,big_daily_table)))</f>
        <v>#N/A</v>
      </c>
    </row>
    <row r="1419" ht="14.25" customHeight="1">
      <c r="B1419" s="7">
        <v>42324.0</v>
      </c>
      <c r="C1419" s="7">
        <f t="shared" si="1"/>
        <v>42323</v>
      </c>
      <c r="D1419" s="1" t="str">
        <f t="array" ref="D1419">IF(ISBLANK(XLOOKUP(D$3,daily_items,XLOOKUP($C1419,daily_dates,big_daily_table))),NA(),XLOOKUP(D$3,daily_items,XLOOKUP($C1419,daily_dates,big_daily_table)))</f>
        <v>#N/A</v>
      </c>
      <c r="E1419" s="1" t="str">
        <f t="array" ref="E1419">IF(ISBLANK(XLOOKUP(E$3,daily_items,XLOOKUP($C1419,daily_dates,big_daily_table))),NA(),XLOOKUP(E$3,daily_items,XLOOKUP($C1419,daily_dates,big_daily_table)))</f>
        <v>#N/A</v>
      </c>
    </row>
    <row r="1420" ht="14.25" customHeight="1">
      <c r="B1420" s="7">
        <v>42325.0</v>
      </c>
      <c r="C1420" s="7">
        <f t="shared" si="1"/>
        <v>42323</v>
      </c>
      <c r="D1420" s="1" t="str">
        <f t="array" ref="D1420">IF(ISBLANK(XLOOKUP(D$3,daily_items,XLOOKUP($C1420,daily_dates,big_daily_table))),NA(),XLOOKUP(D$3,daily_items,XLOOKUP($C1420,daily_dates,big_daily_table)))</f>
        <v>#N/A</v>
      </c>
      <c r="E1420" s="1" t="str">
        <f t="array" ref="E1420">IF(ISBLANK(XLOOKUP(E$3,daily_items,XLOOKUP($C1420,daily_dates,big_daily_table))),NA(),XLOOKUP(E$3,daily_items,XLOOKUP($C1420,daily_dates,big_daily_table)))</f>
        <v>#N/A</v>
      </c>
    </row>
    <row r="1421" ht="14.25" customHeight="1">
      <c r="B1421" s="7">
        <v>42326.0</v>
      </c>
      <c r="C1421" s="7">
        <f t="shared" si="1"/>
        <v>42323</v>
      </c>
      <c r="D1421" s="1" t="str">
        <f t="array" ref="D1421">IF(ISBLANK(XLOOKUP(D$3,daily_items,XLOOKUP($C1421,daily_dates,big_daily_table))),NA(),XLOOKUP(D$3,daily_items,XLOOKUP($C1421,daily_dates,big_daily_table)))</f>
        <v>#N/A</v>
      </c>
      <c r="E1421" s="1" t="str">
        <f t="array" ref="E1421">IF(ISBLANK(XLOOKUP(E$3,daily_items,XLOOKUP($C1421,daily_dates,big_daily_table))),NA(),XLOOKUP(E$3,daily_items,XLOOKUP($C1421,daily_dates,big_daily_table)))</f>
        <v>#N/A</v>
      </c>
    </row>
    <row r="1422" ht="14.25" customHeight="1">
      <c r="B1422" s="7">
        <v>42327.0</v>
      </c>
      <c r="C1422" s="7">
        <f t="shared" si="1"/>
        <v>42323</v>
      </c>
      <c r="D1422" s="1" t="str">
        <f t="array" ref="D1422">IF(ISBLANK(XLOOKUP(D$3,daily_items,XLOOKUP($C1422,daily_dates,big_daily_table))),NA(),XLOOKUP(D$3,daily_items,XLOOKUP($C1422,daily_dates,big_daily_table)))</f>
        <v>#N/A</v>
      </c>
      <c r="E1422" s="1" t="str">
        <f t="array" ref="E1422">IF(ISBLANK(XLOOKUP(E$3,daily_items,XLOOKUP($C1422,daily_dates,big_daily_table))),NA(),XLOOKUP(E$3,daily_items,XLOOKUP($C1422,daily_dates,big_daily_table)))</f>
        <v>#N/A</v>
      </c>
    </row>
    <row r="1423" ht="14.25" customHeight="1">
      <c r="B1423" s="7">
        <v>42328.0</v>
      </c>
      <c r="C1423" s="7">
        <f t="shared" si="1"/>
        <v>42323</v>
      </c>
      <c r="D1423" s="1" t="str">
        <f t="array" ref="D1423">IF(ISBLANK(XLOOKUP(D$3,daily_items,XLOOKUP($C1423,daily_dates,big_daily_table))),NA(),XLOOKUP(D$3,daily_items,XLOOKUP($C1423,daily_dates,big_daily_table)))</f>
        <v>#N/A</v>
      </c>
      <c r="E1423" s="1" t="str">
        <f t="array" ref="E1423">IF(ISBLANK(XLOOKUP(E$3,daily_items,XLOOKUP($C1423,daily_dates,big_daily_table))),NA(),XLOOKUP(E$3,daily_items,XLOOKUP($C1423,daily_dates,big_daily_table)))</f>
        <v>#N/A</v>
      </c>
    </row>
    <row r="1424" ht="14.25" customHeight="1">
      <c r="B1424" s="7">
        <v>42329.0</v>
      </c>
      <c r="C1424" s="7">
        <f t="shared" si="1"/>
        <v>42323</v>
      </c>
      <c r="D1424" s="1" t="str">
        <f t="array" ref="D1424">IF(ISBLANK(XLOOKUP(D$3,daily_items,XLOOKUP($C1424,daily_dates,big_daily_table))),NA(),XLOOKUP(D$3,daily_items,XLOOKUP($C1424,daily_dates,big_daily_table)))</f>
        <v>#N/A</v>
      </c>
      <c r="E1424" s="1" t="str">
        <f t="array" ref="E1424">IF(ISBLANK(XLOOKUP(E$3,daily_items,XLOOKUP($C1424,daily_dates,big_daily_table))),NA(),XLOOKUP(E$3,daily_items,XLOOKUP($C1424,daily_dates,big_daily_table)))</f>
        <v>#N/A</v>
      </c>
    </row>
    <row r="1425" ht="14.25" customHeight="1">
      <c r="B1425" s="7">
        <v>42330.0</v>
      </c>
      <c r="C1425" s="7">
        <f t="shared" si="1"/>
        <v>42330</v>
      </c>
      <c r="D1425" s="1" t="str">
        <f t="array" ref="D1425">IF(ISBLANK(XLOOKUP(D$3,daily_items,XLOOKUP($C1425,daily_dates,big_daily_table))),NA(),XLOOKUP(D$3,daily_items,XLOOKUP($C1425,daily_dates,big_daily_table)))</f>
        <v>#N/A</v>
      </c>
      <c r="E1425" s="1" t="str">
        <f t="array" ref="E1425">IF(ISBLANK(XLOOKUP(E$3,daily_items,XLOOKUP($C1425,daily_dates,big_daily_table))),NA(),XLOOKUP(E$3,daily_items,XLOOKUP($C1425,daily_dates,big_daily_table)))</f>
        <v>#N/A</v>
      </c>
    </row>
    <row r="1426" ht="14.25" customHeight="1">
      <c r="B1426" s="7">
        <v>42331.0</v>
      </c>
      <c r="C1426" s="7">
        <f t="shared" si="1"/>
        <v>42330</v>
      </c>
      <c r="D1426" s="1" t="str">
        <f t="array" ref="D1426">IF(ISBLANK(XLOOKUP(D$3,daily_items,XLOOKUP($C1426,daily_dates,big_daily_table))),NA(),XLOOKUP(D$3,daily_items,XLOOKUP($C1426,daily_dates,big_daily_table)))</f>
        <v>#N/A</v>
      </c>
      <c r="E1426" s="1" t="str">
        <f t="array" ref="E1426">IF(ISBLANK(XLOOKUP(E$3,daily_items,XLOOKUP($C1426,daily_dates,big_daily_table))),NA(),XLOOKUP(E$3,daily_items,XLOOKUP($C1426,daily_dates,big_daily_table)))</f>
        <v>#N/A</v>
      </c>
    </row>
    <row r="1427" ht="14.25" customHeight="1">
      <c r="B1427" s="7">
        <v>42332.0</v>
      </c>
      <c r="C1427" s="7">
        <f t="shared" si="1"/>
        <v>42330</v>
      </c>
      <c r="D1427" s="1" t="str">
        <f t="array" ref="D1427">IF(ISBLANK(XLOOKUP(D$3,daily_items,XLOOKUP($C1427,daily_dates,big_daily_table))),NA(),XLOOKUP(D$3,daily_items,XLOOKUP($C1427,daily_dates,big_daily_table)))</f>
        <v>#N/A</v>
      </c>
      <c r="E1427" s="1" t="str">
        <f t="array" ref="E1427">IF(ISBLANK(XLOOKUP(E$3,daily_items,XLOOKUP($C1427,daily_dates,big_daily_table))),NA(),XLOOKUP(E$3,daily_items,XLOOKUP($C1427,daily_dates,big_daily_table)))</f>
        <v>#N/A</v>
      </c>
    </row>
    <row r="1428" ht="14.25" customHeight="1">
      <c r="B1428" s="7">
        <v>42333.0</v>
      </c>
      <c r="C1428" s="7">
        <f t="shared" si="1"/>
        <v>42330</v>
      </c>
      <c r="D1428" s="1" t="str">
        <f t="array" ref="D1428">IF(ISBLANK(XLOOKUP(D$3,daily_items,XLOOKUP($C1428,daily_dates,big_daily_table))),NA(),XLOOKUP(D$3,daily_items,XLOOKUP($C1428,daily_dates,big_daily_table)))</f>
        <v>#N/A</v>
      </c>
      <c r="E1428" s="1" t="str">
        <f t="array" ref="E1428">IF(ISBLANK(XLOOKUP(E$3,daily_items,XLOOKUP($C1428,daily_dates,big_daily_table))),NA(),XLOOKUP(E$3,daily_items,XLOOKUP($C1428,daily_dates,big_daily_table)))</f>
        <v>#N/A</v>
      </c>
    </row>
    <row r="1429" ht="14.25" customHeight="1">
      <c r="B1429" s="7">
        <v>42334.0</v>
      </c>
      <c r="C1429" s="7">
        <f t="shared" si="1"/>
        <v>42330</v>
      </c>
      <c r="D1429" s="1" t="str">
        <f t="array" ref="D1429">IF(ISBLANK(XLOOKUP(D$3,daily_items,XLOOKUP($C1429,daily_dates,big_daily_table))),NA(),XLOOKUP(D$3,daily_items,XLOOKUP($C1429,daily_dates,big_daily_table)))</f>
        <v>#N/A</v>
      </c>
      <c r="E1429" s="1" t="str">
        <f t="array" ref="E1429">IF(ISBLANK(XLOOKUP(E$3,daily_items,XLOOKUP($C1429,daily_dates,big_daily_table))),NA(),XLOOKUP(E$3,daily_items,XLOOKUP($C1429,daily_dates,big_daily_table)))</f>
        <v>#N/A</v>
      </c>
    </row>
    <row r="1430" ht="14.25" customHeight="1">
      <c r="B1430" s="7">
        <v>42335.0</v>
      </c>
      <c r="C1430" s="7">
        <f t="shared" si="1"/>
        <v>42330</v>
      </c>
      <c r="D1430" s="1" t="str">
        <f t="array" ref="D1430">IF(ISBLANK(XLOOKUP(D$3,daily_items,XLOOKUP($C1430,daily_dates,big_daily_table))),NA(),XLOOKUP(D$3,daily_items,XLOOKUP($C1430,daily_dates,big_daily_table)))</f>
        <v>#N/A</v>
      </c>
      <c r="E1430" s="1" t="str">
        <f t="array" ref="E1430">IF(ISBLANK(XLOOKUP(E$3,daily_items,XLOOKUP($C1430,daily_dates,big_daily_table))),NA(),XLOOKUP(E$3,daily_items,XLOOKUP($C1430,daily_dates,big_daily_table)))</f>
        <v>#N/A</v>
      </c>
    </row>
    <row r="1431" ht="14.25" customHeight="1">
      <c r="B1431" s="7">
        <v>42336.0</v>
      </c>
      <c r="C1431" s="7">
        <f t="shared" si="1"/>
        <v>42330</v>
      </c>
      <c r="D1431" s="1" t="str">
        <f t="array" ref="D1431">IF(ISBLANK(XLOOKUP(D$3,daily_items,XLOOKUP($C1431,daily_dates,big_daily_table))),NA(),XLOOKUP(D$3,daily_items,XLOOKUP($C1431,daily_dates,big_daily_table)))</f>
        <v>#N/A</v>
      </c>
      <c r="E1431" s="1" t="str">
        <f t="array" ref="E1431">IF(ISBLANK(XLOOKUP(E$3,daily_items,XLOOKUP($C1431,daily_dates,big_daily_table))),NA(),XLOOKUP(E$3,daily_items,XLOOKUP($C1431,daily_dates,big_daily_table)))</f>
        <v>#N/A</v>
      </c>
    </row>
    <row r="1432" ht="14.25" customHeight="1">
      <c r="B1432" s="7">
        <v>42337.0</v>
      </c>
      <c r="C1432" s="7">
        <f t="shared" si="1"/>
        <v>42337</v>
      </c>
      <c r="D1432" s="1" t="str">
        <f t="array" ref="D1432">IF(ISBLANK(XLOOKUP(D$3,daily_items,XLOOKUP($C1432,daily_dates,big_daily_table))),NA(),XLOOKUP(D$3,daily_items,XLOOKUP($C1432,daily_dates,big_daily_table)))</f>
        <v>#N/A</v>
      </c>
      <c r="E1432" s="1" t="str">
        <f t="array" ref="E1432">IF(ISBLANK(XLOOKUP(E$3,daily_items,XLOOKUP($C1432,daily_dates,big_daily_table))),NA(),XLOOKUP(E$3,daily_items,XLOOKUP($C1432,daily_dates,big_daily_table)))</f>
        <v>#N/A</v>
      </c>
    </row>
    <row r="1433" ht="14.25" customHeight="1">
      <c r="B1433" s="7">
        <v>42338.0</v>
      </c>
      <c r="C1433" s="7">
        <f t="shared" si="1"/>
        <v>42337</v>
      </c>
      <c r="D1433" s="1" t="str">
        <f t="array" ref="D1433">IF(ISBLANK(XLOOKUP(D$3,daily_items,XLOOKUP($C1433,daily_dates,big_daily_table))),NA(),XLOOKUP(D$3,daily_items,XLOOKUP($C1433,daily_dates,big_daily_table)))</f>
        <v>#N/A</v>
      </c>
      <c r="E1433" s="1" t="str">
        <f t="array" ref="E1433">IF(ISBLANK(XLOOKUP(E$3,daily_items,XLOOKUP($C1433,daily_dates,big_daily_table))),NA(),XLOOKUP(E$3,daily_items,XLOOKUP($C1433,daily_dates,big_daily_table)))</f>
        <v>#N/A</v>
      </c>
    </row>
    <row r="1434" ht="14.25" customHeight="1">
      <c r="B1434" s="7">
        <v>42339.0</v>
      </c>
      <c r="C1434" s="7">
        <f t="shared" si="1"/>
        <v>42337</v>
      </c>
      <c r="D1434" s="1" t="str">
        <f t="array" ref="D1434">IF(ISBLANK(XLOOKUP(D$3,daily_items,XLOOKUP($C1434,daily_dates,big_daily_table))),NA(),XLOOKUP(D$3,daily_items,XLOOKUP($C1434,daily_dates,big_daily_table)))</f>
        <v>#N/A</v>
      </c>
      <c r="E1434" s="1" t="str">
        <f t="array" ref="E1434">IF(ISBLANK(XLOOKUP(E$3,daily_items,XLOOKUP($C1434,daily_dates,big_daily_table))),NA(),XLOOKUP(E$3,daily_items,XLOOKUP($C1434,daily_dates,big_daily_table)))</f>
        <v>#N/A</v>
      </c>
    </row>
    <row r="1435" ht="14.25" customHeight="1">
      <c r="B1435" s="7">
        <v>42340.0</v>
      </c>
      <c r="C1435" s="7">
        <f t="shared" si="1"/>
        <v>42337</v>
      </c>
      <c r="D1435" s="1" t="str">
        <f t="array" ref="D1435">IF(ISBLANK(XLOOKUP(D$3,daily_items,XLOOKUP($C1435,daily_dates,big_daily_table))),NA(),XLOOKUP(D$3,daily_items,XLOOKUP($C1435,daily_dates,big_daily_table)))</f>
        <v>#N/A</v>
      </c>
      <c r="E1435" s="1" t="str">
        <f t="array" ref="E1435">IF(ISBLANK(XLOOKUP(E$3,daily_items,XLOOKUP($C1435,daily_dates,big_daily_table))),NA(),XLOOKUP(E$3,daily_items,XLOOKUP($C1435,daily_dates,big_daily_table)))</f>
        <v>#N/A</v>
      </c>
    </row>
    <row r="1436" ht="14.25" customHeight="1">
      <c r="B1436" s="7">
        <v>42341.0</v>
      </c>
      <c r="C1436" s="7">
        <f t="shared" si="1"/>
        <v>42337</v>
      </c>
      <c r="D1436" s="1" t="str">
        <f t="array" ref="D1436">IF(ISBLANK(XLOOKUP(D$3,daily_items,XLOOKUP($C1436,daily_dates,big_daily_table))),NA(),XLOOKUP(D$3,daily_items,XLOOKUP($C1436,daily_dates,big_daily_table)))</f>
        <v>#N/A</v>
      </c>
      <c r="E1436" s="1" t="str">
        <f t="array" ref="E1436">IF(ISBLANK(XLOOKUP(E$3,daily_items,XLOOKUP($C1436,daily_dates,big_daily_table))),NA(),XLOOKUP(E$3,daily_items,XLOOKUP($C1436,daily_dates,big_daily_table)))</f>
        <v>#N/A</v>
      </c>
    </row>
    <row r="1437" ht="14.25" customHeight="1">
      <c r="B1437" s="7">
        <v>42342.0</v>
      </c>
      <c r="C1437" s="7">
        <f t="shared" si="1"/>
        <v>42337</v>
      </c>
      <c r="D1437" s="1" t="str">
        <f t="array" ref="D1437">IF(ISBLANK(XLOOKUP(D$3,daily_items,XLOOKUP($C1437,daily_dates,big_daily_table))),NA(),XLOOKUP(D$3,daily_items,XLOOKUP($C1437,daily_dates,big_daily_table)))</f>
        <v>#N/A</v>
      </c>
      <c r="E1437" s="1" t="str">
        <f t="array" ref="E1437">IF(ISBLANK(XLOOKUP(E$3,daily_items,XLOOKUP($C1437,daily_dates,big_daily_table))),NA(),XLOOKUP(E$3,daily_items,XLOOKUP($C1437,daily_dates,big_daily_table)))</f>
        <v>#N/A</v>
      </c>
    </row>
    <row r="1438" ht="14.25" customHeight="1">
      <c r="B1438" s="7">
        <v>42343.0</v>
      </c>
      <c r="C1438" s="7">
        <f t="shared" si="1"/>
        <v>42337</v>
      </c>
      <c r="D1438" s="1" t="str">
        <f t="array" ref="D1438">IF(ISBLANK(XLOOKUP(D$3,daily_items,XLOOKUP($C1438,daily_dates,big_daily_table))),NA(),XLOOKUP(D$3,daily_items,XLOOKUP($C1438,daily_dates,big_daily_table)))</f>
        <v>#N/A</v>
      </c>
      <c r="E1438" s="1" t="str">
        <f t="array" ref="E1438">IF(ISBLANK(XLOOKUP(E$3,daily_items,XLOOKUP($C1438,daily_dates,big_daily_table))),NA(),XLOOKUP(E$3,daily_items,XLOOKUP($C1438,daily_dates,big_daily_table)))</f>
        <v>#N/A</v>
      </c>
    </row>
    <row r="1439" ht="14.25" customHeight="1">
      <c r="B1439" s="7">
        <v>42344.0</v>
      </c>
      <c r="C1439" s="7">
        <f t="shared" si="1"/>
        <v>42344</v>
      </c>
      <c r="D1439" s="1" t="str">
        <f t="array" ref="D1439">IF(ISBLANK(XLOOKUP(D$3,daily_items,XLOOKUP($C1439,daily_dates,big_daily_table))),NA(),XLOOKUP(D$3,daily_items,XLOOKUP($C1439,daily_dates,big_daily_table)))</f>
        <v>#N/A</v>
      </c>
      <c r="E1439" s="1" t="str">
        <f t="array" ref="E1439">IF(ISBLANK(XLOOKUP(E$3,daily_items,XLOOKUP($C1439,daily_dates,big_daily_table))),NA(),XLOOKUP(E$3,daily_items,XLOOKUP($C1439,daily_dates,big_daily_table)))</f>
        <v>#N/A</v>
      </c>
    </row>
    <row r="1440" ht="14.25" customHeight="1">
      <c r="B1440" s="7">
        <v>42345.0</v>
      </c>
      <c r="C1440" s="7">
        <f t="shared" si="1"/>
        <v>42344</v>
      </c>
      <c r="D1440" s="1" t="str">
        <f t="array" ref="D1440">IF(ISBLANK(XLOOKUP(D$3,daily_items,XLOOKUP($C1440,daily_dates,big_daily_table))),NA(),XLOOKUP(D$3,daily_items,XLOOKUP($C1440,daily_dates,big_daily_table)))</f>
        <v>#N/A</v>
      </c>
      <c r="E1440" s="1" t="str">
        <f t="array" ref="E1440">IF(ISBLANK(XLOOKUP(E$3,daily_items,XLOOKUP($C1440,daily_dates,big_daily_table))),NA(),XLOOKUP(E$3,daily_items,XLOOKUP($C1440,daily_dates,big_daily_table)))</f>
        <v>#N/A</v>
      </c>
    </row>
    <row r="1441" ht="14.25" customHeight="1">
      <c r="B1441" s="7">
        <v>42346.0</v>
      </c>
      <c r="C1441" s="7">
        <f t="shared" si="1"/>
        <v>42344</v>
      </c>
      <c r="D1441" s="1" t="str">
        <f t="array" ref="D1441">IF(ISBLANK(XLOOKUP(D$3,daily_items,XLOOKUP($C1441,daily_dates,big_daily_table))),NA(),XLOOKUP(D$3,daily_items,XLOOKUP($C1441,daily_dates,big_daily_table)))</f>
        <v>#N/A</v>
      </c>
      <c r="E1441" s="1" t="str">
        <f t="array" ref="E1441">IF(ISBLANK(XLOOKUP(E$3,daily_items,XLOOKUP($C1441,daily_dates,big_daily_table))),NA(),XLOOKUP(E$3,daily_items,XLOOKUP($C1441,daily_dates,big_daily_table)))</f>
        <v>#N/A</v>
      </c>
    </row>
    <row r="1442" ht="14.25" customHeight="1">
      <c r="B1442" s="7">
        <v>42347.0</v>
      </c>
      <c r="C1442" s="7">
        <f t="shared" si="1"/>
        <v>42344</v>
      </c>
      <c r="D1442" s="1" t="str">
        <f t="array" ref="D1442">IF(ISBLANK(XLOOKUP(D$3,daily_items,XLOOKUP($C1442,daily_dates,big_daily_table))),NA(),XLOOKUP(D$3,daily_items,XLOOKUP($C1442,daily_dates,big_daily_table)))</f>
        <v>#N/A</v>
      </c>
      <c r="E1442" s="1" t="str">
        <f t="array" ref="E1442">IF(ISBLANK(XLOOKUP(E$3,daily_items,XLOOKUP($C1442,daily_dates,big_daily_table))),NA(),XLOOKUP(E$3,daily_items,XLOOKUP($C1442,daily_dates,big_daily_table)))</f>
        <v>#N/A</v>
      </c>
    </row>
    <row r="1443" ht="14.25" customHeight="1">
      <c r="B1443" s="7">
        <v>42348.0</v>
      </c>
      <c r="C1443" s="7">
        <f t="shared" si="1"/>
        <v>42344</v>
      </c>
      <c r="D1443" s="1" t="str">
        <f t="array" ref="D1443">IF(ISBLANK(XLOOKUP(D$3,daily_items,XLOOKUP($C1443,daily_dates,big_daily_table))),NA(),XLOOKUP(D$3,daily_items,XLOOKUP($C1443,daily_dates,big_daily_table)))</f>
        <v>#N/A</v>
      </c>
      <c r="E1443" s="1" t="str">
        <f t="array" ref="E1443">IF(ISBLANK(XLOOKUP(E$3,daily_items,XLOOKUP($C1443,daily_dates,big_daily_table))),NA(),XLOOKUP(E$3,daily_items,XLOOKUP($C1443,daily_dates,big_daily_table)))</f>
        <v>#N/A</v>
      </c>
    </row>
    <row r="1444" ht="14.25" customHeight="1">
      <c r="B1444" s="7">
        <v>42349.0</v>
      </c>
      <c r="C1444" s="7">
        <f t="shared" si="1"/>
        <v>42344</v>
      </c>
      <c r="D1444" s="1" t="str">
        <f t="array" ref="D1444">IF(ISBLANK(XLOOKUP(D$3,daily_items,XLOOKUP($C1444,daily_dates,big_daily_table))),NA(),XLOOKUP(D$3,daily_items,XLOOKUP($C1444,daily_dates,big_daily_table)))</f>
        <v>#N/A</v>
      </c>
      <c r="E1444" s="1" t="str">
        <f t="array" ref="E1444">IF(ISBLANK(XLOOKUP(E$3,daily_items,XLOOKUP($C1444,daily_dates,big_daily_table))),NA(),XLOOKUP(E$3,daily_items,XLOOKUP($C1444,daily_dates,big_daily_table)))</f>
        <v>#N/A</v>
      </c>
    </row>
    <row r="1445" ht="14.25" customHeight="1">
      <c r="B1445" s="7">
        <v>42350.0</v>
      </c>
      <c r="C1445" s="7">
        <f t="shared" si="1"/>
        <v>42344</v>
      </c>
      <c r="D1445" s="1" t="str">
        <f t="array" ref="D1445">IF(ISBLANK(XLOOKUP(D$3,daily_items,XLOOKUP($C1445,daily_dates,big_daily_table))),NA(),XLOOKUP(D$3,daily_items,XLOOKUP($C1445,daily_dates,big_daily_table)))</f>
        <v>#N/A</v>
      </c>
      <c r="E1445" s="1" t="str">
        <f t="array" ref="E1445">IF(ISBLANK(XLOOKUP(E$3,daily_items,XLOOKUP($C1445,daily_dates,big_daily_table))),NA(),XLOOKUP(E$3,daily_items,XLOOKUP($C1445,daily_dates,big_daily_table)))</f>
        <v>#N/A</v>
      </c>
    </row>
    <row r="1446" ht="14.25" customHeight="1">
      <c r="B1446" s="7">
        <v>42351.0</v>
      </c>
      <c r="C1446" s="7">
        <f t="shared" si="1"/>
        <v>42351</v>
      </c>
      <c r="D1446" s="1" t="str">
        <f t="array" ref="D1446">IF(ISBLANK(XLOOKUP(D$3,daily_items,XLOOKUP($C1446,daily_dates,big_daily_table))),NA(),XLOOKUP(D$3,daily_items,XLOOKUP($C1446,daily_dates,big_daily_table)))</f>
        <v>#N/A</v>
      </c>
      <c r="E1446" s="1" t="str">
        <f t="array" ref="E1446">IF(ISBLANK(XLOOKUP(E$3,daily_items,XLOOKUP($C1446,daily_dates,big_daily_table))),NA(),XLOOKUP(E$3,daily_items,XLOOKUP($C1446,daily_dates,big_daily_table)))</f>
        <v>#N/A</v>
      </c>
    </row>
    <row r="1447" ht="14.25" customHeight="1">
      <c r="B1447" s="7">
        <v>42352.0</v>
      </c>
      <c r="C1447" s="7">
        <f t="shared" si="1"/>
        <v>42351</v>
      </c>
      <c r="D1447" s="1" t="str">
        <f t="array" ref="D1447">IF(ISBLANK(XLOOKUP(D$3,daily_items,XLOOKUP($C1447,daily_dates,big_daily_table))),NA(),XLOOKUP(D$3,daily_items,XLOOKUP($C1447,daily_dates,big_daily_table)))</f>
        <v>#N/A</v>
      </c>
      <c r="E1447" s="1" t="str">
        <f t="array" ref="E1447">IF(ISBLANK(XLOOKUP(E$3,daily_items,XLOOKUP($C1447,daily_dates,big_daily_table))),NA(),XLOOKUP(E$3,daily_items,XLOOKUP($C1447,daily_dates,big_daily_table)))</f>
        <v>#N/A</v>
      </c>
    </row>
    <row r="1448" ht="14.25" customHeight="1">
      <c r="B1448" s="7">
        <v>42353.0</v>
      </c>
      <c r="C1448" s="7">
        <f t="shared" si="1"/>
        <v>42351</v>
      </c>
      <c r="D1448" s="1" t="str">
        <f t="array" ref="D1448">IF(ISBLANK(XLOOKUP(D$3,daily_items,XLOOKUP($C1448,daily_dates,big_daily_table))),NA(),XLOOKUP(D$3,daily_items,XLOOKUP($C1448,daily_dates,big_daily_table)))</f>
        <v>#N/A</v>
      </c>
      <c r="E1448" s="1" t="str">
        <f t="array" ref="E1448">IF(ISBLANK(XLOOKUP(E$3,daily_items,XLOOKUP($C1448,daily_dates,big_daily_table))),NA(),XLOOKUP(E$3,daily_items,XLOOKUP($C1448,daily_dates,big_daily_table)))</f>
        <v>#N/A</v>
      </c>
    </row>
    <row r="1449" ht="14.25" customHeight="1">
      <c r="B1449" s="7">
        <v>42354.0</v>
      </c>
      <c r="C1449" s="7">
        <f t="shared" si="1"/>
        <v>42351</v>
      </c>
      <c r="D1449" s="1" t="str">
        <f t="array" ref="D1449">IF(ISBLANK(XLOOKUP(D$3,daily_items,XLOOKUP($C1449,daily_dates,big_daily_table))),NA(),XLOOKUP(D$3,daily_items,XLOOKUP($C1449,daily_dates,big_daily_table)))</f>
        <v>#N/A</v>
      </c>
      <c r="E1449" s="1" t="str">
        <f t="array" ref="E1449">IF(ISBLANK(XLOOKUP(E$3,daily_items,XLOOKUP($C1449,daily_dates,big_daily_table))),NA(),XLOOKUP(E$3,daily_items,XLOOKUP($C1449,daily_dates,big_daily_table)))</f>
        <v>#N/A</v>
      </c>
    </row>
    <row r="1450" ht="14.25" customHeight="1">
      <c r="B1450" s="7">
        <v>42355.0</v>
      </c>
      <c r="C1450" s="7">
        <f t="shared" si="1"/>
        <v>42351</v>
      </c>
      <c r="D1450" s="1" t="str">
        <f t="array" ref="D1450">IF(ISBLANK(XLOOKUP(D$3,daily_items,XLOOKUP($C1450,daily_dates,big_daily_table))),NA(),XLOOKUP(D$3,daily_items,XLOOKUP($C1450,daily_dates,big_daily_table)))</f>
        <v>#N/A</v>
      </c>
      <c r="E1450" s="1" t="str">
        <f t="array" ref="E1450">IF(ISBLANK(XLOOKUP(E$3,daily_items,XLOOKUP($C1450,daily_dates,big_daily_table))),NA(),XLOOKUP(E$3,daily_items,XLOOKUP($C1450,daily_dates,big_daily_table)))</f>
        <v>#N/A</v>
      </c>
    </row>
    <row r="1451" ht="14.25" customHeight="1">
      <c r="B1451" s="7">
        <v>42356.0</v>
      </c>
      <c r="C1451" s="7">
        <f t="shared" si="1"/>
        <v>42351</v>
      </c>
      <c r="D1451" s="1" t="str">
        <f t="array" ref="D1451">IF(ISBLANK(XLOOKUP(D$3,daily_items,XLOOKUP($C1451,daily_dates,big_daily_table))),NA(),XLOOKUP(D$3,daily_items,XLOOKUP($C1451,daily_dates,big_daily_table)))</f>
        <v>#N/A</v>
      </c>
      <c r="E1451" s="1" t="str">
        <f t="array" ref="E1451">IF(ISBLANK(XLOOKUP(E$3,daily_items,XLOOKUP($C1451,daily_dates,big_daily_table))),NA(),XLOOKUP(E$3,daily_items,XLOOKUP($C1451,daily_dates,big_daily_table)))</f>
        <v>#N/A</v>
      </c>
    </row>
    <row r="1452" ht="14.25" customHeight="1">
      <c r="B1452" s="7">
        <v>42357.0</v>
      </c>
      <c r="C1452" s="7">
        <f t="shared" si="1"/>
        <v>42351</v>
      </c>
      <c r="D1452" s="1" t="str">
        <f t="array" ref="D1452">IF(ISBLANK(XLOOKUP(D$3,daily_items,XLOOKUP($C1452,daily_dates,big_daily_table))),NA(),XLOOKUP(D$3,daily_items,XLOOKUP($C1452,daily_dates,big_daily_table)))</f>
        <v>#N/A</v>
      </c>
      <c r="E1452" s="1" t="str">
        <f t="array" ref="E1452">IF(ISBLANK(XLOOKUP(E$3,daily_items,XLOOKUP($C1452,daily_dates,big_daily_table))),NA(),XLOOKUP(E$3,daily_items,XLOOKUP($C1452,daily_dates,big_daily_table)))</f>
        <v>#N/A</v>
      </c>
    </row>
    <row r="1453" ht="14.25" customHeight="1">
      <c r="B1453" s="7">
        <v>42358.0</v>
      </c>
      <c r="C1453" s="7">
        <f t="shared" si="1"/>
        <v>42358</v>
      </c>
      <c r="D1453" s="1" t="str">
        <f t="array" ref="D1453">IF(ISBLANK(XLOOKUP(D$3,daily_items,XLOOKUP($C1453,daily_dates,big_daily_table))),NA(),XLOOKUP(D$3,daily_items,XLOOKUP($C1453,daily_dates,big_daily_table)))</f>
        <v>#N/A</v>
      </c>
      <c r="E1453" s="1" t="str">
        <f t="array" ref="E1453">IF(ISBLANK(XLOOKUP(E$3,daily_items,XLOOKUP($C1453,daily_dates,big_daily_table))),NA(),XLOOKUP(E$3,daily_items,XLOOKUP($C1453,daily_dates,big_daily_table)))</f>
        <v>#N/A</v>
      </c>
    </row>
    <row r="1454" ht="14.25" customHeight="1">
      <c r="B1454" s="7">
        <v>42359.0</v>
      </c>
      <c r="C1454" s="7">
        <f t="shared" si="1"/>
        <v>42358</v>
      </c>
      <c r="D1454" s="1" t="str">
        <f t="array" ref="D1454">IF(ISBLANK(XLOOKUP(D$3,daily_items,XLOOKUP($C1454,daily_dates,big_daily_table))),NA(),XLOOKUP(D$3,daily_items,XLOOKUP($C1454,daily_dates,big_daily_table)))</f>
        <v>#N/A</v>
      </c>
      <c r="E1454" s="1" t="str">
        <f t="array" ref="E1454">IF(ISBLANK(XLOOKUP(E$3,daily_items,XLOOKUP($C1454,daily_dates,big_daily_table))),NA(),XLOOKUP(E$3,daily_items,XLOOKUP($C1454,daily_dates,big_daily_table)))</f>
        <v>#N/A</v>
      </c>
    </row>
    <row r="1455" ht="14.25" customHeight="1">
      <c r="B1455" s="7">
        <v>42360.0</v>
      </c>
      <c r="C1455" s="7">
        <f t="shared" si="1"/>
        <v>42358</v>
      </c>
      <c r="D1455" s="1" t="str">
        <f t="array" ref="D1455">IF(ISBLANK(XLOOKUP(D$3,daily_items,XLOOKUP($C1455,daily_dates,big_daily_table))),NA(),XLOOKUP(D$3,daily_items,XLOOKUP($C1455,daily_dates,big_daily_table)))</f>
        <v>#N/A</v>
      </c>
      <c r="E1455" s="1" t="str">
        <f t="array" ref="E1455">IF(ISBLANK(XLOOKUP(E$3,daily_items,XLOOKUP($C1455,daily_dates,big_daily_table))),NA(),XLOOKUP(E$3,daily_items,XLOOKUP($C1455,daily_dates,big_daily_table)))</f>
        <v>#N/A</v>
      </c>
    </row>
    <row r="1456" ht="14.25" customHeight="1">
      <c r="B1456" s="7">
        <v>42361.0</v>
      </c>
      <c r="C1456" s="7">
        <f t="shared" si="1"/>
        <v>42358</v>
      </c>
      <c r="D1456" s="1" t="str">
        <f t="array" ref="D1456">IF(ISBLANK(XLOOKUP(D$3,daily_items,XLOOKUP($C1456,daily_dates,big_daily_table))),NA(),XLOOKUP(D$3,daily_items,XLOOKUP($C1456,daily_dates,big_daily_table)))</f>
        <v>#N/A</v>
      </c>
      <c r="E1456" s="1" t="str">
        <f t="array" ref="E1456">IF(ISBLANK(XLOOKUP(E$3,daily_items,XLOOKUP($C1456,daily_dates,big_daily_table))),NA(),XLOOKUP(E$3,daily_items,XLOOKUP($C1456,daily_dates,big_daily_table)))</f>
        <v>#N/A</v>
      </c>
    </row>
    <row r="1457" ht="14.25" customHeight="1">
      <c r="B1457" s="7">
        <v>42362.0</v>
      </c>
      <c r="C1457" s="7">
        <f t="shared" si="1"/>
        <v>42358</v>
      </c>
      <c r="D1457" s="1" t="str">
        <f t="array" ref="D1457">IF(ISBLANK(XLOOKUP(D$3,daily_items,XLOOKUP($C1457,daily_dates,big_daily_table))),NA(),XLOOKUP(D$3,daily_items,XLOOKUP($C1457,daily_dates,big_daily_table)))</f>
        <v>#N/A</v>
      </c>
      <c r="E1457" s="1" t="str">
        <f t="array" ref="E1457">IF(ISBLANK(XLOOKUP(E$3,daily_items,XLOOKUP($C1457,daily_dates,big_daily_table))),NA(),XLOOKUP(E$3,daily_items,XLOOKUP($C1457,daily_dates,big_daily_table)))</f>
        <v>#N/A</v>
      </c>
    </row>
    <row r="1458" ht="14.25" customHeight="1">
      <c r="B1458" s="7">
        <v>42363.0</v>
      </c>
      <c r="C1458" s="7">
        <f t="shared" si="1"/>
        <v>42358</v>
      </c>
      <c r="D1458" s="1" t="str">
        <f t="array" ref="D1458">IF(ISBLANK(XLOOKUP(D$3,daily_items,XLOOKUP($C1458,daily_dates,big_daily_table))),NA(),XLOOKUP(D$3,daily_items,XLOOKUP($C1458,daily_dates,big_daily_table)))</f>
        <v>#N/A</v>
      </c>
      <c r="E1458" s="1" t="str">
        <f t="array" ref="E1458">IF(ISBLANK(XLOOKUP(E$3,daily_items,XLOOKUP($C1458,daily_dates,big_daily_table))),NA(),XLOOKUP(E$3,daily_items,XLOOKUP($C1458,daily_dates,big_daily_table)))</f>
        <v>#N/A</v>
      </c>
    </row>
    <row r="1459" ht="14.25" customHeight="1">
      <c r="B1459" s="7">
        <v>42364.0</v>
      </c>
      <c r="C1459" s="7">
        <f t="shared" si="1"/>
        <v>42358</v>
      </c>
      <c r="D1459" s="1" t="str">
        <f t="array" ref="D1459">IF(ISBLANK(XLOOKUP(D$3,daily_items,XLOOKUP($C1459,daily_dates,big_daily_table))),NA(),XLOOKUP(D$3,daily_items,XLOOKUP($C1459,daily_dates,big_daily_table)))</f>
        <v>#N/A</v>
      </c>
      <c r="E1459" s="1" t="str">
        <f t="array" ref="E1459">IF(ISBLANK(XLOOKUP(E$3,daily_items,XLOOKUP($C1459,daily_dates,big_daily_table))),NA(),XLOOKUP(E$3,daily_items,XLOOKUP($C1459,daily_dates,big_daily_table)))</f>
        <v>#N/A</v>
      </c>
    </row>
    <row r="1460" ht="14.25" customHeight="1">
      <c r="B1460" s="7">
        <v>42365.0</v>
      </c>
      <c r="C1460" s="7">
        <f t="shared" si="1"/>
        <v>42365</v>
      </c>
      <c r="D1460" s="1" t="str">
        <f t="array" ref="D1460">IF(ISBLANK(XLOOKUP(D$3,daily_items,XLOOKUP($C1460,daily_dates,big_daily_table))),NA(),XLOOKUP(D$3,daily_items,XLOOKUP($C1460,daily_dates,big_daily_table)))</f>
        <v>#N/A</v>
      </c>
      <c r="E1460" s="1" t="str">
        <f t="array" ref="E1460">IF(ISBLANK(XLOOKUP(E$3,daily_items,XLOOKUP($C1460,daily_dates,big_daily_table))),NA(),XLOOKUP(E$3,daily_items,XLOOKUP($C1460,daily_dates,big_daily_table)))</f>
        <v>#N/A</v>
      </c>
    </row>
    <row r="1461" ht="14.25" customHeight="1">
      <c r="B1461" s="7">
        <v>42366.0</v>
      </c>
      <c r="C1461" s="7">
        <f t="shared" si="1"/>
        <v>42365</v>
      </c>
      <c r="D1461" s="1" t="str">
        <f t="array" ref="D1461">IF(ISBLANK(XLOOKUP(D$3,daily_items,XLOOKUP($C1461,daily_dates,big_daily_table))),NA(),XLOOKUP(D$3,daily_items,XLOOKUP($C1461,daily_dates,big_daily_table)))</f>
        <v>#N/A</v>
      </c>
      <c r="E1461" s="1" t="str">
        <f t="array" ref="E1461">IF(ISBLANK(XLOOKUP(E$3,daily_items,XLOOKUP($C1461,daily_dates,big_daily_table))),NA(),XLOOKUP(E$3,daily_items,XLOOKUP($C1461,daily_dates,big_daily_table)))</f>
        <v>#N/A</v>
      </c>
    </row>
    <row r="1462" ht="14.25" customHeight="1">
      <c r="B1462" s="7">
        <v>42367.0</v>
      </c>
      <c r="C1462" s="7">
        <f t="shared" si="1"/>
        <v>42365</v>
      </c>
      <c r="D1462" s="1" t="str">
        <f t="array" ref="D1462">IF(ISBLANK(XLOOKUP(D$3,daily_items,XLOOKUP($C1462,daily_dates,big_daily_table))),NA(),XLOOKUP(D$3,daily_items,XLOOKUP($C1462,daily_dates,big_daily_table)))</f>
        <v>#N/A</v>
      </c>
      <c r="E1462" s="1" t="str">
        <f t="array" ref="E1462">IF(ISBLANK(XLOOKUP(E$3,daily_items,XLOOKUP($C1462,daily_dates,big_daily_table))),NA(),XLOOKUP(E$3,daily_items,XLOOKUP($C1462,daily_dates,big_daily_table)))</f>
        <v>#N/A</v>
      </c>
    </row>
    <row r="1463" ht="14.25" customHeight="1">
      <c r="B1463" s="7">
        <v>42368.0</v>
      </c>
      <c r="C1463" s="7">
        <f t="shared" si="1"/>
        <v>42365</v>
      </c>
      <c r="D1463" s="1" t="str">
        <f t="array" ref="D1463">IF(ISBLANK(XLOOKUP(D$3,daily_items,XLOOKUP($C1463,daily_dates,big_daily_table))),NA(),XLOOKUP(D$3,daily_items,XLOOKUP($C1463,daily_dates,big_daily_table)))</f>
        <v>#N/A</v>
      </c>
      <c r="E1463" s="1" t="str">
        <f t="array" ref="E1463">IF(ISBLANK(XLOOKUP(E$3,daily_items,XLOOKUP($C1463,daily_dates,big_daily_table))),NA(),XLOOKUP(E$3,daily_items,XLOOKUP($C1463,daily_dates,big_daily_table)))</f>
        <v>#N/A</v>
      </c>
    </row>
    <row r="1464" ht="14.25" customHeight="1">
      <c r="B1464" s="7">
        <v>42369.0</v>
      </c>
      <c r="C1464" s="7">
        <f t="shared" si="1"/>
        <v>42365</v>
      </c>
      <c r="D1464" s="1" t="str">
        <f t="array" ref="D1464">IF(ISBLANK(XLOOKUP(D$3,daily_items,XLOOKUP($C1464,daily_dates,big_daily_table))),NA(),XLOOKUP(D$3,daily_items,XLOOKUP($C1464,daily_dates,big_daily_table)))</f>
        <v>#N/A</v>
      </c>
      <c r="E1464" s="1" t="str">
        <f t="array" ref="E1464">IF(ISBLANK(XLOOKUP(E$3,daily_items,XLOOKUP($C1464,daily_dates,big_daily_table))),NA(),XLOOKUP(E$3,daily_items,XLOOKUP($C1464,daily_dates,big_daily_table)))</f>
        <v>#N/A</v>
      </c>
    </row>
    <row r="1465" ht="14.25" customHeight="1">
      <c r="B1465" s="7">
        <v>42370.0</v>
      </c>
      <c r="C1465" s="7">
        <f t="shared" si="1"/>
        <v>42365</v>
      </c>
      <c r="D1465" s="1" t="str">
        <f t="array" ref="D1465">IF(ISBLANK(XLOOKUP(D$3,daily_items,XLOOKUP($C1465,daily_dates,big_daily_table))),NA(),XLOOKUP(D$3,daily_items,XLOOKUP($C1465,daily_dates,big_daily_table)))</f>
        <v>#N/A</v>
      </c>
      <c r="E1465" s="1" t="str">
        <f t="array" ref="E1465">IF(ISBLANK(XLOOKUP(E$3,daily_items,XLOOKUP($C1465,daily_dates,big_daily_table))),NA(),XLOOKUP(E$3,daily_items,XLOOKUP($C1465,daily_dates,big_daily_table)))</f>
        <v>#N/A</v>
      </c>
    </row>
    <row r="1466" ht="14.25" customHeight="1">
      <c r="B1466" s="7">
        <v>42371.0</v>
      </c>
      <c r="C1466" s="7">
        <f t="shared" si="1"/>
        <v>42365</v>
      </c>
      <c r="D1466" s="1" t="str">
        <f t="array" ref="D1466">IF(ISBLANK(XLOOKUP(D$3,daily_items,XLOOKUP($C1466,daily_dates,big_daily_table))),NA(),XLOOKUP(D$3,daily_items,XLOOKUP($C1466,daily_dates,big_daily_table)))</f>
        <v>#N/A</v>
      </c>
      <c r="E1466" s="1" t="str">
        <f t="array" ref="E1466">IF(ISBLANK(XLOOKUP(E$3,daily_items,XLOOKUP($C1466,daily_dates,big_daily_table))),NA(),XLOOKUP(E$3,daily_items,XLOOKUP($C1466,daily_dates,big_daily_table)))</f>
        <v>#N/A</v>
      </c>
    </row>
    <row r="1467" ht="14.25" customHeight="1">
      <c r="B1467" s="7">
        <v>42372.0</v>
      </c>
      <c r="C1467" s="7">
        <f t="shared" si="1"/>
        <v>42372</v>
      </c>
      <c r="D1467" s="1" t="str">
        <f t="array" ref="D1467">IF(ISBLANK(XLOOKUP(D$3,daily_items,XLOOKUP($C1467,daily_dates,big_daily_table))),NA(),XLOOKUP(D$3,daily_items,XLOOKUP($C1467,daily_dates,big_daily_table)))</f>
        <v>#N/A</v>
      </c>
      <c r="E1467" s="1" t="str">
        <f t="array" ref="E1467">IF(ISBLANK(XLOOKUP(E$3,daily_items,XLOOKUP($C1467,daily_dates,big_daily_table))),NA(),XLOOKUP(E$3,daily_items,XLOOKUP($C1467,daily_dates,big_daily_table)))</f>
        <v>#N/A</v>
      </c>
    </row>
    <row r="1468" ht="14.25" customHeight="1">
      <c r="B1468" s="7">
        <v>42373.0</v>
      </c>
      <c r="C1468" s="7">
        <f t="shared" si="1"/>
        <v>42372</v>
      </c>
      <c r="D1468" s="1" t="str">
        <f t="array" ref="D1468">IF(ISBLANK(XLOOKUP(D$3,daily_items,XLOOKUP($C1468,daily_dates,big_daily_table))),NA(),XLOOKUP(D$3,daily_items,XLOOKUP($C1468,daily_dates,big_daily_table)))</f>
        <v>#N/A</v>
      </c>
      <c r="E1468" s="1" t="str">
        <f t="array" ref="E1468">IF(ISBLANK(XLOOKUP(E$3,daily_items,XLOOKUP($C1468,daily_dates,big_daily_table))),NA(),XLOOKUP(E$3,daily_items,XLOOKUP($C1468,daily_dates,big_daily_table)))</f>
        <v>#N/A</v>
      </c>
    </row>
    <row r="1469" ht="14.25" customHeight="1">
      <c r="B1469" s="7">
        <v>42374.0</v>
      </c>
      <c r="C1469" s="7">
        <f t="shared" si="1"/>
        <v>42372</v>
      </c>
      <c r="D1469" s="1" t="str">
        <f t="array" ref="D1469">IF(ISBLANK(XLOOKUP(D$3,daily_items,XLOOKUP($C1469,daily_dates,big_daily_table))),NA(),XLOOKUP(D$3,daily_items,XLOOKUP($C1469,daily_dates,big_daily_table)))</f>
        <v>#N/A</v>
      </c>
      <c r="E1469" s="1" t="str">
        <f t="array" ref="E1469">IF(ISBLANK(XLOOKUP(E$3,daily_items,XLOOKUP($C1469,daily_dates,big_daily_table))),NA(),XLOOKUP(E$3,daily_items,XLOOKUP($C1469,daily_dates,big_daily_table)))</f>
        <v>#N/A</v>
      </c>
    </row>
    <row r="1470" ht="14.25" customHeight="1">
      <c r="B1470" s="7">
        <v>42375.0</v>
      </c>
      <c r="C1470" s="7">
        <f t="shared" si="1"/>
        <v>42372</v>
      </c>
      <c r="D1470" s="1" t="str">
        <f t="array" ref="D1470">IF(ISBLANK(XLOOKUP(D$3,daily_items,XLOOKUP($C1470,daily_dates,big_daily_table))),NA(),XLOOKUP(D$3,daily_items,XLOOKUP($C1470,daily_dates,big_daily_table)))</f>
        <v>#N/A</v>
      </c>
      <c r="E1470" s="1" t="str">
        <f t="array" ref="E1470">IF(ISBLANK(XLOOKUP(E$3,daily_items,XLOOKUP($C1470,daily_dates,big_daily_table))),NA(),XLOOKUP(E$3,daily_items,XLOOKUP($C1470,daily_dates,big_daily_table)))</f>
        <v>#N/A</v>
      </c>
    </row>
    <row r="1471" ht="14.25" customHeight="1">
      <c r="B1471" s="7">
        <v>42376.0</v>
      </c>
      <c r="C1471" s="7">
        <f t="shared" si="1"/>
        <v>42372</v>
      </c>
      <c r="D1471" s="1" t="str">
        <f t="array" ref="D1471">IF(ISBLANK(XLOOKUP(D$3,daily_items,XLOOKUP($C1471,daily_dates,big_daily_table))),NA(),XLOOKUP(D$3,daily_items,XLOOKUP($C1471,daily_dates,big_daily_table)))</f>
        <v>#N/A</v>
      </c>
      <c r="E1471" s="1" t="str">
        <f t="array" ref="E1471">IF(ISBLANK(XLOOKUP(E$3,daily_items,XLOOKUP($C1471,daily_dates,big_daily_table))),NA(),XLOOKUP(E$3,daily_items,XLOOKUP($C1471,daily_dates,big_daily_table)))</f>
        <v>#N/A</v>
      </c>
    </row>
    <row r="1472" ht="14.25" customHeight="1">
      <c r="B1472" s="7">
        <v>42377.0</v>
      </c>
      <c r="C1472" s="7">
        <f t="shared" si="1"/>
        <v>42372</v>
      </c>
      <c r="D1472" s="1" t="str">
        <f t="array" ref="D1472">IF(ISBLANK(XLOOKUP(D$3,daily_items,XLOOKUP($C1472,daily_dates,big_daily_table))),NA(),XLOOKUP(D$3,daily_items,XLOOKUP($C1472,daily_dates,big_daily_table)))</f>
        <v>#N/A</v>
      </c>
      <c r="E1472" s="1" t="str">
        <f t="array" ref="E1472">IF(ISBLANK(XLOOKUP(E$3,daily_items,XLOOKUP($C1472,daily_dates,big_daily_table))),NA(),XLOOKUP(E$3,daily_items,XLOOKUP($C1472,daily_dates,big_daily_table)))</f>
        <v>#N/A</v>
      </c>
    </row>
    <row r="1473" ht="14.25" customHeight="1">
      <c r="B1473" s="7">
        <v>42378.0</v>
      </c>
      <c r="C1473" s="7">
        <f t="shared" si="1"/>
        <v>42372</v>
      </c>
      <c r="D1473" s="1" t="str">
        <f t="array" ref="D1473">IF(ISBLANK(XLOOKUP(D$3,daily_items,XLOOKUP($C1473,daily_dates,big_daily_table))),NA(),XLOOKUP(D$3,daily_items,XLOOKUP($C1473,daily_dates,big_daily_table)))</f>
        <v>#N/A</v>
      </c>
      <c r="E1473" s="1" t="str">
        <f t="array" ref="E1473">IF(ISBLANK(XLOOKUP(E$3,daily_items,XLOOKUP($C1473,daily_dates,big_daily_table))),NA(),XLOOKUP(E$3,daily_items,XLOOKUP($C1473,daily_dates,big_daily_table)))</f>
        <v>#N/A</v>
      </c>
    </row>
    <row r="1474" ht="14.25" customHeight="1">
      <c r="B1474" s="7">
        <v>42379.0</v>
      </c>
      <c r="C1474" s="7">
        <f t="shared" si="1"/>
        <v>42379</v>
      </c>
      <c r="D1474" s="1" t="str">
        <f t="array" ref="D1474">IF(ISBLANK(XLOOKUP(D$3,daily_items,XLOOKUP($C1474,daily_dates,big_daily_table))),NA(),XLOOKUP(D$3,daily_items,XLOOKUP($C1474,daily_dates,big_daily_table)))</f>
        <v>#N/A</v>
      </c>
      <c r="E1474" s="1" t="str">
        <f t="array" ref="E1474">IF(ISBLANK(XLOOKUP(E$3,daily_items,XLOOKUP($C1474,daily_dates,big_daily_table))),NA(),XLOOKUP(E$3,daily_items,XLOOKUP($C1474,daily_dates,big_daily_table)))</f>
        <v>#N/A</v>
      </c>
    </row>
    <row r="1475" ht="14.25" customHeight="1">
      <c r="B1475" s="7">
        <v>42380.0</v>
      </c>
      <c r="C1475" s="7">
        <f t="shared" si="1"/>
        <v>42379</v>
      </c>
      <c r="D1475" s="1" t="str">
        <f t="array" ref="D1475">IF(ISBLANK(XLOOKUP(D$3,daily_items,XLOOKUP($C1475,daily_dates,big_daily_table))),NA(),XLOOKUP(D$3,daily_items,XLOOKUP($C1475,daily_dates,big_daily_table)))</f>
        <v>#N/A</v>
      </c>
      <c r="E1475" s="1" t="str">
        <f t="array" ref="E1475">IF(ISBLANK(XLOOKUP(E$3,daily_items,XLOOKUP($C1475,daily_dates,big_daily_table))),NA(),XLOOKUP(E$3,daily_items,XLOOKUP($C1475,daily_dates,big_daily_table)))</f>
        <v>#N/A</v>
      </c>
    </row>
    <row r="1476" ht="14.25" customHeight="1">
      <c r="B1476" s="7">
        <v>42381.0</v>
      </c>
      <c r="C1476" s="7">
        <f t="shared" si="1"/>
        <v>42379</v>
      </c>
      <c r="D1476" s="1" t="str">
        <f t="array" ref="D1476">IF(ISBLANK(XLOOKUP(D$3,daily_items,XLOOKUP($C1476,daily_dates,big_daily_table))),NA(),XLOOKUP(D$3,daily_items,XLOOKUP($C1476,daily_dates,big_daily_table)))</f>
        <v>#N/A</v>
      </c>
      <c r="E1476" s="1" t="str">
        <f t="array" ref="E1476">IF(ISBLANK(XLOOKUP(E$3,daily_items,XLOOKUP($C1476,daily_dates,big_daily_table))),NA(),XLOOKUP(E$3,daily_items,XLOOKUP($C1476,daily_dates,big_daily_table)))</f>
        <v>#N/A</v>
      </c>
    </row>
    <row r="1477" ht="14.25" customHeight="1">
      <c r="B1477" s="7">
        <v>42382.0</v>
      </c>
      <c r="C1477" s="7">
        <f t="shared" si="1"/>
        <v>42379</v>
      </c>
      <c r="D1477" s="1" t="str">
        <f t="array" ref="D1477">IF(ISBLANK(XLOOKUP(D$3,daily_items,XLOOKUP($C1477,daily_dates,big_daily_table))),NA(),XLOOKUP(D$3,daily_items,XLOOKUP($C1477,daily_dates,big_daily_table)))</f>
        <v>#N/A</v>
      </c>
      <c r="E1477" s="1" t="str">
        <f t="array" ref="E1477">IF(ISBLANK(XLOOKUP(E$3,daily_items,XLOOKUP($C1477,daily_dates,big_daily_table))),NA(),XLOOKUP(E$3,daily_items,XLOOKUP($C1477,daily_dates,big_daily_table)))</f>
        <v>#N/A</v>
      </c>
    </row>
    <row r="1478" ht="14.25" customHeight="1">
      <c r="B1478" s="7">
        <v>42383.0</v>
      </c>
      <c r="C1478" s="7">
        <f t="shared" si="1"/>
        <v>42379</v>
      </c>
      <c r="D1478" s="1" t="str">
        <f t="array" ref="D1478">IF(ISBLANK(XLOOKUP(D$3,daily_items,XLOOKUP($C1478,daily_dates,big_daily_table))),NA(),XLOOKUP(D$3,daily_items,XLOOKUP($C1478,daily_dates,big_daily_table)))</f>
        <v>#N/A</v>
      </c>
      <c r="E1478" s="1" t="str">
        <f t="array" ref="E1478">IF(ISBLANK(XLOOKUP(E$3,daily_items,XLOOKUP($C1478,daily_dates,big_daily_table))),NA(),XLOOKUP(E$3,daily_items,XLOOKUP($C1478,daily_dates,big_daily_table)))</f>
        <v>#N/A</v>
      </c>
    </row>
    <row r="1479" ht="14.25" customHeight="1">
      <c r="B1479" s="7">
        <v>42384.0</v>
      </c>
      <c r="C1479" s="7">
        <f t="shared" si="1"/>
        <v>42379</v>
      </c>
      <c r="D1479" s="1" t="str">
        <f t="array" ref="D1479">IF(ISBLANK(XLOOKUP(D$3,daily_items,XLOOKUP($C1479,daily_dates,big_daily_table))),NA(),XLOOKUP(D$3,daily_items,XLOOKUP($C1479,daily_dates,big_daily_table)))</f>
        <v>#N/A</v>
      </c>
      <c r="E1479" s="1" t="str">
        <f t="array" ref="E1479">IF(ISBLANK(XLOOKUP(E$3,daily_items,XLOOKUP($C1479,daily_dates,big_daily_table))),NA(),XLOOKUP(E$3,daily_items,XLOOKUP($C1479,daily_dates,big_daily_table)))</f>
        <v>#N/A</v>
      </c>
    </row>
    <row r="1480" ht="14.25" customHeight="1">
      <c r="B1480" s="7">
        <v>42385.0</v>
      </c>
      <c r="C1480" s="7">
        <f t="shared" si="1"/>
        <v>42379</v>
      </c>
      <c r="D1480" s="1" t="str">
        <f t="array" ref="D1480">IF(ISBLANK(XLOOKUP(D$3,daily_items,XLOOKUP($C1480,daily_dates,big_daily_table))),NA(),XLOOKUP(D$3,daily_items,XLOOKUP($C1480,daily_dates,big_daily_table)))</f>
        <v>#N/A</v>
      </c>
      <c r="E1480" s="1" t="str">
        <f t="array" ref="E1480">IF(ISBLANK(XLOOKUP(E$3,daily_items,XLOOKUP($C1480,daily_dates,big_daily_table))),NA(),XLOOKUP(E$3,daily_items,XLOOKUP($C1480,daily_dates,big_daily_table)))</f>
        <v>#N/A</v>
      </c>
    </row>
    <row r="1481" ht="14.25" customHeight="1">
      <c r="B1481" s="7">
        <v>42386.0</v>
      </c>
      <c r="C1481" s="7">
        <f t="shared" si="1"/>
        <v>42386</v>
      </c>
      <c r="D1481" s="1" t="str">
        <f t="array" ref="D1481">IF(ISBLANK(XLOOKUP(D$3,daily_items,XLOOKUP($C1481,daily_dates,big_daily_table))),NA(),XLOOKUP(D$3,daily_items,XLOOKUP($C1481,daily_dates,big_daily_table)))</f>
        <v>#N/A</v>
      </c>
      <c r="E1481" s="1" t="str">
        <f t="array" ref="E1481">IF(ISBLANK(XLOOKUP(E$3,daily_items,XLOOKUP($C1481,daily_dates,big_daily_table))),NA(),XLOOKUP(E$3,daily_items,XLOOKUP($C1481,daily_dates,big_daily_table)))</f>
        <v>#N/A</v>
      </c>
    </row>
    <row r="1482" ht="14.25" customHeight="1">
      <c r="B1482" s="7">
        <v>42387.0</v>
      </c>
      <c r="C1482" s="7">
        <f t="shared" si="1"/>
        <v>42386</v>
      </c>
      <c r="D1482" s="1" t="str">
        <f t="array" ref="D1482">IF(ISBLANK(XLOOKUP(D$3,daily_items,XLOOKUP($C1482,daily_dates,big_daily_table))),NA(),XLOOKUP(D$3,daily_items,XLOOKUP($C1482,daily_dates,big_daily_table)))</f>
        <v>#N/A</v>
      </c>
      <c r="E1482" s="1" t="str">
        <f t="array" ref="E1482">IF(ISBLANK(XLOOKUP(E$3,daily_items,XLOOKUP($C1482,daily_dates,big_daily_table))),NA(),XLOOKUP(E$3,daily_items,XLOOKUP($C1482,daily_dates,big_daily_table)))</f>
        <v>#N/A</v>
      </c>
    </row>
    <row r="1483" ht="14.25" customHeight="1">
      <c r="B1483" s="7">
        <v>42388.0</v>
      </c>
      <c r="C1483" s="7">
        <f t="shared" si="1"/>
        <v>42386</v>
      </c>
      <c r="D1483" s="1" t="str">
        <f t="array" ref="D1483">IF(ISBLANK(XLOOKUP(D$3,daily_items,XLOOKUP($C1483,daily_dates,big_daily_table))),NA(),XLOOKUP(D$3,daily_items,XLOOKUP($C1483,daily_dates,big_daily_table)))</f>
        <v>#N/A</v>
      </c>
      <c r="E1483" s="1" t="str">
        <f t="array" ref="E1483">IF(ISBLANK(XLOOKUP(E$3,daily_items,XLOOKUP($C1483,daily_dates,big_daily_table))),NA(),XLOOKUP(E$3,daily_items,XLOOKUP($C1483,daily_dates,big_daily_table)))</f>
        <v>#N/A</v>
      </c>
    </row>
    <row r="1484" ht="14.25" customHeight="1">
      <c r="B1484" s="7">
        <v>42389.0</v>
      </c>
      <c r="C1484" s="7">
        <f t="shared" si="1"/>
        <v>42386</v>
      </c>
      <c r="D1484" s="1" t="str">
        <f t="array" ref="D1484">IF(ISBLANK(XLOOKUP(D$3,daily_items,XLOOKUP($C1484,daily_dates,big_daily_table))),NA(),XLOOKUP(D$3,daily_items,XLOOKUP($C1484,daily_dates,big_daily_table)))</f>
        <v>#N/A</v>
      </c>
      <c r="E1484" s="1" t="str">
        <f t="array" ref="E1484">IF(ISBLANK(XLOOKUP(E$3,daily_items,XLOOKUP($C1484,daily_dates,big_daily_table))),NA(),XLOOKUP(E$3,daily_items,XLOOKUP($C1484,daily_dates,big_daily_table)))</f>
        <v>#N/A</v>
      </c>
    </row>
    <row r="1485" ht="14.25" customHeight="1">
      <c r="B1485" s="7">
        <v>42390.0</v>
      </c>
      <c r="C1485" s="7">
        <f t="shared" si="1"/>
        <v>42386</v>
      </c>
      <c r="D1485" s="1" t="str">
        <f t="array" ref="D1485">IF(ISBLANK(XLOOKUP(D$3,daily_items,XLOOKUP($C1485,daily_dates,big_daily_table))),NA(),XLOOKUP(D$3,daily_items,XLOOKUP($C1485,daily_dates,big_daily_table)))</f>
        <v>#N/A</v>
      </c>
      <c r="E1485" s="1" t="str">
        <f t="array" ref="E1485">IF(ISBLANK(XLOOKUP(E$3,daily_items,XLOOKUP($C1485,daily_dates,big_daily_table))),NA(),XLOOKUP(E$3,daily_items,XLOOKUP($C1485,daily_dates,big_daily_table)))</f>
        <v>#N/A</v>
      </c>
    </row>
    <row r="1486" ht="14.25" customHeight="1">
      <c r="B1486" s="7">
        <v>42391.0</v>
      </c>
      <c r="C1486" s="7">
        <f t="shared" si="1"/>
        <v>42386</v>
      </c>
      <c r="D1486" s="1" t="str">
        <f t="array" ref="D1486">IF(ISBLANK(XLOOKUP(D$3,daily_items,XLOOKUP($C1486,daily_dates,big_daily_table))),NA(),XLOOKUP(D$3,daily_items,XLOOKUP($C1486,daily_dates,big_daily_table)))</f>
        <v>#N/A</v>
      </c>
      <c r="E1486" s="1" t="str">
        <f t="array" ref="E1486">IF(ISBLANK(XLOOKUP(E$3,daily_items,XLOOKUP($C1486,daily_dates,big_daily_table))),NA(),XLOOKUP(E$3,daily_items,XLOOKUP($C1486,daily_dates,big_daily_table)))</f>
        <v>#N/A</v>
      </c>
    </row>
    <row r="1487" ht="14.25" customHeight="1">
      <c r="B1487" s="7">
        <v>42392.0</v>
      </c>
      <c r="C1487" s="7">
        <f t="shared" si="1"/>
        <v>42386</v>
      </c>
      <c r="D1487" s="1" t="str">
        <f t="array" ref="D1487">IF(ISBLANK(XLOOKUP(D$3,daily_items,XLOOKUP($C1487,daily_dates,big_daily_table))),NA(),XLOOKUP(D$3,daily_items,XLOOKUP($C1487,daily_dates,big_daily_table)))</f>
        <v>#N/A</v>
      </c>
      <c r="E1487" s="1" t="str">
        <f t="array" ref="E1487">IF(ISBLANK(XLOOKUP(E$3,daily_items,XLOOKUP($C1487,daily_dates,big_daily_table))),NA(),XLOOKUP(E$3,daily_items,XLOOKUP($C1487,daily_dates,big_daily_table)))</f>
        <v>#N/A</v>
      </c>
    </row>
    <row r="1488" ht="14.25" customHeight="1">
      <c r="B1488" s="7">
        <v>42393.0</v>
      </c>
      <c r="C1488" s="7">
        <f t="shared" si="1"/>
        <v>42393</v>
      </c>
      <c r="D1488" s="1" t="str">
        <f t="array" ref="D1488">IF(ISBLANK(XLOOKUP(D$3,daily_items,XLOOKUP($C1488,daily_dates,big_daily_table))),NA(),XLOOKUP(D$3,daily_items,XLOOKUP($C1488,daily_dates,big_daily_table)))</f>
        <v>#N/A</v>
      </c>
      <c r="E1488" s="1" t="str">
        <f t="array" ref="E1488">IF(ISBLANK(XLOOKUP(E$3,daily_items,XLOOKUP($C1488,daily_dates,big_daily_table))),NA(),XLOOKUP(E$3,daily_items,XLOOKUP($C1488,daily_dates,big_daily_table)))</f>
        <v>#N/A</v>
      </c>
    </row>
    <row r="1489" ht="14.25" customHeight="1">
      <c r="B1489" s="7">
        <v>42394.0</v>
      </c>
      <c r="C1489" s="7">
        <f t="shared" si="1"/>
        <v>42393</v>
      </c>
      <c r="D1489" s="1" t="str">
        <f t="array" ref="D1489">IF(ISBLANK(XLOOKUP(D$3,daily_items,XLOOKUP($C1489,daily_dates,big_daily_table))),NA(),XLOOKUP(D$3,daily_items,XLOOKUP($C1489,daily_dates,big_daily_table)))</f>
        <v>#N/A</v>
      </c>
      <c r="E1489" s="1" t="str">
        <f t="array" ref="E1489">IF(ISBLANK(XLOOKUP(E$3,daily_items,XLOOKUP($C1489,daily_dates,big_daily_table))),NA(),XLOOKUP(E$3,daily_items,XLOOKUP($C1489,daily_dates,big_daily_table)))</f>
        <v>#N/A</v>
      </c>
    </row>
    <row r="1490" ht="14.25" customHeight="1">
      <c r="B1490" s="7">
        <v>42395.0</v>
      </c>
      <c r="C1490" s="7">
        <f t="shared" si="1"/>
        <v>42393</v>
      </c>
      <c r="D1490" s="1" t="str">
        <f t="array" ref="D1490">IF(ISBLANK(XLOOKUP(D$3,daily_items,XLOOKUP($C1490,daily_dates,big_daily_table))),NA(),XLOOKUP(D$3,daily_items,XLOOKUP($C1490,daily_dates,big_daily_table)))</f>
        <v>#N/A</v>
      </c>
      <c r="E1490" s="1" t="str">
        <f t="array" ref="E1490">IF(ISBLANK(XLOOKUP(E$3,daily_items,XLOOKUP($C1490,daily_dates,big_daily_table))),NA(),XLOOKUP(E$3,daily_items,XLOOKUP($C1490,daily_dates,big_daily_table)))</f>
        <v>#N/A</v>
      </c>
    </row>
    <row r="1491" ht="14.25" customHeight="1">
      <c r="B1491" s="7">
        <v>42396.0</v>
      </c>
      <c r="C1491" s="7">
        <f t="shared" si="1"/>
        <v>42393</v>
      </c>
      <c r="D1491" s="1" t="str">
        <f t="array" ref="D1491">IF(ISBLANK(XLOOKUP(D$3,daily_items,XLOOKUP($C1491,daily_dates,big_daily_table))),NA(),XLOOKUP(D$3,daily_items,XLOOKUP($C1491,daily_dates,big_daily_table)))</f>
        <v>#N/A</v>
      </c>
      <c r="E1491" s="1" t="str">
        <f t="array" ref="E1491">IF(ISBLANK(XLOOKUP(E$3,daily_items,XLOOKUP($C1491,daily_dates,big_daily_table))),NA(),XLOOKUP(E$3,daily_items,XLOOKUP($C1491,daily_dates,big_daily_table)))</f>
        <v>#N/A</v>
      </c>
    </row>
    <row r="1492" ht="14.25" customHeight="1">
      <c r="B1492" s="7">
        <v>42397.0</v>
      </c>
      <c r="C1492" s="7">
        <f t="shared" si="1"/>
        <v>42393</v>
      </c>
      <c r="D1492" s="1" t="str">
        <f t="array" ref="D1492">IF(ISBLANK(XLOOKUP(D$3,daily_items,XLOOKUP($C1492,daily_dates,big_daily_table))),NA(),XLOOKUP(D$3,daily_items,XLOOKUP($C1492,daily_dates,big_daily_table)))</f>
        <v>#N/A</v>
      </c>
      <c r="E1492" s="1" t="str">
        <f t="array" ref="E1492">IF(ISBLANK(XLOOKUP(E$3,daily_items,XLOOKUP($C1492,daily_dates,big_daily_table))),NA(),XLOOKUP(E$3,daily_items,XLOOKUP($C1492,daily_dates,big_daily_table)))</f>
        <v>#N/A</v>
      </c>
    </row>
    <row r="1493" ht="14.25" customHeight="1">
      <c r="B1493" s="7">
        <v>42398.0</v>
      </c>
      <c r="C1493" s="7">
        <f t="shared" si="1"/>
        <v>42393</v>
      </c>
      <c r="D1493" s="1" t="str">
        <f t="array" ref="D1493">IF(ISBLANK(XLOOKUP(D$3,daily_items,XLOOKUP($C1493,daily_dates,big_daily_table))),NA(),XLOOKUP(D$3,daily_items,XLOOKUP($C1493,daily_dates,big_daily_table)))</f>
        <v>#N/A</v>
      </c>
      <c r="E1493" s="1" t="str">
        <f t="array" ref="E1493">IF(ISBLANK(XLOOKUP(E$3,daily_items,XLOOKUP($C1493,daily_dates,big_daily_table))),NA(),XLOOKUP(E$3,daily_items,XLOOKUP($C1493,daily_dates,big_daily_table)))</f>
        <v>#N/A</v>
      </c>
    </row>
    <row r="1494" ht="14.25" customHeight="1">
      <c r="B1494" s="7">
        <v>42399.0</v>
      </c>
      <c r="C1494" s="7">
        <f t="shared" si="1"/>
        <v>42393</v>
      </c>
      <c r="D1494" s="1" t="str">
        <f t="array" ref="D1494">IF(ISBLANK(XLOOKUP(D$3,daily_items,XLOOKUP($C1494,daily_dates,big_daily_table))),NA(),XLOOKUP(D$3,daily_items,XLOOKUP($C1494,daily_dates,big_daily_table)))</f>
        <v>#N/A</v>
      </c>
      <c r="E1494" s="1" t="str">
        <f t="array" ref="E1494">IF(ISBLANK(XLOOKUP(E$3,daily_items,XLOOKUP($C1494,daily_dates,big_daily_table))),NA(),XLOOKUP(E$3,daily_items,XLOOKUP($C1494,daily_dates,big_daily_table)))</f>
        <v>#N/A</v>
      </c>
    </row>
    <row r="1495" ht="14.25" customHeight="1">
      <c r="B1495" s="7">
        <v>42400.0</v>
      </c>
      <c r="C1495" s="7">
        <f t="shared" si="1"/>
        <v>42400</v>
      </c>
      <c r="D1495" s="1" t="str">
        <f t="array" ref="D1495">IF(ISBLANK(XLOOKUP(D$3,daily_items,XLOOKUP($C1495,daily_dates,big_daily_table))),NA(),XLOOKUP(D$3,daily_items,XLOOKUP($C1495,daily_dates,big_daily_table)))</f>
        <v>#N/A</v>
      </c>
      <c r="E1495" s="1" t="str">
        <f t="array" ref="E1495">IF(ISBLANK(XLOOKUP(E$3,daily_items,XLOOKUP($C1495,daily_dates,big_daily_table))),NA(),XLOOKUP(E$3,daily_items,XLOOKUP($C1495,daily_dates,big_daily_table)))</f>
        <v>#N/A</v>
      </c>
    </row>
    <row r="1496" ht="14.25" customHeight="1">
      <c r="B1496" s="7">
        <v>42401.0</v>
      </c>
      <c r="C1496" s="7">
        <f t="shared" si="1"/>
        <v>42400</v>
      </c>
      <c r="D1496" s="1" t="str">
        <f t="array" ref="D1496">IF(ISBLANK(XLOOKUP(D$3,daily_items,XLOOKUP($C1496,daily_dates,big_daily_table))),NA(),XLOOKUP(D$3,daily_items,XLOOKUP($C1496,daily_dates,big_daily_table)))</f>
        <v>#N/A</v>
      </c>
      <c r="E1496" s="1" t="str">
        <f t="array" ref="E1496">IF(ISBLANK(XLOOKUP(E$3,daily_items,XLOOKUP($C1496,daily_dates,big_daily_table))),NA(),XLOOKUP(E$3,daily_items,XLOOKUP($C1496,daily_dates,big_daily_table)))</f>
        <v>#N/A</v>
      </c>
    </row>
    <row r="1497" ht="14.25" customHeight="1">
      <c r="B1497" s="7">
        <v>42402.0</v>
      </c>
      <c r="C1497" s="7">
        <f t="shared" si="1"/>
        <v>42400</v>
      </c>
      <c r="D1497" s="1" t="str">
        <f t="array" ref="D1497">IF(ISBLANK(XLOOKUP(D$3,daily_items,XLOOKUP($C1497,daily_dates,big_daily_table))),NA(),XLOOKUP(D$3,daily_items,XLOOKUP($C1497,daily_dates,big_daily_table)))</f>
        <v>#N/A</v>
      </c>
      <c r="E1497" s="1" t="str">
        <f t="array" ref="E1497">IF(ISBLANK(XLOOKUP(E$3,daily_items,XLOOKUP($C1497,daily_dates,big_daily_table))),NA(),XLOOKUP(E$3,daily_items,XLOOKUP($C1497,daily_dates,big_daily_table)))</f>
        <v>#N/A</v>
      </c>
    </row>
    <row r="1498" ht="14.25" customHeight="1">
      <c r="B1498" s="7">
        <v>42403.0</v>
      </c>
      <c r="C1498" s="7">
        <f t="shared" si="1"/>
        <v>42400</v>
      </c>
      <c r="D1498" s="1" t="str">
        <f t="array" ref="D1498">IF(ISBLANK(XLOOKUP(D$3,daily_items,XLOOKUP($C1498,daily_dates,big_daily_table))),NA(),XLOOKUP(D$3,daily_items,XLOOKUP($C1498,daily_dates,big_daily_table)))</f>
        <v>#N/A</v>
      </c>
      <c r="E1498" s="1" t="str">
        <f t="array" ref="E1498">IF(ISBLANK(XLOOKUP(E$3,daily_items,XLOOKUP($C1498,daily_dates,big_daily_table))),NA(),XLOOKUP(E$3,daily_items,XLOOKUP($C1498,daily_dates,big_daily_table)))</f>
        <v>#N/A</v>
      </c>
    </row>
    <row r="1499" ht="14.25" customHeight="1">
      <c r="B1499" s="7">
        <v>42404.0</v>
      </c>
      <c r="C1499" s="7">
        <f t="shared" si="1"/>
        <v>42400</v>
      </c>
      <c r="D1499" s="1" t="str">
        <f t="array" ref="D1499">IF(ISBLANK(XLOOKUP(D$3,daily_items,XLOOKUP($C1499,daily_dates,big_daily_table))),NA(),XLOOKUP(D$3,daily_items,XLOOKUP($C1499,daily_dates,big_daily_table)))</f>
        <v>#N/A</v>
      </c>
      <c r="E1499" s="1" t="str">
        <f t="array" ref="E1499">IF(ISBLANK(XLOOKUP(E$3,daily_items,XLOOKUP($C1499,daily_dates,big_daily_table))),NA(),XLOOKUP(E$3,daily_items,XLOOKUP($C1499,daily_dates,big_daily_table)))</f>
        <v>#N/A</v>
      </c>
    </row>
    <row r="1500" ht="14.25" customHeight="1">
      <c r="B1500" s="7">
        <v>42405.0</v>
      </c>
      <c r="C1500" s="7">
        <f t="shared" si="1"/>
        <v>42400</v>
      </c>
      <c r="D1500" s="1" t="str">
        <f t="array" ref="D1500">IF(ISBLANK(XLOOKUP(D$3,daily_items,XLOOKUP($C1500,daily_dates,big_daily_table))),NA(),XLOOKUP(D$3,daily_items,XLOOKUP($C1500,daily_dates,big_daily_table)))</f>
        <v>#N/A</v>
      </c>
      <c r="E1500" s="1" t="str">
        <f t="array" ref="E1500">IF(ISBLANK(XLOOKUP(E$3,daily_items,XLOOKUP($C1500,daily_dates,big_daily_table))),NA(),XLOOKUP(E$3,daily_items,XLOOKUP($C1500,daily_dates,big_daily_table)))</f>
        <v>#N/A</v>
      </c>
    </row>
    <row r="1501" ht="14.25" customHeight="1">
      <c r="B1501" s="7">
        <v>42406.0</v>
      </c>
      <c r="C1501" s="7">
        <f t="shared" si="1"/>
        <v>42400</v>
      </c>
      <c r="D1501" s="1" t="str">
        <f t="array" ref="D1501">IF(ISBLANK(XLOOKUP(D$3,daily_items,XLOOKUP($C1501,daily_dates,big_daily_table))),NA(),XLOOKUP(D$3,daily_items,XLOOKUP($C1501,daily_dates,big_daily_table)))</f>
        <v>#N/A</v>
      </c>
      <c r="E1501" s="1" t="str">
        <f t="array" ref="E1501">IF(ISBLANK(XLOOKUP(E$3,daily_items,XLOOKUP($C1501,daily_dates,big_daily_table))),NA(),XLOOKUP(E$3,daily_items,XLOOKUP($C1501,daily_dates,big_daily_table)))</f>
        <v>#N/A</v>
      </c>
    </row>
    <row r="1502" ht="14.25" customHeight="1">
      <c r="B1502" s="7">
        <v>42407.0</v>
      </c>
      <c r="C1502" s="7">
        <f t="shared" si="1"/>
        <v>42407</v>
      </c>
      <c r="D1502" s="1" t="str">
        <f t="array" ref="D1502">IF(ISBLANK(XLOOKUP(D$3,daily_items,XLOOKUP($C1502,daily_dates,big_daily_table))),NA(),XLOOKUP(D$3,daily_items,XLOOKUP($C1502,daily_dates,big_daily_table)))</f>
        <v>#N/A</v>
      </c>
      <c r="E1502" s="1" t="str">
        <f t="array" ref="E1502">IF(ISBLANK(XLOOKUP(E$3,daily_items,XLOOKUP($C1502,daily_dates,big_daily_table))),NA(),XLOOKUP(E$3,daily_items,XLOOKUP($C1502,daily_dates,big_daily_table)))</f>
        <v>#N/A</v>
      </c>
    </row>
    <row r="1503" ht="14.25" customHeight="1">
      <c r="B1503" s="7">
        <v>42408.0</v>
      </c>
      <c r="C1503" s="7">
        <f t="shared" si="1"/>
        <v>42407</v>
      </c>
      <c r="D1503" s="1" t="str">
        <f t="array" ref="D1503">IF(ISBLANK(XLOOKUP(D$3,daily_items,XLOOKUP($C1503,daily_dates,big_daily_table))),NA(),XLOOKUP(D$3,daily_items,XLOOKUP($C1503,daily_dates,big_daily_table)))</f>
        <v>#N/A</v>
      </c>
      <c r="E1503" s="1" t="str">
        <f t="array" ref="E1503">IF(ISBLANK(XLOOKUP(E$3,daily_items,XLOOKUP($C1503,daily_dates,big_daily_table))),NA(),XLOOKUP(E$3,daily_items,XLOOKUP($C1503,daily_dates,big_daily_table)))</f>
        <v>#N/A</v>
      </c>
    </row>
    <row r="1504" ht="14.25" customHeight="1">
      <c r="B1504" s="7">
        <v>42409.0</v>
      </c>
      <c r="C1504" s="7">
        <f t="shared" si="1"/>
        <v>42407</v>
      </c>
      <c r="D1504" s="1" t="str">
        <f t="array" ref="D1504">IF(ISBLANK(XLOOKUP(D$3,daily_items,XLOOKUP($C1504,daily_dates,big_daily_table))),NA(),XLOOKUP(D$3,daily_items,XLOOKUP($C1504,daily_dates,big_daily_table)))</f>
        <v>#N/A</v>
      </c>
      <c r="E1504" s="1" t="str">
        <f t="array" ref="E1504">IF(ISBLANK(XLOOKUP(E$3,daily_items,XLOOKUP($C1504,daily_dates,big_daily_table))),NA(),XLOOKUP(E$3,daily_items,XLOOKUP($C1504,daily_dates,big_daily_table)))</f>
        <v>#N/A</v>
      </c>
    </row>
    <row r="1505" ht="14.25" customHeight="1">
      <c r="B1505" s="7">
        <v>42410.0</v>
      </c>
      <c r="C1505" s="7">
        <f t="shared" si="1"/>
        <v>42407</v>
      </c>
      <c r="D1505" s="1" t="str">
        <f t="array" ref="D1505">IF(ISBLANK(XLOOKUP(D$3,daily_items,XLOOKUP($C1505,daily_dates,big_daily_table))),NA(),XLOOKUP(D$3,daily_items,XLOOKUP($C1505,daily_dates,big_daily_table)))</f>
        <v>#N/A</v>
      </c>
      <c r="E1505" s="1" t="str">
        <f t="array" ref="E1505">IF(ISBLANK(XLOOKUP(E$3,daily_items,XLOOKUP($C1505,daily_dates,big_daily_table))),NA(),XLOOKUP(E$3,daily_items,XLOOKUP($C1505,daily_dates,big_daily_table)))</f>
        <v>#N/A</v>
      </c>
    </row>
    <row r="1506" ht="14.25" customHeight="1">
      <c r="B1506" s="7">
        <v>42411.0</v>
      </c>
      <c r="C1506" s="7">
        <f t="shared" si="1"/>
        <v>42407</v>
      </c>
      <c r="D1506" s="1" t="str">
        <f t="array" ref="D1506">IF(ISBLANK(XLOOKUP(D$3,daily_items,XLOOKUP($C1506,daily_dates,big_daily_table))),NA(),XLOOKUP(D$3,daily_items,XLOOKUP($C1506,daily_dates,big_daily_table)))</f>
        <v>#N/A</v>
      </c>
      <c r="E1506" s="1" t="str">
        <f t="array" ref="E1506">IF(ISBLANK(XLOOKUP(E$3,daily_items,XLOOKUP($C1506,daily_dates,big_daily_table))),NA(),XLOOKUP(E$3,daily_items,XLOOKUP($C1506,daily_dates,big_daily_table)))</f>
        <v>#N/A</v>
      </c>
    </row>
    <row r="1507" ht="14.25" customHeight="1">
      <c r="B1507" s="7">
        <v>42412.0</v>
      </c>
      <c r="C1507" s="7">
        <f t="shared" si="1"/>
        <v>42407</v>
      </c>
      <c r="D1507" s="1" t="str">
        <f t="array" ref="D1507">IF(ISBLANK(XLOOKUP(D$3,daily_items,XLOOKUP($C1507,daily_dates,big_daily_table))),NA(),XLOOKUP(D$3,daily_items,XLOOKUP($C1507,daily_dates,big_daily_table)))</f>
        <v>#N/A</v>
      </c>
      <c r="E1507" s="1" t="str">
        <f t="array" ref="E1507">IF(ISBLANK(XLOOKUP(E$3,daily_items,XLOOKUP($C1507,daily_dates,big_daily_table))),NA(),XLOOKUP(E$3,daily_items,XLOOKUP($C1507,daily_dates,big_daily_table)))</f>
        <v>#N/A</v>
      </c>
    </row>
    <row r="1508" ht="14.25" customHeight="1">
      <c r="B1508" s="7">
        <v>42413.0</v>
      </c>
      <c r="C1508" s="7">
        <f t="shared" si="1"/>
        <v>42407</v>
      </c>
      <c r="D1508" s="1" t="str">
        <f t="array" ref="D1508">IF(ISBLANK(XLOOKUP(D$3,daily_items,XLOOKUP($C1508,daily_dates,big_daily_table))),NA(),XLOOKUP(D$3,daily_items,XLOOKUP($C1508,daily_dates,big_daily_table)))</f>
        <v>#N/A</v>
      </c>
      <c r="E1508" s="1" t="str">
        <f t="array" ref="E1508">IF(ISBLANK(XLOOKUP(E$3,daily_items,XLOOKUP($C1508,daily_dates,big_daily_table))),NA(),XLOOKUP(E$3,daily_items,XLOOKUP($C1508,daily_dates,big_daily_table)))</f>
        <v>#N/A</v>
      </c>
    </row>
    <row r="1509" ht="14.25" customHeight="1">
      <c r="B1509" s="7">
        <v>42414.0</v>
      </c>
      <c r="C1509" s="7">
        <f t="shared" si="1"/>
        <v>42414</v>
      </c>
      <c r="D1509" s="1" t="str">
        <f t="array" ref="D1509">IF(ISBLANK(XLOOKUP(D$3,daily_items,XLOOKUP($C1509,daily_dates,big_daily_table))),NA(),XLOOKUP(D$3,daily_items,XLOOKUP($C1509,daily_dates,big_daily_table)))</f>
        <v>#N/A</v>
      </c>
      <c r="E1509" s="1" t="str">
        <f t="array" ref="E1509">IF(ISBLANK(XLOOKUP(E$3,daily_items,XLOOKUP($C1509,daily_dates,big_daily_table))),NA(),XLOOKUP(E$3,daily_items,XLOOKUP($C1509,daily_dates,big_daily_table)))</f>
        <v>#N/A</v>
      </c>
    </row>
    <row r="1510" ht="14.25" customHeight="1">
      <c r="B1510" s="7">
        <v>42415.0</v>
      </c>
      <c r="C1510" s="7">
        <f t="shared" si="1"/>
        <v>42414</v>
      </c>
      <c r="D1510" s="1" t="str">
        <f t="array" ref="D1510">IF(ISBLANK(XLOOKUP(D$3,daily_items,XLOOKUP($C1510,daily_dates,big_daily_table))),NA(),XLOOKUP(D$3,daily_items,XLOOKUP($C1510,daily_dates,big_daily_table)))</f>
        <v>#N/A</v>
      </c>
      <c r="E1510" s="1" t="str">
        <f t="array" ref="E1510">IF(ISBLANK(XLOOKUP(E$3,daily_items,XLOOKUP($C1510,daily_dates,big_daily_table))),NA(),XLOOKUP(E$3,daily_items,XLOOKUP($C1510,daily_dates,big_daily_table)))</f>
        <v>#N/A</v>
      </c>
    </row>
    <row r="1511" ht="14.25" customHeight="1">
      <c r="B1511" s="7">
        <v>42416.0</v>
      </c>
      <c r="C1511" s="7">
        <f t="shared" si="1"/>
        <v>42414</v>
      </c>
      <c r="D1511" s="1" t="str">
        <f t="array" ref="D1511">IF(ISBLANK(XLOOKUP(D$3,daily_items,XLOOKUP($C1511,daily_dates,big_daily_table))),NA(),XLOOKUP(D$3,daily_items,XLOOKUP($C1511,daily_dates,big_daily_table)))</f>
        <v>#N/A</v>
      </c>
      <c r="E1511" s="1" t="str">
        <f t="array" ref="E1511">IF(ISBLANK(XLOOKUP(E$3,daily_items,XLOOKUP($C1511,daily_dates,big_daily_table))),NA(),XLOOKUP(E$3,daily_items,XLOOKUP($C1511,daily_dates,big_daily_table)))</f>
        <v>#N/A</v>
      </c>
    </row>
    <row r="1512" ht="14.25" customHeight="1">
      <c r="B1512" s="7">
        <v>42417.0</v>
      </c>
      <c r="C1512" s="7">
        <f t="shared" si="1"/>
        <v>42414</v>
      </c>
      <c r="D1512" s="1" t="str">
        <f t="array" ref="D1512">IF(ISBLANK(XLOOKUP(D$3,daily_items,XLOOKUP($C1512,daily_dates,big_daily_table))),NA(),XLOOKUP(D$3,daily_items,XLOOKUP($C1512,daily_dates,big_daily_table)))</f>
        <v>#N/A</v>
      </c>
      <c r="E1512" s="1" t="str">
        <f t="array" ref="E1512">IF(ISBLANK(XLOOKUP(E$3,daily_items,XLOOKUP($C1512,daily_dates,big_daily_table))),NA(),XLOOKUP(E$3,daily_items,XLOOKUP($C1512,daily_dates,big_daily_table)))</f>
        <v>#N/A</v>
      </c>
    </row>
    <row r="1513" ht="14.25" customHeight="1">
      <c r="B1513" s="7">
        <v>42418.0</v>
      </c>
      <c r="C1513" s="7">
        <f t="shared" si="1"/>
        <v>42414</v>
      </c>
      <c r="D1513" s="1" t="str">
        <f t="array" ref="D1513">IF(ISBLANK(XLOOKUP(D$3,daily_items,XLOOKUP($C1513,daily_dates,big_daily_table))),NA(),XLOOKUP(D$3,daily_items,XLOOKUP($C1513,daily_dates,big_daily_table)))</f>
        <v>#N/A</v>
      </c>
      <c r="E1513" s="1" t="str">
        <f t="array" ref="E1513">IF(ISBLANK(XLOOKUP(E$3,daily_items,XLOOKUP($C1513,daily_dates,big_daily_table))),NA(),XLOOKUP(E$3,daily_items,XLOOKUP($C1513,daily_dates,big_daily_table)))</f>
        <v>#N/A</v>
      </c>
    </row>
    <row r="1514" ht="14.25" customHeight="1">
      <c r="B1514" s="7">
        <v>42419.0</v>
      </c>
      <c r="C1514" s="7">
        <f t="shared" si="1"/>
        <v>42414</v>
      </c>
      <c r="D1514" s="1" t="str">
        <f t="array" ref="D1514">IF(ISBLANK(XLOOKUP(D$3,daily_items,XLOOKUP($C1514,daily_dates,big_daily_table))),NA(),XLOOKUP(D$3,daily_items,XLOOKUP($C1514,daily_dates,big_daily_table)))</f>
        <v>#N/A</v>
      </c>
      <c r="E1514" s="1" t="str">
        <f t="array" ref="E1514">IF(ISBLANK(XLOOKUP(E$3,daily_items,XLOOKUP($C1514,daily_dates,big_daily_table))),NA(),XLOOKUP(E$3,daily_items,XLOOKUP($C1514,daily_dates,big_daily_table)))</f>
        <v>#N/A</v>
      </c>
    </row>
    <row r="1515" ht="14.25" customHeight="1">
      <c r="B1515" s="7">
        <v>42420.0</v>
      </c>
      <c r="C1515" s="7">
        <f t="shared" si="1"/>
        <v>42414</v>
      </c>
      <c r="D1515" s="1" t="str">
        <f t="array" ref="D1515">IF(ISBLANK(XLOOKUP(D$3,daily_items,XLOOKUP($C1515,daily_dates,big_daily_table))),NA(),XLOOKUP(D$3,daily_items,XLOOKUP($C1515,daily_dates,big_daily_table)))</f>
        <v>#N/A</v>
      </c>
      <c r="E1515" s="1" t="str">
        <f t="array" ref="E1515">IF(ISBLANK(XLOOKUP(E$3,daily_items,XLOOKUP($C1515,daily_dates,big_daily_table))),NA(),XLOOKUP(E$3,daily_items,XLOOKUP($C1515,daily_dates,big_daily_table)))</f>
        <v>#N/A</v>
      </c>
    </row>
    <row r="1516" ht="14.25" customHeight="1">
      <c r="B1516" s="7">
        <v>42421.0</v>
      </c>
      <c r="C1516" s="7">
        <f t="shared" si="1"/>
        <v>42421</v>
      </c>
      <c r="D1516" s="1" t="str">
        <f t="array" ref="D1516">IF(ISBLANK(XLOOKUP(D$3,daily_items,XLOOKUP($C1516,daily_dates,big_daily_table))),NA(),XLOOKUP(D$3,daily_items,XLOOKUP($C1516,daily_dates,big_daily_table)))</f>
        <v>#N/A</v>
      </c>
      <c r="E1516" s="1" t="str">
        <f t="array" ref="E1516">IF(ISBLANK(XLOOKUP(E$3,daily_items,XLOOKUP($C1516,daily_dates,big_daily_table))),NA(),XLOOKUP(E$3,daily_items,XLOOKUP($C1516,daily_dates,big_daily_table)))</f>
        <v>#N/A</v>
      </c>
    </row>
    <row r="1517" ht="14.25" customHeight="1">
      <c r="B1517" s="7">
        <v>42422.0</v>
      </c>
      <c r="C1517" s="7">
        <f t="shared" si="1"/>
        <v>42421</v>
      </c>
      <c r="D1517" s="1" t="str">
        <f t="array" ref="D1517">IF(ISBLANK(XLOOKUP(D$3,daily_items,XLOOKUP($C1517,daily_dates,big_daily_table))),NA(),XLOOKUP(D$3,daily_items,XLOOKUP($C1517,daily_dates,big_daily_table)))</f>
        <v>#N/A</v>
      </c>
      <c r="E1517" s="1" t="str">
        <f t="array" ref="E1517">IF(ISBLANK(XLOOKUP(E$3,daily_items,XLOOKUP($C1517,daily_dates,big_daily_table))),NA(),XLOOKUP(E$3,daily_items,XLOOKUP($C1517,daily_dates,big_daily_table)))</f>
        <v>#N/A</v>
      </c>
    </row>
    <row r="1518" ht="14.25" customHeight="1">
      <c r="B1518" s="7">
        <v>42423.0</v>
      </c>
      <c r="C1518" s="7">
        <f t="shared" si="1"/>
        <v>42421</v>
      </c>
      <c r="D1518" s="1" t="str">
        <f t="array" ref="D1518">IF(ISBLANK(XLOOKUP(D$3,daily_items,XLOOKUP($C1518,daily_dates,big_daily_table))),NA(),XLOOKUP(D$3,daily_items,XLOOKUP($C1518,daily_dates,big_daily_table)))</f>
        <v>#N/A</v>
      </c>
      <c r="E1518" s="1" t="str">
        <f t="array" ref="E1518">IF(ISBLANK(XLOOKUP(E$3,daily_items,XLOOKUP($C1518,daily_dates,big_daily_table))),NA(),XLOOKUP(E$3,daily_items,XLOOKUP($C1518,daily_dates,big_daily_table)))</f>
        <v>#N/A</v>
      </c>
    </row>
    <row r="1519" ht="14.25" customHeight="1">
      <c r="B1519" s="7">
        <v>42424.0</v>
      </c>
      <c r="C1519" s="7">
        <f t="shared" si="1"/>
        <v>42421</v>
      </c>
      <c r="D1519" s="1" t="str">
        <f t="array" ref="D1519">IF(ISBLANK(XLOOKUP(D$3,daily_items,XLOOKUP($C1519,daily_dates,big_daily_table))),NA(),XLOOKUP(D$3,daily_items,XLOOKUP($C1519,daily_dates,big_daily_table)))</f>
        <v>#N/A</v>
      </c>
      <c r="E1519" s="1" t="str">
        <f t="array" ref="E1519">IF(ISBLANK(XLOOKUP(E$3,daily_items,XLOOKUP($C1519,daily_dates,big_daily_table))),NA(),XLOOKUP(E$3,daily_items,XLOOKUP($C1519,daily_dates,big_daily_table)))</f>
        <v>#N/A</v>
      </c>
    </row>
    <row r="1520" ht="14.25" customHeight="1">
      <c r="B1520" s="7">
        <v>42425.0</v>
      </c>
      <c r="C1520" s="7">
        <f t="shared" si="1"/>
        <v>42421</v>
      </c>
      <c r="D1520" s="1" t="str">
        <f t="array" ref="D1520">IF(ISBLANK(XLOOKUP(D$3,daily_items,XLOOKUP($C1520,daily_dates,big_daily_table))),NA(),XLOOKUP(D$3,daily_items,XLOOKUP($C1520,daily_dates,big_daily_table)))</f>
        <v>#N/A</v>
      </c>
      <c r="E1520" s="1" t="str">
        <f t="array" ref="E1520">IF(ISBLANK(XLOOKUP(E$3,daily_items,XLOOKUP($C1520,daily_dates,big_daily_table))),NA(),XLOOKUP(E$3,daily_items,XLOOKUP($C1520,daily_dates,big_daily_table)))</f>
        <v>#N/A</v>
      </c>
    </row>
    <row r="1521" ht="14.25" customHeight="1">
      <c r="B1521" s="7">
        <v>42426.0</v>
      </c>
      <c r="C1521" s="7">
        <f t="shared" si="1"/>
        <v>42421</v>
      </c>
      <c r="D1521" s="1" t="str">
        <f t="array" ref="D1521">IF(ISBLANK(XLOOKUP(D$3,daily_items,XLOOKUP($C1521,daily_dates,big_daily_table))),NA(),XLOOKUP(D$3,daily_items,XLOOKUP($C1521,daily_dates,big_daily_table)))</f>
        <v>#N/A</v>
      </c>
      <c r="E1521" s="1" t="str">
        <f t="array" ref="E1521">IF(ISBLANK(XLOOKUP(E$3,daily_items,XLOOKUP($C1521,daily_dates,big_daily_table))),NA(),XLOOKUP(E$3,daily_items,XLOOKUP($C1521,daily_dates,big_daily_table)))</f>
        <v>#N/A</v>
      </c>
    </row>
    <row r="1522" ht="14.25" customHeight="1">
      <c r="B1522" s="7">
        <v>42427.0</v>
      </c>
      <c r="C1522" s="7">
        <f t="shared" si="1"/>
        <v>42421</v>
      </c>
      <c r="D1522" s="1" t="str">
        <f t="array" ref="D1522">IF(ISBLANK(XLOOKUP(D$3,daily_items,XLOOKUP($C1522,daily_dates,big_daily_table))),NA(),XLOOKUP(D$3,daily_items,XLOOKUP($C1522,daily_dates,big_daily_table)))</f>
        <v>#N/A</v>
      </c>
      <c r="E1522" s="1" t="str">
        <f t="array" ref="E1522">IF(ISBLANK(XLOOKUP(E$3,daily_items,XLOOKUP($C1522,daily_dates,big_daily_table))),NA(),XLOOKUP(E$3,daily_items,XLOOKUP($C1522,daily_dates,big_daily_table)))</f>
        <v>#N/A</v>
      </c>
    </row>
    <row r="1523" ht="14.25" customHeight="1">
      <c r="B1523" s="7">
        <v>42428.0</v>
      </c>
      <c r="C1523" s="7">
        <f t="shared" si="1"/>
        <v>42428</v>
      </c>
      <c r="D1523" s="1" t="str">
        <f t="array" ref="D1523">IF(ISBLANK(XLOOKUP(D$3,daily_items,XLOOKUP($C1523,daily_dates,big_daily_table))),NA(),XLOOKUP(D$3,daily_items,XLOOKUP($C1523,daily_dates,big_daily_table)))</f>
        <v>#N/A</v>
      </c>
      <c r="E1523" s="1" t="str">
        <f t="array" ref="E1523">IF(ISBLANK(XLOOKUP(E$3,daily_items,XLOOKUP($C1523,daily_dates,big_daily_table))),NA(),XLOOKUP(E$3,daily_items,XLOOKUP($C1523,daily_dates,big_daily_table)))</f>
        <v>#N/A</v>
      </c>
    </row>
    <row r="1524" ht="14.25" customHeight="1">
      <c r="B1524" s="7">
        <v>42429.0</v>
      </c>
      <c r="C1524" s="7">
        <f t="shared" si="1"/>
        <v>42428</v>
      </c>
      <c r="D1524" s="1" t="str">
        <f t="array" ref="D1524">IF(ISBLANK(XLOOKUP(D$3,daily_items,XLOOKUP($C1524,daily_dates,big_daily_table))),NA(),XLOOKUP(D$3,daily_items,XLOOKUP($C1524,daily_dates,big_daily_table)))</f>
        <v>#N/A</v>
      </c>
      <c r="E1524" s="1" t="str">
        <f t="array" ref="E1524">IF(ISBLANK(XLOOKUP(E$3,daily_items,XLOOKUP($C1524,daily_dates,big_daily_table))),NA(),XLOOKUP(E$3,daily_items,XLOOKUP($C1524,daily_dates,big_daily_table)))</f>
        <v>#N/A</v>
      </c>
    </row>
    <row r="1525" ht="14.25" customHeight="1">
      <c r="B1525" s="7">
        <v>42430.0</v>
      </c>
      <c r="C1525" s="7">
        <f t="shared" si="1"/>
        <v>42428</v>
      </c>
      <c r="D1525" s="1" t="str">
        <f t="array" ref="D1525">IF(ISBLANK(XLOOKUP(D$3,daily_items,XLOOKUP($C1525,daily_dates,big_daily_table))),NA(),XLOOKUP(D$3,daily_items,XLOOKUP($C1525,daily_dates,big_daily_table)))</f>
        <v>#N/A</v>
      </c>
      <c r="E1525" s="1" t="str">
        <f t="array" ref="E1525">IF(ISBLANK(XLOOKUP(E$3,daily_items,XLOOKUP($C1525,daily_dates,big_daily_table))),NA(),XLOOKUP(E$3,daily_items,XLOOKUP($C1525,daily_dates,big_daily_table)))</f>
        <v>#N/A</v>
      </c>
    </row>
    <row r="1526" ht="14.25" customHeight="1">
      <c r="B1526" s="7">
        <v>42431.0</v>
      </c>
      <c r="C1526" s="7">
        <f t="shared" si="1"/>
        <v>42428</v>
      </c>
      <c r="D1526" s="1" t="str">
        <f t="array" ref="D1526">IF(ISBLANK(XLOOKUP(D$3,daily_items,XLOOKUP($C1526,daily_dates,big_daily_table))),NA(),XLOOKUP(D$3,daily_items,XLOOKUP($C1526,daily_dates,big_daily_table)))</f>
        <v>#N/A</v>
      </c>
      <c r="E1526" s="1" t="str">
        <f t="array" ref="E1526">IF(ISBLANK(XLOOKUP(E$3,daily_items,XLOOKUP($C1526,daily_dates,big_daily_table))),NA(),XLOOKUP(E$3,daily_items,XLOOKUP($C1526,daily_dates,big_daily_table)))</f>
        <v>#N/A</v>
      </c>
    </row>
    <row r="1527" ht="14.25" customHeight="1">
      <c r="B1527" s="7">
        <v>42432.0</v>
      </c>
      <c r="C1527" s="7">
        <f t="shared" si="1"/>
        <v>42428</v>
      </c>
      <c r="D1527" s="1" t="str">
        <f t="array" ref="D1527">IF(ISBLANK(XLOOKUP(D$3,daily_items,XLOOKUP($C1527,daily_dates,big_daily_table))),NA(),XLOOKUP(D$3,daily_items,XLOOKUP($C1527,daily_dates,big_daily_table)))</f>
        <v>#N/A</v>
      </c>
      <c r="E1527" s="1" t="str">
        <f t="array" ref="E1527">IF(ISBLANK(XLOOKUP(E$3,daily_items,XLOOKUP($C1527,daily_dates,big_daily_table))),NA(),XLOOKUP(E$3,daily_items,XLOOKUP($C1527,daily_dates,big_daily_table)))</f>
        <v>#N/A</v>
      </c>
    </row>
    <row r="1528" ht="14.25" customHeight="1">
      <c r="B1528" s="7">
        <v>42433.0</v>
      </c>
      <c r="C1528" s="7">
        <f t="shared" si="1"/>
        <v>42428</v>
      </c>
      <c r="D1528" s="1" t="str">
        <f t="array" ref="D1528">IF(ISBLANK(XLOOKUP(D$3,daily_items,XLOOKUP($C1528,daily_dates,big_daily_table))),NA(),XLOOKUP(D$3,daily_items,XLOOKUP($C1528,daily_dates,big_daily_table)))</f>
        <v>#N/A</v>
      </c>
      <c r="E1528" s="1" t="str">
        <f t="array" ref="E1528">IF(ISBLANK(XLOOKUP(E$3,daily_items,XLOOKUP($C1528,daily_dates,big_daily_table))),NA(),XLOOKUP(E$3,daily_items,XLOOKUP($C1528,daily_dates,big_daily_table)))</f>
        <v>#N/A</v>
      </c>
    </row>
    <row r="1529" ht="14.25" customHeight="1">
      <c r="B1529" s="7">
        <v>42434.0</v>
      </c>
      <c r="C1529" s="7">
        <f t="shared" si="1"/>
        <v>42428</v>
      </c>
      <c r="D1529" s="1" t="str">
        <f t="array" ref="D1529">IF(ISBLANK(XLOOKUP(D$3,daily_items,XLOOKUP($C1529,daily_dates,big_daily_table))),NA(),XLOOKUP(D$3,daily_items,XLOOKUP($C1529,daily_dates,big_daily_table)))</f>
        <v>#N/A</v>
      </c>
      <c r="E1529" s="1" t="str">
        <f t="array" ref="E1529">IF(ISBLANK(XLOOKUP(E$3,daily_items,XLOOKUP($C1529,daily_dates,big_daily_table))),NA(),XLOOKUP(E$3,daily_items,XLOOKUP($C1529,daily_dates,big_daily_table)))</f>
        <v>#N/A</v>
      </c>
    </row>
    <row r="1530" ht="14.25" customHeight="1">
      <c r="B1530" s="7">
        <v>42435.0</v>
      </c>
      <c r="C1530" s="7">
        <f t="shared" si="1"/>
        <v>42435</v>
      </c>
      <c r="D1530" s="1" t="str">
        <f t="array" ref="D1530">IF(ISBLANK(XLOOKUP(D$3,daily_items,XLOOKUP($C1530,daily_dates,big_daily_table))),NA(),XLOOKUP(D$3,daily_items,XLOOKUP($C1530,daily_dates,big_daily_table)))</f>
        <v>#N/A</v>
      </c>
      <c r="E1530" s="1" t="str">
        <f t="array" ref="E1530">IF(ISBLANK(XLOOKUP(E$3,daily_items,XLOOKUP($C1530,daily_dates,big_daily_table))),NA(),XLOOKUP(E$3,daily_items,XLOOKUP($C1530,daily_dates,big_daily_table)))</f>
        <v>#N/A</v>
      </c>
    </row>
    <row r="1531" ht="14.25" customHeight="1">
      <c r="B1531" s="7">
        <v>42436.0</v>
      </c>
      <c r="C1531" s="7">
        <f t="shared" si="1"/>
        <v>42435</v>
      </c>
      <c r="D1531" s="1" t="str">
        <f t="array" ref="D1531">IF(ISBLANK(XLOOKUP(D$3,daily_items,XLOOKUP($C1531,daily_dates,big_daily_table))),NA(),XLOOKUP(D$3,daily_items,XLOOKUP($C1531,daily_dates,big_daily_table)))</f>
        <v>#N/A</v>
      </c>
      <c r="E1531" s="1" t="str">
        <f t="array" ref="E1531">IF(ISBLANK(XLOOKUP(E$3,daily_items,XLOOKUP($C1531,daily_dates,big_daily_table))),NA(),XLOOKUP(E$3,daily_items,XLOOKUP($C1531,daily_dates,big_daily_table)))</f>
        <v>#N/A</v>
      </c>
    </row>
    <row r="1532" ht="14.25" customHeight="1">
      <c r="B1532" s="7">
        <v>42437.0</v>
      </c>
      <c r="C1532" s="7">
        <f t="shared" si="1"/>
        <v>42435</v>
      </c>
      <c r="D1532" s="1" t="str">
        <f t="array" ref="D1532">IF(ISBLANK(XLOOKUP(D$3,daily_items,XLOOKUP($C1532,daily_dates,big_daily_table))),NA(),XLOOKUP(D$3,daily_items,XLOOKUP($C1532,daily_dates,big_daily_table)))</f>
        <v>#N/A</v>
      </c>
      <c r="E1532" s="1" t="str">
        <f t="array" ref="E1532">IF(ISBLANK(XLOOKUP(E$3,daily_items,XLOOKUP($C1532,daily_dates,big_daily_table))),NA(),XLOOKUP(E$3,daily_items,XLOOKUP($C1532,daily_dates,big_daily_table)))</f>
        <v>#N/A</v>
      </c>
    </row>
    <row r="1533" ht="14.25" customHeight="1">
      <c r="B1533" s="7">
        <v>42438.0</v>
      </c>
      <c r="C1533" s="7">
        <f t="shared" si="1"/>
        <v>42435</v>
      </c>
      <c r="D1533" s="1" t="str">
        <f t="array" ref="D1533">IF(ISBLANK(XLOOKUP(D$3,daily_items,XLOOKUP($C1533,daily_dates,big_daily_table))),NA(),XLOOKUP(D$3,daily_items,XLOOKUP($C1533,daily_dates,big_daily_table)))</f>
        <v>#N/A</v>
      </c>
      <c r="E1533" s="1" t="str">
        <f t="array" ref="E1533">IF(ISBLANK(XLOOKUP(E$3,daily_items,XLOOKUP($C1533,daily_dates,big_daily_table))),NA(),XLOOKUP(E$3,daily_items,XLOOKUP($C1533,daily_dates,big_daily_table)))</f>
        <v>#N/A</v>
      </c>
    </row>
    <row r="1534" ht="14.25" customHeight="1">
      <c r="B1534" s="7">
        <v>42439.0</v>
      </c>
      <c r="C1534" s="7">
        <f t="shared" si="1"/>
        <v>42435</v>
      </c>
      <c r="D1534" s="1" t="str">
        <f t="array" ref="D1534">IF(ISBLANK(XLOOKUP(D$3,daily_items,XLOOKUP($C1534,daily_dates,big_daily_table))),NA(),XLOOKUP(D$3,daily_items,XLOOKUP($C1534,daily_dates,big_daily_table)))</f>
        <v>#N/A</v>
      </c>
      <c r="E1534" s="1" t="str">
        <f t="array" ref="E1534">IF(ISBLANK(XLOOKUP(E$3,daily_items,XLOOKUP($C1534,daily_dates,big_daily_table))),NA(),XLOOKUP(E$3,daily_items,XLOOKUP($C1534,daily_dates,big_daily_table)))</f>
        <v>#N/A</v>
      </c>
    </row>
    <row r="1535" ht="14.25" customHeight="1">
      <c r="B1535" s="7">
        <v>42440.0</v>
      </c>
      <c r="C1535" s="7">
        <f t="shared" si="1"/>
        <v>42435</v>
      </c>
      <c r="D1535" s="1" t="str">
        <f t="array" ref="D1535">IF(ISBLANK(XLOOKUP(D$3,daily_items,XLOOKUP($C1535,daily_dates,big_daily_table))),NA(),XLOOKUP(D$3,daily_items,XLOOKUP($C1535,daily_dates,big_daily_table)))</f>
        <v>#N/A</v>
      </c>
      <c r="E1535" s="1" t="str">
        <f t="array" ref="E1535">IF(ISBLANK(XLOOKUP(E$3,daily_items,XLOOKUP($C1535,daily_dates,big_daily_table))),NA(),XLOOKUP(E$3,daily_items,XLOOKUP($C1535,daily_dates,big_daily_table)))</f>
        <v>#N/A</v>
      </c>
    </row>
    <row r="1536" ht="14.25" customHeight="1">
      <c r="B1536" s="7">
        <v>42441.0</v>
      </c>
      <c r="C1536" s="7">
        <f t="shared" si="1"/>
        <v>42435</v>
      </c>
      <c r="D1536" s="1" t="str">
        <f t="array" ref="D1536">IF(ISBLANK(XLOOKUP(D$3,daily_items,XLOOKUP($C1536,daily_dates,big_daily_table))),NA(),XLOOKUP(D$3,daily_items,XLOOKUP($C1536,daily_dates,big_daily_table)))</f>
        <v>#N/A</v>
      </c>
      <c r="E1536" s="1" t="str">
        <f t="array" ref="E1536">IF(ISBLANK(XLOOKUP(E$3,daily_items,XLOOKUP($C1536,daily_dates,big_daily_table))),NA(),XLOOKUP(E$3,daily_items,XLOOKUP($C1536,daily_dates,big_daily_table)))</f>
        <v>#N/A</v>
      </c>
    </row>
    <row r="1537" ht="14.25" customHeight="1">
      <c r="B1537" s="7">
        <v>42442.0</v>
      </c>
      <c r="C1537" s="7">
        <f t="shared" si="1"/>
        <v>42442</v>
      </c>
      <c r="D1537" s="1" t="str">
        <f t="array" ref="D1537">IF(ISBLANK(XLOOKUP(D$3,daily_items,XLOOKUP($C1537,daily_dates,big_daily_table))),NA(),XLOOKUP(D$3,daily_items,XLOOKUP($C1537,daily_dates,big_daily_table)))</f>
        <v>#N/A</v>
      </c>
      <c r="E1537" s="1" t="str">
        <f t="array" ref="E1537">IF(ISBLANK(XLOOKUP(E$3,daily_items,XLOOKUP($C1537,daily_dates,big_daily_table))),NA(),XLOOKUP(E$3,daily_items,XLOOKUP($C1537,daily_dates,big_daily_table)))</f>
        <v>#N/A</v>
      </c>
    </row>
    <row r="1538" ht="14.25" customHeight="1">
      <c r="B1538" s="7">
        <v>42443.0</v>
      </c>
      <c r="C1538" s="7">
        <f t="shared" si="1"/>
        <v>42442</v>
      </c>
      <c r="D1538" s="1" t="str">
        <f t="array" ref="D1538">IF(ISBLANK(XLOOKUP(D$3,daily_items,XLOOKUP($C1538,daily_dates,big_daily_table))),NA(),XLOOKUP(D$3,daily_items,XLOOKUP($C1538,daily_dates,big_daily_table)))</f>
        <v>#N/A</v>
      </c>
      <c r="E1538" s="1" t="str">
        <f t="array" ref="E1538">IF(ISBLANK(XLOOKUP(E$3,daily_items,XLOOKUP($C1538,daily_dates,big_daily_table))),NA(),XLOOKUP(E$3,daily_items,XLOOKUP($C1538,daily_dates,big_daily_table)))</f>
        <v>#N/A</v>
      </c>
    </row>
    <row r="1539" ht="14.25" customHeight="1">
      <c r="B1539" s="7">
        <v>42444.0</v>
      </c>
      <c r="C1539" s="7">
        <f t="shared" si="1"/>
        <v>42442</v>
      </c>
      <c r="D1539" s="1" t="str">
        <f t="array" ref="D1539">IF(ISBLANK(XLOOKUP(D$3,daily_items,XLOOKUP($C1539,daily_dates,big_daily_table))),NA(),XLOOKUP(D$3,daily_items,XLOOKUP($C1539,daily_dates,big_daily_table)))</f>
        <v>#N/A</v>
      </c>
      <c r="E1539" s="1" t="str">
        <f t="array" ref="E1539">IF(ISBLANK(XLOOKUP(E$3,daily_items,XLOOKUP($C1539,daily_dates,big_daily_table))),NA(),XLOOKUP(E$3,daily_items,XLOOKUP($C1539,daily_dates,big_daily_table)))</f>
        <v>#N/A</v>
      </c>
    </row>
    <row r="1540" ht="14.25" customHeight="1">
      <c r="B1540" s="7">
        <v>42445.0</v>
      </c>
      <c r="C1540" s="7">
        <f t="shared" si="1"/>
        <v>42442</v>
      </c>
      <c r="D1540" s="1" t="str">
        <f t="array" ref="D1540">IF(ISBLANK(XLOOKUP(D$3,daily_items,XLOOKUP($C1540,daily_dates,big_daily_table))),NA(),XLOOKUP(D$3,daily_items,XLOOKUP($C1540,daily_dates,big_daily_table)))</f>
        <v>#N/A</v>
      </c>
      <c r="E1540" s="1" t="str">
        <f t="array" ref="E1540">IF(ISBLANK(XLOOKUP(E$3,daily_items,XLOOKUP($C1540,daily_dates,big_daily_table))),NA(),XLOOKUP(E$3,daily_items,XLOOKUP($C1540,daily_dates,big_daily_table)))</f>
        <v>#N/A</v>
      </c>
    </row>
    <row r="1541" ht="14.25" customHeight="1">
      <c r="B1541" s="7">
        <v>42446.0</v>
      </c>
      <c r="C1541" s="7">
        <f t="shared" si="1"/>
        <v>42442</v>
      </c>
      <c r="D1541" s="1" t="str">
        <f t="array" ref="D1541">IF(ISBLANK(XLOOKUP(D$3,daily_items,XLOOKUP($C1541,daily_dates,big_daily_table))),NA(),XLOOKUP(D$3,daily_items,XLOOKUP($C1541,daily_dates,big_daily_table)))</f>
        <v>#N/A</v>
      </c>
      <c r="E1541" s="1" t="str">
        <f t="array" ref="E1541">IF(ISBLANK(XLOOKUP(E$3,daily_items,XLOOKUP($C1541,daily_dates,big_daily_table))),NA(),XLOOKUP(E$3,daily_items,XLOOKUP($C1541,daily_dates,big_daily_table)))</f>
        <v>#N/A</v>
      </c>
    </row>
    <row r="1542" ht="14.25" customHeight="1">
      <c r="B1542" s="7">
        <v>42447.0</v>
      </c>
      <c r="C1542" s="7">
        <f t="shared" si="1"/>
        <v>42442</v>
      </c>
      <c r="D1542" s="1" t="str">
        <f t="array" ref="D1542">IF(ISBLANK(XLOOKUP(D$3,daily_items,XLOOKUP($C1542,daily_dates,big_daily_table))),NA(),XLOOKUP(D$3,daily_items,XLOOKUP($C1542,daily_dates,big_daily_table)))</f>
        <v>#N/A</v>
      </c>
      <c r="E1542" s="1" t="str">
        <f t="array" ref="E1542">IF(ISBLANK(XLOOKUP(E$3,daily_items,XLOOKUP($C1542,daily_dates,big_daily_table))),NA(),XLOOKUP(E$3,daily_items,XLOOKUP($C1542,daily_dates,big_daily_table)))</f>
        <v>#N/A</v>
      </c>
    </row>
    <row r="1543" ht="14.25" customHeight="1">
      <c r="B1543" s="7">
        <v>42448.0</v>
      </c>
      <c r="C1543" s="7">
        <f t="shared" si="1"/>
        <v>42442</v>
      </c>
      <c r="D1543" s="1" t="str">
        <f t="array" ref="D1543">IF(ISBLANK(XLOOKUP(D$3,daily_items,XLOOKUP($C1543,daily_dates,big_daily_table))),NA(),XLOOKUP(D$3,daily_items,XLOOKUP($C1543,daily_dates,big_daily_table)))</f>
        <v>#N/A</v>
      </c>
      <c r="E1543" s="1" t="str">
        <f t="array" ref="E1543">IF(ISBLANK(XLOOKUP(E$3,daily_items,XLOOKUP($C1543,daily_dates,big_daily_table))),NA(),XLOOKUP(E$3,daily_items,XLOOKUP($C1543,daily_dates,big_daily_table)))</f>
        <v>#N/A</v>
      </c>
    </row>
    <row r="1544" ht="14.25" customHeight="1">
      <c r="B1544" s="7">
        <v>42449.0</v>
      </c>
      <c r="C1544" s="7">
        <f t="shared" si="1"/>
        <v>42449</v>
      </c>
      <c r="D1544" s="1" t="str">
        <f t="array" ref="D1544">IF(ISBLANK(XLOOKUP(D$3,daily_items,XLOOKUP($C1544,daily_dates,big_daily_table))),NA(),XLOOKUP(D$3,daily_items,XLOOKUP($C1544,daily_dates,big_daily_table)))</f>
        <v>#N/A</v>
      </c>
      <c r="E1544" s="1" t="str">
        <f t="array" ref="E1544">IF(ISBLANK(XLOOKUP(E$3,daily_items,XLOOKUP($C1544,daily_dates,big_daily_table))),NA(),XLOOKUP(E$3,daily_items,XLOOKUP($C1544,daily_dates,big_daily_table)))</f>
        <v>#N/A</v>
      </c>
    </row>
    <row r="1545" ht="14.25" customHeight="1">
      <c r="B1545" s="7">
        <v>42450.0</v>
      </c>
      <c r="C1545" s="7">
        <f t="shared" si="1"/>
        <v>42449</v>
      </c>
      <c r="D1545" s="1" t="str">
        <f t="array" ref="D1545">IF(ISBLANK(XLOOKUP(D$3,daily_items,XLOOKUP($C1545,daily_dates,big_daily_table))),NA(),XLOOKUP(D$3,daily_items,XLOOKUP($C1545,daily_dates,big_daily_table)))</f>
        <v>#N/A</v>
      </c>
      <c r="E1545" s="1" t="str">
        <f t="array" ref="E1545">IF(ISBLANK(XLOOKUP(E$3,daily_items,XLOOKUP($C1545,daily_dates,big_daily_table))),NA(),XLOOKUP(E$3,daily_items,XLOOKUP($C1545,daily_dates,big_daily_table)))</f>
        <v>#N/A</v>
      </c>
    </row>
    <row r="1546" ht="14.25" customHeight="1">
      <c r="B1546" s="7">
        <v>42451.0</v>
      </c>
      <c r="C1546" s="7">
        <f t="shared" si="1"/>
        <v>42449</v>
      </c>
      <c r="D1546" s="1" t="str">
        <f t="array" ref="D1546">IF(ISBLANK(XLOOKUP(D$3,daily_items,XLOOKUP($C1546,daily_dates,big_daily_table))),NA(),XLOOKUP(D$3,daily_items,XLOOKUP($C1546,daily_dates,big_daily_table)))</f>
        <v>#N/A</v>
      </c>
      <c r="E1546" s="1" t="str">
        <f t="array" ref="E1546">IF(ISBLANK(XLOOKUP(E$3,daily_items,XLOOKUP($C1546,daily_dates,big_daily_table))),NA(),XLOOKUP(E$3,daily_items,XLOOKUP($C1546,daily_dates,big_daily_table)))</f>
        <v>#N/A</v>
      </c>
    </row>
    <row r="1547" ht="14.25" customHeight="1">
      <c r="B1547" s="7">
        <v>42452.0</v>
      </c>
      <c r="C1547" s="7">
        <f t="shared" si="1"/>
        <v>42449</v>
      </c>
      <c r="D1547" s="1" t="str">
        <f t="array" ref="D1547">IF(ISBLANK(XLOOKUP(D$3,daily_items,XLOOKUP($C1547,daily_dates,big_daily_table))),NA(),XLOOKUP(D$3,daily_items,XLOOKUP($C1547,daily_dates,big_daily_table)))</f>
        <v>#N/A</v>
      </c>
      <c r="E1547" s="1" t="str">
        <f t="array" ref="E1547">IF(ISBLANK(XLOOKUP(E$3,daily_items,XLOOKUP($C1547,daily_dates,big_daily_table))),NA(),XLOOKUP(E$3,daily_items,XLOOKUP($C1547,daily_dates,big_daily_table)))</f>
        <v>#N/A</v>
      </c>
    </row>
    <row r="1548" ht="14.25" customHeight="1">
      <c r="B1548" s="7">
        <v>42453.0</v>
      </c>
      <c r="C1548" s="7">
        <f t="shared" si="1"/>
        <v>42449</v>
      </c>
      <c r="D1548" s="1" t="str">
        <f t="array" ref="D1548">IF(ISBLANK(XLOOKUP(D$3,daily_items,XLOOKUP($C1548,daily_dates,big_daily_table))),NA(),XLOOKUP(D$3,daily_items,XLOOKUP($C1548,daily_dates,big_daily_table)))</f>
        <v>#N/A</v>
      </c>
      <c r="E1548" s="1" t="str">
        <f t="array" ref="E1548">IF(ISBLANK(XLOOKUP(E$3,daily_items,XLOOKUP($C1548,daily_dates,big_daily_table))),NA(),XLOOKUP(E$3,daily_items,XLOOKUP($C1548,daily_dates,big_daily_table)))</f>
        <v>#N/A</v>
      </c>
    </row>
    <row r="1549" ht="14.25" customHeight="1">
      <c r="B1549" s="7">
        <v>42454.0</v>
      </c>
      <c r="C1549" s="7">
        <f t="shared" si="1"/>
        <v>42449</v>
      </c>
      <c r="D1549" s="1" t="str">
        <f t="array" ref="D1549">IF(ISBLANK(XLOOKUP(D$3,daily_items,XLOOKUP($C1549,daily_dates,big_daily_table))),NA(),XLOOKUP(D$3,daily_items,XLOOKUP($C1549,daily_dates,big_daily_table)))</f>
        <v>#N/A</v>
      </c>
      <c r="E1549" s="1" t="str">
        <f t="array" ref="E1549">IF(ISBLANK(XLOOKUP(E$3,daily_items,XLOOKUP($C1549,daily_dates,big_daily_table))),NA(),XLOOKUP(E$3,daily_items,XLOOKUP($C1549,daily_dates,big_daily_table)))</f>
        <v>#N/A</v>
      </c>
    </row>
    <row r="1550" ht="14.25" customHeight="1">
      <c r="B1550" s="7">
        <v>42455.0</v>
      </c>
      <c r="C1550" s="7">
        <f t="shared" si="1"/>
        <v>42449</v>
      </c>
      <c r="D1550" s="1" t="str">
        <f t="array" ref="D1550">IF(ISBLANK(XLOOKUP(D$3,daily_items,XLOOKUP($C1550,daily_dates,big_daily_table))),NA(),XLOOKUP(D$3,daily_items,XLOOKUP($C1550,daily_dates,big_daily_table)))</f>
        <v>#N/A</v>
      </c>
      <c r="E1550" s="1" t="str">
        <f t="array" ref="E1550">IF(ISBLANK(XLOOKUP(E$3,daily_items,XLOOKUP($C1550,daily_dates,big_daily_table))),NA(),XLOOKUP(E$3,daily_items,XLOOKUP($C1550,daily_dates,big_daily_table)))</f>
        <v>#N/A</v>
      </c>
    </row>
    <row r="1551" ht="14.25" customHeight="1">
      <c r="B1551" s="7">
        <v>42456.0</v>
      </c>
      <c r="C1551" s="7">
        <f t="shared" si="1"/>
        <v>42456</v>
      </c>
      <c r="D1551" s="1" t="str">
        <f t="array" ref="D1551">IF(ISBLANK(XLOOKUP(D$3,daily_items,XLOOKUP($C1551,daily_dates,big_daily_table))),NA(),XLOOKUP(D$3,daily_items,XLOOKUP($C1551,daily_dates,big_daily_table)))</f>
        <v>#N/A</v>
      </c>
      <c r="E1551" s="1" t="str">
        <f t="array" ref="E1551">IF(ISBLANK(XLOOKUP(E$3,daily_items,XLOOKUP($C1551,daily_dates,big_daily_table))),NA(),XLOOKUP(E$3,daily_items,XLOOKUP($C1551,daily_dates,big_daily_table)))</f>
        <v>#N/A</v>
      </c>
    </row>
    <row r="1552" ht="14.25" customHeight="1">
      <c r="B1552" s="7">
        <v>42457.0</v>
      </c>
      <c r="C1552" s="7">
        <f t="shared" si="1"/>
        <v>42456</v>
      </c>
      <c r="D1552" s="1" t="str">
        <f t="array" ref="D1552">IF(ISBLANK(XLOOKUP(D$3,daily_items,XLOOKUP($C1552,daily_dates,big_daily_table))),NA(),XLOOKUP(D$3,daily_items,XLOOKUP($C1552,daily_dates,big_daily_table)))</f>
        <v>#N/A</v>
      </c>
      <c r="E1552" s="1" t="str">
        <f t="array" ref="E1552">IF(ISBLANK(XLOOKUP(E$3,daily_items,XLOOKUP($C1552,daily_dates,big_daily_table))),NA(),XLOOKUP(E$3,daily_items,XLOOKUP($C1552,daily_dates,big_daily_table)))</f>
        <v>#N/A</v>
      </c>
    </row>
    <row r="1553" ht="14.25" customHeight="1">
      <c r="B1553" s="7">
        <v>42458.0</v>
      </c>
      <c r="C1553" s="7">
        <f t="shared" si="1"/>
        <v>42456</v>
      </c>
      <c r="D1553" s="1" t="str">
        <f t="array" ref="D1553">IF(ISBLANK(XLOOKUP(D$3,daily_items,XLOOKUP($C1553,daily_dates,big_daily_table))),NA(),XLOOKUP(D$3,daily_items,XLOOKUP($C1553,daily_dates,big_daily_table)))</f>
        <v>#N/A</v>
      </c>
      <c r="E1553" s="1" t="str">
        <f t="array" ref="E1553">IF(ISBLANK(XLOOKUP(E$3,daily_items,XLOOKUP($C1553,daily_dates,big_daily_table))),NA(),XLOOKUP(E$3,daily_items,XLOOKUP($C1553,daily_dates,big_daily_table)))</f>
        <v>#N/A</v>
      </c>
    </row>
    <row r="1554" ht="14.25" customHeight="1">
      <c r="B1554" s="7">
        <v>42459.0</v>
      </c>
      <c r="C1554" s="7">
        <f t="shared" si="1"/>
        <v>42456</v>
      </c>
      <c r="D1554" s="1" t="str">
        <f t="array" ref="D1554">IF(ISBLANK(XLOOKUP(D$3,daily_items,XLOOKUP($C1554,daily_dates,big_daily_table))),NA(),XLOOKUP(D$3,daily_items,XLOOKUP($C1554,daily_dates,big_daily_table)))</f>
        <v>#N/A</v>
      </c>
      <c r="E1554" s="1" t="str">
        <f t="array" ref="E1554">IF(ISBLANK(XLOOKUP(E$3,daily_items,XLOOKUP($C1554,daily_dates,big_daily_table))),NA(),XLOOKUP(E$3,daily_items,XLOOKUP($C1554,daily_dates,big_daily_table)))</f>
        <v>#N/A</v>
      </c>
    </row>
    <row r="1555" ht="14.25" customHeight="1">
      <c r="B1555" s="7">
        <v>42460.0</v>
      </c>
      <c r="C1555" s="7">
        <f t="shared" si="1"/>
        <v>42456</v>
      </c>
      <c r="D1555" s="1" t="str">
        <f t="array" ref="D1555">IF(ISBLANK(XLOOKUP(D$3,daily_items,XLOOKUP($C1555,daily_dates,big_daily_table))),NA(),XLOOKUP(D$3,daily_items,XLOOKUP($C1555,daily_dates,big_daily_table)))</f>
        <v>#N/A</v>
      </c>
      <c r="E1555" s="1" t="str">
        <f t="array" ref="E1555">IF(ISBLANK(XLOOKUP(E$3,daily_items,XLOOKUP($C1555,daily_dates,big_daily_table))),NA(),XLOOKUP(E$3,daily_items,XLOOKUP($C1555,daily_dates,big_daily_table)))</f>
        <v>#N/A</v>
      </c>
    </row>
    <row r="1556" ht="14.25" customHeight="1">
      <c r="B1556" s="7">
        <v>42461.0</v>
      </c>
      <c r="C1556" s="7">
        <f t="shared" si="1"/>
        <v>42456</v>
      </c>
      <c r="D1556" s="1" t="str">
        <f t="array" ref="D1556">IF(ISBLANK(XLOOKUP(D$3,daily_items,XLOOKUP($C1556,daily_dates,big_daily_table))),NA(),XLOOKUP(D$3,daily_items,XLOOKUP($C1556,daily_dates,big_daily_table)))</f>
        <v>#N/A</v>
      </c>
      <c r="E1556" s="1" t="str">
        <f t="array" ref="E1556">IF(ISBLANK(XLOOKUP(E$3,daily_items,XLOOKUP($C1556,daily_dates,big_daily_table))),NA(),XLOOKUP(E$3,daily_items,XLOOKUP($C1556,daily_dates,big_daily_table)))</f>
        <v>#N/A</v>
      </c>
    </row>
    <row r="1557" ht="14.25" customHeight="1">
      <c r="B1557" s="7">
        <v>42462.0</v>
      </c>
      <c r="C1557" s="7">
        <f t="shared" si="1"/>
        <v>42456</v>
      </c>
      <c r="D1557" s="1" t="str">
        <f t="array" ref="D1557">IF(ISBLANK(XLOOKUP(D$3,daily_items,XLOOKUP($C1557,daily_dates,big_daily_table))),NA(),XLOOKUP(D$3,daily_items,XLOOKUP($C1557,daily_dates,big_daily_table)))</f>
        <v>#N/A</v>
      </c>
      <c r="E1557" s="1" t="str">
        <f t="array" ref="E1557">IF(ISBLANK(XLOOKUP(E$3,daily_items,XLOOKUP($C1557,daily_dates,big_daily_table))),NA(),XLOOKUP(E$3,daily_items,XLOOKUP($C1557,daily_dates,big_daily_table)))</f>
        <v>#N/A</v>
      </c>
    </row>
    <row r="1558" ht="14.25" customHeight="1">
      <c r="B1558" s="7">
        <v>42463.0</v>
      </c>
      <c r="C1558" s="7">
        <f t="shared" si="1"/>
        <v>42463</v>
      </c>
      <c r="D1558" s="1" t="str">
        <f t="array" ref="D1558">IF(ISBLANK(XLOOKUP(D$3,daily_items,XLOOKUP($C1558,daily_dates,big_daily_table))),NA(),XLOOKUP(D$3,daily_items,XLOOKUP($C1558,daily_dates,big_daily_table)))</f>
        <v>#N/A</v>
      </c>
      <c r="E1558" s="1" t="str">
        <f t="array" ref="E1558">IF(ISBLANK(XLOOKUP(E$3,daily_items,XLOOKUP($C1558,daily_dates,big_daily_table))),NA(),XLOOKUP(E$3,daily_items,XLOOKUP($C1558,daily_dates,big_daily_table)))</f>
        <v>#N/A</v>
      </c>
    </row>
    <row r="1559" ht="14.25" customHeight="1">
      <c r="B1559" s="7">
        <v>42464.0</v>
      </c>
      <c r="C1559" s="7">
        <f t="shared" si="1"/>
        <v>42463</v>
      </c>
      <c r="D1559" s="1" t="str">
        <f t="array" ref="D1559">IF(ISBLANK(XLOOKUP(D$3,daily_items,XLOOKUP($C1559,daily_dates,big_daily_table))),NA(),XLOOKUP(D$3,daily_items,XLOOKUP($C1559,daily_dates,big_daily_table)))</f>
        <v>#N/A</v>
      </c>
      <c r="E1559" s="1" t="str">
        <f t="array" ref="E1559">IF(ISBLANK(XLOOKUP(E$3,daily_items,XLOOKUP($C1559,daily_dates,big_daily_table))),NA(),XLOOKUP(E$3,daily_items,XLOOKUP($C1559,daily_dates,big_daily_table)))</f>
        <v>#N/A</v>
      </c>
    </row>
    <row r="1560" ht="14.25" customHeight="1">
      <c r="B1560" s="7">
        <v>42465.0</v>
      </c>
      <c r="C1560" s="7">
        <f t="shared" si="1"/>
        <v>42463</v>
      </c>
      <c r="D1560" s="1" t="str">
        <f t="array" ref="D1560">IF(ISBLANK(XLOOKUP(D$3,daily_items,XLOOKUP($C1560,daily_dates,big_daily_table))),NA(),XLOOKUP(D$3,daily_items,XLOOKUP($C1560,daily_dates,big_daily_table)))</f>
        <v>#N/A</v>
      </c>
      <c r="E1560" s="1" t="str">
        <f t="array" ref="E1560">IF(ISBLANK(XLOOKUP(E$3,daily_items,XLOOKUP($C1560,daily_dates,big_daily_table))),NA(),XLOOKUP(E$3,daily_items,XLOOKUP($C1560,daily_dates,big_daily_table)))</f>
        <v>#N/A</v>
      </c>
    </row>
    <row r="1561" ht="14.25" customHeight="1">
      <c r="B1561" s="7">
        <v>42466.0</v>
      </c>
      <c r="C1561" s="7">
        <f t="shared" si="1"/>
        <v>42463</v>
      </c>
      <c r="D1561" s="1" t="str">
        <f t="array" ref="D1561">IF(ISBLANK(XLOOKUP(D$3,daily_items,XLOOKUP($C1561,daily_dates,big_daily_table))),NA(),XLOOKUP(D$3,daily_items,XLOOKUP($C1561,daily_dates,big_daily_table)))</f>
        <v>#N/A</v>
      </c>
      <c r="E1561" s="1" t="str">
        <f t="array" ref="E1561">IF(ISBLANK(XLOOKUP(E$3,daily_items,XLOOKUP($C1561,daily_dates,big_daily_table))),NA(),XLOOKUP(E$3,daily_items,XLOOKUP($C1561,daily_dates,big_daily_table)))</f>
        <v>#N/A</v>
      </c>
    </row>
    <row r="1562" ht="14.25" customHeight="1">
      <c r="B1562" s="7">
        <v>42467.0</v>
      </c>
      <c r="C1562" s="7">
        <f t="shared" si="1"/>
        <v>42463</v>
      </c>
      <c r="D1562" s="1" t="str">
        <f t="array" ref="D1562">IF(ISBLANK(XLOOKUP(D$3,daily_items,XLOOKUP($C1562,daily_dates,big_daily_table))),NA(),XLOOKUP(D$3,daily_items,XLOOKUP($C1562,daily_dates,big_daily_table)))</f>
        <v>#N/A</v>
      </c>
      <c r="E1562" s="1" t="str">
        <f t="array" ref="E1562">IF(ISBLANK(XLOOKUP(E$3,daily_items,XLOOKUP($C1562,daily_dates,big_daily_table))),NA(),XLOOKUP(E$3,daily_items,XLOOKUP($C1562,daily_dates,big_daily_table)))</f>
        <v>#N/A</v>
      </c>
    </row>
    <row r="1563" ht="14.25" customHeight="1">
      <c r="B1563" s="7">
        <v>42468.0</v>
      </c>
      <c r="C1563" s="7">
        <f t="shared" si="1"/>
        <v>42463</v>
      </c>
      <c r="D1563" s="1" t="str">
        <f t="array" ref="D1563">IF(ISBLANK(XLOOKUP(D$3,daily_items,XLOOKUP($C1563,daily_dates,big_daily_table))),NA(),XLOOKUP(D$3,daily_items,XLOOKUP($C1563,daily_dates,big_daily_table)))</f>
        <v>#N/A</v>
      </c>
      <c r="E1563" s="1" t="str">
        <f t="array" ref="E1563">IF(ISBLANK(XLOOKUP(E$3,daily_items,XLOOKUP($C1563,daily_dates,big_daily_table))),NA(),XLOOKUP(E$3,daily_items,XLOOKUP($C1563,daily_dates,big_daily_table)))</f>
        <v>#N/A</v>
      </c>
    </row>
    <row r="1564" ht="14.25" customHeight="1">
      <c r="B1564" s="7">
        <v>42469.0</v>
      </c>
      <c r="C1564" s="7">
        <f t="shared" si="1"/>
        <v>42463</v>
      </c>
      <c r="D1564" s="1" t="str">
        <f t="array" ref="D1564">IF(ISBLANK(XLOOKUP(D$3,daily_items,XLOOKUP($C1564,daily_dates,big_daily_table))),NA(),XLOOKUP(D$3,daily_items,XLOOKUP($C1564,daily_dates,big_daily_table)))</f>
        <v>#N/A</v>
      </c>
      <c r="E1564" s="1" t="str">
        <f t="array" ref="E1564">IF(ISBLANK(XLOOKUP(E$3,daily_items,XLOOKUP($C1564,daily_dates,big_daily_table))),NA(),XLOOKUP(E$3,daily_items,XLOOKUP($C1564,daily_dates,big_daily_table)))</f>
        <v>#N/A</v>
      </c>
    </row>
    <row r="1565" ht="14.25" customHeight="1">
      <c r="B1565" s="7">
        <v>42470.0</v>
      </c>
      <c r="C1565" s="7">
        <f t="shared" si="1"/>
        <v>42470</v>
      </c>
      <c r="D1565" s="1" t="str">
        <f t="array" ref="D1565">IF(ISBLANK(XLOOKUP(D$3,daily_items,XLOOKUP($C1565,daily_dates,big_daily_table))),NA(),XLOOKUP(D$3,daily_items,XLOOKUP($C1565,daily_dates,big_daily_table)))</f>
        <v>#N/A</v>
      </c>
      <c r="E1565" s="1" t="str">
        <f t="array" ref="E1565">IF(ISBLANK(XLOOKUP(E$3,daily_items,XLOOKUP($C1565,daily_dates,big_daily_table))),NA(),XLOOKUP(E$3,daily_items,XLOOKUP($C1565,daily_dates,big_daily_table)))</f>
        <v>#N/A</v>
      </c>
    </row>
    <row r="1566" ht="14.25" customHeight="1">
      <c r="B1566" s="7">
        <v>42471.0</v>
      </c>
      <c r="C1566" s="7">
        <f t="shared" si="1"/>
        <v>42470</v>
      </c>
      <c r="D1566" s="1" t="str">
        <f t="array" ref="D1566">IF(ISBLANK(XLOOKUP(D$3,daily_items,XLOOKUP($C1566,daily_dates,big_daily_table))),NA(),XLOOKUP(D$3,daily_items,XLOOKUP($C1566,daily_dates,big_daily_table)))</f>
        <v>#N/A</v>
      </c>
      <c r="E1566" s="1" t="str">
        <f t="array" ref="E1566">IF(ISBLANK(XLOOKUP(E$3,daily_items,XLOOKUP($C1566,daily_dates,big_daily_table))),NA(),XLOOKUP(E$3,daily_items,XLOOKUP($C1566,daily_dates,big_daily_table)))</f>
        <v>#N/A</v>
      </c>
    </row>
    <row r="1567" ht="14.25" customHeight="1">
      <c r="B1567" s="7">
        <v>42472.0</v>
      </c>
      <c r="C1567" s="7">
        <f t="shared" si="1"/>
        <v>42470</v>
      </c>
      <c r="D1567" s="1" t="str">
        <f t="array" ref="D1567">IF(ISBLANK(XLOOKUP(D$3,daily_items,XLOOKUP($C1567,daily_dates,big_daily_table))),NA(),XLOOKUP(D$3,daily_items,XLOOKUP($C1567,daily_dates,big_daily_table)))</f>
        <v>#N/A</v>
      </c>
      <c r="E1567" s="1" t="str">
        <f t="array" ref="E1567">IF(ISBLANK(XLOOKUP(E$3,daily_items,XLOOKUP($C1567,daily_dates,big_daily_table))),NA(),XLOOKUP(E$3,daily_items,XLOOKUP($C1567,daily_dates,big_daily_table)))</f>
        <v>#N/A</v>
      </c>
    </row>
    <row r="1568" ht="14.25" customHeight="1">
      <c r="B1568" s="7">
        <v>42473.0</v>
      </c>
      <c r="C1568" s="7">
        <f t="shared" si="1"/>
        <v>42470</v>
      </c>
      <c r="D1568" s="1" t="str">
        <f t="array" ref="D1568">IF(ISBLANK(XLOOKUP(D$3,daily_items,XLOOKUP($C1568,daily_dates,big_daily_table))),NA(),XLOOKUP(D$3,daily_items,XLOOKUP($C1568,daily_dates,big_daily_table)))</f>
        <v>#N/A</v>
      </c>
      <c r="E1568" s="1" t="str">
        <f t="array" ref="E1568">IF(ISBLANK(XLOOKUP(E$3,daily_items,XLOOKUP($C1568,daily_dates,big_daily_table))),NA(),XLOOKUP(E$3,daily_items,XLOOKUP($C1568,daily_dates,big_daily_table)))</f>
        <v>#N/A</v>
      </c>
    </row>
    <row r="1569" ht="14.25" customHeight="1">
      <c r="B1569" s="7">
        <v>42474.0</v>
      </c>
      <c r="C1569" s="7">
        <f t="shared" si="1"/>
        <v>42470</v>
      </c>
      <c r="D1569" s="1" t="str">
        <f t="array" ref="D1569">IF(ISBLANK(XLOOKUP(D$3,daily_items,XLOOKUP($C1569,daily_dates,big_daily_table))),NA(),XLOOKUP(D$3,daily_items,XLOOKUP($C1569,daily_dates,big_daily_table)))</f>
        <v>#N/A</v>
      </c>
      <c r="E1569" s="1" t="str">
        <f t="array" ref="E1569">IF(ISBLANK(XLOOKUP(E$3,daily_items,XLOOKUP($C1569,daily_dates,big_daily_table))),NA(),XLOOKUP(E$3,daily_items,XLOOKUP($C1569,daily_dates,big_daily_table)))</f>
        <v>#N/A</v>
      </c>
    </row>
    <row r="1570" ht="14.25" customHeight="1">
      <c r="B1570" s="7">
        <v>42475.0</v>
      </c>
      <c r="C1570" s="7">
        <f t="shared" si="1"/>
        <v>42470</v>
      </c>
      <c r="D1570" s="1" t="str">
        <f t="array" ref="D1570">IF(ISBLANK(XLOOKUP(D$3,daily_items,XLOOKUP($C1570,daily_dates,big_daily_table))),NA(),XLOOKUP(D$3,daily_items,XLOOKUP($C1570,daily_dates,big_daily_table)))</f>
        <v>#N/A</v>
      </c>
      <c r="E1570" s="1" t="str">
        <f t="array" ref="E1570">IF(ISBLANK(XLOOKUP(E$3,daily_items,XLOOKUP($C1570,daily_dates,big_daily_table))),NA(),XLOOKUP(E$3,daily_items,XLOOKUP($C1570,daily_dates,big_daily_table)))</f>
        <v>#N/A</v>
      </c>
    </row>
    <row r="1571" ht="14.25" customHeight="1">
      <c r="B1571" s="7">
        <v>42476.0</v>
      </c>
      <c r="C1571" s="7">
        <f t="shared" si="1"/>
        <v>42470</v>
      </c>
      <c r="D1571" s="1" t="str">
        <f t="array" ref="D1571">IF(ISBLANK(XLOOKUP(D$3,daily_items,XLOOKUP($C1571,daily_dates,big_daily_table))),NA(),XLOOKUP(D$3,daily_items,XLOOKUP($C1571,daily_dates,big_daily_table)))</f>
        <v>#N/A</v>
      </c>
      <c r="E1571" s="1" t="str">
        <f t="array" ref="E1571">IF(ISBLANK(XLOOKUP(E$3,daily_items,XLOOKUP($C1571,daily_dates,big_daily_table))),NA(),XLOOKUP(E$3,daily_items,XLOOKUP($C1571,daily_dates,big_daily_table)))</f>
        <v>#N/A</v>
      </c>
    </row>
    <row r="1572" ht="14.25" customHeight="1">
      <c r="B1572" s="7">
        <v>42477.0</v>
      </c>
      <c r="C1572" s="7">
        <f t="shared" si="1"/>
        <v>42477</v>
      </c>
      <c r="D1572" s="1" t="str">
        <f t="array" ref="D1572">IF(ISBLANK(XLOOKUP(D$3,daily_items,XLOOKUP($C1572,daily_dates,big_daily_table))),NA(),XLOOKUP(D$3,daily_items,XLOOKUP($C1572,daily_dates,big_daily_table)))</f>
        <v>#N/A</v>
      </c>
      <c r="E1572" s="1" t="str">
        <f t="array" ref="E1572">IF(ISBLANK(XLOOKUP(E$3,daily_items,XLOOKUP($C1572,daily_dates,big_daily_table))),NA(),XLOOKUP(E$3,daily_items,XLOOKUP($C1572,daily_dates,big_daily_table)))</f>
        <v>#N/A</v>
      </c>
    </row>
    <row r="1573" ht="14.25" customHeight="1">
      <c r="B1573" s="7">
        <v>42478.0</v>
      </c>
      <c r="C1573" s="7">
        <f t="shared" si="1"/>
        <v>42477</v>
      </c>
      <c r="D1573" s="1" t="str">
        <f t="array" ref="D1573">IF(ISBLANK(XLOOKUP(D$3,daily_items,XLOOKUP($C1573,daily_dates,big_daily_table))),NA(),XLOOKUP(D$3,daily_items,XLOOKUP($C1573,daily_dates,big_daily_table)))</f>
        <v>#N/A</v>
      </c>
      <c r="E1573" s="1" t="str">
        <f t="array" ref="E1573">IF(ISBLANK(XLOOKUP(E$3,daily_items,XLOOKUP($C1573,daily_dates,big_daily_table))),NA(),XLOOKUP(E$3,daily_items,XLOOKUP($C1573,daily_dates,big_daily_table)))</f>
        <v>#N/A</v>
      </c>
    </row>
    <row r="1574" ht="14.25" customHeight="1">
      <c r="B1574" s="7">
        <v>42479.0</v>
      </c>
      <c r="C1574" s="7">
        <f t="shared" si="1"/>
        <v>42477</v>
      </c>
      <c r="D1574" s="1" t="str">
        <f t="array" ref="D1574">IF(ISBLANK(XLOOKUP(D$3,daily_items,XLOOKUP($C1574,daily_dates,big_daily_table))),NA(),XLOOKUP(D$3,daily_items,XLOOKUP($C1574,daily_dates,big_daily_table)))</f>
        <v>#N/A</v>
      </c>
      <c r="E1574" s="1" t="str">
        <f t="array" ref="E1574">IF(ISBLANK(XLOOKUP(E$3,daily_items,XLOOKUP($C1574,daily_dates,big_daily_table))),NA(),XLOOKUP(E$3,daily_items,XLOOKUP($C1574,daily_dates,big_daily_table)))</f>
        <v>#N/A</v>
      </c>
    </row>
    <row r="1575" ht="14.25" customHeight="1">
      <c r="B1575" s="7">
        <v>42480.0</v>
      </c>
      <c r="C1575" s="7">
        <f t="shared" si="1"/>
        <v>42477</v>
      </c>
      <c r="D1575" s="1" t="str">
        <f t="array" ref="D1575">IF(ISBLANK(XLOOKUP(D$3,daily_items,XLOOKUP($C1575,daily_dates,big_daily_table))),NA(),XLOOKUP(D$3,daily_items,XLOOKUP($C1575,daily_dates,big_daily_table)))</f>
        <v>#N/A</v>
      </c>
      <c r="E1575" s="1" t="str">
        <f t="array" ref="E1575">IF(ISBLANK(XLOOKUP(E$3,daily_items,XLOOKUP($C1575,daily_dates,big_daily_table))),NA(),XLOOKUP(E$3,daily_items,XLOOKUP($C1575,daily_dates,big_daily_table)))</f>
        <v>#N/A</v>
      </c>
    </row>
    <row r="1576" ht="14.25" customHeight="1">
      <c r="B1576" s="7">
        <v>42481.0</v>
      </c>
      <c r="C1576" s="7">
        <f t="shared" si="1"/>
        <v>42477</v>
      </c>
      <c r="D1576" s="1" t="str">
        <f t="array" ref="D1576">IF(ISBLANK(XLOOKUP(D$3,daily_items,XLOOKUP($C1576,daily_dates,big_daily_table))),NA(),XLOOKUP(D$3,daily_items,XLOOKUP($C1576,daily_dates,big_daily_table)))</f>
        <v>#N/A</v>
      </c>
      <c r="E1576" s="1" t="str">
        <f t="array" ref="E1576">IF(ISBLANK(XLOOKUP(E$3,daily_items,XLOOKUP($C1576,daily_dates,big_daily_table))),NA(),XLOOKUP(E$3,daily_items,XLOOKUP($C1576,daily_dates,big_daily_table)))</f>
        <v>#N/A</v>
      </c>
    </row>
    <row r="1577" ht="14.25" customHeight="1">
      <c r="B1577" s="7">
        <v>42482.0</v>
      </c>
      <c r="C1577" s="7">
        <f t="shared" si="1"/>
        <v>42477</v>
      </c>
      <c r="D1577" s="1" t="str">
        <f t="array" ref="D1577">IF(ISBLANK(XLOOKUP(D$3,daily_items,XLOOKUP($C1577,daily_dates,big_daily_table))),NA(),XLOOKUP(D$3,daily_items,XLOOKUP($C1577,daily_dates,big_daily_table)))</f>
        <v>#N/A</v>
      </c>
      <c r="E1577" s="1" t="str">
        <f t="array" ref="E1577">IF(ISBLANK(XLOOKUP(E$3,daily_items,XLOOKUP($C1577,daily_dates,big_daily_table))),NA(),XLOOKUP(E$3,daily_items,XLOOKUP($C1577,daily_dates,big_daily_table)))</f>
        <v>#N/A</v>
      </c>
    </row>
    <row r="1578" ht="14.25" customHeight="1">
      <c r="B1578" s="7">
        <v>42483.0</v>
      </c>
      <c r="C1578" s="7">
        <f t="shared" si="1"/>
        <v>42477</v>
      </c>
      <c r="D1578" s="1" t="str">
        <f t="array" ref="D1578">IF(ISBLANK(XLOOKUP(D$3,daily_items,XLOOKUP($C1578,daily_dates,big_daily_table))),NA(),XLOOKUP(D$3,daily_items,XLOOKUP($C1578,daily_dates,big_daily_table)))</f>
        <v>#N/A</v>
      </c>
      <c r="E1578" s="1" t="str">
        <f t="array" ref="E1578">IF(ISBLANK(XLOOKUP(E$3,daily_items,XLOOKUP($C1578,daily_dates,big_daily_table))),NA(),XLOOKUP(E$3,daily_items,XLOOKUP($C1578,daily_dates,big_daily_table)))</f>
        <v>#N/A</v>
      </c>
    </row>
    <row r="1579" ht="14.25" customHeight="1">
      <c r="B1579" s="7">
        <v>42484.0</v>
      </c>
      <c r="C1579" s="7">
        <f t="shared" si="1"/>
        <v>42484</v>
      </c>
      <c r="D1579" s="1" t="str">
        <f t="array" ref="D1579">IF(ISBLANK(XLOOKUP(D$3,daily_items,XLOOKUP($C1579,daily_dates,big_daily_table))),NA(),XLOOKUP(D$3,daily_items,XLOOKUP($C1579,daily_dates,big_daily_table)))</f>
        <v>#N/A</v>
      </c>
      <c r="E1579" s="1" t="str">
        <f t="array" ref="E1579">IF(ISBLANK(XLOOKUP(E$3,daily_items,XLOOKUP($C1579,daily_dates,big_daily_table))),NA(),XLOOKUP(E$3,daily_items,XLOOKUP($C1579,daily_dates,big_daily_table)))</f>
        <v>#N/A</v>
      </c>
    </row>
    <row r="1580" ht="14.25" customHeight="1">
      <c r="B1580" s="7">
        <v>42485.0</v>
      </c>
      <c r="C1580" s="7">
        <f t="shared" si="1"/>
        <v>42484</v>
      </c>
      <c r="D1580" s="1" t="str">
        <f t="array" ref="D1580">IF(ISBLANK(XLOOKUP(D$3,daily_items,XLOOKUP($C1580,daily_dates,big_daily_table))),NA(),XLOOKUP(D$3,daily_items,XLOOKUP($C1580,daily_dates,big_daily_table)))</f>
        <v>#N/A</v>
      </c>
      <c r="E1580" s="1" t="str">
        <f t="array" ref="E1580">IF(ISBLANK(XLOOKUP(E$3,daily_items,XLOOKUP($C1580,daily_dates,big_daily_table))),NA(),XLOOKUP(E$3,daily_items,XLOOKUP($C1580,daily_dates,big_daily_table)))</f>
        <v>#N/A</v>
      </c>
    </row>
    <row r="1581" ht="14.25" customHeight="1">
      <c r="B1581" s="7">
        <v>42486.0</v>
      </c>
      <c r="C1581" s="7">
        <f t="shared" si="1"/>
        <v>42484</v>
      </c>
      <c r="D1581" s="1" t="str">
        <f t="array" ref="D1581">IF(ISBLANK(XLOOKUP(D$3,daily_items,XLOOKUP($C1581,daily_dates,big_daily_table))),NA(),XLOOKUP(D$3,daily_items,XLOOKUP($C1581,daily_dates,big_daily_table)))</f>
        <v>#N/A</v>
      </c>
      <c r="E1581" s="1" t="str">
        <f t="array" ref="E1581">IF(ISBLANK(XLOOKUP(E$3,daily_items,XLOOKUP($C1581,daily_dates,big_daily_table))),NA(),XLOOKUP(E$3,daily_items,XLOOKUP($C1581,daily_dates,big_daily_table)))</f>
        <v>#N/A</v>
      </c>
    </row>
    <row r="1582" ht="14.25" customHeight="1">
      <c r="B1582" s="7">
        <v>42487.0</v>
      </c>
      <c r="C1582" s="7">
        <f t="shared" si="1"/>
        <v>42484</v>
      </c>
      <c r="D1582" s="1" t="str">
        <f t="array" ref="D1582">IF(ISBLANK(XLOOKUP(D$3,daily_items,XLOOKUP($C1582,daily_dates,big_daily_table))),NA(),XLOOKUP(D$3,daily_items,XLOOKUP($C1582,daily_dates,big_daily_table)))</f>
        <v>#N/A</v>
      </c>
      <c r="E1582" s="1" t="str">
        <f t="array" ref="E1582">IF(ISBLANK(XLOOKUP(E$3,daily_items,XLOOKUP($C1582,daily_dates,big_daily_table))),NA(),XLOOKUP(E$3,daily_items,XLOOKUP($C1582,daily_dates,big_daily_table)))</f>
        <v>#N/A</v>
      </c>
    </row>
    <row r="1583" ht="14.25" customHeight="1">
      <c r="B1583" s="7">
        <v>42488.0</v>
      </c>
      <c r="C1583" s="7">
        <f t="shared" si="1"/>
        <v>42484</v>
      </c>
      <c r="D1583" s="1" t="str">
        <f t="array" ref="D1583">IF(ISBLANK(XLOOKUP(D$3,daily_items,XLOOKUP($C1583,daily_dates,big_daily_table))),NA(),XLOOKUP(D$3,daily_items,XLOOKUP($C1583,daily_dates,big_daily_table)))</f>
        <v>#N/A</v>
      </c>
      <c r="E1583" s="1" t="str">
        <f t="array" ref="E1583">IF(ISBLANK(XLOOKUP(E$3,daily_items,XLOOKUP($C1583,daily_dates,big_daily_table))),NA(),XLOOKUP(E$3,daily_items,XLOOKUP($C1583,daily_dates,big_daily_table)))</f>
        <v>#N/A</v>
      </c>
    </row>
    <row r="1584" ht="14.25" customHeight="1">
      <c r="B1584" s="7">
        <v>42489.0</v>
      </c>
      <c r="C1584" s="7">
        <f t="shared" si="1"/>
        <v>42484</v>
      </c>
      <c r="D1584" s="1" t="str">
        <f t="array" ref="D1584">IF(ISBLANK(XLOOKUP(D$3,daily_items,XLOOKUP($C1584,daily_dates,big_daily_table))),NA(),XLOOKUP(D$3,daily_items,XLOOKUP($C1584,daily_dates,big_daily_table)))</f>
        <v>#N/A</v>
      </c>
      <c r="E1584" s="1" t="str">
        <f t="array" ref="E1584">IF(ISBLANK(XLOOKUP(E$3,daily_items,XLOOKUP($C1584,daily_dates,big_daily_table))),NA(),XLOOKUP(E$3,daily_items,XLOOKUP($C1584,daily_dates,big_daily_table)))</f>
        <v>#N/A</v>
      </c>
    </row>
    <row r="1585" ht="14.25" customHeight="1">
      <c r="B1585" s="7">
        <v>42490.0</v>
      </c>
      <c r="C1585" s="7">
        <f t="shared" si="1"/>
        <v>42484</v>
      </c>
      <c r="D1585" s="1" t="str">
        <f t="array" ref="D1585">IF(ISBLANK(XLOOKUP(D$3,daily_items,XLOOKUP($C1585,daily_dates,big_daily_table))),NA(),XLOOKUP(D$3,daily_items,XLOOKUP($C1585,daily_dates,big_daily_table)))</f>
        <v>#N/A</v>
      </c>
      <c r="E1585" s="1" t="str">
        <f t="array" ref="E1585">IF(ISBLANK(XLOOKUP(E$3,daily_items,XLOOKUP($C1585,daily_dates,big_daily_table))),NA(),XLOOKUP(E$3,daily_items,XLOOKUP($C1585,daily_dates,big_daily_table)))</f>
        <v>#N/A</v>
      </c>
    </row>
    <row r="1586" ht="14.25" customHeight="1">
      <c r="B1586" s="7">
        <v>42491.0</v>
      </c>
      <c r="C1586" s="7">
        <f t="shared" si="1"/>
        <v>42491</v>
      </c>
      <c r="D1586" s="1" t="str">
        <f t="array" ref="D1586">IF(ISBLANK(XLOOKUP(D$3,daily_items,XLOOKUP($C1586,daily_dates,big_daily_table))),NA(),XLOOKUP(D$3,daily_items,XLOOKUP($C1586,daily_dates,big_daily_table)))</f>
        <v>#N/A</v>
      </c>
      <c r="E1586" s="1" t="str">
        <f t="array" ref="E1586">IF(ISBLANK(XLOOKUP(E$3,daily_items,XLOOKUP($C1586,daily_dates,big_daily_table))),NA(),XLOOKUP(E$3,daily_items,XLOOKUP($C1586,daily_dates,big_daily_table)))</f>
        <v>#N/A</v>
      </c>
    </row>
    <row r="1587" ht="14.25" customHeight="1">
      <c r="B1587" s="7">
        <v>42492.0</v>
      </c>
      <c r="C1587" s="7">
        <f t="shared" si="1"/>
        <v>42491</v>
      </c>
      <c r="D1587" s="1" t="str">
        <f t="array" ref="D1587">IF(ISBLANK(XLOOKUP(D$3,daily_items,XLOOKUP($C1587,daily_dates,big_daily_table))),NA(),XLOOKUP(D$3,daily_items,XLOOKUP($C1587,daily_dates,big_daily_table)))</f>
        <v>#N/A</v>
      </c>
      <c r="E1587" s="1" t="str">
        <f t="array" ref="E1587">IF(ISBLANK(XLOOKUP(E$3,daily_items,XLOOKUP($C1587,daily_dates,big_daily_table))),NA(),XLOOKUP(E$3,daily_items,XLOOKUP($C1587,daily_dates,big_daily_table)))</f>
        <v>#N/A</v>
      </c>
    </row>
    <row r="1588" ht="14.25" customHeight="1">
      <c r="B1588" s="7">
        <v>42493.0</v>
      </c>
      <c r="C1588" s="7">
        <f t="shared" si="1"/>
        <v>42491</v>
      </c>
      <c r="D1588" s="1" t="str">
        <f t="array" ref="D1588">IF(ISBLANK(XLOOKUP(D$3,daily_items,XLOOKUP($C1588,daily_dates,big_daily_table))),NA(),XLOOKUP(D$3,daily_items,XLOOKUP($C1588,daily_dates,big_daily_table)))</f>
        <v>#N/A</v>
      </c>
      <c r="E1588" s="1" t="str">
        <f t="array" ref="E1588">IF(ISBLANK(XLOOKUP(E$3,daily_items,XLOOKUP($C1588,daily_dates,big_daily_table))),NA(),XLOOKUP(E$3,daily_items,XLOOKUP($C1588,daily_dates,big_daily_table)))</f>
        <v>#N/A</v>
      </c>
    </row>
    <row r="1589" ht="14.25" customHeight="1">
      <c r="B1589" s="7">
        <v>42494.0</v>
      </c>
      <c r="C1589" s="7">
        <f t="shared" si="1"/>
        <v>42491</v>
      </c>
      <c r="D1589" s="1" t="str">
        <f t="array" ref="D1589">IF(ISBLANK(XLOOKUP(D$3,daily_items,XLOOKUP($C1589,daily_dates,big_daily_table))),NA(),XLOOKUP(D$3,daily_items,XLOOKUP($C1589,daily_dates,big_daily_table)))</f>
        <v>#N/A</v>
      </c>
      <c r="E1589" s="1" t="str">
        <f t="array" ref="E1589">IF(ISBLANK(XLOOKUP(E$3,daily_items,XLOOKUP($C1589,daily_dates,big_daily_table))),NA(),XLOOKUP(E$3,daily_items,XLOOKUP($C1589,daily_dates,big_daily_table)))</f>
        <v>#N/A</v>
      </c>
    </row>
    <row r="1590" ht="14.25" customHeight="1">
      <c r="B1590" s="7">
        <v>42495.0</v>
      </c>
      <c r="C1590" s="7">
        <f t="shared" si="1"/>
        <v>42491</v>
      </c>
      <c r="D1590" s="1" t="str">
        <f t="array" ref="D1590">IF(ISBLANK(XLOOKUP(D$3,daily_items,XLOOKUP($C1590,daily_dates,big_daily_table))),NA(),XLOOKUP(D$3,daily_items,XLOOKUP($C1590,daily_dates,big_daily_table)))</f>
        <v>#N/A</v>
      </c>
      <c r="E1590" s="1" t="str">
        <f t="array" ref="E1590">IF(ISBLANK(XLOOKUP(E$3,daily_items,XLOOKUP($C1590,daily_dates,big_daily_table))),NA(),XLOOKUP(E$3,daily_items,XLOOKUP($C1590,daily_dates,big_daily_table)))</f>
        <v>#N/A</v>
      </c>
    </row>
    <row r="1591" ht="14.25" customHeight="1">
      <c r="B1591" s="7">
        <v>42496.0</v>
      </c>
      <c r="C1591" s="7">
        <f t="shared" si="1"/>
        <v>42491</v>
      </c>
      <c r="D1591" s="1" t="str">
        <f t="array" ref="D1591">IF(ISBLANK(XLOOKUP(D$3,daily_items,XLOOKUP($C1591,daily_dates,big_daily_table))),NA(),XLOOKUP(D$3,daily_items,XLOOKUP($C1591,daily_dates,big_daily_table)))</f>
        <v>#N/A</v>
      </c>
      <c r="E1591" s="1" t="str">
        <f t="array" ref="E1591">IF(ISBLANK(XLOOKUP(E$3,daily_items,XLOOKUP($C1591,daily_dates,big_daily_table))),NA(),XLOOKUP(E$3,daily_items,XLOOKUP($C1591,daily_dates,big_daily_table)))</f>
        <v>#N/A</v>
      </c>
    </row>
    <row r="1592" ht="14.25" customHeight="1">
      <c r="B1592" s="7">
        <v>42497.0</v>
      </c>
      <c r="C1592" s="7">
        <f t="shared" si="1"/>
        <v>42491</v>
      </c>
      <c r="D1592" s="1" t="str">
        <f t="array" ref="D1592">IF(ISBLANK(XLOOKUP(D$3,daily_items,XLOOKUP($C1592,daily_dates,big_daily_table))),NA(),XLOOKUP(D$3,daily_items,XLOOKUP($C1592,daily_dates,big_daily_table)))</f>
        <v>#N/A</v>
      </c>
      <c r="E1592" s="1" t="str">
        <f t="array" ref="E1592">IF(ISBLANK(XLOOKUP(E$3,daily_items,XLOOKUP($C1592,daily_dates,big_daily_table))),NA(),XLOOKUP(E$3,daily_items,XLOOKUP($C1592,daily_dates,big_daily_table)))</f>
        <v>#N/A</v>
      </c>
    </row>
    <row r="1593" ht="14.25" customHeight="1">
      <c r="B1593" s="7">
        <v>42498.0</v>
      </c>
      <c r="C1593" s="7">
        <f t="shared" si="1"/>
        <v>42498</v>
      </c>
      <c r="D1593" s="1" t="str">
        <f t="array" ref="D1593">IF(ISBLANK(XLOOKUP(D$3,daily_items,XLOOKUP($C1593,daily_dates,big_daily_table))),NA(),XLOOKUP(D$3,daily_items,XLOOKUP($C1593,daily_dates,big_daily_table)))</f>
        <v>#N/A</v>
      </c>
      <c r="E1593" s="1" t="str">
        <f t="array" ref="E1593">IF(ISBLANK(XLOOKUP(E$3,daily_items,XLOOKUP($C1593,daily_dates,big_daily_table))),NA(),XLOOKUP(E$3,daily_items,XLOOKUP($C1593,daily_dates,big_daily_table)))</f>
        <v>#N/A</v>
      </c>
    </row>
    <row r="1594" ht="14.25" customHeight="1">
      <c r="B1594" s="7">
        <v>42499.0</v>
      </c>
      <c r="C1594" s="7">
        <f t="shared" si="1"/>
        <v>42498</v>
      </c>
      <c r="D1594" s="1" t="str">
        <f t="array" ref="D1594">IF(ISBLANK(XLOOKUP(D$3,daily_items,XLOOKUP($C1594,daily_dates,big_daily_table))),NA(),XLOOKUP(D$3,daily_items,XLOOKUP($C1594,daily_dates,big_daily_table)))</f>
        <v>#N/A</v>
      </c>
      <c r="E1594" s="1" t="str">
        <f t="array" ref="E1594">IF(ISBLANK(XLOOKUP(E$3,daily_items,XLOOKUP($C1594,daily_dates,big_daily_table))),NA(),XLOOKUP(E$3,daily_items,XLOOKUP($C1594,daily_dates,big_daily_table)))</f>
        <v>#N/A</v>
      </c>
    </row>
    <row r="1595" ht="14.25" customHeight="1">
      <c r="B1595" s="7">
        <v>42500.0</v>
      </c>
      <c r="C1595" s="7">
        <f t="shared" si="1"/>
        <v>42498</v>
      </c>
      <c r="D1595" s="1" t="str">
        <f t="array" ref="D1595">IF(ISBLANK(XLOOKUP(D$3,daily_items,XLOOKUP($C1595,daily_dates,big_daily_table))),NA(),XLOOKUP(D$3,daily_items,XLOOKUP($C1595,daily_dates,big_daily_table)))</f>
        <v>#N/A</v>
      </c>
      <c r="E1595" s="1" t="str">
        <f t="array" ref="E1595">IF(ISBLANK(XLOOKUP(E$3,daily_items,XLOOKUP($C1595,daily_dates,big_daily_table))),NA(),XLOOKUP(E$3,daily_items,XLOOKUP($C1595,daily_dates,big_daily_table)))</f>
        <v>#N/A</v>
      </c>
    </row>
    <row r="1596" ht="14.25" customHeight="1">
      <c r="B1596" s="7">
        <v>42501.0</v>
      </c>
      <c r="C1596" s="7">
        <f t="shared" si="1"/>
        <v>42498</v>
      </c>
      <c r="D1596" s="1" t="str">
        <f t="array" ref="D1596">IF(ISBLANK(XLOOKUP(D$3,daily_items,XLOOKUP($C1596,daily_dates,big_daily_table))),NA(),XLOOKUP(D$3,daily_items,XLOOKUP($C1596,daily_dates,big_daily_table)))</f>
        <v>#N/A</v>
      </c>
      <c r="E1596" s="1" t="str">
        <f t="array" ref="E1596">IF(ISBLANK(XLOOKUP(E$3,daily_items,XLOOKUP($C1596,daily_dates,big_daily_table))),NA(),XLOOKUP(E$3,daily_items,XLOOKUP($C1596,daily_dates,big_daily_table)))</f>
        <v>#N/A</v>
      </c>
    </row>
    <row r="1597" ht="14.25" customHeight="1">
      <c r="B1597" s="7">
        <v>42502.0</v>
      </c>
      <c r="C1597" s="7">
        <f t="shared" si="1"/>
        <v>42498</v>
      </c>
      <c r="D1597" s="1" t="str">
        <f t="array" ref="D1597">IF(ISBLANK(XLOOKUP(D$3,daily_items,XLOOKUP($C1597,daily_dates,big_daily_table))),NA(),XLOOKUP(D$3,daily_items,XLOOKUP($C1597,daily_dates,big_daily_table)))</f>
        <v>#N/A</v>
      </c>
      <c r="E1597" s="1" t="str">
        <f t="array" ref="E1597">IF(ISBLANK(XLOOKUP(E$3,daily_items,XLOOKUP($C1597,daily_dates,big_daily_table))),NA(),XLOOKUP(E$3,daily_items,XLOOKUP($C1597,daily_dates,big_daily_table)))</f>
        <v>#N/A</v>
      </c>
    </row>
    <row r="1598" ht="14.25" customHeight="1">
      <c r="B1598" s="7">
        <v>42503.0</v>
      </c>
      <c r="C1598" s="7">
        <f t="shared" si="1"/>
        <v>42498</v>
      </c>
      <c r="D1598" s="1" t="str">
        <f t="array" ref="D1598">IF(ISBLANK(XLOOKUP(D$3,daily_items,XLOOKUP($C1598,daily_dates,big_daily_table))),NA(),XLOOKUP(D$3,daily_items,XLOOKUP($C1598,daily_dates,big_daily_table)))</f>
        <v>#N/A</v>
      </c>
      <c r="E1598" s="1" t="str">
        <f t="array" ref="E1598">IF(ISBLANK(XLOOKUP(E$3,daily_items,XLOOKUP($C1598,daily_dates,big_daily_table))),NA(),XLOOKUP(E$3,daily_items,XLOOKUP($C1598,daily_dates,big_daily_table)))</f>
        <v>#N/A</v>
      </c>
    </row>
    <row r="1599" ht="14.25" customHeight="1">
      <c r="B1599" s="7">
        <v>42504.0</v>
      </c>
      <c r="C1599" s="7">
        <f t="shared" si="1"/>
        <v>42498</v>
      </c>
      <c r="D1599" s="1" t="str">
        <f t="array" ref="D1599">IF(ISBLANK(XLOOKUP(D$3,daily_items,XLOOKUP($C1599,daily_dates,big_daily_table))),NA(),XLOOKUP(D$3,daily_items,XLOOKUP($C1599,daily_dates,big_daily_table)))</f>
        <v>#N/A</v>
      </c>
      <c r="E1599" s="1" t="str">
        <f t="array" ref="E1599">IF(ISBLANK(XLOOKUP(E$3,daily_items,XLOOKUP($C1599,daily_dates,big_daily_table))),NA(),XLOOKUP(E$3,daily_items,XLOOKUP($C1599,daily_dates,big_daily_table)))</f>
        <v>#N/A</v>
      </c>
    </row>
    <row r="1600" ht="14.25" customHeight="1">
      <c r="B1600" s="7">
        <v>42505.0</v>
      </c>
      <c r="C1600" s="7">
        <f t="shared" si="1"/>
        <v>42505</v>
      </c>
      <c r="D1600" s="1" t="str">
        <f t="array" ref="D1600">IF(ISBLANK(XLOOKUP(D$3,daily_items,XLOOKUP($C1600,daily_dates,big_daily_table))),NA(),XLOOKUP(D$3,daily_items,XLOOKUP($C1600,daily_dates,big_daily_table)))</f>
        <v>#N/A</v>
      </c>
      <c r="E1600" s="1" t="str">
        <f t="array" ref="E1600">IF(ISBLANK(XLOOKUP(E$3,daily_items,XLOOKUP($C1600,daily_dates,big_daily_table))),NA(),XLOOKUP(E$3,daily_items,XLOOKUP($C1600,daily_dates,big_daily_table)))</f>
        <v>#N/A</v>
      </c>
    </row>
    <row r="1601" ht="14.25" customHeight="1">
      <c r="B1601" s="7">
        <v>42506.0</v>
      </c>
      <c r="C1601" s="7">
        <f t="shared" si="1"/>
        <v>42505</v>
      </c>
      <c r="D1601" s="1" t="str">
        <f t="array" ref="D1601">IF(ISBLANK(XLOOKUP(D$3,daily_items,XLOOKUP($C1601,daily_dates,big_daily_table))),NA(),XLOOKUP(D$3,daily_items,XLOOKUP($C1601,daily_dates,big_daily_table)))</f>
        <v>#N/A</v>
      </c>
      <c r="E1601" s="1" t="str">
        <f t="array" ref="E1601">IF(ISBLANK(XLOOKUP(E$3,daily_items,XLOOKUP($C1601,daily_dates,big_daily_table))),NA(),XLOOKUP(E$3,daily_items,XLOOKUP($C1601,daily_dates,big_daily_table)))</f>
        <v>#N/A</v>
      </c>
    </row>
    <row r="1602" ht="14.25" customHeight="1">
      <c r="B1602" s="7">
        <v>42507.0</v>
      </c>
      <c r="C1602" s="7">
        <f t="shared" si="1"/>
        <v>42505</v>
      </c>
      <c r="D1602" s="1" t="str">
        <f t="array" ref="D1602">IF(ISBLANK(XLOOKUP(D$3,daily_items,XLOOKUP($C1602,daily_dates,big_daily_table))),NA(),XLOOKUP(D$3,daily_items,XLOOKUP($C1602,daily_dates,big_daily_table)))</f>
        <v>#N/A</v>
      </c>
      <c r="E1602" s="1" t="str">
        <f t="array" ref="E1602">IF(ISBLANK(XLOOKUP(E$3,daily_items,XLOOKUP($C1602,daily_dates,big_daily_table))),NA(),XLOOKUP(E$3,daily_items,XLOOKUP($C1602,daily_dates,big_daily_table)))</f>
        <v>#N/A</v>
      </c>
    </row>
    <row r="1603" ht="14.25" customHeight="1">
      <c r="B1603" s="7">
        <v>42508.0</v>
      </c>
      <c r="C1603" s="7">
        <f t="shared" si="1"/>
        <v>42505</v>
      </c>
      <c r="D1603" s="1" t="str">
        <f t="array" ref="D1603">IF(ISBLANK(XLOOKUP(D$3,daily_items,XLOOKUP($C1603,daily_dates,big_daily_table))),NA(),XLOOKUP(D$3,daily_items,XLOOKUP($C1603,daily_dates,big_daily_table)))</f>
        <v>#N/A</v>
      </c>
      <c r="E1603" s="1" t="str">
        <f t="array" ref="E1603">IF(ISBLANK(XLOOKUP(E$3,daily_items,XLOOKUP($C1603,daily_dates,big_daily_table))),NA(),XLOOKUP(E$3,daily_items,XLOOKUP($C1603,daily_dates,big_daily_table)))</f>
        <v>#N/A</v>
      </c>
    </row>
    <row r="1604" ht="14.25" customHeight="1">
      <c r="B1604" s="7">
        <v>42509.0</v>
      </c>
      <c r="C1604" s="7">
        <f t="shared" si="1"/>
        <v>42505</v>
      </c>
      <c r="D1604" s="1" t="str">
        <f t="array" ref="D1604">IF(ISBLANK(XLOOKUP(D$3,daily_items,XLOOKUP($C1604,daily_dates,big_daily_table))),NA(),XLOOKUP(D$3,daily_items,XLOOKUP($C1604,daily_dates,big_daily_table)))</f>
        <v>#N/A</v>
      </c>
      <c r="E1604" s="1" t="str">
        <f t="array" ref="E1604">IF(ISBLANK(XLOOKUP(E$3,daily_items,XLOOKUP($C1604,daily_dates,big_daily_table))),NA(),XLOOKUP(E$3,daily_items,XLOOKUP($C1604,daily_dates,big_daily_table)))</f>
        <v>#N/A</v>
      </c>
    </row>
    <row r="1605" ht="14.25" customHeight="1">
      <c r="B1605" s="7">
        <v>42510.0</v>
      </c>
      <c r="C1605" s="7">
        <f t="shared" si="1"/>
        <v>42505</v>
      </c>
      <c r="D1605" s="1" t="str">
        <f t="array" ref="D1605">IF(ISBLANK(XLOOKUP(D$3,daily_items,XLOOKUP($C1605,daily_dates,big_daily_table))),NA(),XLOOKUP(D$3,daily_items,XLOOKUP($C1605,daily_dates,big_daily_table)))</f>
        <v>#N/A</v>
      </c>
      <c r="E1605" s="1" t="str">
        <f t="array" ref="E1605">IF(ISBLANK(XLOOKUP(E$3,daily_items,XLOOKUP($C1605,daily_dates,big_daily_table))),NA(),XLOOKUP(E$3,daily_items,XLOOKUP($C1605,daily_dates,big_daily_table)))</f>
        <v>#N/A</v>
      </c>
    </row>
    <row r="1606" ht="14.25" customHeight="1">
      <c r="B1606" s="7">
        <v>42511.0</v>
      </c>
      <c r="C1606" s="7">
        <f t="shared" si="1"/>
        <v>42505</v>
      </c>
      <c r="D1606" s="1" t="str">
        <f t="array" ref="D1606">IF(ISBLANK(XLOOKUP(D$3,daily_items,XLOOKUP($C1606,daily_dates,big_daily_table))),NA(),XLOOKUP(D$3,daily_items,XLOOKUP($C1606,daily_dates,big_daily_table)))</f>
        <v>#N/A</v>
      </c>
      <c r="E1606" s="1" t="str">
        <f t="array" ref="E1606">IF(ISBLANK(XLOOKUP(E$3,daily_items,XLOOKUP($C1606,daily_dates,big_daily_table))),NA(),XLOOKUP(E$3,daily_items,XLOOKUP($C1606,daily_dates,big_daily_table)))</f>
        <v>#N/A</v>
      </c>
    </row>
    <row r="1607" ht="14.25" customHeight="1">
      <c r="B1607" s="7">
        <v>42512.0</v>
      </c>
      <c r="C1607" s="7">
        <f t="shared" si="1"/>
        <v>42512</v>
      </c>
      <c r="D1607" s="1" t="str">
        <f t="array" ref="D1607">IF(ISBLANK(XLOOKUP(D$3,daily_items,XLOOKUP($C1607,daily_dates,big_daily_table))),NA(),XLOOKUP(D$3,daily_items,XLOOKUP($C1607,daily_dates,big_daily_table)))</f>
        <v>#N/A</v>
      </c>
      <c r="E1607" s="1" t="str">
        <f t="array" ref="E1607">IF(ISBLANK(XLOOKUP(E$3,daily_items,XLOOKUP($C1607,daily_dates,big_daily_table))),NA(),XLOOKUP(E$3,daily_items,XLOOKUP($C1607,daily_dates,big_daily_table)))</f>
        <v>#N/A</v>
      </c>
    </row>
    <row r="1608" ht="14.25" customHeight="1">
      <c r="B1608" s="7">
        <v>42513.0</v>
      </c>
      <c r="C1608" s="7">
        <f t="shared" si="1"/>
        <v>42512</v>
      </c>
      <c r="D1608" s="1" t="str">
        <f t="array" ref="D1608">IF(ISBLANK(XLOOKUP(D$3,daily_items,XLOOKUP($C1608,daily_dates,big_daily_table))),NA(),XLOOKUP(D$3,daily_items,XLOOKUP($C1608,daily_dates,big_daily_table)))</f>
        <v>#N/A</v>
      </c>
      <c r="E1608" s="1" t="str">
        <f t="array" ref="E1608">IF(ISBLANK(XLOOKUP(E$3,daily_items,XLOOKUP($C1608,daily_dates,big_daily_table))),NA(),XLOOKUP(E$3,daily_items,XLOOKUP($C1608,daily_dates,big_daily_table)))</f>
        <v>#N/A</v>
      </c>
    </row>
    <row r="1609" ht="14.25" customHeight="1">
      <c r="B1609" s="7">
        <v>42514.0</v>
      </c>
      <c r="C1609" s="7">
        <f t="shared" si="1"/>
        <v>42512</v>
      </c>
      <c r="D1609" s="1" t="str">
        <f t="array" ref="D1609">IF(ISBLANK(XLOOKUP(D$3,daily_items,XLOOKUP($C1609,daily_dates,big_daily_table))),NA(),XLOOKUP(D$3,daily_items,XLOOKUP($C1609,daily_dates,big_daily_table)))</f>
        <v>#N/A</v>
      </c>
      <c r="E1609" s="1" t="str">
        <f t="array" ref="E1609">IF(ISBLANK(XLOOKUP(E$3,daily_items,XLOOKUP($C1609,daily_dates,big_daily_table))),NA(),XLOOKUP(E$3,daily_items,XLOOKUP($C1609,daily_dates,big_daily_table)))</f>
        <v>#N/A</v>
      </c>
    </row>
    <row r="1610" ht="14.25" customHeight="1">
      <c r="B1610" s="7">
        <v>42515.0</v>
      </c>
      <c r="C1610" s="7">
        <f t="shared" si="1"/>
        <v>42512</v>
      </c>
      <c r="D1610" s="1" t="str">
        <f t="array" ref="D1610">IF(ISBLANK(XLOOKUP(D$3,daily_items,XLOOKUP($C1610,daily_dates,big_daily_table))),NA(),XLOOKUP(D$3,daily_items,XLOOKUP($C1610,daily_dates,big_daily_table)))</f>
        <v>#N/A</v>
      </c>
      <c r="E1610" s="1" t="str">
        <f t="array" ref="E1610">IF(ISBLANK(XLOOKUP(E$3,daily_items,XLOOKUP($C1610,daily_dates,big_daily_table))),NA(),XLOOKUP(E$3,daily_items,XLOOKUP($C1610,daily_dates,big_daily_table)))</f>
        <v>#N/A</v>
      </c>
    </row>
    <row r="1611" ht="14.25" customHeight="1">
      <c r="B1611" s="7">
        <v>42516.0</v>
      </c>
      <c r="C1611" s="7">
        <f t="shared" si="1"/>
        <v>42512</v>
      </c>
      <c r="D1611" s="1" t="str">
        <f t="array" ref="D1611">IF(ISBLANK(XLOOKUP(D$3,daily_items,XLOOKUP($C1611,daily_dates,big_daily_table))),NA(),XLOOKUP(D$3,daily_items,XLOOKUP($C1611,daily_dates,big_daily_table)))</f>
        <v>#N/A</v>
      </c>
      <c r="E1611" s="1" t="str">
        <f t="array" ref="E1611">IF(ISBLANK(XLOOKUP(E$3,daily_items,XLOOKUP($C1611,daily_dates,big_daily_table))),NA(),XLOOKUP(E$3,daily_items,XLOOKUP($C1611,daily_dates,big_daily_table)))</f>
        <v>#N/A</v>
      </c>
    </row>
    <row r="1612" ht="14.25" customHeight="1">
      <c r="B1612" s="7">
        <v>42517.0</v>
      </c>
      <c r="C1612" s="7">
        <f t="shared" si="1"/>
        <v>42512</v>
      </c>
      <c r="D1612" s="1" t="str">
        <f t="array" ref="D1612">IF(ISBLANK(XLOOKUP(D$3,daily_items,XLOOKUP($C1612,daily_dates,big_daily_table))),NA(),XLOOKUP(D$3,daily_items,XLOOKUP($C1612,daily_dates,big_daily_table)))</f>
        <v>#N/A</v>
      </c>
      <c r="E1612" s="1" t="str">
        <f t="array" ref="E1612">IF(ISBLANK(XLOOKUP(E$3,daily_items,XLOOKUP($C1612,daily_dates,big_daily_table))),NA(),XLOOKUP(E$3,daily_items,XLOOKUP($C1612,daily_dates,big_daily_table)))</f>
        <v>#N/A</v>
      </c>
    </row>
    <row r="1613" ht="14.25" customHeight="1">
      <c r="B1613" s="7">
        <v>42518.0</v>
      </c>
      <c r="C1613" s="7">
        <f t="shared" si="1"/>
        <v>42512</v>
      </c>
      <c r="D1613" s="1" t="str">
        <f t="array" ref="D1613">IF(ISBLANK(XLOOKUP(D$3,daily_items,XLOOKUP($C1613,daily_dates,big_daily_table))),NA(),XLOOKUP(D$3,daily_items,XLOOKUP($C1613,daily_dates,big_daily_table)))</f>
        <v>#N/A</v>
      </c>
      <c r="E1613" s="1" t="str">
        <f t="array" ref="E1613">IF(ISBLANK(XLOOKUP(E$3,daily_items,XLOOKUP($C1613,daily_dates,big_daily_table))),NA(),XLOOKUP(E$3,daily_items,XLOOKUP($C1613,daily_dates,big_daily_table)))</f>
        <v>#N/A</v>
      </c>
    </row>
    <row r="1614" ht="14.25" customHeight="1">
      <c r="B1614" s="7">
        <v>42519.0</v>
      </c>
      <c r="C1614" s="7">
        <f t="shared" si="1"/>
        <v>42519</v>
      </c>
      <c r="D1614" s="1" t="str">
        <f t="array" ref="D1614">IF(ISBLANK(XLOOKUP(D$3,daily_items,XLOOKUP($C1614,daily_dates,big_daily_table))),NA(),XLOOKUP(D$3,daily_items,XLOOKUP($C1614,daily_dates,big_daily_table)))</f>
        <v>#N/A</v>
      </c>
      <c r="E1614" s="1" t="str">
        <f t="array" ref="E1614">IF(ISBLANK(XLOOKUP(E$3,daily_items,XLOOKUP($C1614,daily_dates,big_daily_table))),NA(),XLOOKUP(E$3,daily_items,XLOOKUP($C1614,daily_dates,big_daily_table)))</f>
        <v>#N/A</v>
      </c>
    </row>
    <row r="1615" ht="14.25" customHeight="1">
      <c r="B1615" s="7">
        <v>42520.0</v>
      </c>
      <c r="C1615" s="7">
        <f t="shared" si="1"/>
        <v>42519</v>
      </c>
      <c r="D1615" s="1" t="str">
        <f t="array" ref="D1615">IF(ISBLANK(XLOOKUP(D$3,daily_items,XLOOKUP($C1615,daily_dates,big_daily_table))),NA(),XLOOKUP(D$3,daily_items,XLOOKUP($C1615,daily_dates,big_daily_table)))</f>
        <v>#N/A</v>
      </c>
      <c r="E1615" s="1" t="str">
        <f t="array" ref="E1615">IF(ISBLANK(XLOOKUP(E$3,daily_items,XLOOKUP($C1615,daily_dates,big_daily_table))),NA(),XLOOKUP(E$3,daily_items,XLOOKUP($C1615,daily_dates,big_daily_table)))</f>
        <v>#N/A</v>
      </c>
    </row>
    <row r="1616" ht="14.25" customHeight="1">
      <c r="B1616" s="7">
        <v>42521.0</v>
      </c>
      <c r="C1616" s="7">
        <f t="shared" si="1"/>
        <v>42519</v>
      </c>
      <c r="D1616" s="1" t="str">
        <f t="array" ref="D1616">IF(ISBLANK(XLOOKUP(D$3,daily_items,XLOOKUP($C1616,daily_dates,big_daily_table))),NA(),XLOOKUP(D$3,daily_items,XLOOKUP($C1616,daily_dates,big_daily_table)))</f>
        <v>#N/A</v>
      </c>
      <c r="E1616" s="1" t="str">
        <f t="array" ref="E1616">IF(ISBLANK(XLOOKUP(E$3,daily_items,XLOOKUP($C1616,daily_dates,big_daily_table))),NA(),XLOOKUP(E$3,daily_items,XLOOKUP($C1616,daily_dates,big_daily_table)))</f>
        <v>#N/A</v>
      </c>
    </row>
    <row r="1617" ht="14.25" customHeight="1">
      <c r="B1617" s="7">
        <v>42522.0</v>
      </c>
      <c r="C1617" s="7">
        <f t="shared" si="1"/>
        <v>42519</v>
      </c>
      <c r="D1617" s="1" t="str">
        <f t="array" ref="D1617">IF(ISBLANK(XLOOKUP(D$3,daily_items,XLOOKUP($C1617,daily_dates,big_daily_table))),NA(),XLOOKUP(D$3,daily_items,XLOOKUP($C1617,daily_dates,big_daily_table)))</f>
        <v>#N/A</v>
      </c>
      <c r="E1617" s="1" t="str">
        <f t="array" ref="E1617">IF(ISBLANK(XLOOKUP(E$3,daily_items,XLOOKUP($C1617,daily_dates,big_daily_table))),NA(),XLOOKUP(E$3,daily_items,XLOOKUP($C1617,daily_dates,big_daily_table)))</f>
        <v>#N/A</v>
      </c>
    </row>
    <row r="1618" ht="14.25" customHeight="1">
      <c r="B1618" s="7">
        <v>42523.0</v>
      </c>
      <c r="C1618" s="7">
        <f t="shared" si="1"/>
        <v>42519</v>
      </c>
      <c r="D1618" s="1" t="str">
        <f t="array" ref="D1618">IF(ISBLANK(XLOOKUP(D$3,daily_items,XLOOKUP($C1618,daily_dates,big_daily_table))),NA(),XLOOKUP(D$3,daily_items,XLOOKUP($C1618,daily_dates,big_daily_table)))</f>
        <v>#N/A</v>
      </c>
      <c r="E1618" s="1" t="str">
        <f t="array" ref="E1618">IF(ISBLANK(XLOOKUP(E$3,daily_items,XLOOKUP($C1618,daily_dates,big_daily_table))),NA(),XLOOKUP(E$3,daily_items,XLOOKUP($C1618,daily_dates,big_daily_table)))</f>
        <v>#N/A</v>
      </c>
    </row>
    <row r="1619" ht="14.25" customHeight="1">
      <c r="B1619" s="7">
        <v>42524.0</v>
      </c>
      <c r="C1619" s="7">
        <f t="shared" si="1"/>
        <v>42519</v>
      </c>
      <c r="D1619" s="1" t="str">
        <f t="array" ref="D1619">IF(ISBLANK(XLOOKUP(D$3,daily_items,XLOOKUP($C1619,daily_dates,big_daily_table))),NA(),XLOOKUP(D$3,daily_items,XLOOKUP($C1619,daily_dates,big_daily_table)))</f>
        <v>#N/A</v>
      </c>
      <c r="E1619" s="1" t="str">
        <f t="array" ref="E1619">IF(ISBLANK(XLOOKUP(E$3,daily_items,XLOOKUP($C1619,daily_dates,big_daily_table))),NA(),XLOOKUP(E$3,daily_items,XLOOKUP($C1619,daily_dates,big_daily_table)))</f>
        <v>#N/A</v>
      </c>
    </row>
    <row r="1620" ht="14.25" customHeight="1">
      <c r="B1620" s="7">
        <v>42525.0</v>
      </c>
      <c r="C1620" s="7">
        <f t="shared" si="1"/>
        <v>42519</v>
      </c>
      <c r="D1620" s="1" t="str">
        <f t="array" ref="D1620">IF(ISBLANK(XLOOKUP(D$3,daily_items,XLOOKUP($C1620,daily_dates,big_daily_table))),NA(),XLOOKUP(D$3,daily_items,XLOOKUP($C1620,daily_dates,big_daily_table)))</f>
        <v>#N/A</v>
      </c>
      <c r="E1620" s="1" t="str">
        <f t="array" ref="E1620">IF(ISBLANK(XLOOKUP(E$3,daily_items,XLOOKUP($C1620,daily_dates,big_daily_table))),NA(),XLOOKUP(E$3,daily_items,XLOOKUP($C1620,daily_dates,big_daily_table)))</f>
        <v>#N/A</v>
      </c>
    </row>
    <row r="1621" ht="14.25" customHeight="1">
      <c r="B1621" s="7">
        <v>42526.0</v>
      </c>
      <c r="C1621" s="7">
        <f t="shared" si="1"/>
        <v>42526</v>
      </c>
      <c r="D1621" s="1" t="str">
        <f t="array" ref="D1621">IF(ISBLANK(XLOOKUP(D$3,daily_items,XLOOKUP($C1621,daily_dates,big_daily_table))),NA(),XLOOKUP(D$3,daily_items,XLOOKUP($C1621,daily_dates,big_daily_table)))</f>
        <v>#N/A</v>
      </c>
      <c r="E1621" s="1" t="str">
        <f t="array" ref="E1621">IF(ISBLANK(XLOOKUP(E$3,daily_items,XLOOKUP($C1621,daily_dates,big_daily_table))),NA(),XLOOKUP(E$3,daily_items,XLOOKUP($C1621,daily_dates,big_daily_table)))</f>
        <v>#N/A</v>
      </c>
    </row>
    <row r="1622" ht="14.25" customHeight="1">
      <c r="B1622" s="7">
        <v>42527.0</v>
      </c>
      <c r="C1622" s="7">
        <f t="shared" si="1"/>
        <v>42526</v>
      </c>
      <c r="D1622" s="1" t="str">
        <f t="array" ref="D1622">IF(ISBLANK(XLOOKUP(D$3,daily_items,XLOOKUP($C1622,daily_dates,big_daily_table))),NA(),XLOOKUP(D$3,daily_items,XLOOKUP($C1622,daily_dates,big_daily_table)))</f>
        <v>#N/A</v>
      </c>
      <c r="E1622" s="1" t="str">
        <f t="array" ref="E1622">IF(ISBLANK(XLOOKUP(E$3,daily_items,XLOOKUP($C1622,daily_dates,big_daily_table))),NA(),XLOOKUP(E$3,daily_items,XLOOKUP($C1622,daily_dates,big_daily_table)))</f>
        <v>#N/A</v>
      </c>
    </row>
    <row r="1623" ht="14.25" customHeight="1">
      <c r="B1623" s="7">
        <v>42528.0</v>
      </c>
      <c r="C1623" s="7">
        <f t="shared" si="1"/>
        <v>42526</v>
      </c>
      <c r="D1623" s="1" t="str">
        <f t="array" ref="D1623">IF(ISBLANK(XLOOKUP(D$3,daily_items,XLOOKUP($C1623,daily_dates,big_daily_table))),NA(),XLOOKUP(D$3,daily_items,XLOOKUP($C1623,daily_dates,big_daily_table)))</f>
        <v>#N/A</v>
      </c>
      <c r="E1623" s="1" t="str">
        <f t="array" ref="E1623">IF(ISBLANK(XLOOKUP(E$3,daily_items,XLOOKUP($C1623,daily_dates,big_daily_table))),NA(),XLOOKUP(E$3,daily_items,XLOOKUP($C1623,daily_dates,big_daily_table)))</f>
        <v>#N/A</v>
      </c>
    </row>
    <row r="1624" ht="14.25" customHeight="1">
      <c r="B1624" s="7">
        <v>42529.0</v>
      </c>
      <c r="C1624" s="7">
        <f t="shared" si="1"/>
        <v>42526</v>
      </c>
      <c r="D1624" s="1" t="str">
        <f t="array" ref="D1624">IF(ISBLANK(XLOOKUP(D$3,daily_items,XLOOKUP($C1624,daily_dates,big_daily_table))),NA(),XLOOKUP(D$3,daily_items,XLOOKUP($C1624,daily_dates,big_daily_table)))</f>
        <v>#N/A</v>
      </c>
      <c r="E1624" s="1" t="str">
        <f t="array" ref="E1624">IF(ISBLANK(XLOOKUP(E$3,daily_items,XLOOKUP($C1624,daily_dates,big_daily_table))),NA(),XLOOKUP(E$3,daily_items,XLOOKUP($C1624,daily_dates,big_daily_table)))</f>
        <v>#N/A</v>
      </c>
    </row>
    <row r="1625" ht="14.25" customHeight="1">
      <c r="B1625" s="7">
        <v>42530.0</v>
      </c>
      <c r="C1625" s="7">
        <f t="shared" si="1"/>
        <v>42526</v>
      </c>
      <c r="D1625" s="1" t="str">
        <f t="array" ref="D1625">IF(ISBLANK(XLOOKUP(D$3,daily_items,XLOOKUP($C1625,daily_dates,big_daily_table))),NA(),XLOOKUP(D$3,daily_items,XLOOKUP($C1625,daily_dates,big_daily_table)))</f>
        <v>#N/A</v>
      </c>
      <c r="E1625" s="1" t="str">
        <f t="array" ref="E1625">IF(ISBLANK(XLOOKUP(E$3,daily_items,XLOOKUP($C1625,daily_dates,big_daily_table))),NA(),XLOOKUP(E$3,daily_items,XLOOKUP($C1625,daily_dates,big_daily_table)))</f>
        <v>#N/A</v>
      </c>
    </row>
    <row r="1626" ht="14.25" customHeight="1">
      <c r="B1626" s="7">
        <v>42531.0</v>
      </c>
      <c r="C1626" s="7">
        <f t="shared" si="1"/>
        <v>42526</v>
      </c>
      <c r="D1626" s="1" t="str">
        <f t="array" ref="D1626">IF(ISBLANK(XLOOKUP(D$3,daily_items,XLOOKUP($C1626,daily_dates,big_daily_table))),NA(),XLOOKUP(D$3,daily_items,XLOOKUP($C1626,daily_dates,big_daily_table)))</f>
        <v>#N/A</v>
      </c>
      <c r="E1626" s="1" t="str">
        <f t="array" ref="E1626">IF(ISBLANK(XLOOKUP(E$3,daily_items,XLOOKUP($C1626,daily_dates,big_daily_table))),NA(),XLOOKUP(E$3,daily_items,XLOOKUP($C1626,daily_dates,big_daily_table)))</f>
        <v>#N/A</v>
      </c>
    </row>
    <row r="1627" ht="14.25" customHeight="1">
      <c r="B1627" s="7">
        <v>42532.0</v>
      </c>
      <c r="C1627" s="7">
        <f t="shared" si="1"/>
        <v>42526</v>
      </c>
      <c r="D1627" s="1" t="str">
        <f t="array" ref="D1627">IF(ISBLANK(XLOOKUP(D$3,daily_items,XLOOKUP($C1627,daily_dates,big_daily_table))),NA(),XLOOKUP(D$3,daily_items,XLOOKUP($C1627,daily_dates,big_daily_table)))</f>
        <v>#N/A</v>
      </c>
      <c r="E1627" s="1" t="str">
        <f t="array" ref="E1627">IF(ISBLANK(XLOOKUP(E$3,daily_items,XLOOKUP($C1627,daily_dates,big_daily_table))),NA(),XLOOKUP(E$3,daily_items,XLOOKUP($C1627,daily_dates,big_daily_table)))</f>
        <v>#N/A</v>
      </c>
    </row>
    <row r="1628" ht="14.25" customHeight="1">
      <c r="B1628" s="7">
        <v>42533.0</v>
      </c>
      <c r="C1628" s="7">
        <f t="shared" si="1"/>
        <v>42533</v>
      </c>
      <c r="D1628" s="1" t="str">
        <f t="array" ref="D1628">IF(ISBLANK(XLOOKUP(D$3,daily_items,XLOOKUP($C1628,daily_dates,big_daily_table))),NA(),XLOOKUP(D$3,daily_items,XLOOKUP($C1628,daily_dates,big_daily_table)))</f>
        <v>#N/A</v>
      </c>
      <c r="E1628" s="1" t="str">
        <f t="array" ref="E1628">IF(ISBLANK(XLOOKUP(E$3,daily_items,XLOOKUP($C1628,daily_dates,big_daily_table))),NA(),XLOOKUP(E$3,daily_items,XLOOKUP($C1628,daily_dates,big_daily_table)))</f>
        <v>#N/A</v>
      </c>
    </row>
    <row r="1629" ht="14.25" customHeight="1">
      <c r="B1629" s="7">
        <v>42534.0</v>
      </c>
      <c r="C1629" s="7">
        <f t="shared" si="1"/>
        <v>42533</v>
      </c>
      <c r="D1629" s="1" t="str">
        <f t="array" ref="D1629">IF(ISBLANK(XLOOKUP(D$3,daily_items,XLOOKUP($C1629,daily_dates,big_daily_table))),NA(),XLOOKUP(D$3,daily_items,XLOOKUP($C1629,daily_dates,big_daily_table)))</f>
        <v>#N/A</v>
      </c>
      <c r="E1629" s="1" t="str">
        <f t="array" ref="E1629">IF(ISBLANK(XLOOKUP(E$3,daily_items,XLOOKUP($C1629,daily_dates,big_daily_table))),NA(),XLOOKUP(E$3,daily_items,XLOOKUP($C1629,daily_dates,big_daily_table)))</f>
        <v>#N/A</v>
      </c>
    </row>
    <row r="1630" ht="14.25" customHeight="1">
      <c r="B1630" s="7">
        <v>42535.0</v>
      </c>
      <c r="C1630" s="7">
        <f t="shared" si="1"/>
        <v>42533</v>
      </c>
      <c r="D1630" s="1" t="str">
        <f t="array" ref="D1630">IF(ISBLANK(XLOOKUP(D$3,daily_items,XLOOKUP($C1630,daily_dates,big_daily_table))),NA(),XLOOKUP(D$3,daily_items,XLOOKUP($C1630,daily_dates,big_daily_table)))</f>
        <v>#N/A</v>
      </c>
      <c r="E1630" s="1" t="str">
        <f t="array" ref="E1630">IF(ISBLANK(XLOOKUP(E$3,daily_items,XLOOKUP($C1630,daily_dates,big_daily_table))),NA(),XLOOKUP(E$3,daily_items,XLOOKUP($C1630,daily_dates,big_daily_table)))</f>
        <v>#N/A</v>
      </c>
    </row>
    <row r="1631" ht="14.25" customHeight="1">
      <c r="B1631" s="7">
        <v>42536.0</v>
      </c>
      <c r="C1631" s="7">
        <f t="shared" si="1"/>
        <v>42533</v>
      </c>
      <c r="D1631" s="1" t="str">
        <f t="array" ref="D1631">IF(ISBLANK(XLOOKUP(D$3,daily_items,XLOOKUP($C1631,daily_dates,big_daily_table))),NA(),XLOOKUP(D$3,daily_items,XLOOKUP($C1631,daily_dates,big_daily_table)))</f>
        <v>#N/A</v>
      </c>
      <c r="E1631" s="1" t="str">
        <f t="array" ref="E1631">IF(ISBLANK(XLOOKUP(E$3,daily_items,XLOOKUP($C1631,daily_dates,big_daily_table))),NA(),XLOOKUP(E$3,daily_items,XLOOKUP($C1631,daily_dates,big_daily_table)))</f>
        <v>#N/A</v>
      </c>
    </row>
    <row r="1632" ht="14.25" customHeight="1">
      <c r="B1632" s="7">
        <v>42537.0</v>
      </c>
      <c r="C1632" s="7">
        <f t="shared" si="1"/>
        <v>42533</v>
      </c>
      <c r="D1632" s="1" t="str">
        <f t="array" ref="D1632">IF(ISBLANK(XLOOKUP(D$3,daily_items,XLOOKUP($C1632,daily_dates,big_daily_table))),NA(),XLOOKUP(D$3,daily_items,XLOOKUP($C1632,daily_dates,big_daily_table)))</f>
        <v>#N/A</v>
      </c>
      <c r="E1632" s="1" t="str">
        <f t="array" ref="E1632">IF(ISBLANK(XLOOKUP(E$3,daily_items,XLOOKUP($C1632,daily_dates,big_daily_table))),NA(),XLOOKUP(E$3,daily_items,XLOOKUP($C1632,daily_dates,big_daily_table)))</f>
        <v>#N/A</v>
      </c>
    </row>
    <row r="1633" ht="14.25" customHeight="1">
      <c r="B1633" s="7">
        <v>42538.0</v>
      </c>
      <c r="C1633" s="7">
        <f t="shared" si="1"/>
        <v>42533</v>
      </c>
      <c r="D1633" s="1" t="str">
        <f t="array" ref="D1633">IF(ISBLANK(XLOOKUP(D$3,daily_items,XLOOKUP($C1633,daily_dates,big_daily_table))),NA(),XLOOKUP(D$3,daily_items,XLOOKUP($C1633,daily_dates,big_daily_table)))</f>
        <v>#N/A</v>
      </c>
      <c r="E1633" s="1" t="str">
        <f t="array" ref="E1633">IF(ISBLANK(XLOOKUP(E$3,daily_items,XLOOKUP($C1633,daily_dates,big_daily_table))),NA(),XLOOKUP(E$3,daily_items,XLOOKUP($C1633,daily_dates,big_daily_table)))</f>
        <v>#N/A</v>
      </c>
    </row>
    <row r="1634" ht="14.25" customHeight="1">
      <c r="B1634" s="7">
        <v>42539.0</v>
      </c>
      <c r="C1634" s="7">
        <f t="shared" si="1"/>
        <v>42533</v>
      </c>
      <c r="D1634" s="1" t="str">
        <f t="array" ref="D1634">IF(ISBLANK(XLOOKUP(D$3,daily_items,XLOOKUP($C1634,daily_dates,big_daily_table))),NA(),XLOOKUP(D$3,daily_items,XLOOKUP($C1634,daily_dates,big_daily_table)))</f>
        <v>#N/A</v>
      </c>
      <c r="E1634" s="1" t="str">
        <f t="array" ref="E1634">IF(ISBLANK(XLOOKUP(E$3,daily_items,XLOOKUP($C1634,daily_dates,big_daily_table))),NA(),XLOOKUP(E$3,daily_items,XLOOKUP($C1634,daily_dates,big_daily_table)))</f>
        <v>#N/A</v>
      </c>
    </row>
    <row r="1635" ht="14.25" customHeight="1">
      <c r="B1635" s="7">
        <v>42540.0</v>
      </c>
      <c r="C1635" s="7">
        <f t="shared" si="1"/>
        <v>42540</v>
      </c>
      <c r="D1635" s="1" t="str">
        <f t="array" ref="D1635">IF(ISBLANK(XLOOKUP(D$3,daily_items,XLOOKUP($C1635,daily_dates,big_daily_table))),NA(),XLOOKUP(D$3,daily_items,XLOOKUP($C1635,daily_dates,big_daily_table)))</f>
        <v>#N/A</v>
      </c>
      <c r="E1635" s="1" t="str">
        <f t="array" ref="E1635">IF(ISBLANK(XLOOKUP(E$3,daily_items,XLOOKUP($C1635,daily_dates,big_daily_table))),NA(),XLOOKUP(E$3,daily_items,XLOOKUP($C1635,daily_dates,big_daily_table)))</f>
        <v>#N/A</v>
      </c>
    </row>
    <row r="1636" ht="14.25" customHeight="1">
      <c r="B1636" s="7">
        <v>42541.0</v>
      </c>
      <c r="C1636" s="7">
        <f t="shared" si="1"/>
        <v>42540</v>
      </c>
      <c r="D1636" s="1" t="str">
        <f t="array" ref="D1636">IF(ISBLANK(XLOOKUP(D$3,daily_items,XLOOKUP($C1636,daily_dates,big_daily_table))),NA(),XLOOKUP(D$3,daily_items,XLOOKUP($C1636,daily_dates,big_daily_table)))</f>
        <v>#N/A</v>
      </c>
      <c r="E1636" s="1" t="str">
        <f t="array" ref="E1636">IF(ISBLANK(XLOOKUP(E$3,daily_items,XLOOKUP($C1636,daily_dates,big_daily_table))),NA(),XLOOKUP(E$3,daily_items,XLOOKUP($C1636,daily_dates,big_daily_table)))</f>
        <v>#N/A</v>
      </c>
    </row>
    <row r="1637" ht="14.25" customHeight="1">
      <c r="B1637" s="7">
        <v>42542.0</v>
      </c>
      <c r="C1637" s="7">
        <f t="shared" si="1"/>
        <v>42540</v>
      </c>
      <c r="D1637" s="1" t="str">
        <f t="array" ref="D1637">IF(ISBLANK(XLOOKUP(D$3,daily_items,XLOOKUP($C1637,daily_dates,big_daily_table))),NA(),XLOOKUP(D$3,daily_items,XLOOKUP($C1637,daily_dates,big_daily_table)))</f>
        <v>#N/A</v>
      </c>
      <c r="E1637" s="1" t="str">
        <f t="array" ref="E1637">IF(ISBLANK(XLOOKUP(E$3,daily_items,XLOOKUP($C1637,daily_dates,big_daily_table))),NA(),XLOOKUP(E$3,daily_items,XLOOKUP($C1637,daily_dates,big_daily_table)))</f>
        <v>#N/A</v>
      </c>
    </row>
    <row r="1638" ht="14.25" customHeight="1">
      <c r="B1638" s="7">
        <v>42543.0</v>
      </c>
      <c r="C1638" s="7">
        <f t="shared" si="1"/>
        <v>42540</v>
      </c>
      <c r="D1638" s="1" t="str">
        <f t="array" ref="D1638">IF(ISBLANK(XLOOKUP(D$3,daily_items,XLOOKUP($C1638,daily_dates,big_daily_table))),NA(),XLOOKUP(D$3,daily_items,XLOOKUP($C1638,daily_dates,big_daily_table)))</f>
        <v>#N/A</v>
      </c>
      <c r="E1638" s="1" t="str">
        <f t="array" ref="E1638">IF(ISBLANK(XLOOKUP(E$3,daily_items,XLOOKUP($C1638,daily_dates,big_daily_table))),NA(),XLOOKUP(E$3,daily_items,XLOOKUP($C1638,daily_dates,big_daily_table)))</f>
        <v>#N/A</v>
      </c>
    </row>
    <row r="1639" ht="14.25" customHeight="1">
      <c r="B1639" s="7">
        <v>42544.0</v>
      </c>
      <c r="C1639" s="7">
        <f t="shared" si="1"/>
        <v>42540</v>
      </c>
      <c r="D1639" s="1" t="str">
        <f t="array" ref="D1639">IF(ISBLANK(XLOOKUP(D$3,daily_items,XLOOKUP($C1639,daily_dates,big_daily_table))),NA(),XLOOKUP(D$3,daily_items,XLOOKUP($C1639,daily_dates,big_daily_table)))</f>
        <v>#N/A</v>
      </c>
      <c r="E1639" s="1" t="str">
        <f t="array" ref="E1639">IF(ISBLANK(XLOOKUP(E$3,daily_items,XLOOKUP($C1639,daily_dates,big_daily_table))),NA(),XLOOKUP(E$3,daily_items,XLOOKUP($C1639,daily_dates,big_daily_table)))</f>
        <v>#N/A</v>
      </c>
    </row>
    <row r="1640" ht="14.25" customHeight="1">
      <c r="B1640" s="7">
        <v>42545.0</v>
      </c>
      <c r="C1640" s="7">
        <f t="shared" si="1"/>
        <v>42540</v>
      </c>
      <c r="D1640" s="1" t="str">
        <f t="array" ref="D1640">IF(ISBLANK(XLOOKUP(D$3,daily_items,XLOOKUP($C1640,daily_dates,big_daily_table))),NA(),XLOOKUP(D$3,daily_items,XLOOKUP($C1640,daily_dates,big_daily_table)))</f>
        <v>#N/A</v>
      </c>
      <c r="E1640" s="1" t="str">
        <f t="array" ref="E1640">IF(ISBLANK(XLOOKUP(E$3,daily_items,XLOOKUP($C1640,daily_dates,big_daily_table))),NA(),XLOOKUP(E$3,daily_items,XLOOKUP($C1640,daily_dates,big_daily_table)))</f>
        <v>#N/A</v>
      </c>
    </row>
    <row r="1641" ht="14.25" customHeight="1">
      <c r="B1641" s="7">
        <v>42546.0</v>
      </c>
      <c r="C1641" s="7">
        <f t="shared" si="1"/>
        <v>42540</v>
      </c>
      <c r="D1641" s="1" t="str">
        <f t="array" ref="D1641">IF(ISBLANK(XLOOKUP(D$3,daily_items,XLOOKUP($C1641,daily_dates,big_daily_table))),NA(),XLOOKUP(D$3,daily_items,XLOOKUP($C1641,daily_dates,big_daily_table)))</f>
        <v>#N/A</v>
      </c>
      <c r="E1641" s="1" t="str">
        <f t="array" ref="E1641">IF(ISBLANK(XLOOKUP(E$3,daily_items,XLOOKUP($C1641,daily_dates,big_daily_table))),NA(),XLOOKUP(E$3,daily_items,XLOOKUP($C1641,daily_dates,big_daily_table)))</f>
        <v>#N/A</v>
      </c>
    </row>
    <row r="1642" ht="14.25" customHeight="1">
      <c r="B1642" s="7">
        <v>42547.0</v>
      </c>
      <c r="C1642" s="7">
        <f t="shared" si="1"/>
        <v>42547</v>
      </c>
      <c r="D1642" s="1" t="str">
        <f t="array" ref="D1642">IF(ISBLANK(XLOOKUP(D$3,daily_items,XLOOKUP($C1642,daily_dates,big_daily_table))),NA(),XLOOKUP(D$3,daily_items,XLOOKUP($C1642,daily_dates,big_daily_table)))</f>
        <v>#N/A</v>
      </c>
      <c r="E1642" s="1" t="str">
        <f t="array" ref="E1642">IF(ISBLANK(XLOOKUP(E$3,daily_items,XLOOKUP($C1642,daily_dates,big_daily_table))),NA(),XLOOKUP(E$3,daily_items,XLOOKUP($C1642,daily_dates,big_daily_table)))</f>
        <v>#N/A</v>
      </c>
    </row>
    <row r="1643" ht="14.25" customHeight="1">
      <c r="B1643" s="7">
        <v>42548.0</v>
      </c>
      <c r="C1643" s="7">
        <f t="shared" si="1"/>
        <v>42547</v>
      </c>
      <c r="D1643" s="1" t="str">
        <f t="array" ref="D1643">IF(ISBLANK(XLOOKUP(D$3,daily_items,XLOOKUP($C1643,daily_dates,big_daily_table))),NA(),XLOOKUP(D$3,daily_items,XLOOKUP($C1643,daily_dates,big_daily_table)))</f>
        <v>#N/A</v>
      </c>
      <c r="E1643" s="1" t="str">
        <f t="array" ref="E1643">IF(ISBLANK(XLOOKUP(E$3,daily_items,XLOOKUP($C1643,daily_dates,big_daily_table))),NA(),XLOOKUP(E$3,daily_items,XLOOKUP($C1643,daily_dates,big_daily_table)))</f>
        <v>#N/A</v>
      </c>
    </row>
    <row r="1644" ht="14.25" customHeight="1">
      <c r="B1644" s="7">
        <v>42549.0</v>
      </c>
      <c r="C1644" s="7">
        <f t="shared" si="1"/>
        <v>42547</v>
      </c>
      <c r="D1644" s="1" t="str">
        <f t="array" ref="D1644">IF(ISBLANK(XLOOKUP(D$3,daily_items,XLOOKUP($C1644,daily_dates,big_daily_table))),NA(),XLOOKUP(D$3,daily_items,XLOOKUP($C1644,daily_dates,big_daily_table)))</f>
        <v>#N/A</v>
      </c>
      <c r="E1644" s="1" t="str">
        <f t="array" ref="E1644">IF(ISBLANK(XLOOKUP(E$3,daily_items,XLOOKUP($C1644,daily_dates,big_daily_table))),NA(),XLOOKUP(E$3,daily_items,XLOOKUP($C1644,daily_dates,big_daily_table)))</f>
        <v>#N/A</v>
      </c>
    </row>
    <row r="1645" ht="14.25" customHeight="1">
      <c r="B1645" s="7">
        <v>42550.0</v>
      </c>
      <c r="C1645" s="7">
        <f t="shared" si="1"/>
        <v>42547</v>
      </c>
      <c r="D1645" s="1" t="str">
        <f t="array" ref="D1645">IF(ISBLANK(XLOOKUP(D$3,daily_items,XLOOKUP($C1645,daily_dates,big_daily_table))),NA(),XLOOKUP(D$3,daily_items,XLOOKUP($C1645,daily_dates,big_daily_table)))</f>
        <v>#N/A</v>
      </c>
      <c r="E1645" s="1" t="str">
        <f t="array" ref="E1645">IF(ISBLANK(XLOOKUP(E$3,daily_items,XLOOKUP($C1645,daily_dates,big_daily_table))),NA(),XLOOKUP(E$3,daily_items,XLOOKUP($C1645,daily_dates,big_daily_table)))</f>
        <v>#N/A</v>
      </c>
    </row>
    <row r="1646" ht="14.25" customHeight="1">
      <c r="B1646" s="7">
        <v>42551.0</v>
      </c>
      <c r="C1646" s="7">
        <f t="shared" si="1"/>
        <v>42547</v>
      </c>
      <c r="D1646" s="1" t="str">
        <f t="array" ref="D1646">IF(ISBLANK(XLOOKUP(D$3,daily_items,XLOOKUP($C1646,daily_dates,big_daily_table))),NA(),XLOOKUP(D$3,daily_items,XLOOKUP($C1646,daily_dates,big_daily_table)))</f>
        <v>#N/A</v>
      </c>
      <c r="E1646" s="1" t="str">
        <f t="array" ref="E1646">IF(ISBLANK(XLOOKUP(E$3,daily_items,XLOOKUP($C1646,daily_dates,big_daily_table))),NA(),XLOOKUP(E$3,daily_items,XLOOKUP($C1646,daily_dates,big_daily_table)))</f>
        <v>#N/A</v>
      </c>
    </row>
    <row r="1647" ht="14.25" customHeight="1">
      <c r="B1647" s="7">
        <v>42552.0</v>
      </c>
      <c r="C1647" s="7">
        <f t="shared" si="1"/>
        <v>42547</v>
      </c>
      <c r="D1647" s="1" t="str">
        <f t="array" ref="D1647">IF(ISBLANK(XLOOKUP(D$3,daily_items,XLOOKUP($C1647,daily_dates,big_daily_table))),NA(),XLOOKUP(D$3,daily_items,XLOOKUP($C1647,daily_dates,big_daily_table)))</f>
        <v>#N/A</v>
      </c>
      <c r="E1647" s="1" t="str">
        <f t="array" ref="E1647">IF(ISBLANK(XLOOKUP(E$3,daily_items,XLOOKUP($C1647,daily_dates,big_daily_table))),NA(),XLOOKUP(E$3,daily_items,XLOOKUP($C1647,daily_dates,big_daily_table)))</f>
        <v>#N/A</v>
      </c>
    </row>
    <row r="1648" ht="14.25" customHeight="1">
      <c r="B1648" s="7">
        <v>42553.0</v>
      </c>
      <c r="C1648" s="7">
        <f t="shared" si="1"/>
        <v>42547</v>
      </c>
      <c r="D1648" s="1" t="str">
        <f t="array" ref="D1648">IF(ISBLANK(XLOOKUP(D$3,daily_items,XLOOKUP($C1648,daily_dates,big_daily_table))),NA(),XLOOKUP(D$3,daily_items,XLOOKUP($C1648,daily_dates,big_daily_table)))</f>
        <v>#N/A</v>
      </c>
      <c r="E1648" s="1" t="str">
        <f t="array" ref="E1648">IF(ISBLANK(XLOOKUP(E$3,daily_items,XLOOKUP($C1648,daily_dates,big_daily_table))),NA(),XLOOKUP(E$3,daily_items,XLOOKUP($C1648,daily_dates,big_daily_table)))</f>
        <v>#N/A</v>
      </c>
    </row>
    <row r="1649" ht="14.25" customHeight="1">
      <c r="B1649" s="7">
        <v>42554.0</v>
      </c>
      <c r="C1649" s="7">
        <f t="shared" si="1"/>
        <v>42554</v>
      </c>
      <c r="D1649" s="1" t="str">
        <f t="array" ref="D1649">IF(ISBLANK(XLOOKUP(D$3,daily_items,XLOOKUP($C1649,daily_dates,big_daily_table))),NA(),XLOOKUP(D$3,daily_items,XLOOKUP($C1649,daily_dates,big_daily_table)))</f>
        <v>#N/A</v>
      </c>
      <c r="E1649" s="1" t="str">
        <f t="array" ref="E1649">IF(ISBLANK(XLOOKUP(E$3,daily_items,XLOOKUP($C1649,daily_dates,big_daily_table))),NA(),XLOOKUP(E$3,daily_items,XLOOKUP($C1649,daily_dates,big_daily_table)))</f>
        <v>#N/A</v>
      </c>
    </row>
    <row r="1650" ht="14.25" customHeight="1">
      <c r="B1650" s="7">
        <v>42555.0</v>
      </c>
      <c r="C1650" s="7">
        <f t="shared" si="1"/>
        <v>42554</v>
      </c>
      <c r="D1650" s="1" t="str">
        <f t="array" ref="D1650">IF(ISBLANK(XLOOKUP(D$3,daily_items,XLOOKUP($C1650,daily_dates,big_daily_table))),NA(),XLOOKUP(D$3,daily_items,XLOOKUP($C1650,daily_dates,big_daily_table)))</f>
        <v>#N/A</v>
      </c>
      <c r="E1650" s="1" t="str">
        <f t="array" ref="E1650">IF(ISBLANK(XLOOKUP(E$3,daily_items,XLOOKUP($C1650,daily_dates,big_daily_table))),NA(),XLOOKUP(E$3,daily_items,XLOOKUP($C1650,daily_dates,big_daily_table)))</f>
        <v>#N/A</v>
      </c>
    </row>
    <row r="1651" ht="14.25" customHeight="1">
      <c r="B1651" s="7">
        <v>42556.0</v>
      </c>
      <c r="C1651" s="7">
        <f t="shared" si="1"/>
        <v>42554</v>
      </c>
      <c r="D1651" s="1" t="str">
        <f t="array" ref="D1651">IF(ISBLANK(XLOOKUP(D$3,daily_items,XLOOKUP($C1651,daily_dates,big_daily_table))),NA(),XLOOKUP(D$3,daily_items,XLOOKUP($C1651,daily_dates,big_daily_table)))</f>
        <v>#N/A</v>
      </c>
      <c r="E1651" s="1" t="str">
        <f t="array" ref="E1651">IF(ISBLANK(XLOOKUP(E$3,daily_items,XLOOKUP($C1651,daily_dates,big_daily_table))),NA(),XLOOKUP(E$3,daily_items,XLOOKUP($C1651,daily_dates,big_daily_table)))</f>
        <v>#N/A</v>
      </c>
    </row>
    <row r="1652" ht="14.25" customHeight="1">
      <c r="B1652" s="7">
        <v>42557.0</v>
      </c>
      <c r="C1652" s="7">
        <f t="shared" si="1"/>
        <v>42554</v>
      </c>
      <c r="D1652" s="1" t="str">
        <f t="array" ref="D1652">IF(ISBLANK(XLOOKUP(D$3,daily_items,XLOOKUP($C1652,daily_dates,big_daily_table))),NA(),XLOOKUP(D$3,daily_items,XLOOKUP($C1652,daily_dates,big_daily_table)))</f>
        <v>#N/A</v>
      </c>
      <c r="E1652" s="1" t="str">
        <f t="array" ref="E1652">IF(ISBLANK(XLOOKUP(E$3,daily_items,XLOOKUP($C1652,daily_dates,big_daily_table))),NA(),XLOOKUP(E$3,daily_items,XLOOKUP($C1652,daily_dates,big_daily_table)))</f>
        <v>#N/A</v>
      </c>
    </row>
    <row r="1653" ht="14.25" customHeight="1">
      <c r="B1653" s="7">
        <v>42558.0</v>
      </c>
      <c r="C1653" s="7">
        <f t="shared" si="1"/>
        <v>42554</v>
      </c>
      <c r="D1653" s="1" t="str">
        <f t="array" ref="D1653">IF(ISBLANK(XLOOKUP(D$3,daily_items,XLOOKUP($C1653,daily_dates,big_daily_table))),NA(),XLOOKUP(D$3,daily_items,XLOOKUP($C1653,daily_dates,big_daily_table)))</f>
        <v>#N/A</v>
      </c>
      <c r="E1653" s="1" t="str">
        <f t="array" ref="E1653">IF(ISBLANK(XLOOKUP(E$3,daily_items,XLOOKUP($C1653,daily_dates,big_daily_table))),NA(),XLOOKUP(E$3,daily_items,XLOOKUP($C1653,daily_dates,big_daily_table)))</f>
        <v>#N/A</v>
      </c>
    </row>
    <row r="1654" ht="14.25" customHeight="1">
      <c r="B1654" s="7">
        <v>42559.0</v>
      </c>
      <c r="C1654" s="7">
        <f t="shared" si="1"/>
        <v>42554</v>
      </c>
      <c r="D1654" s="1" t="str">
        <f t="array" ref="D1654">IF(ISBLANK(XLOOKUP(D$3,daily_items,XLOOKUP($C1654,daily_dates,big_daily_table))),NA(),XLOOKUP(D$3,daily_items,XLOOKUP($C1654,daily_dates,big_daily_table)))</f>
        <v>#N/A</v>
      </c>
      <c r="E1654" s="1" t="str">
        <f t="array" ref="E1654">IF(ISBLANK(XLOOKUP(E$3,daily_items,XLOOKUP($C1654,daily_dates,big_daily_table))),NA(),XLOOKUP(E$3,daily_items,XLOOKUP($C1654,daily_dates,big_daily_table)))</f>
        <v>#N/A</v>
      </c>
    </row>
    <row r="1655" ht="14.25" customHeight="1">
      <c r="B1655" s="7">
        <v>42560.0</v>
      </c>
      <c r="C1655" s="7">
        <f t="shared" si="1"/>
        <v>42554</v>
      </c>
      <c r="D1655" s="1" t="str">
        <f t="array" ref="D1655">IF(ISBLANK(XLOOKUP(D$3,daily_items,XLOOKUP($C1655,daily_dates,big_daily_table))),NA(),XLOOKUP(D$3,daily_items,XLOOKUP($C1655,daily_dates,big_daily_table)))</f>
        <v>#N/A</v>
      </c>
      <c r="E1655" s="1" t="str">
        <f t="array" ref="E1655">IF(ISBLANK(XLOOKUP(E$3,daily_items,XLOOKUP($C1655,daily_dates,big_daily_table))),NA(),XLOOKUP(E$3,daily_items,XLOOKUP($C1655,daily_dates,big_daily_table)))</f>
        <v>#N/A</v>
      </c>
    </row>
    <row r="1656" ht="14.25" customHeight="1">
      <c r="B1656" s="7">
        <v>42561.0</v>
      </c>
      <c r="C1656" s="7">
        <f t="shared" si="1"/>
        <v>42561</v>
      </c>
      <c r="D1656" s="1" t="str">
        <f t="array" ref="D1656">IF(ISBLANK(XLOOKUP(D$3,daily_items,XLOOKUP($C1656,daily_dates,big_daily_table))),NA(),XLOOKUP(D$3,daily_items,XLOOKUP($C1656,daily_dates,big_daily_table)))</f>
        <v>#N/A</v>
      </c>
      <c r="E1656" s="1" t="str">
        <f t="array" ref="E1656">IF(ISBLANK(XLOOKUP(E$3,daily_items,XLOOKUP($C1656,daily_dates,big_daily_table))),NA(),XLOOKUP(E$3,daily_items,XLOOKUP($C1656,daily_dates,big_daily_table)))</f>
        <v>#N/A</v>
      </c>
    </row>
    <row r="1657" ht="14.25" customHeight="1">
      <c r="B1657" s="7">
        <v>42562.0</v>
      </c>
      <c r="C1657" s="7">
        <f t="shared" si="1"/>
        <v>42561</v>
      </c>
      <c r="D1657" s="1" t="str">
        <f t="array" ref="D1657">IF(ISBLANK(XLOOKUP(D$3,daily_items,XLOOKUP($C1657,daily_dates,big_daily_table))),NA(),XLOOKUP(D$3,daily_items,XLOOKUP($C1657,daily_dates,big_daily_table)))</f>
        <v>#N/A</v>
      </c>
      <c r="E1657" s="1" t="str">
        <f t="array" ref="E1657">IF(ISBLANK(XLOOKUP(E$3,daily_items,XLOOKUP($C1657,daily_dates,big_daily_table))),NA(),XLOOKUP(E$3,daily_items,XLOOKUP($C1657,daily_dates,big_daily_table)))</f>
        <v>#N/A</v>
      </c>
    </row>
    <row r="1658" ht="14.25" customHeight="1">
      <c r="B1658" s="7">
        <v>42563.0</v>
      </c>
      <c r="C1658" s="7">
        <f t="shared" si="1"/>
        <v>42561</v>
      </c>
      <c r="D1658" s="1" t="str">
        <f t="array" ref="D1658">IF(ISBLANK(XLOOKUP(D$3,daily_items,XLOOKUP($C1658,daily_dates,big_daily_table))),NA(),XLOOKUP(D$3,daily_items,XLOOKUP($C1658,daily_dates,big_daily_table)))</f>
        <v>#N/A</v>
      </c>
      <c r="E1658" s="1" t="str">
        <f t="array" ref="E1658">IF(ISBLANK(XLOOKUP(E$3,daily_items,XLOOKUP($C1658,daily_dates,big_daily_table))),NA(),XLOOKUP(E$3,daily_items,XLOOKUP($C1658,daily_dates,big_daily_table)))</f>
        <v>#N/A</v>
      </c>
    </row>
    <row r="1659" ht="14.25" customHeight="1">
      <c r="B1659" s="7">
        <v>42564.0</v>
      </c>
      <c r="C1659" s="7">
        <f t="shared" si="1"/>
        <v>42561</v>
      </c>
      <c r="D1659" s="1" t="str">
        <f t="array" ref="D1659">IF(ISBLANK(XLOOKUP(D$3,daily_items,XLOOKUP($C1659,daily_dates,big_daily_table))),NA(),XLOOKUP(D$3,daily_items,XLOOKUP($C1659,daily_dates,big_daily_table)))</f>
        <v>#N/A</v>
      </c>
      <c r="E1659" s="1" t="str">
        <f t="array" ref="E1659">IF(ISBLANK(XLOOKUP(E$3,daily_items,XLOOKUP($C1659,daily_dates,big_daily_table))),NA(),XLOOKUP(E$3,daily_items,XLOOKUP($C1659,daily_dates,big_daily_table)))</f>
        <v>#N/A</v>
      </c>
    </row>
    <row r="1660" ht="14.25" customHeight="1">
      <c r="B1660" s="7">
        <v>42565.0</v>
      </c>
      <c r="C1660" s="7">
        <f t="shared" si="1"/>
        <v>42561</v>
      </c>
      <c r="D1660" s="1" t="str">
        <f t="array" ref="D1660">IF(ISBLANK(XLOOKUP(D$3,daily_items,XLOOKUP($C1660,daily_dates,big_daily_table))),NA(),XLOOKUP(D$3,daily_items,XLOOKUP($C1660,daily_dates,big_daily_table)))</f>
        <v>#N/A</v>
      </c>
      <c r="E1660" s="1" t="str">
        <f t="array" ref="E1660">IF(ISBLANK(XLOOKUP(E$3,daily_items,XLOOKUP($C1660,daily_dates,big_daily_table))),NA(),XLOOKUP(E$3,daily_items,XLOOKUP($C1660,daily_dates,big_daily_table)))</f>
        <v>#N/A</v>
      </c>
    </row>
    <row r="1661" ht="14.25" customHeight="1">
      <c r="B1661" s="7">
        <v>42566.0</v>
      </c>
      <c r="C1661" s="7">
        <f t="shared" si="1"/>
        <v>42561</v>
      </c>
      <c r="D1661" s="1" t="str">
        <f t="array" ref="D1661">IF(ISBLANK(XLOOKUP(D$3,daily_items,XLOOKUP($C1661,daily_dates,big_daily_table))),NA(),XLOOKUP(D$3,daily_items,XLOOKUP($C1661,daily_dates,big_daily_table)))</f>
        <v>#N/A</v>
      </c>
      <c r="E1661" s="1" t="str">
        <f t="array" ref="E1661">IF(ISBLANK(XLOOKUP(E$3,daily_items,XLOOKUP($C1661,daily_dates,big_daily_table))),NA(),XLOOKUP(E$3,daily_items,XLOOKUP($C1661,daily_dates,big_daily_table)))</f>
        <v>#N/A</v>
      </c>
    </row>
    <row r="1662" ht="14.25" customHeight="1">
      <c r="B1662" s="7">
        <v>42567.0</v>
      </c>
      <c r="C1662" s="7">
        <f t="shared" si="1"/>
        <v>42561</v>
      </c>
      <c r="D1662" s="1" t="str">
        <f t="array" ref="D1662">IF(ISBLANK(XLOOKUP(D$3,daily_items,XLOOKUP($C1662,daily_dates,big_daily_table))),NA(),XLOOKUP(D$3,daily_items,XLOOKUP($C1662,daily_dates,big_daily_table)))</f>
        <v>#N/A</v>
      </c>
      <c r="E1662" s="1" t="str">
        <f t="array" ref="E1662">IF(ISBLANK(XLOOKUP(E$3,daily_items,XLOOKUP($C1662,daily_dates,big_daily_table))),NA(),XLOOKUP(E$3,daily_items,XLOOKUP($C1662,daily_dates,big_daily_table)))</f>
        <v>#N/A</v>
      </c>
    </row>
    <row r="1663" ht="14.25" customHeight="1">
      <c r="B1663" s="7">
        <v>42568.0</v>
      </c>
      <c r="C1663" s="7">
        <f t="shared" si="1"/>
        <v>42568</v>
      </c>
      <c r="D1663" s="1" t="str">
        <f t="array" ref="D1663">IF(ISBLANK(XLOOKUP(D$3,daily_items,XLOOKUP($C1663,daily_dates,big_daily_table))),NA(),XLOOKUP(D$3,daily_items,XLOOKUP($C1663,daily_dates,big_daily_table)))</f>
        <v>#N/A</v>
      </c>
      <c r="E1663" s="1" t="str">
        <f t="array" ref="E1663">IF(ISBLANK(XLOOKUP(E$3,daily_items,XLOOKUP($C1663,daily_dates,big_daily_table))),NA(),XLOOKUP(E$3,daily_items,XLOOKUP($C1663,daily_dates,big_daily_table)))</f>
        <v>#N/A</v>
      </c>
    </row>
    <row r="1664" ht="14.25" customHeight="1">
      <c r="B1664" s="7">
        <v>42569.0</v>
      </c>
      <c r="C1664" s="7">
        <f t="shared" si="1"/>
        <v>42568</v>
      </c>
      <c r="D1664" s="1" t="str">
        <f t="array" ref="D1664">IF(ISBLANK(XLOOKUP(D$3,daily_items,XLOOKUP($C1664,daily_dates,big_daily_table))),NA(),XLOOKUP(D$3,daily_items,XLOOKUP($C1664,daily_dates,big_daily_table)))</f>
        <v>#N/A</v>
      </c>
      <c r="E1664" s="1" t="str">
        <f t="array" ref="E1664">IF(ISBLANK(XLOOKUP(E$3,daily_items,XLOOKUP($C1664,daily_dates,big_daily_table))),NA(),XLOOKUP(E$3,daily_items,XLOOKUP($C1664,daily_dates,big_daily_table)))</f>
        <v>#N/A</v>
      </c>
    </row>
    <row r="1665" ht="14.25" customHeight="1">
      <c r="B1665" s="7">
        <v>42570.0</v>
      </c>
      <c r="C1665" s="7">
        <f t="shared" si="1"/>
        <v>42568</v>
      </c>
      <c r="D1665" s="1" t="str">
        <f t="array" ref="D1665">IF(ISBLANK(XLOOKUP(D$3,daily_items,XLOOKUP($C1665,daily_dates,big_daily_table))),NA(),XLOOKUP(D$3,daily_items,XLOOKUP($C1665,daily_dates,big_daily_table)))</f>
        <v>#N/A</v>
      </c>
      <c r="E1665" s="1" t="str">
        <f t="array" ref="E1665">IF(ISBLANK(XLOOKUP(E$3,daily_items,XLOOKUP($C1665,daily_dates,big_daily_table))),NA(),XLOOKUP(E$3,daily_items,XLOOKUP($C1665,daily_dates,big_daily_table)))</f>
        <v>#N/A</v>
      </c>
    </row>
    <row r="1666" ht="14.25" customHeight="1">
      <c r="B1666" s="7">
        <v>42571.0</v>
      </c>
      <c r="C1666" s="7">
        <f t="shared" si="1"/>
        <v>42568</v>
      </c>
      <c r="D1666" s="1" t="str">
        <f t="array" ref="D1666">IF(ISBLANK(XLOOKUP(D$3,daily_items,XLOOKUP($C1666,daily_dates,big_daily_table))),NA(),XLOOKUP(D$3,daily_items,XLOOKUP($C1666,daily_dates,big_daily_table)))</f>
        <v>#N/A</v>
      </c>
      <c r="E1666" s="1" t="str">
        <f t="array" ref="E1666">IF(ISBLANK(XLOOKUP(E$3,daily_items,XLOOKUP($C1666,daily_dates,big_daily_table))),NA(),XLOOKUP(E$3,daily_items,XLOOKUP($C1666,daily_dates,big_daily_table)))</f>
        <v>#N/A</v>
      </c>
    </row>
    <row r="1667" ht="14.25" customHeight="1">
      <c r="B1667" s="7">
        <v>42572.0</v>
      </c>
      <c r="C1667" s="7">
        <f t="shared" si="1"/>
        <v>42568</v>
      </c>
      <c r="D1667" s="1" t="str">
        <f t="array" ref="D1667">IF(ISBLANK(XLOOKUP(D$3,daily_items,XLOOKUP($C1667,daily_dates,big_daily_table))),NA(),XLOOKUP(D$3,daily_items,XLOOKUP($C1667,daily_dates,big_daily_table)))</f>
        <v>#N/A</v>
      </c>
      <c r="E1667" s="1" t="str">
        <f t="array" ref="E1667">IF(ISBLANK(XLOOKUP(E$3,daily_items,XLOOKUP($C1667,daily_dates,big_daily_table))),NA(),XLOOKUP(E$3,daily_items,XLOOKUP($C1667,daily_dates,big_daily_table)))</f>
        <v>#N/A</v>
      </c>
    </row>
    <row r="1668" ht="14.25" customHeight="1">
      <c r="B1668" s="7">
        <v>42573.0</v>
      </c>
      <c r="C1668" s="7">
        <f t="shared" si="1"/>
        <v>42568</v>
      </c>
      <c r="D1668" s="1" t="str">
        <f t="array" ref="D1668">IF(ISBLANK(XLOOKUP(D$3,daily_items,XLOOKUP($C1668,daily_dates,big_daily_table))),NA(),XLOOKUP(D$3,daily_items,XLOOKUP($C1668,daily_dates,big_daily_table)))</f>
        <v>#N/A</v>
      </c>
      <c r="E1668" s="1" t="str">
        <f t="array" ref="E1668">IF(ISBLANK(XLOOKUP(E$3,daily_items,XLOOKUP($C1668,daily_dates,big_daily_table))),NA(),XLOOKUP(E$3,daily_items,XLOOKUP($C1668,daily_dates,big_daily_table)))</f>
        <v>#N/A</v>
      </c>
    </row>
    <row r="1669" ht="14.25" customHeight="1">
      <c r="B1669" s="7">
        <v>42574.0</v>
      </c>
      <c r="C1669" s="7">
        <f t="shared" si="1"/>
        <v>42568</v>
      </c>
      <c r="D1669" s="1" t="str">
        <f t="array" ref="D1669">IF(ISBLANK(XLOOKUP(D$3,daily_items,XLOOKUP($C1669,daily_dates,big_daily_table))),NA(),XLOOKUP(D$3,daily_items,XLOOKUP($C1669,daily_dates,big_daily_table)))</f>
        <v>#N/A</v>
      </c>
      <c r="E1669" s="1" t="str">
        <f t="array" ref="E1669">IF(ISBLANK(XLOOKUP(E$3,daily_items,XLOOKUP($C1669,daily_dates,big_daily_table))),NA(),XLOOKUP(E$3,daily_items,XLOOKUP($C1669,daily_dates,big_daily_table)))</f>
        <v>#N/A</v>
      </c>
    </row>
    <row r="1670" ht="14.25" customHeight="1">
      <c r="B1670" s="7">
        <v>42575.0</v>
      </c>
      <c r="C1670" s="7">
        <f t="shared" si="1"/>
        <v>42575</v>
      </c>
      <c r="D1670" s="1" t="str">
        <f t="array" ref="D1670">IF(ISBLANK(XLOOKUP(D$3,daily_items,XLOOKUP($C1670,daily_dates,big_daily_table))),NA(),XLOOKUP(D$3,daily_items,XLOOKUP($C1670,daily_dates,big_daily_table)))</f>
        <v>#N/A</v>
      </c>
      <c r="E1670" s="1" t="str">
        <f t="array" ref="E1670">IF(ISBLANK(XLOOKUP(E$3,daily_items,XLOOKUP($C1670,daily_dates,big_daily_table))),NA(),XLOOKUP(E$3,daily_items,XLOOKUP($C1670,daily_dates,big_daily_table)))</f>
        <v>#N/A</v>
      </c>
    </row>
    <row r="1671" ht="14.25" customHeight="1">
      <c r="B1671" s="7">
        <v>42576.0</v>
      </c>
      <c r="C1671" s="7">
        <f t="shared" si="1"/>
        <v>42575</v>
      </c>
      <c r="D1671" s="1" t="str">
        <f t="array" ref="D1671">IF(ISBLANK(XLOOKUP(D$3,daily_items,XLOOKUP($C1671,daily_dates,big_daily_table))),NA(),XLOOKUP(D$3,daily_items,XLOOKUP($C1671,daily_dates,big_daily_table)))</f>
        <v>#N/A</v>
      </c>
      <c r="E1671" s="1" t="str">
        <f t="array" ref="E1671">IF(ISBLANK(XLOOKUP(E$3,daily_items,XLOOKUP($C1671,daily_dates,big_daily_table))),NA(),XLOOKUP(E$3,daily_items,XLOOKUP($C1671,daily_dates,big_daily_table)))</f>
        <v>#N/A</v>
      </c>
    </row>
    <row r="1672" ht="14.25" customHeight="1">
      <c r="B1672" s="7">
        <v>42577.0</v>
      </c>
      <c r="C1672" s="7">
        <f t="shared" si="1"/>
        <v>42575</v>
      </c>
      <c r="D1672" s="1" t="str">
        <f t="array" ref="D1672">IF(ISBLANK(XLOOKUP(D$3,daily_items,XLOOKUP($C1672,daily_dates,big_daily_table))),NA(),XLOOKUP(D$3,daily_items,XLOOKUP($C1672,daily_dates,big_daily_table)))</f>
        <v>#N/A</v>
      </c>
      <c r="E1672" s="1" t="str">
        <f t="array" ref="E1672">IF(ISBLANK(XLOOKUP(E$3,daily_items,XLOOKUP($C1672,daily_dates,big_daily_table))),NA(),XLOOKUP(E$3,daily_items,XLOOKUP($C1672,daily_dates,big_daily_table)))</f>
        <v>#N/A</v>
      </c>
    </row>
    <row r="1673" ht="14.25" customHeight="1">
      <c r="B1673" s="7">
        <v>42578.0</v>
      </c>
      <c r="C1673" s="7">
        <f t="shared" si="1"/>
        <v>42575</v>
      </c>
      <c r="D1673" s="1" t="str">
        <f t="array" ref="D1673">IF(ISBLANK(XLOOKUP(D$3,daily_items,XLOOKUP($C1673,daily_dates,big_daily_table))),NA(),XLOOKUP(D$3,daily_items,XLOOKUP($C1673,daily_dates,big_daily_table)))</f>
        <v>#N/A</v>
      </c>
      <c r="E1673" s="1" t="str">
        <f t="array" ref="E1673">IF(ISBLANK(XLOOKUP(E$3,daily_items,XLOOKUP($C1673,daily_dates,big_daily_table))),NA(),XLOOKUP(E$3,daily_items,XLOOKUP($C1673,daily_dates,big_daily_table)))</f>
        <v>#N/A</v>
      </c>
    </row>
    <row r="1674" ht="14.25" customHeight="1">
      <c r="B1674" s="7">
        <v>42579.0</v>
      </c>
      <c r="C1674" s="7">
        <f t="shared" si="1"/>
        <v>42575</v>
      </c>
      <c r="D1674" s="1" t="str">
        <f t="array" ref="D1674">IF(ISBLANK(XLOOKUP(D$3,daily_items,XLOOKUP($C1674,daily_dates,big_daily_table))),NA(),XLOOKUP(D$3,daily_items,XLOOKUP($C1674,daily_dates,big_daily_table)))</f>
        <v>#N/A</v>
      </c>
      <c r="E1674" s="1" t="str">
        <f t="array" ref="E1674">IF(ISBLANK(XLOOKUP(E$3,daily_items,XLOOKUP($C1674,daily_dates,big_daily_table))),NA(),XLOOKUP(E$3,daily_items,XLOOKUP($C1674,daily_dates,big_daily_table)))</f>
        <v>#N/A</v>
      </c>
    </row>
    <row r="1675" ht="14.25" customHeight="1">
      <c r="B1675" s="7">
        <v>42580.0</v>
      </c>
      <c r="C1675" s="7">
        <f t="shared" si="1"/>
        <v>42575</v>
      </c>
      <c r="D1675" s="1" t="str">
        <f t="array" ref="D1675">IF(ISBLANK(XLOOKUP(D$3,daily_items,XLOOKUP($C1675,daily_dates,big_daily_table))),NA(),XLOOKUP(D$3,daily_items,XLOOKUP($C1675,daily_dates,big_daily_table)))</f>
        <v>#N/A</v>
      </c>
      <c r="E1675" s="1" t="str">
        <f t="array" ref="E1675">IF(ISBLANK(XLOOKUP(E$3,daily_items,XLOOKUP($C1675,daily_dates,big_daily_table))),NA(),XLOOKUP(E$3,daily_items,XLOOKUP($C1675,daily_dates,big_daily_table)))</f>
        <v>#N/A</v>
      </c>
    </row>
    <row r="1676" ht="14.25" customHeight="1">
      <c r="B1676" s="7">
        <v>42581.0</v>
      </c>
      <c r="C1676" s="7">
        <f t="shared" si="1"/>
        <v>42575</v>
      </c>
      <c r="D1676" s="1" t="str">
        <f t="array" ref="D1676">IF(ISBLANK(XLOOKUP(D$3,daily_items,XLOOKUP($C1676,daily_dates,big_daily_table))),NA(),XLOOKUP(D$3,daily_items,XLOOKUP($C1676,daily_dates,big_daily_table)))</f>
        <v>#N/A</v>
      </c>
      <c r="E1676" s="1" t="str">
        <f t="array" ref="E1676">IF(ISBLANK(XLOOKUP(E$3,daily_items,XLOOKUP($C1676,daily_dates,big_daily_table))),NA(),XLOOKUP(E$3,daily_items,XLOOKUP($C1676,daily_dates,big_daily_table)))</f>
        <v>#N/A</v>
      </c>
    </row>
    <row r="1677" ht="14.25" customHeight="1">
      <c r="B1677" s="7">
        <v>42582.0</v>
      </c>
      <c r="C1677" s="7">
        <f t="shared" si="1"/>
        <v>42582</v>
      </c>
      <c r="D1677" s="1" t="str">
        <f t="array" ref="D1677">IF(ISBLANK(XLOOKUP(D$3,daily_items,XLOOKUP($C1677,daily_dates,big_daily_table))),NA(),XLOOKUP(D$3,daily_items,XLOOKUP($C1677,daily_dates,big_daily_table)))</f>
        <v>#N/A</v>
      </c>
      <c r="E1677" s="1" t="str">
        <f t="array" ref="E1677">IF(ISBLANK(XLOOKUP(E$3,daily_items,XLOOKUP($C1677,daily_dates,big_daily_table))),NA(),XLOOKUP(E$3,daily_items,XLOOKUP($C1677,daily_dates,big_daily_table)))</f>
        <v>#N/A</v>
      </c>
    </row>
    <row r="1678" ht="14.25" customHeight="1">
      <c r="B1678" s="7">
        <v>42583.0</v>
      </c>
      <c r="C1678" s="7">
        <f t="shared" si="1"/>
        <v>42582</v>
      </c>
      <c r="D1678" s="1" t="str">
        <f t="array" ref="D1678">IF(ISBLANK(XLOOKUP(D$3,daily_items,XLOOKUP($C1678,daily_dates,big_daily_table))),NA(),XLOOKUP(D$3,daily_items,XLOOKUP($C1678,daily_dates,big_daily_table)))</f>
        <v>#N/A</v>
      </c>
      <c r="E1678" s="1" t="str">
        <f t="array" ref="E1678">IF(ISBLANK(XLOOKUP(E$3,daily_items,XLOOKUP($C1678,daily_dates,big_daily_table))),NA(),XLOOKUP(E$3,daily_items,XLOOKUP($C1678,daily_dates,big_daily_table)))</f>
        <v>#N/A</v>
      </c>
    </row>
    <row r="1679" ht="14.25" customHeight="1">
      <c r="B1679" s="7">
        <v>42584.0</v>
      </c>
      <c r="C1679" s="7">
        <f t="shared" si="1"/>
        <v>42582</v>
      </c>
      <c r="D1679" s="1" t="str">
        <f t="array" ref="D1679">IF(ISBLANK(XLOOKUP(D$3,daily_items,XLOOKUP($C1679,daily_dates,big_daily_table))),NA(),XLOOKUP(D$3,daily_items,XLOOKUP($C1679,daily_dates,big_daily_table)))</f>
        <v>#N/A</v>
      </c>
      <c r="E1679" s="1" t="str">
        <f t="array" ref="E1679">IF(ISBLANK(XLOOKUP(E$3,daily_items,XLOOKUP($C1679,daily_dates,big_daily_table))),NA(),XLOOKUP(E$3,daily_items,XLOOKUP($C1679,daily_dates,big_daily_table)))</f>
        <v>#N/A</v>
      </c>
    </row>
    <row r="1680" ht="14.25" customHeight="1">
      <c r="B1680" s="7">
        <v>42585.0</v>
      </c>
      <c r="C1680" s="7">
        <f t="shared" si="1"/>
        <v>42582</v>
      </c>
      <c r="D1680" s="1" t="str">
        <f t="array" ref="D1680">IF(ISBLANK(XLOOKUP(D$3,daily_items,XLOOKUP($C1680,daily_dates,big_daily_table))),NA(),XLOOKUP(D$3,daily_items,XLOOKUP($C1680,daily_dates,big_daily_table)))</f>
        <v>#N/A</v>
      </c>
      <c r="E1680" s="1" t="str">
        <f t="array" ref="E1680">IF(ISBLANK(XLOOKUP(E$3,daily_items,XLOOKUP($C1680,daily_dates,big_daily_table))),NA(),XLOOKUP(E$3,daily_items,XLOOKUP($C1680,daily_dates,big_daily_table)))</f>
        <v>#N/A</v>
      </c>
    </row>
    <row r="1681" ht="14.25" customHeight="1">
      <c r="B1681" s="7">
        <v>42586.0</v>
      </c>
      <c r="C1681" s="7">
        <f t="shared" si="1"/>
        <v>42582</v>
      </c>
      <c r="D1681" s="1" t="str">
        <f t="array" ref="D1681">IF(ISBLANK(XLOOKUP(D$3,daily_items,XLOOKUP($C1681,daily_dates,big_daily_table))),NA(),XLOOKUP(D$3,daily_items,XLOOKUP($C1681,daily_dates,big_daily_table)))</f>
        <v>#N/A</v>
      </c>
      <c r="E1681" s="1" t="str">
        <f t="array" ref="E1681">IF(ISBLANK(XLOOKUP(E$3,daily_items,XLOOKUP($C1681,daily_dates,big_daily_table))),NA(),XLOOKUP(E$3,daily_items,XLOOKUP($C1681,daily_dates,big_daily_table)))</f>
        <v>#N/A</v>
      </c>
    </row>
    <row r="1682" ht="14.25" customHeight="1">
      <c r="B1682" s="7">
        <v>42587.0</v>
      </c>
      <c r="C1682" s="7">
        <f t="shared" si="1"/>
        <v>42582</v>
      </c>
      <c r="D1682" s="1" t="str">
        <f t="array" ref="D1682">IF(ISBLANK(XLOOKUP(D$3,daily_items,XLOOKUP($C1682,daily_dates,big_daily_table))),NA(),XLOOKUP(D$3,daily_items,XLOOKUP($C1682,daily_dates,big_daily_table)))</f>
        <v>#N/A</v>
      </c>
      <c r="E1682" s="1" t="str">
        <f t="array" ref="E1682">IF(ISBLANK(XLOOKUP(E$3,daily_items,XLOOKUP($C1682,daily_dates,big_daily_table))),NA(),XLOOKUP(E$3,daily_items,XLOOKUP($C1682,daily_dates,big_daily_table)))</f>
        <v>#N/A</v>
      </c>
    </row>
    <row r="1683" ht="14.25" customHeight="1">
      <c r="B1683" s="7">
        <v>42588.0</v>
      </c>
      <c r="C1683" s="7">
        <f t="shared" si="1"/>
        <v>42582</v>
      </c>
      <c r="D1683" s="1" t="str">
        <f t="array" ref="D1683">IF(ISBLANK(XLOOKUP(D$3,daily_items,XLOOKUP($C1683,daily_dates,big_daily_table))),NA(),XLOOKUP(D$3,daily_items,XLOOKUP($C1683,daily_dates,big_daily_table)))</f>
        <v>#N/A</v>
      </c>
      <c r="E1683" s="1" t="str">
        <f t="array" ref="E1683">IF(ISBLANK(XLOOKUP(E$3,daily_items,XLOOKUP($C1683,daily_dates,big_daily_table))),NA(),XLOOKUP(E$3,daily_items,XLOOKUP($C1683,daily_dates,big_daily_table)))</f>
        <v>#N/A</v>
      </c>
    </row>
    <row r="1684" ht="14.25" customHeight="1">
      <c r="B1684" s="7">
        <v>42589.0</v>
      </c>
      <c r="C1684" s="7">
        <f t="shared" si="1"/>
        <v>42589</v>
      </c>
      <c r="D1684" s="1" t="str">
        <f t="array" ref="D1684">IF(ISBLANK(XLOOKUP(D$3,daily_items,XLOOKUP($C1684,daily_dates,big_daily_table))),NA(),XLOOKUP(D$3,daily_items,XLOOKUP($C1684,daily_dates,big_daily_table)))</f>
        <v>#N/A</v>
      </c>
      <c r="E1684" s="1" t="str">
        <f t="array" ref="E1684">IF(ISBLANK(XLOOKUP(E$3,daily_items,XLOOKUP($C1684,daily_dates,big_daily_table))),NA(),XLOOKUP(E$3,daily_items,XLOOKUP($C1684,daily_dates,big_daily_table)))</f>
        <v>#N/A</v>
      </c>
    </row>
    <row r="1685" ht="14.25" customHeight="1">
      <c r="B1685" s="7">
        <v>42590.0</v>
      </c>
      <c r="C1685" s="7">
        <f t="shared" si="1"/>
        <v>42589</v>
      </c>
      <c r="D1685" s="1" t="str">
        <f t="array" ref="D1685">IF(ISBLANK(XLOOKUP(D$3,daily_items,XLOOKUP($C1685,daily_dates,big_daily_table))),NA(),XLOOKUP(D$3,daily_items,XLOOKUP($C1685,daily_dates,big_daily_table)))</f>
        <v>#N/A</v>
      </c>
      <c r="E1685" s="1" t="str">
        <f t="array" ref="E1685">IF(ISBLANK(XLOOKUP(E$3,daily_items,XLOOKUP($C1685,daily_dates,big_daily_table))),NA(),XLOOKUP(E$3,daily_items,XLOOKUP($C1685,daily_dates,big_daily_table)))</f>
        <v>#N/A</v>
      </c>
    </row>
    <row r="1686" ht="14.25" customHeight="1">
      <c r="B1686" s="7">
        <v>42591.0</v>
      </c>
      <c r="C1686" s="7">
        <f t="shared" si="1"/>
        <v>42589</v>
      </c>
      <c r="D1686" s="1" t="str">
        <f t="array" ref="D1686">IF(ISBLANK(XLOOKUP(D$3,daily_items,XLOOKUP($C1686,daily_dates,big_daily_table))),NA(),XLOOKUP(D$3,daily_items,XLOOKUP($C1686,daily_dates,big_daily_table)))</f>
        <v>#N/A</v>
      </c>
      <c r="E1686" s="1" t="str">
        <f t="array" ref="E1686">IF(ISBLANK(XLOOKUP(E$3,daily_items,XLOOKUP($C1686,daily_dates,big_daily_table))),NA(),XLOOKUP(E$3,daily_items,XLOOKUP($C1686,daily_dates,big_daily_table)))</f>
        <v>#N/A</v>
      </c>
    </row>
    <row r="1687" ht="14.25" customHeight="1">
      <c r="B1687" s="7">
        <v>42592.0</v>
      </c>
      <c r="C1687" s="7">
        <f t="shared" si="1"/>
        <v>42589</v>
      </c>
      <c r="D1687" s="1" t="str">
        <f t="array" ref="D1687">IF(ISBLANK(XLOOKUP(D$3,daily_items,XLOOKUP($C1687,daily_dates,big_daily_table))),NA(),XLOOKUP(D$3,daily_items,XLOOKUP($C1687,daily_dates,big_daily_table)))</f>
        <v>#N/A</v>
      </c>
      <c r="E1687" s="1" t="str">
        <f t="array" ref="E1687">IF(ISBLANK(XLOOKUP(E$3,daily_items,XLOOKUP($C1687,daily_dates,big_daily_table))),NA(),XLOOKUP(E$3,daily_items,XLOOKUP($C1687,daily_dates,big_daily_table)))</f>
        <v>#N/A</v>
      </c>
    </row>
    <row r="1688" ht="14.25" customHeight="1">
      <c r="B1688" s="7">
        <v>42593.0</v>
      </c>
      <c r="C1688" s="7">
        <f t="shared" si="1"/>
        <v>42589</v>
      </c>
      <c r="D1688" s="1" t="str">
        <f t="array" ref="D1688">IF(ISBLANK(XLOOKUP(D$3,daily_items,XLOOKUP($C1688,daily_dates,big_daily_table))),NA(),XLOOKUP(D$3,daily_items,XLOOKUP($C1688,daily_dates,big_daily_table)))</f>
        <v>#N/A</v>
      </c>
      <c r="E1688" s="1" t="str">
        <f t="array" ref="E1688">IF(ISBLANK(XLOOKUP(E$3,daily_items,XLOOKUP($C1688,daily_dates,big_daily_table))),NA(),XLOOKUP(E$3,daily_items,XLOOKUP($C1688,daily_dates,big_daily_table)))</f>
        <v>#N/A</v>
      </c>
    </row>
    <row r="1689" ht="14.25" customHeight="1">
      <c r="B1689" s="7">
        <v>42594.0</v>
      </c>
      <c r="C1689" s="7">
        <f t="shared" si="1"/>
        <v>42589</v>
      </c>
      <c r="D1689" s="1" t="str">
        <f t="array" ref="D1689">IF(ISBLANK(XLOOKUP(D$3,daily_items,XLOOKUP($C1689,daily_dates,big_daily_table))),NA(),XLOOKUP(D$3,daily_items,XLOOKUP($C1689,daily_dates,big_daily_table)))</f>
        <v>#N/A</v>
      </c>
      <c r="E1689" s="1" t="str">
        <f t="array" ref="E1689">IF(ISBLANK(XLOOKUP(E$3,daily_items,XLOOKUP($C1689,daily_dates,big_daily_table))),NA(),XLOOKUP(E$3,daily_items,XLOOKUP($C1689,daily_dates,big_daily_table)))</f>
        <v>#N/A</v>
      </c>
    </row>
    <row r="1690" ht="14.25" customHeight="1">
      <c r="B1690" s="7">
        <v>42595.0</v>
      </c>
      <c r="C1690" s="7">
        <f t="shared" si="1"/>
        <v>42589</v>
      </c>
      <c r="D1690" s="1" t="str">
        <f t="array" ref="D1690">IF(ISBLANK(XLOOKUP(D$3,daily_items,XLOOKUP($C1690,daily_dates,big_daily_table))),NA(),XLOOKUP(D$3,daily_items,XLOOKUP($C1690,daily_dates,big_daily_table)))</f>
        <v>#N/A</v>
      </c>
      <c r="E1690" s="1" t="str">
        <f t="array" ref="E1690">IF(ISBLANK(XLOOKUP(E$3,daily_items,XLOOKUP($C1690,daily_dates,big_daily_table))),NA(),XLOOKUP(E$3,daily_items,XLOOKUP($C1690,daily_dates,big_daily_table)))</f>
        <v>#N/A</v>
      </c>
    </row>
    <row r="1691" ht="14.25" customHeight="1">
      <c r="B1691" s="7">
        <v>42596.0</v>
      </c>
      <c r="C1691" s="7">
        <f t="shared" si="1"/>
        <v>42596</v>
      </c>
      <c r="D1691" s="1" t="str">
        <f t="array" ref="D1691">IF(ISBLANK(XLOOKUP(D$3,daily_items,XLOOKUP($C1691,daily_dates,big_daily_table))),NA(),XLOOKUP(D$3,daily_items,XLOOKUP($C1691,daily_dates,big_daily_table)))</f>
        <v>#N/A</v>
      </c>
      <c r="E1691" s="1" t="str">
        <f t="array" ref="E1691">IF(ISBLANK(XLOOKUP(E$3,daily_items,XLOOKUP($C1691,daily_dates,big_daily_table))),NA(),XLOOKUP(E$3,daily_items,XLOOKUP($C1691,daily_dates,big_daily_table)))</f>
        <v>#N/A</v>
      </c>
    </row>
    <row r="1692" ht="14.25" customHeight="1">
      <c r="B1692" s="7">
        <v>42597.0</v>
      </c>
      <c r="C1692" s="7">
        <f t="shared" si="1"/>
        <v>42596</v>
      </c>
      <c r="D1692" s="1" t="str">
        <f t="array" ref="D1692">IF(ISBLANK(XLOOKUP(D$3,daily_items,XLOOKUP($C1692,daily_dates,big_daily_table))),NA(),XLOOKUP(D$3,daily_items,XLOOKUP($C1692,daily_dates,big_daily_table)))</f>
        <v>#N/A</v>
      </c>
      <c r="E1692" s="1" t="str">
        <f t="array" ref="E1692">IF(ISBLANK(XLOOKUP(E$3,daily_items,XLOOKUP($C1692,daily_dates,big_daily_table))),NA(),XLOOKUP(E$3,daily_items,XLOOKUP($C1692,daily_dates,big_daily_table)))</f>
        <v>#N/A</v>
      </c>
    </row>
    <row r="1693" ht="14.25" customHeight="1">
      <c r="B1693" s="7">
        <v>42598.0</v>
      </c>
      <c r="C1693" s="7">
        <f t="shared" si="1"/>
        <v>42596</v>
      </c>
      <c r="D1693" s="1" t="str">
        <f t="array" ref="D1693">IF(ISBLANK(XLOOKUP(D$3,daily_items,XLOOKUP($C1693,daily_dates,big_daily_table))),NA(),XLOOKUP(D$3,daily_items,XLOOKUP($C1693,daily_dates,big_daily_table)))</f>
        <v>#N/A</v>
      </c>
      <c r="E1693" s="1" t="str">
        <f t="array" ref="E1693">IF(ISBLANK(XLOOKUP(E$3,daily_items,XLOOKUP($C1693,daily_dates,big_daily_table))),NA(),XLOOKUP(E$3,daily_items,XLOOKUP($C1693,daily_dates,big_daily_table)))</f>
        <v>#N/A</v>
      </c>
    </row>
    <row r="1694" ht="14.25" customHeight="1">
      <c r="B1694" s="7">
        <v>42599.0</v>
      </c>
      <c r="C1694" s="7">
        <f t="shared" si="1"/>
        <v>42596</v>
      </c>
      <c r="D1694" s="1" t="str">
        <f t="array" ref="D1694">IF(ISBLANK(XLOOKUP(D$3,daily_items,XLOOKUP($C1694,daily_dates,big_daily_table))),NA(),XLOOKUP(D$3,daily_items,XLOOKUP($C1694,daily_dates,big_daily_table)))</f>
        <v>#N/A</v>
      </c>
      <c r="E1694" s="1" t="str">
        <f t="array" ref="E1694">IF(ISBLANK(XLOOKUP(E$3,daily_items,XLOOKUP($C1694,daily_dates,big_daily_table))),NA(),XLOOKUP(E$3,daily_items,XLOOKUP($C1694,daily_dates,big_daily_table)))</f>
        <v>#N/A</v>
      </c>
    </row>
    <row r="1695" ht="14.25" customHeight="1">
      <c r="B1695" s="7">
        <v>42600.0</v>
      </c>
      <c r="C1695" s="7">
        <f t="shared" si="1"/>
        <v>42596</v>
      </c>
      <c r="D1695" s="1" t="str">
        <f t="array" ref="D1695">IF(ISBLANK(XLOOKUP(D$3,daily_items,XLOOKUP($C1695,daily_dates,big_daily_table))),NA(),XLOOKUP(D$3,daily_items,XLOOKUP($C1695,daily_dates,big_daily_table)))</f>
        <v>#N/A</v>
      </c>
      <c r="E1695" s="1" t="str">
        <f t="array" ref="E1695">IF(ISBLANK(XLOOKUP(E$3,daily_items,XLOOKUP($C1695,daily_dates,big_daily_table))),NA(),XLOOKUP(E$3,daily_items,XLOOKUP($C1695,daily_dates,big_daily_table)))</f>
        <v>#N/A</v>
      </c>
    </row>
    <row r="1696" ht="14.25" customHeight="1">
      <c r="B1696" s="7">
        <v>42601.0</v>
      </c>
      <c r="C1696" s="7">
        <f t="shared" si="1"/>
        <v>42596</v>
      </c>
      <c r="D1696" s="1" t="str">
        <f t="array" ref="D1696">IF(ISBLANK(XLOOKUP(D$3,daily_items,XLOOKUP($C1696,daily_dates,big_daily_table))),NA(),XLOOKUP(D$3,daily_items,XLOOKUP($C1696,daily_dates,big_daily_table)))</f>
        <v>#N/A</v>
      </c>
      <c r="E1696" s="1" t="str">
        <f t="array" ref="E1696">IF(ISBLANK(XLOOKUP(E$3,daily_items,XLOOKUP($C1696,daily_dates,big_daily_table))),NA(),XLOOKUP(E$3,daily_items,XLOOKUP($C1696,daily_dates,big_daily_table)))</f>
        <v>#N/A</v>
      </c>
    </row>
    <row r="1697" ht="14.25" customHeight="1">
      <c r="B1697" s="7">
        <v>42602.0</v>
      </c>
      <c r="C1697" s="7">
        <f t="shared" si="1"/>
        <v>42596</v>
      </c>
      <c r="D1697" s="1" t="str">
        <f t="array" ref="D1697">IF(ISBLANK(XLOOKUP(D$3,daily_items,XLOOKUP($C1697,daily_dates,big_daily_table))),NA(),XLOOKUP(D$3,daily_items,XLOOKUP($C1697,daily_dates,big_daily_table)))</f>
        <v>#N/A</v>
      </c>
      <c r="E1697" s="1" t="str">
        <f t="array" ref="E1697">IF(ISBLANK(XLOOKUP(E$3,daily_items,XLOOKUP($C1697,daily_dates,big_daily_table))),NA(),XLOOKUP(E$3,daily_items,XLOOKUP($C1697,daily_dates,big_daily_table)))</f>
        <v>#N/A</v>
      </c>
    </row>
    <row r="1698" ht="14.25" customHeight="1">
      <c r="B1698" s="7">
        <v>42603.0</v>
      </c>
      <c r="C1698" s="7">
        <f t="shared" si="1"/>
        <v>42603</v>
      </c>
      <c r="D1698" s="1" t="str">
        <f t="array" ref="D1698">IF(ISBLANK(XLOOKUP(D$3,daily_items,XLOOKUP($C1698,daily_dates,big_daily_table))),NA(),XLOOKUP(D$3,daily_items,XLOOKUP($C1698,daily_dates,big_daily_table)))</f>
        <v>#N/A</v>
      </c>
      <c r="E1698" s="1" t="str">
        <f t="array" ref="E1698">IF(ISBLANK(XLOOKUP(E$3,daily_items,XLOOKUP($C1698,daily_dates,big_daily_table))),NA(),XLOOKUP(E$3,daily_items,XLOOKUP($C1698,daily_dates,big_daily_table)))</f>
        <v>#N/A</v>
      </c>
    </row>
    <row r="1699" ht="14.25" customHeight="1">
      <c r="B1699" s="7">
        <v>42604.0</v>
      </c>
      <c r="C1699" s="7">
        <f t="shared" si="1"/>
        <v>42603</v>
      </c>
      <c r="D1699" s="1" t="str">
        <f t="array" ref="D1699">IF(ISBLANK(XLOOKUP(D$3,daily_items,XLOOKUP($C1699,daily_dates,big_daily_table))),NA(),XLOOKUP(D$3,daily_items,XLOOKUP($C1699,daily_dates,big_daily_table)))</f>
        <v>#N/A</v>
      </c>
      <c r="E1699" s="1" t="str">
        <f t="array" ref="E1699">IF(ISBLANK(XLOOKUP(E$3,daily_items,XLOOKUP($C1699,daily_dates,big_daily_table))),NA(),XLOOKUP(E$3,daily_items,XLOOKUP($C1699,daily_dates,big_daily_table)))</f>
        <v>#N/A</v>
      </c>
    </row>
    <row r="1700" ht="14.25" customHeight="1">
      <c r="B1700" s="7">
        <v>42605.0</v>
      </c>
      <c r="C1700" s="7">
        <f t="shared" si="1"/>
        <v>42603</v>
      </c>
      <c r="D1700" s="1" t="str">
        <f t="array" ref="D1700">IF(ISBLANK(XLOOKUP(D$3,daily_items,XLOOKUP($C1700,daily_dates,big_daily_table))),NA(),XLOOKUP(D$3,daily_items,XLOOKUP($C1700,daily_dates,big_daily_table)))</f>
        <v>#N/A</v>
      </c>
      <c r="E1700" s="1" t="str">
        <f t="array" ref="E1700">IF(ISBLANK(XLOOKUP(E$3,daily_items,XLOOKUP($C1700,daily_dates,big_daily_table))),NA(),XLOOKUP(E$3,daily_items,XLOOKUP($C1700,daily_dates,big_daily_table)))</f>
        <v>#N/A</v>
      </c>
    </row>
    <row r="1701" ht="14.25" customHeight="1">
      <c r="B1701" s="7">
        <v>42606.0</v>
      </c>
      <c r="C1701" s="7">
        <f t="shared" si="1"/>
        <v>42603</v>
      </c>
      <c r="D1701" s="1" t="str">
        <f t="array" ref="D1701">IF(ISBLANK(XLOOKUP(D$3,daily_items,XLOOKUP($C1701,daily_dates,big_daily_table))),NA(),XLOOKUP(D$3,daily_items,XLOOKUP($C1701,daily_dates,big_daily_table)))</f>
        <v>#N/A</v>
      </c>
      <c r="E1701" s="1" t="str">
        <f t="array" ref="E1701">IF(ISBLANK(XLOOKUP(E$3,daily_items,XLOOKUP($C1701,daily_dates,big_daily_table))),NA(),XLOOKUP(E$3,daily_items,XLOOKUP($C1701,daily_dates,big_daily_table)))</f>
        <v>#N/A</v>
      </c>
    </row>
    <row r="1702" ht="14.25" customHeight="1">
      <c r="B1702" s="7">
        <v>42607.0</v>
      </c>
      <c r="C1702" s="7">
        <f t="shared" si="1"/>
        <v>42603</v>
      </c>
      <c r="D1702" s="1" t="str">
        <f t="array" ref="D1702">IF(ISBLANK(XLOOKUP(D$3,daily_items,XLOOKUP($C1702,daily_dates,big_daily_table))),NA(),XLOOKUP(D$3,daily_items,XLOOKUP($C1702,daily_dates,big_daily_table)))</f>
        <v>#N/A</v>
      </c>
      <c r="E1702" s="1" t="str">
        <f t="array" ref="E1702">IF(ISBLANK(XLOOKUP(E$3,daily_items,XLOOKUP($C1702,daily_dates,big_daily_table))),NA(),XLOOKUP(E$3,daily_items,XLOOKUP($C1702,daily_dates,big_daily_table)))</f>
        <v>#N/A</v>
      </c>
    </row>
    <row r="1703" ht="14.25" customHeight="1">
      <c r="B1703" s="7">
        <v>42608.0</v>
      </c>
      <c r="C1703" s="7">
        <f t="shared" si="1"/>
        <v>42603</v>
      </c>
      <c r="D1703" s="1" t="str">
        <f t="array" ref="D1703">IF(ISBLANK(XLOOKUP(D$3,daily_items,XLOOKUP($C1703,daily_dates,big_daily_table))),NA(),XLOOKUP(D$3,daily_items,XLOOKUP($C1703,daily_dates,big_daily_table)))</f>
        <v>#N/A</v>
      </c>
      <c r="E1703" s="1" t="str">
        <f t="array" ref="E1703">IF(ISBLANK(XLOOKUP(E$3,daily_items,XLOOKUP($C1703,daily_dates,big_daily_table))),NA(),XLOOKUP(E$3,daily_items,XLOOKUP($C1703,daily_dates,big_daily_table)))</f>
        <v>#N/A</v>
      </c>
    </row>
    <row r="1704" ht="14.25" customHeight="1">
      <c r="B1704" s="7">
        <v>42609.0</v>
      </c>
      <c r="C1704" s="7">
        <f t="shared" si="1"/>
        <v>42603</v>
      </c>
      <c r="D1704" s="1" t="str">
        <f t="array" ref="D1704">IF(ISBLANK(XLOOKUP(D$3,daily_items,XLOOKUP($C1704,daily_dates,big_daily_table))),NA(),XLOOKUP(D$3,daily_items,XLOOKUP($C1704,daily_dates,big_daily_table)))</f>
        <v>#N/A</v>
      </c>
      <c r="E1704" s="1" t="str">
        <f t="array" ref="E1704">IF(ISBLANK(XLOOKUP(E$3,daily_items,XLOOKUP($C1704,daily_dates,big_daily_table))),NA(),XLOOKUP(E$3,daily_items,XLOOKUP($C1704,daily_dates,big_daily_table)))</f>
        <v>#N/A</v>
      </c>
    </row>
    <row r="1705" ht="14.25" customHeight="1">
      <c r="B1705" s="7">
        <v>42610.0</v>
      </c>
      <c r="C1705" s="7">
        <f t="shared" si="1"/>
        <v>42610</v>
      </c>
      <c r="D1705" s="1" t="str">
        <f t="array" ref="D1705">IF(ISBLANK(XLOOKUP(D$3,daily_items,XLOOKUP($C1705,daily_dates,big_daily_table))),NA(),XLOOKUP(D$3,daily_items,XLOOKUP($C1705,daily_dates,big_daily_table)))</f>
        <v>#N/A</v>
      </c>
      <c r="E1705" s="1" t="str">
        <f t="array" ref="E1705">IF(ISBLANK(XLOOKUP(E$3,daily_items,XLOOKUP($C1705,daily_dates,big_daily_table))),NA(),XLOOKUP(E$3,daily_items,XLOOKUP($C1705,daily_dates,big_daily_table)))</f>
        <v>#N/A</v>
      </c>
    </row>
    <row r="1706" ht="14.25" customHeight="1">
      <c r="B1706" s="7">
        <v>42611.0</v>
      </c>
      <c r="C1706" s="7">
        <f t="shared" si="1"/>
        <v>42610</v>
      </c>
      <c r="D1706" s="1" t="str">
        <f t="array" ref="D1706">IF(ISBLANK(XLOOKUP(D$3,daily_items,XLOOKUP($C1706,daily_dates,big_daily_table))),NA(),XLOOKUP(D$3,daily_items,XLOOKUP($C1706,daily_dates,big_daily_table)))</f>
        <v>#N/A</v>
      </c>
      <c r="E1706" s="1" t="str">
        <f t="array" ref="E1706">IF(ISBLANK(XLOOKUP(E$3,daily_items,XLOOKUP($C1706,daily_dates,big_daily_table))),NA(),XLOOKUP(E$3,daily_items,XLOOKUP($C1706,daily_dates,big_daily_table)))</f>
        <v>#N/A</v>
      </c>
    </row>
    <row r="1707" ht="14.25" customHeight="1">
      <c r="B1707" s="7">
        <v>42612.0</v>
      </c>
      <c r="C1707" s="7">
        <f t="shared" si="1"/>
        <v>42610</v>
      </c>
      <c r="D1707" s="1" t="str">
        <f t="array" ref="D1707">IF(ISBLANK(XLOOKUP(D$3,daily_items,XLOOKUP($C1707,daily_dates,big_daily_table))),NA(),XLOOKUP(D$3,daily_items,XLOOKUP($C1707,daily_dates,big_daily_table)))</f>
        <v>#N/A</v>
      </c>
      <c r="E1707" s="1" t="str">
        <f t="array" ref="E1707">IF(ISBLANK(XLOOKUP(E$3,daily_items,XLOOKUP($C1707,daily_dates,big_daily_table))),NA(),XLOOKUP(E$3,daily_items,XLOOKUP($C1707,daily_dates,big_daily_table)))</f>
        <v>#N/A</v>
      </c>
    </row>
    <row r="1708" ht="14.25" customHeight="1">
      <c r="B1708" s="7">
        <v>42613.0</v>
      </c>
      <c r="C1708" s="7">
        <f t="shared" si="1"/>
        <v>42610</v>
      </c>
      <c r="D1708" s="1" t="str">
        <f t="array" ref="D1708">IF(ISBLANK(XLOOKUP(D$3,daily_items,XLOOKUP($C1708,daily_dates,big_daily_table))),NA(),XLOOKUP(D$3,daily_items,XLOOKUP($C1708,daily_dates,big_daily_table)))</f>
        <v>#N/A</v>
      </c>
      <c r="E1708" s="1" t="str">
        <f t="array" ref="E1708">IF(ISBLANK(XLOOKUP(E$3,daily_items,XLOOKUP($C1708,daily_dates,big_daily_table))),NA(),XLOOKUP(E$3,daily_items,XLOOKUP($C1708,daily_dates,big_daily_table)))</f>
        <v>#N/A</v>
      </c>
    </row>
    <row r="1709" ht="14.25" customHeight="1">
      <c r="B1709" s="7">
        <v>42614.0</v>
      </c>
      <c r="C1709" s="7">
        <f t="shared" si="1"/>
        <v>42610</v>
      </c>
      <c r="D1709" s="1" t="str">
        <f t="array" ref="D1709">IF(ISBLANK(XLOOKUP(D$3,daily_items,XLOOKUP($C1709,daily_dates,big_daily_table))),NA(),XLOOKUP(D$3,daily_items,XLOOKUP($C1709,daily_dates,big_daily_table)))</f>
        <v>#N/A</v>
      </c>
      <c r="E1709" s="1" t="str">
        <f t="array" ref="E1709">IF(ISBLANK(XLOOKUP(E$3,daily_items,XLOOKUP($C1709,daily_dates,big_daily_table))),NA(),XLOOKUP(E$3,daily_items,XLOOKUP($C1709,daily_dates,big_daily_table)))</f>
        <v>#N/A</v>
      </c>
    </row>
    <row r="1710" ht="14.25" customHeight="1">
      <c r="B1710" s="7">
        <v>42615.0</v>
      </c>
      <c r="C1710" s="7">
        <f t="shared" si="1"/>
        <v>42610</v>
      </c>
      <c r="D1710" s="1" t="str">
        <f t="array" ref="D1710">IF(ISBLANK(XLOOKUP(D$3,daily_items,XLOOKUP($C1710,daily_dates,big_daily_table))),NA(),XLOOKUP(D$3,daily_items,XLOOKUP($C1710,daily_dates,big_daily_table)))</f>
        <v>#N/A</v>
      </c>
      <c r="E1710" s="1" t="str">
        <f t="array" ref="E1710">IF(ISBLANK(XLOOKUP(E$3,daily_items,XLOOKUP($C1710,daily_dates,big_daily_table))),NA(),XLOOKUP(E$3,daily_items,XLOOKUP($C1710,daily_dates,big_daily_table)))</f>
        <v>#N/A</v>
      </c>
    </row>
    <row r="1711" ht="14.25" customHeight="1">
      <c r="B1711" s="7">
        <v>42616.0</v>
      </c>
      <c r="C1711" s="7">
        <f t="shared" si="1"/>
        <v>42610</v>
      </c>
      <c r="D1711" s="1" t="str">
        <f t="array" ref="D1711">IF(ISBLANK(XLOOKUP(D$3,daily_items,XLOOKUP($C1711,daily_dates,big_daily_table))),NA(),XLOOKUP(D$3,daily_items,XLOOKUP($C1711,daily_dates,big_daily_table)))</f>
        <v>#N/A</v>
      </c>
      <c r="E1711" s="1" t="str">
        <f t="array" ref="E1711">IF(ISBLANK(XLOOKUP(E$3,daily_items,XLOOKUP($C1711,daily_dates,big_daily_table))),NA(),XLOOKUP(E$3,daily_items,XLOOKUP($C1711,daily_dates,big_daily_table)))</f>
        <v>#N/A</v>
      </c>
    </row>
    <row r="1712" ht="14.25" customHeight="1">
      <c r="B1712" s="7">
        <v>42617.0</v>
      </c>
      <c r="C1712" s="7">
        <f t="shared" si="1"/>
        <v>42617</v>
      </c>
      <c r="D1712" s="1" t="str">
        <f t="array" ref="D1712">IF(ISBLANK(XLOOKUP(D$3,daily_items,XLOOKUP($C1712,daily_dates,big_daily_table))),NA(),XLOOKUP(D$3,daily_items,XLOOKUP($C1712,daily_dates,big_daily_table)))</f>
        <v>#N/A</v>
      </c>
      <c r="E1712" s="1" t="str">
        <f t="array" ref="E1712">IF(ISBLANK(XLOOKUP(E$3,daily_items,XLOOKUP($C1712,daily_dates,big_daily_table))),NA(),XLOOKUP(E$3,daily_items,XLOOKUP($C1712,daily_dates,big_daily_table)))</f>
        <v>#N/A</v>
      </c>
    </row>
    <row r="1713" ht="14.25" customHeight="1">
      <c r="B1713" s="7">
        <v>42618.0</v>
      </c>
      <c r="C1713" s="7">
        <f t="shared" si="1"/>
        <v>42617</v>
      </c>
      <c r="D1713" s="1" t="str">
        <f t="array" ref="D1713">IF(ISBLANK(XLOOKUP(D$3,daily_items,XLOOKUP($C1713,daily_dates,big_daily_table))),NA(),XLOOKUP(D$3,daily_items,XLOOKUP($C1713,daily_dates,big_daily_table)))</f>
        <v>#N/A</v>
      </c>
      <c r="E1713" s="1" t="str">
        <f t="array" ref="E1713">IF(ISBLANK(XLOOKUP(E$3,daily_items,XLOOKUP($C1713,daily_dates,big_daily_table))),NA(),XLOOKUP(E$3,daily_items,XLOOKUP($C1713,daily_dates,big_daily_table)))</f>
        <v>#N/A</v>
      </c>
    </row>
    <row r="1714" ht="14.25" customHeight="1">
      <c r="B1714" s="7">
        <v>42619.0</v>
      </c>
      <c r="C1714" s="7">
        <f t="shared" si="1"/>
        <v>42617</v>
      </c>
      <c r="D1714" s="1" t="str">
        <f t="array" ref="D1714">IF(ISBLANK(XLOOKUP(D$3,daily_items,XLOOKUP($C1714,daily_dates,big_daily_table))),NA(),XLOOKUP(D$3,daily_items,XLOOKUP($C1714,daily_dates,big_daily_table)))</f>
        <v>#N/A</v>
      </c>
      <c r="E1714" s="1" t="str">
        <f t="array" ref="E1714">IF(ISBLANK(XLOOKUP(E$3,daily_items,XLOOKUP($C1714,daily_dates,big_daily_table))),NA(),XLOOKUP(E$3,daily_items,XLOOKUP($C1714,daily_dates,big_daily_table)))</f>
        <v>#N/A</v>
      </c>
    </row>
    <row r="1715" ht="14.25" customHeight="1">
      <c r="B1715" s="7">
        <v>42620.0</v>
      </c>
      <c r="C1715" s="7">
        <f t="shared" si="1"/>
        <v>42617</v>
      </c>
      <c r="D1715" s="1" t="str">
        <f t="array" ref="D1715">IF(ISBLANK(XLOOKUP(D$3,daily_items,XLOOKUP($C1715,daily_dates,big_daily_table))),NA(),XLOOKUP(D$3,daily_items,XLOOKUP($C1715,daily_dates,big_daily_table)))</f>
        <v>#N/A</v>
      </c>
      <c r="E1715" s="1" t="str">
        <f t="array" ref="E1715">IF(ISBLANK(XLOOKUP(E$3,daily_items,XLOOKUP($C1715,daily_dates,big_daily_table))),NA(),XLOOKUP(E$3,daily_items,XLOOKUP($C1715,daily_dates,big_daily_table)))</f>
        <v>#N/A</v>
      </c>
    </row>
    <row r="1716" ht="14.25" customHeight="1">
      <c r="B1716" s="7">
        <v>42621.0</v>
      </c>
      <c r="C1716" s="7">
        <f t="shared" si="1"/>
        <v>42617</v>
      </c>
      <c r="D1716" s="1" t="str">
        <f t="array" ref="D1716">IF(ISBLANK(XLOOKUP(D$3,daily_items,XLOOKUP($C1716,daily_dates,big_daily_table))),NA(),XLOOKUP(D$3,daily_items,XLOOKUP($C1716,daily_dates,big_daily_table)))</f>
        <v>#N/A</v>
      </c>
      <c r="E1716" s="1" t="str">
        <f t="array" ref="E1716">IF(ISBLANK(XLOOKUP(E$3,daily_items,XLOOKUP($C1716,daily_dates,big_daily_table))),NA(),XLOOKUP(E$3,daily_items,XLOOKUP($C1716,daily_dates,big_daily_table)))</f>
        <v>#N/A</v>
      </c>
    </row>
    <row r="1717" ht="14.25" customHeight="1">
      <c r="B1717" s="7">
        <v>42622.0</v>
      </c>
      <c r="C1717" s="7">
        <f t="shared" si="1"/>
        <v>42617</v>
      </c>
      <c r="D1717" s="1" t="str">
        <f t="array" ref="D1717">IF(ISBLANK(XLOOKUP(D$3,daily_items,XLOOKUP($C1717,daily_dates,big_daily_table))),NA(),XLOOKUP(D$3,daily_items,XLOOKUP($C1717,daily_dates,big_daily_table)))</f>
        <v>#N/A</v>
      </c>
      <c r="E1717" s="1" t="str">
        <f t="array" ref="E1717">IF(ISBLANK(XLOOKUP(E$3,daily_items,XLOOKUP($C1717,daily_dates,big_daily_table))),NA(),XLOOKUP(E$3,daily_items,XLOOKUP($C1717,daily_dates,big_daily_table)))</f>
        <v>#N/A</v>
      </c>
    </row>
    <row r="1718" ht="14.25" customHeight="1">
      <c r="B1718" s="7">
        <v>42623.0</v>
      </c>
      <c r="C1718" s="7">
        <f t="shared" si="1"/>
        <v>42617</v>
      </c>
      <c r="D1718" s="1" t="str">
        <f t="array" ref="D1718">IF(ISBLANK(XLOOKUP(D$3,daily_items,XLOOKUP($C1718,daily_dates,big_daily_table))),NA(),XLOOKUP(D$3,daily_items,XLOOKUP($C1718,daily_dates,big_daily_table)))</f>
        <v>#N/A</v>
      </c>
      <c r="E1718" s="1" t="str">
        <f t="array" ref="E1718">IF(ISBLANK(XLOOKUP(E$3,daily_items,XLOOKUP($C1718,daily_dates,big_daily_table))),NA(),XLOOKUP(E$3,daily_items,XLOOKUP($C1718,daily_dates,big_daily_table)))</f>
        <v>#N/A</v>
      </c>
    </row>
    <row r="1719" ht="14.25" customHeight="1">
      <c r="B1719" s="7">
        <v>42624.0</v>
      </c>
      <c r="C1719" s="7">
        <f t="shared" si="1"/>
        <v>42624</v>
      </c>
      <c r="D1719" s="1" t="str">
        <f t="array" ref="D1719">IF(ISBLANK(XLOOKUP(D$3,daily_items,XLOOKUP($C1719,daily_dates,big_daily_table))),NA(),XLOOKUP(D$3,daily_items,XLOOKUP($C1719,daily_dates,big_daily_table)))</f>
        <v>#N/A</v>
      </c>
      <c r="E1719" s="1" t="str">
        <f t="array" ref="E1719">IF(ISBLANK(XLOOKUP(E$3,daily_items,XLOOKUP($C1719,daily_dates,big_daily_table))),NA(),XLOOKUP(E$3,daily_items,XLOOKUP($C1719,daily_dates,big_daily_table)))</f>
        <v>#N/A</v>
      </c>
    </row>
    <row r="1720" ht="14.25" customHeight="1">
      <c r="B1720" s="7">
        <v>42625.0</v>
      </c>
      <c r="C1720" s="7">
        <f t="shared" si="1"/>
        <v>42624</v>
      </c>
      <c r="D1720" s="1" t="str">
        <f t="array" ref="D1720">IF(ISBLANK(XLOOKUP(D$3,daily_items,XLOOKUP($C1720,daily_dates,big_daily_table))),NA(),XLOOKUP(D$3,daily_items,XLOOKUP($C1720,daily_dates,big_daily_table)))</f>
        <v>#N/A</v>
      </c>
      <c r="E1720" s="1" t="str">
        <f t="array" ref="E1720">IF(ISBLANK(XLOOKUP(E$3,daily_items,XLOOKUP($C1720,daily_dates,big_daily_table))),NA(),XLOOKUP(E$3,daily_items,XLOOKUP($C1720,daily_dates,big_daily_table)))</f>
        <v>#N/A</v>
      </c>
    </row>
    <row r="1721" ht="14.25" customHeight="1">
      <c r="B1721" s="7">
        <v>42626.0</v>
      </c>
      <c r="C1721" s="7">
        <f t="shared" si="1"/>
        <v>42624</v>
      </c>
      <c r="D1721" s="1" t="str">
        <f t="array" ref="D1721">IF(ISBLANK(XLOOKUP(D$3,daily_items,XLOOKUP($C1721,daily_dates,big_daily_table))),NA(),XLOOKUP(D$3,daily_items,XLOOKUP($C1721,daily_dates,big_daily_table)))</f>
        <v>#N/A</v>
      </c>
      <c r="E1721" s="1" t="str">
        <f t="array" ref="E1721">IF(ISBLANK(XLOOKUP(E$3,daily_items,XLOOKUP($C1721,daily_dates,big_daily_table))),NA(),XLOOKUP(E$3,daily_items,XLOOKUP($C1721,daily_dates,big_daily_table)))</f>
        <v>#N/A</v>
      </c>
    </row>
    <row r="1722" ht="14.25" customHeight="1">
      <c r="B1722" s="7">
        <v>42627.0</v>
      </c>
      <c r="C1722" s="7">
        <f t="shared" si="1"/>
        <v>42624</v>
      </c>
      <c r="D1722" s="1" t="str">
        <f t="array" ref="D1722">IF(ISBLANK(XLOOKUP(D$3,daily_items,XLOOKUP($C1722,daily_dates,big_daily_table))),NA(),XLOOKUP(D$3,daily_items,XLOOKUP($C1722,daily_dates,big_daily_table)))</f>
        <v>#N/A</v>
      </c>
      <c r="E1722" s="1" t="str">
        <f t="array" ref="E1722">IF(ISBLANK(XLOOKUP(E$3,daily_items,XLOOKUP($C1722,daily_dates,big_daily_table))),NA(),XLOOKUP(E$3,daily_items,XLOOKUP($C1722,daily_dates,big_daily_table)))</f>
        <v>#N/A</v>
      </c>
    </row>
    <row r="1723" ht="14.25" customHeight="1">
      <c r="B1723" s="7">
        <v>42628.0</v>
      </c>
      <c r="C1723" s="7">
        <f t="shared" si="1"/>
        <v>42624</v>
      </c>
      <c r="D1723" s="1" t="str">
        <f t="array" ref="D1723">IF(ISBLANK(XLOOKUP(D$3,daily_items,XLOOKUP($C1723,daily_dates,big_daily_table))),NA(),XLOOKUP(D$3,daily_items,XLOOKUP($C1723,daily_dates,big_daily_table)))</f>
        <v>#N/A</v>
      </c>
      <c r="E1723" s="1" t="str">
        <f t="array" ref="E1723">IF(ISBLANK(XLOOKUP(E$3,daily_items,XLOOKUP($C1723,daily_dates,big_daily_table))),NA(),XLOOKUP(E$3,daily_items,XLOOKUP($C1723,daily_dates,big_daily_table)))</f>
        <v>#N/A</v>
      </c>
    </row>
    <row r="1724" ht="14.25" customHeight="1">
      <c r="B1724" s="7">
        <v>42629.0</v>
      </c>
      <c r="C1724" s="7">
        <f t="shared" si="1"/>
        <v>42624</v>
      </c>
      <c r="D1724" s="1" t="str">
        <f t="array" ref="D1724">IF(ISBLANK(XLOOKUP(D$3,daily_items,XLOOKUP($C1724,daily_dates,big_daily_table))),NA(),XLOOKUP(D$3,daily_items,XLOOKUP($C1724,daily_dates,big_daily_table)))</f>
        <v>#N/A</v>
      </c>
      <c r="E1724" s="1" t="str">
        <f t="array" ref="E1724">IF(ISBLANK(XLOOKUP(E$3,daily_items,XLOOKUP($C1724,daily_dates,big_daily_table))),NA(),XLOOKUP(E$3,daily_items,XLOOKUP($C1724,daily_dates,big_daily_table)))</f>
        <v>#N/A</v>
      </c>
    </row>
    <row r="1725" ht="14.25" customHeight="1">
      <c r="B1725" s="7">
        <v>42630.0</v>
      </c>
      <c r="C1725" s="7">
        <f t="shared" si="1"/>
        <v>42624</v>
      </c>
      <c r="D1725" s="1" t="str">
        <f t="array" ref="D1725">IF(ISBLANK(XLOOKUP(D$3,daily_items,XLOOKUP($C1725,daily_dates,big_daily_table))),NA(),XLOOKUP(D$3,daily_items,XLOOKUP($C1725,daily_dates,big_daily_table)))</f>
        <v>#N/A</v>
      </c>
      <c r="E1725" s="1" t="str">
        <f t="array" ref="E1725">IF(ISBLANK(XLOOKUP(E$3,daily_items,XLOOKUP($C1725,daily_dates,big_daily_table))),NA(),XLOOKUP(E$3,daily_items,XLOOKUP($C1725,daily_dates,big_daily_table)))</f>
        <v>#N/A</v>
      </c>
    </row>
    <row r="1726" ht="14.25" customHeight="1">
      <c r="B1726" s="7">
        <v>42631.0</v>
      </c>
      <c r="C1726" s="7">
        <f t="shared" si="1"/>
        <v>42631</v>
      </c>
      <c r="D1726" s="1" t="str">
        <f t="array" ref="D1726">IF(ISBLANK(XLOOKUP(D$3,daily_items,XLOOKUP($C1726,daily_dates,big_daily_table))),NA(),XLOOKUP(D$3,daily_items,XLOOKUP($C1726,daily_dates,big_daily_table)))</f>
        <v>#N/A</v>
      </c>
      <c r="E1726" s="1" t="str">
        <f t="array" ref="E1726">IF(ISBLANK(XLOOKUP(E$3,daily_items,XLOOKUP($C1726,daily_dates,big_daily_table))),NA(),XLOOKUP(E$3,daily_items,XLOOKUP($C1726,daily_dates,big_daily_table)))</f>
        <v>#N/A</v>
      </c>
    </row>
    <row r="1727" ht="14.25" customHeight="1">
      <c r="B1727" s="7">
        <v>42632.0</v>
      </c>
      <c r="C1727" s="7">
        <f t="shared" si="1"/>
        <v>42631</v>
      </c>
      <c r="D1727" s="1" t="str">
        <f t="array" ref="D1727">IF(ISBLANK(XLOOKUP(D$3,daily_items,XLOOKUP($C1727,daily_dates,big_daily_table))),NA(),XLOOKUP(D$3,daily_items,XLOOKUP($C1727,daily_dates,big_daily_table)))</f>
        <v>#N/A</v>
      </c>
      <c r="E1727" s="1" t="str">
        <f t="array" ref="E1727">IF(ISBLANK(XLOOKUP(E$3,daily_items,XLOOKUP($C1727,daily_dates,big_daily_table))),NA(),XLOOKUP(E$3,daily_items,XLOOKUP($C1727,daily_dates,big_daily_table)))</f>
        <v>#N/A</v>
      </c>
    </row>
    <row r="1728" ht="14.25" customHeight="1">
      <c r="B1728" s="7">
        <v>42633.0</v>
      </c>
      <c r="C1728" s="7">
        <f t="shared" si="1"/>
        <v>42631</v>
      </c>
      <c r="D1728" s="1" t="str">
        <f t="array" ref="D1728">IF(ISBLANK(XLOOKUP(D$3,daily_items,XLOOKUP($C1728,daily_dates,big_daily_table))),NA(),XLOOKUP(D$3,daily_items,XLOOKUP($C1728,daily_dates,big_daily_table)))</f>
        <v>#N/A</v>
      </c>
      <c r="E1728" s="1" t="str">
        <f t="array" ref="E1728">IF(ISBLANK(XLOOKUP(E$3,daily_items,XLOOKUP($C1728,daily_dates,big_daily_table))),NA(),XLOOKUP(E$3,daily_items,XLOOKUP($C1728,daily_dates,big_daily_table)))</f>
        <v>#N/A</v>
      </c>
    </row>
    <row r="1729" ht="14.25" customHeight="1">
      <c r="B1729" s="7">
        <v>42634.0</v>
      </c>
      <c r="C1729" s="7">
        <f t="shared" si="1"/>
        <v>42631</v>
      </c>
      <c r="D1729" s="1" t="str">
        <f t="array" ref="D1729">IF(ISBLANK(XLOOKUP(D$3,daily_items,XLOOKUP($C1729,daily_dates,big_daily_table))),NA(),XLOOKUP(D$3,daily_items,XLOOKUP($C1729,daily_dates,big_daily_table)))</f>
        <v>#N/A</v>
      </c>
      <c r="E1729" s="1" t="str">
        <f t="array" ref="E1729">IF(ISBLANK(XLOOKUP(E$3,daily_items,XLOOKUP($C1729,daily_dates,big_daily_table))),NA(),XLOOKUP(E$3,daily_items,XLOOKUP($C1729,daily_dates,big_daily_table)))</f>
        <v>#N/A</v>
      </c>
    </row>
    <row r="1730" ht="14.25" customHeight="1">
      <c r="B1730" s="7">
        <v>42635.0</v>
      </c>
      <c r="C1730" s="7">
        <f t="shared" si="1"/>
        <v>42631</v>
      </c>
      <c r="D1730" s="1" t="str">
        <f t="array" ref="D1730">IF(ISBLANK(XLOOKUP(D$3,daily_items,XLOOKUP($C1730,daily_dates,big_daily_table))),NA(),XLOOKUP(D$3,daily_items,XLOOKUP($C1730,daily_dates,big_daily_table)))</f>
        <v>#N/A</v>
      </c>
      <c r="E1730" s="1" t="str">
        <f t="array" ref="E1730">IF(ISBLANK(XLOOKUP(E$3,daily_items,XLOOKUP($C1730,daily_dates,big_daily_table))),NA(),XLOOKUP(E$3,daily_items,XLOOKUP($C1730,daily_dates,big_daily_table)))</f>
        <v>#N/A</v>
      </c>
    </row>
    <row r="1731" ht="14.25" customHeight="1">
      <c r="B1731" s="7">
        <v>42636.0</v>
      </c>
      <c r="C1731" s="7">
        <f t="shared" si="1"/>
        <v>42631</v>
      </c>
      <c r="D1731" s="1" t="str">
        <f t="array" ref="D1731">IF(ISBLANK(XLOOKUP(D$3,daily_items,XLOOKUP($C1731,daily_dates,big_daily_table))),NA(),XLOOKUP(D$3,daily_items,XLOOKUP($C1731,daily_dates,big_daily_table)))</f>
        <v>#N/A</v>
      </c>
      <c r="E1731" s="1" t="str">
        <f t="array" ref="E1731">IF(ISBLANK(XLOOKUP(E$3,daily_items,XLOOKUP($C1731,daily_dates,big_daily_table))),NA(),XLOOKUP(E$3,daily_items,XLOOKUP($C1731,daily_dates,big_daily_table)))</f>
        <v>#N/A</v>
      </c>
    </row>
    <row r="1732" ht="14.25" customHeight="1">
      <c r="B1732" s="7">
        <v>42637.0</v>
      </c>
      <c r="C1732" s="7">
        <f t="shared" si="1"/>
        <v>42631</v>
      </c>
      <c r="D1732" s="1" t="str">
        <f t="array" ref="D1732">IF(ISBLANK(XLOOKUP(D$3,daily_items,XLOOKUP($C1732,daily_dates,big_daily_table))),NA(),XLOOKUP(D$3,daily_items,XLOOKUP($C1732,daily_dates,big_daily_table)))</f>
        <v>#N/A</v>
      </c>
      <c r="E1732" s="1" t="str">
        <f t="array" ref="E1732">IF(ISBLANK(XLOOKUP(E$3,daily_items,XLOOKUP($C1732,daily_dates,big_daily_table))),NA(),XLOOKUP(E$3,daily_items,XLOOKUP($C1732,daily_dates,big_daily_table)))</f>
        <v>#N/A</v>
      </c>
    </row>
    <row r="1733" ht="14.25" customHeight="1">
      <c r="B1733" s="7">
        <v>42638.0</v>
      </c>
      <c r="C1733" s="7">
        <f t="shared" si="1"/>
        <v>42638</v>
      </c>
      <c r="D1733" s="1" t="str">
        <f t="array" ref="D1733">IF(ISBLANK(XLOOKUP(D$3,daily_items,XLOOKUP($C1733,daily_dates,big_daily_table))),NA(),XLOOKUP(D$3,daily_items,XLOOKUP($C1733,daily_dates,big_daily_table)))</f>
        <v>#N/A</v>
      </c>
      <c r="E1733" s="1" t="str">
        <f t="array" ref="E1733">IF(ISBLANK(XLOOKUP(E$3,daily_items,XLOOKUP($C1733,daily_dates,big_daily_table))),NA(),XLOOKUP(E$3,daily_items,XLOOKUP($C1733,daily_dates,big_daily_table)))</f>
        <v>#N/A</v>
      </c>
    </row>
    <row r="1734" ht="14.25" customHeight="1">
      <c r="B1734" s="7">
        <v>42639.0</v>
      </c>
      <c r="C1734" s="7">
        <f t="shared" si="1"/>
        <v>42638</v>
      </c>
      <c r="D1734" s="1" t="str">
        <f t="array" ref="D1734">IF(ISBLANK(XLOOKUP(D$3,daily_items,XLOOKUP($C1734,daily_dates,big_daily_table))),NA(),XLOOKUP(D$3,daily_items,XLOOKUP($C1734,daily_dates,big_daily_table)))</f>
        <v>#N/A</v>
      </c>
      <c r="E1734" s="1" t="str">
        <f t="array" ref="E1734">IF(ISBLANK(XLOOKUP(E$3,daily_items,XLOOKUP($C1734,daily_dates,big_daily_table))),NA(),XLOOKUP(E$3,daily_items,XLOOKUP($C1734,daily_dates,big_daily_table)))</f>
        <v>#N/A</v>
      </c>
    </row>
    <row r="1735" ht="14.25" customHeight="1">
      <c r="B1735" s="7">
        <v>42640.0</v>
      </c>
      <c r="C1735" s="7">
        <f t="shared" si="1"/>
        <v>42638</v>
      </c>
      <c r="D1735" s="1" t="str">
        <f t="array" ref="D1735">IF(ISBLANK(XLOOKUP(D$3,daily_items,XLOOKUP($C1735,daily_dates,big_daily_table))),NA(),XLOOKUP(D$3,daily_items,XLOOKUP($C1735,daily_dates,big_daily_table)))</f>
        <v>#N/A</v>
      </c>
      <c r="E1735" s="1" t="str">
        <f t="array" ref="E1735">IF(ISBLANK(XLOOKUP(E$3,daily_items,XLOOKUP($C1735,daily_dates,big_daily_table))),NA(),XLOOKUP(E$3,daily_items,XLOOKUP($C1735,daily_dates,big_daily_table)))</f>
        <v>#N/A</v>
      </c>
    </row>
    <row r="1736" ht="14.25" customHeight="1">
      <c r="B1736" s="7">
        <v>42641.0</v>
      </c>
      <c r="C1736" s="7">
        <f t="shared" si="1"/>
        <v>42638</v>
      </c>
      <c r="D1736" s="1" t="str">
        <f t="array" ref="D1736">IF(ISBLANK(XLOOKUP(D$3,daily_items,XLOOKUP($C1736,daily_dates,big_daily_table))),NA(),XLOOKUP(D$3,daily_items,XLOOKUP($C1736,daily_dates,big_daily_table)))</f>
        <v>#N/A</v>
      </c>
      <c r="E1736" s="1" t="str">
        <f t="array" ref="E1736">IF(ISBLANK(XLOOKUP(E$3,daily_items,XLOOKUP($C1736,daily_dates,big_daily_table))),NA(),XLOOKUP(E$3,daily_items,XLOOKUP($C1736,daily_dates,big_daily_table)))</f>
        <v>#N/A</v>
      </c>
    </row>
    <row r="1737" ht="14.25" customHeight="1">
      <c r="B1737" s="7">
        <v>42642.0</v>
      </c>
      <c r="C1737" s="7">
        <f t="shared" si="1"/>
        <v>42638</v>
      </c>
      <c r="D1737" s="1" t="str">
        <f t="array" ref="D1737">IF(ISBLANK(XLOOKUP(D$3,daily_items,XLOOKUP($C1737,daily_dates,big_daily_table))),NA(),XLOOKUP(D$3,daily_items,XLOOKUP($C1737,daily_dates,big_daily_table)))</f>
        <v>#N/A</v>
      </c>
      <c r="E1737" s="1" t="str">
        <f t="array" ref="E1737">IF(ISBLANK(XLOOKUP(E$3,daily_items,XLOOKUP($C1737,daily_dates,big_daily_table))),NA(),XLOOKUP(E$3,daily_items,XLOOKUP($C1737,daily_dates,big_daily_table)))</f>
        <v>#N/A</v>
      </c>
    </row>
    <row r="1738" ht="14.25" customHeight="1">
      <c r="B1738" s="7">
        <v>42643.0</v>
      </c>
      <c r="C1738" s="7">
        <f t="shared" si="1"/>
        <v>42638</v>
      </c>
      <c r="D1738" s="1" t="str">
        <f t="array" ref="D1738">IF(ISBLANK(XLOOKUP(D$3,daily_items,XLOOKUP($C1738,daily_dates,big_daily_table))),NA(),XLOOKUP(D$3,daily_items,XLOOKUP($C1738,daily_dates,big_daily_table)))</f>
        <v>#N/A</v>
      </c>
      <c r="E1738" s="1" t="str">
        <f t="array" ref="E1738">IF(ISBLANK(XLOOKUP(E$3,daily_items,XLOOKUP($C1738,daily_dates,big_daily_table))),NA(),XLOOKUP(E$3,daily_items,XLOOKUP($C1738,daily_dates,big_daily_table)))</f>
        <v>#N/A</v>
      </c>
    </row>
    <row r="1739" ht="14.25" customHeight="1">
      <c r="B1739" s="7">
        <v>42644.0</v>
      </c>
      <c r="C1739" s="7">
        <f t="shared" si="1"/>
        <v>42638</v>
      </c>
      <c r="D1739" s="1" t="str">
        <f t="array" ref="D1739">IF(ISBLANK(XLOOKUP(D$3,daily_items,XLOOKUP($C1739,daily_dates,big_daily_table))),NA(),XLOOKUP(D$3,daily_items,XLOOKUP($C1739,daily_dates,big_daily_table)))</f>
        <v>#N/A</v>
      </c>
      <c r="E1739" s="1" t="str">
        <f t="array" ref="E1739">IF(ISBLANK(XLOOKUP(E$3,daily_items,XLOOKUP($C1739,daily_dates,big_daily_table))),NA(),XLOOKUP(E$3,daily_items,XLOOKUP($C1739,daily_dates,big_daily_table)))</f>
        <v>#N/A</v>
      </c>
    </row>
    <row r="1740" ht="14.25" customHeight="1">
      <c r="B1740" s="7">
        <v>42645.0</v>
      </c>
      <c r="C1740" s="7">
        <f t="shared" si="1"/>
        <v>42645</v>
      </c>
      <c r="D1740" s="1" t="str">
        <f t="array" ref="D1740">IF(ISBLANK(XLOOKUP(D$3,daily_items,XLOOKUP($C1740,daily_dates,big_daily_table))),NA(),XLOOKUP(D$3,daily_items,XLOOKUP($C1740,daily_dates,big_daily_table)))</f>
        <v>#N/A</v>
      </c>
      <c r="E1740" s="1" t="str">
        <f t="array" ref="E1740">IF(ISBLANK(XLOOKUP(E$3,daily_items,XLOOKUP($C1740,daily_dates,big_daily_table))),NA(),XLOOKUP(E$3,daily_items,XLOOKUP($C1740,daily_dates,big_daily_table)))</f>
        <v>#N/A</v>
      </c>
    </row>
    <row r="1741" ht="14.25" customHeight="1">
      <c r="B1741" s="7">
        <v>42646.0</v>
      </c>
      <c r="C1741" s="7">
        <f t="shared" si="1"/>
        <v>42645</v>
      </c>
      <c r="D1741" s="1" t="str">
        <f t="array" ref="D1741">IF(ISBLANK(XLOOKUP(D$3,daily_items,XLOOKUP($C1741,daily_dates,big_daily_table))),NA(),XLOOKUP(D$3,daily_items,XLOOKUP($C1741,daily_dates,big_daily_table)))</f>
        <v>#N/A</v>
      </c>
      <c r="E1741" s="1" t="str">
        <f t="array" ref="E1741">IF(ISBLANK(XLOOKUP(E$3,daily_items,XLOOKUP($C1741,daily_dates,big_daily_table))),NA(),XLOOKUP(E$3,daily_items,XLOOKUP($C1741,daily_dates,big_daily_table)))</f>
        <v>#N/A</v>
      </c>
    </row>
    <row r="1742" ht="14.25" customHeight="1">
      <c r="B1742" s="7">
        <v>42647.0</v>
      </c>
      <c r="C1742" s="7">
        <f t="shared" si="1"/>
        <v>42645</v>
      </c>
      <c r="D1742" s="1" t="str">
        <f t="array" ref="D1742">IF(ISBLANK(XLOOKUP(D$3,daily_items,XLOOKUP($C1742,daily_dates,big_daily_table))),NA(),XLOOKUP(D$3,daily_items,XLOOKUP($C1742,daily_dates,big_daily_table)))</f>
        <v>#N/A</v>
      </c>
      <c r="E1742" s="1" t="str">
        <f t="array" ref="E1742">IF(ISBLANK(XLOOKUP(E$3,daily_items,XLOOKUP($C1742,daily_dates,big_daily_table))),NA(),XLOOKUP(E$3,daily_items,XLOOKUP($C1742,daily_dates,big_daily_table)))</f>
        <v>#N/A</v>
      </c>
    </row>
    <row r="1743" ht="14.25" customHeight="1">
      <c r="B1743" s="7">
        <v>42648.0</v>
      </c>
      <c r="C1743" s="7">
        <f t="shared" si="1"/>
        <v>42645</v>
      </c>
      <c r="D1743" s="1" t="str">
        <f t="array" ref="D1743">IF(ISBLANK(XLOOKUP(D$3,daily_items,XLOOKUP($C1743,daily_dates,big_daily_table))),NA(),XLOOKUP(D$3,daily_items,XLOOKUP($C1743,daily_dates,big_daily_table)))</f>
        <v>#N/A</v>
      </c>
      <c r="E1743" s="1" t="str">
        <f t="array" ref="E1743">IF(ISBLANK(XLOOKUP(E$3,daily_items,XLOOKUP($C1743,daily_dates,big_daily_table))),NA(),XLOOKUP(E$3,daily_items,XLOOKUP($C1743,daily_dates,big_daily_table)))</f>
        <v>#N/A</v>
      </c>
    </row>
    <row r="1744" ht="14.25" customHeight="1">
      <c r="B1744" s="7">
        <v>42649.0</v>
      </c>
      <c r="C1744" s="7">
        <f t="shared" si="1"/>
        <v>42645</v>
      </c>
      <c r="D1744" s="1" t="str">
        <f t="array" ref="D1744">IF(ISBLANK(XLOOKUP(D$3,daily_items,XLOOKUP($C1744,daily_dates,big_daily_table))),NA(),XLOOKUP(D$3,daily_items,XLOOKUP($C1744,daily_dates,big_daily_table)))</f>
        <v>#N/A</v>
      </c>
      <c r="E1744" s="1" t="str">
        <f t="array" ref="E1744">IF(ISBLANK(XLOOKUP(E$3,daily_items,XLOOKUP($C1744,daily_dates,big_daily_table))),NA(),XLOOKUP(E$3,daily_items,XLOOKUP($C1744,daily_dates,big_daily_table)))</f>
        <v>#N/A</v>
      </c>
    </row>
    <row r="1745" ht="14.25" customHeight="1">
      <c r="B1745" s="7">
        <v>42650.0</v>
      </c>
      <c r="C1745" s="7">
        <f t="shared" si="1"/>
        <v>42645</v>
      </c>
      <c r="D1745" s="1" t="str">
        <f t="array" ref="D1745">IF(ISBLANK(XLOOKUP(D$3,daily_items,XLOOKUP($C1745,daily_dates,big_daily_table))),NA(),XLOOKUP(D$3,daily_items,XLOOKUP($C1745,daily_dates,big_daily_table)))</f>
        <v>#N/A</v>
      </c>
      <c r="E1745" s="1" t="str">
        <f t="array" ref="E1745">IF(ISBLANK(XLOOKUP(E$3,daily_items,XLOOKUP($C1745,daily_dates,big_daily_table))),NA(),XLOOKUP(E$3,daily_items,XLOOKUP($C1745,daily_dates,big_daily_table)))</f>
        <v>#N/A</v>
      </c>
    </row>
    <row r="1746" ht="14.25" customHeight="1">
      <c r="B1746" s="7">
        <v>42651.0</v>
      </c>
      <c r="C1746" s="7">
        <f t="shared" si="1"/>
        <v>42645</v>
      </c>
      <c r="D1746" s="1" t="str">
        <f t="array" ref="D1746">IF(ISBLANK(XLOOKUP(D$3,daily_items,XLOOKUP($C1746,daily_dates,big_daily_table))),NA(),XLOOKUP(D$3,daily_items,XLOOKUP($C1746,daily_dates,big_daily_table)))</f>
        <v>#N/A</v>
      </c>
      <c r="E1746" s="1" t="str">
        <f t="array" ref="E1746">IF(ISBLANK(XLOOKUP(E$3,daily_items,XLOOKUP($C1746,daily_dates,big_daily_table))),NA(),XLOOKUP(E$3,daily_items,XLOOKUP($C1746,daily_dates,big_daily_table)))</f>
        <v>#N/A</v>
      </c>
    </row>
    <row r="1747" ht="14.25" customHeight="1">
      <c r="B1747" s="7">
        <v>42652.0</v>
      </c>
      <c r="C1747" s="7">
        <f t="shared" si="1"/>
        <v>42652</v>
      </c>
      <c r="D1747" s="1" t="str">
        <f t="array" ref="D1747">IF(ISBLANK(XLOOKUP(D$3,daily_items,XLOOKUP($C1747,daily_dates,big_daily_table))),NA(),XLOOKUP(D$3,daily_items,XLOOKUP($C1747,daily_dates,big_daily_table)))</f>
        <v>#N/A</v>
      </c>
      <c r="E1747" s="1" t="str">
        <f t="array" ref="E1747">IF(ISBLANK(XLOOKUP(E$3,daily_items,XLOOKUP($C1747,daily_dates,big_daily_table))),NA(),XLOOKUP(E$3,daily_items,XLOOKUP($C1747,daily_dates,big_daily_table)))</f>
        <v>#N/A</v>
      </c>
    </row>
    <row r="1748" ht="14.25" customHeight="1">
      <c r="B1748" s="7">
        <v>42653.0</v>
      </c>
      <c r="C1748" s="7">
        <f t="shared" si="1"/>
        <v>42652</v>
      </c>
      <c r="D1748" s="1" t="str">
        <f t="array" ref="D1748">IF(ISBLANK(XLOOKUP(D$3,daily_items,XLOOKUP($C1748,daily_dates,big_daily_table))),NA(),XLOOKUP(D$3,daily_items,XLOOKUP($C1748,daily_dates,big_daily_table)))</f>
        <v>#N/A</v>
      </c>
      <c r="E1748" s="1" t="str">
        <f t="array" ref="E1748">IF(ISBLANK(XLOOKUP(E$3,daily_items,XLOOKUP($C1748,daily_dates,big_daily_table))),NA(),XLOOKUP(E$3,daily_items,XLOOKUP($C1748,daily_dates,big_daily_table)))</f>
        <v>#N/A</v>
      </c>
    </row>
    <row r="1749" ht="14.25" customHeight="1">
      <c r="B1749" s="7">
        <v>42654.0</v>
      </c>
      <c r="C1749" s="7">
        <f t="shared" si="1"/>
        <v>42652</v>
      </c>
      <c r="D1749" s="1" t="str">
        <f t="array" ref="D1749">IF(ISBLANK(XLOOKUP(D$3,daily_items,XLOOKUP($C1749,daily_dates,big_daily_table))),NA(),XLOOKUP(D$3,daily_items,XLOOKUP($C1749,daily_dates,big_daily_table)))</f>
        <v>#N/A</v>
      </c>
      <c r="E1749" s="1" t="str">
        <f t="array" ref="E1749">IF(ISBLANK(XLOOKUP(E$3,daily_items,XLOOKUP($C1749,daily_dates,big_daily_table))),NA(),XLOOKUP(E$3,daily_items,XLOOKUP($C1749,daily_dates,big_daily_table)))</f>
        <v>#N/A</v>
      </c>
    </row>
    <row r="1750" ht="14.25" customHeight="1">
      <c r="B1750" s="7">
        <v>42655.0</v>
      </c>
      <c r="C1750" s="7">
        <f t="shared" si="1"/>
        <v>42652</v>
      </c>
      <c r="D1750" s="1" t="str">
        <f t="array" ref="D1750">IF(ISBLANK(XLOOKUP(D$3,daily_items,XLOOKUP($C1750,daily_dates,big_daily_table))),NA(),XLOOKUP(D$3,daily_items,XLOOKUP($C1750,daily_dates,big_daily_table)))</f>
        <v>#N/A</v>
      </c>
      <c r="E1750" s="1" t="str">
        <f t="array" ref="E1750">IF(ISBLANK(XLOOKUP(E$3,daily_items,XLOOKUP($C1750,daily_dates,big_daily_table))),NA(),XLOOKUP(E$3,daily_items,XLOOKUP($C1750,daily_dates,big_daily_table)))</f>
        <v>#N/A</v>
      </c>
    </row>
    <row r="1751" ht="14.25" customHeight="1">
      <c r="B1751" s="7">
        <v>42656.0</v>
      </c>
      <c r="C1751" s="7">
        <f t="shared" si="1"/>
        <v>42652</v>
      </c>
      <c r="D1751" s="1" t="str">
        <f t="array" ref="D1751">IF(ISBLANK(XLOOKUP(D$3,daily_items,XLOOKUP($C1751,daily_dates,big_daily_table))),NA(),XLOOKUP(D$3,daily_items,XLOOKUP($C1751,daily_dates,big_daily_table)))</f>
        <v>#N/A</v>
      </c>
      <c r="E1751" s="1" t="str">
        <f t="array" ref="E1751">IF(ISBLANK(XLOOKUP(E$3,daily_items,XLOOKUP($C1751,daily_dates,big_daily_table))),NA(),XLOOKUP(E$3,daily_items,XLOOKUP($C1751,daily_dates,big_daily_table)))</f>
        <v>#N/A</v>
      </c>
    </row>
    <row r="1752" ht="14.25" customHeight="1">
      <c r="B1752" s="7">
        <v>42657.0</v>
      </c>
      <c r="C1752" s="7">
        <f t="shared" si="1"/>
        <v>42652</v>
      </c>
      <c r="D1752" s="1" t="str">
        <f t="array" ref="D1752">IF(ISBLANK(XLOOKUP(D$3,daily_items,XLOOKUP($C1752,daily_dates,big_daily_table))),NA(),XLOOKUP(D$3,daily_items,XLOOKUP($C1752,daily_dates,big_daily_table)))</f>
        <v>#N/A</v>
      </c>
      <c r="E1752" s="1" t="str">
        <f t="array" ref="E1752">IF(ISBLANK(XLOOKUP(E$3,daily_items,XLOOKUP($C1752,daily_dates,big_daily_table))),NA(),XLOOKUP(E$3,daily_items,XLOOKUP($C1752,daily_dates,big_daily_table)))</f>
        <v>#N/A</v>
      </c>
    </row>
    <row r="1753" ht="14.25" customHeight="1">
      <c r="B1753" s="7">
        <v>42658.0</v>
      </c>
      <c r="C1753" s="7">
        <f t="shared" si="1"/>
        <v>42652</v>
      </c>
      <c r="D1753" s="1" t="str">
        <f t="array" ref="D1753">IF(ISBLANK(XLOOKUP(D$3,daily_items,XLOOKUP($C1753,daily_dates,big_daily_table))),NA(),XLOOKUP(D$3,daily_items,XLOOKUP($C1753,daily_dates,big_daily_table)))</f>
        <v>#N/A</v>
      </c>
      <c r="E1753" s="1" t="str">
        <f t="array" ref="E1753">IF(ISBLANK(XLOOKUP(E$3,daily_items,XLOOKUP($C1753,daily_dates,big_daily_table))),NA(),XLOOKUP(E$3,daily_items,XLOOKUP($C1753,daily_dates,big_daily_table)))</f>
        <v>#N/A</v>
      </c>
    </row>
    <row r="1754" ht="14.25" customHeight="1">
      <c r="B1754" s="7">
        <v>42659.0</v>
      </c>
      <c r="C1754" s="7">
        <f t="shared" si="1"/>
        <v>42659</v>
      </c>
      <c r="D1754" s="1" t="str">
        <f t="array" ref="D1754">IF(ISBLANK(XLOOKUP(D$3,daily_items,XLOOKUP($C1754,daily_dates,big_daily_table))),NA(),XLOOKUP(D$3,daily_items,XLOOKUP($C1754,daily_dates,big_daily_table)))</f>
        <v>#N/A</v>
      </c>
      <c r="E1754" s="1" t="str">
        <f t="array" ref="E1754">IF(ISBLANK(XLOOKUP(E$3,daily_items,XLOOKUP($C1754,daily_dates,big_daily_table))),NA(),XLOOKUP(E$3,daily_items,XLOOKUP($C1754,daily_dates,big_daily_table)))</f>
        <v>#N/A</v>
      </c>
    </row>
    <row r="1755" ht="14.25" customHeight="1">
      <c r="B1755" s="7">
        <v>42660.0</v>
      </c>
      <c r="C1755" s="7">
        <f t="shared" si="1"/>
        <v>42659</v>
      </c>
      <c r="D1755" s="1" t="str">
        <f t="array" ref="D1755">IF(ISBLANK(XLOOKUP(D$3,daily_items,XLOOKUP($C1755,daily_dates,big_daily_table))),NA(),XLOOKUP(D$3,daily_items,XLOOKUP($C1755,daily_dates,big_daily_table)))</f>
        <v>#N/A</v>
      </c>
      <c r="E1755" s="1" t="str">
        <f t="array" ref="E1755">IF(ISBLANK(XLOOKUP(E$3,daily_items,XLOOKUP($C1755,daily_dates,big_daily_table))),NA(),XLOOKUP(E$3,daily_items,XLOOKUP($C1755,daily_dates,big_daily_table)))</f>
        <v>#N/A</v>
      </c>
    </row>
    <row r="1756" ht="14.25" customHeight="1">
      <c r="B1756" s="7">
        <v>42661.0</v>
      </c>
      <c r="C1756" s="7">
        <f t="shared" si="1"/>
        <v>42659</v>
      </c>
      <c r="D1756" s="1" t="str">
        <f t="array" ref="D1756">IF(ISBLANK(XLOOKUP(D$3,daily_items,XLOOKUP($C1756,daily_dates,big_daily_table))),NA(),XLOOKUP(D$3,daily_items,XLOOKUP($C1756,daily_dates,big_daily_table)))</f>
        <v>#N/A</v>
      </c>
      <c r="E1756" s="1" t="str">
        <f t="array" ref="E1756">IF(ISBLANK(XLOOKUP(E$3,daily_items,XLOOKUP($C1756,daily_dates,big_daily_table))),NA(),XLOOKUP(E$3,daily_items,XLOOKUP($C1756,daily_dates,big_daily_table)))</f>
        <v>#N/A</v>
      </c>
    </row>
    <row r="1757" ht="14.25" customHeight="1">
      <c r="B1757" s="7">
        <v>42662.0</v>
      </c>
      <c r="C1757" s="7">
        <f t="shared" si="1"/>
        <v>42659</v>
      </c>
      <c r="D1757" s="1" t="str">
        <f t="array" ref="D1757">IF(ISBLANK(XLOOKUP(D$3,daily_items,XLOOKUP($C1757,daily_dates,big_daily_table))),NA(),XLOOKUP(D$3,daily_items,XLOOKUP($C1757,daily_dates,big_daily_table)))</f>
        <v>#N/A</v>
      </c>
      <c r="E1757" s="1" t="str">
        <f t="array" ref="E1757">IF(ISBLANK(XLOOKUP(E$3,daily_items,XLOOKUP($C1757,daily_dates,big_daily_table))),NA(),XLOOKUP(E$3,daily_items,XLOOKUP($C1757,daily_dates,big_daily_table)))</f>
        <v>#N/A</v>
      </c>
    </row>
    <row r="1758" ht="14.25" customHeight="1">
      <c r="B1758" s="7">
        <v>42663.0</v>
      </c>
      <c r="C1758" s="7">
        <f t="shared" si="1"/>
        <v>42659</v>
      </c>
      <c r="D1758" s="1" t="str">
        <f t="array" ref="D1758">IF(ISBLANK(XLOOKUP(D$3,daily_items,XLOOKUP($C1758,daily_dates,big_daily_table))),NA(),XLOOKUP(D$3,daily_items,XLOOKUP($C1758,daily_dates,big_daily_table)))</f>
        <v>#N/A</v>
      </c>
      <c r="E1758" s="1" t="str">
        <f t="array" ref="E1758">IF(ISBLANK(XLOOKUP(E$3,daily_items,XLOOKUP($C1758,daily_dates,big_daily_table))),NA(),XLOOKUP(E$3,daily_items,XLOOKUP($C1758,daily_dates,big_daily_table)))</f>
        <v>#N/A</v>
      </c>
    </row>
    <row r="1759" ht="14.25" customHeight="1">
      <c r="B1759" s="7">
        <v>42664.0</v>
      </c>
      <c r="C1759" s="7">
        <f t="shared" si="1"/>
        <v>42659</v>
      </c>
      <c r="D1759" s="1" t="str">
        <f t="array" ref="D1759">IF(ISBLANK(XLOOKUP(D$3,daily_items,XLOOKUP($C1759,daily_dates,big_daily_table))),NA(),XLOOKUP(D$3,daily_items,XLOOKUP($C1759,daily_dates,big_daily_table)))</f>
        <v>#N/A</v>
      </c>
      <c r="E1759" s="1" t="str">
        <f t="array" ref="E1759">IF(ISBLANK(XLOOKUP(E$3,daily_items,XLOOKUP($C1759,daily_dates,big_daily_table))),NA(),XLOOKUP(E$3,daily_items,XLOOKUP($C1759,daily_dates,big_daily_table)))</f>
        <v>#N/A</v>
      </c>
    </row>
    <row r="1760" ht="14.25" customHeight="1">
      <c r="B1760" s="7">
        <v>42665.0</v>
      </c>
      <c r="C1760" s="7">
        <f t="shared" si="1"/>
        <v>42659</v>
      </c>
      <c r="D1760" s="1" t="str">
        <f t="array" ref="D1760">IF(ISBLANK(XLOOKUP(D$3,daily_items,XLOOKUP($C1760,daily_dates,big_daily_table))),NA(),XLOOKUP(D$3,daily_items,XLOOKUP($C1760,daily_dates,big_daily_table)))</f>
        <v>#N/A</v>
      </c>
      <c r="E1760" s="1" t="str">
        <f t="array" ref="E1760">IF(ISBLANK(XLOOKUP(E$3,daily_items,XLOOKUP($C1760,daily_dates,big_daily_table))),NA(),XLOOKUP(E$3,daily_items,XLOOKUP($C1760,daily_dates,big_daily_table)))</f>
        <v>#N/A</v>
      </c>
    </row>
    <row r="1761" ht="14.25" customHeight="1">
      <c r="B1761" s="7">
        <v>42666.0</v>
      </c>
      <c r="C1761" s="7">
        <f t="shared" si="1"/>
        <v>42666</v>
      </c>
      <c r="D1761" s="1" t="str">
        <f t="array" ref="D1761">IF(ISBLANK(XLOOKUP(D$3,daily_items,XLOOKUP($C1761,daily_dates,big_daily_table))),NA(),XLOOKUP(D$3,daily_items,XLOOKUP($C1761,daily_dates,big_daily_table)))</f>
        <v>#N/A</v>
      </c>
      <c r="E1761" s="1" t="str">
        <f t="array" ref="E1761">IF(ISBLANK(XLOOKUP(E$3,daily_items,XLOOKUP($C1761,daily_dates,big_daily_table))),NA(),XLOOKUP(E$3,daily_items,XLOOKUP($C1761,daily_dates,big_daily_table)))</f>
        <v>#N/A</v>
      </c>
    </row>
    <row r="1762" ht="14.25" customHeight="1">
      <c r="B1762" s="7">
        <v>42667.0</v>
      </c>
      <c r="C1762" s="7">
        <f t="shared" si="1"/>
        <v>42666</v>
      </c>
      <c r="D1762" s="1" t="str">
        <f t="array" ref="D1762">IF(ISBLANK(XLOOKUP(D$3,daily_items,XLOOKUP($C1762,daily_dates,big_daily_table))),NA(),XLOOKUP(D$3,daily_items,XLOOKUP($C1762,daily_dates,big_daily_table)))</f>
        <v>#N/A</v>
      </c>
      <c r="E1762" s="1" t="str">
        <f t="array" ref="E1762">IF(ISBLANK(XLOOKUP(E$3,daily_items,XLOOKUP($C1762,daily_dates,big_daily_table))),NA(),XLOOKUP(E$3,daily_items,XLOOKUP($C1762,daily_dates,big_daily_table)))</f>
        <v>#N/A</v>
      </c>
    </row>
    <row r="1763" ht="14.25" customHeight="1">
      <c r="B1763" s="7">
        <v>42668.0</v>
      </c>
      <c r="C1763" s="7">
        <f t="shared" si="1"/>
        <v>42666</v>
      </c>
      <c r="D1763" s="1" t="str">
        <f t="array" ref="D1763">IF(ISBLANK(XLOOKUP(D$3,daily_items,XLOOKUP($C1763,daily_dates,big_daily_table))),NA(),XLOOKUP(D$3,daily_items,XLOOKUP($C1763,daily_dates,big_daily_table)))</f>
        <v>#N/A</v>
      </c>
      <c r="E1763" s="1" t="str">
        <f t="array" ref="E1763">IF(ISBLANK(XLOOKUP(E$3,daily_items,XLOOKUP($C1763,daily_dates,big_daily_table))),NA(),XLOOKUP(E$3,daily_items,XLOOKUP($C1763,daily_dates,big_daily_table)))</f>
        <v>#N/A</v>
      </c>
    </row>
    <row r="1764" ht="14.25" customHeight="1">
      <c r="B1764" s="7">
        <v>42669.0</v>
      </c>
      <c r="C1764" s="7">
        <f t="shared" si="1"/>
        <v>42666</v>
      </c>
      <c r="D1764" s="1" t="str">
        <f t="array" ref="D1764">IF(ISBLANK(XLOOKUP(D$3,daily_items,XLOOKUP($C1764,daily_dates,big_daily_table))),NA(),XLOOKUP(D$3,daily_items,XLOOKUP($C1764,daily_dates,big_daily_table)))</f>
        <v>#N/A</v>
      </c>
      <c r="E1764" s="1" t="str">
        <f t="array" ref="E1764">IF(ISBLANK(XLOOKUP(E$3,daily_items,XLOOKUP($C1764,daily_dates,big_daily_table))),NA(),XLOOKUP(E$3,daily_items,XLOOKUP($C1764,daily_dates,big_daily_table)))</f>
        <v>#N/A</v>
      </c>
    </row>
    <row r="1765" ht="14.25" customHeight="1">
      <c r="B1765" s="7">
        <v>42670.0</v>
      </c>
      <c r="C1765" s="7">
        <f t="shared" si="1"/>
        <v>42666</v>
      </c>
      <c r="D1765" s="1" t="str">
        <f t="array" ref="D1765">IF(ISBLANK(XLOOKUP(D$3,daily_items,XLOOKUP($C1765,daily_dates,big_daily_table))),NA(),XLOOKUP(D$3,daily_items,XLOOKUP($C1765,daily_dates,big_daily_table)))</f>
        <v>#N/A</v>
      </c>
      <c r="E1765" s="1" t="str">
        <f t="array" ref="E1765">IF(ISBLANK(XLOOKUP(E$3,daily_items,XLOOKUP($C1765,daily_dates,big_daily_table))),NA(),XLOOKUP(E$3,daily_items,XLOOKUP($C1765,daily_dates,big_daily_table)))</f>
        <v>#N/A</v>
      </c>
    </row>
    <row r="1766" ht="14.25" customHeight="1">
      <c r="B1766" s="7">
        <v>42671.0</v>
      </c>
      <c r="C1766" s="7">
        <f t="shared" si="1"/>
        <v>42666</v>
      </c>
      <c r="D1766" s="1" t="str">
        <f t="array" ref="D1766">IF(ISBLANK(XLOOKUP(D$3,daily_items,XLOOKUP($C1766,daily_dates,big_daily_table))),NA(),XLOOKUP(D$3,daily_items,XLOOKUP($C1766,daily_dates,big_daily_table)))</f>
        <v>#N/A</v>
      </c>
      <c r="E1766" s="1" t="str">
        <f t="array" ref="E1766">IF(ISBLANK(XLOOKUP(E$3,daily_items,XLOOKUP($C1766,daily_dates,big_daily_table))),NA(),XLOOKUP(E$3,daily_items,XLOOKUP($C1766,daily_dates,big_daily_table)))</f>
        <v>#N/A</v>
      </c>
    </row>
    <row r="1767" ht="14.25" customHeight="1">
      <c r="B1767" s="7">
        <v>42672.0</v>
      </c>
      <c r="C1767" s="7">
        <f t="shared" si="1"/>
        <v>42666</v>
      </c>
      <c r="D1767" s="1" t="str">
        <f t="array" ref="D1767">IF(ISBLANK(XLOOKUP(D$3,daily_items,XLOOKUP($C1767,daily_dates,big_daily_table))),NA(),XLOOKUP(D$3,daily_items,XLOOKUP($C1767,daily_dates,big_daily_table)))</f>
        <v>#N/A</v>
      </c>
      <c r="E1767" s="1" t="str">
        <f t="array" ref="E1767">IF(ISBLANK(XLOOKUP(E$3,daily_items,XLOOKUP($C1767,daily_dates,big_daily_table))),NA(),XLOOKUP(E$3,daily_items,XLOOKUP($C1767,daily_dates,big_daily_table)))</f>
        <v>#N/A</v>
      </c>
    </row>
    <row r="1768" ht="14.25" customHeight="1">
      <c r="B1768" s="7">
        <v>42673.0</v>
      </c>
      <c r="C1768" s="7">
        <f t="shared" si="1"/>
        <v>42673</v>
      </c>
      <c r="D1768" s="1" t="str">
        <f t="array" ref="D1768">IF(ISBLANK(XLOOKUP(D$3,daily_items,XLOOKUP($C1768,daily_dates,big_daily_table))),NA(),XLOOKUP(D$3,daily_items,XLOOKUP($C1768,daily_dates,big_daily_table)))</f>
        <v>#N/A</v>
      </c>
      <c r="E1768" s="1" t="str">
        <f t="array" ref="E1768">IF(ISBLANK(XLOOKUP(E$3,daily_items,XLOOKUP($C1768,daily_dates,big_daily_table))),NA(),XLOOKUP(E$3,daily_items,XLOOKUP($C1768,daily_dates,big_daily_table)))</f>
        <v>#N/A</v>
      </c>
    </row>
    <row r="1769" ht="14.25" customHeight="1">
      <c r="B1769" s="7">
        <v>42674.0</v>
      </c>
      <c r="C1769" s="7">
        <f t="shared" si="1"/>
        <v>42673</v>
      </c>
      <c r="D1769" s="1" t="str">
        <f t="array" ref="D1769">IF(ISBLANK(XLOOKUP(D$3,daily_items,XLOOKUP($C1769,daily_dates,big_daily_table))),NA(),XLOOKUP(D$3,daily_items,XLOOKUP($C1769,daily_dates,big_daily_table)))</f>
        <v>#N/A</v>
      </c>
      <c r="E1769" s="1" t="str">
        <f t="array" ref="E1769">IF(ISBLANK(XLOOKUP(E$3,daily_items,XLOOKUP($C1769,daily_dates,big_daily_table))),NA(),XLOOKUP(E$3,daily_items,XLOOKUP($C1769,daily_dates,big_daily_table)))</f>
        <v>#N/A</v>
      </c>
    </row>
    <row r="1770" ht="14.25" customHeight="1">
      <c r="B1770" s="7">
        <v>42675.0</v>
      </c>
      <c r="C1770" s="7">
        <f t="shared" si="1"/>
        <v>42673</v>
      </c>
      <c r="D1770" s="1" t="str">
        <f t="array" ref="D1770">IF(ISBLANK(XLOOKUP(D$3,daily_items,XLOOKUP($C1770,daily_dates,big_daily_table))),NA(),XLOOKUP(D$3,daily_items,XLOOKUP($C1770,daily_dates,big_daily_table)))</f>
        <v>#N/A</v>
      </c>
      <c r="E1770" s="1" t="str">
        <f t="array" ref="E1770">IF(ISBLANK(XLOOKUP(E$3,daily_items,XLOOKUP($C1770,daily_dates,big_daily_table))),NA(),XLOOKUP(E$3,daily_items,XLOOKUP($C1770,daily_dates,big_daily_table)))</f>
        <v>#N/A</v>
      </c>
    </row>
    <row r="1771" ht="14.25" customHeight="1">
      <c r="B1771" s="7">
        <v>42676.0</v>
      </c>
      <c r="C1771" s="7">
        <f t="shared" si="1"/>
        <v>42673</v>
      </c>
      <c r="D1771" s="1" t="str">
        <f t="array" ref="D1771">IF(ISBLANK(XLOOKUP(D$3,daily_items,XLOOKUP($C1771,daily_dates,big_daily_table))),NA(),XLOOKUP(D$3,daily_items,XLOOKUP($C1771,daily_dates,big_daily_table)))</f>
        <v>#N/A</v>
      </c>
      <c r="E1771" s="1" t="str">
        <f t="array" ref="E1771">IF(ISBLANK(XLOOKUP(E$3,daily_items,XLOOKUP($C1771,daily_dates,big_daily_table))),NA(),XLOOKUP(E$3,daily_items,XLOOKUP($C1771,daily_dates,big_daily_table)))</f>
        <v>#N/A</v>
      </c>
    </row>
    <row r="1772" ht="14.25" customHeight="1">
      <c r="B1772" s="7">
        <v>42677.0</v>
      </c>
      <c r="C1772" s="7">
        <f t="shared" si="1"/>
        <v>42673</v>
      </c>
      <c r="D1772" s="1" t="str">
        <f t="array" ref="D1772">IF(ISBLANK(XLOOKUP(D$3,daily_items,XLOOKUP($C1772,daily_dates,big_daily_table))),NA(),XLOOKUP(D$3,daily_items,XLOOKUP($C1772,daily_dates,big_daily_table)))</f>
        <v>#N/A</v>
      </c>
      <c r="E1772" s="1" t="str">
        <f t="array" ref="E1772">IF(ISBLANK(XLOOKUP(E$3,daily_items,XLOOKUP($C1772,daily_dates,big_daily_table))),NA(),XLOOKUP(E$3,daily_items,XLOOKUP($C1772,daily_dates,big_daily_table)))</f>
        <v>#N/A</v>
      </c>
    </row>
    <row r="1773" ht="14.25" customHeight="1">
      <c r="B1773" s="7">
        <v>42678.0</v>
      </c>
      <c r="C1773" s="7">
        <f t="shared" si="1"/>
        <v>42673</v>
      </c>
      <c r="D1773" s="1" t="str">
        <f t="array" ref="D1773">IF(ISBLANK(XLOOKUP(D$3,daily_items,XLOOKUP($C1773,daily_dates,big_daily_table))),NA(),XLOOKUP(D$3,daily_items,XLOOKUP($C1773,daily_dates,big_daily_table)))</f>
        <v>#N/A</v>
      </c>
      <c r="E1773" s="1" t="str">
        <f t="array" ref="E1773">IF(ISBLANK(XLOOKUP(E$3,daily_items,XLOOKUP($C1773,daily_dates,big_daily_table))),NA(),XLOOKUP(E$3,daily_items,XLOOKUP($C1773,daily_dates,big_daily_table)))</f>
        <v>#N/A</v>
      </c>
    </row>
    <row r="1774" ht="14.25" customHeight="1">
      <c r="B1774" s="7">
        <v>42679.0</v>
      </c>
      <c r="C1774" s="7">
        <f t="shared" si="1"/>
        <v>42673</v>
      </c>
      <c r="D1774" s="1" t="str">
        <f t="array" ref="D1774">IF(ISBLANK(XLOOKUP(D$3,daily_items,XLOOKUP($C1774,daily_dates,big_daily_table))),NA(),XLOOKUP(D$3,daily_items,XLOOKUP($C1774,daily_dates,big_daily_table)))</f>
        <v>#N/A</v>
      </c>
      <c r="E1774" s="1" t="str">
        <f t="array" ref="E1774">IF(ISBLANK(XLOOKUP(E$3,daily_items,XLOOKUP($C1774,daily_dates,big_daily_table))),NA(),XLOOKUP(E$3,daily_items,XLOOKUP($C1774,daily_dates,big_daily_table)))</f>
        <v>#N/A</v>
      </c>
    </row>
    <row r="1775" ht="14.25" customHeight="1">
      <c r="B1775" s="7">
        <v>42680.0</v>
      </c>
      <c r="C1775" s="7">
        <f t="shared" si="1"/>
        <v>42680</v>
      </c>
      <c r="D1775" s="1" t="str">
        <f t="array" ref="D1775">IF(ISBLANK(XLOOKUP(D$3,daily_items,XLOOKUP($C1775,daily_dates,big_daily_table))),NA(),XLOOKUP(D$3,daily_items,XLOOKUP($C1775,daily_dates,big_daily_table)))</f>
        <v>#N/A</v>
      </c>
      <c r="E1775" s="1" t="str">
        <f t="array" ref="E1775">IF(ISBLANK(XLOOKUP(E$3,daily_items,XLOOKUP($C1775,daily_dates,big_daily_table))),NA(),XLOOKUP(E$3,daily_items,XLOOKUP($C1775,daily_dates,big_daily_table)))</f>
        <v>#N/A</v>
      </c>
    </row>
    <row r="1776" ht="14.25" customHeight="1">
      <c r="B1776" s="7">
        <v>42681.0</v>
      </c>
      <c r="C1776" s="7">
        <f t="shared" si="1"/>
        <v>42680</v>
      </c>
      <c r="D1776" s="1" t="str">
        <f t="array" ref="D1776">IF(ISBLANK(XLOOKUP(D$3,daily_items,XLOOKUP($C1776,daily_dates,big_daily_table))),NA(),XLOOKUP(D$3,daily_items,XLOOKUP($C1776,daily_dates,big_daily_table)))</f>
        <v>#N/A</v>
      </c>
      <c r="E1776" s="1" t="str">
        <f t="array" ref="E1776">IF(ISBLANK(XLOOKUP(E$3,daily_items,XLOOKUP($C1776,daily_dates,big_daily_table))),NA(),XLOOKUP(E$3,daily_items,XLOOKUP($C1776,daily_dates,big_daily_table)))</f>
        <v>#N/A</v>
      </c>
    </row>
    <row r="1777" ht="14.25" customHeight="1">
      <c r="B1777" s="7">
        <v>42682.0</v>
      </c>
      <c r="C1777" s="7">
        <f t="shared" si="1"/>
        <v>42680</v>
      </c>
      <c r="D1777" s="1" t="str">
        <f t="array" ref="D1777">IF(ISBLANK(XLOOKUP(D$3,daily_items,XLOOKUP($C1777,daily_dates,big_daily_table))),NA(),XLOOKUP(D$3,daily_items,XLOOKUP($C1777,daily_dates,big_daily_table)))</f>
        <v>#N/A</v>
      </c>
      <c r="E1777" s="1" t="str">
        <f t="array" ref="E1777">IF(ISBLANK(XLOOKUP(E$3,daily_items,XLOOKUP($C1777,daily_dates,big_daily_table))),NA(),XLOOKUP(E$3,daily_items,XLOOKUP($C1777,daily_dates,big_daily_table)))</f>
        <v>#N/A</v>
      </c>
    </row>
    <row r="1778" ht="14.25" customHeight="1">
      <c r="B1778" s="7">
        <v>42683.0</v>
      </c>
      <c r="C1778" s="7">
        <f t="shared" si="1"/>
        <v>42680</v>
      </c>
      <c r="D1778" s="1" t="str">
        <f t="array" ref="D1778">IF(ISBLANK(XLOOKUP(D$3,daily_items,XLOOKUP($C1778,daily_dates,big_daily_table))),NA(),XLOOKUP(D$3,daily_items,XLOOKUP($C1778,daily_dates,big_daily_table)))</f>
        <v>#N/A</v>
      </c>
      <c r="E1778" s="1" t="str">
        <f t="array" ref="E1778">IF(ISBLANK(XLOOKUP(E$3,daily_items,XLOOKUP($C1778,daily_dates,big_daily_table))),NA(),XLOOKUP(E$3,daily_items,XLOOKUP($C1778,daily_dates,big_daily_table)))</f>
        <v>#N/A</v>
      </c>
    </row>
    <row r="1779" ht="14.25" customHeight="1">
      <c r="B1779" s="7">
        <v>42684.0</v>
      </c>
      <c r="C1779" s="7">
        <f t="shared" si="1"/>
        <v>42680</v>
      </c>
      <c r="D1779" s="1" t="str">
        <f t="array" ref="D1779">IF(ISBLANK(XLOOKUP(D$3,daily_items,XLOOKUP($C1779,daily_dates,big_daily_table))),NA(),XLOOKUP(D$3,daily_items,XLOOKUP($C1779,daily_dates,big_daily_table)))</f>
        <v>#N/A</v>
      </c>
      <c r="E1779" s="1" t="str">
        <f t="array" ref="E1779">IF(ISBLANK(XLOOKUP(E$3,daily_items,XLOOKUP($C1779,daily_dates,big_daily_table))),NA(),XLOOKUP(E$3,daily_items,XLOOKUP($C1779,daily_dates,big_daily_table)))</f>
        <v>#N/A</v>
      </c>
    </row>
    <row r="1780" ht="14.25" customHeight="1">
      <c r="B1780" s="7">
        <v>42685.0</v>
      </c>
      <c r="C1780" s="7">
        <f t="shared" si="1"/>
        <v>42680</v>
      </c>
      <c r="D1780" s="1" t="str">
        <f t="array" ref="D1780">IF(ISBLANK(XLOOKUP(D$3,daily_items,XLOOKUP($C1780,daily_dates,big_daily_table))),NA(),XLOOKUP(D$3,daily_items,XLOOKUP($C1780,daily_dates,big_daily_table)))</f>
        <v>#N/A</v>
      </c>
      <c r="E1780" s="1" t="str">
        <f t="array" ref="E1780">IF(ISBLANK(XLOOKUP(E$3,daily_items,XLOOKUP($C1780,daily_dates,big_daily_table))),NA(),XLOOKUP(E$3,daily_items,XLOOKUP($C1780,daily_dates,big_daily_table)))</f>
        <v>#N/A</v>
      </c>
    </row>
    <row r="1781" ht="14.25" customHeight="1">
      <c r="B1781" s="7">
        <v>42686.0</v>
      </c>
      <c r="C1781" s="7">
        <f t="shared" si="1"/>
        <v>42680</v>
      </c>
      <c r="D1781" s="1" t="str">
        <f t="array" ref="D1781">IF(ISBLANK(XLOOKUP(D$3,daily_items,XLOOKUP($C1781,daily_dates,big_daily_table))),NA(),XLOOKUP(D$3,daily_items,XLOOKUP($C1781,daily_dates,big_daily_table)))</f>
        <v>#N/A</v>
      </c>
      <c r="E1781" s="1" t="str">
        <f t="array" ref="E1781">IF(ISBLANK(XLOOKUP(E$3,daily_items,XLOOKUP($C1781,daily_dates,big_daily_table))),NA(),XLOOKUP(E$3,daily_items,XLOOKUP($C1781,daily_dates,big_daily_table)))</f>
        <v>#N/A</v>
      </c>
    </row>
    <row r="1782" ht="14.25" customHeight="1">
      <c r="B1782" s="7">
        <v>42687.0</v>
      </c>
      <c r="C1782" s="7">
        <f t="shared" si="1"/>
        <v>42687</v>
      </c>
      <c r="D1782" s="1" t="str">
        <f t="array" ref="D1782">IF(ISBLANK(XLOOKUP(D$3,daily_items,XLOOKUP($C1782,daily_dates,big_daily_table))),NA(),XLOOKUP(D$3,daily_items,XLOOKUP($C1782,daily_dates,big_daily_table)))</f>
        <v>#N/A</v>
      </c>
      <c r="E1782" s="1" t="str">
        <f t="array" ref="E1782">IF(ISBLANK(XLOOKUP(E$3,daily_items,XLOOKUP($C1782,daily_dates,big_daily_table))),NA(),XLOOKUP(E$3,daily_items,XLOOKUP($C1782,daily_dates,big_daily_table)))</f>
        <v>#N/A</v>
      </c>
    </row>
    <row r="1783" ht="14.25" customHeight="1">
      <c r="B1783" s="7">
        <v>42688.0</v>
      </c>
      <c r="C1783" s="7">
        <f t="shared" si="1"/>
        <v>42687</v>
      </c>
      <c r="D1783" s="1" t="str">
        <f t="array" ref="D1783">IF(ISBLANK(XLOOKUP(D$3,daily_items,XLOOKUP($C1783,daily_dates,big_daily_table))),NA(),XLOOKUP(D$3,daily_items,XLOOKUP($C1783,daily_dates,big_daily_table)))</f>
        <v>#N/A</v>
      </c>
      <c r="E1783" s="1" t="str">
        <f t="array" ref="E1783">IF(ISBLANK(XLOOKUP(E$3,daily_items,XLOOKUP($C1783,daily_dates,big_daily_table))),NA(),XLOOKUP(E$3,daily_items,XLOOKUP($C1783,daily_dates,big_daily_table)))</f>
        <v>#N/A</v>
      </c>
    </row>
    <row r="1784" ht="14.25" customHeight="1">
      <c r="B1784" s="7">
        <v>42689.0</v>
      </c>
      <c r="C1784" s="7">
        <f t="shared" si="1"/>
        <v>42687</v>
      </c>
      <c r="D1784" s="1" t="str">
        <f t="array" ref="D1784">IF(ISBLANK(XLOOKUP(D$3,daily_items,XLOOKUP($C1784,daily_dates,big_daily_table))),NA(),XLOOKUP(D$3,daily_items,XLOOKUP($C1784,daily_dates,big_daily_table)))</f>
        <v>#N/A</v>
      </c>
      <c r="E1784" s="1" t="str">
        <f t="array" ref="E1784">IF(ISBLANK(XLOOKUP(E$3,daily_items,XLOOKUP($C1784,daily_dates,big_daily_table))),NA(),XLOOKUP(E$3,daily_items,XLOOKUP($C1784,daily_dates,big_daily_table)))</f>
        <v>#N/A</v>
      </c>
    </row>
    <row r="1785" ht="14.25" customHeight="1">
      <c r="B1785" s="7">
        <v>42690.0</v>
      </c>
      <c r="C1785" s="7">
        <f t="shared" si="1"/>
        <v>42687</v>
      </c>
      <c r="D1785" s="1" t="str">
        <f t="array" ref="D1785">IF(ISBLANK(XLOOKUP(D$3,daily_items,XLOOKUP($C1785,daily_dates,big_daily_table))),NA(),XLOOKUP(D$3,daily_items,XLOOKUP($C1785,daily_dates,big_daily_table)))</f>
        <v>#N/A</v>
      </c>
      <c r="E1785" s="1" t="str">
        <f t="array" ref="E1785">IF(ISBLANK(XLOOKUP(E$3,daily_items,XLOOKUP($C1785,daily_dates,big_daily_table))),NA(),XLOOKUP(E$3,daily_items,XLOOKUP($C1785,daily_dates,big_daily_table)))</f>
        <v>#N/A</v>
      </c>
    </row>
    <row r="1786" ht="14.25" customHeight="1">
      <c r="B1786" s="7">
        <v>42691.0</v>
      </c>
      <c r="C1786" s="7">
        <f t="shared" si="1"/>
        <v>42687</v>
      </c>
      <c r="D1786" s="1" t="str">
        <f t="array" ref="D1786">IF(ISBLANK(XLOOKUP(D$3,daily_items,XLOOKUP($C1786,daily_dates,big_daily_table))),NA(),XLOOKUP(D$3,daily_items,XLOOKUP($C1786,daily_dates,big_daily_table)))</f>
        <v>#N/A</v>
      </c>
      <c r="E1786" s="1" t="str">
        <f t="array" ref="E1786">IF(ISBLANK(XLOOKUP(E$3,daily_items,XLOOKUP($C1786,daily_dates,big_daily_table))),NA(),XLOOKUP(E$3,daily_items,XLOOKUP($C1786,daily_dates,big_daily_table)))</f>
        <v>#N/A</v>
      </c>
    </row>
    <row r="1787" ht="14.25" customHeight="1">
      <c r="B1787" s="7">
        <v>42692.0</v>
      </c>
      <c r="C1787" s="7">
        <f t="shared" si="1"/>
        <v>42687</v>
      </c>
      <c r="D1787" s="1" t="str">
        <f t="array" ref="D1787">IF(ISBLANK(XLOOKUP(D$3,daily_items,XLOOKUP($C1787,daily_dates,big_daily_table))),NA(),XLOOKUP(D$3,daily_items,XLOOKUP($C1787,daily_dates,big_daily_table)))</f>
        <v>#N/A</v>
      </c>
      <c r="E1787" s="1" t="str">
        <f t="array" ref="E1787">IF(ISBLANK(XLOOKUP(E$3,daily_items,XLOOKUP($C1787,daily_dates,big_daily_table))),NA(),XLOOKUP(E$3,daily_items,XLOOKUP($C1787,daily_dates,big_daily_table)))</f>
        <v>#N/A</v>
      </c>
    </row>
    <row r="1788" ht="14.25" customHeight="1">
      <c r="B1788" s="7">
        <v>42693.0</v>
      </c>
      <c r="C1788" s="7">
        <f t="shared" si="1"/>
        <v>42687</v>
      </c>
      <c r="D1788" s="1" t="str">
        <f t="array" ref="D1788">IF(ISBLANK(XLOOKUP(D$3,daily_items,XLOOKUP($C1788,daily_dates,big_daily_table))),NA(),XLOOKUP(D$3,daily_items,XLOOKUP($C1788,daily_dates,big_daily_table)))</f>
        <v>#N/A</v>
      </c>
      <c r="E1788" s="1" t="str">
        <f t="array" ref="E1788">IF(ISBLANK(XLOOKUP(E$3,daily_items,XLOOKUP($C1788,daily_dates,big_daily_table))),NA(),XLOOKUP(E$3,daily_items,XLOOKUP($C1788,daily_dates,big_daily_table)))</f>
        <v>#N/A</v>
      </c>
    </row>
    <row r="1789" ht="14.25" customHeight="1">
      <c r="B1789" s="7">
        <v>42694.0</v>
      </c>
      <c r="C1789" s="7">
        <f t="shared" si="1"/>
        <v>42694</v>
      </c>
      <c r="D1789" s="1" t="str">
        <f t="array" ref="D1789">IF(ISBLANK(XLOOKUP(D$3,daily_items,XLOOKUP($C1789,daily_dates,big_daily_table))),NA(),XLOOKUP(D$3,daily_items,XLOOKUP($C1789,daily_dates,big_daily_table)))</f>
        <v>#N/A</v>
      </c>
      <c r="E1789" s="1" t="str">
        <f t="array" ref="E1789">IF(ISBLANK(XLOOKUP(E$3,daily_items,XLOOKUP($C1789,daily_dates,big_daily_table))),NA(),XLOOKUP(E$3,daily_items,XLOOKUP($C1789,daily_dates,big_daily_table)))</f>
        <v>#N/A</v>
      </c>
    </row>
    <row r="1790" ht="14.25" customHeight="1">
      <c r="B1790" s="7">
        <v>42695.0</v>
      </c>
      <c r="C1790" s="7">
        <f t="shared" si="1"/>
        <v>42694</v>
      </c>
      <c r="D1790" s="1" t="str">
        <f t="array" ref="D1790">IF(ISBLANK(XLOOKUP(D$3,daily_items,XLOOKUP($C1790,daily_dates,big_daily_table))),NA(),XLOOKUP(D$3,daily_items,XLOOKUP($C1790,daily_dates,big_daily_table)))</f>
        <v>#N/A</v>
      </c>
      <c r="E1790" s="1" t="str">
        <f t="array" ref="E1790">IF(ISBLANK(XLOOKUP(E$3,daily_items,XLOOKUP($C1790,daily_dates,big_daily_table))),NA(),XLOOKUP(E$3,daily_items,XLOOKUP($C1790,daily_dates,big_daily_table)))</f>
        <v>#N/A</v>
      </c>
    </row>
    <row r="1791" ht="14.25" customHeight="1">
      <c r="B1791" s="7">
        <v>42696.0</v>
      </c>
      <c r="C1791" s="7">
        <f t="shared" si="1"/>
        <v>42694</v>
      </c>
      <c r="D1791" s="1" t="str">
        <f t="array" ref="D1791">IF(ISBLANK(XLOOKUP(D$3,daily_items,XLOOKUP($C1791,daily_dates,big_daily_table))),NA(),XLOOKUP(D$3,daily_items,XLOOKUP($C1791,daily_dates,big_daily_table)))</f>
        <v>#N/A</v>
      </c>
      <c r="E1791" s="1" t="str">
        <f t="array" ref="E1791">IF(ISBLANK(XLOOKUP(E$3,daily_items,XLOOKUP($C1791,daily_dates,big_daily_table))),NA(),XLOOKUP(E$3,daily_items,XLOOKUP($C1791,daily_dates,big_daily_table)))</f>
        <v>#N/A</v>
      </c>
    </row>
    <row r="1792" ht="14.25" customHeight="1">
      <c r="B1792" s="7">
        <v>42697.0</v>
      </c>
      <c r="C1792" s="7">
        <f t="shared" si="1"/>
        <v>42694</v>
      </c>
      <c r="D1792" s="1" t="str">
        <f t="array" ref="D1792">IF(ISBLANK(XLOOKUP(D$3,daily_items,XLOOKUP($C1792,daily_dates,big_daily_table))),NA(),XLOOKUP(D$3,daily_items,XLOOKUP($C1792,daily_dates,big_daily_table)))</f>
        <v>#N/A</v>
      </c>
      <c r="E1792" s="1" t="str">
        <f t="array" ref="E1792">IF(ISBLANK(XLOOKUP(E$3,daily_items,XLOOKUP($C1792,daily_dates,big_daily_table))),NA(),XLOOKUP(E$3,daily_items,XLOOKUP($C1792,daily_dates,big_daily_table)))</f>
        <v>#N/A</v>
      </c>
    </row>
    <row r="1793" ht="14.25" customHeight="1">
      <c r="B1793" s="7">
        <v>42698.0</v>
      </c>
      <c r="C1793" s="7">
        <f t="shared" si="1"/>
        <v>42694</v>
      </c>
      <c r="D1793" s="1" t="str">
        <f t="array" ref="D1793">IF(ISBLANK(XLOOKUP(D$3,daily_items,XLOOKUP($C1793,daily_dates,big_daily_table))),NA(),XLOOKUP(D$3,daily_items,XLOOKUP($C1793,daily_dates,big_daily_table)))</f>
        <v>#N/A</v>
      </c>
      <c r="E1793" s="1" t="str">
        <f t="array" ref="E1793">IF(ISBLANK(XLOOKUP(E$3,daily_items,XLOOKUP($C1793,daily_dates,big_daily_table))),NA(),XLOOKUP(E$3,daily_items,XLOOKUP($C1793,daily_dates,big_daily_table)))</f>
        <v>#N/A</v>
      </c>
    </row>
    <row r="1794" ht="14.25" customHeight="1">
      <c r="B1794" s="7">
        <v>42699.0</v>
      </c>
      <c r="C1794" s="7">
        <f t="shared" si="1"/>
        <v>42694</v>
      </c>
      <c r="D1794" s="1" t="str">
        <f t="array" ref="D1794">IF(ISBLANK(XLOOKUP(D$3,daily_items,XLOOKUP($C1794,daily_dates,big_daily_table))),NA(),XLOOKUP(D$3,daily_items,XLOOKUP($C1794,daily_dates,big_daily_table)))</f>
        <v>#N/A</v>
      </c>
      <c r="E1794" s="1" t="str">
        <f t="array" ref="E1794">IF(ISBLANK(XLOOKUP(E$3,daily_items,XLOOKUP($C1794,daily_dates,big_daily_table))),NA(),XLOOKUP(E$3,daily_items,XLOOKUP($C1794,daily_dates,big_daily_table)))</f>
        <v>#N/A</v>
      </c>
    </row>
    <row r="1795" ht="14.25" customHeight="1">
      <c r="B1795" s="7">
        <v>42700.0</v>
      </c>
      <c r="C1795" s="7">
        <f t="shared" si="1"/>
        <v>42694</v>
      </c>
      <c r="D1795" s="1" t="str">
        <f t="array" ref="D1795">IF(ISBLANK(XLOOKUP(D$3,daily_items,XLOOKUP($C1795,daily_dates,big_daily_table))),NA(),XLOOKUP(D$3,daily_items,XLOOKUP($C1795,daily_dates,big_daily_table)))</f>
        <v>#N/A</v>
      </c>
      <c r="E1795" s="1" t="str">
        <f t="array" ref="E1795">IF(ISBLANK(XLOOKUP(E$3,daily_items,XLOOKUP($C1795,daily_dates,big_daily_table))),NA(),XLOOKUP(E$3,daily_items,XLOOKUP($C1795,daily_dates,big_daily_table)))</f>
        <v>#N/A</v>
      </c>
    </row>
    <row r="1796" ht="14.25" customHeight="1">
      <c r="B1796" s="7">
        <v>42701.0</v>
      </c>
      <c r="C1796" s="7">
        <f t="shared" si="1"/>
        <v>42701</v>
      </c>
      <c r="D1796" s="1" t="str">
        <f t="array" ref="D1796">IF(ISBLANK(XLOOKUP(D$3,daily_items,XLOOKUP($C1796,daily_dates,big_daily_table))),NA(),XLOOKUP(D$3,daily_items,XLOOKUP($C1796,daily_dates,big_daily_table)))</f>
        <v>#N/A</v>
      </c>
      <c r="E1796" s="1" t="str">
        <f t="array" ref="E1796">IF(ISBLANK(XLOOKUP(E$3,daily_items,XLOOKUP($C1796,daily_dates,big_daily_table))),NA(),XLOOKUP(E$3,daily_items,XLOOKUP($C1796,daily_dates,big_daily_table)))</f>
        <v>#N/A</v>
      </c>
    </row>
    <row r="1797" ht="14.25" customHeight="1">
      <c r="B1797" s="7">
        <v>42702.0</v>
      </c>
      <c r="C1797" s="7">
        <f t="shared" si="1"/>
        <v>42701</v>
      </c>
      <c r="D1797" s="1" t="str">
        <f t="array" ref="D1797">IF(ISBLANK(XLOOKUP(D$3,daily_items,XLOOKUP($C1797,daily_dates,big_daily_table))),NA(),XLOOKUP(D$3,daily_items,XLOOKUP($C1797,daily_dates,big_daily_table)))</f>
        <v>#N/A</v>
      </c>
      <c r="E1797" s="1" t="str">
        <f t="array" ref="E1797">IF(ISBLANK(XLOOKUP(E$3,daily_items,XLOOKUP($C1797,daily_dates,big_daily_table))),NA(),XLOOKUP(E$3,daily_items,XLOOKUP($C1797,daily_dates,big_daily_table)))</f>
        <v>#N/A</v>
      </c>
    </row>
    <row r="1798" ht="14.25" customHeight="1">
      <c r="B1798" s="7">
        <v>42703.0</v>
      </c>
      <c r="C1798" s="7">
        <f t="shared" si="1"/>
        <v>42701</v>
      </c>
      <c r="D1798" s="1" t="str">
        <f t="array" ref="D1798">IF(ISBLANK(XLOOKUP(D$3,daily_items,XLOOKUP($C1798,daily_dates,big_daily_table))),NA(),XLOOKUP(D$3,daily_items,XLOOKUP($C1798,daily_dates,big_daily_table)))</f>
        <v>#N/A</v>
      </c>
      <c r="E1798" s="1" t="str">
        <f t="array" ref="E1798">IF(ISBLANK(XLOOKUP(E$3,daily_items,XLOOKUP($C1798,daily_dates,big_daily_table))),NA(),XLOOKUP(E$3,daily_items,XLOOKUP($C1798,daily_dates,big_daily_table)))</f>
        <v>#N/A</v>
      </c>
    </row>
    <row r="1799" ht="14.25" customHeight="1">
      <c r="B1799" s="7">
        <v>42704.0</v>
      </c>
      <c r="C1799" s="7">
        <f t="shared" si="1"/>
        <v>42701</v>
      </c>
      <c r="D1799" s="1" t="str">
        <f t="array" ref="D1799">IF(ISBLANK(XLOOKUP(D$3,daily_items,XLOOKUP($C1799,daily_dates,big_daily_table))),NA(),XLOOKUP(D$3,daily_items,XLOOKUP($C1799,daily_dates,big_daily_table)))</f>
        <v>#N/A</v>
      </c>
      <c r="E1799" s="1" t="str">
        <f t="array" ref="E1799">IF(ISBLANK(XLOOKUP(E$3,daily_items,XLOOKUP($C1799,daily_dates,big_daily_table))),NA(),XLOOKUP(E$3,daily_items,XLOOKUP($C1799,daily_dates,big_daily_table)))</f>
        <v>#N/A</v>
      </c>
    </row>
    <row r="1800" ht="14.25" customHeight="1">
      <c r="B1800" s="7">
        <v>42705.0</v>
      </c>
      <c r="C1800" s="7">
        <f t="shared" si="1"/>
        <v>42701</v>
      </c>
      <c r="D1800" s="1" t="str">
        <f t="array" ref="D1800">IF(ISBLANK(XLOOKUP(D$3,daily_items,XLOOKUP($C1800,daily_dates,big_daily_table))),NA(),XLOOKUP(D$3,daily_items,XLOOKUP($C1800,daily_dates,big_daily_table)))</f>
        <v>#N/A</v>
      </c>
      <c r="E1800" s="1" t="str">
        <f t="array" ref="E1800">IF(ISBLANK(XLOOKUP(E$3,daily_items,XLOOKUP($C1800,daily_dates,big_daily_table))),NA(),XLOOKUP(E$3,daily_items,XLOOKUP($C1800,daily_dates,big_daily_table)))</f>
        <v>#N/A</v>
      </c>
    </row>
    <row r="1801" ht="14.25" customHeight="1">
      <c r="B1801" s="7">
        <v>42706.0</v>
      </c>
      <c r="C1801" s="7">
        <f t="shared" si="1"/>
        <v>42701</v>
      </c>
      <c r="D1801" s="1" t="str">
        <f t="array" ref="D1801">IF(ISBLANK(XLOOKUP(D$3,daily_items,XLOOKUP($C1801,daily_dates,big_daily_table))),NA(),XLOOKUP(D$3,daily_items,XLOOKUP($C1801,daily_dates,big_daily_table)))</f>
        <v>#N/A</v>
      </c>
      <c r="E1801" s="1" t="str">
        <f t="array" ref="E1801">IF(ISBLANK(XLOOKUP(E$3,daily_items,XLOOKUP($C1801,daily_dates,big_daily_table))),NA(),XLOOKUP(E$3,daily_items,XLOOKUP($C1801,daily_dates,big_daily_table)))</f>
        <v>#N/A</v>
      </c>
    </row>
    <row r="1802" ht="14.25" customHeight="1">
      <c r="B1802" s="7">
        <v>42707.0</v>
      </c>
      <c r="C1802" s="7">
        <f t="shared" si="1"/>
        <v>42701</v>
      </c>
      <c r="D1802" s="1" t="str">
        <f t="array" ref="D1802">IF(ISBLANK(XLOOKUP(D$3,daily_items,XLOOKUP($C1802,daily_dates,big_daily_table))),NA(),XLOOKUP(D$3,daily_items,XLOOKUP($C1802,daily_dates,big_daily_table)))</f>
        <v>#N/A</v>
      </c>
      <c r="E1802" s="1" t="str">
        <f t="array" ref="E1802">IF(ISBLANK(XLOOKUP(E$3,daily_items,XLOOKUP($C1802,daily_dates,big_daily_table))),NA(),XLOOKUP(E$3,daily_items,XLOOKUP($C1802,daily_dates,big_daily_table)))</f>
        <v>#N/A</v>
      </c>
    </row>
    <row r="1803" ht="14.25" customHeight="1">
      <c r="B1803" s="7">
        <v>42708.0</v>
      </c>
      <c r="C1803" s="7">
        <f t="shared" si="1"/>
        <v>42708</v>
      </c>
      <c r="D1803" s="1" t="str">
        <f t="array" ref="D1803">IF(ISBLANK(XLOOKUP(D$3,daily_items,XLOOKUP($C1803,daily_dates,big_daily_table))),NA(),XLOOKUP(D$3,daily_items,XLOOKUP($C1803,daily_dates,big_daily_table)))</f>
        <v>#N/A</v>
      </c>
      <c r="E1803" s="1" t="str">
        <f t="array" ref="E1803">IF(ISBLANK(XLOOKUP(E$3,daily_items,XLOOKUP($C1803,daily_dates,big_daily_table))),NA(),XLOOKUP(E$3,daily_items,XLOOKUP($C1803,daily_dates,big_daily_table)))</f>
        <v>#N/A</v>
      </c>
    </row>
    <row r="1804" ht="14.25" customHeight="1">
      <c r="B1804" s="7">
        <v>42709.0</v>
      </c>
      <c r="C1804" s="7">
        <f t="shared" si="1"/>
        <v>42708</v>
      </c>
      <c r="D1804" s="1" t="str">
        <f t="array" ref="D1804">IF(ISBLANK(XLOOKUP(D$3,daily_items,XLOOKUP($C1804,daily_dates,big_daily_table))),NA(),XLOOKUP(D$3,daily_items,XLOOKUP($C1804,daily_dates,big_daily_table)))</f>
        <v>#N/A</v>
      </c>
      <c r="E1804" s="1" t="str">
        <f t="array" ref="E1804">IF(ISBLANK(XLOOKUP(E$3,daily_items,XLOOKUP($C1804,daily_dates,big_daily_table))),NA(),XLOOKUP(E$3,daily_items,XLOOKUP($C1804,daily_dates,big_daily_table)))</f>
        <v>#N/A</v>
      </c>
    </row>
    <row r="1805" ht="14.25" customHeight="1">
      <c r="B1805" s="7">
        <v>42710.0</v>
      </c>
      <c r="C1805" s="7">
        <f t="shared" si="1"/>
        <v>42708</v>
      </c>
      <c r="D1805" s="1" t="str">
        <f t="array" ref="D1805">IF(ISBLANK(XLOOKUP(D$3,daily_items,XLOOKUP($C1805,daily_dates,big_daily_table))),NA(),XLOOKUP(D$3,daily_items,XLOOKUP($C1805,daily_dates,big_daily_table)))</f>
        <v>#N/A</v>
      </c>
      <c r="E1805" s="1" t="str">
        <f t="array" ref="E1805">IF(ISBLANK(XLOOKUP(E$3,daily_items,XLOOKUP($C1805,daily_dates,big_daily_table))),NA(),XLOOKUP(E$3,daily_items,XLOOKUP($C1805,daily_dates,big_daily_table)))</f>
        <v>#N/A</v>
      </c>
    </row>
    <row r="1806" ht="14.25" customHeight="1">
      <c r="B1806" s="7">
        <v>42711.0</v>
      </c>
      <c r="C1806" s="7">
        <f t="shared" si="1"/>
        <v>42708</v>
      </c>
      <c r="D1806" s="1" t="str">
        <f t="array" ref="D1806">IF(ISBLANK(XLOOKUP(D$3,daily_items,XLOOKUP($C1806,daily_dates,big_daily_table))),NA(),XLOOKUP(D$3,daily_items,XLOOKUP($C1806,daily_dates,big_daily_table)))</f>
        <v>#N/A</v>
      </c>
      <c r="E1806" s="1" t="str">
        <f t="array" ref="E1806">IF(ISBLANK(XLOOKUP(E$3,daily_items,XLOOKUP($C1806,daily_dates,big_daily_table))),NA(),XLOOKUP(E$3,daily_items,XLOOKUP($C1806,daily_dates,big_daily_table)))</f>
        <v>#N/A</v>
      </c>
    </row>
    <row r="1807" ht="14.25" customHeight="1">
      <c r="B1807" s="7">
        <v>42712.0</v>
      </c>
      <c r="C1807" s="7">
        <f t="shared" si="1"/>
        <v>42708</v>
      </c>
      <c r="D1807" s="1" t="str">
        <f t="array" ref="D1807">IF(ISBLANK(XLOOKUP(D$3,daily_items,XLOOKUP($C1807,daily_dates,big_daily_table))),NA(),XLOOKUP(D$3,daily_items,XLOOKUP($C1807,daily_dates,big_daily_table)))</f>
        <v>#N/A</v>
      </c>
      <c r="E1807" s="1" t="str">
        <f t="array" ref="E1807">IF(ISBLANK(XLOOKUP(E$3,daily_items,XLOOKUP($C1807,daily_dates,big_daily_table))),NA(),XLOOKUP(E$3,daily_items,XLOOKUP($C1807,daily_dates,big_daily_table)))</f>
        <v>#N/A</v>
      </c>
    </row>
    <row r="1808" ht="14.25" customHeight="1">
      <c r="B1808" s="7">
        <v>42713.0</v>
      </c>
      <c r="C1808" s="7">
        <f t="shared" si="1"/>
        <v>42708</v>
      </c>
      <c r="D1808" s="1" t="str">
        <f t="array" ref="D1808">IF(ISBLANK(XLOOKUP(D$3,daily_items,XLOOKUP($C1808,daily_dates,big_daily_table))),NA(),XLOOKUP(D$3,daily_items,XLOOKUP($C1808,daily_dates,big_daily_table)))</f>
        <v>#N/A</v>
      </c>
      <c r="E1808" s="1" t="str">
        <f t="array" ref="E1808">IF(ISBLANK(XLOOKUP(E$3,daily_items,XLOOKUP($C1808,daily_dates,big_daily_table))),NA(),XLOOKUP(E$3,daily_items,XLOOKUP($C1808,daily_dates,big_daily_table)))</f>
        <v>#N/A</v>
      </c>
    </row>
    <row r="1809" ht="14.25" customHeight="1">
      <c r="B1809" s="7">
        <v>42714.0</v>
      </c>
      <c r="C1809" s="7">
        <f t="shared" si="1"/>
        <v>42708</v>
      </c>
      <c r="D1809" s="1" t="str">
        <f t="array" ref="D1809">IF(ISBLANK(XLOOKUP(D$3,daily_items,XLOOKUP($C1809,daily_dates,big_daily_table))),NA(),XLOOKUP(D$3,daily_items,XLOOKUP($C1809,daily_dates,big_daily_table)))</f>
        <v>#N/A</v>
      </c>
      <c r="E1809" s="1" t="str">
        <f t="array" ref="E1809">IF(ISBLANK(XLOOKUP(E$3,daily_items,XLOOKUP($C1809,daily_dates,big_daily_table))),NA(),XLOOKUP(E$3,daily_items,XLOOKUP($C1809,daily_dates,big_daily_table)))</f>
        <v>#N/A</v>
      </c>
    </row>
    <row r="1810" ht="14.25" customHeight="1">
      <c r="B1810" s="7">
        <v>42715.0</v>
      </c>
      <c r="C1810" s="7">
        <f t="shared" si="1"/>
        <v>42715</v>
      </c>
      <c r="D1810" s="1" t="str">
        <f t="array" ref="D1810">IF(ISBLANK(XLOOKUP(D$3,daily_items,XLOOKUP($C1810,daily_dates,big_daily_table))),NA(),XLOOKUP(D$3,daily_items,XLOOKUP($C1810,daily_dates,big_daily_table)))</f>
        <v>#N/A</v>
      </c>
      <c r="E1810" s="1" t="str">
        <f t="array" ref="E1810">IF(ISBLANK(XLOOKUP(E$3,daily_items,XLOOKUP($C1810,daily_dates,big_daily_table))),NA(),XLOOKUP(E$3,daily_items,XLOOKUP($C1810,daily_dates,big_daily_table)))</f>
        <v>#N/A</v>
      </c>
    </row>
    <row r="1811" ht="14.25" customHeight="1">
      <c r="B1811" s="7">
        <v>42716.0</v>
      </c>
      <c r="C1811" s="7">
        <f t="shared" si="1"/>
        <v>42715</v>
      </c>
      <c r="D1811" s="1" t="str">
        <f t="array" ref="D1811">IF(ISBLANK(XLOOKUP(D$3,daily_items,XLOOKUP($C1811,daily_dates,big_daily_table))),NA(),XLOOKUP(D$3,daily_items,XLOOKUP($C1811,daily_dates,big_daily_table)))</f>
        <v>#N/A</v>
      </c>
      <c r="E1811" s="1" t="str">
        <f t="array" ref="E1811">IF(ISBLANK(XLOOKUP(E$3,daily_items,XLOOKUP($C1811,daily_dates,big_daily_table))),NA(),XLOOKUP(E$3,daily_items,XLOOKUP($C1811,daily_dates,big_daily_table)))</f>
        <v>#N/A</v>
      </c>
    </row>
    <row r="1812" ht="14.25" customHeight="1">
      <c r="B1812" s="7">
        <v>42717.0</v>
      </c>
      <c r="C1812" s="7">
        <f t="shared" si="1"/>
        <v>42715</v>
      </c>
      <c r="D1812" s="1" t="str">
        <f t="array" ref="D1812">IF(ISBLANK(XLOOKUP(D$3,daily_items,XLOOKUP($C1812,daily_dates,big_daily_table))),NA(),XLOOKUP(D$3,daily_items,XLOOKUP($C1812,daily_dates,big_daily_table)))</f>
        <v>#N/A</v>
      </c>
      <c r="E1812" s="1" t="str">
        <f t="array" ref="E1812">IF(ISBLANK(XLOOKUP(E$3,daily_items,XLOOKUP($C1812,daily_dates,big_daily_table))),NA(),XLOOKUP(E$3,daily_items,XLOOKUP($C1812,daily_dates,big_daily_table)))</f>
        <v>#N/A</v>
      </c>
    </row>
    <row r="1813" ht="14.25" customHeight="1">
      <c r="B1813" s="7">
        <v>42718.0</v>
      </c>
      <c r="C1813" s="7">
        <f t="shared" si="1"/>
        <v>42715</v>
      </c>
      <c r="D1813" s="1" t="str">
        <f t="array" ref="D1813">IF(ISBLANK(XLOOKUP(D$3,daily_items,XLOOKUP($C1813,daily_dates,big_daily_table))),NA(),XLOOKUP(D$3,daily_items,XLOOKUP($C1813,daily_dates,big_daily_table)))</f>
        <v>#N/A</v>
      </c>
      <c r="E1813" s="1" t="str">
        <f t="array" ref="E1813">IF(ISBLANK(XLOOKUP(E$3,daily_items,XLOOKUP($C1813,daily_dates,big_daily_table))),NA(),XLOOKUP(E$3,daily_items,XLOOKUP($C1813,daily_dates,big_daily_table)))</f>
        <v>#N/A</v>
      </c>
    </row>
    <row r="1814" ht="14.25" customHeight="1">
      <c r="B1814" s="7">
        <v>42719.0</v>
      </c>
      <c r="C1814" s="7">
        <f t="shared" si="1"/>
        <v>42715</v>
      </c>
      <c r="D1814" s="1" t="str">
        <f t="array" ref="D1814">IF(ISBLANK(XLOOKUP(D$3,daily_items,XLOOKUP($C1814,daily_dates,big_daily_table))),NA(),XLOOKUP(D$3,daily_items,XLOOKUP($C1814,daily_dates,big_daily_table)))</f>
        <v>#N/A</v>
      </c>
      <c r="E1814" s="1" t="str">
        <f t="array" ref="E1814">IF(ISBLANK(XLOOKUP(E$3,daily_items,XLOOKUP($C1814,daily_dates,big_daily_table))),NA(),XLOOKUP(E$3,daily_items,XLOOKUP($C1814,daily_dates,big_daily_table)))</f>
        <v>#N/A</v>
      </c>
    </row>
    <row r="1815" ht="14.25" customHeight="1">
      <c r="B1815" s="7">
        <v>42720.0</v>
      </c>
      <c r="C1815" s="7">
        <f t="shared" si="1"/>
        <v>42715</v>
      </c>
      <c r="D1815" s="1" t="str">
        <f t="array" ref="D1815">IF(ISBLANK(XLOOKUP(D$3,daily_items,XLOOKUP($C1815,daily_dates,big_daily_table))),NA(),XLOOKUP(D$3,daily_items,XLOOKUP($C1815,daily_dates,big_daily_table)))</f>
        <v>#N/A</v>
      </c>
      <c r="E1815" s="1" t="str">
        <f t="array" ref="E1815">IF(ISBLANK(XLOOKUP(E$3,daily_items,XLOOKUP($C1815,daily_dates,big_daily_table))),NA(),XLOOKUP(E$3,daily_items,XLOOKUP($C1815,daily_dates,big_daily_table)))</f>
        <v>#N/A</v>
      </c>
    </row>
    <row r="1816" ht="14.25" customHeight="1">
      <c r="B1816" s="7">
        <v>42721.0</v>
      </c>
      <c r="C1816" s="7">
        <f t="shared" si="1"/>
        <v>42715</v>
      </c>
      <c r="D1816" s="1" t="str">
        <f t="array" ref="D1816">IF(ISBLANK(XLOOKUP(D$3,daily_items,XLOOKUP($C1816,daily_dates,big_daily_table))),NA(),XLOOKUP(D$3,daily_items,XLOOKUP($C1816,daily_dates,big_daily_table)))</f>
        <v>#N/A</v>
      </c>
      <c r="E1816" s="1" t="str">
        <f t="array" ref="E1816">IF(ISBLANK(XLOOKUP(E$3,daily_items,XLOOKUP($C1816,daily_dates,big_daily_table))),NA(),XLOOKUP(E$3,daily_items,XLOOKUP($C1816,daily_dates,big_daily_table)))</f>
        <v>#N/A</v>
      </c>
    </row>
    <row r="1817" ht="14.25" customHeight="1">
      <c r="B1817" s="7">
        <v>42722.0</v>
      </c>
      <c r="C1817" s="7">
        <f t="shared" si="1"/>
        <v>42722</v>
      </c>
      <c r="D1817" s="1" t="str">
        <f t="array" ref="D1817">IF(ISBLANK(XLOOKUP(D$3,daily_items,XLOOKUP($C1817,daily_dates,big_daily_table))),NA(),XLOOKUP(D$3,daily_items,XLOOKUP($C1817,daily_dates,big_daily_table)))</f>
        <v>#N/A</v>
      </c>
      <c r="E1817" s="1" t="str">
        <f t="array" ref="E1817">IF(ISBLANK(XLOOKUP(E$3,daily_items,XLOOKUP($C1817,daily_dates,big_daily_table))),NA(),XLOOKUP(E$3,daily_items,XLOOKUP($C1817,daily_dates,big_daily_table)))</f>
        <v>#N/A</v>
      </c>
    </row>
    <row r="1818" ht="14.25" customHeight="1">
      <c r="B1818" s="7">
        <v>42723.0</v>
      </c>
      <c r="C1818" s="7">
        <f t="shared" si="1"/>
        <v>42722</v>
      </c>
      <c r="D1818" s="1" t="str">
        <f t="array" ref="D1818">IF(ISBLANK(XLOOKUP(D$3,daily_items,XLOOKUP($C1818,daily_dates,big_daily_table))),NA(),XLOOKUP(D$3,daily_items,XLOOKUP($C1818,daily_dates,big_daily_table)))</f>
        <v>#N/A</v>
      </c>
      <c r="E1818" s="1" t="str">
        <f t="array" ref="E1818">IF(ISBLANK(XLOOKUP(E$3,daily_items,XLOOKUP($C1818,daily_dates,big_daily_table))),NA(),XLOOKUP(E$3,daily_items,XLOOKUP($C1818,daily_dates,big_daily_table)))</f>
        <v>#N/A</v>
      </c>
    </row>
    <row r="1819" ht="14.25" customHeight="1">
      <c r="B1819" s="7">
        <v>42724.0</v>
      </c>
      <c r="C1819" s="7">
        <f t="shared" si="1"/>
        <v>42722</v>
      </c>
      <c r="D1819" s="1" t="str">
        <f t="array" ref="D1819">IF(ISBLANK(XLOOKUP(D$3,daily_items,XLOOKUP($C1819,daily_dates,big_daily_table))),NA(),XLOOKUP(D$3,daily_items,XLOOKUP($C1819,daily_dates,big_daily_table)))</f>
        <v>#N/A</v>
      </c>
      <c r="E1819" s="1" t="str">
        <f t="array" ref="E1819">IF(ISBLANK(XLOOKUP(E$3,daily_items,XLOOKUP($C1819,daily_dates,big_daily_table))),NA(),XLOOKUP(E$3,daily_items,XLOOKUP($C1819,daily_dates,big_daily_table)))</f>
        <v>#N/A</v>
      </c>
    </row>
    <row r="1820" ht="14.25" customHeight="1">
      <c r="B1820" s="7">
        <v>42725.0</v>
      </c>
      <c r="C1820" s="7">
        <f t="shared" si="1"/>
        <v>42722</v>
      </c>
      <c r="D1820" s="1" t="str">
        <f t="array" ref="D1820">IF(ISBLANK(XLOOKUP(D$3,daily_items,XLOOKUP($C1820,daily_dates,big_daily_table))),NA(),XLOOKUP(D$3,daily_items,XLOOKUP($C1820,daily_dates,big_daily_table)))</f>
        <v>#N/A</v>
      </c>
      <c r="E1820" s="1" t="str">
        <f t="array" ref="E1820">IF(ISBLANK(XLOOKUP(E$3,daily_items,XLOOKUP($C1820,daily_dates,big_daily_table))),NA(),XLOOKUP(E$3,daily_items,XLOOKUP($C1820,daily_dates,big_daily_table)))</f>
        <v>#N/A</v>
      </c>
    </row>
    <row r="1821" ht="14.25" customHeight="1">
      <c r="B1821" s="7">
        <v>42726.0</v>
      </c>
      <c r="C1821" s="7">
        <f t="shared" si="1"/>
        <v>42722</v>
      </c>
      <c r="D1821" s="1" t="str">
        <f t="array" ref="D1821">IF(ISBLANK(XLOOKUP(D$3,daily_items,XLOOKUP($C1821,daily_dates,big_daily_table))),NA(),XLOOKUP(D$3,daily_items,XLOOKUP($C1821,daily_dates,big_daily_table)))</f>
        <v>#N/A</v>
      </c>
      <c r="E1821" s="1" t="str">
        <f t="array" ref="E1821">IF(ISBLANK(XLOOKUP(E$3,daily_items,XLOOKUP($C1821,daily_dates,big_daily_table))),NA(),XLOOKUP(E$3,daily_items,XLOOKUP($C1821,daily_dates,big_daily_table)))</f>
        <v>#N/A</v>
      </c>
    </row>
    <row r="1822" ht="14.25" customHeight="1">
      <c r="B1822" s="7">
        <v>42727.0</v>
      </c>
      <c r="C1822" s="7">
        <f t="shared" si="1"/>
        <v>42722</v>
      </c>
      <c r="D1822" s="1" t="str">
        <f t="array" ref="D1822">IF(ISBLANK(XLOOKUP(D$3,daily_items,XLOOKUP($C1822,daily_dates,big_daily_table))),NA(),XLOOKUP(D$3,daily_items,XLOOKUP($C1822,daily_dates,big_daily_table)))</f>
        <v>#N/A</v>
      </c>
      <c r="E1822" s="1" t="str">
        <f t="array" ref="E1822">IF(ISBLANK(XLOOKUP(E$3,daily_items,XLOOKUP($C1822,daily_dates,big_daily_table))),NA(),XLOOKUP(E$3,daily_items,XLOOKUP($C1822,daily_dates,big_daily_table)))</f>
        <v>#N/A</v>
      </c>
    </row>
    <row r="1823" ht="14.25" customHeight="1">
      <c r="B1823" s="7">
        <v>42728.0</v>
      </c>
      <c r="C1823" s="7">
        <f t="shared" si="1"/>
        <v>42722</v>
      </c>
      <c r="D1823" s="1" t="str">
        <f t="array" ref="D1823">IF(ISBLANK(XLOOKUP(D$3,daily_items,XLOOKUP($C1823,daily_dates,big_daily_table))),NA(),XLOOKUP(D$3,daily_items,XLOOKUP($C1823,daily_dates,big_daily_table)))</f>
        <v>#N/A</v>
      </c>
      <c r="E1823" s="1" t="str">
        <f t="array" ref="E1823">IF(ISBLANK(XLOOKUP(E$3,daily_items,XLOOKUP($C1823,daily_dates,big_daily_table))),NA(),XLOOKUP(E$3,daily_items,XLOOKUP($C1823,daily_dates,big_daily_table)))</f>
        <v>#N/A</v>
      </c>
    </row>
    <row r="1824" ht="14.25" customHeight="1">
      <c r="B1824" s="7">
        <v>42729.0</v>
      </c>
      <c r="C1824" s="7">
        <f t="shared" si="1"/>
        <v>42729</v>
      </c>
      <c r="D1824" s="1" t="str">
        <f t="array" ref="D1824">IF(ISBLANK(XLOOKUP(D$3,daily_items,XLOOKUP($C1824,daily_dates,big_daily_table))),NA(),XLOOKUP(D$3,daily_items,XLOOKUP($C1824,daily_dates,big_daily_table)))</f>
        <v>#N/A</v>
      </c>
      <c r="E1824" s="1" t="str">
        <f t="array" ref="E1824">IF(ISBLANK(XLOOKUP(E$3,daily_items,XLOOKUP($C1824,daily_dates,big_daily_table))),NA(),XLOOKUP(E$3,daily_items,XLOOKUP($C1824,daily_dates,big_daily_table)))</f>
        <v>#N/A</v>
      </c>
    </row>
    <row r="1825" ht="14.25" customHeight="1">
      <c r="B1825" s="7">
        <v>42730.0</v>
      </c>
      <c r="C1825" s="7">
        <f t="shared" si="1"/>
        <v>42729</v>
      </c>
      <c r="D1825" s="1" t="str">
        <f t="array" ref="D1825">IF(ISBLANK(XLOOKUP(D$3,daily_items,XLOOKUP($C1825,daily_dates,big_daily_table))),NA(),XLOOKUP(D$3,daily_items,XLOOKUP($C1825,daily_dates,big_daily_table)))</f>
        <v>#N/A</v>
      </c>
      <c r="E1825" s="1" t="str">
        <f t="array" ref="E1825">IF(ISBLANK(XLOOKUP(E$3,daily_items,XLOOKUP($C1825,daily_dates,big_daily_table))),NA(),XLOOKUP(E$3,daily_items,XLOOKUP($C1825,daily_dates,big_daily_table)))</f>
        <v>#N/A</v>
      </c>
    </row>
    <row r="1826" ht="14.25" customHeight="1">
      <c r="B1826" s="7">
        <v>42731.0</v>
      </c>
      <c r="C1826" s="7">
        <f t="shared" si="1"/>
        <v>42729</v>
      </c>
      <c r="D1826" s="1" t="str">
        <f t="array" ref="D1826">IF(ISBLANK(XLOOKUP(D$3,daily_items,XLOOKUP($C1826,daily_dates,big_daily_table))),NA(),XLOOKUP(D$3,daily_items,XLOOKUP($C1826,daily_dates,big_daily_table)))</f>
        <v>#N/A</v>
      </c>
      <c r="E1826" s="1" t="str">
        <f t="array" ref="E1826">IF(ISBLANK(XLOOKUP(E$3,daily_items,XLOOKUP($C1826,daily_dates,big_daily_table))),NA(),XLOOKUP(E$3,daily_items,XLOOKUP($C1826,daily_dates,big_daily_table)))</f>
        <v>#N/A</v>
      </c>
    </row>
    <row r="1827" ht="14.25" customHeight="1">
      <c r="B1827" s="7">
        <v>42732.0</v>
      </c>
      <c r="C1827" s="7">
        <f t="shared" si="1"/>
        <v>42729</v>
      </c>
      <c r="D1827" s="1" t="str">
        <f t="array" ref="D1827">IF(ISBLANK(XLOOKUP(D$3,daily_items,XLOOKUP($C1827,daily_dates,big_daily_table))),NA(),XLOOKUP(D$3,daily_items,XLOOKUP($C1827,daily_dates,big_daily_table)))</f>
        <v>#N/A</v>
      </c>
      <c r="E1827" s="1" t="str">
        <f t="array" ref="E1827">IF(ISBLANK(XLOOKUP(E$3,daily_items,XLOOKUP($C1827,daily_dates,big_daily_table))),NA(),XLOOKUP(E$3,daily_items,XLOOKUP($C1827,daily_dates,big_daily_table)))</f>
        <v>#N/A</v>
      </c>
    </row>
    <row r="1828" ht="14.25" customHeight="1">
      <c r="B1828" s="7">
        <v>42733.0</v>
      </c>
      <c r="C1828" s="7">
        <f t="shared" si="1"/>
        <v>42729</v>
      </c>
      <c r="D1828" s="1" t="str">
        <f t="array" ref="D1828">IF(ISBLANK(XLOOKUP(D$3,daily_items,XLOOKUP($C1828,daily_dates,big_daily_table))),NA(),XLOOKUP(D$3,daily_items,XLOOKUP($C1828,daily_dates,big_daily_table)))</f>
        <v>#N/A</v>
      </c>
      <c r="E1828" s="1" t="str">
        <f t="array" ref="E1828">IF(ISBLANK(XLOOKUP(E$3,daily_items,XLOOKUP($C1828,daily_dates,big_daily_table))),NA(),XLOOKUP(E$3,daily_items,XLOOKUP($C1828,daily_dates,big_daily_table)))</f>
        <v>#N/A</v>
      </c>
    </row>
    <row r="1829" ht="14.25" customHeight="1">
      <c r="B1829" s="7">
        <v>42734.0</v>
      </c>
      <c r="C1829" s="7">
        <f t="shared" si="1"/>
        <v>42729</v>
      </c>
      <c r="D1829" s="1" t="str">
        <f t="array" ref="D1829">IF(ISBLANK(XLOOKUP(D$3,daily_items,XLOOKUP($C1829,daily_dates,big_daily_table))),NA(),XLOOKUP(D$3,daily_items,XLOOKUP($C1829,daily_dates,big_daily_table)))</f>
        <v>#N/A</v>
      </c>
      <c r="E1829" s="1" t="str">
        <f t="array" ref="E1829">IF(ISBLANK(XLOOKUP(E$3,daily_items,XLOOKUP($C1829,daily_dates,big_daily_table))),NA(),XLOOKUP(E$3,daily_items,XLOOKUP($C1829,daily_dates,big_daily_table)))</f>
        <v>#N/A</v>
      </c>
    </row>
    <row r="1830" ht="14.25" customHeight="1">
      <c r="B1830" s="7">
        <v>42735.0</v>
      </c>
      <c r="C1830" s="7">
        <f t="shared" si="1"/>
        <v>42729</v>
      </c>
      <c r="D1830" s="1" t="str">
        <f t="array" ref="D1830">IF(ISBLANK(XLOOKUP(D$3,daily_items,XLOOKUP($C1830,daily_dates,big_daily_table))),NA(),XLOOKUP(D$3,daily_items,XLOOKUP($C1830,daily_dates,big_daily_table)))</f>
        <v>#N/A</v>
      </c>
      <c r="E1830" s="1" t="str">
        <f t="array" ref="E1830">IF(ISBLANK(XLOOKUP(E$3,daily_items,XLOOKUP($C1830,daily_dates,big_daily_table))),NA(),XLOOKUP(E$3,daily_items,XLOOKUP($C1830,daily_dates,big_daily_table)))</f>
        <v>#N/A</v>
      </c>
    </row>
    <row r="1831" ht="14.25" customHeight="1">
      <c r="B1831" s="7">
        <v>42736.0</v>
      </c>
      <c r="C1831" s="7">
        <f t="shared" si="1"/>
        <v>42736</v>
      </c>
      <c r="D1831" s="1" t="str">
        <f t="array" ref="D1831">IF(ISBLANK(XLOOKUP(D$3,daily_items,XLOOKUP($C1831,daily_dates,big_daily_table))),NA(),XLOOKUP(D$3,daily_items,XLOOKUP($C1831,daily_dates,big_daily_table)))</f>
        <v>#N/A</v>
      </c>
      <c r="E1831" s="1" t="str">
        <f t="array" ref="E1831">IF(ISBLANK(XLOOKUP(E$3,daily_items,XLOOKUP($C1831,daily_dates,big_daily_table))),NA(),XLOOKUP(E$3,daily_items,XLOOKUP($C1831,daily_dates,big_daily_table)))</f>
        <v>#N/A</v>
      </c>
    </row>
    <row r="1832" ht="14.25" customHeight="1">
      <c r="B1832" s="7">
        <v>42737.0</v>
      </c>
      <c r="C1832" s="7">
        <f t="shared" si="1"/>
        <v>42736</v>
      </c>
      <c r="D1832" s="1" t="str">
        <f t="array" ref="D1832">IF(ISBLANK(XLOOKUP(D$3,daily_items,XLOOKUP($C1832,daily_dates,big_daily_table))),NA(),XLOOKUP(D$3,daily_items,XLOOKUP($C1832,daily_dates,big_daily_table)))</f>
        <v>#N/A</v>
      </c>
      <c r="E1832" s="1" t="str">
        <f t="array" ref="E1832">IF(ISBLANK(XLOOKUP(E$3,daily_items,XLOOKUP($C1832,daily_dates,big_daily_table))),NA(),XLOOKUP(E$3,daily_items,XLOOKUP($C1832,daily_dates,big_daily_table)))</f>
        <v>#N/A</v>
      </c>
    </row>
    <row r="1833" ht="14.25" customHeight="1">
      <c r="B1833" s="7">
        <v>42738.0</v>
      </c>
      <c r="C1833" s="7">
        <f t="shared" si="1"/>
        <v>42736</v>
      </c>
      <c r="D1833" s="1" t="str">
        <f t="array" ref="D1833">IF(ISBLANK(XLOOKUP(D$3,daily_items,XLOOKUP($C1833,daily_dates,big_daily_table))),NA(),XLOOKUP(D$3,daily_items,XLOOKUP($C1833,daily_dates,big_daily_table)))</f>
        <v>#N/A</v>
      </c>
      <c r="E1833" s="1" t="str">
        <f t="array" ref="E1833">IF(ISBLANK(XLOOKUP(E$3,daily_items,XLOOKUP($C1833,daily_dates,big_daily_table))),NA(),XLOOKUP(E$3,daily_items,XLOOKUP($C1833,daily_dates,big_daily_table)))</f>
        <v>#N/A</v>
      </c>
    </row>
    <row r="1834" ht="14.25" customHeight="1">
      <c r="B1834" s="7">
        <v>42739.0</v>
      </c>
      <c r="C1834" s="7">
        <f t="shared" si="1"/>
        <v>42736</v>
      </c>
      <c r="D1834" s="1" t="str">
        <f t="array" ref="D1834">IF(ISBLANK(XLOOKUP(D$3,daily_items,XLOOKUP($C1834,daily_dates,big_daily_table))),NA(),XLOOKUP(D$3,daily_items,XLOOKUP($C1834,daily_dates,big_daily_table)))</f>
        <v>#N/A</v>
      </c>
      <c r="E1834" s="1" t="str">
        <f t="array" ref="E1834">IF(ISBLANK(XLOOKUP(E$3,daily_items,XLOOKUP($C1834,daily_dates,big_daily_table))),NA(),XLOOKUP(E$3,daily_items,XLOOKUP($C1834,daily_dates,big_daily_table)))</f>
        <v>#N/A</v>
      </c>
    </row>
    <row r="1835" ht="14.25" customHeight="1">
      <c r="B1835" s="7">
        <v>42740.0</v>
      </c>
      <c r="C1835" s="7">
        <f t="shared" si="1"/>
        <v>42736</v>
      </c>
      <c r="D1835" s="1" t="str">
        <f t="array" ref="D1835">IF(ISBLANK(XLOOKUP(D$3,daily_items,XLOOKUP($C1835,daily_dates,big_daily_table))),NA(),XLOOKUP(D$3,daily_items,XLOOKUP($C1835,daily_dates,big_daily_table)))</f>
        <v>#N/A</v>
      </c>
      <c r="E1835" s="1" t="str">
        <f t="array" ref="E1835">IF(ISBLANK(XLOOKUP(E$3,daily_items,XLOOKUP($C1835,daily_dates,big_daily_table))),NA(),XLOOKUP(E$3,daily_items,XLOOKUP($C1835,daily_dates,big_daily_table)))</f>
        <v>#N/A</v>
      </c>
    </row>
    <row r="1836" ht="14.25" customHeight="1">
      <c r="B1836" s="7">
        <v>42741.0</v>
      </c>
      <c r="C1836" s="7">
        <f t="shared" si="1"/>
        <v>42736</v>
      </c>
      <c r="D1836" s="1" t="str">
        <f t="array" ref="D1836">IF(ISBLANK(XLOOKUP(D$3,daily_items,XLOOKUP($C1836,daily_dates,big_daily_table))),NA(),XLOOKUP(D$3,daily_items,XLOOKUP($C1836,daily_dates,big_daily_table)))</f>
        <v>#N/A</v>
      </c>
      <c r="E1836" s="1" t="str">
        <f t="array" ref="E1836">IF(ISBLANK(XLOOKUP(E$3,daily_items,XLOOKUP($C1836,daily_dates,big_daily_table))),NA(),XLOOKUP(E$3,daily_items,XLOOKUP($C1836,daily_dates,big_daily_table)))</f>
        <v>#N/A</v>
      </c>
    </row>
    <row r="1837" ht="14.25" customHeight="1">
      <c r="B1837" s="7">
        <v>42742.0</v>
      </c>
      <c r="C1837" s="7">
        <f t="shared" si="1"/>
        <v>42736</v>
      </c>
      <c r="D1837" s="1" t="str">
        <f t="array" ref="D1837">IF(ISBLANK(XLOOKUP(D$3,daily_items,XLOOKUP($C1837,daily_dates,big_daily_table))),NA(),XLOOKUP(D$3,daily_items,XLOOKUP($C1837,daily_dates,big_daily_table)))</f>
        <v>#N/A</v>
      </c>
      <c r="E1837" s="1" t="str">
        <f t="array" ref="E1837">IF(ISBLANK(XLOOKUP(E$3,daily_items,XLOOKUP($C1837,daily_dates,big_daily_table))),NA(),XLOOKUP(E$3,daily_items,XLOOKUP($C1837,daily_dates,big_daily_table)))</f>
        <v>#N/A</v>
      </c>
    </row>
    <row r="1838" ht="14.25" customHeight="1">
      <c r="B1838" s="7">
        <v>42743.0</v>
      </c>
      <c r="C1838" s="7">
        <f t="shared" si="1"/>
        <v>42743</v>
      </c>
      <c r="D1838" s="1" t="str">
        <f t="array" ref="D1838">IF(ISBLANK(XLOOKUP(D$3,daily_items,XLOOKUP($C1838,daily_dates,big_daily_table))),NA(),XLOOKUP(D$3,daily_items,XLOOKUP($C1838,daily_dates,big_daily_table)))</f>
        <v>#N/A</v>
      </c>
      <c r="E1838" s="1" t="str">
        <f t="array" ref="E1838">IF(ISBLANK(XLOOKUP(E$3,daily_items,XLOOKUP($C1838,daily_dates,big_daily_table))),NA(),XLOOKUP(E$3,daily_items,XLOOKUP($C1838,daily_dates,big_daily_table)))</f>
        <v>#N/A</v>
      </c>
    </row>
    <row r="1839" ht="14.25" customHeight="1">
      <c r="B1839" s="7">
        <v>42744.0</v>
      </c>
      <c r="C1839" s="7">
        <f t="shared" si="1"/>
        <v>42743</v>
      </c>
      <c r="D1839" s="1" t="str">
        <f t="array" ref="D1839">IF(ISBLANK(XLOOKUP(D$3,daily_items,XLOOKUP($C1839,daily_dates,big_daily_table))),NA(),XLOOKUP(D$3,daily_items,XLOOKUP($C1839,daily_dates,big_daily_table)))</f>
        <v>#N/A</v>
      </c>
      <c r="E1839" s="1" t="str">
        <f t="array" ref="E1839">IF(ISBLANK(XLOOKUP(E$3,daily_items,XLOOKUP($C1839,daily_dates,big_daily_table))),NA(),XLOOKUP(E$3,daily_items,XLOOKUP($C1839,daily_dates,big_daily_table)))</f>
        <v>#N/A</v>
      </c>
    </row>
    <row r="1840" ht="14.25" customHeight="1">
      <c r="B1840" s="7">
        <v>42745.0</v>
      </c>
      <c r="C1840" s="7">
        <f t="shared" si="1"/>
        <v>42743</v>
      </c>
      <c r="D1840" s="1" t="str">
        <f t="array" ref="D1840">IF(ISBLANK(XLOOKUP(D$3,daily_items,XLOOKUP($C1840,daily_dates,big_daily_table))),NA(),XLOOKUP(D$3,daily_items,XLOOKUP($C1840,daily_dates,big_daily_table)))</f>
        <v>#N/A</v>
      </c>
      <c r="E1840" s="1" t="str">
        <f t="array" ref="E1840">IF(ISBLANK(XLOOKUP(E$3,daily_items,XLOOKUP($C1840,daily_dates,big_daily_table))),NA(),XLOOKUP(E$3,daily_items,XLOOKUP($C1840,daily_dates,big_daily_table)))</f>
        <v>#N/A</v>
      </c>
    </row>
    <row r="1841" ht="14.25" customHeight="1">
      <c r="B1841" s="7">
        <v>42746.0</v>
      </c>
      <c r="C1841" s="7">
        <f t="shared" si="1"/>
        <v>42743</v>
      </c>
      <c r="D1841" s="1" t="str">
        <f t="array" ref="D1841">IF(ISBLANK(XLOOKUP(D$3,daily_items,XLOOKUP($C1841,daily_dates,big_daily_table))),NA(),XLOOKUP(D$3,daily_items,XLOOKUP($C1841,daily_dates,big_daily_table)))</f>
        <v>#N/A</v>
      </c>
      <c r="E1841" s="1" t="str">
        <f t="array" ref="E1841">IF(ISBLANK(XLOOKUP(E$3,daily_items,XLOOKUP($C1841,daily_dates,big_daily_table))),NA(),XLOOKUP(E$3,daily_items,XLOOKUP($C1841,daily_dates,big_daily_table)))</f>
        <v>#N/A</v>
      </c>
    </row>
    <row r="1842" ht="14.25" customHeight="1">
      <c r="B1842" s="7">
        <v>42747.0</v>
      </c>
      <c r="C1842" s="7">
        <f t="shared" si="1"/>
        <v>42743</v>
      </c>
      <c r="D1842" s="1" t="str">
        <f t="array" ref="D1842">IF(ISBLANK(XLOOKUP(D$3,daily_items,XLOOKUP($C1842,daily_dates,big_daily_table))),NA(),XLOOKUP(D$3,daily_items,XLOOKUP($C1842,daily_dates,big_daily_table)))</f>
        <v>#N/A</v>
      </c>
      <c r="E1842" s="1" t="str">
        <f t="array" ref="E1842">IF(ISBLANK(XLOOKUP(E$3,daily_items,XLOOKUP($C1842,daily_dates,big_daily_table))),NA(),XLOOKUP(E$3,daily_items,XLOOKUP($C1842,daily_dates,big_daily_table)))</f>
        <v>#N/A</v>
      </c>
    </row>
    <row r="1843" ht="14.25" customHeight="1">
      <c r="B1843" s="7">
        <v>42748.0</v>
      </c>
      <c r="C1843" s="7">
        <f t="shared" si="1"/>
        <v>42743</v>
      </c>
      <c r="D1843" s="1" t="str">
        <f t="array" ref="D1843">IF(ISBLANK(XLOOKUP(D$3,daily_items,XLOOKUP($C1843,daily_dates,big_daily_table))),NA(),XLOOKUP(D$3,daily_items,XLOOKUP($C1843,daily_dates,big_daily_table)))</f>
        <v>#N/A</v>
      </c>
      <c r="E1843" s="1" t="str">
        <f t="array" ref="E1843">IF(ISBLANK(XLOOKUP(E$3,daily_items,XLOOKUP($C1843,daily_dates,big_daily_table))),NA(),XLOOKUP(E$3,daily_items,XLOOKUP($C1843,daily_dates,big_daily_table)))</f>
        <v>#N/A</v>
      </c>
    </row>
    <row r="1844" ht="14.25" customHeight="1">
      <c r="B1844" s="7">
        <v>42749.0</v>
      </c>
      <c r="C1844" s="7">
        <f t="shared" si="1"/>
        <v>42743</v>
      </c>
      <c r="D1844" s="1" t="str">
        <f t="array" ref="D1844">IF(ISBLANK(XLOOKUP(D$3,daily_items,XLOOKUP($C1844,daily_dates,big_daily_table))),NA(),XLOOKUP(D$3,daily_items,XLOOKUP($C1844,daily_dates,big_daily_table)))</f>
        <v>#N/A</v>
      </c>
      <c r="E1844" s="1" t="str">
        <f t="array" ref="E1844">IF(ISBLANK(XLOOKUP(E$3,daily_items,XLOOKUP($C1844,daily_dates,big_daily_table))),NA(),XLOOKUP(E$3,daily_items,XLOOKUP($C1844,daily_dates,big_daily_table)))</f>
        <v>#N/A</v>
      </c>
    </row>
    <row r="1845" ht="14.25" customHeight="1">
      <c r="B1845" s="7">
        <v>42750.0</v>
      </c>
      <c r="C1845" s="7">
        <f t="shared" si="1"/>
        <v>42750</v>
      </c>
      <c r="D1845" s="1" t="str">
        <f t="array" ref="D1845">IF(ISBLANK(XLOOKUP(D$3,daily_items,XLOOKUP($C1845,daily_dates,big_daily_table))),NA(),XLOOKUP(D$3,daily_items,XLOOKUP($C1845,daily_dates,big_daily_table)))</f>
        <v>#N/A</v>
      </c>
      <c r="E1845" s="1" t="str">
        <f t="array" ref="E1845">IF(ISBLANK(XLOOKUP(E$3,daily_items,XLOOKUP($C1845,daily_dates,big_daily_table))),NA(),XLOOKUP(E$3,daily_items,XLOOKUP($C1845,daily_dates,big_daily_table)))</f>
        <v>#N/A</v>
      </c>
    </row>
    <row r="1846" ht="14.25" customHeight="1">
      <c r="B1846" s="7">
        <v>42751.0</v>
      </c>
      <c r="C1846" s="7">
        <f t="shared" si="1"/>
        <v>42750</v>
      </c>
      <c r="D1846" s="1" t="str">
        <f t="array" ref="D1846">IF(ISBLANK(XLOOKUP(D$3,daily_items,XLOOKUP($C1846,daily_dates,big_daily_table))),NA(),XLOOKUP(D$3,daily_items,XLOOKUP($C1846,daily_dates,big_daily_table)))</f>
        <v>#N/A</v>
      </c>
      <c r="E1846" s="1" t="str">
        <f t="array" ref="E1846">IF(ISBLANK(XLOOKUP(E$3,daily_items,XLOOKUP($C1846,daily_dates,big_daily_table))),NA(),XLOOKUP(E$3,daily_items,XLOOKUP($C1846,daily_dates,big_daily_table)))</f>
        <v>#N/A</v>
      </c>
    </row>
    <row r="1847" ht="14.25" customHeight="1">
      <c r="B1847" s="7">
        <v>42752.0</v>
      </c>
      <c r="C1847" s="7">
        <f t="shared" si="1"/>
        <v>42750</v>
      </c>
      <c r="D1847" s="1" t="str">
        <f t="array" ref="D1847">IF(ISBLANK(XLOOKUP(D$3,daily_items,XLOOKUP($C1847,daily_dates,big_daily_table))),NA(),XLOOKUP(D$3,daily_items,XLOOKUP($C1847,daily_dates,big_daily_table)))</f>
        <v>#N/A</v>
      </c>
      <c r="E1847" s="1" t="str">
        <f t="array" ref="E1847">IF(ISBLANK(XLOOKUP(E$3,daily_items,XLOOKUP($C1847,daily_dates,big_daily_table))),NA(),XLOOKUP(E$3,daily_items,XLOOKUP($C1847,daily_dates,big_daily_table)))</f>
        <v>#N/A</v>
      </c>
    </row>
    <row r="1848" ht="14.25" customHeight="1">
      <c r="B1848" s="7">
        <v>42753.0</v>
      </c>
      <c r="C1848" s="7">
        <f t="shared" si="1"/>
        <v>42750</v>
      </c>
      <c r="D1848" s="1" t="str">
        <f t="array" ref="D1848">IF(ISBLANK(XLOOKUP(D$3,daily_items,XLOOKUP($C1848,daily_dates,big_daily_table))),NA(),XLOOKUP(D$3,daily_items,XLOOKUP($C1848,daily_dates,big_daily_table)))</f>
        <v>#N/A</v>
      </c>
      <c r="E1848" s="1" t="str">
        <f t="array" ref="E1848">IF(ISBLANK(XLOOKUP(E$3,daily_items,XLOOKUP($C1848,daily_dates,big_daily_table))),NA(),XLOOKUP(E$3,daily_items,XLOOKUP($C1848,daily_dates,big_daily_table)))</f>
        <v>#N/A</v>
      </c>
    </row>
    <row r="1849" ht="14.25" customHeight="1">
      <c r="B1849" s="7">
        <v>42754.0</v>
      </c>
      <c r="C1849" s="7">
        <f t="shared" si="1"/>
        <v>42750</v>
      </c>
      <c r="D1849" s="1" t="str">
        <f t="array" ref="D1849">IF(ISBLANK(XLOOKUP(D$3,daily_items,XLOOKUP($C1849,daily_dates,big_daily_table))),NA(),XLOOKUP(D$3,daily_items,XLOOKUP($C1849,daily_dates,big_daily_table)))</f>
        <v>#N/A</v>
      </c>
      <c r="E1849" s="1" t="str">
        <f t="array" ref="E1849">IF(ISBLANK(XLOOKUP(E$3,daily_items,XLOOKUP($C1849,daily_dates,big_daily_table))),NA(),XLOOKUP(E$3,daily_items,XLOOKUP($C1849,daily_dates,big_daily_table)))</f>
        <v>#N/A</v>
      </c>
    </row>
    <row r="1850" ht="14.25" customHeight="1">
      <c r="B1850" s="7">
        <v>42755.0</v>
      </c>
      <c r="C1850" s="7">
        <f t="shared" si="1"/>
        <v>42750</v>
      </c>
      <c r="D1850" s="1" t="str">
        <f t="array" ref="D1850">IF(ISBLANK(XLOOKUP(D$3,daily_items,XLOOKUP($C1850,daily_dates,big_daily_table))),NA(),XLOOKUP(D$3,daily_items,XLOOKUP($C1850,daily_dates,big_daily_table)))</f>
        <v>#N/A</v>
      </c>
      <c r="E1850" s="1" t="str">
        <f t="array" ref="E1850">IF(ISBLANK(XLOOKUP(E$3,daily_items,XLOOKUP($C1850,daily_dates,big_daily_table))),NA(),XLOOKUP(E$3,daily_items,XLOOKUP($C1850,daily_dates,big_daily_table)))</f>
        <v>#N/A</v>
      </c>
    </row>
    <row r="1851" ht="14.25" customHeight="1">
      <c r="B1851" s="7">
        <v>42756.0</v>
      </c>
      <c r="C1851" s="7">
        <f t="shared" si="1"/>
        <v>42750</v>
      </c>
      <c r="D1851" s="1" t="str">
        <f t="array" ref="D1851">IF(ISBLANK(XLOOKUP(D$3,daily_items,XLOOKUP($C1851,daily_dates,big_daily_table))),NA(),XLOOKUP(D$3,daily_items,XLOOKUP($C1851,daily_dates,big_daily_table)))</f>
        <v>#N/A</v>
      </c>
      <c r="E1851" s="1" t="str">
        <f t="array" ref="E1851">IF(ISBLANK(XLOOKUP(E$3,daily_items,XLOOKUP($C1851,daily_dates,big_daily_table))),NA(),XLOOKUP(E$3,daily_items,XLOOKUP($C1851,daily_dates,big_daily_table)))</f>
        <v>#N/A</v>
      </c>
    </row>
    <row r="1852" ht="14.25" customHeight="1">
      <c r="B1852" s="7">
        <v>42757.0</v>
      </c>
      <c r="C1852" s="7">
        <f t="shared" si="1"/>
        <v>42757</v>
      </c>
      <c r="D1852" s="1" t="str">
        <f t="array" ref="D1852">IF(ISBLANK(XLOOKUP(D$3,daily_items,XLOOKUP($C1852,daily_dates,big_daily_table))),NA(),XLOOKUP(D$3,daily_items,XLOOKUP($C1852,daily_dates,big_daily_table)))</f>
        <v>#N/A</v>
      </c>
      <c r="E1852" s="1" t="str">
        <f t="array" ref="E1852">IF(ISBLANK(XLOOKUP(E$3,daily_items,XLOOKUP($C1852,daily_dates,big_daily_table))),NA(),XLOOKUP(E$3,daily_items,XLOOKUP($C1852,daily_dates,big_daily_table)))</f>
        <v>#N/A</v>
      </c>
    </row>
    <row r="1853" ht="14.25" customHeight="1">
      <c r="B1853" s="7">
        <v>42758.0</v>
      </c>
      <c r="C1853" s="7">
        <f t="shared" si="1"/>
        <v>42757</v>
      </c>
      <c r="D1853" s="1" t="str">
        <f t="array" ref="D1853">IF(ISBLANK(XLOOKUP(D$3,daily_items,XLOOKUP($C1853,daily_dates,big_daily_table))),NA(),XLOOKUP(D$3,daily_items,XLOOKUP($C1853,daily_dates,big_daily_table)))</f>
        <v>#N/A</v>
      </c>
      <c r="E1853" s="1" t="str">
        <f t="array" ref="E1853">IF(ISBLANK(XLOOKUP(E$3,daily_items,XLOOKUP($C1853,daily_dates,big_daily_table))),NA(),XLOOKUP(E$3,daily_items,XLOOKUP($C1853,daily_dates,big_daily_table)))</f>
        <v>#N/A</v>
      </c>
    </row>
    <row r="1854" ht="14.25" customHeight="1">
      <c r="B1854" s="7">
        <v>42759.0</v>
      </c>
      <c r="C1854" s="7">
        <f t="shared" si="1"/>
        <v>42757</v>
      </c>
      <c r="D1854" s="1" t="str">
        <f t="array" ref="D1854">IF(ISBLANK(XLOOKUP(D$3,daily_items,XLOOKUP($C1854,daily_dates,big_daily_table))),NA(),XLOOKUP(D$3,daily_items,XLOOKUP($C1854,daily_dates,big_daily_table)))</f>
        <v>#N/A</v>
      </c>
      <c r="E1854" s="1" t="str">
        <f t="array" ref="E1854">IF(ISBLANK(XLOOKUP(E$3,daily_items,XLOOKUP($C1854,daily_dates,big_daily_table))),NA(),XLOOKUP(E$3,daily_items,XLOOKUP($C1854,daily_dates,big_daily_table)))</f>
        <v>#N/A</v>
      </c>
    </row>
    <row r="1855" ht="14.25" customHeight="1">
      <c r="B1855" s="7">
        <v>42760.0</v>
      </c>
      <c r="C1855" s="7">
        <f t="shared" si="1"/>
        <v>42757</v>
      </c>
      <c r="D1855" s="1" t="str">
        <f t="array" ref="D1855">IF(ISBLANK(XLOOKUP(D$3,daily_items,XLOOKUP($C1855,daily_dates,big_daily_table))),NA(),XLOOKUP(D$3,daily_items,XLOOKUP($C1855,daily_dates,big_daily_table)))</f>
        <v>#N/A</v>
      </c>
      <c r="E1855" s="1" t="str">
        <f t="array" ref="E1855">IF(ISBLANK(XLOOKUP(E$3,daily_items,XLOOKUP($C1855,daily_dates,big_daily_table))),NA(),XLOOKUP(E$3,daily_items,XLOOKUP($C1855,daily_dates,big_daily_table)))</f>
        <v>#N/A</v>
      </c>
    </row>
    <row r="1856" ht="14.25" customHeight="1">
      <c r="B1856" s="7">
        <v>42761.0</v>
      </c>
      <c r="C1856" s="7">
        <f t="shared" si="1"/>
        <v>42757</v>
      </c>
      <c r="D1856" s="1" t="str">
        <f t="array" ref="D1856">IF(ISBLANK(XLOOKUP(D$3,daily_items,XLOOKUP($C1856,daily_dates,big_daily_table))),NA(),XLOOKUP(D$3,daily_items,XLOOKUP($C1856,daily_dates,big_daily_table)))</f>
        <v>#N/A</v>
      </c>
      <c r="E1856" s="1" t="str">
        <f t="array" ref="E1856">IF(ISBLANK(XLOOKUP(E$3,daily_items,XLOOKUP($C1856,daily_dates,big_daily_table))),NA(),XLOOKUP(E$3,daily_items,XLOOKUP($C1856,daily_dates,big_daily_table)))</f>
        <v>#N/A</v>
      </c>
    </row>
    <row r="1857" ht="14.25" customHeight="1">
      <c r="B1857" s="7">
        <v>42762.0</v>
      </c>
      <c r="C1857" s="7">
        <f t="shared" si="1"/>
        <v>42757</v>
      </c>
      <c r="D1857" s="1" t="str">
        <f t="array" ref="D1857">IF(ISBLANK(XLOOKUP(D$3,daily_items,XLOOKUP($C1857,daily_dates,big_daily_table))),NA(),XLOOKUP(D$3,daily_items,XLOOKUP($C1857,daily_dates,big_daily_table)))</f>
        <v>#N/A</v>
      </c>
      <c r="E1857" s="1" t="str">
        <f t="array" ref="E1857">IF(ISBLANK(XLOOKUP(E$3,daily_items,XLOOKUP($C1857,daily_dates,big_daily_table))),NA(),XLOOKUP(E$3,daily_items,XLOOKUP($C1857,daily_dates,big_daily_table)))</f>
        <v>#N/A</v>
      </c>
    </row>
    <row r="1858" ht="14.25" customHeight="1">
      <c r="B1858" s="7">
        <v>42763.0</v>
      </c>
      <c r="C1858" s="7">
        <f t="shared" si="1"/>
        <v>42757</v>
      </c>
      <c r="D1858" s="1" t="str">
        <f t="array" ref="D1858">IF(ISBLANK(XLOOKUP(D$3,daily_items,XLOOKUP($C1858,daily_dates,big_daily_table))),NA(),XLOOKUP(D$3,daily_items,XLOOKUP($C1858,daily_dates,big_daily_table)))</f>
        <v>#N/A</v>
      </c>
      <c r="E1858" s="1" t="str">
        <f t="array" ref="E1858">IF(ISBLANK(XLOOKUP(E$3,daily_items,XLOOKUP($C1858,daily_dates,big_daily_table))),NA(),XLOOKUP(E$3,daily_items,XLOOKUP($C1858,daily_dates,big_daily_table)))</f>
        <v>#N/A</v>
      </c>
    </row>
    <row r="1859" ht="14.25" customHeight="1">
      <c r="B1859" s="7">
        <v>42764.0</v>
      </c>
      <c r="C1859" s="7">
        <f t="shared" si="1"/>
        <v>42764</v>
      </c>
      <c r="D1859" s="1" t="str">
        <f t="array" ref="D1859">IF(ISBLANK(XLOOKUP(D$3,daily_items,XLOOKUP($C1859,daily_dates,big_daily_table))),NA(),XLOOKUP(D$3,daily_items,XLOOKUP($C1859,daily_dates,big_daily_table)))</f>
        <v>#N/A</v>
      </c>
      <c r="E1859" s="1" t="str">
        <f t="array" ref="E1859">IF(ISBLANK(XLOOKUP(E$3,daily_items,XLOOKUP($C1859,daily_dates,big_daily_table))),NA(),XLOOKUP(E$3,daily_items,XLOOKUP($C1859,daily_dates,big_daily_table)))</f>
        <v>#N/A</v>
      </c>
    </row>
    <row r="1860" ht="14.25" customHeight="1">
      <c r="B1860" s="7">
        <v>42765.0</v>
      </c>
      <c r="C1860" s="7">
        <f t="shared" si="1"/>
        <v>42764</v>
      </c>
      <c r="D1860" s="1" t="str">
        <f t="array" ref="D1860">IF(ISBLANK(XLOOKUP(D$3,daily_items,XLOOKUP($C1860,daily_dates,big_daily_table))),NA(),XLOOKUP(D$3,daily_items,XLOOKUP($C1860,daily_dates,big_daily_table)))</f>
        <v>#N/A</v>
      </c>
      <c r="E1860" s="1" t="str">
        <f t="array" ref="E1860">IF(ISBLANK(XLOOKUP(E$3,daily_items,XLOOKUP($C1860,daily_dates,big_daily_table))),NA(),XLOOKUP(E$3,daily_items,XLOOKUP($C1860,daily_dates,big_daily_table)))</f>
        <v>#N/A</v>
      </c>
    </row>
    <row r="1861" ht="14.25" customHeight="1">
      <c r="B1861" s="7">
        <v>42766.0</v>
      </c>
      <c r="C1861" s="7">
        <f t="shared" si="1"/>
        <v>42764</v>
      </c>
      <c r="D1861" s="1" t="str">
        <f t="array" ref="D1861">IF(ISBLANK(XLOOKUP(D$3,daily_items,XLOOKUP($C1861,daily_dates,big_daily_table))),NA(),XLOOKUP(D$3,daily_items,XLOOKUP($C1861,daily_dates,big_daily_table)))</f>
        <v>#N/A</v>
      </c>
      <c r="E1861" s="1" t="str">
        <f t="array" ref="E1861">IF(ISBLANK(XLOOKUP(E$3,daily_items,XLOOKUP($C1861,daily_dates,big_daily_table))),NA(),XLOOKUP(E$3,daily_items,XLOOKUP($C1861,daily_dates,big_daily_table)))</f>
        <v>#N/A</v>
      </c>
    </row>
    <row r="1862" ht="14.25" customHeight="1">
      <c r="B1862" s="7">
        <v>42767.0</v>
      </c>
      <c r="C1862" s="7">
        <f t="shared" si="1"/>
        <v>42764</v>
      </c>
      <c r="D1862" s="1" t="str">
        <f t="array" ref="D1862">IF(ISBLANK(XLOOKUP(D$3,daily_items,XLOOKUP($C1862,daily_dates,big_daily_table))),NA(),XLOOKUP(D$3,daily_items,XLOOKUP($C1862,daily_dates,big_daily_table)))</f>
        <v>#N/A</v>
      </c>
      <c r="E1862" s="1" t="str">
        <f t="array" ref="E1862">IF(ISBLANK(XLOOKUP(E$3,daily_items,XLOOKUP($C1862,daily_dates,big_daily_table))),NA(),XLOOKUP(E$3,daily_items,XLOOKUP($C1862,daily_dates,big_daily_table)))</f>
        <v>#N/A</v>
      </c>
    </row>
    <row r="1863" ht="14.25" customHeight="1">
      <c r="B1863" s="7">
        <v>42768.0</v>
      </c>
      <c r="C1863" s="7">
        <f t="shared" si="1"/>
        <v>42764</v>
      </c>
      <c r="D1863" s="1" t="str">
        <f t="array" ref="D1863">IF(ISBLANK(XLOOKUP(D$3,daily_items,XLOOKUP($C1863,daily_dates,big_daily_table))),NA(),XLOOKUP(D$3,daily_items,XLOOKUP($C1863,daily_dates,big_daily_table)))</f>
        <v>#N/A</v>
      </c>
      <c r="E1863" s="1" t="str">
        <f t="array" ref="E1863">IF(ISBLANK(XLOOKUP(E$3,daily_items,XLOOKUP($C1863,daily_dates,big_daily_table))),NA(),XLOOKUP(E$3,daily_items,XLOOKUP($C1863,daily_dates,big_daily_table)))</f>
        <v>#N/A</v>
      </c>
    </row>
    <row r="1864" ht="14.25" customHeight="1">
      <c r="B1864" s="7">
        <v>42769.0</v>
      </c>
      <c r="C1864" s="7">
        <f t="shared" si="1"/>
        <v>42764</v>
      </c>
      <c r="D1864" s="1" t="str">
        <f t="array" ref="D1864">IF(ISBLANK(XLOOKUP(D$3,daily_items,XLOOKUP($C1864,daily_dates,big_daily_table))),NA(),XLOOKUP(D$3,daily_items,XLOOKUP($C1864,daily_dates,big_daily_table)))</f>
        <v>#N/A</v>
      </c>
      <c r="E1864" s="1" t="str">
        <f t="array" ref="E1864">IF(ISBLANK(XLOOKUP(E$3,daily_items,XLOOKUP($C1864,daily_dates,big_daily_table))),NA(),XLOOKUP(E$3,daily_items,XLOOKUP($C1864,daily_dates,big_daily_table)))</f>
        <v>#N/A</v>
      </c>
    </row>
    <row r="1865" ht="14.25" customHeight="1">
      <c r="B1865" s="7">
        <v>42770.0</v>
      </c>
      <c r="C1865" s="7">
        <f t="shared" si="1"/>
        <v>42764</v>
      </c>
      <c r="D1865" s="1" t="str">
        <f t="array" ref="D1865">IF(ISBLANK(XLOOKUP(D$3,daily_items,XLOOKUP($C1865,daily_dates,big_daily_table))),NA(),XLOOKUP(D$3,daily_items,XLOOKUP($C1865,daily_dates,big_daily_table)))</f>
        <v>#N/A</v>
      </c>
      <c r="E1865" s="1" t="str">
        <f t="array" ref="E1865">IF(ISBLANK(XLOOKUP(E$3,daily_items,XLOOKUP($C1865,daily_dates,big_daily_table))),NA(),XLOOKUP(E$3,daily_items,XLOOKUP($C1865,daily_dates,big_daily_table)))</f>
        <v>#N/A</v>
      </c>
    </row>
    <row r="1866" ht="14.25" customHeight="1">
      <c r="B1866" s="7">
        <v>42771.0</v>
      </c>
      <c r="C1866" s="7">
        <f t="shared" si="1"/>
        <v>42771</v>
      </c>
      <c r="D1866" s="1" t="str">
        <f t="array" ref="D1866">IF(ISBLANK(XLOOKUP(D$3,daily_items,XLOOKUP($C1866,daily_dates,big_daily_table))),NA(),XLOOKUP(D$3,daily_items,XLOOKUP($C1866,daily_dates,big_daily_table)))</f>
        <v>#N/A</v>
      </c>
      <c r="E1866" s="1" t="str">
        <f t="array" ref="E1866">IF(ISBLANK(XLOOKUP(E$3,daily_items,XLOOKUP($C1866,daily_dates,big_daily_table))),NA(),XLOOKUP(E$3,daily_items,XLOOKUP($C1866,daily_dates,big_daily_table)))</f>
        <v>#N/A</v>
      </c>
    </row>
    <row r="1867" ht="14.25" customHeight="1">
      <c r="B1867" s="7">
        <v>42772.0</v>
      </c>
      <c r="C1867" s="7">
        <f t="shared" si="1"/>
        <v>42771</v>
      </c>
      <c r="D1867" s="1" t="str">
        <f t="array" ref="D1867">IF(ISBLANK(XLOOKUP(D$3,daily_items,XLOOKUP($C1867,daily_dates,big_daily_table))),NA(),XLOOKUP(D$3,daily_items,XLOOKUP($C1867,daily_dates,big_daily_table)))</f>
        <v>#N/A</v>
      </c>
      <c r="E1867" s="1" t="str">
        <f t="array" ref="E1867">IF(ISBLANK(XLOOKUP(E$3,daily_items,XLOOKUP($C1867,daily_dates,big_daily_table))),NA(),XLOOKUP(E$3,daily_items,XLOOKUP($C1867,daily_dates,big_daily_table)))</f>
        <v>#N/A</v>
      </c>
    </row>
    <row r="1868" ht="14.25" customHeight="1">
      <c r="B1868" s="7">
        <v>42773.0</v>
      </c>
      <c r="C1868" s="7">
        <f t="shared" si="1"/>
        <v>42771</v>
      </c>
      <c r="D1868" s="1" t="str">
        <f t="array" ref="D1868">IF(ISBLANK(XLOOKUP(D$3,daily_items,XLOOKUP($C1868,daily_dates,big_daily_table))),NA(),XLOOKUP(D$3,daily_items,XLOOKUP($C1868,daily_dates,big_daily_table)))</f>
        <v>#N/A</v>
      </c>
      <c r="E1868" s="1" t="str">
        <f t="array" ref="E1868">IF(ISBLANK(XLOOKUP(E$3,daily_items,XLOOKUP($C1868,daily_dates,big_daily_table))),NA(),XLOOKUP(E$3,daily_items,XLOOKUP($C1868,daily_dates,big_daily_table)))</f>
        <v>#N/A</v>
      </c>
    </row>
    <row r="1869" ht="14.25" customHeight="1">
      <c r="B1869" s="7">
        <v>42774.0</v>
      </c>
      <c r="C1869" s="7">
        <f t="shared" si="1"/>
        <v>42771</v>
      </c>
      <c r="D1869" s="1" t="str">
        <f t="array" ref="D1869">IF(ISBLANK(XLOOKUP(D$3,daily_items,XLOOKUP($C1869,daily_dates,big_daily_table))),NA(),XLOOKUP(D$3,daily_items,XLOOKUP($C1869,daily_dates,big_daily_table)))</f>
        <v>#N/A</v>
      </c>
      <c r="E1869" s="1" t="str">
        <f t="array" ref="E1869">IF(ISBLANK(XLOOKUP(E$3,daily_items,XLOOKUP($C1869,daily_dates,big_daily_table))),NA(),XLOOKUP(E$3,daily_items,XLOOKUP($C1869,daily_dates,big_daily_table)))</f>
        <v>#N/A</v>
      </c>
    </row>
    <row r="1870" ht="14.25" customHeight="1">
      <c r="B1870" s="7">
        <v>42775.0</v>
      </c>
      <c r="C1870" s="7">
        <f t="shared" si="1"/>
        <v>42771</v>
      </c>
      <c r="D1870" s="1" t="str">
        <f t="array" ref="D1870">IF(ISBLANK(XLOOKUP(D$3,daily_items,XLOOKUP($C1870,daily_dates,big_daily_table))),NA(),XLOOKUP(D$3,daily_items,XLOOKUP($C1870,daily_dates,big_daily_table)))</f>
        <v>#N/A</v>
      </c>
      <c r="E1870" s="1" t="str">
        <f t="array" ref="E1870">IF(ISBLANK(XLOOKUP(E$3,daily_items,XLOOKUP($C1870,daily_dates,big_daily_table))),NA(),XLOOKUP(E$3,daily_items,XLOOKUP($C1870,daily_dates,big_daily_table)))</f>
        <v>#N/A</v>
      </c>
    </row>
    <row r="1871" ht="14.25" customHeight="1">
      <c r="B1871" s="7">
        <v>42776.0</v>
      </c>
      <c r="C1871" s="7">
        <f t="shared" si="1"/>
        <v>42771</v>
      </c>
      <c r="D1871" s="1" t="str">
        <f t="array" ref="D1871">IF(ISBLANK(XLOOKUP(D$3,daily_items,XLOOKUP($C1871,daily_dates,big_daily_table))),NA(),XLOOKUP(D$3,daily_items,XLOOKUP($C1871,daily_dates,big_daily_table)))</f>
        <v>#N/A</v>
      </c>
      <c r="E1871" s="1" t="str">
        <f t="array" ref="E1871">IF(ISBLANK(XLOOKUP(E$3,daily_items,XLOOKUP($C1871,daily_dates,big_daily_table))),NA(),XLOOKUP(E$3,daily_items,XLOOKUP($C1871,daily_dates,big_daily_table)))</f>
        <v>#N/A</v>
      </c>
    </row>
    <row r="1872" ht="14.25" customHeight="1">
      <c r="B1872" s="7">
        <v>42777.0</v>
      </c>
      <c r="C1872" s="7">
        <f t="shared" si="1"/>
        <v>42771</v>
      </c>
      <c r="D1872" s="1" t="str">
        <f t="array" ref="D1872">IF(ISBLANK(XLOOKUP(D$3,daily_items,XLOOKUP($C1872,daily_dates,big_daily_table))),NA(),XLOOKUP(D$3,daily_items,XLOOKUP($C1872,daily_dates,big_daily_table)))</f>
        <v>#N/A</v>
      </c>
      <c r="E1872" s="1" t="str">
        <f t="array" ref="E1872">IF(ISBLANK(XLOOKUP(E$3,daily_items,XLOOKUP($C1872,daily_dates,big_daily_table))),NA(),XLOOKUP(E$3,daily_items,XLOOKUP($C1872,daily_dates,big_daily_table)))</f>
        <v>#N/A</v>
      </c>
    </row>
    <row r="1873" ht="14.25" customHeight="1">
      <c r="B1873" s="7">
        <v>42778.0</v>
      </c>
      <c r="C1873" s="7">
        <f t="shared" si="1"/>
        <v>42778</v>
      </c>
      <c r="D1873" s="1" t="str">
        <f t="array" ref="D1873">IF(ISBLANK(XLOOKUP(D$3,daily_items,XLOOKUP($C1873,daily_dates,big_daily_table))),NA(),XLOOKUP(D$3,daily_items,XLOOKUP($C1873,daily_dates,big_daily_table)))</f>
        <v>#N/A</v>
      </c>
      <c r="E1873" s="1" t="str">
        <f t="array" ref="E1873">IF(ISBLANK(XLOOKUP(E$3,daily_items,XLOOKUP($C1873,daily_dates,big_daily_table))),NA(),XLOOKUP(E$3,daily_items,XLOOKUP($C1873,daily_dates,big_daily_table)))</f>
        <v>#N/A</v>
      </c>
    </row>
    <row r="1874" ht="14.25" customHeight="1">
      <c r="B1874" s="7">
        <v>42779.0</v>
      </c>
      <c r="C1874" s="7">
        <f t="shared" si="1"/>
        <v>42778</v>
      </c>
      <c r="D1874" s="1" t="str">
        <f t="array" ref="D1874">IF(ISBLANK(XLOOKUP(D$3,daily_items,XLOOKUP($C1874,daily_dates,big_daily_table))),NA(),XLOOKUP(D$3,daily_items,XLOOKUP($C1874,daily_dates,big_daily_table)))</f>
        <v>#N/A</v>
      </c>
      <c r="E1874" s="1" t="str">
        <f t="array" ref="E1874">IF(ISBLANK(XLOOKUP(E$3,daily_items,XLOOKUP($C1874,daily_dates,big_daily_table))),NA(),XLOOKUP(E$3,daily_items,XLOOKUP($C1874,daily_dates,big_daily_table)))</f>
        <v>#N/A</v>
      </c>
    </row>
    <row r="1875" ht="14.25" customHeight="1">
      <c r="B1875" s="7">
        <v>42780.0</v>
      </c>
      <c r="C1875" s="7">
        <f t="shared" si="1"/>
        <v>42778</v>
      </c>
      <c r="D1875" s="1" t="str">
        <f t="array" ref="D1875">IF(ISBLANK(XLOOKUP(D$3,daily_items,XLOOKUP($C1875,daily_dates,big_daily_table))),NA(),XLOOKUP(D$3,daily_items,XLOOKUP($C1875,daily_dates,big_daily_table)))</f>
        <v>#N/A</v>
      </c>
      <c r="E1875" s="1" t="str">
        <f t="array" ref="E1875">IF(ISBLANK(XLOOKUP(E$3,daily_items,XLOOKUP($C1875,daily_dates,big_daily_table))),NA(),XLOOKUP(E$3,daily_items,XLOOKUP($C1875,daily_dates,big_daily_table)))</f>
        <v>#N/A</v>
      </c>
    </row>
    <row r="1876" ht="14.25" customHeight="1">
      <c r="B1876" s="7">
        <v>42781.0</v>
      </c>
      <c r="C1876" s="7">
        <f t="shared" si="1"/>
        <v>42778</v>
      </c>
      <c r="D1876" s="1" t="str">
        <f t="array" ref="D1876">IF(ISBLANK(XLOOKUP(D$3,daily_items,XLOOKUP($C1876,daily_dates,big_daily_table))),NA(),XLOOKUP(D$3,daily_items,XLOOKUP($C1876,daily_dates,big_daily_table)))</f>
        <v>#N/A</v>
      </c>
      <c r="E1876" s="1" t="str">
        <f t="array" ref="E1876">IF(ISBLANK(XLOOKUP(E$3,daily_items,XLOOKUP($C1876,daily_dates,big_daily_table))),NA(),XLOOKUP(E$3,daily_items,XLOOKUP($C1876,daily_dates,big_daily_table)))</f>
        <v>#N/A</v>
      </c>
    </row>
    <row r="1877" ht="14.25" customHeight="1">
      <c r="B1877" s="7">
        <v>42782.0</v>
      </c>
      <c r="C1877" s="7">
        <f t="shared" si="1"/>
        <v>42778</v>
      </c>
      <c r="D1877" s="1" t="str">
        <f t="array" ref="D1877">IF(ISBLANK(XLOOKUP(D$3,daily_items,XLOOKUP($C1877,daily_dates,big_daily_table))),NA(),XLOOKUP(D$3,daily_items,XLOOKUP($C1877,daily_dates,big_daily_table)))</f>
        <v>#N/A</v>
      </c>
      <c r="E1877" s="1" t="str">
        <f t="array" ref="E1877">IF(ISBLANK(XLOOKUP(E$3,daily_items,XLOOKUP($C1877,daily_dates,big_daily_table))),NA(),XLOOKUP(E$3,daily_items,XLOOKUP($C1877,daily_dates,big_daily_table)))</f>
        <v>#N/A</v>
      </c>
    </row>
    <row r="1878" ht="14.25" customHeight="1">
      <c r="B1878" s="7">
        <v>42783.0</v>
      </c>
      <c r="C1878" s="7">
        <f t="shared" si="1"/>
        <v>42778</v>
      </c>
      <c r="D1878" s="1" t="str">
        <f t="array" ref="D1878">IF(ISBLANK(XLOOKUP(D$3,daily_items,XLOOKUP($C1878,daily_dates,big_daily_table))),NA(),XLOOKUP(D$3,daily_items,XLOOKUP($C1878,daily_dates,big_daily_table)))</f>
        <v>#N/A</v>
      </c>
      <c r="E1878" s="1" t="str">
        <f t="array" ref="E1878">IF(ISBLANK(XLOOKUP(E$3,daily_items,XLOOKUP($C1878,daily_dates,big_daily_table))),NA(),XLOOKUP(E$3,daily_items,XLOOKUP($C1878,daily_dates,big_daily_table)))</f>
        <v>#N/A</v>
      </c>
    </row>
    <row r="1879" ht="14.25" customHeight="1">
      <c r="B1879" s="7">
        <v>42784.0</v>
      </c>
      <c r="C1879" s="7">
        <f t="shared" si="1"/>
        <v>42778</v>
      </c>
      <c r="D1879" s="1" t="str">
        <f t="array" ref="D1879">IF(ISBLANK(XLOOKUP(D$3,daily_items,XLOOKUP($C1879,daily_dates,big_daily_table))),NA(),XLOOKUP(D$3,daily_items,XLOOKUP($C1879,daily_dates,big_daily_table)))</f>
        <v>#N/A</v>
      </c>
      <c r="E1879" s="1" t="str">
        <f t="array" ref="E1879">IF(ISBLANK(XLOOKUP(E$3,daily_items,XLOOKUP($C1879,daily_dates,big_daily_table))),NA(),XLOOKUP(E$3,daily_items,XLOOKUP($C1879,daily_dates,big_daily_table)))</f>
        <v>#N/A</v>
      </c>
    </row>
    <row r="1880" ht="14.25" customHeight="1">
      <c r="B1880" s="7">
        <v>42785.0</v>
      </c>
      <c r="C1880" s="7">
        <f t="shared" si="1"/>
        <v>42785</v>
      </c>
      <c r="D1880" s="1" t="str">
        <f t="array" ref="D1880">IF(ISBLANK(XLOOKUP(D$3,daily_items,XLOOKUP($C1880,daily_dates,big_daily_table))),NA(),XLOOKUP(D$3,daily_items,XLOOKUP($C1880,daily_dates,big_daily_table)))</f>
        <v>#N/A</v>
      </c>
      <c r="E1880" s="1" t="str">
        <f t="array" ref="E1880">IF(ISBLANK(XLOOKUP(E$3,daily_items,XLOOKUP($C1880,daily_dates,big_daily_table))),NA(),XLOOKUP(E$3,daily_items,XLOOKUP($C1880,daily_dates,big_daily_table)))</f>
        <v>#N/A</v>
      </c>
    </row>
    <row r="1881" ht="14.25" customHeight="1">
      <c r="B1881" s="7">
        <v>42786.0</v>
      </c>
      <c r="C1881" s="7">
        <f t="shared" si="1"/>
        <v>42785</v>
      </c>
      <c r="D1881" s="1" t="str">
        <f t="array" ref="D1881">IF(ISBLANK(XLOOKUP(D$3,daily_items,XLOOKUP($C1881,daily_dates,big_daily_table))),NA(),XLOOKUP(D$3,daily_items,XLOOKUP($C1881,daily_dates,big_daily_table)))</f>
        <v>#N/A</v>
      </c>
      <c r="E1881" s="1" t="str">
        <f t="array" ref="E1881">IF(ISBLANK(XLOOKUP(E$3,daily_items,XLOOKUP($C1881,daily_dates,big_daily_table))),NA(),XLOOKUP(E$3,daily_items,XLOOKUP($C1881,daily_dates,big_daily_table)))</f>
        <v>#N/A</v>
      </c>
    </row>
    <row r="1882" ht="14.25" customHeight="1">
      <c r="B1882" s="7">
        <v>42787.0</v>
      </c>
      <c r="C1882" s="7">
        <f t="shared" si="1"/>
        <v>42785</v>
      </c>
      <c r="D1882" s="1" t="str">
        <f t="array" ref="D1882">IF(ISBLANK(XLOOKUP(D$3,daily_items,XLOOKUP($C1882,daily_dates,big_daily_table))),NA(),XLOOKUP(D$3,daily_items,XLOOKUP($C1882,daily_dates,big_daily_table)))</f>
        <v>#N/A</v>
      </c>
      <c r="E1882" s="1" t="str">
        <f t="array" ref="E1882">IF(ISBLANK(XLOOKUP(E$3,daily_items,XLOOKUP($C1882,daily_dates,big_daily_table))),NA(),XLOOKUP(E$3,daily_items,XLOOKUP($C1882,daily_dates,big_daily_table)))</f>
        <v>#N/A</v>
      </c>
    </row>
    <row r="1883" ht="14.25" customHeight="1">
      <c r="B1883" s="7">
        <v>42788.0</v>
      </c>
      <c r="C1883" s="7">
        <f t="shared" si="1"/>
        <v>42785</v>
      </c>
      <c r="D1883" s="1" t="str">
        <f t="array" ref="D1883">IF(ISBLANK(XLOOKUP(D$3,daily_items,XLOOKUP($C1883,daily_dates,big_daily_table))),NA(),XLOOKUP(D$3,daily_items,XLOOKUP($C1883,daily_dates,big_daily_table)))</f>
        <v>#N/A</v>
      </c>
      <c r="E1883" s="1" t="str">
        <f t="array" ref="E1883">IF(ISBLANK(XLOOKUP(E$3,daily_items,XLOOKUP($C1883,daily_dates,big_daily_table))),NA(),XLOOKUP(E$3,daily_items,XLOOKUP($C1883,daily_dates,big_daily_table)))</f>
        <v>#N/A</v>
      </c>
    </row>
    <row r="1884" ht="14.25" customHeight="1">
      <c r="B1884" s="7">
        <v>42789.0</v>
      </c>
      <c r="C1884" s="7">
        <f t="shared" si="1"/>
        <v>42785</v>
      </c>
      <c r="D1884" s="1" t="str">
        <f t="array" ref="D1884">IF(ISBLANK(XLOOKUP(D$3,daily_items,XLOOKUP($C1884,daily_dates,big_daily_table))),NA(),XLOOKUP(D$3,daily_items,XLOOKUP($C1884,daily_dates,big_daily_table)))</f>
        <v>#N/A</v>
      </c>
      <c r="E1884" s="1" t="str">
        <f t="array" ref="E1884">IF(ISBLANK(XLOOKUP(E$3,daily_items,XLOOKUP($C1884,daily_dates,big_daily_table))),NA(),XLOOKUP(E$3,daily_items,XLOOKUP($C1884,daily_dates,big_daily_table)))</f>
        <v>#N/A</v>
      </c>
    </row>
    <row r="1885" ht="14.25" customHeight="1">
      <c r="B1885" s="7">
        <v>42790.0</v>
      </c>
      <c r="C1885" s="7">
        <f t="shared" si="1"/>
        <v>42785</v>
      </c>
      <c r="D1885" s="1" t="str">
        <f t="array" ref="D1885">IF(ISBLANK(XLOOKUP(D$3,daily_items,XLOOKUP($C1885,daily_dates,big_daily_table))),NA(),XLOOKUP(D$3,daily_items,XLOOKUP($C1885,daily_dates,big_daily_table)))</f>
        <v>#N/A</v>
      </c>
      <c r="E1885" s="1" t="str">
        <f t="array" ref="E1885">IF(ISBLANK(XLOOKUP(E$3,daily_items,XLOOKUP($C1885,daily_dates,big_daily_table))),NA(),XLOOKUP(E$3,daily_items,XLOOKUP($C1885,daily_dates,big_daily_table)))</f>
        <v>#N/A</v>
      </c>
    </row>
    <row r="1886" ht="14.25" customHeight="1">
      <c r="B1886" s="7">
        <v>42791.0</v>
      </c>
      <c r="C1886" s="7">
        <f t="shared" si="1"/>
        <v>42785</v>
      </c>
      <c r="D1886" s="1" t="str">
        <f t="array" ref="D1886">IF(ISBLANK(XLOOKUP(D$3,daily_items,XLOOKUP($C1886,daily_dates,big_daily_table))),NA(),XLOOKUP(D$3,daily_items,XLOOKUP($C1886,daily_dates,big_daily_table)))</f>
        <v>#N/A</v>
      </c>
      <c r="E1886" s="1" t="str">
        <f t="array" ref="E1886">IF(ISBLANK(XLOOKUP(E$3,daily_items,XLOOKUP($C1886,daily_dates,big_daily_table))),NA(),XLOOKUP(E$3,daily_items,XLOOKUP($C1886,daily_dates,big_daily_table)))</f>
        <v>#N/A</v>
      </c>
    </row>
    <row r="1887" ht="14.25" customHeight="1">
      <c r="B1887" s="7">
        <v>42792.0</v>
      </c>
      <c r="C1887" s="7">
        <f t="shared" si="1"/>
        <v>42792</v>
      </c>
      <c r="D1887" s="1" t="str">
        <f t="array" ref="D1887">IF(ISBLANK(XLOOKUP(D$3,daily_items,XLOOKUP($C1887,daily_dates,big_daily_table))),NA(),XLOOKUP(D$3,daily_items,XLOOKUP($C1887,daily_dates,big_daily_table)))</f>
        <v>#N/A</v>
      </c>
      <c r="E1887" s="1" t="str">
        <f t="array" ref="E1887">IF(ISBLANK(XLOOKUP(E$3,daily_items,XLOOKUP($C1887,daily_dates,big_daily_table))),NA(),XLOOKUP(E$3,daily_items,XLOOKUP($C1887,daily_dates,big_daily_table)))</f>
        <v>#N/A</v>
      </c>
    </row>
    <row r="1888" ht="14.25" customHeight="1">
      <c r="B1888" s="7">
        <v>42793.0</v>
      </c>
      <c r="C1888" s="7">
        <f t="shared" si="1"/>
        <v>42792</v>
      </c>
      <c r="D1888" s="1" t="str">
        <f t="array" ref="D1888">IF(ISBLANK(XLOOKUP(D$3,daily_items,XLOOKUP($C1888,daily_dates,big_daily_table))),NA(),XLOOKUP(D$3,daily_items,XLOOKUP($C1888,daily_dates,big_daily_table)))</f>
        <v>#N/A</v>
      </c>
      <c r="E1888" s="1" t="str">
        <f t="array" ref="E1888">IF(ISBLANK(XLOOKUP(E$3,daily_items,XLOOKUP($C1888,daily_dates,big_daily_table))),NA(),XLOOKUP(E$3,daily_items,XLOOKUP($C1888,daily_dates,big_daily_table)))</f>
        <v>#N/A</v>
      </c>
    </row>
    <row r="1889" ht="14.25" customHeight="1">
      <c r="B1889" s="7">
        <v>42794.0</v>
      </c>
      <c r="C1889" s="7">
        <f t="shared" si="1"/>
        <v>42792</v>
      </c>
      <c r="D1889" s="1" t="str">
        <f t="array" ref="D1889">IF(ISBLANK(XLOOKUP(D$3,daily_items,XLOOKUP($C1889,daily_dates,big_daily_table))),NA(),XLOOKUP(D$3,daily_items,XLOOKUP($C1889,daily_dates,big_daily_table)))</f>
        <v>#N/A</v>
      </c>
      <c r="E1889" s="1" t="str">
        <f t="array" ref="E1889">IF(ISBLANK(XLOOKUP(E$3,daily_items,XLOOKUP($C1889,daily_dates,big_daily_table))),NA(),XLOOKUP(E$3,daily_items,XLOOKUP($C1889,daily_dates,big_daily_table)))</f>
        <v>#N/A</v>
      </c>
    </row>
    <row r="1890" ht="14.25" customHeight="1">
      <c r="B1890" s="7">
        <v>42795.0</v>
      </c>
      <c r="C1890" s="7">
        <f t="shared" si="1"/>
        <v>42792</v>
      </c>
      <c r="D1890" s="1" t="str">
        <f t="array" ref="D1890">IF(ISBLANK(XLOOKUP(D$3,daily_items,XLOOKUP($C1890,daily_dates,big_daily_table))),NA(),XLOOKUP(D$3,daily_items,XLOOKUP($C1890,daily_dates,big_daily_table)))</f>
        <v>#N/A</v>
      </c>
      <c r="E1890" s="1" t="str">
        <f t="array" ref="E1890">IF(ISBLANK(XLOOKUP(E$3,daily_items,XLOOKUP($C1890,daily_dates,big_daily_table))),NA(),XLOOKUP(E$3,daily_items,XLOOKUP($C1890,daily_dates,big_daily_table)))</f>
        <v>#N/A</v>
      </c>
    </row>
    <row r="1891" ht="14.25" customHeight="1">
      <c r="B1891" s="7">
        <v>42796.0</v>
      </c>
      <c r="C1891" s="7">
        <f t="shared" si="1"/>
        <v>42792</v>
      </c>
      <c r="D1891" s="1" t="str">
        <f t="array" ref="D1891">IF(ISBLANK(XLOOKUP(D$3,daily_items,XLOOKUP($C1891,daily_dates,big_daily_table))),NA(),XLOOKUP(D$3,daily_items,XLOOKUP($C1891,daily_dates,big_daily_table)))</f>
        <v>#N/A</v>
      </c>
      <c r="E1891" s="1" t="str">
        <f t="array" ref="E1891">IF(ISBLANK(XLOOKUP(E$3,daily_items,XLOOKUP($C1891,daily_dates,big_daily_table))),NA(),XLOOKUP(E$3,daily_items,XLOOKUP($C1891,daily_dates,big_daily_table)))</f>
        <v>#N/A</v>
      </c>
    </row>
    <row r="1892" ht="14.25" customHeight="1">
      <c r="B1892" s="7">
        <v>42797.0</v>
      </c>
      <c r="C1892" s="7">
        <f t="shared" si="1"/>
        <v>42792</v>
      </c>
      <c r="D1892" s="1" t="str">
        <f t="array" ref="D1892">IF(ISBLANK(XLOOKUP(D$3,daily_items,XLOOKUP($C1892,daily_dates,big_daily_table))),NA(),XLOOKUP(D$3,daily_items,XLOOKUP($C1892,daily_dates,big_daily_table)))</f>
        <v>#N/A</v>
      </c>
      <c r="E1892" s="1" t="str">
        <f t="array" ref="E1892">IF(ISBLANK(XLOOKUP(E$3,daily_items,XLOOKUP($C1892,daily_dates,big_daily_table))),NA(),XLOOKUP(E$3,daily_items,XLOOKUP($C1892,daily_dates,big_daily_table)))</f>
        <v>#N/A</v>
      </c>
    </row>
    <row r="1893" ht="14.25" customHeight="1">
      <c r="B1893" s="7">
        <v>42798.0</v>
      </c>
      <c r="C1893" s="7">
        <f t="shared" si="1"/>
        <v>42792</v>
      </c>
      <c r="D1893" s="1" t="str">
        <f t="array" ref="D1893">IF(ISBLANK(XLOOKUP(D$3,daily_items,XLOOKUP($C1893,daily_dates,big_daily_table))),NA(),XLOOKUP(D$3,daily_items,XLOOKUP($C1893,daily_dates,big_daily_table)))</f>
        <v>#N/A</v>
      </c>
      <c r="E1893" s="1" t="str">
        <f t="array" ref="E1893">IF(ISBLANK(XLOOKUP(E$3,daily_items,XLOOKUP($C1893,daily_dates,big_daily_table))),NA(),XLOOKUP(E$3,daily_items,XLOOKUP($C1893,daily_dates,big_daily_table)))</f>
        <v>#N/A</v>
      </c>
    </row>
    <row r="1894" ht="14.25" customHeight="1">
      <c r="B1894" s="7">
        <v>42799.0</v>
      </c>
      <c r="C1894" s="7">
        <f t="shared" si="1"/>
        <v>42799</v>
      </c>
      <c r="D1894" s="1" t="str">
        <f t="array" ref="D1894">IF(ISBLANK(XLOOKUP(D$3,daily_items,XLOOKUP($C1894,daily_dates,big_daily_table))),NA(),XLOOKUP(D$3,daily_items,XLOOKUP($C1894,daily_dates,big_daily_table)))</f>
        <v>#N/A</v>
      </c>
      <c r="E1894" s="1" t="str">
        <f t="array" ref="E1894">IF(ISBLANK(XLOOKUP(E$3,daily_items,XLOOKUP($C1894,daily_dates,big_daily_table))),NA(),XLOOKUP(E$3,daily_items,XLOOKUP($C1894,daily_dates,big_daily_table)))</f>
        <v>#N/A</v>
      </c>
    </row>
    <row r="1895" ht="14.25" customHeight="1">
      <c r="B1895" s="7">
        <v>42800.0</v>
      </c>
      <c r="C1895" s="7">
        <f t="shared" si="1"/>
        <v>42799</v>
      </c>
      <c r="D1895" s="1" t="str">
        <f t="array" ref="D1895">IF(ISBLANK(XLOOKUP(D$3,daily_items,XLOOKUP($C1895,daily_dates,big_daily_table))),NA(),XLOOKUP(D$3,daily_items,XLOOKUP($C1895,daily_dates,big_daily_table)))</f>
        <v>#N/A</v>
      </c>
      <c r="E1895" s="1" t="str">
        <f t="array" ref="E1895">IF(ISBLANK(XLOOKUP(E$3,daily_items,XLOOKUP($C1895,daily_dates,big_daily_table))),NA(),XLOOKUP(E$3,daily_items,XLOOKUP($C1895,daily_dates,big_daily_table)))</f>
        <v>#N/A</v>
      </c>
    </row>
    <row r="1896" ht="14.25" customHeight="1">
      <c r="B1896" s="7">
        <v>42801.0</v>
      </c>
      <c r="C1896" s="7">
        <f t="shared" si="1"/>
        <v>42799</v>
      </c>
      <c r="D1896" s="1" t="str">
        <f t="array" ref="D1896">IF(ISBLANK(XLOOKUP(D$3,daily_items,XLOOKUP($C1896,daily_dates,big_daily_table))),NA(),XLOOKUP(D$3,daily_items,XLOOKUP($C1896,daily_dates,big_daily_table)))</f>
        <v>#N/A</v>
      </c>
      <c r="E1896" s="1" t="str">
        <f t="array" ref="E1896">IF(ISBLANK(XLOOKUP(E$3,daily_items,XLOOKUP($C1896,daily_dates,big_daily_table))),NA(),XLOOKUP(E$3,daily_items,XLOOKUP($C1896,daily_dates,big_daily_table)))</f>
        <v>#N/A</v>
      </c>
    </row>
    <row r="1897" ht="14.25" customHeight="1">
      <c r="B1897" s="7">
        <v>42802.0</v>
      </c>
      <c r="C1897" s="7">
        <f t="shared" si="1"/>
        <v>42799</v>
      </c>
      <c r="D1897" s="1" t="str">
        <f t="array" ref="D1897">IF(ISBLANK(XLOOKUP(D$3,daily_items,XLOOKUP($C1897,daily_dates,big_daily_table))),NA(),XLOOKUP(D$3,daily_items,XLOOKUP($C1897,daily_dates,big_daily_table)))</f>
        <v>#N/A</v>
      </c>
      <c r="E1897" s="1" t="str">
        <f t="array" ref="E1897">IF(ISBLANK(XLOOKUP(E$3,daily_items,XLOOKUP($C1897,daily_dates,big_daily_table))),NA(),XLOOKUP(E$3,daily_items,XLOOKUP($C1897,daily_dates,big_daily_table)))</f>
        <v>#N/A</v>
      </c>
    </row>
    <row r="1898" ht="14.25" customHeight="1">
      <c r="B1898" s="7">
        <v>42803.0</v>
      </c>
      <c r="C1898" s="7">
        <f t="shared" si="1"/>
        <v>42799</v>
      </c>
      <c r="D1898" s="1" t="str">
        <f t="array" ref="D1898">IF(ISBLANK(XLOOKUP(D$3,daily_items,XLOOKUP($C1898,daily_dates,big_daily_table))),NA(),XLOOKUP(D$3,daily_items,XLOOKUP($C1898,daily_dates,big_daily_table)))</f>
        <v>#N/A</v>
      </c>
      <c r="E1898" s="1" t="str">
        <f t="array" ref="E1898">IF(ISBLANK(XLOOKUP(E$3,daily_items,XLOOKUP($C1898,daily_dates,big_daily_table))),NA(),XLOOKUP(E$3,daily_items,XLOOKUP($C1898,daily_dates,big_daily_table)))</f>
        <v>#N/A</v>
      </c>
    </row>
    <row r="1899" ht="14.25" customHeight="1">
      <c r="B1899" s="7">
        <v>42804.0</v>
      </c>
      <c r="C1899" s="7">
        <f t="shared" si="1"/>
        <v>42799</v>
      </c>
      <c r="D1899" s="1" t="str">
        <f t="array" ref="D1899">IF(ISBLANK(XLOOKUP(D$3,daily_items,XLOOKUP($C1899,daily_dates,big_daily_table))),NA(),XLOOKUP(D$3,daily_items,XLOOKUP($C1899,daily_dates,big_daily_table)))</f>
        <v>#N/A</v>
      </c>
      <c r="E1899" s="1" t="str">
        <f t="array" ref="E1899">IF(ISBLANK(XLOOKUP(E$3,daily_items,XLOOKUP($C1899,daily_dates,big_daily_table))),NA(),XLOOKUP(E$3,daily_items,XLOOKUP($C1899,daily_dates,big_daily_table)))</f>
        <v>#N/A</v>
      </c>
    </row>
    <row r="1900" ht="14.25" customHeight="1">
      <c r="B1900" s="7">
        <v>42805.0</v>
      </c>
      <c r="C1900" s="7">
        <f t="shared" si="1"/>
        <v>42799</v>
      </c>
      <c r="D1900" s="1" t="str">
        <f t="array" ref="D1900">IF(ISBLANK(XLOOKUP(D$3,daily_items,XLOOKUP($C1900,daily_dates,big_daily_table))),NA(),XLOOKUP(D$3,daily_items,XLOOKUP($C1900,daily_dates,big_daily_table)))</f>
        <v>#N/A</v>
      </c>
      <c r="E1900" s="1" t="str">
        <f t="array" ref="E1900">IF(ISBLANK(XLOOKUP(E$3,daily_items,XLOOKUP($C1900,daily_dates,big_daily_table))),NA(),XLOOKUP(E$3,daily_items,XLOOKUP($C1900,daily_dates,big_daily_table)))</f>
        <v>#N/A</v>
      </c>
    </row>
    <row r="1901" ht="14.25" customHeight="1">
      <c r="B1901" s="7">
        <v>42806.0</v>
      </c>
      <c r="C1901" s="7">
        <f t="shared" si="1"/>
        <v>42806</v>
      </c>
      <c r="D1901" s="1" t="str">
        <f t="array" ref="D1901">IF(ISBLANK(XLOOKUP(D$3,daily_items,XLOOKUP($C1901,daily_dates,big_daily_table))),NA(),XLOOKUP(D$3,daily_items,XLOOKUP($C1901,daily_dates,big_daily_table)))</f>
        <v>#N/A</v>
      </c>
      <c r="E1901" s="1" t="str">
        <f t="array" ref="E1901">IF(ISBLANK(XLOOKUP(E$3,daily_items,XLOOKUP($C1901,daily_dates,big_daily_table))),NA(),XLOOKUP(E$3,daily_items,XLOOKUP($C1901,daily_dates,big_daily_table)))</f>
        <v>#N/A</v>
      </c>
    </row>
    <row r="1902" ht="14.25" customHeight="1">
      <c r="B1902" s="7">
        <v>42807.0</v>
      </c>
      <c r="C1902" s="7">
        <f t="shared" si="1"/>
        <v>42806</v>
      </c>
      <c r="D1902" s="1" t="str">
        <f t="array" ref="D1902">IF(ISBLANK(XLOOKUP(D$3,daily_items,XLOOKUP($C1902,daily_dates,big_daily_table))),NA(),XLOOKUP(D$3,daily_items,XLOOKUP($C1902,daily_dates,big_daily_table)))</f>
        <v>#N/A</v>
      </c>
      <c r="E1902" s="1" t="str">
        <f t="array" ref="E1902">IF(ISBLANK(XLOOKUP(E$3,daily_items,XLOOKUP($C1902,daily_dates,big_daily_table))),NA(),XLOOKUP(E$3,daily_items,XLOOKUP($C1902,daily_dates,big_daily_table)))</f>
        <v>#N/A</v>
      </c>
    </row>
    <row r="1903" ht="14.25" customHeight="1">
      <c r="B1903" s="7">
        <v>42808.0</v>
      </c>
      <c r="C1903" s="7">
        <f t="shared" si="1"/>
        <v>42806</v>
      </c>
      <c r="D1903" s="1" t="str">
        <f t="array" ref="D1903">IF(ISBLANK(XLOOKUP(D$3,daily_items,XLOOKUP($C1903,daily_dates,big_daily_table))),NA(),XLOOKUP(D$3,daily_items,XLOOKUP($C1903,daily_dates,big_daily_table)))</f>
        <v>#N/A</v>
      </c>
      <c r="E1903" s="1" t="str">
        <f t="array" ref="E1903">IF(ISBLANK(XLOOKUP(E$3,daily_items,XLOOKUP($C1903,daily_dates,big_daily_table))),NA(),XLOOKUP(E$3,daily_items,XLOOKUP($C1903,daily_dates,big_daily_table)))</f>
        <v>#N/A</v>
      </c>
    </row>
    <row r="1904" ht="14.25" customHeight="1">
      <c r="B1904" s="7">
        <v>42809.0</v>
      </c>
      <c r="C1904" s="7">
        <f t="shared" si="1"/>
        <v>42806</v>
      </c>
      <c r="D1904" s="1" t="str">
        <f t="array" ref="D1904">IF(ISBLANK(XLOOKUP(D$3,daily_items,XLOOKUP($C1904,daily_dates,big_daily_table))),NA(),XLOOKUP(D$3,daily_items,XLOOKUP($C1904,daily_dates,big_daily_table)))</f>
        <v>#N/A</v>
      </c>
      <c r="E1904" s="1" t="str">
        <f t="array" ref="E1904">IF(ISBLANK(XLOOKUP(E$3,daily_items,XLOOKUP($C1904,daily_dates,big_daily_table))),NA(),XLOOKUP(E$3,daily_items,XLOOKUP($C1904,daily_dates,big_daily_table)))</f>
        <v>#N/A</v>
      </c>
    </row>
    <row r="1905" ht="14.25" customHeight="1">
      <c r="B1905" s="7">
        <v>42810.0</v>
      </c>
      <c r="C1905" s="7">
        <f t="shared" si="1"/>
        <v>42806</v>
      </c>
      <c r="D1905" s="1" t="str">
        <f t="array" ref="D1905">IF(ISBLANK(XLOOKUP(D$3,daily_items,XLOOKUP($C1905,daily_dates,big_daily_table))),NA(),XLOOKUP(D$3,daily_items,XLOOKUP($C1905,daily_dates,big_daily_table)))</f>
        <v>#N/A</v>
      </c>
      <c r="E1905" s="1" t="str">
        <f t="array" ref="E1905">IF(ISBLANK(XLOOKUP(E$3,daily_items,XLOOKUP($C1905,daily_dates,big_daily_table))),NA(),XLOOKUP(E$3,daily_items,XLOOKUP($C1905,daily_dates,big_daily_table)))</f>
        <v>#N/A</v>
      </c>
    </row>
    <row r="1906" ht="14.25" customHeight="1">
      <c r="B1906" s="7">
        <v>42811.0</v>
      </c>
      <c r="C1906" s="7">
        <f t="shared" si="1"/>
        <v>42806</v>
      </c>
      <c r="D1906" s="1" t="str">
        <f t="array" ref="D1906">IF(ISBLANK(XLOOKUP(D$3,daily_items,XLOOKUP($C1906,daily_dates,big_daily_table))),NA(),XLOOKUP(D$3,daily_items,XLOOKUP($C1906,daily_dates,big_daily_table)))</f>
        <v>#N/A</v>
      </c>
      <c r="E1906" s="1" t="str">
        <f t="array" ref="E1906">IF(ISBLANK(XLOOKUP(E$3,daily_items,XLOOKUP($C1906,daily_dates,big_daily_table))),NA(),XLOOKUP(E$3,daily_items,XLOOKUP($C1906,daily_dates,big_daily_table)))</f>
        <v>#N/A</v>
      </c>
    </row>
    <row r="1907" ht="14.25" customHeight="1">
      <c r="B1907" s="7">
        <v>42812.0</v>
      </c>
      <c r="C1907" s="7">
        <f t="shared" si="1"/>
        <v>42806</v>
      </c>
      <c r="D1907" s="1" t="str">
        <f t="array" ref="D1907">IF(ISBLANK(XLOOKUP(D$3,daily_items,XLOOKUP($C1907,daily_dates,big_daily_table))),NA(),XLOOKUP(D$3,daily_items,XLOOKUP($C1907,daily_dates,big_daily_table)))</f>
        <v>#N/A</v>
      </c>
      <c r="E1907" s="1" t="str">
        <f t="array" ref="E1907">IF(ISBLANK(XLOOKUP(E$3,daily_items,XLOOKUP($C1907,daily_dates,big_daily_table))),NA(),XLOOKUP(E$3,daily_items,XLOOKUP($C1907,daily_dates,big_daily_table)))</f>
        <v>#N/A</v>
      </c>
    </row>
    <row r="1908" ht="14.25" customHeight="1">
      <c r="B1908" s="7">
        <v>42813.0</v>
      </c>
      <c r="C1908" s="7">
        <f t="shared" si="1"/>
        <v>42813</v>
      </c>
      <c r="D1908" s="1" t="str">
        <f t="array" ref="D1908">IF(ISBLANK(XLOOKUP(D$3,daily_items,XLOOKUP($C1908,daily_dates,big_daily_table))),NA(),XLOOKUP(D$3,daily_items,XLOOKUP($C1908,daily_dates,big_daily_table)))</f>
        <v>#N/A</v>
      </c>
      <c r="E1908" s="1" t="str">
        <f t="array" ref="E1908">IF(ISBLANK(XLOOKUP(E$3,daily_items,XLOOKUP($C1908,daily_dates,big_daily_table))),NA(),XLOOKUP(E$3,daily_items,XLOOKUP($C1908,daily_dates,big_daily_table)))</f>
        <v>#N/A</v>
      </c>
    </row>
    <row r="1909" ht="14.25" customHeight="1">
      <c r="B1909" s="7">
        <v>42814.0</v>
      </c>
      <c r="C1909" s="7">
        <f t="shared" si="1"/>
        <v>42813</v>
      </c>
      <c r="D1909" s="1" t="str">
        <f t="array" ref="D1909">IF(ISBLANK(XLOOKUP(D$3,daily_items,XLOOKUP($C1909,daily_dates,big_daily_table))),NA(),XLOOKUP(D$3,daily_items,XLOOKUP($C1909,daily_dates,big_daily_table)))</f>
        <v>#N/A</v>
      </c>
      <c r="E1909" s="1" t="str">
        <f t="array" ref="E1909">IF(ISBLANK(XLOOKUP(E$3,daily_items,XLOOKUP($C1909,daily_dates,big_daily_table))),NA(),XLOOKUP(E$3,daily_items,XLOOKUP($C1909,daily_dates,big_daily_table)))</f>
        <v>#N/A</v>
      </c>
    </row>
    <row r="1910" ht="14.25" customHeight="1">
      <c r="B1910" s="7">
        <v>42815.0</v>
      </c>
      <c r="C1910" s="7">
        <f t="shared" si="1"/>
        <v>42813</v>
      </c>
      <c r="D1910" s="1" t="str">
        <f t="array" ref="D1910">IF(ISBLANK(XLOOKUP(D$3,daily_items,XLOOKUP($C1910,daily_dates,big_daily_table))),NA(),XLOOKUP(D$3,daily_items,XLOOKUP($C1910,daily_dates,big_daily_table)))</f>
        <v>#N/A</v>
      </c>
      <c r="E1910" s="1" t="str">
        <f t="array" ref="E1910">IF(ISBLANK(XLOOKUP(E$3,daily_items,XLOOKUP($C1910,daily_dates,big_daily_table))),NA(),XLOOKUP(E$3,daily_items,XLOOKUP($C1910,daily_dates,big_daily_table)))</f>
        <v>#N/A</v>
      </c>
    </row>
    <row r="1911" ht="14.25" customHeight="1">
      <c r="B1911" s="7">
        <v>42816.0</v>
      </c>
      <c r="C1911" s="7">
        <f t="shared" si="1"/>
        <v>42813</v>
      </c>
      <c r="D1911" s="1" t="str">
        <f t="array" ref="D1911">IF(ISBLANK(XLOOKUP(D$3,daily_items,XLOOKUP($C1911,daily_dates,big_daily_table))),NA(),XLOOKUP(D$3,daily_items,XLOOKUP($C1911,daily_dates,big_daily_table)))</f>
        <v>#N/A</v>
      </c>
      <c r="E1911" s="1" t="str">
        <f t="array" ref="E1911">IF(ISBLANK(XLOOKUP(E$3,daily_items,XLOOKUP($C1911,daily_dates,big_daily_table))),NA(),XLOOKUP(E$3,daily_items,XLOOKUP($C1911,daily_dates,big_daily_table)))</f>
        <v>#N/A</v>
      </c>
    </row>
    <row r="1912" ht="14.25" customHeight="1">
      <c r="B1912" s="7">
        <v>42817.0</v>
      </c>
      <c r="C1912" s="7">
        <f t="shared" si="1"/>
        <v>42813</v>
      </c>
      <c r="D1912" s="1" t="str">
        <f t="array" ref="D1912">IF(ISBLANK(XLOOKUP(D$3,daily_items,XLOOKUP($C1912,daily_dates,big_daily_table))),NA(),XLOOKUP(D$3,daily_items,XLOOKUP($C1912,daily_dates,big_daily_table)))</f>
        <v>#N/A</v>
      </c>
      <c r="E1912" s="1" t="str">
        <f t="array" ref="E1912">IF(ISBLANK(XLOOKUP(E$3,daily_items,XLOOKUP($C1912,daily_dates,big_daily_table))),NA(),XLOOKUP(E$3,daily_items,XLOOKUP($C1912,daily_dates,big_daily_table)))</f>
        <v>#N/A</v>
      </c>
    </row>
    <row r="1913" ht="14.25" customHeight="1">
      <c r="B1913" s="7">
        <v>42818.0</v>
      </c>
      <c r="C1913" s="7">
        <f t="shared" si="1"/>
        <v>42813</v>
      </c>
      <c r="D1913" s="1" t="str">
        <f t="array" ref="D1913">IF(ISBLANK(XLOOKUP(D$3,daily_items,XLOOKUP($C1913,daily_dates,big_daily_table))),NA(),XLOOKUP(D$3,daily_items,XLOOKUP($C1913,daily_dates,big_daily_table)))</f>
        <v>#N/A</v>
      </c>
      <c r="E1913" s="1" t="str">
        <f t="array" ref="E1913">IF(ISBLANK(XLOOKUP(E$3,daily_items,XLOOKUP($C1913,daily_dates,big_daily_table))),NA(),XLOOKUP(E$3,daily_items,XLOOKUP($C1913,daily_dates,big_daily_table)))</f>
        <v>#N/A</v>
      </c>
    </row>
    <row r="1914" ht="14.25" customHeight="1">
      <c r="B1914" s="7">
        <v>42819.0</v>
      </c>
      <c r="C1914" s="7">
        <f t="shared" si="1"/>
        <v>42813</v>
      </c>
      <c r="D1914" s="1" t="str">
        <f t="array" ref="D1914">IF(ISBLANK(XLOOKUP(D$3,daily_items,XLOOKUP($C1914,daily_dates,big_daily_table))),NA(),XLOOKUP(D$3,daily_items,XLOOKUP($C1914,daily_dates,big_daily_table)))</f>
        <v>#N/A</v>
      </c>
      <c r="E1914" s="1" t="str">
        <f t="array" ref="E1914">IF(ISBLANK(XLOOKUP(E$3,daily_items,XLOOKUP($C1914,daily_dates,big_daily_table))),NA(),XLOOKUP(E$3,daily_items,XLOOKUP($C1914,daily_dates,big_daily_table)))</f>
        <v>#N/A</v>
      </c>
    </row>
    <row r="1915" ht="14.25" customHeight="1">
      <c r="B1915" s="7">
        <v>42820.0</v>
      </c>
      <c r="C1915" s="7">
        <f t="shared" si="1"/>
        <v>42820</v>
      </c>
      <c r="D1915" s="1" t="str">
        <f t="array" ref="D1915">IF(ISBLANK(XLOOKUP(D$3,daily_items,XLOOKUP($C1915,daily_dates,big_daily_table))),NA(),XLOOKUP(D$3,daily_items,XLOOKUP($C1915,daily_dates,big_daily_table)))</f>
        <v>#N/A</v>
      </c>
      <c r="E1915" s="1" t="str">
        <f t="array" ref="E1915">IF(ISBLANK(XLOOKUP(E$3,daily_items,XLOOKUP($C1915,daily_dates,big_daily_table))),NA(),XLOOKUP(E$3,daily_items,XLOOKUP($C1915,daily_dates,big_daily_table)))</f>
        <v>#N/A</v>
      </c>
    </row>
    <row r="1916" ht="14.25" customHeight="1">
      <c r="B1916" s="7">
        <v>42821.0</v>
      </c>
      <c r="C1916" s="7">
        <f t="shared" si="1"/>
        <v>42820</v>
      </c>
      <c r="D1916" s="1" t="str">
        <f t="array" ref="D1916">IF(ISBLANK(XLOOKUP(D$3,daily_items,XLOOKUP($C1916,daily_dates,big_daily_table))),NA(),XLOOKUP(D$3,daily_items,XLOOKUP($C1916,daily_dates,big_daily_table)))</f>
        <v>#N/A</v>
      </c>
      <c r="E1916" s="1" t="str">
        <f t="array" ref="E1916">IF(ISBLANK(XLOOKUP(E$3,daily_items,XLOOKUP($C1916,daily_dates,big_daily_table))),NA(),XLOOKUP(E$3,daily_items,XLOOKUP($C1916,daily_dates,big_daily_table)))</f>
        <v>#N/A</v>
      </c>
    </row>
    <row r="1917" ht="14.25" customHeight="1">
      <c r="B1917" s="7">
        <v>42822.0</v>
      </c>
      <c r="C1917" s="7">
        <f t="shared" si="1"/>
        <v>42820</v>
      </c>
      <c r="D1917" s="1" t="str">
        <f t="array" ref="D1917">IF(ISBLANK(XLOOKUP(D$3,daily_items,XLOOKUP($C1917,daily_dates,big_daily_table))),NA(),XLOOKUP(D$3,daily_items,XLOOKUP($C1917,daily_dates,big_daily_table)))</f>
        <v>#N/A</v>
      </c>
      <c r="E1917" s="1" t="str">
        <f t="array" ref="E1917">IF(ISBLANK(XLOOKUP(E$3,daily_items,XLOOKUP($C1917,daily_dates,big_daily_table))),NA(),XLOOKUP(E$3,daily_items,XLOOKUP($C1917,daily_dates,big_daily_table)))</f>
        <v>#N/A</v>
      </c>
    </row>
    <row r="1918" ht="14.25" customHeight="1">
      <c r="B1918" s="7">
        <v>42823.0</v>
      </c>
      <c r="C1918" s="7">
        <f t="shared" si="1"/>
        <v>42820</v>
      </c>
      <c r="D1918" s="1" t="str">
        <f t="array" ref="D1918">IF(ISBLANK(XLOOKUP(D$3,daily_items,XLOOKUP($C1918,daily_dates,big_daily_table))),NA(),XLOOKUP(D$3,daily_items,XLOOKUP($C1918,daily_dates,big_daily_table)))</f>
        <v>#N/A</v>
      </c>
      <c r="E1918" s="1" t="str">
        <f t="array" ref="E1918">IF(ISBLANK(XLOOKUP(E$3,daily_items,XLOOKUP($C1918,daily_dates,big_daily_table))),NA(),XLOOKUP(E$3,daily_items,XLOOKUP($C1918,daily_dates,big_daily_table)))</f>
        <v>#N/A</v>
      </c>
    </row>
    <row r="1919" ht="14.25" customHeight="1">
      <c r="B1919" s="7">
        <v>42824.0</v>
      </c>
      <c r="C1919" s="7">
        <f t="shared" si="1"/>
        <v>42820</v>
      </c>
      <c r="D1919" s="1" t="str">
        <f t="array" ref="D1919">IF(ISBLANK(XLOOKUP(D$3,daily_items,XLOOKUP($C1919,daily_dates,big_daily_table))),NA(),XLOOKUP(D$3,daily_items,XLOOKUP($C1919,daily_dates,big_daily_table)))</f>
        <v>#N/A</v>
      </c>
      <c r="E1919" s="1" t="str">
        <f t="array" ref="E1919">IF(ISBLANK(XLOOKUP(E$3,daily_items,XLOOKUP($C1919,daily_dates,big_daily_table))),NA(),XLOOKUP(E$3,daily_items,XLOOKUP($C1919,daily_dates,big_daily_table)))</f>
        <v>#N/A</v>
      </c>
    </row>
    <row r="1920" ht="14.25" customHeight="1">
      <c r="B1920" s="7">
        <v>42825.0</v>
      </c>
      <c r="C1920" s="7">
        <f t="shared" si="1"/>
        <v>42820</v>
      </c>
      <c r="D1920" s="1" t="str">
        <f t="array" ref="D1920">IF(ISBLANK(XLOOKUP(D$3,daily_items,XLOOKUP($C1920,daily_dates,big_daily_table))),NA(),XLOOKUP(D$3,daily_items,XLOOKUP($C1920,daily_dates,big_daily_table)))</f>
        <v>#N/A</v>
      </c>
      <c r="E1920" s="1" t="str">
        <f t="array" ref="E1920">IF(ISBLANK(XLOOKUP(E$3,daily_items,XLOOKUP($C1920,daily_dates,big_daily_table))),NA(),XLOOKUP(E$3,daily_items,XLOOKUP($C1920,daily_dates,big_daily_table)))</f>
        <v>#N/A</v>
      </c>
    </row>
    <row r="1921" ht="14.25" customHeight="1">
      <c r="B1921" s="7">
        <v>42826.0</v>
      </c>
      <c r="C1921" s="7">
        <f t="shared" si="1"/>
        <v>42820</v>
      </c>
      <c r="D1921" s="1" t="str">
        <f t="array" ref="D1921">IF(ISBLANK(XLOOKUP(D$3,daily_items,XLOOKUP($C1921,daily_dates,big_daily_table))),NA(),XLOOKUP(D$3,daily_items,XLOOKUP($C1921,daily_dates,big_daily_table)))</f>
        <v>#N/A</v>
      </c>
      <c r="E1921" s="1" t="str">
        <f t="array" ref="E1921">IF(ISBLANK(XLOOKUP(E$3,daily_items,XLOOKUP($C1921,daily_dates,big_daily_table))),NA(),XLOOKUP(E$3,daily_items,XLOOKUP($C1921,daily_dates,big_daily_table)))</f>
        <v>#N/A</v>
      </c>
    </row>
    <row r="1922" ht="14.25" customHeight="1">
      <c r="B1922" s="7">
        <v>42827.0</v>
      </c>
      <c r="C1922" s="7">
        <f t="shared" si="1"/>
        <v>42827</v>
      </c>
      <c r="D1922" s="1" t="str">
        <f t="array" ref="D1922">IF(ISBLANK(XLOOKUP(D$3,daily_items,XLOOKUP($C1922,daily_dates,big_daily_table))),NA(),XLOOKUP(D$3,daily_items,XLOOKUP($C1922,daily_dates,big_daily_table)))</f>
        <v>#N/A</v>
      </c>
      <c r="E1922" s="1" t="str">
        <f t="array" ref="E1922">IF(ISBLANK(XLOOKUP(E$3,daily_items,XLOOKUP($C1922,daily_dates,big_daily_table))),NA(),XLOOKUP(E$3,daily_items,XLOOKUP($C1922,daily_dates,big_daily_table)))</f>
        <v>#N/A</v>
      </c>
    </row>
    <row r="1923" ht="14.25" customHeight="1">
      <c r="B1923" s="7">
        <v>42828.0</v>
      </c>
      <c r="C1923" s="7">
        <f t="shared" si="1"/>
        <v>42827</v>
      </c>
      <c r="D1923" s="1" t="str">
        <f t="array" ref="D1923">IF(ISBLANK(XLOOKUP(D$3,daily_items,XLOOKUP($C1923,daily_dates,big_daily_table))),NA(),XLOOKUP(D$3,daily_items,XLOOKUP($C1923,daily_dates,big_daily_table)))</f>
        <v>#N/A</v>
      </c>
      <c r="E1923" s="1" t="str">
        <f t="array" ref="E1923">IF(ISBLANK(XLOOKUP(E$3,daily_items,XLOOKUP($C1923,daily_dates,big_daily_table))),NA(),XLOOKUP(E$3,daily_items,XLOOKUP($C1923,daily_dates,big_daily_table)))</f>
        <v>#N/A</v>
      </c>
    </row>
    <row r="1924" ht="14.25" customHeight="1">
      <c r="B1924" s="7">
        <v>42829.0</v>
      </c>
      <c r="C1924" s="7">
        <f t="shared" si="1"/>
        <v>42827</v>
      </c>
      <c r="D1924" s="1" t="str">
        <f t="array" ref="D1924">IF(ISBLANK(XLOOKUP(D$3,daily_items,XLOOKUP($C1924,daily_dates,big_daily_table))),NA(),XLOOKUP(D$3,daily_items,XLOOKUP($C1924,daily_dates,big_daily_table)))</f>
        <v>#N/A</v>
      </c>
      <c r="E1924" s="1" t="str">
        <f t="array" ref="E1924">IF(ISBLANK(XLOOKUP(E$3,daily_items,XLOOKUP($C1924,daily_dates,big_daily_table))),NA(),XLOOKUP(E$3,daily_items,XLOOKUP($C1924,daily_dates,big_daily_table)))</f>
        <v>#N/A</v>
      </c>
    </row>
    <row r="1925" ht="14.25" customHeight="1">
      <c r="B1925" s="7">
        <v>42830.0</v>
      </c>
      <c r="C1925" s="7">
        <f t="shared" si="1"/>
        <v>42827</v>
      </c>
      <c r="D1925" s="1" t="str">
        <f t="array" ref="D1925">IF(ISBLANK(XLOOKUP(D$3,daily_items,XLOOKUP($C1925,daily_dates,big_daily_table))),NA(),XLOOKUP(D$3,daily_items,XLOOKUP($C1925,daily_dates,big_daily_table)))</f>
        <v>#N/A</v>
      </c>
      <c r="E1925" s="1" t="str">
        <f t="array" ref="E1925">IF(ISBLANK(XLOOKUP(E$3,daily_items,XLOOKUP($C1925,daily_dates,big_daily_table))),NA(),XLOOKUP(E$3,daily_items,XLOOKUP($C1925,daily_dates,big_daily_table)))</f>
        <v>#N/A</v>
      </c>
    </row>
    <row r="1926" ht="14.25" customHeight="1">
      <c r="B1926" s="7">
        <v>42831.0</v>
      </c>
      <c r="C1926" s="7">
        <f t="shared" si="1"/>
        <v>42827</v>
      </c>
      <c r="D1926" s="1" t="str">
        <f t="array" ref="D1926">IF(ISBLANK(XLOOKUP(D$3,daily_items,XLOOKUP($C1926,daily_dates,big_daily_table))),NA(),XLOOKUP(D$3,daily_items,XLOOKUP($C1926,daily_dates,big_daily_table)))</f>
        <v>#N/A</v>
      </c>
      <c r="E1926" s="1" t="str">
        <f t="array" ref="E1926">IF(ISBLANK(XLOOKUP(E$3,daily_items,XLOOKUP($C1926,daily_dates,big_daily_table))),NA(),XLOOKUP(E$3,daily_items,XLOOKUP($C1926,daily_dates,big_daily_table)))</f>
        <v>#N/A</v>
      </c>
    </row>
    <row r="1927" ht="14.25" customHeight="1">
      <c r="B1927" s="7">
        <v>42832.0</v>
      </c>
      <c r="C1927" s="7">
        <f t="shared" si="1"/>
        <v>42827</v>
      </c>
      <c r="D1927" s="1" t="str">
        <f t="array" ref="D1927">IF(ISBLANK(XLOOKUP(D$3,daily_items,XLOOKUP($C1927,daily_dates,big_daily_table))),NA(),XLOOKUP(D$3,daily_items,XLOOKUP($C1927,daily_dates,big_daily_table)))</f>
        <v>#N/A</v>
      </c>
      <c r="E1927" s="1" t="str">
        <f t="array" ref="E1927">IF(ISBLANK(XLOOKUP(E$3,daily_items,XLOOKUP($C1927,daily_dates,big_daily_table))),NA(),XLOOKUP(E$3,daily_items,XLOOKUP($C1927,daily_dates,big_daily_table)))</f>
        <v>#N/A</v>
      </c>
    </row>
    <row r="1928" ht="14.25" customHeight="1">
      <c r="B1928" s="7">
        <v>42833.0</v>
      </c>
      <c r="C1928" s="7">
        <f t="shared" si="1"/>
        <v>42827</v>
      </c>
      <c r="D1928" s="1" t="str">
        <f t="array" ref="D1928">IF(ISBLANK(XLOOKUP(D$3,daily_items,XLOOKUP($C1928,daily_dates,big_daily_table))),NA(),XLOOKUP(D$3,daily_items,XLOOKUP($C1928,daily_dates,big_daily_table)))</f>
        <v>#N/A</v>
      </c>
      <c r="E1928" s="1" t="str">
        <f t="array" ref="E1928">IF(ISBLANK(XLOOKUP(E$3,daily_items,XLOOKUP($C1928,daily_dates,big_daily_table))),NA(),XLOOKUP(E$3,daily_items,XLOOKUP($C1928,daily_dates,big_daily_table)))</f>
        <v>#N/A</v>
      </c>
    </row>
    <row r="1929" ht="14.25" customHeight="1">
      <c r="B1929" s="7">
        <v>42834.0</v>
      </c>
      <c r="C1929" s="7">
        <f t="shared" si="1"/>
        <v>42834</v>
      </c>
      <c r="D1929" s="1" t="str">
        <f t="array" ref="D1929">IF(ISBLANK(XLOOKUP(D$3,daily_items,XLOOKUP($C1929,daily_dates,big_daily_table))),NA(),XLOOKUP(D$3,daily_items,XLOOKUP($C1929,daily_dates,big_daily_table)))</f>
        <v>#N/A</v>
      </c>
      <c r="E1929" s="1" t="str">
        <f t="array" ref="E1929">IF(ISBLANK(XLOOKUP(E$3,daily_items,XLOOKUP($C1929,daily_dates,big_daily_table))),NA(),XLOOKUP(E$3,daily_items,XLOOKUP($C1929,daily_dates,big_daily_table)))</f>
        <v>#N/A</v>
      </c>
    </row>
    <row r="1930" ht="14.25" customHeight="1">
      <c r="B1930" s="7">
        <v>42835.0</v>
      </c>
      <c r="C1930" s="7">
        <f t="shared" si="1"/>
        <v>42834</v>
      </c>
      <c r="D1930" s="1" t="str">
        <f t="array" ref="D1930">IF(ISBLANK(XLOOKUP(D$3,daily_items,XLOOKUP($C1930,daily_dates,big_daily_table))),NA(),XLOOKUP(D$3,daily_items,XLOOKUP($C1930,daily_dates,big_daily_table)))</f>
        <v>#N/A</v>
      </c>
      <c r="E1930" s="1" t="str">
        <f t="array" ref="E1930">IF(ISBLANK(XLOOKUP(E$3,daily_items,XLOOKUP($C1930,daily_dates,big_daily_table))),NA(),XLOOKUP(E$3,daily_items,XLOOKUP($C1930,daily_dates,big_daily_table)))</f>
        <v>#N/A</v>
      </c>
    </row>
    <row r="1931" ht="14.25" customHeight="1">
      <c r="B1931" s="7">
        <v>42836.0</v>
      </c>
      <c r="C1931" s="7">
        <f t="shared" si="1"/>
        <v>42834</v>
      </c>
      <c r="D1931" s="1" t="str">
        <f t="array" ref="D1931">IF(ISBLANK(XLOOKUP(D$3,daily_items,XLOOKUP($C1931,daily_dates,big_daily_table))),NA(),XLOOKUP(D$3,daily_items,XLOOKUP($C1931,daily_dates,big_daily_table)))</f>
        <v>#N/A</v>
      </c>
      <c r="E1931" s="1" t="str">
        <f t="array" ref="E1931">IF(ISBLANK(XLOOKUP(E$3,daily_items,XLOOKUP($C1931,daily_dates,big_daily_table))),NA(),XLOOKUP(E$3,daily_items,XLOOKUP($C1931,daily_dates,big_daily_table)))</f>
        <v>#N/A</v>
      </c>
    </row>
    <row r="1932" ht="14.25" customHeight="1">
      <c r="B1932" s="7">
        <v>42837.0</v>
      </c>
      <c r="C1932" s="7">
        <f t="shared" si="1"/>
        <v>42834</v>
      </c>
      <c r="D1932" s="1" t="str">
        <f t="array" ref="D1932">IF(ISBLANK(XLOOKUP(D$3,daily_items,XLOOKUP($C1932,daily_dates,big_daily_table))),NA(),XLOOKUP(D$3,daily_items,XLOOKUP($C1932,daily_dates,big_daily_table)))</f>
        <v>#N/A</v>
      </c>
      <c r="E1932" s="1" t="str">
        <f t="array" ref="E1932">IF(ISBLANK(XLOOKUP(E$3,daily_items,XLOOKUP($C1932,daily_dates,big_daily_table))),NA(),XLOOKUP(E$3,daily_items,XLOOKUP($C1932,daily_dates,big_daily_table)))</f>
        <v>#N/A</v>
      </c>
    </row>
    <row r="1933" ht="14.25" customHeight="1">
      <c r="B1933" s="7">
        <v>42838.0</v>
      </c>
      <c r="C1933" s="7">
        <f t="shared" si="1"/>
        <v>42834</v>
      </c>
      <c r="D1933" s="1" t="str">
        <f t="array" ref="D1933">IF(ISBLANK(XLOOKUP(D$3,daily_items,XLOOKUP($C1933,daily_dates,big_daily_table))),NA(),XLOOKUP(D$3,daily_items,XLOOKUP($C1933,daily_dates,big_daily_table)))</f>
        <v>#N/A</v>
      </c>
      <c r="E1933" s="1" t="str">
        <f t="array" ref="E1933">IF(ISBLANK(XLOOKUP(E$3,daily_items,XLOOKUP($C1933,daily_dates,big_daily_table))),NA(),XLOOKUP(E$3,daily_items,XLOOKUP($C1933,daily_dates,big_daily_table)))</f>
        <v>#N/A</v>
      </c>
    </row>
    <row r="1934" ht="14.25" customHeight="1">
      <c r="B1934" s="7">
        <v>42839.0</v>
      </c>
      <c r="C1934" s="7">
        <f t="shared" si="1"/>
        <v>42834</v>
      </c>
      <c r="D1934" s="1" t="str">
        <f t="array" ref="D1934">IF(ISBLANK(XLOOKUP(D$3,daily_items,XLOOKUP($C1934,daily_dates,big_daily_table))),NA(),XLOOKUP(D$3,daily_items,XLOOKUP($C1934,daily_dates,big_daily_table)))</f>
        <v>#N/A</v>
      </c>
      <c r="E1934" s="1" t="str">
        <f t="array" ref="E1934">IF(ISBLANK(XLOOKUP(E$3,daily_items,XLOOKUP($C1934,daily_dates,big_daily_table))),NA(),XLOOKUP(E$3,daily_items,XLOOKUP($C1934,daily_dates,big_daily_table)))</f>
        <v>#N/A</v>
      </c>
    </row>
    <row r="1935" ht="14.25" customHeight="1">
      <c r="B1935" s="7">
        <v>42840.0</v>
      </c>
      <c r="C1935" s="7">
        <f t="shared" si="1"/>
        <v>42834</v>
      </c>
      <c r="D1935" s="1" t="str">
        <f t="array" ref="D1935">IF(ISBLANK(XLOOKUP(D$3,daily_items,XLOOKUP($C1935,daily_dates,big_daily_table))),NA(),XLOOKUP(D$3,daily_items,XLOOKUP($C1935,daily_dates,big_daily_table)))</f>
        <v>#N/A</v>
      </c>
      <c r="E1935" s="1" t="str">
        <f t="array" ref="E1935">IF(ISBLANK(XLOOKUP(E$3,daily_items,XLOOKUP($C1935,daily_dates,big_daily_table))),NA(),XLOOKUP(E$3,daily_items,XLOOKUP($C1935,daily_dates,big_daily_table)))</f>
        <v>#N/A</v>
      </c>
    </row>
    <row r="1936" ht="14.25" customHeight="1">
      <c r="B1936" s="7">
        <v>42841.0</v>
      </c>
      <c r="C1936" s="7">
        <f t="shared" si="1"/>
        <v>42841</v>
      </c>
      <c r="D1936" s="1" t="str">
        <f t="array" ref="D1936">IF(ISBLANK(XLOOKUP(D$3,daily_items,XLOOKUP($C1936,daily_dates,big_daily_table))),NA(),XLOOKUP(D$3,daily_items,XLOOKUP($C1936,daily_dates,big_daily_table)))</f>
        <v>#N/A</v>
      </c>
      <c r="E1936" s="1" t="str">
        <f t="array" ref="E1936">IF(ISBLANK(XLOOKUP(E$3,daily_items,XLOOKUP($C1936,daily_dates,big_daily_table))),NA(),XLOOKUP(E$3,daily_items,XLOOKUP($C1936,daily_dates,big_daily_table)))</f>
        <v>#N/A</v>
      </c>
    </row>
    <row r="1937" ht="14.25" customHeight="1">
      <c r="B1937" s="7">
        <v>42842.0</v>
      </c>
      <c r="C1937" s="7">
        <f t="shared" si="1"/>
        <v>42841</v>
      </c>
      <c r="D1937" s="1" t="str">
        <f t="array" ref="D1937">IF(ISBLANK(XLOOKUP(D$3,daily_items,XLOOKUP($C1937,daily_dates,big_daily_table))),NA(),XLOOKUP(D$3,daily_items,XLOOKUP($C1937,daily_dates,big_daily_table)))</f>
        <v>#N/A</v>
      </c>
      <c r="E1937" s="1" t="str">
        <f t="array" ref="E1937">IF(ISBLANK(XLOOKUP(E$3,daily_items,XLOOKUP($C1937,daily_dates,big_daily_table))),NA(),XLOOKUP(E$3,daily_items,XLOOKUP($C1937,daily_dates,big_daily_table)))</f>
        <v>#N/A</v>
      </c>
    </row>
    <row r="1938" ht="14.25" customHeight="1">
      <c r="B1938" s="7">
        <v>42843.0</v>
      </c>
      <c r="C1938" s="7">
        <f t="shared" si="1"/>
        <v>42841</v>
      </c>
      <c r="D1938" s="1" t="str">
        <f t="array" ref="D1938">IF(ISBLANK(XLOOKUP(D$3,daily_items,XLOOKUP($C1938,daily_dates,big_daily_table))),NA(),XLOOKUP(D$3,daily_items,XLOOKUP($C1938,daily_dates,big_daily_table)))</f>
        <v>#N/A</v>
      </c>
      <c r="E1938" s="1" t="str">
        <f t="array" ref="E1938">IF(ISBLANK(XLOOKUP(E$3,daily_items,XLOOKUP($C1938,daily_dates,big_daily_table))),NA(),XLOOKUP(E$3,daily_items,XLOOKUP($C1938,daily_dates,big_daily_table)))</f>
        <v>#N/A</v>
      </c>
    </row>
    <row r="1939" ht="14.25" customHeight="1">
      <c r="B1939" s="7">
        <v>42844.0</v>
      </c>
      <c r="C1939" s="7">
        <f t="shared" si="1"/>
        <v>42841</v>
      </c>
      <c r="D1939" s="1" t="str">
        <f t="array" ref="D1939">IF(ISBLANK(XLOOKUP(D$3,daily_items,XLOOKUP($C1939,daily_dates,big_daily_table))),NA(),XLOOKUP(D$3,daily_items,XLOOKUP($C1939,daily_dates,big_daily_table)))</f>
        <v>#N/A</v>
      </c>
      <c r="E1939" s="1" t="str">
        <f t="array" ref="E1939">IF(ISBLANK(XLOOKUP(E$3,daily_items,XLOOKUP($C1939,daily_dates,big_daily_table))),NA(),XLOOKUP(E$3,daily_items,XLOOKUP($C1939,daily_dates,big_daily_table)))</f>
        <v>#N/A</v>
      </c>
    </row>
    <row r="1940" ht="14.25" customHeight="1">
      <c r="B1940" s="7">
        <v>42845.0</v>
      </c>
      <c r="C1940" s="7">
        <f t="shared" si="1"/>
        <v>42841</v>
      </c>
      <c r="D1940" s="1" t="str">
        <f t="array" ref="D1940">IF(ISBLANK(XLOOKUP(D$3,daily_items,XLOOKUP($C1940,daily_dates,big_daily_table))),NA(),XLOOKUP(D$3,daily_items,XLOOKUP($C1940,daily_dates,big_daily_table)))</f>
        <v>#N/A</v>
      </c>
      <c r="E1940" s="1" t="str">
        <f t="array" ref="E1940">IF(ISBLANK(XLOOKUP(E$3,daily_items,XLOOKUP($C1940,daily_dates,big_daily_table))),NA(),XLOOKUP(E$3,daily_items,XLOOKUP($C1940,daily_dates,big_daily_table)))</f>
        <v>#N/A</v>
      </c>
    </row>
    <row r="1941" ht="14.25" customHeight="1">
      <c r="B1941" s="7">
        <v>42846.0</v>
      </c>
      <c r="C1941" s="7">
        <f t="shared" si="1"/>
        <v>42841</v>
      </c>
      <c r="D1941" s="1" t="str">
        <f t="array" ref="D1941">IF(ISBLANK(XLOOKUP(D$3,daily_items,XLOOKUP($C1941,daily_dates,big_daily_table))),NA(),XLOOKUP(D$3,daily_items,XLOOKUP($C1941,daily_dates,big_daily_table)))</f>
        <v>#N/A</v>
      </c>
      <c r="E1941" s="1" t="str">
        <f t="array" ref="E1941">IF(ISBLANK(XLOOKUP(E$3,daily_items,XLOOKUP($C1941,daily_dates,big_daily_table))),NA(),XLOOKUP(E$3,daily_items,XLOOKUP($C1941,daily_dates,big_daily_table)))</f>
        <v>#N/A</v>
      </c>
    </row>
    <row r="1942" ht="14.25" customHeight="1">
      <c r="B1942" s="7">
        <v>42847.0</v>
      </c>
      <c r="C1942" s="7">
        <f t="shared" si="1"/>
        <v>42841</v>
      </c>
      <c r="D1942" s="1" t="str">
        <f t="array" ref="D1942">IF(ISBLANK(XLOOKUP(D$3,daily_items,XLOOKUP($C1942,daily_dates,big_daily_table))),NA(),XLOOKUP(D$3,daily_items,XLOOKUP($C1942,daily_dates,big_daily_table)))</f>
        <v>#N/A</v>
      </c>
      <c r="E1942" s="1" t="str">
        <f t="array" ref="E1942">IF(ISBLANK(XLOOKUP(E$3,daily_items,XLOOKUP($C1942,daily_dates,big_daily_table))),NA(),XLOOKUP(E$3,daily_items,XLOOKUP($C1942,daily_dates,big_daily_table)))</f>
        <v>#N/A</v>
      </c>
    </row>
    <row r="1943" ht="14.25" customHeight="1">
      <c r="B1943" s="7">
        <v>42848.0</v>
      </c>
      <c r="C1943" s="7">
        <f t="shared" si="1"/>
        <v>42848</v>
      </c>
      <c r="D1943" s="1" t="str">
        <f t="array" ref="D1943">IF(ISBLANK(XLOOKUP(D$3,daily_items,XLOOKUP($C1943,daily_dates,big_daily_table))),NA(),XLOOKUP(D$3,daily_items,XLOOKUP($C1943,daily_dates,big_daily_table)))</f>
        <v>#N/A</v>
      </c>
      <c r="E1943" s="1" t="str">
        <f t="array" ref="E1943">IF(ISBLANK(XLOOKUP(E$3,daily_items,XLOOKUP($C1943,daily_dates,big_daily_table))),NA(),XLOOKUP(E$3,daily_items,XLOOKUP($C1943,daily_dates,big_daily_table)))</f>
        <v>#N/A</v>
      </c>
    </row>
    <row r="1944" ht="14.25" customHeight="1">
      <c r="B1944" s="7">
        <v>42849.0</v>
      </c>
      <c r="C1944" s="7">
        <f t="shared" si="1"/>
        <v>42848</v>
      </c>
      <c r="D1944" s="1" t="str">
        <f t="array" ref="D1944">IF(ISBLANK(XLOOKUP(D$3,daily_items,XLOOKUP($C1944,daily_dates,big_daily_table))),NA(),XLOOKUP(D$3,daily_items,XLOOKUP($C1944,daily_dates,big_daily_table)))</f>
        <v>#N/A</v>
      </c>
      <c r="E1944" s="1" t="str">
        <f t="array" ref="E1944">IF(ISBLANK(XLOOKUP(E$3,daily_items,XLOOKUP($C1944,daily_dates,big_daily_table))),NA(),XLOOKUP(E$3,daily_items,XLOOKUP($C1944,daily_dates,big_daily_table)))</f>
        <v>#N/A</v>
      </c>
    </row>
    <row r="1945" ht="14.25" customHeight="1">
      <c r="B1945" s="7">
        <v>42850.0</v>
      </c>
      <c r="C1945" s="7">
        <f t="shared" si="1"/>
        <v>42848</v>
      </c>
      <c r="D1945" s="1" t="str">
        <f t="array" ref="D1945">IF(ISBLANK(XLOOKUP(D$3,daily_items,XLOOKUP($C1945,daily_dates,big_daily_table))),NA(),XLOOKUP(D$3,daily_items,XLOOKUP($C1945,daily_dates,big_daily_table)))</f>
        <v>#N/A</v>
      </c>
      <c r="E1945" s="1" t="str">
        <f t="array" ref="E1945">IF(ISBLANK(XLOOKUP(E$3,daily_items,XLOOKUP($C1945,daily_dates,big_daily_table))),NA(),XLOOKUP(E$3,daily_items,XLOOKUP($C1945,daily_dates,big_daily_table)))</f>
        <v>#N/A</v>
      </c>
    </row>
    <row r="1946" ht="14.25" customHeight="1">
      <c r="B1946" s="7">
        <v>42851.0</v>
      </c>
      <c r="C1946" s="7">
        <f t="shared" si="1"/>
        <v>42848</v>
      </c>
      <c r="D1946" s="1" t="str">
        <f t="array" ref="D1946">IF(ISBLANK(XLOOKUP(D$3,daily_items,XLOOKUP($C1946,daily_dates,big_daily_table))),NA(),XLOOKUP(D$3,daily_items,XLOOKUP($C1946,daily_dates,big_daily_table)))</f>
        <v>#N/A</v>
      </c>
      <c r="E1946" s="1" t="str">
        <f t="array" ref="E1946">IF(ISBLANK(XLOOKUP(E$3,daily_items,XLOOKUP($C1946,daily_dates,big_daily_table))),NA(),XLOOKUP(E$3,daily_items,XLOOKUP($C1946,daily_dates,big_daily_table)))</f>
        <v>#N/A</v>
      </c>
    </row>
    <row r="1947" ht="14.25" customHeight="1">
      <c r="B1947" s="7">
        <v>42852.0</v>
      </c>
      <c r="C1947" s="7">
        <f t="shared" si="1"/>
        <v>42848</v>
      </c>
      <c r="D1947" s="1" t="str">
        <f t="array" ref="D1947">IF(ISBLANK(XLOOKUP(D$3,daily_items,XLOOKUP($C1947,daily_dates,big_daily_table))),NA(),XLOOKUP(D$3,daily_items,XLOOKUP($C1947,daily_dates,big_daily_table)))</f>
        <v>#N/A</v>
      </c>
      <c r="E1947" s="1" t="str">
        <f t="array" ref="E1947">IF(ISBLANK(XLOOKUP(E$3,daily_items,XLOOKUP($C1947,daily_dates,big_daily_table))),NA(),XLOOKUP(E$3,daily_items,XLOOKUP($C1947,daily_dates,big_daily_table)))</f>
        <v>#N/A</v>
      </c>
    </row>
    <row r="1948" ht="14.25" customHeight="1">
      <c r="B1948" s="7">
        <v>42853.0</v>
      </c>
      <c r="C1948" s="7">
        <f t="shared" si="1"/>
        <v>42848</v>
      </c>
      <c r="D1948" s="1" t="str">
        <f t="array" ref="D1948">IF(ISBLANK(XLOOKUP(D$3,daily_items,XLOOKUP($C1948,daily_dates,big_daily_table))),NA(),XLOOKUP(D$3,daily_items,XLOOKUP($C1948,daily_dates,big_daily_table)))</f>
        <v>#N/A</v>
      </c>
      <c r="E1948" s="1" t="str">
        <f t="array" ref="E1948">IF(ISBLANK(XLOOKUP(E$3,daily_items,XLOOKUP($C1948,daily_dates,big_daily_table))),NA(),XLOOKUP(E$3,daily_items,XLOOKUP($C1948,daily_dates,big_daily_table)))</f>
        <v>#N/A</v>
      </c>
    </row>
    <row r="1949" ht="14.25" customHeight="1">
      <c r="B1949" s="7">
        <v>42854.0</v>
      </c>
      <c r="C1949" s="7">
        <f t="shared" si="1"/>
        <v>42848</v>
      </c>
      <c r="D1949" s="1" t="str">
        <f t="array" ref="D1949">IF(ISBLANK(XLOOKUP(D$3,daily_items,XLOOKUP($C1949,daily_dates,big_daily_table))),NA(),XLOOKUP(D$3,daily_items,XLOOKUP($C1949,daily_dates,big_daily_table)))</f>
        <v>#N/A</v>
      </c>
      <c r="E1949" s="1" t="str">
        <f t="array" ref="E1949">IF(ISBLANK(XLOOKUP(E$3,daily_items,XLOOKUP($C1949,daily_dates,big_daily_table))),NA(),XLOOKUP(E$3,daily_items,XLOOKUP($C1949,daily_dates,big_daily_table)))</f>
        <v>#N/A</v>
      </c>
    </row>
    <row r="1950" ht="14.25" customHeight="1">
      <c r="B1950" s="7">
        <v>42855.0</v>
      </c>
      <c r="C1950" s="7">
        <f t="shared" si="1"/>
        <v>42855</v>
      </c>
      <c r="D1950" s="1" t="str">
        <f t="array" ref="D1950">IF(ISBLANK(XLOOKUP(D$3,daily_items,XLOOKUP($C1950,daily_dates,big_daily_table))),NA(),XLOOKUP(D$3,daily_items,XLOOKUP($C1950,daily_dates,big_daily_table)))</f>
        <v>#N/A</v>
      </c>
      <c r="E1950" s="1" t="str">
        <f t="array" ref="E1950">IF(ISBLANK(XLOOKUP(E$3,daily_items,XLOOKUP($C1950,daily_dates,big_daily_table))),NA(),XLOOKUP(E$3,daily_items,XLOOKUP($C1950,daily_dates,big_daily_table)))</f>
        <v>#N/A</v>
      </c>
    </row>
    <row r="1951" ht="14.25" customHeight="1">
      <c r="B1951" s="7">
        <v>42856.0</v>
      </c>
      <c r="C1951" s="7">
        <f t="shared" si="1"/>
        <v>42855</v>
      </c>
      <c r="D1951" s="1" t="str">
        <f t="array" ref="D1951">IF(ISBLANK(XLOOKUP(D$3,daily_items,XLOOKUP($C1951,daily_dates,big_daily_table))),NA(),XLOOKUP(D$3,daily_items,XLOOKUP($C1951,daily_dates,big_daily_table)))</f>
        <v>#N/A</v>
      </c>
      <c r="E1951" s="1" t="str">
        <f t="array" ref="E1951">IF(ISBLANK(XLOOKUP(E$3,daily_items,XLOOKUP($C1951,daily_dates,big_daily_table))),NA(),XLOOKUP(E$3,daily_items,XLOOKUP($C1951,daily_dates,big_daily_table)))</f>
        <v>#N/A</v>
      </c>
    </row>
    <row r="1952" ht="14.25" customHeight="1">
      <c r="B1952" s="7">
        <v>42857.0</v>
      </c>
      <c r="C1952" s="7">
        <f t="shared" si="1"/>
        <v>42855</v>
      </c>
      <c r="D1952" s="1" t="str">
        <f t="array" ref="D1952">IF(ISBLANK(XLOOKUP(D$3,daily_items,XLOOKUP($C1952,daily_dates,big_daily_table))),NA(),XLOOKUP(D$3,daily_items,XLOOKUP($C1952,daily_dates,big_daily_table)))</f>
        <v>#N/A</v>
      </c>
      <c r="E1952" s="1" t="str">
        <f t="array" ref="E1952">IF(ISBLANK(XLOOKUP(E$3,daily_items,XLOOKUP($C1952,daily_dates,big_daily_table))),NA(),XLOOKUP(E$3,daily_items,XLOOKUP($C1952,daily_dates,big_daily_table)))</f>
        <v>#N/A</v>
      </c>
    </row>
    <row r="1953" ht="14.25" customHeight="1">
      <c r="B1953" s="7">
        <v>42858.0</v>
      </c>
      <c r="C1953" s="7">
        <f t="shared" si="1"/>
        <v>42855</v>
      </c>
      <c r="D1953" s="1" t="str">
        <f t="array" ref="D1953">IF(ISBLANK(XLOOKUP(D$3,daily_items,XLOOKUP($C1953,daily_dates,big_daily_table))),NA(),XLOOKUP(D$3,daily_items,XLOOKUP($C1953,daily_dates,big_daily_table)))</f>
        <v>#N/A</v>
      </c>
      <c r="E1953" s="1" t="str">
        <f t="array" ref="E1953">IF(ISBLANK(XLOOKUP(E$3,daily_items,XLOOKUP($C1953,daily_dates,big_daily_table))),NA(),XLOOKUP(E$3,daily_items,XLOOKUP($C1953,daily_dates,big_daily_table)))</f>
        <v>#N/A</v>
      </c>
    </row>
    <row r="1954" ht="14.25" customHeight="1">
      <c r="B1954" s="7">
        <v>42859.0</v>
      </c>
      <c r="C1954" s="7">
        <f t="shared" si="1"/>
        <v>42855</v>
      </c>
      <c r="D1954" s="1" t="str">
        <f t="array" ref="D1954">IF(ISBLANK(XLOOKUP(D$3,daily_items,XLOOKUP($C1954,daily_dates,big_daily_table))),NA(),XLOOKUP(D$3,daily_items,XLOOKUP($C1954,daily_dates,big_daily_table)))</f>
        <v>#N/A</v>
      </c>
      <c r="E1954" s="1" t="str">
        <f t="array" ref="E1954">IF(ISBLANK(XLOOKUP(E$3,daily_items,XLOOKUP($C1954,daily_dates,big_daily_table))),NA(),XLOOKUP(E$3,daily_items,XLOOKUP($C1954,daily_dates,big_daily_table)))</f>
        <v>#N/A</v>
      </c>
    </row>
    <row r="1955" ht="14.25" customHeight="1">
      <c r="B1955" s="7">
        <v>42860.0</v>
      </c>
      <c r="C1955" s="7">
        <f t="shared" si="1"/>
        <v>42855</v>
      </c>
      <c r="D1955" s="1" t="str">
        <f t="array" ref="D1955">IF(ISBLANK(XLOOKUP(D$3,daily_items,XLOOKUP($C1955,daily_dates,big_daily_table))),NA(),XLOOKUP(D$3,daily_items,XLOOKUP($C1955,daily_dates,big_daily_table)))</f>
        <v>#N/A</v>
      </c>
      <c r="E1955" s="1" t="str">
        <f t="array" ref="E1955">IF(ISBLANK(XLOOKUP(E$3,daily_items,XLOOKUP($C1955,daily_dates,big_daily_table))),NA(),XLOOKUP(E$3,daily_items,XLOOKUP($C1955,daily_dates,big_daily_table)))</f>
        <v>#N/A</v>
      </c>
    </row>
    <row r="1956" ht="14.25" customHeight="1">
      <c r="B1956" s="7">
        <v>42861.0</v>
      </c>
      <c r="C1956" s="7">
        <f t="shared" si="1"/>
        <v>42855</v>
      </c>
      <c r="D1956" s="1" t="str">
        <f t="array" ref="D1956">IF(ISBLANK(XLOOKUP(D$3,daily_items,XLOOKUP($C1956,daily_dates,big_daily_table))),NA(),XLOOKUP(D$3,daily_items,XLOOKUP($C1956,daily_dates,big_daily_table)))</f>
        <v>#N/A</v>
      </c>
      <c r="E1956" s="1" t="str">
        <f t="array" ref="E1956">IF(ISBLANK(XLOOKUP(E$3,daily_items,XLOOKUP($C1956,daily_dates,big_daily_table))),NA(),XLOOKUP(E$3,daily_items,XLOOKUP($C1956,daily_dates,big_daily_table)))</f>
        <v>#N/A</v>
      </c>
    </row>
    <row r="1957" ht="14.25" customHeight="1">
      <c r="B1957" s="7">
        <v>42862.0</v>
      </c>
      <c r="C1957" s="7">
        <f t="shared" si="1"/>
        <v>42862</v>
      </c>
      <c r="D1957" s="1" t="str">
        <f t="array" ref="D1957">IF(ISBLANK(XLOOKUP(D$3,daily_items,XLOOKUP($C1957,daily_dates,big_daily_table))),NA(),XLOOKUP(D$3,daily_items,XLOOKUP($C1957,daily_dates,big_daily_table)))</f>
        <v>#N/A</v>
      </c>
      <c r="E1957" s="1" t="str">
        <f t="array" ref="E1957">IF(ISBLANK(XLOOKUP(E$3,daily_items,XLOOKUP($C1957,daily_dates,big_daily_table))),NA(),XLOOKUP(E$3,daily_items,XLOOKUP($C1957,daily_dates,big_daily_table)))</f>
        <v>#N/A</v>
      </c>
    </row>
    <row r="1958" ht="14.25" customHeight="1">
      <c r="B1958" s="7">
        <v>42863.0</v>
      </c>
      <c r="C1958" s="7">
        <f t="shared" si="1"/>
        <v>42862</v>
      </c>
      <c r="D1958" s="1" t="str">
        <f t="array" ref="D1958">IF(ISBLANK(XLOOKUP(D$3,daily_items,XLOOKUP($C1958,daily_dates,big_daily_table))),NA(),XLOOKUP(D$3,daily_items,XLOOKUP($C1958,daily_dates,big_daily_table)))</f>
        <v>#N/A</v>
      </c>
      <c r="E1958" s="1" t="str">
        <f t="array" ref="E1958">IF(ISBLANK(XLOOKUP(E$3,daily_items,XLOOKUP($C1958,daily_dates,big_daily_table))),NA(),XLOOKUP(E$3,daily_items,XLOOKUP($C1958,daily_dates,big_daily_table)))</f>
        <v>#N/A</v>
      </c>
    </row>
    <row r="1959" ht="14.25" customHeight="1">
      <c r="B1959" s="7">
        <v>42864.0</v>
      </c>
      <c r="C1959" s="7">
        <f t="shared" si="1"/>
        <v>42862</v>
      </c>
      <c r="D1959" s="1" t="str">
        <f t="array" ref="D1959">IF(ISBLANK(XLOOKUP(D$3,daily_items,XLOOKUP($C1959,daily_dates,big_daily_table))),NA(),XLOOKUP(D$3,daily_items,XLOOKUP($C1959,daily_dates,big_daily_table)))</f>
        <v>#N/A</v>
      </c>
      <c r="E1959" s="1" t="str">
        <f t="array" ref="E1959">IF(ISBLANK(XLOOKUP(E$3,daily_items,XLOOKUP($C1959,daily_dates,big_daily_table))),NA(),XLOOKUP(E$3,daily_items,XLOOKUP($C1959,daily_dates,big_daily_table)))</f>
        <v>#N/A</v>
      </c>
    </row>
    <row r="1960" ht="14.25" customHeight="1">
      <c r="B1960" s="7">
        <v>42865.0</v>
      </c>
      <c r="C1960" s="7">
        <f t="shared" si="1"/>
        <v>42862</v>
      </c>
      <c r="D1960" s="1" t="str">
        <f t="array" ref="D1960">IF(ISBLANK(XLOOKUP(D$3,daily_items,XLOOKUP($C1960,daily_dates,big_daily_table))),NA(),XLOOKUP(D$3,daily_items,XLOOKUP($C1960,daily_dates,big_daily_table)))</f>
        <v>#N/A</v>
      </c>
      <c r="E1960" s="1" t="str">
        <f t="array" ref="E1960">IF(ISBLANK(XLOOKUP(E$3,daily_items,XLOOKUP($C1960,daily_dates,big_daily_table))),NA(),XLOOKUP(E$3,daily_items,XLOOKUP($C1960,daily_dates,big_daily_table)))</f>
        <v>#N/A</v>
      </c>
    </row>
    <row r="1961" ht="14.25" customHeight="1">
      <c r="B1961" s="7">
        <v>42866.0</v>
      </c>
      <c r="C1961" s="7">
        <f t="shared" si="1"/>
        <v>42862</v>
      </c>
      <c r="D1961" s="1" t="str">
        <f t="array" ref="D1961">IF(ISBLANK(XLOOKUP(D$3,daily_items,XLOOKUP($C1961,daily_dates,big_daily_table))),NA(),XLOOKUP(D$3,daily_items,XLOOKUP($C1961,daily_dates,big_daily_table)))</f>
        <v>#N/A</v>
      </c>
      <c r="E1961" s="1" t="str">
        <f t="array" ref="E1961">IF(ISBLANK(XLOOKUP(E$3,daily_items,XLOOKUP($C1961,daily_dates,big_daily_table))),NA(),XLOOKUP(E$3,daily_items,XLOOKUP($C1961,daily_dates,big_daily_table)))</f>
        <v>#N/A</v>
      </c>
    </row>
    <row r="1962" ht="14.25" customHeight="1">
      <c r="B1962" s="7">
        <v>42867.0</v>
      </c>
      <c r="C1962" s="7">
        <f t="shared" si="1"/>
        <v>42862</v>
      </c>
      <c r="D1962" s="1" t="str">
        <f t="array" ref="D1962">IF(ISBLANK(XLOOKUP(D$3,daily_items,XLOOKUP($C1962,daily_dates,big_daily_table))),NA(),XLOOKUP(D$3,daily_items,XLOOKUP($C1962,daily_dates,big_daily_table)))</f>
        <v>#N/A</v>
      </c>
      <c r="E1962" s="1" t="str">
        <f t="array" ref="E1962">IF(ISBLANK(XLOOKUP(E$3,daily_items,XLOOKUP($C1962,daily_dates,big_daily_table))),NA(),XLOOKUP(E$3,daily_items,XLOOKUP($C1962,daily_dates,big_daily_table)))</f>
        <v>#N/A</v>
      </c>
    </row>
    <row r="1963" ht="14.25" customHeight="1">
      <c r="B1963" s="7">
        <v>42868.0</v>
      </c>
      <c r="C1963" s="7">
        <f t="shared" si="1"/>
        <v>42862</v>
      </c>
      <c r="D1963" s="1" t="str">
        <f t="array" ref="D1963">IF(ISBLANK(XLOOKUP(D$3,daily_items,XLOOKUP($C1963,daily_dates,big_daily_table))),NA(),XLOOKUP(D$3,daily_items,XLOOKUP($C1963,daily_dates,big_daily_table)))</f>
        <v>#N/A</v>
      </c>
      <c r="E1963" s="1" t="str">
        <f t="array" ref="E1963">IF(ISBLANK(XLOOKUP(E$3,daily_items,XLOOKUP($C1963,daily_dates,big_daily_table))),NA(),XLOOKUP(E$3,daily_items,XLOOKUP($C1963,daily_dates,big_daily_table)))</f>
        <v>#N/A</v>
      </c>
    </row>
    <row r="1964" ht="14.25" customHeight="1">
      <c r="B1964" s="7">
        <v>42869.0</v>
      </c>
      <c r="C1964" s="7">
        <f t="shared" si="1"/>
        <v>42869</v>
      </c>
      <c r="D1964" s="1" t="str">
        <f t="array" ref="D1964">IF(ISBLANK(XLOOKUP(D$3,daily_items,XLOOKUP($C1964,daily_dates,big_daily_table))),NA(),XLOOKUP(D$3,daily_items,XLOOKUP($C1964,daily_dates,big_daily_table)))</f>
        <v>#N/A</v>
      </c>
      <c r="E1964" s="1" t="str">
        <f t="array" ref="E1964">IF(ISBLANK(XLOOKUP(E$3,daily_items,XLOOKUP($C1964,daily_dates,big_daily_table))),NA(),XLOOKUP(E$3,daily_items,XLOOKUP($C1964,daily_dates,big_daily_table)))</f>
        <v>#N/A</v>
      </c>
    </row>
    <row r="1965" ht="14.25" customHeight="1">
      <c r="B1965" s="7">
        <v>42870.0</v>
      </c>
      <c r="C1965" s="7">
        <f t="shared" si="1"/>
        <v>42869</v>
      </c>
      <c r="D1965" s="1" t="str">
        <f t="array" ref="D1965">IF(ISBLANK(XLOOKUP(D$3,daily_items,XLOOKUP($C1965,daily_dates,big_daily_table))),NA(),XLOOKUP(D$3,daily_items,XLOOKUP($C1965,daily_dates,big_daily_table)))</f>
        <v>#N/A</v>
      </c>
      <c r="E1965" s="1" t="str">
        <f t="array" ref="E1965">IF(ISBLANK(XLOOKUP(E$3,daily_items,XLOOKUP($C1965,daily_dates,big_daily_table))),NA(),XLOOKUP(E$3,daily_items,XLOOKUP($C1965,daily_dates,big_daily_table)))</f>
        <v>#N/A</v>
      </c>
    </row>
    <row r="1966" ht="14.25" customHeight="1">
      <c r="B1966" s="7">
        <v>42871.0</v>
      </c>
      <c r="C1966" s="7">
        <f t="shared" si="1"/>
        <v>42869</v>
      </c>
      <c r="D1966" s="1" t="str">
        <f t="array" ref="D1966">IF(ISBLANK(XLOOKUP(D$3,daily_items,XLOOKUP($C1966,daily_dates,big_daily_table))),NA(),XLOOKUP(D$3,daily_items,XLOOKUP($C1966,daily_dates,big_daily_table)))</f>
        <v>#N/A</v>
      </c>
      <c r="E1966" s="1" t="str">
        <f t="array" ref="E1966">IF(ISBLANK(XLOOKUP(E$3,daily_items,XLOOKUP($C1966,daily_dates,big_daily_table))),NA(),XLOOKUP(E$3,daily_items,XLOOKUP($C1966,daily_dates,big_daily_table)))</f>
        <v>#N/A</v>
      </c>
    </row>
    <row r="1967" ht="14.25" customHeight="1">
      <c r="B1967" s="7">
        <v>42872.0</v>
      </c>
      <c r="C1967" s="7">
        <f t="shared" si="1"/>
        <v>42869</v>
      </c>
      <c r="D1967" s="1" t="str">
        <f t="array" ref="D1967">IF(ISBLANK(XLOOKUP(D$3,daily_items,XLOOKUP($C1967,daily_dates,big_daily_table))),NA(),XLOOKUP(D$3,daily_items,XLOOKUP($C1967,daily_dates,big_daily_table)))</f>
        <v>#N/A</v>
      </c>
      <c r="E1967" s="1" t="str">
        <f t="array" ref="E1967">IF(ISBLANK(XLOOKUP(E$3,daily_items,XLOOKUP($C1967,daily_dates,big_daily_table))),NA(),XLOOKUP(E$3,daily_items,XLOOKUP($C1967,daily_dates,big_daily_table)))</f>
        <v>#N/A</v>
      </c>
    </row>
    <row r="1968" ht="14.25" customHeight="1">
      <c r="B1968" s="7">
        <v>42873.0</v>
      </c>
      <c r="C1968" s="7">
        <f t="shared" si="1"/>
        <v>42869</v>
      </c>
      <c r="D1968" s="1" t="str">
        <f t="array" ref="D1968">IF(ISBLANK(XLOOKUP(D$3,daily_items,XLOOKUP($C1968,daily_dates,big_daily_table))),NA(),XLOOKUP(D$3,daily_items,XLOOKUP($C1968,daily_dates,big_daily_table)))</f>
        <v>#N/A</v>
      </c>
      <c r="E1968" s="1" t="str">
        <f t="array" ref="E1968">IF(ISBLANK(XLOOKUP(E$3,daily_items,XLOOKUP($C1968,daily_dates,big_daily_table))),NA(),XLOOKUP(E$3,daily_items,XLOOKUP($C1968,daily_dates,big_daily_table)))</f>
        <v>#N/A</v>
      </c>
    </row>
    <row r="1969" ht="14.25" customHeight="1">
      <c r="B1969" s="7">
        <v>42874.0</v>
      </c>
      <c r="C1969" s="7">
        <f t="shared" si="1"/>
        <v>42869</v>
      </c>
      <c r="D1969" s="1" t="str">
        <f t="array" ref="D1969">IF(ISBLANK(XLOOKUP(D$3,daily_items,XLOOKUP($C1969,daily_dates,big_daily_table))),NA(),XLOOKUP(D$3,daily_items,XLOOKUP($C1969,daily_dates,big_daily_table)))</f>
        <v>#N/A</v>
      </c>
      <c r="E1969" s="1" t="str">
        <f t="array" ref="E1969">IF(ISBLANK(XLOOKUP(E$3,daily_items,XLOOKUP($C1969,daily_dates,big_daily_table))),NA(),XLOOKUP(E$3,daily_items,XLOOKUP($C1969,daily_dates,big_daily_table)))</f>
        <v>#N/A</v>
      </c>
    </row>
    <row r="1970" ht="14.25" customHeight="1">
      <c r="B1970" s="7">
        <v>42875.0</v>
      </c>
      <c r="C1970" s="7">
        <f t="shared" si="1"/>
        <v>42869</v>
      </c>
      <c r="D1970" s="1" t="str">
        <f t="array" ref="D1970">IF(ISBLANK(XLOOKUP(D$3,daily_items,XLOOKUP($C1970,daily_dates,big_daily_table))),NA(),XLOOKUP(D$3,daily_items,XLOOKUP($C1970,daily_dates,big_daily_table)))</f>
        <v>#N/A</v>
      </c>
      <c r="E1970" s="1" t="str">
        <f t="array" ref="E1970">IF(ISBLANK(XLOOKUP(E$3,daily_items,XLOOKUP($C1970,daily_dates,big_daily_table))),NA(),XLOOKUP(E$3,daily_items,XLOOKUP($C1970,daily_dates,big_daily_table)))</f>
        <v>#N/A</v>
      </c>
    </row>
    <row r="1971" ht="14.25" customHeight="1">
      <c r="B1971" s="7">
        <v>42876.0</v>
      </c>
      <c r="C1971" s="7">
        <f t="shared" si="1"/>
        <v>42876</v>
      </c>
      <c r="D1971" s="1" t="str">
        <f t="array" ref="D1971">IF(ISBLANK(XLOOKUP(D$3,daily_items,XLOOKUP($C1971,daily_dates,big_daily_table))),NA(),XLOOKUP(D$3,daily_items,XLOOKUP($C1971,daily_dates,big_daily_table)))</f>
        <v>#N/A</v>
      </c>
      <c r="E1971" s="1" t="str">
        <f t="array" ref="E1971">IF(ISBLANK(XLOOKUP(E$3,daily_items,XLOOKUP($C1971,daily_dates,big_daily_table))),NA(),XLOOKUP(E$3,daily_items,XLOOKUP($C1971,daily_dates,big_daily_table)))</f>
        <v>#N/A</v>
      </c>
    </row>
    <row r="1972" ht="14.25" customHeight="1">
      <c r="B1972" s="7">
        <v>42877.0</v>
      </c>
      <c r="C1972" s="7">
        <f t="shared" si="1"/>
        <v>42876</v>
      </c>
      <c r="D1972" s="1" t="str">
        <f t="array" ref="D1972">IF(ISBLANK(XLOOKUP(D$3,daily_items,XLOOKUP($C1972,daily_dates,big_daily_table))),NA(),XLOOKUP(D$3,daily_items,XLOOKUP($C1972,daily_dates,big_daily_table)))</f>
        <v>#N/A</v>
      </c>
      <c r="E1972" s="1" t="str">
        <f t="array" ref="E1972">IF(ISBLANK(XLOOKUP(E$3,daily_items,XLOOKUP($C1972,daily_dates,big_daily_table))),NA(),XLOOKUP(E$3,daily_items,XLOOKUP($C1972,daily_dates,big_daily_table)))</f>
        <v>#N/A</v>
      </c>
    </row>
    <row r="1973" ht="14.25" customHeight="1">
      <c r="B1973" s="7">
        <v>42878.0</v>
      </c>
      <c r="C1973" s="7">
        <f t="shared" si="1"/>
        <v>42876</v>
      </c>
      <c r="D1973" s="1" t="str">
        <f t="array" ref="D1973">IF(ISBLANK(XLOOKUP(D$3,daily_items,XLOOKUP($C1973,daily_dates,big_daily_table))),NA(),XLOOKUP(D$3,daily_items,XLOOKUP($C1973,daily_dates,big_daily_table)))</f>
        <v>#N/A</v>
      </c>
      <c r="E1973" s="1" t="str">
        <f t="array" ref="E1973">IF(ISBLANK(XLOOKUP(E$3,daily_items,XLOOKUP($C1973,daily_dates,big_daily_table))),NA(),XLOOKUP(E$3,daily_items,XLOOKUP($C1973,daily_dates,big_daily_table)))</f>
        <v>#N/A</v>
      </c>
    </row>
    <row r="1974" ht="14.25" customHeight="1">
      <c r="B1974" s="7">
        <v>42879.0</v>
      </c>
      <c r="C1974" s="7">
        <f t="shared" si="1"/>
        <v>42876</v>
      </c>
      <c r="D1974" s="1" t="str">
        <f t="array" ref="D1974">IF(ISBLANK(XLOOKUP(D$3,daily_items,XLOOKUP($C1974,daily_dates,big_daily_table))),NA(),XLOOKUP(D$3,daily_items,XLOOKUP($C1974,daily_dates,big_daily_table)))</f>
        <v>#N/A</v>
      </c>
      <c r="E1974" s="1" t="str">
        <f t="array" ref="E1974">IF(ISBLANK(XLOOKUP(E$3,daily_items,XLOOKUP($C1974,daily_dates,big_daily_table))),NA(),XLOOKUP(E$3,daily_items,XLOOKUP($C1974,daily_dates,big_daily_table)))</f>
        <v>#N/A</v>
      </c>
    </row>
    <row r="1975" ht="14.25" customHeight="1">
      <c r="B1975" s="7">
        <v>42880.0</v>
      </c>
      <c r="C1975" s="7">
        <f t="shared" si="1"/>
        <v>42876</v>
      </c>
      <c r="D1975" s="1" t="str">
        <f t="array" ref="D1975">IF(ISBLANK(XLOOKUP(D$3,daily_items,XLOOKUP($C1975,daily_dates,big_daily_table))),NA(),XLOOKUP(D$3,daily_items,XLOOKUP($C1975,daily_dates,big_daily_table)))</f>
        <v>#N/A</v>
      </c>
      <c r="E1975" s="1" t="str">
        <f t="array" ref="E1975">IF(ISBLANK(XLOOKUP(E$3,daily_items,XLOOKUP($C1975,daily_dates,big_daily_table))),NA(),XLOOKUP(E$3,daily_items,XLOOKUP($C1975,daily_dates,big_daily_table)))</f>
        <v>#N/A</v>
      </c>
    </row>
    <row r="1976" ht="14.25" customHeight="1">
      <c r="B1976" s="7">
        <v>42881.0</v>
      </c>
      <c r="C1976" s="7">
        <f t="shared" si="1"/>
        <v>42876</v>
      </c>
      <c r="D1976" s="1" t="str">
        <f t="array" ref="D1976">IF(ISBLANK(XLOOKUP(D$3,daily_items,XLOOKUP($C1976,daily_dates,big_daily_table))),NA(),XLOOKUP(D$3,daily_items,XLOOKUP($C1976,daily_dates,big_daily_table)))</f>
        <v>#N/A</v>
      </c>
      <c r="E1976" s="1" t="str">
        <f t="array" ref="E1976">IF(ISBLANK(XLOOKUP(E$3,daily_items,XLOOKUP($C1976,daily_dates,big_daily_table))),NA(),XLOOKUP(E$3,daily_items,XLOOKUP($C1976,daily_dates,big_daily_table)))</f>
        <v>#N/A</v>
      </c>
    </row>
    <row r="1977" ht="14.25" customHeight="1">
      <c r="B1977" s="7">
        <v>42882.0</v>
      </c>
      <c r="C1977" s="7">
        <f t="shared" si="1"/>
        <v>42876</v>
      </c>
      <c r="D1977" s="1" t="str">
        <f t="array" ref="D1977">IF(ISBLANK(XLOOKUP(D$3,daily_items,XLOOKUP($C1977,daily_dates,big_daily_table))),NA(),XLOOKUP(D$3,daily_items,XLOOKUP($C1977,daily_dates,big_daily_table)))</f>
        <v>#N/A</v>
      </c>
      <c r="E1977" s="1" t="str">
        <f t="array" ref="E1977">IF(ISBLANK(XLOOKUP(E$3,daily_items,XLOOKUP($C1977,daily_dates,big_daily_table))),NA(),XLOOKUP(E$3,daily_items,XLOOKUP($C1977,daily_dates,big_daily_table)))</f>
        <v>#N/A</v>
      </c>
    </row>
    <row r="1978" ht="14.25" customHeight="1">
      <c r="B1978" s="7">
        <v>42883.0</v>
      </c>
      <c r="C1978" s="7">
        <f t="shared" si="1"/>
        <v>42883</v>
      </c>
      <c r="D1978" s="1" t="str">
        <f t="array" ref="D1978">IF(ISBLANK(XLOOKUP(D$3,daily_items,XLOOKUP($C1978,daily_dates,big_daily_table))),NA(),XLOOKUP(D$3,daily_items,XLOOKUP($C1978,daily_dates,big_daily_table)))</f>
        <v>#N/A</v>
      </c>
      <c r="E1978" s="1" t="str">
        <f t="array" ref="E1978">IF(ISBLANK(XLOOKUP(E$3,daily_items,XLOOKUP($C1978,daily_dates,big_daily_table))),NA(),XLOOKUP(E$3,daily_items,XLOOKUP($C1978,daily_dates,big_daily_table)))</f>
        <v>#N/A</v>
      </c>
    </row>
    <row r="1979" ht="14.25" customHeight="1">
      <c r="B1979" s="7">
        <v>42884.0</v>
      </c>
      <c r="C1979" s="7">
        <f t="shared" si="1"/>
        <v>42883</v>
      </c>
      <c r="D1979" s="1" t="str">
        <f t="array" ref="D1979">IF(ISBLANK(XLOOKUP(D$3,daily_items,XLOOKUP($C1979,daily_dates,big_daily_table))),NA(),XLOOKUP(D$3,daily_items,XLOOKUP($C1979,daily_dates,big_daily_table)))</f>
        <v>#N/A</v>
      </c>
      <c r="E1979" s="1" t="str">
        <f t="array" ref="E1979">IF(ISBLANK(XLOOKUP(E$3,daily_items,XLOOKUP($C1979,daily_dates,big_daily_table))),NA(),XLOOKUP(E$3,daily_items,XLOOKUP($C1979,daily_dates,big_daily_table)))</f>
        <v>#N/A</v>
      </c>
    </row>
    <row r="1980" ht="14.25" customHeight="1">
      <c r="B1980" s="7">
        <v>42885.0</v>
      </c>
      <c r="C1980" s="7">
        <f t="shared" si="1"/>
        <v>42883</v>
      </c>
      <c r="D1980" s="1" t="str">
        <f t="array" ref="D1980">IF(ISBLANK(XLOOKUP(D$3,daily_items,XLOOKUP($C1980,daily_dates,big_daily_table))),NA(),XLOOKUP(D$3,daily_items,XLOOKUP($C1980,daily_dates,big_daily_table)))</f>
        <v>#N/A</v>
      </c>
      <c r="E1980" s="1" t="str">
        <f t="array" ref="E1980">IF(ISBLANK(XLOOKUP(E$3,daily_items,XLOOKUP($C1980,daily_dates,big_daily_table))),NA(),XLOOKUP(E$3,daily_items,XLOOKUP($C1980,daily_dates,big_daily_table)))</f>
        <v>#N/A</v>
      </c>
    </row>
    <row r="1981" ht="14.25" customHeight="1">
      <c r="B1981" s="7">
        <v>42886.0</v>
      </c>
      <c r="C1981" s="7">
        <f t="shared" si="1"/>
        <v>42883</v>
      </c>
      <c r="D1981" s="1" t="str">
        <f t="array" ref="D1981">IF(ISBLANK(XLOOKUP(D$3,daily_items,XLOOKUP($C1981,daily_dates,big_daily_table))),NA(),XLOOKUP(D$3,daily_items,XLOOKUP($C1981,daily_dates,big_daily_table)))</f>
        <v>#N/A</v>
      </c>
      <c r="E1981" s="1" t="str">
        <f t="array" ref="E1981">IF(ISBLANK(XLOOKUP(E$3,daily_items,XLOOKUP($C1981,daily_dates,big_daily_table))),NA(),XLOOKUP(E$3,daily_items,XLOOKUP($C1981,daily_dates,big_daily_table)))</f>
        <v>#N/A</v>
      </c>
    </row>
    <row r="1982" ht="14.25" customHeight="1">
      <c r="B1982" s="7">
        <v>42887.0</v>
      </c>
      <c r="C1982" s="7">
        <f t="shared" si="1"/>
        <v>42883</v>
      </c>
      <c r="D1982" s="1" t="str">
        <f t="array" ref="D1982">IF(ISBLANK(XLOOKUP(D$3,daily_items,XLOOKUP($C1982,daily_dates,big_daily_table))),NA(),XLOOKUP(D$3,daily_items,XLOOKUP($C1982,daily_dates,big_daily_table)))</f>
        <v>#N/A</v>
      </c>
      <c r="E1982" s="1" t="str">
        <f t="array" ref="E1982">IF(ISBLANK(XLOOKUP(E$3,daily_items,XLOOKUP($C1982,daily_dates,big_daily_table))),NA(),XLOOKUP(E$3,daily_items,XLOOKUP($C1982,daily_dates,big_daily_table)))</f>
        <v>#N/A</v>
      </c>
    </row>
    <row r="1983" ht="14.25" customHeight="1">
      <c r="B1983" s="7">
        <v>42888.0</v>
      </c>
      <c r="C1983" s="7">
        <f t="shared" si="1"/>
        <v>42883</v>
      </c>
      <c r="D1983" s="1" t="str">
        <f t="array" ref="D1983">IF(ISBLANK(XLOOKUP(D$3,daily_items,XLOOKUP($C1983,daily_dates,big_daily_table))),NA(),XLOOKUP(D$3,daily_items,XLOOKUP($C1983,daily_dates,big_daily_table)))</f>
        <v>#N/A</v>
      </c>
      <c r="E1983" s="1" t="str">
        <f t="array" ref="E1983">IF(ISBLANK(XLOOKUP(E$3,daily_items,XLOOKUP($C1983,daily_dates,big_daily_table))),NA(),XLOOKUP(E$3,daily_items,XLOOKUP($C1983,daily_dates,big_daily_table)))</f>
        <v>#N/A</v>
      </c>
    </row>
    <row r="1984" ht="14.25" customHeight="1">
      <c r="B1984" s="7">
        <v>42889.0</v>
      </c>
      <c r="C1984" s="7">
        <f t="shared" si="1"/>
        <v>42883</v>
      </c>
      <c r="D1984" s="1" t="str">
        <f t="array" ref="D1984">IF(ISBLANK(XLOOKUP(D$3,daily_items,XLOOKUP($C1984,daily_dates,big_daily_table))),NA(),XLOOKUP(D$3,daily_items,XLOOKUP($C1984,daily_dates,big_daily_table)))</f>
        <v>#N/A</v>
      </c>
      <c r="E1984" s="1" t="str">
        <f t="array" ref="E1984">IF(ISBLANK(XLOOKUP(E$3,daily_items,XLOOKUP($C1984,daily_dates,big_daily_table))),NA(),XLOOKUP(E$3,daily_items,XLOOKUP($C1984,daily_dates,big_daily_table)))</f>
        <v>#N/A</v>
      </c>
    </row>
    <row r="1985" ht="14.25" customHeight="1">
      <c r="B1985" s="7">
        <v>42890.0</v>
      </c>
      <c r="C1985" s="7">
        <f t="shared" si="1"/>
        <v>42890</v>
      </c>
      <c r="D1985" s="1" t="str">
        <f t="array" ref="D1985">IF(ISBLANK(XLOOKUP(D$3,daily_items,XLOOKUP($C1985,daily_dates,big_daily_table))),NA(),XLOOKUP(D$3,daily_items,XLOOKUP($C1985,daily_dates,big_daily_table)))</f>
        <v>#N/A</v>
      </c>
      <c r="E1985" s="1" t="str">
        <f t="array" ref="E1985">IF(ISBLANK(XLOOKUP(E$3,daily_items,XLOOKUP($C1985,daily_dates,big_daily_table))),NA(),XLOOKUP(E$3,daily_items,XLOOKUP($C1985,daily_dates,big_daily_table)))</f>
        <v>#N/A</v>
      </c>
    </row>
    <row r="1986" ht="14.25" customHeight="1">
      <c r="B1986" s="7">
        <v>42891.0</v>
      </c>
      <c r="C1986" s="7">
        <f t="shared" si="1"/>
        <v>42890</v>
      </c>
      <c r="D1986" s="1" t="str">
        <f t="array" ref="D1986">IF(ISBLANK(XLOOKUP(D$3,daily_items,XLOOKUP($C1986,daily_dates,big_daily_table))),NA(),XLOOKUP(D$3,daily_items,XLOOKUP($C1986,daily_dates,big_daily_table)))</f>
        <v>#N/A</v>
      </c>
      <c r="E1986" s="1" t="str">
        <f t="array" ref="E1986">IF(ISBLANK(XLOOKUP(E$3,daily_items,XLOOKUP($C1986,daily_dates,big_daily_table))),NA(),XLOOKUP(E$3,daily_items,XLOOKUP($C1986,daily_dates,big_daily_table)))</f>
        <v>#N/A</v>
      </c>
    </row>
    <row r="1987" ht="14.25" customHeight="1">
      <c r="B1987" s="7">
        <v>42892.0</v>
      </c>
      <c r="C1987" s="7">
        <f t="shared" si="1"/>
        <v>42890</v>
      </c>
      <c r="D1987" s="1" t="str">
        <f t="array" ref="D1987">IF(ISBLANK(XLOOKUP(D$3,daily_items,XLOOKUP($C1987,daily_dates,big_daily_table))),NA(),XLOOKUP(D$3,daily_items,XLOOKUP($C1987,daily_dates,big_daily_table)))</f>
        <v>#N/A</v>
      </c>
      <c r="E1987" s="1" t="str">
        <f t="array" ref="E1987">IF(ISBLANK(XLOOKUP(E$3,daily_items,XLOOKUP($C1987,daily_dates,big_daily_table))),NA(),XLOOKUP(E$3,daily_items,XLOOKUP($C1987,daily_dates,big_daily_table)))</f>
        <v>#N/A</v>
      </c>
    </row>
    <row r="1988" ht="14.25" customHeight="1">
      <c r="B1988" s="7">
        <v>42893.0</v>
      </c>
      <c r="C1988" s="7">
        <f t="shared" si="1"/>
        <v>42890</v>
      </c>
      <c r="D1988" s="1" t="str">
        <f t="array" ref="D1988">IF(ISBLANK(XLOOKUP(D$3,daily_items,XLOOKUP($C1988,daily_dates,big_daily_table))),NA(),XLOOKUP(D$3,daily_items,XLOOKUP($C1988,daily_dates,big_daily_table)))</f>
        <v>#N/A</v>
      </c>
      <c r="E1988" s="1" t="str">
        <f t="array" ref="E1988">IF(ISBLANK(XLOOKUP(E$3,daily_items,XLOOKUP($C1988,daily_dates,big_daily_table))),NA(),XLOOKUP(E$3,daily_items,XLOOKUP($C1988,daily_dates,big_daily_table)))</f>
        <v>#N/A</v>
      </c>
    </row>
    <row r="1989" ht="14.25" customHeight="1">
      <c r="B1989" s="7">
        <v>42894.0</v>
      </c>
      <c r="C1989" s="7">
        <f t="shared" si="1"/>
        <v>42890</v>
      </c>
      <c r="D1989" s="1" t="str">
        <f t="array" ref="D1989">IF(ISBLANK(XLOOKUP(D$3,daily_items,XLOOKUP($C1989,daily_dates,big_daily_table))),NA(),XLOOKUP(D$3,daily_items,XLOOKUP($C1989,daily_dates,big_daily_table)))</f>
        <v>#N/A</v>
      </c>
      <c r="E1989" s="1" t="str">
        <f t="array" ref="E1989">IF(ISBLANK(XLOOKUP(E$3,daily_items,XLOOKUP($C1989,daily_dates,big_daily_table))),NA(),XLOOKUP(E$3,daily_items,XLOOKUP($C1989,daily_dates,big_daily_table)))</f>
        <v>#N/A</v>
      </c>
    </row>
    <row r="1990" ht="14.25" customHeight="1">
      <c r="B1990" s="7">
        <v>42895.0</v>
      </c>
      <c r="C1990" s="7">
        <f t="shared" si="1"/>
        <v>42890</v>
      </c>
      <c r="D1990" s="1" t="str">
        <f t="array" ref="D1990">IF(ISBLANK(XLOOKUP(D$3,daily_items,XLOOKUP($C1990,daily_dates,big_daily_table))),NA(),XLOOKUP(D$3,daily_items,XLOOKUP($C1990,daily_dates,big_daily_table)))</f>
        <v>#N/A</v>
      </c>
      <c r="E1990" s="1" t="str">
        <f t="array" ref="E1990">IF(ISBLANK(XLOOKUP(E$3,daily_items,XLOOKUP($C1990,daily_dates,big_daily_table))),NA(),XLOOKUP(E$3,daily_items,XLOOKUP($C1990,daily_dates,big_daily_table)))</f>
        <v>#N/A</v>
      </c>
    </row>
    <row r="1991" ht="14.25" customHeight="1">
      <c r="B1991" s="7">
        <v>42896.0</v>
      </c>
      <c r="C1991" s="7">
        <f t="shared" si="1"/>
        <v>42890</v>
      </c>
      <c r="D1991" s="1" t="str">
        <f t="array" ref="D1991">IF(ISBLANK(XLOOKUP(D$3,daily_items,XLOOKUP($C1991,daily_dates,big_daily_table))),NA(),XLOOKUP(D$3,daily_items,XLOOKUP($C1991,daily_dates,big_daily_table)))</f>
        <v>#N/A</v>
      </c>
      <c r="E1991" s="1" t="str">
        <f t="array" ref="E1991">IF(ISBLANK(XLOOKUP(E$3,daily_items,XLOOKUP($C1991,daily_dates,big_daily_table))),NA(),XLOOKUP(E$3,daily_items,XLOOKUP($C1991,daily_dates,big_daily_table)))</f>
        <v>#N/A</v>
      </c>
    </row>
    <row r="1992" ht="14.25" customHeight="1">
      <c r="B1992" s="7">
        <v>42897.0</v>
      </c>
      <c r="C1992" s="7">
        <f t="shared" si="1"/>
        <v>42897</v>
      </c>
      <c r="D1992" s="1" t="str">
        <f t="array" ref="D1992">IF(ISBLANK(XLOOKUP(D$3,daily_items,XLOOKUP($C1992,daily_dates,big_daily_table))),NA(),XLOOKUP(D$3,daily_items,XLOOKUP($C1992,daily_dates,big_daily_table)))</f>
        <v>#N/A</v>
      </c>
      <c r="E1992" s="1" t="str">
        <f t="array" ref="E1992">IF(ISBLANK(XLOOKUP(E$3,daily_items,XLOOKUP($C1992,daily_dates,big_daily_table))),NA(),XLOOKUP(E$3,daily_items,XLOOKUP($C1992,daily_dates,big_daily_table)))</f>
        <v>#N/A</v>
      </c>
    </row>
    <row r="1993" ht="14.25" customHeight="1">
      <c r="B1993" s="7">
        <v>42898.0</v>
      </c>
      <c r="C1993" s="7">
        <f t="shared" si="1"/>
        <v>42897</v>
      </c>
      <c r="D1993" s="1" t="str">
        <f t="array" ref="D1993">IF(ISBLANK(XLOOKUP(D$3,daily_items,XLOOKUP($C1993,daily_dates,big_daily_table))),NA(),XLOOKUP(D$3,daily_items,XLOOKUP($C1993,daily_dates,big_daily_table)))</f>
        <v>#N/A</v>
      </c>
      <c r="E1993" s="1" t="str">
        <f t="array" ref="E1993">IF(ISBLANK(XLOOKUP(E$3,daily_items,XLOOKUP($C1993,daily_dates,big_daily_table))),NA(),XLOOKUP(E$3,daily_items,XLOOKUP($C1993,daily_dates,big_daily_table)))</f>
        <v>#N/A</v>
      </c>
    </row>
    <row r="1994" ht="14.25" customHeight="1">
      <c r="B1994" s="7">
        <v>42899.0</v>
      </c>
      <c r="C1994" s="7">
        <f t="shared" si="1"/>
        <v>42897</v>
      </c>
      <c r="D1994" s="1" t="str">
        <f t="array" ref="D1994">IF(ISBLANK(XLOOKUP(D$3,daily_items,XLOOKUP($C1994,daily_dates,big_daily_table))),NA(),XLOOKUP(D$3,daily_items,XLOOKUP($C1994,daily_dates,big_daily_table)))</f>
        <v>#N/A</v>
      </c>
      <c r="E1994" s="1" t="str">
        <f t="array" ref="E1994">IF(ISBLANK(XLOOKUP(E$3,daily_items,XLOOKUP($C1994,daily_dates,big_daily_table))),NA(),XLOOKUP(E$3,daily_items,XLOOKUP($C1994,daily_dates,big_daily_table)))</f>
        <v>#N/A</v>
      </c>
    </row>
    <row r="1995" ht="14.25" customHeight="1">
      <c r="B1995" s="7">
        <v>42900.0</v>
      </c>
      <c r="C1995" s="7">
        <f t="shared" si="1"/>
        <v>42897</v>
      </c>
      <c r="D1995" s="1" t="str">
        <f t="array" ref="D1995">IF(ISBLANK(XLOOKUP(D$3,daily_items,XLOOKUP($C1995,daily_dates,big_daily_table))),NA(),XLOOKUP(D$3,daily_items,XLOOKUP($C1995,daily_dates,big_daily_table)))</f>
        <v>#N/A</v>
      </c>
      <c r="E1995" s="1" t="str">
        <f t="array" ref="E1995">IF(ISBLANK(XLOOKUP(E$3,daily_items,XLOOKUP($C1995,daily_dates,big_daily_table))),NA(),XLOOKUP(E$3,daily_items,XLOOKUP($C1995,daily_dates,big_daily_table)))</f>
        <v>#N/A</v>
      </c>
    </row>
    <row r="1996" ht="14.25" customHeight="1">
      <c r="B1996" s="7">
        <v>42901.0</v>
      </c>
      <c r="C1996" s="7">
        <f t="shared" si="1"/>
        <v>42897</v>
      </c>
      <c r="D1996" s="1" t="str">
        <f t="array" ref="D1996">IF(ISBLANK(XLOOKUP(D$3,daily_items,XLOOKUP($C1996,daily_dates,big_daily_table))),NA(),XLOOKUP(D$3,daily_items,XLOOKUP($C1996,daily_dates,big_daily_table)))</f>
        <v>#N/A</v>
      </c>
      <c r="E1996" s="1" t="str">
        <f t="array" ref="E1996">IF(ISBLANK(XLOOKUP(E$3,daily_items,XLOOKUP($C1996,daily_dates,big_daily_table))),NA(),XLOOKUP(E$3,daily_items,XLOOKUP($C1996,daily_dates,big_daily_table)))</f>
        <v>#N/A</v>
      </c>
    </row>
    <row r="1997" ht="14.25" customHeight="1">
      <c r="B1997" s="7">
        <v>42902.0</v>
      </c>
      <c r="C1997" s="7">
        <f t="shared" si="1"/>
        <v>42897</v>
      </c>
      <c r="D1997" s="1" t="str">
        <f t="array" ref="D1997">IF(ISBLANK(XLOOKUP(D$3,daily_items,XLOOKUP($C1997,daily_dates,big_daily_table))),NA(),XLOOKUP(D$3,daily_items,XLOOKUP($C1997,daily_dates,big_daily_table)))</f>
        <v>#N/A</v>
      </c>
      <c r="E1997" s="1" t="str">
        <f t="array" ref="E1997">IF(ISBLANK(XLOOKUP(E$3,daily_items,XLOOKUP($C1997,daily_dates,big_daily_table))),NA(),XLOOKUP(E$3,daily_items,XLOOKUP($C1997,daily_dates,big_daily_table)))</f>
        <v>#N/A</v>
      </c>
    </row>
    <row r="1998" ht="14.25" customHeight="1">
      <c r="B1998" s="7">
        <v>42903.0</v>
      </c>
      <c r="C1998" s="7">
        <f t="shared" si="1"/>
        <v>42897</v>
      </c>
      <c r="D1998" s="1" t="str">
        <f t="array" ref="D1998">IF(ISBLANK(XLOOKUP(D$3,daily_items,XLOOKUP($C1998,daily_dates,big_daily_table))),NA(),XLOOKUP(D$3,daily_items,XLOOKUP($C1998,daily_dates,big_daily_table)))</f>
        <v>#N/A</v>
      </c>
      <c r="E1998" s="1" t="str">
        <f t="array" ref="E1998">IF(ISBLANK(XLOOKUP(E$3,daily_items,XLOOKUP($C1998,daily_dates,big_daily_table))),NA(),XLOOKUP(E$3,daily_items,XLOOKUP($C1998,daily_dates,big_daily_table)))</f>
        <v>#N/A</v>
      </c>
    </row>
    <row r="1999" ht="14.25" customHeight="1">
      <c r="B1999" s="7">
        <v>42904.0</v>
      </c>
      <c r="C1999" s="7">
        <f t="shared" si="1"/>
        <v>42904</v>
      </c>
      <c r="D1999" s="1" t="str">
        <f t="array" ref="D1999">IF(ISBLANK(XLOOKUP(D$3,daily_items,XLOOKUP($C1999,daily_dates,big_daily_table))),NA(),XLOOKUP(D$3,daily_items,XLOOKUP($C1999,daily_dates,big_daily_table)))</f>
        <v>#N/A</v>
      </c>
      <c r="E1999" s="1" t="str">
        <f t="array" ref="E1999">IF(ISBLANK(XLOOKUP(E$3,daily_items,XLOOKUP($C1999,daily_dates,big_daily_table))),NA(),XLOOKUP(E$3,daily_items,XLOOKUP($C1999,daily_dates,big_daily_table)))</f>
        <v>#N/A</v>
      </c>
    </row>
    <row r="2000" ht="14.25" customHeight="1">
      <c r="B2000" s="7">
        <v>42905.0</v>
      </c>
      <c r="C2000" s="7">
        <f t="shared" si="1"/>
        <v>42904</v>
      </c>
      <c r="D2000" s="1" t="str">
        <f t="array" ref="D2000">IF(ISBLANK(XLOOKUP(D$3,daily_items,XLOOKUP($C2000,daily_dates,big_daily_table))),NA(),XLOOKUP(D$3,daily_items,XLOOKUP($C2000,daily_dates,big_daily_table)))</f>
        <v>#N/A</v>
      </c>
      <c r="E2000" s="1" t="str">
        <f t="array" ref="E2000">IF(ISBLANK(XLOOKUP(E$3,daily_items,XLOOKUP($C2000,daily_dates,big_daily_table))),NA(),XLOOKUP(E$3,daily_items,XLOOKUP($C2000,daily_dates,big_daily_table)))</f>
        <v>#N/A</v>
      </c>
    </row>
    <row r="2001" ht="14.25" customHeight="1">
      <c r="B2001" s="7">
        <v>42906.0</v>
      </c>
      <c r="C2001" s="7">
        <f t="shared" si="1"/>
        <v>42904</v>
      </c>
      <c r="D2001" s="1" t="str">
        <f t="array" ref="D2001">IF(ISBLANK(XLOOKUP(D$3,daily_items,XLOOKUP($C2001,daily_dates,big_daily_table))),NA(),XLOOKUP(D$3,daily_items,XLOOKUP($C2001,daily_dates,big_daily_table)))</f>
        <v>#N/A</v>
      </c>
      <c r="E2001" s="1" t="str">
        <f t="array" ref="E2001">IF(ISBLANK(XLOOKUP(E$3,daily_items,XLOOKUP($C2001,daily_dates,big_daily_table))),NA(),XLOOKUP(E$3,daily_items,XLOOKUP($C2001,daily_dates,big_daily_table)))</f>
        <v>#N/A</v>
      </c>
    </row>
    <row r="2002" ht="14.25" customHeight="1">
      <c r="B2002" s="7">
        <v>42907.0</v>
      </c>
      <c r="C2002" s="7">
        <f t="shared" si="1"/>
        <v>42904</v>
      </c>
      <c r="D2002" s="1" t="str">
        <f t="array" ref="D2002">IF(ISBLANK(XLOOKUP(D$3,daily_items,XLOOKUP($C2002,daily_dates,big_daily_table))),NA(),XLOOKUP(D$3,daily_items,XLOOKUP($C2002,daily_dates,big_daily_table)))</f>
        <v>#N/A</v>
      </c>
      <c r="E2002" s="1" t="str">
        <f t="array" ref="E2002">IF(ISBLANK(XLOOKUP(E$3,daily_items,XLOOKUP($C2002,daily_dates,big_daily_table))),NA(),XLOOKUP(E$3,daily_items,XLOOKUP($C2002,daily_dates,big_daily_table)))</f>
        <v>#N/A</v>
      </c>
    </row>
    <row r="2003" ht="14.25" customHeight="1">
      <c r="B2003" s="7">
        <v>42908.0</v>
      </c>
      <c r="C2003" s="7">
        <f t="shared" si="1"/>
        <v>42904</v>
      </c>
      <c r="D2003" s="1" t="str">
        <f t="array" ref="D2003">IF(ISBLANK(XLOOKUP(D$3,daily_items,XLOOKUP($C2003,daily_dates,big_daily_table))),NA(),XLOOKUP(D$3,daily_items,XLOOKUP($C2003,daily_dates,big_daily_table)))</f>
        <v>#N/A</v>
      </c>
      <c r="E2003" s="1" t="str">
        <f t="array" ref="E2003">IF(ISBLANK(XLOOKUP(E$3,daily_items,XLOOKUP($C2003,daily_dates,big_daily_table))),NA(),XLOOKUP(E$3,daily_items,XLOOKUP($C2003,daily_dates,big_daily_table)))</f>
        <v>#N/A</v>
      </c>
    </row>
    <row r="2004" ht="14.25" customHeight="1">
      <c r="B2004" s="7">
        <v>42909.0</v>
      </c>
      <c r="C2004" s="7">
        <f t="shared" si="1"/>
        <v>42904</v>
      </c>
      <c r="D2004" s="1" t="str">
        <f t="array" ref="D2004">IF(ISBLANK(XLOOKUP(D$3,daily_items,XLOOKUP($C2004,daily_dates,big_daily_table))),NA(),XLOOKUP(D$3,daily_items,XLOOKUP($C2004,daily_dates,big_daily_table)))</f>
        <v>#N/A</v>
      </c>
      <c r="E2004" s="1" t="str">
        <f t="array" ref="E2004">IF(ISBLANK(XLOOKUP(E$3,daily_items,XLOOKUP($C2004,daily_dates,big_daily_table))),NA(),XLOOKUP(E$3,daily_items,XLOOKUP($C2004,daily_dates,big_daily_table)))</f>
        <v>#N/A</v>
      </c>
    </row>
    <row r="2005" ht="14.25" customHeight="1">
      <c r="B2005" s="7">
        <v>42910.0</v>
      </c>
      <c r="C2005" s="7">
        <f t="shared" si="1"/>
        <v>42904</v>
      </c>
      <c r="D2005" s="1" t="str">
        <f t="array" ref="D2005">IF(ISBLANK(XLOOKUP(D$3,daily_items,XLOOKUP($C2005,daily_dates,big_daily_table))),NA(),XLOOKUP(D$3,daily_items,XLOOKUP($C2005,daily_dates,big_daily_table)))</f>
        <v>#N/A</v>
      </c>
      <c r="E2005" s="1" t="str">
        <f t="array" ref="E2005">IF(ISBLANK(XLOOKUP(E$3,daily_items,XLOOKUP($C2005,daily_dates,big_daily_table))),NA(),XLOOKUP(E$3,daily_items,XLOOKUP($C2005,daily_dates,big_daily_table)))</f>
        <v>#N/A</v>
      </c>
    </row>
    <row r="2006" ht="14.25" customHeight="1">
      <c r="B2006" s="7">
        <v>42911.0</v>
      </c>
      <c r="C2006" s="7">
        <f t="shared" si="1"/>
        <v>42911</v>
      </c>
      <c r="D2006" s="1" t="str">
        <f t="array" ref="D2006">IF(ISBLANK(XLOOKUP(D$3,daily_items,XLOOKUP($C2006,daily_dates,big_daily_table))),NA(),XLOOKUP(D$3,daily_items,XLOOKUP($C2006,daily_dates,big_daily_table)))</f>
        <v>#N/A</v>
      </c>
      <c r="E2006" s="1" t="str">
        <f t="array" ref="E2006">IF(ISBLANK(XLOOKUP(E$3,daily_items,XLOOKUP($C2006,daily_dates,big_daily_table))),NA(),XLOOKUP(E$3,daily_items,XLOOKUP($C2006,daily_dates,big_daily_table)))</f>
        <v>#N/A</v>
      </c>
    </row>
    <row r="2007" ht="14.25" customHeight="1">
      <c r="B2007" s="7">
        <v>42912.0</v>
      </c>
      <c r="C2007" s="7">
        <f t="shared" si="1"/>
        <v>42911</v>
      </c>
      <c r="D2007" s="1" t="str">
        <f t="array" ref="D2007">IF(ISBLANK(XLOOKUP(D$3,daily_items,XLOOKUP($C2007,daily_dates,big_daily_table))),NA(),XLOOKUP(D$3,daily_items,XLOOKUP($C2007,daily_dates,big_daily_table)))</f>
        <v>#N/A</v>
      </c>
      <c r="E2007" s="1" t="str">
        <f t="array" ref="E2007">IF(ISBLANK(XLOOKUP(E$3,daily_items,XLOOKUP($C2007,daily_dates,big_daily_table))),NA(),XLOOKUP(E$3,daily_items,XLOOKUP($C2007,daily_dates,big_daily_table)))</f>
        <v>#N/A</v>
      </c>
    </row>
    <row r="2008" ht="14.25" customHeight="1">
      <c r="B2008" s="7">
        <v>42913.0</v>
      </c>
      <c r="C2008" s="7">
        <f t="shared" si="1"/>
        <v>42911</v>
      </c>
      <c r="D2008" s="1" t="str">
        <f t="array" ref="D2008">IF(ISBLANK(XLOOKUP(D$3,daily_items,XLOOKUP($C2008,daily_dates,big_daily_table))),NA(),XLOOKUP(D$3,daily_items,XLOOKUP($C2008,daily_dates,big_daily_table)))</f>
        <v>#N/A</v>
      </c>
      <c r="E2008" s="1" t="str">
        <f t="array" ref="E2008">IF(ISBLANK(XLOOKUP(E$3,daily_items,XLOOKUP($C2008,daily_dates,big_daily_table))),NA(),XLOOKUP(E$3,daily_items,XLOOKUP($C2008,daily_dates,big_daily_table)))</f>
        <v>#N/A</v>
      </c>
    </row>
    <row r="2009" ht="14.25" customHeight="1">
      <c r="B2009" s="7">
        <v>42914.0</v>
      </c>
      <c r="C2009" s="7">
        <f t="shared" si="1"/>
        <v>42911</v>
      </c>
      <c r="D2009" s="1" t="str">
        <f t="array" ref="D2009">IF(ISBLANK(XLOOKUP(D$3,daily_items,XLOOKUP($C2009,daily_dates,big_daily_table))),NA(),XLOOKUP(D$3,daily_items,XLOOKUP($C2009,daily_dates,big_daily_table)))</f>
        <v>#N/A</v>
      </c>
      <c r="E2009" s="1" t="str">
        <f t="array" ref="E2009">IF(ISBLANK(XLOOKUP(E$3,daily_items,XLOOKUP($C2009,daily_dates,big_daily_table))),NA(),XLOOKUP(E$3,daily_items,XLOOKUP($C2009,daily_dates,big_daily_table)))</f>
        <v>#N/A</v>
      </c>
    </row>
    <row r="2010" ht="14.25" customHeight="1">
      <c r="B2010" s="7">
        <v>42915.0</v>
      </c>
      <c r="C2010" s="7">
        <f t="shared" si="1"/>
        <v>42911</v>
      </c>
      <c r="D2010" s="1" t="str">
        <f t="array" ref="D2010">IF(ISBLANK(XLOOKUP(D$3,daily_items,XLOOKUP($C2010,daily_dates,big_daily_table))),NA(),XLOOKUP(D$3,daily_items,XLOOKUP($C2010,daily_dates,big_daily_table)))</f>
        <v>#N/A</v>
      </c>
      <c r="E2010" s="1" t="str">
        <f t="array" ref="E2010">IF(ISBLANK(XLOOKUP(E$3,daily_items,XLOOKUP($C2010,daily_dates,big_daily_table))),NA(),XLOOKUP(E$3,daily_items,XLOOKUP($C2010,daily_dates,big_daily_table)))</f>
        <v>#N/A</v>
      </c>
    </row>
    <row r="2011" ht="14.25" customHeight="1">
      <c r="B2011" s="7">
        <v>42916.0</v>
      </c>
      <c r="C2011" s="7">
        <f t="shared" si="1"/>
        <v>42911</v>
      </c>
      <c r="D2011" s="1" t="str">
        <f t="array" ref="D2011">IF(ISBLANK(XLOOKUP(D$3,daily_items,XLOOKUP($C2011,daily_dates,big_daily_table))),NA(),XLOOKUP(D$3,daily_items,XLOOKUP($C2011,daily_dates,big_daily_table)))</f>
        <v>#N/A</v>
      </c>
      <c r="E2011" s="1" t="str">
        <f t="array" ref="E2011">IF(ISBLANK(XLOOKUP(E$3,daily_items,XLOOKUP($C2011,daily_dates,big_daily_table))),NA(),XLOOKUP(E$3,daily_items,XLOOKUP($C2011,daily_dates,big_daily_table)))</f>
        <v>#N/A</v>
      </c>
    </row>
    <row r="2012" ht="14.25" customHeight="1">
      <c r="B2012" s="7">
        <v>42917.0</v>
      </c>
      <c r="C2012" s="7">
        <f t="shared" si="1"/>
        <v>42911</v>
      </c>
      <c r="D2012" s="1" t="str">
        <f t="array" ref="D2012">IF(ISBLANK(XLOOKUP(D$3,daily_items,XLOOKUP($C2012,daily_dates,big_daily_table))),NA(),XLOOKUP(D$3,daily_items,XLOOKUP($C2012,daily_dates,big_daily_table)))</f>
        <v>#N/A</v>
      </c>
      <c r="E2012" s="1" t="str">
        <f t="array" ref="E2012">IF(ISBLANK(XLOOKUP(E$3,daily_items,XLOOKUP($C2012,daily_dates,big_daily_table))),NA(),XLOOKUP(E$3,daily_items,XLOOKUP($C2012,daily_dates,big_daily_table)))</f>
        <v>#N/A</v>
      </c>
    </row>
    <row r="2013" ht="14.25" customHeight="1">
      <c r="B2013" s="7">
        <v>42918.0</v>
      </c>
      <c r="C2013" s="7">
        <f t="shared" si="1"/>
        <v>42918</v>
      </c>
      <c r="D2013" s="1" t="str">
        <f t="array" ref="D2013">IF(ISBLANK(XLOOKUP(D$3,daily_items,XLOOKUP($C2013,daily_dates,big_daily_table))),NA(),XLOOKUP(D$3,daily_items,XLOOKUP($C2013,daily_dates,big_daily_table)))</f>
        <v>#N/A</v>
      </c>
      <c r="E2013" s="1" t="str">
        <f t="array" ref="E2013">IF(ISBLANK(XLOOKUP(E$3,daily_items,XLOOKUP($C2013,daily_dates,big_daily_table))),NA(),XLOOKUP(E$3,daily_items,XLOOKUP($C2013,daily_dates,big_daily_table)))</f>
        <v>#N/A</v>
      </c>
    </row>
    <row r="2014" ht="14.25" customHeight="1">
      <c r="B2014" s="7">
        <v>42919.0</v>
      </c>
      <c r="C2014" s="7">
        <f t="shared" si="1"/>
        <v>42918</v>
      </c>
      <c r="D2014" s="1" t="str">
        <f t="array" ref="D2014">IF(ISBLANK(XLOOKUP(D$3,daily_items,XLOOKUP($C2014,daily_dates,big_daily_table))),NA(),XLOOKUP(D$3,daily_items,XLOOKUP($C2014,daily_dates,big_daily_table)))</f>
        <v>#N/A</v>
      </c>
      <c r="E2014" s="1" t="str">
        <f t="array" ref="E2014">IF(ISBLANK(XLOOKUP(E$3,daily_items,XLOOKUP($C2014,daily_dates,big_daily_table))),NA(),XLOOKUP(E$3,daily_items,XLOOKUP($C2014,daily_dates,big_daily_table)))</f>
        <v>#N/A</v>
      </c>
    </row>
    <row r="2015" ht="14.25" customHeight="1">
      <c r="B2015" s="7">
        <v>42920.0</v>
      </c>
      <c r="C2015" s="7">
        <f t="shared" si="1"/>
        <v>42918</v>
      </c>
      <c r="D2015" s="1" t="str">
        <f t="array" ref="D2015">IF(ISBLANK(XLOOKUP(D$3,daily_items,XLOOKUP($C2015,daily_dates,big_daily_table))),NA(),XLOOKUP(D$3,daily_items,XLOOKUP($C2015,daily_dates,big_daily_table)))</f>
        <v>#N/A</v>
      </c>
      <c r="E2015" s="1" t="str">
        <f t="array" ref="E2015">IF(ISBLANK(XLOOKUP(E$3,daily_items,XLOOKUP($C2015,daily_dates,big_daily_table))),NA(),XLOOKUP(E$3,daily_items,XLOOKUP($C2015,daily_dates,big_daily_table)))</f>
        <v>#N/A</v>
      </c>
    </row>
    <row r="2016" ht="14.25" customHeight="1">
      <c r="B2016" s="7">
        <v>42921.0</v>
      </c>
      <c r="C2016" s="7">
        <f t="shared" si="1"/>
        <v>42918</v>
      </c>
      <c r="D2016" s="1" t="str">
        <f t="array" ref="D2016">IF(ISBLANK(XLOOKUP(D$3,daily_items,XLOOKUP($C2016,daily_dates,big_daily_table))),NA(),XLOOKUP(D$3,daily_items,XLOOKUP($C2016,daily_dates,big_daily_table)))</f>
        <v>#N/A</v>
      </c>
      <c r="E2016" s="1" t="str">
        <f t="array" ref="E2016">IF(ISBLANK(XLOOKUP(E$3,daily_items,XLOOKUP($C2016,daily_dates,big_daily_table))),NA(),XLOOKUP(E$3,daily_items,XLOOKUP($C2016,daily_dates,big_daily_table)))</f>
        <v>#N/A</v>
      </c>
    </row>
    <row r="2017" ht="14.25" customHeight="1">
      <c r="B2017" s="7">
        <v>42922.0</v>
      </c>
      <c r="C2017" s="7">
        <f t="shared" si="1"/>
        <v>42918</v>
      </c>
      <c r="D2017" s="1" t="str">
        <f t="array" ref="D2017">IF(ISBLANK(XLOOKUP(D$3,daily_items,XLOOKUP($C2017,daily_dates,big_daily_table))),NA(),XLOOKUP(D$3,daily_items,XLOOKUP($C2017,daily_dates,big_daily_table)))</f>
        <v>#N/A</v>
      </c>
      <c r="E2017" s="1" t="str">
        <f t="array" ref="E2017">IF(ISBLANK(XLOOKUP(E$3,daily_items,XLOOKUP($C2017,daily_dates,big_daily_table))),NA(),XLOOKUP(E$3,daily_items,XLOOKUP($C2017,daily_dates,big_daily_table)))</f>
        <v>#N/A</v>
      </c>
    </row>
    <row r="2018" ht="14.25" customHeight="1">
      <c r="B2018" s="7">
        <v>42923.0</v>
      </c>
      <c r="C2018" s="7">
        <f t="shared" si="1"/>
        <v>42918</v>
      </c>
      <c r="D2018" s="1" t="str">
        <f t="array" ref="D2018">IF(ISBLANK(XLOOKUP(D$3,daily_items,XLOOKUP($C2018,daily_dates,big_daily_table))),NA(),XLOOKUP(D$3,daily_items,XLOOKUP($C2018,daily_dates,big_daily_table)))</f>
        <v>#N/A</v>
      </c>
      <c r="E2018" s="1" t="str">
        <f t="array" ref="E2018">IF(ISBLANK(XLOOKUP(E$3,daily_items,XLOOKUP($C2018,daily_dates,big_daily_table))),NA(),XLOOKUP(E$3,daily_items,XLOOKUP($C2018,daily_dates,big_daily_table)))</f>
        <v>#N/A</v>
      </c>
    </row>
    <row r="2019" ht="14.25" customHeight="1">
      <c r="B2019" s="7">
        <v>42924.0</v>
      </c>
      <c r="C2019" s="7">
        <f t="shared" si="1"/>
        <v>42918</v>
      </c>
      <c r="D2019" s="1" t="str">
        <f t="array" ref="D2019">IF(ISBLANK(XLOOKUP(D$3,daily_items,XLOOKUP($C2019,daily_dates,big_daily_table))),NA(),XLOOKUP(D$3,daily_items,XLOOKUP($C2019,daily_dates,big_daily_table)))</f>
        <v>#N/A</v>
      </c>
      <c r="E2019" s="1" t="str">
        <f t="array" ref="E2019">IF(ISBLANK(XLOOKUP(E$3,daily_items,XLOOKUP($C2019,daily_dates,big_daily_table))),NA(),XLOOKUP(E$3,daily_items,XLOOKUP($C2019,daily_dates,big_daily_table)))</f>
        <v>#N/A</v>
      </c>
    </row>
    <row r="2020" ht="14.25" customHeight="1">
      <c r="B2020" s="7">
        <v>42925.0</v>
      </c>
      <c r="C2020" s="7">
        <f t="shared" si="1"/>
        <v>42925</v>
      </c>
      <c r="D2020" s="1" t="str">
        <f t="array" ref="D2020">IF(ISBLANK(XLOOKUP(D$3,daily_items,XLOOKUP($C2020,daily_dates,big_daily_table))),NA(),XLOOKUP(D$3,daily_items,XLOOKUP($C2020,daily_dates,big_daily_table)))</f>
        <v>#N/A</v>
      </c>
      <c r="E2020" s="1" t="str">
        <f t="array" ref="E2020">IF(ISBLANK(XLOOKUP(E$3,daily_items,XLOOKUP($C2020,daily_dates,big_daily_table))),NA(),XLOOKUP(E$3,daily_items,XLOOKUP($C2020,daily_dates,big_daily_table)))</f>
        <v>#N/A</v>
      </c>
    </row>
    <row r="2021" ht="14.25" customHeight="1">
      <c r="B2021" s="7">
        <v>42926.0</v>
      </c>
      <c r="C2021" s="7">
        <f t="shared" si="1"/>
        <v>42925</v>
      </c>
      <c r="D2021" s="1" t="str">
        <f t="array" ref="D2021">IF(ISBLANK(XLOOKUP(D$3,daily_items,XLOOKUP($C2021,daily_dates,big_daily_table))),NA(),XLOOKUP(D$3,daily_items,XLOOKUP($C2021,daily_dates,big_daily_table)))</f>
        <v>#N/A</v>
      </c>
      <c r="E2021" s="1" t="str">
        <f t="array" ref="E2021">IF(ISBLANK(XLOOKUP(E$3,daily_items,XLOOKUP($C2021,daily_dates,big_daily_table))),NA(),XLOOKUP(E$3,daily_items,XLOOKUP($C2021,daily_dates,big_daily_table)))</f>
        <v>#N/A</v>
      </c>
    </row>
    <row r="2022" ht="14.25" customHeight="1">
      <c r="B2022" s="7">
        <v>42927.0</v>
      </c>
      <c r="C2022" s="7">
        <f t="shared" si="1"/>
        <v>42925</v>
      </c>
      <c r="D2022" s="1" t="str">
        <f t="array" ref="D2022">IF(ISBLANK(XLOOKUP(D$3,daily_items,XLOOKUP($C2022,daily_dates,big_daily_table))),NA(),XLOOKUP(D$3,daily_items,XLOOKUP($C2022,daily_dates,big_daily_table)))</f>
        <v>#N/A</v>
      </c>
      <c r="E2022" s="1" t="str">
        <f t="array" ref="E2022">IF(ISBLANK(XLOOKUP(E$3,daily_items,XLOOKUP($C2022,daily_dates,big_daily_table))),NA(),XLOOKUP(E$3,daily_items,XLOOKUP($C2022,daily_dates,big_daily_table)))</f>
        <v>#N/A</v>
      </c>
    </row>
    <row r="2023" ht="14.25" customHeight="1">
      <c r="B2023" s="7">
        <v>42928.0</v>
      </c>
      <c r="C2023" s="7">
        <f t="shared" si="1"/>
        <v>42925</v>
      </c>
      <c r="D2023" s="1" t="str">
        <f t="array" ref="D2023">IF(ISBLANK(XLOOKUP(D$3,daily_items,XLOOKUP($C2023,daily_dates,big_daily_table))),NA(),XLOOKUP(D$3,daily_items,XLOOKUP($C2023,daily_dates,big_daily_table)))</f>
        <v>#N/A</v>
      </c>
      <c r="E2023" s="1" t="str">
        <f t="array" ref="E2023">IF(ISBLANK(XLOOKUP(E$3,daily_items,XLOOKUP($C2023,daily_dates,big_daily_table))),NA(),XLOOKUP(E$3,daily_items,XLOOKUP($C2023,daily_dates,big_daily_table)))</f>
        <v>#N/A</v>
      </c>
    </row>
    <row r="2024" ht="14.25" customHeight="1">
      <c r="B2024" s="7">
        <v>42929.0</v>
      </c>
      <c r="C2024" s="7">
        <f t="shared" si="1"/>
        <v>42925</v>
      </c>
      <c r="D2024" s="1" t="str">
        <f t="array" ref="D2024">IF(ISBLANK(XLOOKUP(D$3,daily_items,XLOOKUP($C2024,daily_dates,big_daily_table))),NA(),XLOOKUP(D$3,daily_items,XLOOKUP($C2024,daily_dates,big_daily_table)))</f>
        <v>#N/A</v>
      </c>
      <c r="E2024" s="1" t="str">
        <f t="array" ref="E2024">IF(ISBLANK(XLOOKUP(E$3,daily_items,XLOOKUP($C2024,daily_dates,big_daily_table))),NA(),XLOOKUP(E$3,daily_items,XLOOKUP($C2024,daily_dates,big_daily_table)))</f>
        <v>#N/A</v>
      </c>
    </row>
    <row r="2025" ht="14.25" customHeight="1">
      <c r="B2025" s="7">
        <v>42930.0</v>
      </c>
      <c r="C2025" s="7">
        <f t="shared" si="1"/>
        <v>42925</v>
      </c>
      <c r="D2025" s="1" t="str">
        <f t="array" ref="D2025">IF(ISBLANK(XLOOKUP(D$3,daily_items,XLOOKUP($C2025,daily_dates,big_daily_table))),NA(),XLOOKUP(D$3,daily_items,XLOOKUP($C2025,daily_dates,big_daily_table)))</f>
        <v>#N/A</v>
      </c>
      <c r="E2025" s="1" t="str">
        <f t="array" ref="E2025">IF(ISBLANK(XLOOKUP(E$3,daily_items,XLOOKUP($C2025,daily_dates,big_daily_table))),NA(),XLOOKUP(E$3,daily_items,XLOOKUP($C2025,daily_dates,big_daily_table)))</f>
        <v>#N/A</v>
      </c>
    </row>
    <row r="2026" ht="14.25" customHeight="1">
      <c r="B2026" s="7">
        <v>42931.0</v>
      </c>
      <c r="C2026" s="7">
        <f t="shared" si="1"/>
        <v>42925</v>
      </c>
      <c r="D2026" s="1" t="str">
        <f t="array" ref="D2026">IF(ISBLANK(XLOOKUP(D$3,daily_items,XLOOKUP($C2026,daily_dates,big_daily_table))),NA(),XLOOKUP(D$3,daily_items,XLOOKUP($C2026,daily_dates,big_daily_table)))</f>
        <v>#N/A</v>
      </c>
      <c r="E2026" s="1" t="str">
        <f t="array" ref="E2026">IF(ISBLANK(XLOOKUP(E$3,daily_items,XLOOKUP($C2026,daily_dates,big_daily_table))),NA(),XLOOKUP(E$3,daily_items,XLOOKUP($C2026,daily_dates,big_daily_table)))</f>
        <v>#N/A</v>
      </c>
    </row>
    <row r="2027" ht="14.25" customHeight="1">
      <c r="B2027" s="7">
        <v>42932.0</v>
      </c>
      <c r="C2027" s="7">
        <f t="shared" si="1"/>
        <v>42932</v>
      </c>
      <c r="D2027" s="1" t="str">
        <f t="array" ref="D2027">IF(ISBLANK(XLOOKUP(D$3,daily_items,XLOOKUP($C2027,daily_dates,big_daily_table))),NA(),XLOOKUP(D$3,daily_items,XLOOKUP($C2027,daily_dates,big_daily_table)))</f>
        <v>#N/A</v>
      </c>
      <c r="E2027" s="1" t="str">
        <f t="array" ref="E2027">IF(ISBLANK(XLOOKUP(E$3,daily_items,XLOOKUP($C2027,daily_dates,big_daily_table))),NA(),XLOOKUP(E$3,daily_items,XLOOKUP($C2027,daily_dates,big_daily_table)))</f>
        <v>#N/A</v>
      </c>
    </row>
    <row r="2028" ht="14.25" customHeight="1">
      <c r="B2028" s="7">
        <v>42933.0</v>
      </c>
      <c r="C2028" s="7">
        <f t="shared" si="1"/>
        <v>42932</v>
      </c>
      <c r="D2028" s="1" t="str">
        <f t="array" ref="D2028">IF(ISBLANK(XLOOKUP(D$3,daily_items,XLOOKUP($C2028,daily_dates,big_daily_table))),NA(),XLOOKUP(D$3,daily_items,XLOOKUP($C2028,daily_dates,big_daily_table)))</f>
        <v>#N/A</v>
      </c>
      <c r="E2028" s="1" t="str">
        <f t="array" ref="E2028">IF(ISBLANK(XLOOKUP(E$3,daily_items,XLOOKUP($C2028,daily_dates,big_daily_table))),NA(),XLOOKUP(E$3,daily_items,XLOOKUP($C2028,daily_dates,big_daily_table)))</f>
        <v>#N/A</v>
      </c>
    </row>
    <row r="2029" ht="14.25" customHeight="1">
      <c r="B2029" s="7">
        <v>42934.0</v>
      </c>
      <c r="C2029" s="7">
        <f t="shared" si="1"/>
        <v>42932</v>
      </c>
      <c r="D2029" s="1" t="str">
        <f t="array" ref="D2029">IF(ISBLANK(XLOOKUP(D$3,daily_items,XLOOKUP($C2029,daily_dates,big_daily_table))),NA(),XLOOKUP(D$3,daily_items,XLOOKUP($C2029,daily_dates,big_daily_table)))</f>
        <v>#N/A</v>
      </c>
      <c r="E2029" s="1" t="str">
        <f t="array" ref="E2029">IF(ISBLANK(XLOOKUP(E$3,daily_items,XLOOKUP($C2029,daily_dates,big_daily_table))),NA(),XLOOKUP(E$3,daily_items,XLOOKUP($C2029,daily_dates,big_daily_table)))</f>
        <v>#N/A</v>
      </c>
    </row>
    <row r="2030" ht="14.25" customHeight="1">
      <c r="B2030" s="7">
        <v>42935.0</v>
      </c>
      <c r="C2030" s="7">
        <f t="shared" si="1"/>
        <v>42932</v>
      </c>
      <c r="D2030" s="1" t="str">
        <f t="array" ref="D2030">IF(ISBLANK(XLOOKUP(D$3,daily_items,XLOOKUP($C2030,daily_dates,big_daily_table))),NA(),XLOOKUP(D$3,daily_items,XLOOKUP($C2030,daily_dates,big_daily_table)))</f>
        <v>#N/A</v>
      </c>
      <c r="E2030" s="1" t="str">
        <f t="array" ref="E2030">IF(ISBLANK(XLOOKUP(E$3,daily_items,XLOOKUP($C2030,daily_dates,big_daily_table))),NA(),XLOOKUP(E$3,daily_items,XLOOKUP($C2030,daily_dates,big_daily_table)))</f>
        <v>#N/A</v>
      </c>
    </row>
    <row r="2031" ht="14.25" customHeight="1">
      <c r="B2031" s="7">
        <v>42936.0</v>
      </c>
      <c r="C2031" s="7">
        <f t="shared" si="1"/>
        <v>42932</v>
      </c>
      <c r="D2031" s="1" t="str">
        <f t="array" ref="D2031">IF(ISBLANK(XLOOKUP(D$3,daily_items,XLOOKUP($C2031,daily_dates,big_daily_table))),NA(),XLOOKUP(D$3,daily_items,XLOOKUP($C2031,daily_dates,big_daily_table)))</f>
        <v>#N/A</v>
      </c>
      <c r="E2031" s="1" t="str">
        <f t="array" ref="E2031">IF(ISBLANK(XLOOKUP(E$3,daily_items,XLOOKUP($C2031,daily_dates,big_daily_table))),NA(),XLOOKUP(E$3,daily_items,XLOOKUP($C2031,daily_dates,big_daily_table)))</f>
        <v>#N/A</v>
      </c>
    </row>
    <row r="2032" ht="14.25" customHeight="1">
      <c r="B2032" s="7">
        <v>42937.0</v>
      </c>
      <c r="C2032" s="7">
        <f t="shared" si="1"/>
        <v>42932</v>
      </c>
      <c r="D2032" s="1" t="str">
        <f t="array" ref="D2032">IF(ISBLANK(XLOOKUP(D$3,daily_items,XLOOKUP($C2032,daily_dates,big_daily_table))),NA(),XLOOKUP(D$3,daily_items,XLOOKUP($C2032,daily_dates,big_daily_table)))</f>
        <v>#N/A</v>
      </c>
      <c r="E2032" s="1" t="str">
        <f t="array" ref="E2032">IF(ISBLANK(XLOOKUP(E$3,daily_items,XLOOKUP($C2032,daily_dates,big_daily_table))),NA(),XLOOKUP(E$3,daily_items,XLOOKUP($C2032,daily_dates,big_daily_table)))</f>
        <v>#N/A</v>
      </c>
    </row>
    <row r="2033" ht="14.25" customHeight="1">
      <c r="B2033" s="7">
        <v>42938.0</v>
      </c>
      <c r="C2033" s="7">
        <f t="shared" si="1"/>
        <v>42932</v>
      </c>
      <c r="D2033" s="1" t="str">
        <f t="array" ref="D2033">IF(ISBLANK(XLOOKUP(D$3,daily_items,XLOOKUP($C2033,daily_dates,big_daily_table))),NA(),XLOOKUP(D$3,daily_items,XLOOKUP($C2033,daily_dates,big_daily_table)))</f>
        <v>#N/A</v>
      </c>
      <c r="E2033" s="1" t="str">
        <f t="array" ref="E2033">IF(ISBLANK(XLOOKUP(E$3,daily_items,XLOOKUP($C2033,daily_dates,big_daily_table))),NA(),XLOOKUP(E$3,daily_items,XLOOKUP($C2033,daily_dates,big_daily_table)))</f>
        <v>#N/A</v>
      </c>
    </row>
    <row r="2034" ht="14.25" customHeight="1">
      <c r="B2034" s="7">
        <v>42939.0</v>
      </c>
      <c r="C2034" s="7">
        <f t="shared" si="1"/>
        <v>42939</v>
      </c>
      <c r="D2034" s="1" t="str">
        <f t="array" ref="D2034">IF(ISBLANK(XLOOKUP(D$3,daily_items,XLOOKUP($C2034,daily_dates,big_daily_table))),NA(),XLOOKUP(D$3,daily_items,XLOOKUP($C2034,daily_dates,big_daily_table)))</f>
        <v>#N/A</v>
      </c>
      <c r="E2034" s="1" t="str">
        <f t="array" ref="E2034">IF(ISBLANK(XLOOKUP(E$3,daily_items,XLOOKUP($C2034,daily_dates,big_daily_table))),NA(),XLOOKUP(E$3,daily_items,XLOOKUP($C2034,daily_dates,big_daily_table)))</f>
        <v>#N/A</v>
      </c>
    </row>
    <row r="2035" ht="14.25" customHeight="1">
      <c r="B2035" s="7">
        <v>42940.0</v>
      </c>
      <c r="C2035" s="7">
        <f t="shared" si="1"/>
        <v>42939</v>
      </c>
      <c r="D2035" s="1" t="str">
        <f t="array" ref="D2035">IF(ISBLANK(XLOOKUP(D$3,daily_items,XLOOKUP($C2035,daily_dates,big_daily_table))),NA(),XLOOKUP(D$3,daily_items,XLOOKUP($C2035,daily_dates,big_daily_table)))</f>
        <v>#N/A</v>
      </c>
      <c r="E2035" s="1" t="str">
        <f t="array" ref="E2035">IF(ISBLANK(XLOOKUP(E$3,daily_items,XLOOKUP($C2035,daily_dates,big_daily_table))),NA(),XLOOKUP(E$3,daily_items,XLOOKUP($C2035,daily_dates,big_daily_table)))</f>
        <v>#N/A</v>
      </c>
    </row>
    <row r="2036" ht="14.25" customHeight="1">
      <c r="B2036" s="7">
        <v>42941.0</v>
      </c>
      <c r="C2036" s="7">
        <f t="shared" si="1"/>
        <v>42939</v>
      </c>
      <c r="D2036" s="1" t="str">
        <f t="array" ref="D2036">IF(ISBLANK(XLOOKUP(D$3,daily_items,XLOOKUP($C2036,daily_dates,big_daily_table))),NA(),XLOOKUP(D$3,daily_items,XLOOKUP($C2036,daily_dates,big_daily_table)))</f>
        <v>#N/A</v>
      </c>
      <c r="E2036" s="1" t="str">
        <f t="array" ref="E2036">IF(ISBLANK(XLOOKUP(E$3,daily_items,XLOOKUP($C2036,daily_dates,big_daily_table))),NA(),XLOOKUP(E$3,daily_items,XLOOKUP($C2036,daily_dates,big_daily_table)))</f>
        <v>#N/A</v>
      </c>
    </row>
    <row r="2037" ht="14.25" customHeight="1">
      <c r="B2037" s="7">
        <v>42942.0</v>
      </c>
      <c r="C2037" s="7">
        <f t="shared" si="1"/>
        <v>42939</v>
      </c>
      <c r="D2037" s="1" t="str">
        <f t="array" ref="D2037">IF(ISBLANK(XLOOKUP(D$3,daily_items,XLOOKUP($C2037,daily_dates,big_daily_table))),NA(),XLOOKUP(D$3,daily_items,XLOOKUP($C2037,daily_dates,big_daily_table)))</f>
        <v>#N/A</v>
      </c>
      <c r="E2037" s="1" t="str">
        <f t="array" ref="E2037">IF(ISBLANK(XLOOKUP(E$3,daily_items,XLOOKUP($C2037,daily_dates,big_daily_table))),NA(),XLOOKUP(E$3,daily_items,XLOOKUP($C2037,daily_dates,big_daily_table)))</f>
        <v>#N/A</v>
      </c>
    </row>
    <row r="2038" ht="14.25" customHeight="1">
      <c r="B2038" s="7">
        <v>42943.0</v>
      </c>
      <c r="C2038" s="7">
        <f t="shared" si="1"/>
        <v>42939</v>
      </c>
      <c r="D2038" s="1" t="str">
        <f t="array" ref="D2038">IF(ISBLANK(XLOOKUP(D$3,daily_items,XLOOKUP($C2038,daily_dates,big_daily_table))),NA(),XLOOKUP(D$3,daily_items,XLOOKUP($C2038,daily_dates,big_daily_table)))</f>
        <v>#N/A</v>
      </c>
      <c r="E2038" s="1" t="str">
        <f t="array" ref="E2038">IF(ISBLANK(XLOOKUP(E$3,daily_items,XLOOKUP($C2038,daily_dates,big_daily_table))),NA(),XLOOKUP(E$3,daily_items,XLOOKUP($C2038,daily_dates,big_daily_table)))</f>
        <v>#N/A</v>
      </c>
    </row>
    <row r="2039" ht="14.25" customHeight="1">
      <c r="B2039" s="7">
        <v>42944.0</v>
      </c>
      <c r="C2039" s="7">
        <f t="shared" si="1"/>
        <v>42939</v>
      </c>
      <c r="D2039" s="1" t="str">
        <f t="array" ref="D2039">IF(ISBLANK(XLOOKUP(D$3,daily_items,XLOOKUP($C2039,daily_dates,big_daily_table))),NA(),XLOOKUP(D$3,daily_items,XLOOKUP($C2039,daily_dates,big_daily_table)))</f>
        <v>#N/A</v>
      </c>
      <c r="E2039" s="1" t="str">
        <f t="array" ref="E2039">IF(ISBLANK(XLOOKUP(E$3,daily_items,XLOOKUP($C2039,daily_dates,big_daily_table))),NA(),XLOOKUP(E$3,daily_items,XLOOKUP($C2039,daily_dates,big_daily_table)))</f>
        <v>#N/A</v>
      </c>
    </row>
    <row r="2040" ht="14.25" customHeight="1">
      <c r="B2040" s="7">
        <v>42945.0</v>
      </c>
      <c r="C2040" s="7">
        <f t="shared" si="1"/>
        <v>42939</v>
      </c>
      <c r="D2040" s="1" t="str">
        <f t="array" ref="D2040">IF(ISBLANK(XLOOKUP(D$3,daily_items,XLOOKUP($C2040,daily_dates,big_daily_table))),NA(),XLOOKUP(D$3,daily_items,XLOOKUP($C2040,daily_dates,big_daily_table)))</f>
        <v>#N/A</v>
      </c>
      <c r="E2040" s="1" t="str">
        <f t="array" ref="E2040">IF(ISBLANK(XLOOKUP(E$3,daily_items,XLOOKUP($C2040,daily_dates,big_daily_table))),NA(),XLOOKUP(E$3,daily_items,XLOOKUP($C2040,daily_dates,big_daily_table)))</f>
        <v>#N/A</v>
      </c>
    </row>
    <row r="2041" ht="14.25" customHeight="1">
      <c r="B2041" s="7">
        <v>42946.0</v>
      </c>
      <c r="C2041" s="7">
        <f t="shared" si="1"/>
        <v>42946</v>
      </c>
      <c r="D2041" s="1" t="str">
        <f t="array" ref="D2041">IF(ISBLANK(XLOOKUP(D$3,daily_items,XLOOKUP($C2041,daily_dates,big_daily_table))),NA(),XLOOKUP(D$3,daily_items,XLOOKUP($C2041,daily_dates,big_daily_table)))</f>
        <v>#N/A</v>
      </c>
      <c r="E2041" s="1" t="str">
        <f t="array" ref="E2041">IF(ISBLANK(XLOOKUP(E$3,daily_items,XLOOKUP($C2041,daily_dates,big_daily_table))),NA(),XLOOKUP(E$3,daily_items,XLOOKUP($C2041,daily_dates,big_daily_table)))</f>
        <v>#N/A</v>
      </c>
    </row>
    <row r="2042" ht="14.25" customHeight="1">
      <c r="B2042" s="7">
        <v>42947.0</v>
      </c>
      <c r="C2042" s="7">
        <f t="shared" si="1"/>
        <v>42946</v>
      </c>
      <c r="D2042" s="1" t="str">
        <f t="array" ref="D2042">IF(ISBLANK(XLOOKUP(D$3,daily_items,XLOOKUP($C2042,daily_dates,big_daily_table))),NA(),XLOOKUP(D$3,daily_items,XLOOKUP($C2042,daily_dates,big_daily_table)))</f>
        <v>#N/A</v>
      </c>
      <c r="E2042" s="1" t="str">
        <f t="array" ref="E2042">IF(ISBLANK(XLOOKUP(E$3,daily_items,XLOOKUP($C2042,daily_dates,big_daily_table))),NA(),XLOOKUP(E$3,daily_items,XLOOKUP($C2042,daily_dates,big_daily_table)))</f>
        <v>#N/A</v>
      </c>
    </row>
    <row r="2043" ht="14.25" customHeight="1">
      <c r="B2043" s="7">
        <v>42948.0</v>
      </c>
      <c r="C2043" s="7">
        <f t="shared" si="1"/>
        <v>42946</v>
      </c>
      <c r="D2043" s="1" t="str">
        <f t="array" ref="D2043">IF(ISBLANK(XLOOKUP(D$3,daily_items,XLOOKUP($C2043,daily_dates,big_daily_table))),NA(),XLOOKUP(D$3,daily_items,XLOOKUP($C2043,daily_dates,big_daily_table)))</f>
        <v>#N/A</v>
      </c>
      <c r="E2043" s="1" t="str">
        <f t="array" ref="E2043">IF(ISBLANK(XLOOKUP(E$3,daily_items,XLOOKUP($C2043,daily_dates,big_daily_table))),NA(),XLOOKUP(E$3,daily_items,XLOOKUP($C2043,daily_dates,big_daily_table)))</f>
        <v>#N/A</v>
      </c>
    </row>
    <row r="2044" ht="14.25" customHeight="1">
      <c r="B2044" s="7">
        <v>42949.0</v>
      </c>
      <c r="C2044" s="7">
        <f t="shared" si="1"/>
        <v>42946</v>
      </c>
      <c r="D2044" s="1" t="str">
        <f t="array" ref="D2044">IF(ISBLANK(XLOOKUP(D$3,daily_items,XLOOKUP($C2044,daily_dates,big_daily_table))),NA(),XLOOKUP(D$3,daily_items,XLOOKUP($C2044,daily_dates,big_daily_table)))</f>
        <v>#N/A</v>
      </c>
      <c r="E2044" s="1" t="str">
        <f t="array" ref="E2044">IF(ISBLANK(XLOOKUP(E$3,daily_items,XLOOKUP($C2044,daily_dates,big_daily_table))),NA(),XLOOKUP(E$3,daily_items,XLOOKUP($C2044,daily_dates,big_daily_table)))</f>
        <v>#N/A</v>
      </c>
    </row>
    <row r="2045" ht="14.25" customHeight="1">
      <c r="B2045" s="7">
        <v>42950.0</v>
      </c>
      <c r="C2045" s="7">
        <f t="shared" si="1"/>
        <v>42946</v>
      </c>
      <c r="D2045" s="1" t="str">
        <f t="array" ref="D2045">IF(ISBLANK(XLOOKUP(D$3,daily_items,XLOOKUP($C2045,daily_dates,big_daily_table))),NA(),XLOOKUP(D$3,daily_items,XLOOKUP($C2045,daily_dates,big_daily_table)))</f>
        <v>#N/A</v>
      </c>
      <c r="E2045" s="1" t="str">
        <f t="array" ref="E2045">IF(ISBLANK(XLOOKUP(E$3,daily_items,XLOOKUP($C2045,daily_dates,big_daily_table))),NA(),XLOOKUP(E$3,daily_items,XLOOKUP($C2045,daily_dates,big_daily_table)))</f>
        <v>#N/A</v>
      </c>
    </row>
    <row r="2046" ht="14.25" customHeight="1">
      <c r="B2046" s="7">
        <v>42951.0</v>
      </c>
      <c r="C2046" s="7">
        <f t="shared" si="1"/>
        <v>42946</v>
      </c>
      <c r="D2046" s="1" t="str">
        <f t="array" ref="D2046">IF(ISBLANK(XLOOKUP(D$3,daily_items,XLOOKUP($C2046,daily_dates,big_daily_table))),NA(),XLOOKUP(D$3,daily_items,XLOOKUP($C2046,daily_dates,big_daily_table)))</f>
        <v>#N/A</v>
      </c>
      <c r="E2046" s="1" t="str">
        <f t="array" ref="E2046">IF(ISBLANK(XLOOKUP(E$3,daily_items,XLOOKUP($C2046,daily_dates,big_daily_table))),NA(),XLOOKUP(E$3,daily_items,XLOOKUP($C2046,daily_dates,big_daily_table)))</f>
        <v>#N/A</v>
      </c>
    </row>
    <row r="2047" ht="14.25" customHeight="1">
      <c r="B2047" s="7">
        <v>42952.0</v>
      </c>
      <c r="C2047" s="7">
        <f t="shared" si="1"/>
        <v>42946</v>
      </c>
      <c r="D2047" s="1" t="str">
        <f t="array" ref="D2047">IF(ISBLANK(XLOOKUP(D$3,daily_items,XLOOKUP($C2047,daily_dates,big_daily_table))),NA(),XLOOKUP(D$3,daily_items,XLOOKUP($C2047,daily_dates,big_daily_table)))</f>
        <v>#N/A</v>
      </c>
      <c r="E2047" s="1" t="str">
        <f t="array" ref="E2047">IF(ISBLANK(XLOOKUP(E$3,daily_items,XLOOKUP($C2047,daily_dates,big_daily_table))),NA(),XLOOKUP(E$3,daily_items,XLOOKUP($C2047,daily_dates,big_daily_table)))</f>
        <v>#N/A</v>
      </c>
    </row>
    <row r="2048" ht="14.25" customHeight="1">
      <c r="B2048" s="7">
        <v>42953.0</v>
      </c>
      <c r="C2048" s="7">
        <f t="shared" si="1"/>
        <v>42953</v>
      </c>
      <c r="D2048" s="1" t="str">
        <f t="array" ref="D2048">IF(ISBLANK(XLOOKUP(D$3,daily_items,XLOOKUP($C2048,daily_dates,big_daily_table))),NA(),XLOOKUP(D$3,daily_items,XLOOKUP($C2048,daily_dates,big_daily_table)))</f>
        <v>#N/A</v>
      </c>
      <c r="E2048" s="1" t="str">
        <f t="array" ref="E2048">IF(ISBLANK(XLOOKUP(E$3,daily_items,XLOOKUP($C2048,daily_dates,big_daily_table))),NA(),XLOOKUP(E$3,daily_items,XLOOKUP($C2048,daily_dates,big_daily_table)))</f>
        <v>#N/A</v>
      </c>
    </row>
    <row r="2049" ht="14.25" customHeight="1">
      <c r="B2049" s="7">
        <v>42954.0</v>
      </c>
      <c r="C2049" s="7">
        <f t="shared" si="1"/>
        <v>42953</v>
      </c>
      <c r="D2049" s="1" t="str">
        <f t="array" ref="D2049">IF(ISBLANK(XLOOKUP(D$3,daily_items,XLOOKUP($C2049,daily_dates,big_daily_table))),NA(),XLOOKUP(D$3,daily_items,XLOOKUP($C2049,daily_dates,big_daily_table)))</f>
        <v>#N/A</v>
      </c>
      <c r="E2049" s="1" t="str">
        <f t="array" ref="E2049">IF(ISBLANK(XLOOKUP(E$3,daily_items,XLOOKUP($C2049,daily_dates,big_daily_table))),NA(),XLOOKUP(E$3,daily_items,XLOOKUP($C2049,daily_dates,big_daily_table)))</f>
        <v>#N/A</v>
      </c>
    </row>
    <row r="2050" ht="14.25" customHeight="1">
      <c r="B2050" s="7">
        <v>42955.0</v>
      </c>
      <c r="C2050" s="7">
        <f t="shared" si="1"/>
        <v>42953</v>
      </c>
      <c r="D2050" s="1" t="str">
        <f t="array" ref="D2050">IF(ISBLANK(XLOOKUP(D$3,daily_items,XLOOKUP($C2050,daily_dates,big_daily_table))),NA(),XLOOKUP(D$3,daily_items,XLOOKUP($C2050,daily_dates,big_daily_table)))</f>
        <v>#N/A</v>
      </c>
      <c r="E2050" s="1" t="str">
        <f t="array" ref="E2050">IF(ISBLANK(XLOOKUP(E$3,daily_items,XLOOKUP($C2050,daily_dates,big_daily_table))),NA(),XLOOKUP(E$3,daily_items,XLOOKUP($C2050,daily_dates,big_daily_table)))</f>
        <v>#N/A</v>
      </c>
    </row>
    <row r="2051" ht="14.25" customHeight="1">
      <c r="B2051" s="7">
        <v>42956.0</v>
      </c>
      <c r="C2051" s="7">
        <f t="shared" si="1"/>
        <v>42953</v>
      </c>
      <c r="D2051" s="1" t="str">
        <f t="array" ref="D2051">IF(ISBLANK(XLOOKUP(D$3,daily_items,XLOOKUP($C2051,daily_dates,big_daily_table))),NA(),XLOOKUP(D$3,daily_items,XLOOKUP($C2051,daily_dates,big_daily_table)))</f>
        <v>#N/A</v>
      </c>
      <c r="E2051" s="1" t="str">
        <f t="array" ref="E2051">IF(ISBLANK(XLOOKUP(E$3,daily_items,XLOOKUP($C2051,daily_dates,big_daily_table))),NA(),XLOOKUP(E$3,daily_items,XLOOKUP($C2051,daily_dates,big_daily_table)))</f>
        <v>#N/A</v>
      </c>
    </row>
    <row r="2052" ht="14.25" customHeight="1">
      <c r="B2052" s="7">
        <v>42957.0</v>
      </c>
      <c r="C2052" s="7">
        <f t="shared" si="1"/>
        <v>42953</v>
      </c>
      <c r="D2052" s="1" t="str">
        <f t="array" ref="D2052">IF(ISBLANK(XLOOKUP(D$3,daily_items,XLOOKUP($C2052,daily_dates,big_daily_table))),NA(),XLOOKUP(D$3,daily_items,XLOOKUP($C2052,daily_dates,big_daily_table)))</f>
        <v>#N/A</v>
      </c>
      <c r="E2052" s="1" t="str">
        <f t="array" ref="E2052">IF(ISBLANK(XLOOKUP(E$3,daily_items,XLOOKUP($C2052,daily_dates,big_daily_table))),NA(),XLOOKUP(E$3,daily_items,XLOOKUP($C2052,daily_dates,big_daily_table)))</f>
        <v>#N/A</v>
      </c>
    </row>
    <row r="2053" ht="14.25" customHeight="1">
      <c r="B2053" s="7">
        <v>42958.0</v>
      </c>
      <c r="C2053" s="7">
        <f t="shared" si="1"/>
        <v>42953</v>
      </c>
      <c r="D2053" s="1" t="str">
        <f t="array" ref="D2053">IF(ISBLANK(XLOOKUP(D$3,daily_items,XLOOKUP($C2053,daily_dates,big_daily_table))),NA(),XLOOKUP(D$3,daily_items,XLOOKUP($C2053,daily_dates,big_daily_table)))</f>
        <v>#N/A</v>
      </c>
      <c r="E2053" s="1" t="str">
        <f t="array" ref="E2053">IF(ISBLANK(XLOOKUP(E$3,daily_items,XLOOKUP($C2053,daily_dates,big_daily_table))),NA(),XLOOKUP(E$3,daily_items,XLOOKUP($C2053,daily_dates,big_daily_table)))</f>
        <v>#N/A</v>
      </c>
    </row>
    <row r="2054" ht="14.25" customHeight="1">
      <c r="B2054" s="7">
        <v>42959.0</v>
      </c>
      <c r="C2054" s="7">
        <f t="shared" si="1"/>
        <v>42953</v>
      </c>
      <c r="D2054" s="1" t="str">
        <f t="array" ref="D2054">IF(ISBLANK(XLOOKUP(D$3,daily_items,XLOOKUP($C2054,daily_dates,big_daily_table))),NA(),XLOOKUP(D$3,daily_items,XLOOKUP($C2054,daily_dates,big_daily_table)))</f>
        <v>#N/A</v>
      </c>
      <c r="E2054" s="1" t="str">
        <f t="array" ref="E2054">IF(ISBLANK(XLOOKUP(E$3,daily_items,XLOOKUP($C2054,daily_dates,big_daily_table))),NA(),XLOOKUP(E$3,daily_items,XLOOKUP($C2054,daily_dates,big_daily_table)))</f>
        <v>#N/A</v>
      </c>
    </row>
    <row r="2055" ht="14.25" customHeight="1">
      <c r="B2055" s="7">
        <v>42960.0</v>
      </c>
      <c r="C2055" s="7">
        <f t="shared" si="1"/>
        <v>42960</v>
      </c>
      <c r="D2055" s="1" t="str">
        <f t="array" ref="D2055">IF(ISBLANK(XLOOKUP(D$3,daily_items,XLOOKUP($C2055,daily_dates,big_daily_table))),NA(),XLOOKUP(D$3,daily_items,XLOOKUP($C2055,daily_dates,big_daily_table)))</f>
        <v>#N/A</v>
      </c>
      <c r="E2055" s="1" t="str">
        <f t="array" ref="E2055">IF(ISBLANK(XLOOKUP(E$3,daily_items,XLOOKUP($C2055,daily_dates,big_daily_table))),NA(),XLOOKUP(E$3,daily_items,XLOOKUP($C2055,daily_dates,big_daily_table)))</f>
        <v>#N/A</v>
      </c>
    </row>
    <row r="2056" ht="14.25" customHeight="1">
      <c r="B2056" s="7">
        <v>42961.0</v>
      </c>
      <c r="C2056" s="7">
        <f t="shared" si="1"/>
        <v>42960</v>
      </c>
      <c r="D2056" s="1" t="str">
        <f t="array" ref="D2056">IF(ISBLANK(XLOOKUP(D$3,daily_items,XLOOKUP($C2056,daily_dates,big_daily_table))),NA(),XLOOKUP(D$3,daily_items,XLOOKUP($C2056,daily_dates,big_daily_table)))</f>
        <v>#N/A</v>
      </c>
      <c r="E2056" s="1" t="str">
        <f t="array" ref="E2056">IF(ISBLANK(XLOOKUP(E$3,daily_items,XLOOKUP($C2056,daily_dates,big_daily_table))),NA(),XLOOKUP(E$3,daily_items,XLOOKUP($C2056,daily_dates,big_daily_table)))</f>
        <v>#N/A</v>
      </c>
    </row>
    <row r="2057" ht="14.25" customHeight="1">
      <c r="B2057" s="7">
        <v>42962.0</v>
      </c>
      <c r="C2057" s="7">
        <f t="shared" si="1"/>
        <v>42960</v>
      </c>
      <c r="D2057" s="1" t="str">
        <f t="array" ref="D2057">IF(ISBLANK(XLOOKUP(D$3,daily_items,XLOOKUP($C2057,daily_dates,big_daily_table))),NA(),XLOOKUP(D$3,daily_items,XLOOKUP($C2057,daily_dates,big_daily_table)))</f>
        <v>#N/A</v>
      </c>
      <c r="E2057" s="1" t="str">
        <f t="array" ref="E2057">IF(ISBLANK(XLOOKUP(E$3,daily_items,XLOOKUP($C2057,daily_dates,big_daily_table))),NA(),XLOOKUP(E$3,daily_items,XLOOKUP($C2057,daily_dates,big_daily_table)))</f>
        <v>#N/A</v>
      </c>
    </row>
    <row r="2058" ht="14.25" customHeight="1">
      <c r="B2058" s="7">
        <v>42963.0</v>
      </c>
      <c r="C2058" s="7">
        <f t="shared" si="1"/>
        <v>42960</v>
      </c>
      <c r="D2058" s="1" t="str">
        <f t="array" ref="D2058">IF(ISBLANK(XLOOKUP(D$3,daily_items,XLOOKUP($C2058,daily_dates,big_daily_table))),NA(),XLOOKUP(D$3,daily_items,XLOOKUP($C2058,daily_dates,big_daily_table)))</f>
        <v>#N/A</v>
      </c>
      <c r="E2058" s="1" t="str">
        <f t="array" ref="E2058">IF(ISBLANK(XLOOKUP(E$3,daily_items,XLOOKUP($C2058,daily_dates,big_daily_table))),NA(),XLOOKUP(E$3,daily_items,XLOOKUP($C2058,daily_dates,big_daily_table)))</f>
        <v>#N/A</v>
      </c>
    </row>
    <row r="2059" ht="14.25" customHeight="1">
      <c r="B2059" s="7">
        <v>42964.0</v>
      </c>
      <c r="C2059" s="7">
        <f t="shared" si="1"/>
        <v>42960</v>
      </c>
      <c r="D2059" s="1" t="str">
        <f t="array" ref="D2059">IF(ISBLANK(XLOOKUP(D$3,daily_items,XLOOKUP($C2059,daily_dates,big_daily_table))),NA(),XLOOKUP(D$3,daily_items,XLOOKUP($C2059,daily_dates,big_daily_table)))</f>
        <v>#N/A</v>
      </c>
      <c r="E2059" s="1" t="str">
        <f t="array" ref="E2059">IF(ISBLANK(XLOOKUP(E$3,daily_items,XLOOKUP($C2059,daily_dates,big_daily_table))),NA(),XLOOKUP(E$3,daily_items,XLOOKUP($C2059,daily_dates,big_daily_table)))</f>
        <v>#N/A</v>
      </c>
    </row>
    <row r="2060" ht="14.25" customHeight="1">
      <c r="B2060" s="7">
        <v>42965.0</v>
      </c>
      <c r="C2060" s="7">
        <f t="shared" si="1"/>
        <v>42960</v>
      </c>
      <c r="D2060" s="1" t="str">
        <f t="array" ref="D2060">IF(ISBLANK(XLOOKUP(D$3,daily_items,XLOOKUP($C2060,daily_dates,big_daily_table))),NA(),XLOOKUP(D$3,daily_items,XLOOKUP($C2060,daily_dates,big_daily_table)))</f>
        <v>#N/A</v>
      </c>
      <c r="E2060" s="1" t="str">
        <f t="array" ref="E2060">IF(ISBLANK(XLOOKUP(E$3,daily_items,XLOOKUP($C2060,daily_dates,big_daily_table))),NA(),XLOOKUP(E$3,daily_items,XLOOKUP($C2060,daily_dates,big_daily_table)))</f>
        <v>#N/A</v>
      </c>
    </row>
    <row r="2061" ht="14.25" customHeight="1">
      <c r="B2061" s="7">
        <v>42966.0</v>
      </c>
      <c r="C2061" s="7">
        <f t="shared" si="1"/>
        <v>42960</v>
      </c>
      <c r="D2061" s="1" t="str">
        <f t="array" ref="D2061">IF(ISBLANK(XLOOKUP(D$3,daily_items,XLOOKUP($C2061,daily_dates,big_daily_table))),NA(),XLOOKUP(D$3,daily_items,XLOOKUP($C2061,daily_dates,big_daily_table)))</f>
        <v>#N/A</v>
      </c>
      <c r="E2061" s="1" t="str">
        <f t="array" ref="E2061">IF(ISBLANK(XLOOKUP(E$3,daily_items,XLOOKUP($C2061,daily_dates,big_daily_table))),NA(),XLOOKUP(E$3,daily_items,XLOOKUP($C2061,daily_dates,big_daily_table)))</f>
        <v>#N/A</v>
      </c>
    </row>
    <row r="2062" ht="14.25" customHeight="1">
      <c r="B2062" s="7">
        <v>42967.0</v>
      </c>
      <c r="C2062" s="7">
        <f t="shared" si="1"/>
        <v>42967</v>
      </c>
      <c r="D2062" s="1" t="str">
        <f t="array" ref="D2062">IF(ISBLANK(XLOOKUP(D$3,daily_items,XLOOKUP($C2062,daily_dates,big_daily_table))),NA(),XLOOKUP(D$3,daily_items,XLOOKUP($C2062,daily_dates,big_daily_table)))</f>
        <v>#N/A</v>
      </c>
      <c r="E2062" s="1" t="str">
        <f t="array" ref="E2062">IF(ISBLANK(XLOOKUP(E$3,daily_items,XLOOKUP($C2062,daily_dates,big_daily_table))),NA(),XLOOKUP(E$3,daily_items,XLOOKUP($C2062,daily_dates,big_daily_table)))</f>
        <v>#N/A</v>
      </c>
    </row>
    <row r="2063" ht="14.25" customHeight="1">
      <c r="B2063" s="7">
        <v>42968.0</v>
      </c>
      <c r="C2063" s="7">
        <f t="shared" si="1"/>
        <v>42967</v>
      </c>
      <c r="D2063" s="1" t="str">
        <f t="array" ref="D2063">IF(ISBLANK(XLOOKUP(D$3,daily_items,XLOOKUP($C2063,daily_dates,big_daily_table))),NA(),XLOOKUP(D$3,daily_items,XLOOKUP($C2063,daily_dates,big_daily_table)))</f>
        <v>#N/A</v>
      </c>
      <c r="E2063" s="1" t="str">
        <f t="array" ref="E2063">IF(ISBLANK(XLOOKUP(E$3,daily_items,XLOOKUP($C2063,daily_dates,big_daily_table))),NA(),XLOOKUP(E$3,daily_items,XLOOKUP($C2063,daily_dates,big_daily_table)))</f>
        <v>#N/A</v>
      </c>
    </row>
    <row r="2064" ht="14.25" customHeight="1">
      <c r="B2064" s="7">
        <v>42969.0</v>
      </c>
      <c r="C2064" s="7">
        <f t="shared" si="1"/>
        <v>42967</v>
      </c>
      <c r="D2064" s="1" t="str">
        <f t="array" ref="D2064">IF(ISBLANK(XLOOKUP(D$3,daily_items,XLOOKUP($C2064,daily_dates,big_daily_table))),NA(),XLOOKUP(D$3,daily_items,XLOOKUP($C2064,daily_dates,big_daily_table)))</f>
        <v>#N/A</v>
      </c>
      <c r="E2064" s="1" t="str">
        <f t="array" ref="E2064">IF(ISBLANK(XLOOKUP(E$3,daily_items,XLOOKUP($C2064,daily_dates,big_daily_table))),NA(),XLOOKUP(E$3,daily_items,XLOOKUP($C2064,daily_dates,big_daily_table)))</f>
        <v>#N/A</v>
      </c>
    </row>
    <row r="2065" ht="14.25" customHeight="1">
      <c r="B2065" s="7">
        <v>42970.0</v>
      </c>
      <c r="C2065" s="7">
        <f t="shared" si="1"/>
        <v>42967</v>
      </c>
      <c r="D2065" s="1" t="str">
        <f t="array" ref="D2065">IF(ISBLANK(XLOOKUP(D$3,daily_items,XLOOKUP($C2065,daily_dates,big_daily_table))),NA(),XLOOKUP(D$3,daily_items,XLOOKUP($C2065,daily_dates,big_daily_table)))</f>
        <v>#N/A</v>
      </c>
      <c r="E2065" s="1" t="str">
        <f t="array" ref="E2065">IF(ISBLANK(XLOOKUP(E$3,daily_items,XLOOKUP($C2065,daily_dates,big_daily_table))),NA(),XLOOKUP(E$3,daily_items,XLOOKUP($C2065,daily_dates,big_daily_table)))</f>
        <v>#N/A</v>
      </c>
    </row>
    <row r="2066" ht="14.25" customHeight="1">
      <c r="B2066" s="7">
        <v>42971.0</v>
      </c>
      <c r="C2066" s="7">
        <f t="shared" si="1"/>
        <v>42967</v>
      </c>
      <c r="D2066" s="1" t="str">
        <f t="array" ref="D2066">IF(ISBLANK(XLOOKUP(D$3,daily_items,XLOOKUP($C2066,daily_dates,big_daily_table))),NA(),XLOOKUP(D$3,daily_items,XLOOKUP($C2066,daily_dates,big_daily_table)))</f>
        <v>#N/A</v>
      </c>
      <c r="E2066" s="1" t="str">
        <f t="array" ref="E2066">IF(ISBLANK(XLOOKUP(E$3,daily_items,XLOOKUP($C2066,daily_dates,big_daily_table))),NA(),XLOOKUP(E$3,daily_items,XLOOKUP($C2066,daily_dates,big_daily_table)))</f>
        <v>#N/A</v>
      </c>
    </row>
    <row r="2067" ht="14.25" customHeight="1">
      <c r="B2067" s="7">
        <v>42972.0</v>
      </c>
      <c r="C2067" s="7">
        <f t="shared" si="1"/>
        <v>42967</v>
      </c>
      <c r="D2067" s="1" t="str">
        <f t="array" ref="D2067">IF(ISBLANK(XLOOKUP(D$3,daily_items,XLOOKUP($C2067,daily_dates,big_daily_table))),NA(),XLOOKUP(D$3,daily_items,XLOOKUP($C2067,daily_dates,big_daily_table)))</f>
        <v>#N/A</v>
      </c>
      <c r="E2067" s="1" t="str">
        <f t="array" ref="E2067">IF(ISBLANK(XLOOKUP(E$3,daily_items,XLOOKUP($C2067,daily_dates,big_daily_table))),NA(),XLOOKUP(E$3,daily_items,XLOOKUP($C2067,daily_dates,big_daily_table)))</f>
        <v>#N/A</v>
      </c>
    </row>
    <row r="2068" ht="14.25" customHeight="1">
      <c r="B2068" s="7">
        <v>42973.0</v>
      </c>
      <c r="C2068" s="7">
        <f t="shared" si="1"/>
        <v>42967</v>
      </c>
      <c r="D2068" s="1" t="str">
        <f t="array" ref="D2068">IF(ISBLANK(XLOOKUP(D$3,daily_items,XLOOKUP($C2068,daily_dates,big_daily_table))),NA(),XLOOKUP(D$3,daily_items,XLOOKUP($C2068,daily_dates,big_daily_table)))</f>
        <v>#N/A</v>
      </c>
      <c r="E2068" s="1" t="str">
        <f t="array" ref="E2068">IF(ISBLANK(XLOOKUP(E$3,daily_items,XLOOKUP($C2068,daily_dates,big_daily_table))),NA(),XLOOKUP(E$3,daily_items,XLOOKUP($C2068,daily_dates,big_daily_table)))</f>
        <v>#N/A</v>
      </c>
    </row>
    <row r="2069" ht="14.25" customHeight="1">
      <c r="B2069" s="7">
        <v>42974.0</v>
      </c>
      <c r="C2069" s="7">
        <f t="shared" si="1"/>
        <v>42974</v>
      </c>
      <c r="D2069" s="1" t="str">
        <f t="array" ref="D2069">IF(ISBLANK(XLOOKUP(D$3,daily_items,XLOOKUP($C2069,daily_dates,big_daily_table))),NA(),XLOOKUP(D$3,daily_items,XLOOKUP($C2069,daily_dates,big_daily_table)))</f>
        <v>#N/A</v>
      </c>
      <c r="E2069" s="1" t="str">
        <f t="array" ref="E2069">IF(ISBLANK(XLOOKUP(E$3,daily_items,XLOOKUP($C2069,daily_dates,big_daily_table))),NA(),XLOOKUP(E$3,daily_items,XLOOKUP($C2069,daily_dates,big_daily_table)))</f>
        <v>#N/A</v>
      </c>
    </row>
    <row r="2070" ht="14.25" customHeight="1">
      <c r="B2070" s="7">
        <v>42975.0</v>
      </c>
      <c r="C2070" s="7">
        <f t="shared" si="1"/>
        <v>42974</v>
      </c>
      <c r="D2070" s="1" t="str">
        <f t="array" ref="D2070">IF(ISBLANK(XLOOKUP(D$3,daily_items,XLOOKUP($C2070,daily_dates,big_daily_table))),NA(),XLOOKUP(D$3,daily_items,XLOOKUP($C2070,daily_dates,big_daily_table)))</f>
        <v>#N/A</v>
      </c>
      <c r="E2070" s="1" t="str">
        <f t="array" ref="E2070">IF(ISBLANK(XLOOKUP(E$3,daily_items,XLOOKUP($C2070,daily_dates,big_daily_table))),NA(),XLOOKUP(E$3,daily_items,XLOOKUP($C2070,daily_dates,big_daily_table)))</f>
        <v>#N/A</v>
      </c>
    </row>
    <row r="2071" ht="14.25" customHeight="1">
      <c r="B2071" s="7">
        <v>42976.0</v>
      </c>
      <c r="C2071" s="7">
        <f t="shared" si="1"/>
        <v>42974</v>
      </c>
      <c r="D2071" s="1" t="str">
        <f t="array" ref="D2071">IF(ISBLANK(XLOOKUP(D$3,daily_items,XLOOKUP($C2071,daily_dates,big_daily_table))),NA(),XLOOKUP(D$3,daily_items,XLOOKUP($C2071,daily_dates,big_daily_table)))</f>
        <v>#N/A</v>
      </c>
      <c r="E2071" s="1" t="str">
        <f t="array" ref="E2071">IF(ISBLANK(XLOOKUP(E$3,daily_items,XLOOKUP($C2071,daily_dates,big_daily_table))),NA(),XLOOKUP(E$3,daily_items,XLOOKUP($C2071,daily_dates,big_daily_table)))</f>
        <v>#N/A</v>
      </c>
    </row>
    <row r="2072" ht="14.25" customHeight="1">
      <c r="B2072" s="7">
        <v>42977.0</v>
      </c>
      <c r="C2072" s="7">
        <f t="shared" si="1"/>
        <v>42974</v>
      </c>
      <c r="D2072" s="1" t="str">
        <f t="array" ref="D2072">IF(ISBLANK(XLOOKUP(D$3,daily_items,XLOOKUP($C2072,daily_dates,big_daily_table))),NA(),XLOOKUP(D$3,daily_items,XLOOKUP($C2072,daily_dates,big_daily_table)))</f>
        <v>#N/A</v>
      </c>
      <c r="E2072" s="1" t="str">
        <f t="array" ref="E2072">IF(ISBLANK(XLOOKUP(E$3,daily_items,XLOOKUP($C2072,daily_dates,big_daily_table))),NA(),XLOOKUP(E$3,daily_items,XLOOKUP($C2072,daily_dates,big_daily_table)))</f>
        <v>#N/A</v>
      </c>
    </row>
    <row r="2073" ht="14.25" customHeight="1">
      <c r="B2073" s="7">
        <v>42978.0</v>
      </c>
      <c r="C2073" s="7">
        <f t="shared" si="1"/>
        <v>42974</v>
      </c>
      <c r="D2073" s="1" t="str">
        <f t="array" ref="D2073">IF(ISBLANK(XLOOKUP(D$3,daily_items,XLOOKUP($C2073,daily_dates,big_daily_table))),NA(),XLOOKUP(D$3,daily_items,XLOOKUP($C2073,daily_dates,big_daily_table)))</f>
        <v>#N/A</v>
      </c>
      <c r="E2073" s="1" t="str">
        <f t="array" ref="E2073">IF(ISBLANK(XLOOKUP(E$3,daily_items,XLOOKUP($C2073,daily_dates,big_daily_table))),NA(),XLOOKUP(E$3,daily_items,XLOOKUP($C2073,daily_dates,big_daily_table)))</f>
        <v>#N/A</v>
      </c>
    </row>
    <row r="2074" ht="14.25" customHeight="1">
      <c r="B2074" s="7">
        <v>42979.0</v>
      </c>
      <c r="C2074" s="7">
        <f t="shared" si="1"/>
        <v>42974</v>
      </c>
      <c r="D2074" s="1" t="str">
        <f t="array" ref="D2074">IF(ISBLANK(XLOOKUP(D$3,daily_items,XLOOKUP($C2074,daily_dates,big_daily_table))),NA(),XLOOKUP(D$3,daily_items,XLOOKUP($C2074,daily_dates,big_daily_table)))</f>
        <v>#N/A</v>
      </c>
      <c r="E2074" s="1" t="str">
        <f t="array" ref="E2074">IF(ISBLANK(XLOOKUP(E$3,daily_items,XLOOKUP($C2074,daily_dates,big_daily_table))),NA(),XLOOKUP(E$3,daily_items,XLOOKUP($C2074,daily_dates,big_daily_table)))</f>
        <v>#N/A</v>
      </c>
    </row>
    <row r="2075" ht="14.25" customHeight="1">
      <c r="B2075" s="7">
        <v>42980.0</v>
      </c>
      <c r="C2075" s="7">
        <f t="shared" si="1"/>
        <v>42974</v>
      </c>
      <c r="D2075" s="1" t="str">
        <f t="array" ref="D2075">IF(ISBLANK(XLOOKUP(D$3,daily_items,XLOOKUP($C2075,daily_dates,big_daily_table))),NA(),XLOOKUP(D$3,daily_items,XLOOKUP($C2075,daily_dates,big_daily_table)))</f>
        <v>#N/A</v>
      </c>
      <c r="E2075" s="1" t="str">
        <f t="array" ref="E2075">IF(ISBLANK(XLOOKUP(E$3,daily_items,XLOOKUP($C2075,daily_dates,big_daily_table))),NA(),XLOOKUP(E$3,daily_items,XLOOKUP($C2075,daily_dates,big_daily_table)))</f>
        <v>#N/A</v>
      </c>
    </row>
    <row r="2076" ht="14.25" customHeight="1">
      <c r="B2076" s="7">
        <v>42981.0</v>
      </c>
      <c r="C2076" s="7">
        <f t="shared" si="1"/>
        <v>42981</v>
      </c>
      <c r="D2076" s="1" t="str">
        <f t="array" ref="D2076">IF(ISBLANK(XLOOKUP(D$3,daily_items,XLOOKUP($C2076,daily_dates,big_daily_table))),NA(),XLOOKUP(D$3,daily_items,XLOOKUP($C2076,daily_dates,big_daily_table)))</f>
        <v>#N/A</v>
      </c>
      <c r="E2076" s="1" t="str">
        <f t="array" ref="E2076">IF(ISBLANK(XLOOKUP(E$3,daily_items,XLOOKUP($C2076,daily_dates,big_daily_table))),NA(),XLOOKUP(E$3,daily_items,XLOOKUP($C2076,daily_dates,big_daily_table)))</f>
        <v>#N/A</v>
      </c>
    </row>
    <row r="2077" ht="14.25" customHeight="1">
      <c r="B2077" s="7">
        <v>42982.0</v>
      </c>
      <c r="C2077" s="7">
        <f t="shared" si="1"/>
        <v>42981</v>
      </c>
      <c r="D2077" s="1" t="str">
        <f t="array" ref="D2077">IF(ISBLANK(XLOOKUP(D$3,daily_items,XLOOKUP($C2077,daily_dates,big_daily_table))),NA(),XLOOKUP(D$3,daily_items,XLOOKUP($C2077,daily_dates,big_daily_table)))</f>
        <v>#N/A</v>
      </c>
      <c r="E2077" s="1" t="str">
        <f t="array" ref="E2077">IF(ISBLANK(XLOOKUP(E$3,daily_items,XLOOKUP($C2077,daily_dates,big_daily_table))),NA(),XLOOKUP(E$3,daily_items,XLOOKUP($C2077,daily_dates,big_daily_table)))</f>
        <v>#N/A</v>
      </c>
    </row>
    <row r="2078" ht="14.25" customHeight="1">
      <c r="B2078" s="7">
        <v>42983.0</v>
      </c>
      <c r="C2078" s="7">
        <f t="shared" si="1"/>
        <v>42981</v>
      </c>
      <c r="D2078" s="1" t="str">
        <f t="array" ref="D2078">IF(ISBLANK(XLOOKUP(D$3,daily_items,XLOOKUP($C2078,daily_dates,big_daily_table))),NA(),XLOOKUP(D$3,daily_items,XLOOKUP($C2078,daily_dates,big_daily_table)))</f>
        <v>#N/A</v>
      </c>
      <c r="E2078" s="1" t="str">
        <f t="array" ref="E2078">IF(ISBLANK(XLOOKUP(E$3,daily_items,XLOOKUP($C2078,daily_dates,big_daily_table))),NA(),XLOOKUP(E$3,daily_items,XLOOKUP($C2078,daily_dates,big_daily_table)))</f>
        <v>#N/A</v>
      </c>
    </row>
    <row r="2079" ht="14.25" customHeight="1">
      <c r="B2079" s="7">
        <v>42984.0</v>
      </c>
      <c r="C2079" s="7">
        <f t="shared" si="1"/>
        <v>42981</v>
      </c>
      <c r="D2079" s="1" t="str">
        <f t="array" ref="D2079">IF(ISBLANK(XLOOKUP(D$3,daily_items,XLOOKUP($C2079,daily_dates,big_daily_table))),NA(),XLOOKUP(D$3,daily_items,XLOOKUP($C2079,daily_dates,big_daily_table)))</f>
        <v>#N/A</v>
      </c>
      <c r="E2079" s="1" t="str">
        <f t="array" ref="E2079">IF(ISBLANK(XLOOKUP(E$3,daily_items,XLOOKUP($C2079,daily_dates,big_daily_table))),NA(),XLOOKUP(E$3,daily_items,XLOOKUP($C2079,daily_dates,big_daily_table)))</f>
        <v>#N/A</v>
      </c>
    </row>
    <row r="2080" ht="14.25" customHeight="1">
      <c r="B2080" s="7">
        <v>42985.0</v>
      </c>
      <c r="C2080" s="7">
        <f t="shared" si="1"/>
        <v>42981</v>
      </c>
      <c r="D2080" s="1" t="str">
        <f t="array" ref="D2080">IF(ISBLANK(XLOOKUP(D$3,daily_items,XLOOKUP($C2080,daily_dates,big_daily_table))),NA(),XLOOKUP(D$3,daily_items,XLOOKUP($C2080,daily_dates,big_daily_table)))</f>
        <v>#N/A</v>
      </c>
      <c r="E2080" s="1" t="str">
        <f t="array" ref="E2080">IF(ISBLANK(XLOOKUP(E$3,daily_items,XLOOKUP($C2080,daily_dates,big_daily_table))),NA(),XLOOKUP(E$3,daily_items,XLOOKUP($C2080,daily_dates,big_daily_table)))</f>
        <v>#N/A</v>
      </c>
    </row>
    <row r="2081" ht="14.25" customHeight="1">
      <c r="B2081" s="7">
        <v>42986.0</v>
      </c>
      <c r="C2081" s="7">
        <f t="shared" si="1"/>
        <v>42981</v>
      </c>
      <c r="D2081" s="1" t="str">
        <f t="array" ref="D2081">IF(ISBLANK(XLOOKUP(D$3,daily_items,XLOOKUP($C2081,daily_dates,big_daily_table))),NA(),XLOOKUP(D$3,daily_items,XLOOKUP($C2081,daily_dates,big_daily_table)))</f>
        <v>#N/A</v>
      </c>
      <c r="E2081" s="1" t="str">
        <f t="array" ref="E2081">IF(ISBLANK(XLOOKUP(E$3,daily_items,XLOOKUP($C2081,daily_dates,big_daily_table))),NA(),XLOOKUP(E$3,daily_items,XLOOKUP($C2081,daily_dates,big_daily_table)))</f>
        <v>#N/A</v>
      </c>
    </row>
    <row r="2082" ht="14.25" customHeight="1">
      <c r="B2082" s="7">
        <v>42987.0</v>
      </c>
      <c r="C2082" s="7">
        <f t="shared" si="1"/>
        <v>42981</v>
      </c>
      <c r="D2082" s="1" t="str">
        <f t="array" ref="D2082">IF(ISBLANK(XLOOKUP(D$3,daily_items,XLOOKUP($C2082,daily_dates,big_daily_table))),NA(),XLOOKUP(D$3,daily_items,XLOOKUP($C2082,daily_dates,big_daily_table)))</f>
        <v>#N/A</v>
      </c>
      <c r="E2082" s="1" t="str">
        <f t="array" ref="E2082">IF(ISBLANK(XLOOKUP(E$3,daily_items,XLOOKUP($C2082,daily_dates,big_daily_table))),NA(),XLOOKUP(E$3,daily_items,XLOOKUP($C2082,daily_dates,big_daily_table)))</f>
        <v>#N/A</v>
      </c>
    </row>
    <row r="2083" ht="14.25" customHeight="1">
      <c r="B2083" s="7">
        <v>42988.0</v>
      </c>
      <c r="C2083" s="7">
        <f t="shared" si="1"/>
        <v>42988</v>
      </c>
      <c r="D2083" s="1" t="str">
        <f t="array" ref="D2083">IF(ISBLANK(XLOOKUP(D$3,daily_items,XLOOKUP($C2083,daily_dates,big_daily_table))),NA(),XLOOKUP(D$3,daily_items,XLOOKUP($C2083,daily_dates,big_daily_table)))</f>
        <v>#N/A</v>
      </c>
      <c r="E2083" s="1" t="str">
        <f t="array" ref="E2083">IF(ISBLANK(XLOOKUP(E$3,daily_items,XLOOKUP($C2083,daily_dates,big_daily_table))),NA(),XLOOKUP(E$3,daily_items,XLOOKUP($C2083,daily_dates,big_daily_table)))</f>
        <v>#N/A</v>
      </c>
    </row>
    <row r="2084" ht="14.25" customHeight="1">
      <c r="B2084" s="7">
        <v>42989.0</v>
      </c>
      <c r="C2084" s="7">
        <f t="shared" si="1"/>
        <v>42988</v>
      </c>
      <c r="D2084" s="1" t="str">
        <f t="array" ref="D2084">IF(ISBLANK(XLOOKUP(D$3,daily_items,XLOOKUP($C2084,daily_dates,big_daily_table))),NA(),XLOOKUP(D$3,daily_items,XLOOKUP($C2084,daily_dates,big_daily_table)))</f>
        <v>#N/A</v>
      </c>
      <c r="E2084" s="1" t="str">
        <f t="array" ref="E2084">IF(ISBLANK(XLOOKUP(E$3,daily_items,XLOOKUP($C2084,daily_dates,big_daily_table))),NA(),XLOOKUP(E$3,daily_items,XLOOKUP($C2084,daily_dates,big_daily_table)))</f>
        <v>#N/A</v>
      </c>
    </row>
    <row r="2085" ht="14.25" customHeight="1">
      <c r="B2085" s="7">
        <v>42990.0</v>
      </c>
      <c r="C2085" s="7">
        <f t="shared" si="1"/>
        <v>42988</v>
      </c>
      <c r="D2085" s="1" t="str">
        <f t="array" ref="D2085">IF(ISBLANK(XLOOKUP(D$3,daily_items,XLOOKUP($C2085,daily_dates,big_daily_table))),NA(),XLOOKUP(D$3,daily_items,XLOOKUP($C2085,daily_dates,big_daily_table)))</f>
        <v>#N/A</v>
      </c>
      <c r="E2085" s="1" t="str">
        <f t="array" ref="E2085">IF(ISBLANK(XLOOKUP(E$3,daily_items,XLOOKUP($C2085,daily_dates,big_daily_table))),NA(),XLOOKUP(E$3,daily_items,XLOOKUP($C2085,daily_dates,big_daily_table)))</f>
        <v>#N/A</v>
      </c>
    </row>
    <row r="2086" ht="14.25" customHeight="1">
      <c r="B2086" s="7">
        <v>42991.0</v>
      </c>
      <c r="C2086" s="7">
        <f t="shared" si="1"/>
        <v>42988</v>
      </c>
      <c r="D2086" s="1" t="str">
        <f t="array" ref="D2086">IF(ISBLANK(XLOOKUP(D$3,daily_items,XLOOKUP($C2086,daily_dates,big_daily_table))),NA(),XLOOKUP(D$3,daily_items,XLOOKUP($C2086,daily_dates,big_daily_table)))</f>
        <v>#N/A</v>
      </c>
      <c r="E2086" s="1" t="str">
        <f t="array" ref="E2086">IF(ISBLANK(XLOOKUP(E$3,daily_items,XLOOKUP($C2086,daily_dates,big_daily_table))),NA(),XLOOKUP(E$3,daily_items,XLOOKUP($C2086,daily_dates,big_daily_table)))</f>
        <v>#N/A</v>
      </c>
    </row>
    <row r="2087" ht="14.25" customHeight="1">
      <c r="B2087" s="7">
        <v>42992.0</v>
      </c>
      <c r="C2087" s="7">
        <f t="shared" si="1"/>
        <v>42988</v>
      </c>
      <c r="D2087" s="1" t="str">
        <f t="array" ref="D2087">IF(ISBLANK(XLOOKUP(D$3,daily_items,XLOOKUP($C2087,daily_dates,big_daily_table))),NA(),XLOOKUP(D$3,daily_items,XLOOKUP($C2087,daily_dates,big_daily_table)))</f>
        <v>#N/A</v>
      </c>
      <c r="E2087" s="1" t="str">
        <f t="array" ref="E2087">IF(ISBLANK(XLOOKUP(E$3,daily_items,XLOOKUP($C2087,daily_dates,big_daily_table))),NA(),XLOOKUP(E$3,daily_items,XLOOKUP($C2087,daily_dates,big_daily_table)))</f>
        <v>#N/A</v>
      </c>
    </row>
    <row r="2088" ht="14.25" customHeight="1">
      <c r="B2088" s="7">
        <v>42993.0</v>
      </c>
      <c r="C2088" s="7">
        <f t="shared" si="1"/>
        <v>42988</v>
      </c>
      <c r="D2088" s="1" t="str">
        <f t="array" ref="D2088">IF(ISBLANK(XLOOKUP(D$3,daily_items,XLOOKUP($C2088,daily_dates,big_daily_table))),NA(),XLOOKUP(D$3,daily_items,XLOOKUP($C2088,daily_dates,big_daily_table)))</f>
        <v>#N/A</v>
      </c>
      <c r="E2088" s="1" t="str">
        <f t="array" ref="E2088">IF(ISBLANK(XLOOKUP(E$3,daily_items,XLOOKUP($C2088,daily_dates,big_daily_table))),NA(),XLOOKUP(E$3,daily_items,XLOOKUP($C2088,daily_dates,big_daily_table)))</f>
        <v>#N/A</v>
      </c>
    </row>
    <row r="2089" ht="14.25" customHeight="1">
      <c r="B2089" s="7">
        <v>42994.0</v>
      </c>
      <c r="C2089" s="7">
        <f t="shared" si="1"/>
        <v>42988</v>
      </c>
      <c r="D2089" s="1" t="str">
        <f t="array" ref="D2089">IF(ISBLANK(XLOOKUP(D$3,daily_items,XLOOKUP($C2089,daily_dates,big_daily_table))),NA(),XLOOKUP(D$3,daily_items,XLOOKUP($C2089,daily_dates,big_daily_table)))</f>
        <v>#N/A</v>
      </c>
      <c r="E2089" s="1" t="str">
        <f t="array" ref="E2089">IF(ISBLANK(XLOOKUP(E$3,daily_items,XLOOKUP($C2089,daily_dates,big_daily_table))),NA(),XLOOKUP(E$3,daily_items,XLOOKUP($C2089,daily_dates,big_daily_table)))</f>
        <v>#N/A</v>
      </c>
    </row>
    <row r="2090" ht="14.25" customHeight="1">
      <c r="B2090" s="7">
        <v>42995.0</v>
      </c>
      <c r="C2090" s="7">
        <f t="shared" si="1"/>
        <v>42995</v>
      </c>
      <c r="D2090" s="1" t="str">
        <f t="array" ref="D2090">IF(ISBLANK(XLOOKUP(D$3,daily_items,XLOOKUP($C2090,daily_dates,big_daily_table))),NA(),XLOOKUP(D$3,daily_items,XLOOKUP($C2090,daily_dates,big_daily_table)))</f>
        <v>#N/A</v>
      </c>
      <c r="E2090" s="1" t="str">
        <f t="array" ref="E2090">IF(ISBLANK(XLOOKUP(E$3,daily_items,XLOOKUP($C2090,daily_dates,big_daily_table))),NA(),XLOOKUP(E$3,daily_items,XLOOKUP($C2090,daily_dates,big_daily_table)))</f>
        <v>#N/A</v>
      </c>
    </row>
    <row r="2091" ht="14.25" customHeight="1">
      <c r="B2091" s="7">
        <v>42996.0</v>
      </c>
      <c r="C2091" s="7">
        <f t="shared" si="1"/>
        <v>42995</v>
      </c>
      <c r="D2091" s="1" t="str">
        <f t="array" ref="D2091">IF(ISBLANK(XLOOKUP(D$3,daily_items,XLOOKUP($C2091,daily_dates,big_daily_table))),NA(),XLOOKUP(D$3,daily_items,XLOOKUP($C2091,daily_dates,big_daily_table)))</f>
        <v>#N/A</v>
      </c>
      <c r="E2091" s="1" t="str">
        <f t="array" ref="E2091">IF(ISBLANK(XLOOKUP(E$3,daily_items,XLOOKUP($C2091,daily_dates,big_daily_table))),NA(),XLOOKUP(E$3,daily_items,XLOOKUP($C2091,daily_dates,big_daily_table)))</f>
        <v>#N/A</v>
      </c>
    </row>
    <row r="2092" ht="14.25" customHeight="1">
      <c r="B2092" s="7">
        <v>42997.0</v>
      </c>
      <c r="C2092" s="7">
        <f t="shared" si="1"/>
        <v>42995</v>
      </c>
      <c r="D2092" s="1" t="str">
        <f t="array" ref="D2092">IF(ISBLANK(XLOOKUP(D$3,daily_items,XLOOKUP($C2092,daily_dates,big_daily_table))),NA(),XLOOKUP(D$3,daily_items,XLOOKUP($C2092,daily_dates,big_daily_table)))</f>
        <v>#N/A</v>
      </c>
      <c r="E2092" s="1" t="str">
        <f t="array" ref="E2092">IF(ISBLANK(XLOOKUP(E$3,daily_items,XLOOKUP($C2092,daily_dates,big_daily_table))),NA(),XLOOKUP(E$3,daily_items,XLOOKUP($C2092,daily_dates,big_daily_table)))</f>
        <v>#N/A</v>
      </c>
    </row>
    <row r="2093" ht="14.25" customHeight="1">
      <c r="B2093" s="7">
        <v>42998.0</v>
      </c>
      <c r="C2093" s="7">
        <f t="shared" si="1"/>
        <v>42995</v>
      </c>
      <c r="D2093" s="1" t="str">
        <f t="array" ref="D2093">IF(ISBLANK(XLOOKUP(D$3,daily_items,XLOOKUP($C2093,daily_dates,big_daily_table))),NA(),XLOOKUP(D$3,daily_items,XLOOKUP($C2093,daily_dates,big_daily_table)))</f>
        <v>#N/A</v>
      </c>
      <c r="E2093" s="1" t="str">
        <f t="array" ref="E2093">IF(ISBLANK(XLOOKUP(E$3,daily_items,XLOOKUP($C2093,daily_dates,big_daily_table))),NA(),XLOOKUP(E$3,daily_items,XLOOKUP($C2093,daily_dates,big_daily_table)))</f>
        <v>#N/A</v>
      </c>
    </row>
    <row r="2094" ht="14.25" customHeight="1">
      <c r="B2094" s="7">
        <v>42999.0</v>
      </c>
      <c r="C2094" s="7">
        <f t="shared" si="1"/>
        <v>42995</v>
      </c>
      <c r="D2094" s="1" t="str">
        <f t="array" ref="D2094">IF(ISBLANK(XLOOKUP(D$3,daily_items,XLOOKUP($C2094,daily_dates,big_daily_table))),NA(),XLOOKUP(D$3,daily_items,XLOOKUP($C2094,daily_dates,big_daily_table)))</f>
        <v>#N/A</v>
      </c>
      <c r="E2094" s="1" t="str">
        <f t="array" ref="E2094">IF(ISBLANK(XLOOKUP(E$3,daily_items,XLOOKUP($C2094,daily_dates,big_daily_table))),NA(),XLOOKUP(E$3,daily_items,XLOOKUP($C2094,daily_dates,big_daily_table)))</f>
        <v>#N/A</v>
      </c>
    </row>
    <row r="2095" ht="14.25" customHeight="1">
      <c r="B2095" s="7">
        <v>43000.0</v>
      </c>
      <c r="C2095" s="7">
        <f t="shared" si="1"/>
        <v>42995</v>
      </c>
      <c r="D2095" s="1" t="str">
        <f t="array" ref="D2095">IF(ISBLANK(XLOOKUP(D$3,daily_items,XLOOKUP($C2095,daily_dates,big_daily_table))),NA(),XLOOKUP(D$3,daily_items,XLOOKUP($C2095,daily_dates,big_daily_table)))</f>
        <v>#N/A</v>
      </c>
      <c r="E2095" s="1" t="str">
        <f t="array" ref="E2095">IF(ISBLANK(XLOOKUP(E$3,daily_items,XLOOKUP($C2095,daily_dates,big_daily_table))),NA(),XLOOKUP(E$3,daily_items,XLOOKUP($C2095,daily_dates,big_daily_table)))</f>
        <v>#N/A</v>
      </c>
    </row>
    <row r="2096" ht="14.25" customHeight="1">
      <c r="B2096" s="7">
        <v>43001.0</v>
      </c>
      <c r="C2096" s="7">
        <f t="shared" si="1"/>
        <v>42995</v>
      </c>
      <c r="D2096" s="1" t="str">
        <f t="array" ref="D2096">IF(ISBLANK(XLOOKUP(D$3,daily_items,XLOOKUP($C2096,daily_dates,big_daily_table))),NA(),XLOOKUP(D$3,daily_items,XLOOKUP($C2096,daily_dates,big_daily_table)))</f>
        <v>#N/A</v>
      </c>
      <c r="E2096" s="1" t="str">
        <f t="array" ref="E2096">IF(ISBLANK(XLOOKUP(E$3,daily_items,XLOOKUP($C2096,daily_dates,big_daily_table))),NA(),XLOOKUP(E$3,daily_items,XLOOKUP($C2096,daily_dates,big_daily_table)))</f>
        <v>#N/A</v>
      </c>
    </row>
    <row r="2097" ht="14.25" customHeight="1">
      <c r="B2097" s="7">
        <v>43002.0</v>
      </c>
      <c r="C2097" s="7">
        <f t="shared" si="1"/>
        <v>43002</v>
      </c>
      <c r="D2097" s="1" t="str">
        <f t="array" ref="D2097">IF(ISBLANK(XLOOKUP(D$3,daily_items,XLOOKUP($C2097,daily_dates,big_daily_table))),NA(),XLOOKUP(D$3,daily_items,XLOOKUP($C2097,daily_dates,big_daily_table)))</f>
        <v>#N/A</v>
      </c>
      <c r="E2097" s="1" t="str">
        <f t="array" ref="E2097">IF(ISBLANK(XLOOKUP(E$3,daily_items,XLOOKUP($C2097,daily_dates,big_daily_table))),NA(),XLOOKUP(E$3,daily_items,XLOOKUP($C2097,daily_dates,big_daily_table)))</f>
        <v>#N/A</v>
      </c>
    </row>
    <row r="2098" ht="14.25" customHeight="1">
      <c r="B2098" s="7">
        <v>43003.0</v>
      </c>
      <c r="C2098" s="7">
        <f t="shared" si="1"/>
        <v>43002</v>
      </c>
      <c r="D2098" s="1" t="str">
        <f t="array" ref="D2098">IF(ISBLANK(XLOOKUP(D$3,daily_items,XLOOKUP($C2098,daily_dates,big_daily_table))),NA(),XLOOKUP(D$3,daily_items,XLOOKUP($C2098,daily_dates,big_daily_table)))</f>
        <v>#N/A</v>
      </c>
      <c r="E2098" s="1" t="str">
        <f t="array" ref="E2098">IF(ISBLANK(XLOOKUP(E$3,daily_items,XLOOKUP($C2098,daily_dates,big_daily_table))),NA(),XLOOKUP(E$3,daily_items,XLOOKUP($C2098,daily_dates,big_daily_table)))</f>
        <v>#N/A</v>
      </c>
    </row>
    <row r="2099" ht="14.25" customHeight="1">
      <c r="B2099" s="7">
        <v>43004.0</v>
      </c>
      <c r="C2099" s="7">
        <f t="shared" si="1"/>
        <v>43002</v>
      </c>
      <c r="D2099" s="1" t="str">
        <f t="array" ref="D2099">IF(ISBLANK(XLOOKUP(D$3,daily_items,XLOOKUP($C2099,daily_dates,big_daily_table))),NA(),XLOOKUP(D$3,daily_items,XLOOKUP($C2099,daily_dates,big_daily_table)))</f>
        <v>#N/A</v>
      </c>
      <c r="E2099" s="1" t="str">
        <f t="array" ref="E2099">IF(ISBLANK(XLOOKUP(E$3,daily_items,XLOOKUP($C2099,daily_dates,big_daily_table))),NA(),XLOOKUP(E$3,daily_items,XLOOKUP($C2099,daily_dates,big_daily_table)))</f>
        <v>#N/A</v>
      </c>
    </row>
    <row r="2100" ht="14.25" customHeight="1">
      <c r="B2100" s="7">
        <v>43005.0</v>
      </c>
      <c r="C2100" s="7">
        <f t="shared" si="1"/>
        <v>43002</v>
      </c>
      <c r="D2100" s="1" t="str">
        <f t="array" ref="D2100">IF(ISBLANK(XLOOKUP(D$3,daily_items,XLOOKUP($C2100,daily_dates,big_daily_table))),NA(),XLOOKUP(D$3,daily_items,XLOOKUP($C2100,daily_dates,big_daily_table)))</f>
        <v>#N/A</v>
      </c>
      <c r="E2100" s="1" t="str">
        <f t="array" ref="E2100">IF(ISBLANK(XLOOKUP(E$3,daily_items,XLOOKUP($C2100,daily_dates,big_daily_table))),NA(),XLOOKUP(E$3,daily_items,XLOOKUP($C2100,daily_dates,big_daily_table)))</f>
        <v>#N/A</v>
      </c>
    </row>
    <row r="2101" ht="14.25" customHeight="1">
      <c r="B2101" s="7">
        <v>43006.0</v>
      </c>
      <c r="C2101" s="7">
        <f t="shared" si="1"/>
        <v>43002</v>
      </c>
      <c r="D2101" s="1" t="str">
        <f t="array" ref="D2101">IF(ISBLANK(XLOOKUP(D$3,daily_items,XLOOKUP($C2101,daily_dates,big_daily_table))),NA(),XLOOKUP(D$3,daily_items,XLOOKUP($C2101,daily_dates,big_daily_table)))</f>
        <v>#N/A</v>
      </c>
      <c r="E2101" s="1" t="str">
        <f t="array" ref="E2101">IF(ISBLANK(XLOOKUP(E$3,daily_items,XLOOKUP($C2101,daily_dates,big_daily_table))),NA(),XLOOKUP(E$3,daily_items,XLOOKUP($C2101,daily_dates,big_daily_table)))</f>
        <v>#N/A</v>
      </c>
    </row>
    <row r="2102" ht="14.25" customHeight="1">
      <c r="B2102" s="7">
        <v>43007.0</v>
      </c>
      <c r="C2102" s="7">
        <f t="shared" si="1"/>
        <v>43002</v>
      </c>
      <c r="D2102" s="1" t="str">
        <f t="array" ref="D2102">IF(ISBLANK(XLOOKUP(D$3,daily_items,XLOOKUP($C2102,daily_dates,big_daily_table))),NA(),XLOOKUP(D$3,daily_items,XLOOKUP($C2102,daily_dates,big_daily_table)))</f>
        <v>#N/A</v>
      </c>
      <c r="E2102" s="1" t="str">
        <f t="array" ref="E2102">IF(ISBLANK(XLOOKUP(E$3,daily_items,XLOOKUP($C2102,daily_dates,big_daily_table))),NA(),XLOOKUP(E$3,daily_items,XLOOKUP($C2102,daily_dates,big_daily_table)))</f>
        <v>#N/A</v>
      </c>
    </row>
    <row r="2103" ht="14.25" customHeight="1">
      <c r="B2103" s="7">
        <v>43008.0</v>
      </c>
      <c r="C2103" s="7">
        <f t="shared" si="1"/>
        <v>43002</v>
      </c>
      <c r="D2103" s="1" t="str">
        <f t="array" ref="D2103">IF(ISBLANK(XLOOKUP(D$3,daily_items,XLOOKUP($C2103,daily_dates,big_daily_table))),NA(),XLOOKUP(D$3,daily_items,XLOOKUP($C2103,daily_dates,big_daily_table)))</f>
        <v>#N/A</v>
      </c>
      <c r="E2103" s="1" t="str">
        <f t="array" ref="E2103">IF(ISBLANK(XLOOKUP(E$3,daily_items,XLOOKUP($C2103,daily_dates,big_daily_table))),NA(),XLOOKUP(E$3,daily_items,XLOOKUP($C2103,daily_dates,big_daily_table)))</f>
        <v>#N/A</v>
      </c>
    </row>
    <row r="2104" ht="14.25" customHeight="1">
      <c r="B2104" s="7">
        <v>43009.0</v>
      </c>
      <c r="C2104" s="7">
        <f t="shared" si="1"/>
        <v>43009</v>
      </c>
      <c r="D2104" s="1" t="str">
        <f t="array" ref="D2104">IF(ISBLANK(XLOOKUP(D$3,daily_items,XLOOKUP($C2104,daily_dates,big_daily_table))),NA(),XLOOKUP(D$3,daily_items,XLOOKUP($C2104,daily_dates,big_daily_table)))</f>
        <v>#N/A</v>
      </c>
      <c r="E2104" s="1" t="str">
        <f t="array" ref="E2104">IF(ISBLANK(XLOOKUP(E$3,daily_items,XLOOKUP($C2104,daily_dates,big_daily_table))),NA(),XLOOKUP(E$3,daily_items,XLOOKUP($C2104,daily_dates,big_daily_table)))</f>
        <v>#N/A</v>
      </c>
    </row>
    <row r="2105" ht="14.25" customHeight="1">
      <c r="B2105" s="7">
        <v>43010.0</v>
      </c>
      <c r="C2105" s="7">
        <f t="shared" si="1"/>
        <v>43009</v>
      </c>
      <c r="D2105" s="1" t="str">
        <f t="array" ref="D2105">IF(ISBLANK(XLOOKUP(D$3,daily_items,XLOOKUP($C2105,daily_dates,big_daily_table))),NA(),XLOOKUP(D$3,daily_items,XLOOKUP($C2105,daily_dates,big_daily_table)))</f>
        <v>#N/A</v>
      </c>
      <c r="E2105" s="1" t="str">
        <f t="array" ref="E2105">IF(ISBLANK(XLOOKUP(E$3,daily_items,XLOOKUP($C2105,daily_dates,big_daily_table))),NA(),XLOOKUP(E$3,daily_items,XLOOKUP($C2105,daily_dates,big_daily_table)))</f>
        <v>#N/A</v>
      </c>
    </row>
    <row r="2106" ht="14.25" customHeight="1">
      <c r="B2106" s="7">
        <v>43011.0</v>
      </c>
      <c r="C2106" s="7">
        <f t="shared" si="1"/>
        <v>43009</v>
      </c>
      <c r="D2106" s="1" t="str">
        <f t="array" ref="D2106">IF(ISBLANK(XLOOKUP(D$3,daily_items,XLOOKUP($C2106,daily_dates,big_daily_table))),NA(),XLOOKUP(D$3,daily_items,XLOOKUP($C2106,daily_dates,big_daily_table)))</f>
        <v>#N/A</v>
      </c>
      <c r="E2106" s="1" t="str">
        <f t="array" ref="E2106">IF(ISBLANK(XLOOKUP(E$3,daily_items,XLOOKUP($C2106,daily_dates,big_daily_table))),NA(),XLOOKUP(E$3,daily_items,XLOOKUP($C2106,daily_dates,big_daily_table)))</f>
        <v>#N/A</v>
      </c>
    </row>
    <row r="2107" ht="14.25" customHeight="1">
      <c r="B2107" s="7">
        <v>43012.0</v>
      </c>
      <c r="C2107" s="7">
        <f t="shared" si="1"/>
        <v>43009</v>
      </c>
      <c r="D2107" s="1" t="str">
        <f t="array" ref="D2107">IF(ISBLANK(XLOOKUP(D$3,daily_items,XLOOKUP($C2107,daily_dates,big_daily_table))),NA(),XLOOKUP(D$3,daily_items,XLOOKUP($C2107,daily_dates,big_daily_table)))</f>
        <v>#N/A</v>
      </c>
      <c r="E2107" s="1" t="str">
        <f t="array" ref="E2107">IF(ISBLANK(XLOOKUP(E$3,daily_items,XLOOKUP($C2107,daily_dates,big_daily_table))),NA(),XLOOKUP(E$3,daily_items,XLOOKUP($C2107,daily_dates,big_daily_table)))</f>
        <v>#N/A</v>
      </c>
    </row>
    <row r="2108" ht="14.25" customHeight="1">
      <c r="B2108" s="7">
        <v>43013.0</v>
      </c>
      <c r="C2108" s="7">
        <f t="shared" si="1"/>
        <v>43009</v>
      </c>
      <c r="D2108" s="1" t="str">
        <f t="array" ref="D2108">IF(ISBLANK(XLOOKUP(D$3,daily_items,XLOOKUP($C2108,daily_dates,big_daily_table))),NA(),XLOOKUP(D$3,daily_items,XLOOKUP($C2108,daily_dates,big_daily_table)))</f>
        <v>#N/A</v>
      </c>
      <c r="E2108" s="1" t="str">
        <f t="array" ref="E2108">IF(ISBLANK(XLOOKUP(E$3,daily_items,XLOOKUP($C2108,daily_dates,big_daily_table))),NA(),XLOOKUP(E$3,daily_items,XLOOKUP($C2108,daily_dates,big_daily_table)))</f>
        <v>#N/A</v>
      </c>
    </row>
    <row r="2109" ht="14.25" customHeight="1">
      <c r="B2109" s="7">
        <v>43014.0</v>
      </c>
      <c r="C2109" s="7">
        <f t="shared" si="1"/>
        <v>43009</v>
      </c>
      <c r="D2109" s="1" t="str">
        <f t="array" ref="D2109">IF(ISBLANK(XLOOKUP(D$3,daily_items,XLOOKUP($C2109,daily_dates,big_daily_table))),NA(),XLOOKUP(D$3,daily_items,XLOOKUP($C2109,daily_dates,big_daily_table)))</f>
        <v>#N/A</v>
      </c>
      <c r="E2109" s="1" t="str">
        <f t="array" ref="E2109">IF(ISBLANK(XLOOKUP(E$3,daily_items,XLOOKUP($C2109,daily_dates,big_daily_table))),NA(),XLOOKUP(E$3,daily_items,XLOOKUP($C2109,daily_dates,big_daily_table)))</f>
        <v>#N/A</v>
      </c>
    </row>
    <row r="2110" ht="14.25" customHeight="1">
      <c r="B2110" s="7">
        <v>43015.0</v>
      </c>
      <c r="C2110" s="7">
        <f t="shared" si="1"/>
        <v>43009</v>
      </c>
      <c r="D2110" s="1" t="str">
        <f t="array" ref="D2110">IF(ISBLANK(XLOOKUP(D$3,daily_items,XLOOKUP($C2110,daily_dates,big_daily_table))),NA(),XLOOKUP(D$3,daily_items,XLOOKUP($C2110,daily_dates,big_daily_table)))</f>
        <v>#N/A</v>
      </c>
      <c r="E2110" s="1" t="str">
        <f t="array" ref="E2110">IF(ISBLANK(XLOOKUP(E$3,daily_items,XLOOKUP($C2110,daily_dates,big_daily_table))),NA(),XLOOKUP(E$3,daily_items,XLOOKUP($C2110,daily_dates,big_daily_table)))</f>
        <v>#N/A</v>
      </c>
    </row>
    <row r="2111" ht="14.25" customHeight="1">
      <c r="B2111" s="7">
        <v>43016.0</v>
      </c>
      <c r="C2111" s="7">
        <f t="shared" si="1"/>
        <v>43016</v>
      </c>
      <c r="D2111" s="1" t="str">
        <f t="array" ref="D2111">IF(ISBLANK(XLOOKUP(D$3,daily_items,XLOOKUP($C2111,daily_dates,big_daily_table))),NA(),XLOOKUP(D$3,daily_items,XLOOKUP($C2111,daily_dates,big_daily_table)))</f>
        <v>#N/A</v>
      </c>
      <c r="E2111" s="1" t="str">
        <f t="array" ref="E2111">IF(ISBLANK(XLOOKUP(E$3,daily_items,XLOOKUP($C2111,daily_dates,big_daily_table))),NA(),XLOOKUP(E$3,daily_items,XLOOKUP($C2111,daily_dates,big_daily_table)))</f>
        <v>#N/A</v>
      </c>
    </row>
    <row r="2112" ht="14.25" customHeight="1">
      <c r="B2112" s="7">
        <v>43017.0</v>
      </c>
      <c r="C2112" s="7">
        <f t="shared" si="1"/>
        <v>43016</v>
      </c>
      <c r="D2112" s="1" t="str">
        <f t="array" ref="D2112">IF(ISBLANK(XLOOKUP(D$3,daily_items,XLOOKUP($C2112,daily_dates,big_daily_table))),NA(),XLOOKUP(D$3,daily_items,XLOOKUP($C2112,daily_dates,big_daily_table)))</f>
        <v>#N/A</v>
      </c>
      <c r="E2112" s="1" t="str">
        <f t="array" ref="E2112">IF(ISBLANK(XLOOKUP(E$3,daily_items,XLOOKUP($C2112,daily_dates,big_daily_table))),NA(),XLOOKUP(E$3,daily_items,XLOOKUP($C2112,daily_dates,big_daily_table)))</f>
        <v>#N/A</v>
      </c>
    </row>
    <row r="2113" ht="14.25" customHeight="1">
      <c r="B2113" s="7">
        <v>43018.0</v>
      </c>
      <c r="C2113" s="7">
        <f t="shared" si="1"/>
        <v>43016</v>
      </c>
      <c r="D2113" s="1" t="str">
        <f t="array" ref="D2113">IF(ISBLANK(XLOOKUP(D$3,daily_items,XLOOKUP($C2113,daily_dates,big_daily_table))),NA(),XLOOKUP(D$3,daily_items,XLOOKUP($C2113,daily_dates,big_daily_table)))</f>
        <v>#N/A</v>
      </c>
      <c r="E2113" s="1" t="str">
        <f t="array" ref="E2113">IF(ISBLANK(XLOOKUP(E$3,daily_items,XLOOKUP($C2113,daily_dates,big_daily_table))),NA(),XLOOKUP(E$3,daily_items,XLOOKUP($C2113,daily_dates,big_daily_table)))</f>
        <v>#N/A</v>
      </c>
    </row>
    <row r="2114" ht="14.25" customHeight="1">
      <c r="B2114" s="7">
        <v>43019.0</v>
      </c>
      <c r="C2114" s="7">
        <f t="shared" si="1"/>
        <v>43016</v>
      </c>
      <c r="D2114" s="1" t="str">
        <f t="array" ref="D2114">IF(ISBLANK(XLOOKUP(D$3,daily_items,XLOOKUP($C2114,daily_dates,big_daily_table))),NA(),XLOOKUP(D$3,daily_items,XLOOKUP($C2114,daily_dates,big_daily_table)))</f>
        <v>#N/A</v>
      </c>
      <c r="E2114" s="1" t="str">
        <f t="array" ref="E2114">IF(ISBLANK(XLOOKUP(E$3,daily_items,XLOOKUP($C2114,daily_dates,big_daily_table))),NA(),XLOOKUP(E$3,daily_items,XLOOKUP($C2114,daily_dates,big_daily_table)))</f>
        <v>#N/A</v>
      </c>
    </row>
    <row r="2115" ht="14.25" customHeight="1">
      <c r="B2115" s="7">
        <v>43020.0</v>
      </c>
      <c r="C2115" s="7">
        <f t="shared" si="1"/>
        <v>43016</v>
      </c>
      <c r="D2115" s="1" t="str">
        <f t="array" ref="D2115">IF(ISBLANK(XLOOKUP(D$3,daily_items,XLOOKUP($C2115,daily_dates,big_daily_table))),NA(),XLOOKUP(D$3,daily_items,XLOOKUP($C2115,daily_dates,big_daily_table)))</f>
        <v>#N/A</v>
      </c>
      <c r="E2115" s="1" t="str">
        <f t="array" ref="E2115">IF(ISBLANK(XLOOKUP(E$3,daily_items,XLOOKUP($C2115,daily_dates,big_daily_table))),NA(),XLOOKUP(E$3,daily_items,XLOOKUP($C2115,daily_dates,big_daily_table)))</f>
        <v>#N/A</v>
      </c>
    </row>
    <row r="2116" ht="14.25" customHeight="1">
      <c r="B2116" s="7">
        <v>43021.0</v>
      </c>
      <c r="C2116" s="7">
        <f t="shared" si="1"/>
        <v>43016</v>
      </c>
      <c r="D2116" s="1" t="str">
        <f t="array" ref="D2116">IF(ISBLANK(XLOOKUP(D$3,daily_items,XLOOKUP($C2116,daily_dates,big_daily_table))),NA(),XLOOKUP(D$3,daily_items,XLOOKUP($C2116,daily_dates,big_daily_table)))</f>
        <v>#N/A</v>
      </c>
      <c r="E2116" s="1" t="str">
        <f t="array" ref="E2116">IF(ISBLANK(XLOOKUP(E$3,daily_items,XLOOKUP($C2116,daily_dates,big_daily_table))),NA(),XLOOKUP(E$3,daily_items,XLOOKUP($C2116,daily_dates,big_daily_table)))</f>
        <v>#N/A</v>
      </c>
    </row>
    <row r="2117" ht="14.25" customHeight="1">
      <c r="B2117" s="7">
        <v>43022.0</v>
      </c>
      <c r="C2117" s="7">
        <f t="shared" si="1"/>
        <v>43016</v>
      </c>
      <c r="D2117" s="1" t="str">
        <f t="array" ref="D2117">IF(ISBLANK(XLOOKUP(D$3,daily_items,XLOOKUP($C2117,daily_dates,big_daily_table))),NA(),XLOOKUP(D$3,daily_items,XLOOKUP($C2117,daily_dates,big_daily_table)))</f>
        <v>#N/A</v>
      </c>
      <c r="E2117" s="1" t="str">
        <f t="array" ref="E2117">IF(ISBLANK(XLOOKUP(E$3,daily_items,XLOOKUP($C2117,daily_dates,big_daily_table))),NA(),XLOOKUP(E$3,daily_items,XLOOKUP($C2117,daily_dates,big_daily_table)))</f>
        <v>#N/A</v>
      </c>
    </row>
    <row r="2118" ht="14.25" customHeight="1">
      <c r="B2118" s="7">
        <v>43023.0</v>
      </c>
      <c r="C2118" s="7">
        <f t="shared" si="1"/>
        <v>43023</v>
      </c>
      <c r="D2118" s="1" t="str">
        <f t="array" ref="D2118">IF(ISBLANK(XLOOKUP(D$3,daily_items,XLOOKUP($C2118,daily_dates,big_daily_table))),NA(),XLOOKUP(D$3,daily_items,XLOOKUP($C2118,daily_dates,big_daily_table)))</f>
        <v>#N/A</v>
      </c>
      <c r="E2118" s="1" t="str">
        <f t="array" ref="E2118">IF(ISBLANK(XLOOKUP(E$3,daily_items,XLOOKUP($C2118,daily_dates,big_daily_table))),NA(),XLOOKUP(E$3,daily_items,XLOOKUP($C2118,daily_dates,big_daily_table)))</f>
        <v>#N/A</v>
      </c>
    </row>
    <row r="2119" ht="14.25" customHeight="1">
      <c r="B2119" s="7">
        <v>43024.0</v>
      </c>
      <c r="C2119" s="7">
        <f t="shared" si="1"/>
        <v>43023</v>
      </c>
      <c r="D2119" s="1" t="str">
        <f t="array" ref="D2119">IF(ISBLANK(XLOOKUP(D$3,daily_items,XLOOKUP($C2119,daily_dates,big_daily_table))),NA(),XLOOKUP(D$3,daily_items,XLOOKUP($C2119,daily_dates,big_daily_table)))</f>
        <v>#N/A</v>
      </c>
      <c r="E2119" s="1" t="str">
        <f t="array" ref="E2119">IF(ISBLANK(XLOOKUP(E$3,daily_items,XLOOKUP($C2119,daily_dates,big_daily_table))),NA(),XLOOKUP(E$3,daily_items,XLOOKUP($C2119,daily_dates,big_daily_table)))</f>
        <v>#N/A</v>
      </c>
    </row>
    <row r="2120" ht="14.25" customHeight="1">
      <c r="B2120" s="7">
        <v>43025.0</v>
      </c>
      <c r="C2120" s="7">
        <f t="shared" si="1"/>
        <v>43023</v>
      </c>
      <c r="D2120" s="1" t="str">
        <f t="array" ref="D2120">IF(ISBLANK(XLOOKUP(D$3,daily_items,XLOOKUP($C2120,daily_dates,big_daily_table))),NA(),XLOOKUP(D$3,daily_items,XLOOKUP($C2120,daily_dates,big_daily_table)))</f>
        <v>#N/A</v>
      </c>
      <c r="E2120" s="1" t="str">
        <f t="array" ref="E2120">IF(ISBLANK(XLOOKUP(E$3,daily_items,XLOOKUP($C2120,daily_dates,big_daily_table))),NA(),XLOOKUP(E$3,daily_items,XLOOKUP($C2120,daily_dates,big_daily_table)))</f>
        <v>#N/A</v>
      </c>
    </row>
    <row r="2121" ht="14.25" customHeight="1">
      <c r="B2121" s="7">
        <v>43026.0</v>
      </c>
      <c r="C2121" s="7">
        <f t="shared" si="1"/>
        <v>43023</v>
      </c>
      <c r="D2121" s="1" t="str">
        <f t="array" ref="D2121">IF(ISBLANK(XLOOKUP(D$3,daily_items,XLOOKUP($C2121,daily_dates,big_daily_table))),NA(),XLOOKUP(D$3,daily_items,XLOOKUP($C2121,daily_dates,big_daily_table)))</f>
        <v>#N/A</v>
      </c>
      <c r="E2121" s="1" t="str">
        <f t="array" ref="E2121">IF(ISBLANK(XLOOKUP(E$3,daily_items,XLOOKUP($C2121,daily_dates,big_daily_table))),NA(),XLOOKUP(E$3,daily_items,XLOOKUP($C2121,daily_dates,big_daily_table)))</f>
        <v>#N/A</v>
      </c>
    </row>
    <row r="2122" ht="14.25" customHeight="1">
      <c r="B2122" s="7">
        <v>43027.0</v>
      </c>
      <c r="C2122" s="7">
        <f t="shared" si="1"/>
        <v>43023</v>
      </c>
      <c r="D2122" s="1" t="str">
        <f t="array" ref="D2122">IF(ISBLANK(XLOOKUP(D$3,daily_items,XLOOKUP($C2122,daily_dates,big_daily_table))),NA(),XLOOKUP(D$3,daily_items,XLOOKUP($C2122,daily_dates,big_daily_table)))</f>
        <v>#N/A</v>
      </c>
      <c r="E2122" s="1" t="str">
        <f t="array" ref="E2122">IF(ISBLANK(XLOOKUP(E$3,daily_items,XLOOKUP($C2122,daily_dates,big_daily_table))),NA(),XLOOKUP(E$3,daily_items,XLOOKUP($C2122,daily_dates,big_daily_table)))</f>
        <v>#N/A</v>
      </c>
    </row>
    <row r="2123" ht="14.25" customHeight="1">
      <c r="B2123" s="7">
        <v>43028.0</v>
      </c>
      <c r="C2123" s="7">
        <f t="shared" si="1"/>
        <v>43023</v>
      </c>
      <c r="D2123" s="1" t="str">
        <f t="array" ref="D2123">IF(ISBLANK(XLOOKUP(D$3,daily_items,XLOOKUP($C2123,daily_dates,big_daily_table))),NA(),XLOOKUP(D$3,daily_items,XLOOKUP($C2123,daily_dates,big_daily_table)))</f>
        <v>#N/A</v>
      </c>
      <c r="E2123" s="1" t="str">
        <f t="array" ref="E2123">IF(ISBLANK(XLOOKUP(E$3,daily_items,XLOOKUP($C2123,daily_dates,big_daily_table))),NA(),XLOOKUP(E$3,daily_items,XLOOKUP($C2123,daily_dates,big_daily_table)))</f>
        <v>#N/A</v>
      </c>
    </row>
    <row r="2124" ht="14.25" customHeight="1">
      <c r="B2124" s="7">
        <v>43029.0</v>
      </c>
      <c r="C2124" s="7">
        <f t="shared" si="1"/>
        <v>43023</v>
      </c>
      <c r="D2124" s="1" t="str">
        <f t="array" ref="D2124">IF(ISBLANK(XLOOKUP(D$3,daily_items,XLOOKUP($C2124,daily_dates,big_daily_table))),NA(),XLOOKUP(D$3,daily_items,XLOOKUP($C2124,daily_dates,big_daily_table)))</f>
        <v>#N/A</v>
      </c>
      <c r="E2124" s="1" t="str">
        <f t="array" ref="E2124">IF(ISBLANK(XLOOKUP(E$3,daily_items,XLOOKUP($C2124,daily_dates,big_daily_table))),NA(),XLOOKUP(E$3,daily_items,XLOOKUP($C2124,daily_dates,big_daily_table)))</f>
        <v>#N/A</v>
      </c>
    </row>
    <row r="2125" ht="14.25" customHeight="1">
      <c r="B2125" s="7">
        <v>43030.0</v>
      </c>
      <c r="C2125" s="7">
        <f t="shared" si="1"/>
        <v>43030</v>
      </c>
      <c r="D2125" s="1" t="str">
        <f t="array" ref="D2125">IF(ISBLANK(XLOOKUP(D$3,daily_items,XLOOKUP($C2125,daily_dates,big_daily_table))),NA(),XLOOKUP(D$3,daily_items,XLOOKUP($C2125,daily_dates,big_daily_table)))</f>
        <v>#N/A</v>
      </c>
      <c r="E2125" s="1" t="str">
        <f t="array" ref="E2125">IF(ISBLANK(XLOOKUP(E$3,daily_items,XLOOKUP($C2125,daily_dates,big_daily_table))),NA(),XLOOKUP(E$3,daily_items,XLOOKUP($C2125,daily_dates,big_daily_table)))</f>
        <v>#N/A</v>
      </c>
    </row>
    <row r="2126" ht="14.25" customHeight="1">
      <c r="B2126" s="7">
        <v>43031.0</v>
      </c>
      <c r="C2126" s="7">
        <f t="shared" si="1"/>
        <v>43030</v>
      </c>
      <c r="D2126" s="1" t="str">
        <f t="array" ref="D2126">IF(ISBLANK(XLOOKUP(D$3,daily_items,XLOOKUP($C2126,daily_dates,big_daily_table))),NA(),XLOOKUP(D$3,daily_items,XLOOKUP($C2126,daily_dates,big_daily_table)))</f>
        <v>#N/A</v>
      </c>
      <c r="E2126" s="1" t="str">
        <f t="array" ref="E2126">IF(ISBLANK(XLOOKUP(E$3,daily_items,XLOOKUP($C2126,daily_dates,big_daily_table))),NA(),XLOOKUP(E$3,daily_items,XLOOKUP($C2126,daily_dates,big_daily_table)))</f>
        <v>#N/A</v>
      </c>
    </row>
    <row r="2127" ht="14.25" customHeight="1">
      <c r="B2127" s="7">
        <v>43032.0</v>
      </c>
      <c r="C2127" s="7">
        <f t="shared" si="1"/>
        <v>43030</v>
      </c>
      <c r="D2127" s="1" t="str">
        <f t="array" ref="D2127">IF(ISBLANK(XLOOKUP(D$3,daily_items,XLOOKUP($C2127,daily_dates,big_daily_table))),NA(),XLOOKUP(D$3,daily_items,XLOOKUP($C2127,daily_dates,big_daily_table)))</f>
        <v>#N/A</v>
      </c>
      <c r="E2127" s="1" t="str">
        <f t="array" ref="E2127">IF(ISBLANK(XLOOKUP(E$3,daily_items,XLOOKUP($C2127,daily_dates,big_daily_table))),NA(),XLOOKUP(E$3,daily_items,XLOOKUP($C2127,daily_dates,big_daily_table)))</f>
        <v>#N/A</v>
      </c>
    </row>
    <row r="2128" ht="14.25" customHeight="1">
      <c r="B2128" s="7">
        <v>43033.0</v>
      </c>
      <c r="C2128" s="7">
        <f t="shared" si="1"/>
        <v>43030</v>
      </c>
      <c r="D2128" s="1" t="str">
        <f t="array" ref="D2128">IF(ISBLANK(XLOOKUP(D$3,daily_items,XLOOKUP($C2128,daily_dates,big_daily_table))),NA(),XLOOKUP(D$3,daily_items,XLOOKUP($C2128,daily_dates,big_daily_table)))</f>
        <v>#N/A</v>
      </c>
      <c r="E2128" s="1" t="str">
        <f t="array" ref="E2128">IF(ISBLANK(XLOOKUP(E$3,daily_items,XLOOKUP($C2128,daily_dates,big_daily_table))),NA(),XLOOKUP(E$3,daily_items,XLOOKUP($C2128,daily_dates,big_daily_table)))</f>
        <v>#N/A</v>
      </c>
    </row>
    <row r="2129" ht="14.25" customHeight="1">
      <c r="B2129" s="7">
        <v>43034.0</v>
      </c>
      <c r="C2129" s="7">
        <f t="shared" si="1"/>
        <v>43030</v>
      </c>
      <c r="D2129" s="1" t="str">
        <f t="array" ref="D2129">IF(ISBLANK(XLOOKUP(D$3,daily_items,XLOOKUP($C2129,daily_dates,big_daily_table))),NA(),XLOOKUP(D$3,daily_items,XLOOKUP($C2129,daily_dates,big_daily_table)))</f>
        <v>#N/A</v>
      </c>
      <c r="E2129" s="1" t="str">
        <f t="array" ref="E2129">IF(ISBLANK(XLOOKUP(E$3,daily_items,XLOOKUP($C2129,daily_dates,big_daily_table))),NA(),XLOOKUP(E$3,daily_items,XLOOKUP($C2129,daily_dates,big_daily_table)))</f>
        <v>#N/A</v>
      </c>
    </row>
    <row r="2130" ht="14.25" customHeight="1">
      <c r="B2130" s="7">
        <v>43035.0</v>
      </c>
      <c r="C2130" s="7">
        <f t="shared" si="1"/>
        <v>43030</v>
      </c>
      <c r="D2130" s="1" t="str">
        <f t="array" ref="D2130">IF(ISBLANK(XLOOKUP(D$3,daily_items,XLOOKUP($C2130,daily_dates,big_daily_table))),NA(),XLOOKUP(D$3,daily_items,XLOOKUP($C2130,daily_dates,big_daily_table)))</f>
        <v>#N/A</v>
      </c>
      <c r="E2130" s="1" t="str">
        <f t="array" ref="E2130">IF(ISBLANK(XLOOKUP(E$3,daily_items,XLOOKUP($C2130,daily_dates,big_daily_table))),NA(),XLOOKUP(E$3,daily_items,XLOOKUP($C2130,daily_dates,big_daily_table)))</f>
        <v>#N/A</v>
      </c>
    </row>
    <row r="2131" ht="14.25" customHeight="1">
      <c r="B2131" s="7">
        <v>43036.0</v>
      </c>
      <c r="C2131" s="7">
        <f t="shared" si="1"/>
        <v>43030</v>
      </c>
      <c r="D2131" s="1" t="str">
        <f t="array" ref="D2131">IF(ISBLANK(XLOOKUP(D$3,daily_items,XLOOKUP($C2131,daily_dates,big_daily_table))),NA(),XLOOKUP(D$3,daily_items,XLOOKUP($C2131,daily_dates,big_daily_table)))</f>
        <v>#N/A</v>
      </c>
      <c r="E2131" s="1" t="str">
        <f t="array" ref="E2131">IF(ISBLANK(XLOOKUP(E$3,daily_items,XLOOKUP($C2131,daily_dates,big_daily_table))),NA(),XLOOKUP(E$3,daily_items,XLOOKUP($C2131,daily_dates,big_daily_table)))</f>
        <v>#N/A</v>
      </c>
    </row>
    <row r="2132" ht="14.25" customHeight="1">
      <c r="B2132" s="7">
        <v>43037.0</v>
      </c>
      <c r="C2132" s="7">
        <f t="shared" si="1"/>
        <v>43037</v>
      </c>
      <c r="D2132" s="1" t="str">
        <f t="array" ref="D2132">IF(ISBLANK(XLOOKUP(D$3,daily_items,XLOOKUP($C2132,daily_dates,big_daily_table))),NA(),XLOOKUP(D$3,daily_items,XLOOKUP($C2132,daily_dates,big_daily_table)))</f>
        <v>#N/A</v>
      </c>
      <c r="E2132" s="1" t="str">
        <f t="array" ref="E2132">IF(ISBLANK(XLOOKUP(E$3,daily_items,XLOOKUP($C2132,daily_dates,big_daily_table))),NA(),XLOOKUP(E$3,daily_items,XLOOKUP($C2132,daily_dates,big_daily_table)))</f>
        <v>#N/A</v>
      </c>
    </row>
    <row r="2133" ht="14.25" customHeight="1">
      <c r="B2133" s="7">
        <v>43038.0</v>
      </c>
      <c r="C2133" s="7">
        <f t="shared" si="1"/>
        <v>43037</v>
      </c>
      <c r="D2133" s="1" t="str">
        <f t="array" ref="D2133">IF(ISBLANK(XLOOKUP(D$3,daily_items,XLOOKUP($C2133,daily_dates,big_daily_table))),NA(),XLOOKUP(D$3,daily_items,XLOOKUP($C2133,daily_dates,big_daily_table)))</f>
        <v>#N/A</v>
      </c>
      <c r="E2133" s="1" t="str">
        <f t="array" ref="E2133">IF(ISBLANK(XLOOKUP(E$3,daily_items,XLOOKUP($C2133,daily_dates,big_daily_table))),NA(),XLOOKUP(E$3,daily_items,XLOOKUP($C2133,daily_dates,big_daily_table)))</f>
        <v>#N/A</v>
      </c>
    </row>
    <row r="2134" ht="14.25" customHeight="1">
      <c r="B2134" s="7">
        <v>43039.0</v>
      </c>
      <c r="C2134" s="7">
        <f t="shared" si="1"/>
        <v>43037</v>
      </c>
      <c r="D2134" s="1" t="str">
        <f t="array" ref="D2134">IF(ISBLANK(XLOOKUP(D$3,daily_items,XLOOKUP($C2134,daily_dates,big_daily_table))),NA(),XLOOKUP(D$3,daily_items,XLOOKUP($C2134,daily_dates,big_daily_table)))</f>
        <v>#N/A</v>
      </c>
      <c r="E2134" s="1" t="str">
        <f t="array" ref="E2134">IF(ISBLANK(XLOOKUP(E$3,daily_items,XLOOKUP($C2134,daily_dates,big_daily_table))),NA(),XLOOKUP(E$3,daily_items,XLOOKUP($C2134,daily_dates,big_daily_table)))</f>
        <v>#N/A</v>
      </c>
    </row>
    <row r="2135" ht="14.25" customHeight="1">
      <c r="B2135" s="7">
        <v>43040.0</v>
      </c>
      <c r="C2135" s="7">
        <f t="shared" si="1"/>
        <v>43037</v>
      </c>
      <c r="D2135" s="1" t="str">
        <f t="array" ref="D2135">IF(ISBLANK(XLOOKUP(D$3,daily_items,XLOOKUP($C2135,daily_dates,big_daily_table))),NA(),XLOOKUP(D$3,daily_items,XLOOKUP($C2135,daily_dates,big_daily_table)))</f>
        <v>#N/A</v>
      </c>
      <c r="E2135" s="1" t="str">
        <f t="array" ref="E2135">IF(ISBLANK(XLOOKUP(E$3,daily_items,XLOOKUP($C2135,daily_dates,big_daily_table))),NA(),XLOOKUP(E$3,daily_items,XLOOKUP($C2135,daily_dates,big_daily_table)))</f>
        <v>#N/A</v>
      </c>
    </row>
    <row r="2136" ht="14.25" customHeight="1">
      <c r="B2136" s="7">
        <v>43041.0</v>
      </c>
      <c r="C2136" s="7">
        <f t="shared" si="1"/>
        <v>43037</v>
      </c>
      <c r="D2136" s="1" t="str">
        <f t="array" ref="D2136">IF(ISBLANK(XLOOKUP(D$3,daily_items,XLOOKUP($C2136,daily_dates,big_daily_table))),NA(),XLOOKUP(D$3,daily_items,XLOOKUP($C2136,daily_dates,big_daily_table)))</f>
        <v>#N/A</v>
      </c>
      <c r="E2136" s="1" t="str">
        <f t="array" ref="E2136">IF(ISBLANK(XLOOKUP(E$3,daily_items,XLOOKUP($C2136,daily_dates,big_daily_table))),NA(),XLOOKUP(E$3,daily_items,XLOOKUP($C2136,daily_dates,big_daily_table)))</f>
        <v>#N/A</v>
      </c>
    </row>
    <row r="2137" ht="14.25" customHeight="1">
      <c r="B2137" s="7">
        <v>43042.0</v>
      </c>
      <c r="C2137" s="7">
        <f t="shared" si="1"/>
        <v>43037</v>
      </c>
      <c r="D2137" s="1" t="str">
        <f t="array" ref="D2137">IF(ISBLANK(XLOOKUP(D$3,daily_items,XLOOKUP($C2137,daily_dates,big_daily_table))),NA(),XLOOKUP(D$3,daily_items,XLOOKUP($C2137,daily_dates,big_daily_table)))</f>
        <v>#N/A</v>
      </c>
      <c r="E2137" s="1" t="str">
        <f t="array" ref="E2137">IF(ISBLANK(XLOOKUP(E$3,daily_items,XLOOKUP($C2137,daily_dates,big_daily_table))),NA(),XLOOKUP(E$3,daily_items,XLOOKUP($C2137,daily_dates,big_daily_table)))</f>
        <v>#N/A</v>
      </c>
    </row>
    <row r="2138" ht="14.25" customHeight="1">
      <c r="B2138" s="7">
        <v>43043.0</v>
      </c>
      <c r="C2138" s="7">
        <f t="shared" si="1"/>
        <v>43037</v>
      </c>
      <c r="D2138" s="1" t="str">
        <f t="array" ref="D2138">IF(ISBLANK(XLOOKUP(D$3,daily_items,XLOOKUP($C2138,daily_dates,big_daily_table))),NA(),XLOOKUP(D$3,daily_items,XLOOKUP($C2138,daily_dates,big_daily_table)))</f>
        <v>#N/A</v>
      </c>
      <c r="E2138" s="1" t="str">
        <f t="array" ref="E2138">IF(ISBLANK(XLOOKUP(E$3,daily_items,XLOOKUP($C2138,daily_dates,big_daily_table))),NA(),XLOOKUP(E$3,daily_items,XLOOKUP($C2138,daily_dates,big_daily_table)))</f>
        <v>#N/A</v>
      </c>
    </row>
    <row r="2139" ht="14.25" customHeight="1">
      <c r="B2139" s="7">
        <v>43044.0</v>
      </c>
      <c r="C2139" s="7">
        <f t="shared" si="1"/>
        <v>43044</v>
      </c>
      <c r="D2139" s="1" t="str">
        <f t="array" ref="D2139">IF(ISBLANK(XLOOKUP(D$3,daily_items,XLOOKUP($C2139,daily_dates,big_daily_table))),NA(),XLOOKUP(D$3,daily_items,XLOOKUP($C2139,daily_dates,big_daily_table)))</f>
        <v>#N/A</v>
      </c>
      <c r="E2139" s="1" t="str">
        <f t="array" ref="E2139">IF(ISBLANK(XLOOKUP(E$3,daily_items,XLOOKUP($C2139,daily_dates,big_daily_table))),NA(),XLOOKUP(E$3,daily_items,XLOOKUP($C2139,daily_dates,big_daily_table)))</f>
        <v>#N/A</v>
      </c>
    </row>
    <row r="2140" ht="14.25" customHeight="1">
      <c r="B2140" s="7">
        <v>43045.0</v>
      </c>
      <c r="C2140" s="7">
        <f t="shared" si="1"/>
        <v>43044</v>
      </c>
      <c r="D2140" s="1" t="str">
        <f t="array" ref="D2140">IF(ISBLANK(XLOOKUP(D$3,daily_items,XLOOKUP($C2140,daily_dates,big_daily_table))),NA(),XLOOKUP(D$3,daily_items,XLOOKUP($C2140,daily_dates,big_daily_table)))</f>
        <v>#N/A</v>
      </c>
      <c r="E2140" s="1" t="str">
        <f t="array" ref="E2140">IF(ISBLANK(XLOOKUP(E$3,daily_items,XLOOKUP($C2140,daily_dates,big_daily_table))),NA(),XLOOKUP(E$3,daily_items,XLOOKUP($C2140,daily_dates,big_daily_table)))</f>
        <v>#N/A</v>
      </c>
    </row>
    <row r="2141" ht="14.25" customHeight="1">
      <c r="B2141" s="7">
        <v>43046.0</v>
      </c>
      <c r="C2141" s="7">
        <f t="shared" si="1"/>
        <v>43044</v>
      </c>
      <c r="D2141" s="1" t="str">
        <f t="array" ref="D2141">IF(ISBLANK(XLOOKUP(D$3,daily_items,XLOOKUP($C2141,daily_dates,big_daily_table))),NA(),XLOOKUP(D$3,daily_items,XLOOKUP($C2141,daily_dates,big_daily_table)))</f>
        <v>#N/A</v>
      </c>
      <c r="E2141" s="1" t="str">
        <f t="array" ref="E2141">IF(ISBLANK(XLOOKUP(E$3,daily_items,XLOOKUP($C2141,daily_dates,big_daily_table))),NA(),XLOOKUP(E$3,daily_items,XLOOKUP($C2141,daily_dates,big_daily_table)))</f>
        <v>#N/A</v>
      </c>
    </row>
    <row r="2142" ht="14.25" customHeight="1">
      <c r="B2142" s="7">
        <v>43047.0</v>
      </c>
      <c r="C2142" s="7">
        <f t="shared" si="1"/>
        <v>43044</v>
      </c>
      <c r="D2142" s="1" t="str">
        <f t="array" ref="D2142">IF(ISBLANK(XLOOKUP(D$3,daily_items,XLOOKUP($C2142,daily_dates,big_daily_table))),NA(),XLOOKUP(D$3,daily_items,XLOOKUP($C2142,daily_dates,big_daily_table)))</f>
        <v>#N/A</v>
      </c>
      <c r="E2142" s="1" t="str">
        <f t="array" ref="E2142">IF(ISBLANK(XLOOKUP(E$3,daily_items,XLOOKUP($C2142,daily_dates,big_daily_table))),NA(),XLOOKUP(E$3,daily_items,XLOOKUP($C2142,daily_dates,big_daily_table)))</f>
        <v>#N/A</v>
      </c>
    </row>
    <row r="2143" ht="14.25" customHeight="1">
      <c r="B2143" s="7">
        <v>43048.0</v>
      </c>
      <c r="C2143" s="7">
        <f t="shared" si="1"/>
        <v>43044</v>
      </c>
      <c r="D2143" s="1" t="str">
        <f t="array" ref="D2143">IF(ISBLANK(XLOOKUP(D$3,daily_items,XLOOKUP($C2143,daily_dates,big_daily_table))),NA(),XLOOKUP(D$3,daily_items,XLOOKUP($C2143,daily_dates,big_daily_table)))</f>
        <v>#N/A</v>
      </c>
      <c r="E2143" s="1" t="str">
        <f t="array" ref="E2143">IF(ISBLANK(XLOOKUP(E$3,daily_items,XLOOKUP($C2143,daily_dates,big_daily_table))),NA(),XLOOKUP(E$3,daily_items,XLOOKUP($C2143,daily_dates,big_daily_table)))</f>
        <v>#N/A</v>
      </c>
    </row>
    <row r="2144" ht="14.25" customHeight="1">
      <c r="B2144" s="7">
        <v>43049.0</v>
      </c>
      <c r="C2144" s="7">
        <f t="shared" si="1"/>
        <v>43044</v>
      </c>
      <c r="D2144" s="1" t="str">
        <f t="array" ref="D2144">IF(ISBLANK(XLOOKUP(D$3,daily_items,XLOOKUP($C2144,daily_dates,big_daily_table))),NA(),XLOOKUP(D$3,daily_items,XLOOKUP($C2144,daily_dates,big_daily_table)))</f>
        <v>#N/A</v>
      </c>
      <c r="E2144" s="1" t="str">
        <f t="array" ref="E2144">IF(ISBLANK(XLOOKUP(E$3,daily_items,XLOOKUP($C2144,daily_dates,big_daily_table))),NA(),XLOOKUP(E$3,daily_items,XLOOKUP($C2144,daily_dates,big_daily_table)))</f>
        <v>#N/A</v>
      </c>
    </row>
    <row r="2145" ht="14.25" customHeight="1">
      <c r="B2145" s="7">
        <v>43050.0</v>
      </c>
      <c r="C2145" s="7">
        <f t="shared" si="1"/>
        <v>43044</v>
      </c>
      <c r="D2145" s="1" t="str">
        <f t="array" ref="D2145">IF(ISBLANK(XLOOKUP(D$3,daily_items,XLOOKUP($C2145,daily_dates,big_daily_table))),NA(),XLOOKUP(D$3,daily_items,XLOOKUP($C2145,daily_dates,big_daily_table)))</f>
        <v>#N/A</v>
      </c>
      <c r="E2145" s="1" t="str">
        <f t="array" ref="E2145">IF(ISBLANK(XLOOKUP(E$3,daily_items,XLOOKUP($C2145,daily_dates,big_daily_table))),NA(),XLOOKUP(E$3,daily_items,XLOOKUP($C2145,daily_dates,big_daily_table)))</f>
        <v>#N/A</v>
      </c>
    </row>
    <row r="2146" ht="14.25" customHeight="1">
      <c r="B2146" s="7">
        <v>43051.0</v>
      </c>
      <c r="C2146" s="7">
        <f t="shared" si="1"/>
        <v>43051</v>
      </c>
      <c r="D2146" s="1" t="str">
        <f t="array" ref="D2146">IF(ISBLANK(XLOOKUP(D$3,daily_items,XLOOKUP($C2146,daily_dates,big_daily_table))),NA(),XLOOKUP(D$3,daily_items,XLOOKUP($C2146,daily_dates,big_daily_table)))</f>
        <v>#N/A</v>
      </c>
      <c r="E2146" s="1" t="str">
        <f t="array" ref="E2146">IF(ISBLANK(XLOOKUP(E$3,daily_items,XLOOKUP($C2146,daily_dates,big_daily_table))),NA(),XLOOKUP(E$3,daily_items,XLOOKUP($C2146,daily_dates,big_daily_table)))</f>
        <v>#N/A</v>
      </c>
    </row>
    <row r="2147" ht="14.25" customHeight="1">
      <c r="B2147" s="7">
        <v>43052.0</v>
      </c>
      <c r="C2147" s="7">
        <f t="shared" si="1"/>
        <v>43051</v>
      </c>
      <c r="D2147" s="1" t="str">
        <f t="array" ref="D2147">IF(ISBLANK(XLOOKUP(D$3,daily_items,XLOOKUP($C2147,daily_dates,big_daily_table))),NA(),XLOOKUP(D$3,daily_items,XLOOKUP($C2147,daily_dates,big_daily_table)))</f>
        <v>#N/A</v>
      </c>
      <c r="E2147" s="1" t="str">
        <f t="array" ref="E2147">IF(ISBLANK(XLOOKUP(E$3,daily_items,XLOOKUP($C2147,daily_dates,big_daily_table))),NA(),XLOOKUP(E$3,daily_items,XLOOKUP($C2147,daily_dates,big_daily_table)))</f>
        <v>#N/A</v>
      </c>
    </row>
    <row r="2148" ht="14.25" customHeight="1">
      <c r="B2148" s="7">
        <v>43053.0</v>
      </c>
      <c r="C2148" s="7">
        <f t="shared" si="1"/>
        <v>43051</v>
      </c>
      <c r="D2148" s="1" t="str">
        <f t="array" ref="D2148">IF(ISBLANK(XLOOKUP(D$3,daily_items,XLOOKUP($C2148,daily_dates,big_daily_table))),NA(),XLOOKUP(D$3,daily_items,XLOOKUP($C2148,daily_dates,big_daily_table)))</f>
        <v>#N/A</v>
      </c>
      <c r="E2148" s="1" t="str">
        <f t="array" ref="E2148">IF(ISBLANK(XLOOKUP(E$3,daily_items,XLOOKUP($C2148,daily_dates,big_daily_table))),NA(),XLOOKUP(E$3,daily_items,XLOOKUP($C2148,daily_dates,big_daily_table)))</f>
        <v>#N/A</v>
      </c>
    </row>
    <row r="2149" ht="14.25" customHeight="1">
      <c r="B2149" s="7">
        <v>43054.0</v>
      </c>
      <c r="C2149" s="7">
        <f t="shared" si="1"/>
        <v>43051</v>
      </c>
      <c r="D2149" s="1" t="str">
        <f t="array" ref="D2149">IF(ISBLANK(XLOOKUP(D$3,daily_items,XLOOKUP($C2149,daily_dates,big_daily_table))),NA(),XLOOKUP(D$3,daily_items,XLOOKUP($C2149,daily_dates,big_daily_table)))</f>
        <v>#N/A</v>
      </c>
      <c r="E2149" s="1" t="str">
        <f t="array" ref="E2149">IF(ISBLANK(XLOOKUP(E$3,daily_items,XLOOKUP($C2149,daily_dates,big_daily_table))),NA(),XLOOKUP(E$3,daily_items,XLOOKUP($C2149,daily_dates,big_daily_table)))</f>
        <v>#N/A</v>
      </c>
    </row>
    <row r="2150" ht="14.25" customHeight="1">
      <c r="B2150" s="7">
        <v>43055.0</v>
      </c>
      <c r="C2150" s="7">
        <f t="shared" si="1"/>
        <v>43051</v>
      </c>
      <c r="D2150" s="1" t="str">
        <f t="array" ref="D2150">IF(ISBLANK(XLOOKUP(D$3,daily_items,XLOOKUP($C2150,daily_dates,big_daily_table))),NA(),XLOOKUP(D$3,daily_items,XLOOKUP($C2150,daily_dates,big_daily_table)))</f>
        <v>#N/A</v>
      </c>
      <c r="E2150" s="1" t="str">
        <f t="array" ref="E2150">IF(ISBLANK(XLOOKUP(E$3,daily_items,XLOOKUP($C2150,daily_dates,big_daily_table))),NA(),XLOOKUP(E$3,daily_items,XLOOKUP($C2150,daily_dates,big_daily_table)))</f>
        <v>#N/A</v>
      </c>
    </row>
    <row r="2151" ht="14.25" customHeight="1">
      <c r="B2151" s="7">
        <v>43056.0</v>
      </c>
      <c r="C2151" s="7">
        <f t="shared" si="1"/>
        <v>43051</v>
      </c>
      <c r="D2151" s="1" t="str">
        <f t="array" ref="D2151">IF(ISBLANK(XLOOKUP(D$3,daily_items,XLOOKUP($C2151,daily_dates,big_daily_table))),NA(),XLOOKUP(D$3,daily_items,XLOOKUP($C2151,daily_dates,big_daily_table)))</f>
        <v>#N/A</v>
      </c>
      <c r="E2151" s="1" t="str">
        <f t="array" ref="E2151">IF(ISBLANK(XLOOKUP(E$3,daily_items,XLOOKUP($C2151,daily_dates,big_daily_table))),NA(),XLOOKUP(E$3,daily_items,XLOOKUP($C2151,daily_dates,big_daily_table)))</f>
        <v>#N/A</v>
      </c>
    </row>
    <row r="2152" ht="14.25" customHeight="1">
      <c r="B2152" s="7">
        <v>43057.0</v>
      </c>
      <c r="C2152" s="7">
        <f t="shared" si="1"/>
        <v>43051</v>
      </c>
      <c r="D2152" s="1" t="str">
        <f t="array" ref="D2152">IF(ISBLANK(XLOOKUP(D$3,daily_items,XLOOKUP($C2152,daily_dates,big_daily_table))),NA(),XLOOKUP(D$3,daily_items,XLOOKUP($C2152,daily_dates,big_daily_table)))</f>
        <v>#N/A</v>
      </c>
      <c r="E2152" s="1" t="str">
        <f t="array" ref="E2152">IF(ISBLANK(XLOOKUP(E$3,daily_items,XLOOKUP($C2152,daily_dates,big_daily_table))),NA(),XLOOKUP(E$3,daily_items,XLOOKUP($C2152,daily_dates,big_daily_table)))</f>
        <v>#N/A</v>
      </c>
    </row>
    <row r="2153" ht="14.25" customHeight="1">
      <c r="B2153" s="7">
        <v>43058.0</v>
      </c>
      <c r="C2153" s="7">
        <f t="shared" si="1"/>
        <v>43058</v>
      </c>
      <c r="D2153" s="1" t="str">
        <f t="array" ref="D2153">IF(ISBLANK(XLOOKUP(D$3,daily_items,XLOOKUP($C2153,daily_dates,big_daily_table))),NA(),XLOOKUP(D$3,daily_items,XLOOKUP($C2153,daily_dates,big_daily_table)))</f>
        <v>#N/A</v>
      </c>
      <c r="E2153" s="1" t="str">
        <f t="array" ref="E2153">IF(ISBLANK(XLOOKUP(E$3,daily_items,XLOOKUP($C2153,daily_dates,big_daily_table))),NA(),XLOOKUP(E$3,daily_items,XLOOKUP($C2153,daily_dates,big_daily_table)))</f>
        <v>#N/A</v>
      </c>
    </row>
    <row r="2154" ht="14.25" customHeight="1">
      <c r="B2154" s="7">
        <v>43059.0</v>
      </c>
      <c r="C2154" s="7">
        <f t="shared" si="1"/>
        <v>43058</v>
      </c>
      <c r="D2154" s="1" t="str">
        <f t="array" ref="D2154">IF(ISBLANK(XLOOKUP(D$3,daily_items,XLOOKUP($C2154,daily_dates,big_daily_table))),NA(),XLOOKUP(D$3,daily_items,XLOOKUP($C2154,daily_dates,big_daily_table)))</f>
        <v>#N/A</v>
      </c>
      <c r="E2154" s="1" t="str">
        <f t="array" ref="E2154">IF(ISBLANK(XLOOKUP(E$3,daily_items,XLOOKUP($C2154,daily_dates,big_daily_table))),NA(),XLOOKUP(E$3,daily_items,XLOOKUP($C2154,daily_dates,big_daily_table)))</f>
        <v>#N/A</v>
      </c>
    </row>
    <row r="2155" ht="14.25" customHeight="1">
      <c r="B2155" s="7">
        <v>43060.0</v>
      </c>
      <c r="C2155" s="7">
        <f t="shared" si="1"/>
        <v>43058</v>
      </c>
      <c r="D2155" s="1" t="str">
        <f t="array" ref="D2155">IF(ISBLANK(XLOOKUP(D$3,daily_items,XLOOKUP($C2155,daily_dates,big_daily_table))),NA(),XLOOKUP(D$3,daily_items,XLOOKUP($C2155,daily_dates,big_daily_table)))</f>
        <v>#N/A</v>
      </c>
      <c r="E2155" s="1" t="str">
        <f t="array" ref="E2155">IF(ISBLANK(XLOOKUP(E$3,daily_items,XLOOKUP($C2155,daily_dates,big_daily_table))),NA(),XLOOKUP(E$3,daily_items,XLOOKUP($C2155,daily_dates,big_daily_table)))</f>
        <v>#N/A</v>
      </c>
    </row>
    <row r="2156" ht="14.25" customHeight="1">
      <c r="B2156" s="7">
        <v>43061.0</v>
      </c>
      <c r="C2156" s="7">
        <f t="shared" si="1"/>
        <v>43058</v>
      </c>
      <c r="D2156" s="1" t="str">
        <f t="array" ref="D2156">IF(ISBLANK(XLOOKUP(D$3,daily_items,XLOOKUP($C2156,daily_dates,big_daily_table))),NA(),XLOOKUP(D$3,daily_items,XLOOKUP($C2156,daily_dates,big_daily_table)))</f>
        <v>#N/A</v>
      </c>
      <c r="E2156" s="1" t="str">
        <f t="array" ref="E2156">IF(ISBLANK(XLOOKUP(E$3,daily_items,XLOOKUP($C2156,daily_dates,big_daily_table))),NA(),XLOOKUP(E$3,daily_items,XLOOKUP($C2156,daily_dates,big_daily_table)))</f>
        <v>#N/A</v>
      </c>
    </row>
    <row r="2157" ht="14.25" customHeight="1">
      <c r="B2157" s="7">
        <v>43062.0</v>
      </c>
      <c r="C2157" s="7">
        <f t="shared" si="1"/>
        <v>43058</v>
      </c>
      <c r="D2157" s="1" t="str">
        <f t="array" ref="D2157">IF(ISBLANK(XLOOKUP(D$3,daily_items,XLOOKUP($C2157,daily_dates,big_daily_table))),NA(),XLOOKUP(D$3,daily_items,XLOOKUP($C2157,daily_dates,big_daily_table)))</f>
        <v>#N/A</v>
      </c>
      <c r="E2157" s="1" t="str">
        <f t="array" ref="E2157">IF(ISBLANK(XLOOKUP(E$3,daily_items,XLOOKUP($C2157,daily_dates,big_daily_table))),NA(),XLOOKUP(E$3,daily_items,XLOOKUP($C2157,daily_dates,big_daily_table)))</f>
        <v>#N/A</v>
      </c>
    </row>
    <row r="2158" ht="14.25" customHeight="1">
      <c r="B2158" s="7">
        <v>43063.0</v>
      </c>
      <c r="C2158" s="7">
        <f t="shared" si="1"/>
        <v>43058</v>
      </c>
      <c r="D2158" s="1" t="str">
        <f t="array" ref="D2158">IF(ISBLANK(XLOOKUP(D$3,daily_items,XLOOKUP($C2158,daily_dates,big_daily_table))),NA(),XLOOKUP(D$3,daily_items,XLOOKUP($C2158,daily_dates,big_daily_table)))</f>
        <v>#N/A</v>
      </c>
      <c r="E2158" s="1" t="str">
        <f t="array" ref="E2158">IF(ISBLANK(XLOOKUP(E$3,daily_items,XLOOKUP($C2158,daily_dates,big_daily_table))),NA(),XLOOKUP(E$3,daily_items,XLOOKUP($C2158,daily_dates,big_daily_table)))</f>
        <v>#N/A</v>
      </c>
    </row>
    <row r="2159" ht="14.25" customHeight="1">
      <c r="B2159" s="7">
        <v>43064.0</v>
      </c>
      <c r="C2159" s="7">
        <f t="shared" si="1"/>
        <v>43058</v>
      </c>
      <c r="D2159" s="1" t="str">
        <f t="array" ref="D2159">IF(ISBLANK(XLOOKUP(D$3,daily_items,XLOOKUP($C2159,daily_dates,big_daily_table))),NA(),XLOOKUP(D$3,daily_items,XLOOKUP($C2159,daily_dates,big_daily_table)))</f>
        <v>#N/A</v>
      </c>
      <c r="E2159" s="1" t="str">
        <f t="array" ref="E2159">IF(ISBLANK(XLOOKUP(E$3,daily_items,XLOOKUP($C2159,daily_dates,big_daily_table))),NA(),XLOOKUP(E$3,daily_items,XLOOKUP($C2159,daily_dates,big_daily_table)))</f>
        <v>#N/A</v>
      </c>
    </row>
    <row r="2160" ht="14.25" customHeight="1">
      <c r="B2160" s="7">
        <v>43065.0</v>
      </c>
      <c r="C2160" s="7">
        <f t="shared" si="1"/>
        <v>43065</v>
      </c>
      <c r="D2160" s="1" t="str">
        <f t="array" ref="D2160">IF(ISBLANK(XLOOKUP(D$3,daily_items,XLOOKUP($C2160,daily_dates,big_daily_table))),NA(),XLOOKUP(D$3,daily_items,XLOOKUP($C2160,daily_dates,big_daily_table)))</f>
        <v>#N/A</v>
      </c>
      <c r="E2160" s="1" t="str">
        <f t="array" ref="E2160">IF(ISBLANK(XLOOKUP(E$3,daily_items,XLOOKUP($C2160,daily_dates,big_daily_table))),NA(),XLOOKUP(E$3,daily_items,XLOOKUP($C2160,daily_dates,big_daily_table)))</f>
        <v>#N/A</v>
      </c>
    </row>
    <row r="2161" ht="14.25" customHeight="1">
      <c r="B2161" s="7">
        <v>43066.0</v>
      </c>
      <c r="C2161" s="7">
        <f t="shared" si="1"/>
        <v>43065</v>
      </c>
      <c r="D2161" s="1" t="str">
        <f t="array" ref="D2161">IF(ISBLANK(XLOOKUP(D$3,daily_items,XLOOKUP($C2161,daily_dates,big_daily_table))),NA(),XLOOKUP(D$3,daily_items,XLOOKUP($C2161,daily_dates,big_daily_table)))</f>
        <v>#N/A</v>
      </c>
      <c r="E2161" s="1" t="str">
        <f t="array" ref="E2161">IF(ISBLANK(XLOOKUP(E$3,daily_items,XLOOKUP($C2161,daily_dates,big_daily_table))),NA(),XLOOKUP(E$3,daily_items,XLOOKUP($C2161,daily_dates,big_daily_table)))</f>
        <v>#N/A</v>
      </c>
    </row>
    <row r="2162" ht="14.25" customHeight="1">
      <c r="B2162" s="7">
        <v>43067.0</v>
      </c>
      <c r="C2162" s="7">
        <f t="shared" si="1"/>
        <v>43065</v>
      </c>
      <c r="D2162" s="1" t="str">
        <f t="array" ref="D2162">IF(ISBLANK(XLOOKUP(D$3,daily_items,XLOOKUP($C2162,daily_dates,big_daily_table))),NA(),XLOOKUP(D$3,daily_items,XLOOKUP($C2162,daily_dates,big_daily_table)))</f>
        <v>#N/A</v>
      </c>
      <c r="E2162" s="1" t="str">
        <f t="array" ref="E2162">IF(ISBLANK(XLOOKUP(E$3,daily_items,XLOOKUP($C2162,daily_dates,big_daily_table))),NA(),XLOOKUP(E$3,daily_items,XLOOKUP($C2162,daily_dates,big_daily_table)))</f>
        <v>#N/A</v>
      </c>
    </row>
    <row r="2163" ht="14.25" customHeight="1">
      <c r="B2163" s="7">
        <v>43068.0</v>
      </c>
      <c r="C2163" s="7">
        <f t="shared" si="1"/>
        <v>43065</v>
      </c>
      <c r="D2163" s="1" t="str">
        <f t="array" ref="D2163">IF(ISBLANK(XLOOKUP(D$3,daily_items,XLOOKUP($C2163,daily_dates,big_daily_table))),NA(),XLOOKUP(D$3,daily_items,XLOOKUP($C2163,daily_dates,big_daily_table)))</f>
        <v>#N/A</v>
      </c>
      <c r="E2163" s="1" t="str">
        <f t="array" ref="E2163">IF(ISBLANK(XLOOKUP(E$3,daily_items,XLOOKUP($C2163,daily_dates,big_daily_table))),NA(),XLOOKUP(E$3,daily_items,XLOOKUP($C2163,daily_dates,big_daily_table)))</f>
        <v>#N/A</v>
      </c>
    </row>
    <row r="2164" ht="14.25" customHeight="1">
      <c r="B2164" s="7">
        <v>43069.0</v>
      </c>
      <c r="C2164" s="7">
        <f t="shared" si="1"/>
        <v>43065</v>
      </c>
      <c r="D2164" s="1" t="str">
        <f t="array" ref="D2164">IF(ISBLANK(XLOOKUP(D$3,daily_items,XLOOKUP($C2164,daily_dates,big_daily_table))),NA(),XLOOKUP(D$3,daily_items,XLOOKUP($C2164,daily_dates,big_daily_table)))</f>
        <v>#N/A</v>
      </c>
      <c r="E2164" s="1" t="str">
        <f t="array" ref="E2164">IF(ISBLANK(XLOOKUP(E$3,daily_items,XLOOKUP($C2164,daily_dates,big_daily_table))),NA(),XLOOKUP(E$3,daily_items,XLOOKUP($C2164,daily_dates,big_daily_table)))</f>
        <v>#N/A</v>
      </c>
    </row>
    <row r="2165" ht="14.25" customHeight="1">
      <c r="B2165" s="7">
        <v>43070.0</v>
      </c>
      <c r="C2165" s="7">
        <f t="shared" si="1"/>
        <v>43065</v>
      </c>
      <c r="D2165" s="1" t="str">
        <f t="array" ref="D2165">IF(ISBLANK(XLOOKUP(D$3,daily_items,XLOOKUP($C2165,daily_dates,big_daily_table))),NA(),XLOOKUP(D$3,daily_items,XLOOKUP($C2165,daily_dates,big_daily_table)))</f>
        <v>#N/A</v>
      </c>
      <c r="E2165" s="1" t="str">
        <f t="array" ref="E2165">IF(ISBLANK(XLOOKUP(E$3,daily_items,XLOOKUP($C2165,daily_dates,big_daily_table))),NA(),XLOOKUP(E$3,daily_items,XLOOKUP($C2165,daily_dates,big_daily_table)))</f>
        <v>#N/A</v>
      </c>
    </row>
    <row r="2166" ht="14.25" customHeight="1">
      <c r="B2166" s="7">
        <v>43071.0</v>
      </c>
      <c r="C2166" s="7">
        <f t="shared" si="1"/>
        <v>43065</v>
      </c>
      <c r="D2166" s="1" t="str">
        <f t="array" ref="D2166">IF(ISBLANK(XLOOKUP(D$3,daily_items,XLOOKUP($C2166,daily_dates,big_daily_table))),NA(),XLOOKUP(D$3,daily_items,XLOOKUP($C2166,daily_dates,big_daily_table)))</f>
        <v>#N/A</v>
      </c>
      <c r="E2166" s="1" t="str">
        <f t="array" ref="E2166">IF(ISBLANK(XLOOKUP(E$3,daily_items,XLOOKUP($C2166,daily_dates,big_daily_table))),NA(),XLOOKUP(E$3,daily_items,XLOOKUP($C2166,daily_dates,big_daily_table)))</f>
        <v>#N/A</v>
      </c>
    </row>
    <row r="2167" ht="14.25" customHeight="1">
      <c r="B2167" s="7">
        <v>43072.0</v>
      </c>
      <c r="C2167" s="7">
        <f t="shared" si="1"/>
        <v>43072</v>
      </c>
      <c r="D2167" s="1" t="str">
        <f t="array" ref="D2167">IF(ISBLANK(XLOOKUP(D$3,daily_items,XLOOKUP($C2167,daily_dates,big_daily_table))),NA(),XLOOKUP(D$3,daily_items,XLOOKUP($C2167,daily_dates,big_daily_table)))</f>
        <v>#N/A</v>
      </c>
      <c r="E2167" s="1" t="str">
        <f t="array" ref="E2167">IF(ISBLANK(XLOOKUP(E$3,daily_items,XLOOKUP($C2167,daily_dates,big_daily_table))),NA(),XLOOKUP(E$3,daily_items,XLOOKUP($C2167,daily_dates,big_daily_table)))</f>
        <v>#N/A</v>
      </c>
    </row>
    <row r="2168" ht="14.25" customHeight="1">
      <c r="B2168" s="7">
        <v>43073.0</v>
      </c>
      <c r="C2168" s="7">
        <f t="shared" si="1"/>
        <v>43072</v>
      </c>
      <c r="D2168" s="1" t="str">
        <f t="array" ref="D2168">IF(ISBLANK(XLOOKUP(D$3,daily_items,XLOOKUP($C2168,daily_dates,big_daily_table))),NA(),XLOOKUP(D$3,daily_items,XLOOKUP($C2168,daily_dates,big_daily_table)))</f>
        <v>#N/A</v>
      </c>
      <c r="E2168" s="1" t="str">
        <f t="array" ref="E2168">IF(ISBLANK(XLOOKUP(E$3,daily_items,XLOOKUP($C2168,daily_dates,big_daily_table))),NA(),XLOOKUP(E$3,daily_items,XLOOKUP($C2168,daily_dates,big_daily_table)))</f>
        <v>#N/A</v>
      </c>
    </row>
    <row r="2169" ht="14.25" customHeight="1">
      <c r="B2169" s="7">
        <v>43074.0</v>
      </c>
      <c r="C2169" s="7">
        <f t="shared" si="1"/>
        <v>43072</v>
      </c>
      <c r="D2169" s="1" t="str">
        <f t="array" ref="D2169">IF(ISBLANK(XLOOKUP(D$3,daily_items,XLOOKUP($C2169,daily_dates,big_daily_table))),NA(),XLOOKUP(D$3,daily_items,XLOOKUP($C2169,daily_dates,big_daily_table)))</f>
        <v>#N/A</v>
      </c>
      <c r="E2169" s="1" t="str">
        <f t="array" ref="E2169">IF(ISBLANK(XLOOKUP(E$3,daily_items,XLOOKUP($C2169,daily_dates,big_daily_table))),NA(),XLOOKUP(E$3,daily_items,XLOOKUP($C2169,daily_dates,big_daily_table)))</f>
        <v>#N/A</v>
      </c>
    </row>
    <row r="2170" ht="14.25" customHeight="1">
      <c r="B2170" s="7">
        <v>43075.0</v>
      </c>
      <c r="C2170" s="7">
        <f t="shared" si="1"/>
        <v>43072</v>
      </c>
      <c r="D2170" s="1" t="str">
        <f t="array" ref="D2170">IF(ISBLANK(XLOOKUP(D$3,daily_items,XLOOKUP($C2170,daily_dates,big_daily_table))),NA(),XLOOKUP(D$3,daily_items,XLOOKUP($C2170,daily_dates,big_daily_table)))</f>
        <v>#N/A</v>
      </c>
      <c r="E2170" s="1" t="str">
        <f t="array" ref="E2170">IF(ISBLANK(XLOOKUP(E$3,daily_items,XLOOKUP($C2170,daily_dates,big_daily_table))),NA(),XLOOKUP(E$3,daily_items,XLOOKUP($C2170,daily_dates,big_daily_table)))</f>
        <v>#N/A</v>
      </c>
    </row>
    <row r="2171" ht="14.25" customHeight="1">
      <c r="B2171" s="7">
        <v>43076.0</v>
      </c>
      <c r="C2171" s="7">
        <f t="shared" si="1"/>
        <v>43072</v>
      </c>
      <c r="D2171" s="1" t="str">
        <f t="array" ref="D2171">IF(ISBLANK(XLOOKUP(D$3,daily_items,XLOOKUP($C2171,daily_dates,big_daily_table))),NA(),XLOOKUP(D$3,daily_items,XLOOKUP($C2171,daily_dates,big_daily_table)))</f>
        <v>#N/A</v>
      </c>
      <c r="E2171" s="1" t="str">
        <f t="array" ref="E2171">IF(ISBLANK(XLOOKUP(E$3,daily_items,XLOOKUP($C2171,daily_dates,big_daily_table))),NA(),XLOOKUP(E$3,daily_items,XLOOKUP($C2171,daily_dates,big_daily_table)))</f>
        <v>#N/A</v>
      </c>
    </row>
    <row r="2172" ht="14.25" customHeight="1">
      <c r="B2172" s="7">
        <v>43077.0</v>
      </c>
      <c r="C2172" s="7">
        <f t="shared" si="1"/>
        <v>43072</v>
      </c>
      <c r="D2172" s="1" t="str">
        <f t="array" ref="D2172">IF(ISBLANK(XLOOKUP(D$3,daily_items,XLOOKUP($C2172,daily_dates,big_daily_table))),NA(),XLOOKUP(D$3,daily_items,XLOOKUP($C2172,daily_dates,big_daily_table)))</f>
        <v>#N/A</v>
      </c>
      <c r="E2172" s="1" t="str">
        <f t="array" ref="E2172">IF(ISBLANK(XLOOKUP(E$3,daily_items,XLOOKUP($C2172,daily_dates,big_daily_table))),NA(),XLOOKUP(E$3,daily_items,XLOOKUP($C2172,daily_dates,big_daily_table)))</f>
        <v>#N/A</v>
      </c>
    </row>
    <row r="2173" ht="14.25" customHeight="1">
      <c r="B2173" s="7">
        <v>43078.0</v>
      </c>
      <c r="C2173" s="7">
        <f t="shared" si="1"/>
        <v>43072</v>
      </c>
      <c r="D2173" s="1" t="str">
        <f t="array" ref="D2173">IF(ISBLANK(XLOOKUP(D$3,daily_items,XLOOKUP($C2173,daily_dates,big_daily_table))),NA(),XLOOKUP(D$3,daily_items,XLOOKUP($C2173,daily_dates,big_daily_table)))</f>
        <v>#N/A</v>
      </c>
      <c r="E2173" s="1" t="str">
        <f t="array" ref="E2173">IF(ISBLANK(XLOOKUP(E$3,daily_items,XLOOKUP($C2173,daily_dates,big_daily_table))),NA(),XLOOKUP(E$3,daily_items,XLOOKUP($C2173,daily_dates,big_daily_table)))</f>
        <v>#N/A</v>
      </c>
    </row>
    <row r="2174" ht="14.25" customHeight="1">
      <c r="B2174" s="7">
        <v>43079.0</v>
      </c>
      <c r="C2174" s="7">
        <f t="shared" si="1"/>
        <v>43079</v>
      </c>
      <c r="D2174" s="1" t="str">
        <f t="array" ref="D2174">IF(ISBLANK(XLOOKUP(D$3,daily_items,XLOOKUP($C2174,daily_dates,big_daily_table))),NA(),XLOOKUP(D$3,daily_items,XLOOKUP($C2174,daily_dates,big_daily_table)))</f>
        <v>#N/A</v>
      </c>
      <c r="E2174" s="1" t="str">
        <f t="array" ref="E2174">IF(ISBLANK(XLOOKUP(E$3,daily_items,XLOOKUP($C2174,daily_dates,big_daily_table))),NA(),XLOOKUP(E$3,daily_items,XLOOKUP($C2174,daily_dates,big_daily_table)))</f>
        <v>#N/A</v>
      </c>
    </row>
    <row r="2175" ht="14.25" customHeight="1">
      <c r="B2175" s="7">
        <v>43080.0</v>
      </c>
      <c r="C2175" s="7">
        <f t="shared" si="1"/>
        <v>43079</v>
      </c>
      <c r="D2175" s="1" t="str">
        <f t="array" ref="D2175">IF(ISBLANK(XLOOKUP(D$3,daily_items,XLOOKUP($C2175,daily_dates,big_daily_table))),NA(),XLOOKUP(D$3,daily_items,XLOOKUP($C2175,daily_dates,big_daily_table)))</f>
        <v>#N/A</v>
      </c>
      <c r="E2175" s="1" t="str">
        <f t="array" ref="E2175">IF(ISBLANK(XLOOKUP(E$3,daily_items,XLOOKUP($C2175,daily_dates,big_daily_table))),NA(),XLOOKUP(E$3,daily_items,XLOOKUP($C2175,daily_dates,big_daily_table)))</f>
        <v>#N/A</v>
      </c>
    </row>
    <row r="2176" ht="14.25" customHeight="1">
      <c r="B2176" s="7">
        <v>43081.0</v>
      </c>
      <c r="C2176" s="7">
        <f t="shared" si="1"/>
        <v>43079</v>
      </c>
      <c r="D2176" s="1" t="str">
        <f t="array" ref="D2176">IF(ISBLANK(XLOOKUP(D$3,daily_items,XLOOKUP($C2176,daily_dates,big_daily_table))),NA(),XLOOKUP(D$3,daily_items,XLOOKUP($C2176,daily_dates,big_daily_table)))</f>
        <v>#N/A</v>
      </c>
      <c r="E2176" s="1" t="str">
        <f t="array" ref="E2176">IF(ISBLANK(XLOOKUP(E$3,daily_items,XLOOKUP($C2176,daily_dates,big_daily_table))),NA(),XLOOKUP(E$3,daily_items,XLOOKUP($C2176,daily_dates,big_daily_table)))</f>
        <v>#N/A</v>
      </c>
    </row>
    <row r="2177" ht="14.25" customHeight="1">
      <c r="B2177" s="7">
        <v>43082.0</v>
      </c>
      <c r="C2177" s="7">
        <f t="shared" si="1"/>
        <v>43079</v>
      </c>
      <c r="D2177" s="1" t="str">
        <f t="array" ref="D2177">IF(ISBLANK(XLOOKUP(D$3,daily_items,XLOOKUP($C2177,daily_dates,big_daily_table))),NA(),XLOOKUP(D$3,daily_items,XLOOKUP($C2177,daily_dates,big_daily_table)))</f>
        <v>#N/A</v>
      </c>
      <c r="E2177" s="1" t="str">
        <f t="array" ref="E2177">IF(ISBLANK(XLOOKUP(E$3,daily_items,XLOOKUP($C2177,daily_dates,big_daily_table))),NA(),XLOOKUP(E$3,daily_items,XLOOKUP($C2177,daily_dates,big_daily_table)))</f>
        <v>#N/A</v>
      </c>
    </row>
    <row r="2178" ht="14.25" customHeight="1">
      <c r="B2178" s="7">
        <v>43083.0</v>
      </c>
      <c r="C2178" s="7">
        <f t="shared" si="1"/>
        <v>43079</v>
      </c>
      <c r="D2178" s="1" t="str">
        <f t="array" ref="D2178">IF(ISBLANK(XLOOKUP(D$3,daily_items,XLOOKUP($C2178,daily_dates,big_daily_table))),NA(),XLOOKUP(D$3,daily_items,XLOOKUP($C2178,daily_dates,big_daily_table)))</f>
        <v>#N/A</v>
      </c>
      <c r="E2178" s="1" t="str">
        <f t="array" ref="E2178">IF(ISBLANK(XLOOKUP(E$3,daily_items,XLOOKUP($C2178,daily_dates,big_daily_table))),NA(),XLOOKUP(E$3,daily_items,XLOOKUP($C2178,daily_dates,big_daily_table)))</f>
        <v>#N/A</v>
      </c>
    </row>
    <row r="2179" ht="14.25" customHeight="1">
      <c r="B2179" s="7">
        <v>43084.0</v>
      </c>
      <c r="C2179" s="7">
        <f t="shared" si="1"/>
        <v>43079</v>
      </c>
      <c r="D2179" s="1" t="str">
        <f t="array" ref="D2179">IF(ISBLANK(XLOOKUP(D$3,daily_items,XLOOKUP($C2179,daily_dates,big_daily_table))),NA(),XLOOKUP(D$3,daily_items,XLOOKUP($C2179,daily_dates,big_daily_table)))</f>
        <v>#N/A</v>
      </c>
      <c r="E2179" s="1" t="str">
        <f t="array" ref="E2179">IF(ISBLANK(XLOOKUP(E$3,daily_items,XLOOKUP($C2179,daily_dates,big_daily_table))),NA(),XLOOKUP(E$3,daily_items,XLOOKUP($C2179,daily_dates,big_daily_table)))</f>
        <v>#N/A</v>
      </c>
    </row>
    <row r="2180" ht="14.25" customHeight="1">
      <c r="B2180" s="7">
        <v>43085.0</v>
      </c>
      <c r="C2180" s="7">
        <f t="shared" si="1"/>
        <v>43079</v>
      </c>
      <c r="D2180" s="1" t="str">
        <f t="array" ref="D2180">IF(ISBLANK(XLOOKUP(D$3,daily_items,XLOOKUP($C2180,daily_dates,big_daily_table))),NA(),XLOOKUP(D$3,daily_items,XLOOKUP($C2180,daily_dates,big_daily_table)))</f>
        <v>#N/A</v>
      </c>
      <c r="E2180" s="1" t="str">
        <f t="array" ref="E2180">IF(ISBLANK(XLOOKUP(E$3,daily_items,XLOOKUP($C2180,daily_dates,big_daily_table))),NA(),XLOOKUP(E$3,daily_items,XLOOKUP($C2180,daily_dates,big_daily_table)))</f>
        <v>#N/A</v>
      </c>
    </row>
    <row r="2181" ht="14.25" customHeight="1">
      <c r="B2181" s="7">
        <v>43086.0</v>
      </c>
      <c r="C2181" s="7">
        <f t="shared" si="1"/>
        <v>43086</v>
      </c>
      <c r="D2181" s="1" t="str">
        <f t="array" ref="D2181">IF(ISBLANK(XLOOKUP(D$3,daily_items,XLOOKUP($C2181,daily_dates,big_daily_table))),NA(),XLOOKUP(D$3,daily_items,XLOOKUP($C2181,daily_dates,big_daily_table)))</f>
        <v>#N/A</v>
      </c>
      <c r="E2181" s="1" t="str">
        <f t="array" ref="E2181">IF(ISBLANK(XLOOKUP(E$3,daily_items,XLOOKUP($C2181,daily_dates,big_daily_table))),NA(),XLOOKUP(E$3,daily_items,XLOOKUP($C2181,daily_dates,big_daily_table)))</f>
        <v>#N/A</v>
      </c>
    </row>
    <row r="2182" ht="14.25" customHeight="1">
      <c r="B2182" s="7">
        <v>43087.0</v>
      </c>
      <c r="C2182" s="7">
        <f t="shared" si="1"/>
        <v>43086</v>
      </c>
      <c r="D2182" s="1" t="str">
        <f t="array" ref="D2182">IF(ISBLANK(XLOOKUP(D$3,daily_items,XLOOKUP($C2182,daily_dates,big_daily_table))),NA(),XLOOKUP(D$3,daily_items,XLOOKUP($C2182,daily_dates,big_daily_table)))</f>
        <v>#N/A</v>
      </c>
      <c r="E2182" s="1" t="str">
        <f t="array" ref="E2182">IF(ISBLANK(XLOOKUP(E$3,daily_items,XLOOKUP($C2182,daily_dates,big_daily_table))),NA(),XLOOKUP(E$3,daily_items,XLOOKUP($C2182,daily_dates,big_daily_table)))</f>
        <v>#N/A</v>
      </c>
    </row>
    <row r="2183" ht="14.25" customHeight="1">
      <c r="B2183" s="7">
        <v>43088.0</v>
      </c>
      <c r="C2183" s="7">
        <f t="shared" si="1"/>
        <v>43086</v>
      </c>
      <c r="D2183" s="1" t="str">
        <f t="array" ref="D2183">IF(ISBLANK(XLOOKUP(D$3,daily_items,XLOOKUP($C2183,daily_dates,big_daily_table))),NA(),XLOOKUP(D$3,daily_items,XLOOKUP($C2183,daily_dates,big_daily_table)))</f>
        <v>#N/A</v>
      </c>
      <c r="E2183" s="1" t="str">
        <f t="array" ref="E2183">IF(ISBLANK(XLOOKUP(E$3,daily_items,XLOOKUP($C2183,daily_dates,big_daily_table))),NA(),XLOOKUP(E$3,daily_items,XLOOKUP($C2183,daily_dates,big_daily_table)))</f>
        <v>#N/A</v>
      </c>
    </row>
    <row r="2184" ht="14.25" customHeight="1">
      <c r="B2184" s="7">
        <v>43089.0</v>
      </c>
      <c r="C2184" s="7">
        <f t="shared" si="1"/>
        <v>43086</v>
      </c>
      <c r="D2184" s="1" t="str">
        <f t="array" ref="D2184">IF(ISBLANK(XLOOKUP(D$3,daily_items,XLOOKUP($C2184,daily_dates,big_daily_table))),NA(),XLOOKUP(D$3,daily_items,XLOOKUP($C2184,daily_dates,big_daily_table)))</f>
        <v>#N/A</v>
      </c>
      <c r="E2184" s="1" t="str">
        <f t="array" ref="E2184">IF(ISBLANK(XLOOKUP(E$3,daily_items,XLOOKUP($C2184,daily_dates,big_daily_table))),NA(),XLOOKUP(E$3,daily_items,XLOOKUP($C2184,daily_dates,big_daily_table)))</f>
        <v>#N/A</v>
      </c>
    </row>
    <row r="2185" ht="14.25" customHeight="1">
      <c r="B2185" s="7">
        <v>43090.0</v>
      </c>
      <c r="C2185" s="7">
        <f t="shared" si="1"/>
        <v>43086</v>
      </c>
      <c r="D2185" s="1" t="str">
        <f t="array" ref="D2185">IF(ISBLANK(XLOOKUP(D$3,daily_items,XLOOKUP($C2185,daily_dates,big_daily_table))),NA(),XLOOKUP(D$3,daily_items,XLOOKUP($C2185,daily_dates,big_daily_table)))</f>
        <v>#N/A</v>
      </c>
      <c r="E2185" s="1" t="str">
        <f t="array" ref="E2185">IF(ISBLANK(XLOOKUP(E$3,daily_items,XLOOKUP($C2185,daily_dates,big_daily_table))),NA(),XLOOKUP(E$3,daily_items,XLOOKUP($C2185,daily_dates,big_daily_table)))</f>
        <v>#N/A</v>
      </c>
    </row>
    <row r="2186" ht="14.25" customHeight="1">
      <c r="B2186" s="7">
        <v>43091.0</v>
      </c>
      <c r="C2186" s="7">
        <f t="shared" si="1"/>
        <v>43086</v>
      </c>
      <c r="D2186" s="1" t="str">
        <f t="array" ref="D2186">IF(ISBLANK(XLOOKUP(D$3,daily_items,XLOOKUP($C2186,daily_dates,big_daily_table))),NA(),XLOOKUP(D$3,daily_items,XLOOKUP($C2186,daily_dates,big_daily_table)))</f>
        <v>#N/A</v>
      </c>
      <c r="E2186" s="1" t="str">
        <f t="array" ref="E2186">IF(ISBLANK(XLOOKUP(E$3,daily_items,XLOOKUP($C2186,daily_dates,big_daily_table))),NA(),XLOOKUP(E$3,daily_items,XLOOKUP($C2186,daily_dates,big_daily_table)))</f>
        <v>#N/A</v>
      </c>
    </row>
    <row r="2187" ht="14.25" customHeight="1">
      <c r="B2187" s="7">
        <v>43092.0</v>
      </c>
      <c r="C2187" s="7">
        <f t="shared" si="1"/>
        <v>43086</v>
      </c>
      <c r="D2187" s="1" t="str">
        <f t="array" ref="D2187">IF(ISBLANK(XLOOKUP(D$3,daily_items,XLOOKUP($C2187,daily_dates,big_daily_table))),NA(),XLOOKUP(D$3,daily_items,XLOOKUP($C2187,daily_dates,big_daily_table)))</f>
        <v>#N/A</v>
      </c>
      <c r="E2187" s="1" t="str">
        <f t="array" ref="E2187">IF(ISBLANK(XLOOKUP(E$3,daily_items,XLOOKUP($C2187,daily_dates,big_daily_table))),NA(),XLOOKUP(E$3,daily_items,XLOOKUP($C2187,daily_dates,big_daily_table)))</f>
        <v>#N/A</v>
      </c>
    </row>
    <row r="2188" ht="14.25" customHeight="1">
      <c r="B2188" s="7">
        <v>43093.0</v>
      </c>
      <c r="C2188" s="7">
        <f t="shared" si="1"/>
        <v>43093</v>
      </c>
      <c r="D2188" s="1" t="str">
        <f t="array" ref="D2188">IF(ISBLANK(XLOOKUP(D$3,daily_items,XLOOKUP($C2188,daily_dates,big_daily_table))),NA(),XLOOKUP(D$3,daily_items,XLOOKUP($C2188,daily_dates,big_daily_table)))</f>
        <v>#N/A</v>
      </c>
      <c r="E2188" s="1" t="str">
        <f t="array" ref="E2188">IF(ISBLANK(XLOOKUP(E$3,daily_items,XLOOKUP($C2188,daily_dates,big_daily_table))),NA(),XLOOKUP(E$3,daily_items,XLOOKUP($C2188,daily_dates,big_daily_table)))</f>
        <v>#N/A</v>
      </c>
    </row>
    <row r="2189" ht="14.25" customHeight="1">
      <c r="B2189" s="7">
        <v>43094.0</v>
      </c>
      <c r="C2189" s="7">
        <f t="shared" si="1"/>
        <v>43093</v>
      </c>
      <c r="D2189" s="1" t="str">
        <f t="array" ref="D2189">IF(ISBLANK(XLOOKUP(D$3,daily_items,XLOOKUP($C2189,daily_dates,big_daily_table))),NA(),XLOOKUP(D$3,daily_items,XLOOKUP($C2189,daily_dates,big_daily_table)))</f>
        <v>#N/A</v>
      </c>
      <c r="E2189" s="1" t="str">
        <f t="array" ref="E2189">IF(ISBLANK(XLOOKUP(E$3,daily_items,XLOOKUP($C2189,daily_dates,big_daily_table))),NA(),XLOOKUP(E$3,daily_items,XLOOKUP($C2189,daily_dates,big_daily_table)))</f>
        <v>#N/A</v>
      </c>
    </row>
    <row r="2190" ht="14.25" customHeight="1">
      <c r="B2190" s="7">
        <v>43095.0</v>
      </c>
      <c r="C2190" s="7">
        <f t="shared" si="1"/>
        <v>43093</v>
      </c>
      <c r="D2190" s="1" t="str">
        <f t="array" ref="D2190">IF(ISBLANK(XLOOKUP(D$3,daily_items,XLOOKUP($C2190,daily_dates,big_daily_table))),NA(),XLOOKUP(D$3,daily_items,XLOOKUP($C2190,daily_dates,big_daily_table)))</f>
        <v>#N/A</v>
      </c>
      <c r="E2190" s="1" t="str">
        <f t="array" ref="E2190">IF(ISBLANK(XLOOKUP(E$3,daily_items,XLOOKUP($C2190,daily_dates,big_daily_table))),NA(),XLOOKUP(E$3,daily_items,XLOOKUP($C2190,daily_dates,big_daily_table)))</f>
        <v>#N/A</v>
      </c>
    </row>
    <row r="2191" ht="14.25" customHeight="1">
      <c r="B2191" s="7">
        <v>43096.0</v>
      </c>
      <c r="C2191" s="7">
        <f t="shared" si="1"/>
        <v>43093</v>
      </c>
      <c r="D2191" s="1" t="str">
        <f t="array" ref="D2191">IF(ISBLANK(XLOOKUP(D$3,daily_items,XLOOKUP($C2191,daily_dates,big_daily_table))),NA(),XLOOKUP(D$3,daily_items,XLOOKUP($C2191,daily_dates,big_daily_table)))</f>
        <v>#N/A</v>
      </c>
      <c r="E2191" s="1" t="str">
        <f t="array" ref="E2191">IF(ISBLANK(XLOOKUP(E$3,daily_items,XLOOKUP($C2191,daily_dates,big_daily_table))),NA(),XLOOKUP(E$3,daily_items,XLOOKUP($C2191,daily_dates,big_daily_table)))</f>
        <v>#N/A</v>
      </c>
    </row>
    <row r="2192" ht="14.25" customHeight="1">
      <c r="B2192" s="7">
        <v>43097.0</v>
      </c>
      <c r="C2192" s="7">
        <f t="shared" si="1"/>
        <v>43093</v>
      </c>
      <c r="D2192" s="1" t="str">
        <f t="array" ref="D2192">IF(ISBLANK(XLOOKUP(D$3,daily_items,XLOOKUP($C2192,daily_dates,big_daily_table))),NA(),XLOOKUP(D$3,daily_items,XLOOKUP($C2192,daily_dates,big_daily_table)))</f>
        <v>#N/A</v>
      </c>
      <c r="E2192" s="1" t="str">
        <f t="array" ref="E2192">IF(ISBLANK(XLOOKUP(E$3,daily_items,XLOOKUP($C2192,daily_dates,big_daily_table))),NA(),XLOOKUP(E$3,daily_items,XLOOKUP($C2192,daily_dates,big_daily_table)))</f>
        <v>#N/A</v>
      </c>
    </row>
    <row r="2193" ht="14.25" customHeight="1">
      <c r="B2193" s="7">
        <v>43098.0</v>
      </c>
      <c r="C2193" s="7">
        <f t="shared" si="1"/>
        <v>43093</v>
      </c>
      <c r="D2193" s="1" t="str">
        <f t="array" ref="D2193">IF(ISBLANK(XLOOKUP(D$3,daily_items,XLOOKUP($C2193,daily_dates,big_daily_table))),NA(),XLOOKUP(D$3,daily_items,XLOOKUP($C2193,daily_dates,big_daily_table)))</f>
        <v>#N/A</v>
      </c>
      <c r="E2193" s="1" t="str">
        <f t="array" ref="E2193">IF(ISBLANK(XLOOKUP(E$3,daily_items,XLOOKUP($C2193,daily_dates,big_daily_table))),NA(),XLOOKUP(E$3,daily_items,XLOOKUP($C2193,daily_dates,big_daily_table)))</f>
        <v>#N/A</v>
      </c>
    </row>
    <row r="2194" ht="14.25" customHeight="1">
      <c r="B2194" s="7">
        <v>43099.0</v>
      </c>
      <c r="C2194" s="7">
        <f t="shared" si="1"/>
        <v>43093</v>
      </c>
      <c r="D2194" s="1" t="str">
        <f t="array" ref="D2194">IF(ISBLANK(XLOOKUP(D$3,daily_items,XLOOKUP($C2194,daily_dates,big_daily_table))),NA(),XLOOKUP(D$3,daily_items,XLOOKUP($C2194,daily_dates,big_daily_table)))</f>
        <v>#N/A</v>
      </c>
      <c r="E2194" s="1" t="str">
        <f t="array" ref="E2194">IF(ISBLANK(XLOOKUP(E$3,daily_items,XLOOKUP($C2194,daily_dates,big_daily_table))),NA(),XLOOKUP(E$3,daily_items,XLOOKUP($C2194,daily_dates,big_daily_table)))</f>
        <v>#N/A</v>
      </c>
    </row>
    <row r="2195" ht="14.25" customHeight="1">
      <c r="B2195" s="7">
        <v>43100.0</v>
      </c>
      <c r="C2195" s="7">
        <f t="shared" si="1"/>
        <v>43100</v>
      </c>
      <c r="D2195" s="1" t="str">
        <f t="array" ref="D2195">IF(ISBLANK(XLOOKUP(D$3,daily_items,XLOOKUP($C2195,daily_dates,big_daily_table))),NA(),XLOOKUP(D$3,daily_items,XLOOKUP($C2195,daily_dates,big_daily_table)))</f>
        <v>#N/A</v>
      </c>
      <c r="E2195" s="1" t="str">
        <f t="array" ref="E2195">IF(ISBLANK(XLOOKUP(E$3,daily_items,XLOOKUP($C2195,daily_dates,big_daily_table))),NA(),XLOOKUP(E$3,daily_items,XLOOKUP($C2195,daily_dates,big_daily_table)))</f>
        <v>#N/A</v>
      </c>
    </row>
    <row r="2196" ht="14.25" customHeight="1">
      <c r="B2196" s="7">
        <v>43101.0</v>
      </c>
      <c r="C2196" s="7">
        <f t="shared" si="1"/>
        <v>43100</v>
      </c>
      <c r="D2196" s="1" t="str">
        <f t="array" ref="D2196">IF(ISBLANK(XLOOKUP(D$3,daily_items,XLOOKUP($C2196,daily_dates,big_daily_table))),NA(),XLOOKUP(D$3,daily_items,XLOOKUP($C2196,daily_dates,big_daily_table)))</f>
        <v>#N/A</v>
      </c>
      <c r="E2196" s="1" t="str">
        <f t="array" ref="E2196">IF(ISBLANK(XLOOKUP(E$3,daily_items,XLOOKUP($C2196,daily_dates,big_daily_table))),NA(),XLOOKUP(E$3,daily_items,XLOOKUP($C2196,daily_dates,big_daily_table)))</f>
        <v>#N/A</v>
      </c>
    </row>
    <row r="2197" ht="14.25" customHeight="1">
      <c r="B2197" s="7">
        <v>43102.0</v>
      </c>
      <c r="C2197" s="7">
        <f t="shared" si="1"/>
        <v>43100</v>
      </c>
      <c r="D2197" s="1" t="str">
        <f t="array" ref="D2197">IF(ISBLANK(XLOOKUP(D$3,daily_items,XLOOKUP($C2197,daily_dates,big_daily_table))),NA(),XLOOKUP(D$3,daily_items,XLOOKUP($C2197,daily_dates,big_daily_table)))</f>
        <v>#N/A</v>
      </c>
      <c r="E2197" s="1" t="str">
        <f t="array" ref="E2197">IF(ISBLANK(XLOOKUP(E$3,daily_items,XLOOKUP($C2197,daily_dates,big_daily_table))),NA(),XLOOKUP(E$3,daily_items,XLOOKUP($C2197,daily_dates,big_daily_table)))</f>
        <v>#N/A</v>
      </c>
    </row>
    <row r="2198" ht="14.25" customHeight="1">
      <c r="B2198" s="7">
        <v>43103.0</v>
      </c>
      <c r="C2198" s="7">
        <f t="shared" si="1"/>
        <v>43100</v>
      </c>
      <c r="D2198" s="1" t="str">
        <f t="array" ref="D2198">IF(ISBLANK(XLOOKUP(D$3,daily_items,XLOOKUP($C2198,daily_dates,big_daily_table))),NA(),XLOOKUP(D$3,daily_items,XLOOKUP($C2198,daily_dates,big_daily_table)))</f>
        <v>#N/A</v>
      </c>
      <c r="E2198" s="1" t="str">
        <f t="array" ref="E2198">IF(ISBLANK(XLOOKUP(E$3,daily_items,XLOOKUP($C2198,daily_dates,big_daily_table))),NA(),XLOOKUP(E$3,daily_items,XLOOKUP($C2198,daily_dates,big_daily_table)))</f>
        <v>#N/A</v>
      </c>
    </row>
    <row r="2199" ht="14.25" customHeight="1">
      <c r="B2199" s="7">
        <v>43104.0</v>
      </c>
      <c r="C2199" s="7">
        <f t="shared" si="1"/>
        <v>43100</v>
      </c>
      <c r="D2199" s="1" t="str">
        <f t="array" ref="D2199">IF(ISBLANK(XLOOKUP(D$3,daily_items,XLOOKUP($C2199,daily_dates,big_daily_table))),NA(),XLOOKUP(D$3,daily_items,XLOOKUP($C2199,daily_dates,big_daily_table)))</f>
        <v>#N/A</v>
      </c>
      <c r="E2199" s="1" t="str">
        <f t="array" ref="E2199">IF(ISBLANK(XLOOKUP(E$3,daily_items,XLOOKUP($C2199,daily_dates,big_daily_table))),NA(),XLOOKUP(E$3,daily_items,XLOOKUP($C2199,daily_dates,big_daily_table)))</f>
        <v>#N/A</v>
      </c>
    </row>
    <row r="2200" ht="14.25" customHeight="1">
      <c r="B2200" s="7">
        <v>43105.0</v>
      </c>
      <c r="C2200" s="7">
        <f t="shared" si="1"/>
        <v>43100</v>
      </c>
      <c r="D2200" s="1" t="str">
        <f t="array" ref="D2200">IF(ISBLANK(XLOOKUP(D$3,daily_items,XLOOKUP($C2200,daily_dates,big_daily_table))),NA(),XLOOKUP(D$3,daily_items,XLOOKUP($C2200,daily_dates,big_daily_table)))</f>
        <v>#N/A</v>
      </c>
      <c r="E2200" s="1" t="str">
        <f t="array" ref="E2200">IF(ISBLANK(XLOOKUP(E$3,daily_items,XLOOKUP($C2200,daily_dates,big_daily_table))),NA(),XLOOKUP(E$3,daily_items,XLOOKUP($C2200,daily_dates,big_daily_table)))</f>
        <v>#N/A</v>
      </c>
    </row>
    <row r="2201" ht="14.25" customHeight="1">
      <c r="B2201" s="7">
        <v>43106.0</v>
      </c>
      <c r="C2201" s="7">
        <f t="shared" si="1"/>
        <v>43100</v>
      </c>
      <c r="D2201" s="1" t="str">
        <f t="array" ref="D2201">IF(ISBLANK(XLOOKUP(D$3,daily_items,XLOOKUP($C2201,daily_dates,big_daily_table))),NA(),XLOOKUP(D$3,daily_items,XLOOKUP($C2201,daily_dates,big_daily_table)))</f>
        <v>#N/A</v>
      </c>
      <c r="E2201" s="1" t="str">
        <f t="array" ref="E2201">IF(ISBLANK(XLOOKUP(E$3,daily_items,XLOOKUP($C2201,daily_dates,big_daily_table))),NA(),XLOOKUP(E$3,daily_items,XLOOKUP($C2201,daily_dates,big_daily_table)))</f>
        <v>#N/A</v>
      </c>
    </row>
    <row r="2202" ht="14.25" customHeight="1">
      <c r="B2202" s="7">
        <v>43107.0</v>
      </c>
      <c r="C2202" s="7">
        <f t="shared" si="1"/>
        <v>43107</v>
      </c>
      <c r="D2202" s="1" t="str">
        <f t="array" ref="D2202">IF(ISBLANK(XLOOKUP(D$3,daily_items,XLOOKUP($C2202,daily_dates,big_daily_table))),NA(),XLOOKUP(D$3,daily_items,XLOOKUP($C2202,daily_dates,big_daily_table)))</f>
        <v>#N/A</v>
      </c>
      <c r="E2202" s="1" t="str">
        <f t="array" ref="E2202">IF(ISBLANK(XLOOKUP(E$3,daily_items,XLOOKUP($C2202,daily_dates,big_daily_table))),NA(),XLOOKUP(E$3,daily_items,XLOOKUP($C2202,daily_dates,big_daily_table)))</f>
        <v>#N/A</v>
      </c>
    </row>
    <row r="2203" ht="14.25" customHeight="1">
      <c r="B2203" s="7">
        <v>43108.0</v>
      </c>
      <c r="C2203" s="7">
        <f t="shared" si="1"/>
        <v>43107</v>
      </c>
      <c r="D2203" s="1" t="str">
        <f t="array" ref="D2203">IF(ISBLANK(XLOOKUP(D$3,daily_items,XLOOKUP($C2203,daily_dates,big_daily_table))),NA(),XLOOKUP(D$3,daily_items,XLOOKUP($C2203,daily_dates,big_daily_table)))</f>
        <v>#N/A</v>
      </c>
      <c r="E2203" s="1" t="str">
        <f t="array" ref="E2203">IF(ISBLANK(XLOOKUP(E$3,daily_items,XLOOKUP($C2203,daily_dates,big_daily_table))),NA(),XLOOKUP(E$3,daily_items,XLOOKUP($C2203,daily_dates,big_daily_table)))</f>
        <v>#N/A</v>
      </c>
    </row>
    <row r="2204" ht="14.25" customHeight="1">
      <c r="B2204" s="7">
        <v>43109.0</v>
      </c>
      <c r="C2204" s="7">
        <f t="shared" si="1"/>
        <v>43107</v>
      </c>
      <c r="D2204" s="1" t="str">
        <f t="array" ref="D2204">IF(ISBLANK(XLOOKUP(D$3,daily_items,XLOOKUP($C2204,daily_dates,big_daily_table))),NA(),XLOOKUP(D$3,daily_items,XLOOKUP($C2204,daily_dates,big_daily_table)))</f>
        <v>#N/A</v>
      </c>
      <c r="E2204" s="1" t="str">
        <f t="array" ref="E2204">IF(ISBLANK(XLOOKUP(E$3,daily_items,XLOOKUP($C2204,daily_dates,big_daily_table))),NA(),XLOOKUP(E$3,daily_items,XLOOKUP($C2204,daily_dates,big_daily_table)))</f>
        <v>#N/A</v>
      </c>
    </row>
    <row r="2205" ht="14.25" customHeight="1">
      <c r="B2205" s="7">
        <v>43110.0</v>
      </c>
      <c r="C2205" s="7">
        <f t="shared" si="1"/>
        <v>43107</v>
      </c>
      <c r="D2205" s="1" t="str">
        <f t="array" ref="D2205">IF(ISBLANK(XLOOKUP(D$3,daily_items,XLOOKUP($C2205,daily_dates,big_daily_table))),NA(),XLOOKUP(D$3,daily_items,XLOOKUP($C2205,daily_dates,big_daily_table)))</f>
        <v>#N/A</v>
      </c>
      <c r="E2205" s="1" t="str">
        <f t="array" ref="E2205">IF(ISBLANK(XLOOKUP(E$3,daily_items,XLOOKUP($C2205,daily_dates,big_daily_table))),NA(),XLOOKUP(E$3,daily_items,XLOOKUP($C2205,daily_dates,big_daily_table)))</f>
        <v>#N/A</v>
      </c>
    </row>
    <row r="2206" ht="14.25" customHeight="1">
      <c r="B2206" s="7">
        <v>43111.0</v>
      </c>
      <c r="C2206" s="7">
        <f t="shared" si="1"/>
        <v>43107</v>
      </c>
      <c r="D2206" s="1" t="str">
        <f t="array" ref="D2206">IF(ISBLANK(XLOOKUP(D$3,daily_items,XLOOKUP($C2206,daily_dates,big_daily_table))),NA(),XLOOKUP(D$3,daily_items,XLOOKUP($C2206,daily_dates,big_daily_table)))</f>
        <v>#N/A</v>
      </c>
      <c r="E2206" s="1" t="str">
        <f t="array" ref="E2206">IF(ISBLANK(XLOOKUP(E$3,daily_items,XLOOKUP($C2206,daily_dates,big_daily_table))),NA(),XLOOKUP(E$3,daily_items,XLOOKUP($C2206,daily_dates,big_daily_table)))</f>
        <v>#N/A</v>
      </c>
    </row>
    <row r="2207" ht="14.25" customHeight="1">
      <c r="B2207" s="7">
        <v>43112.0</v>
      </c>
      <c r="C2207" s="7">
        <f t="shared" si="1"/>
        <v>43107</v>
      </c>
      <c r="D2207" s="1" t="str">
        <f t="array" ref="D2207">IF(ISBLANK(XLOOKUP(D$3,daily_items,XLOOKUP($C2207,daily_dates,big_daily_table))),NA(),XLOOKUP(D$3,daily_items,XLOOKUP($C2207,daily_dates,big_daily_table)))</f>
        <v>#N/A</v>
      </c>
      <c r="E2207" s="1" t="str">
        <f t="array" ref="E2207">IF(ISBLANK(XLOOKUP(E$3,daily_items,XLOOKUP($C2207,daily_dates,big_daily_table))),NA(),XLOOKUP(E$3,daily_items,XLOOKUP($C2207,daily_dates,big_daily_table)))</f>
        <v>#N/A</v>
      </c>
    </row>
    <row r="2208" ht="14.25" customHeight="1">
      <c r="B2208" s="7">
        <v>43113.0</v>
      </c>
      <c r="C2208" s="7">
        <f t="shared" si="1"/>
        <v>43107</v>
      </c>
      <c r="D2208" s="1" t="str">
        <f t="array" ref="D2208">IF(ISBLANK(XLOOKUP(D$3,daily_items,XLOOKUP($C2208,daily_dates,big_daily_table))),NA(),XLOOKUP(D$3,daily_items,XLOOKUP($C2208,daily_dates,big_daily_table)))</f>
        <v>#N/A</v>
      </c>
      <c r="E2208" s="1" t="str">
        <f t="array" ref="E2208">IF(ISBLANK(XLOOKUP(E$3,daily_items,XLOOKUP($C2208,daily_dates,big_daily_table))),NA(),XLOOKUP(E$3,daily_items,XLOOKUP($C2208,daily_dates,big_daily_table)))</f>
        <v>#N/A</v>
      </c>
    </row>
    <row r="2209" ht="14.25" customHeight="1">
      <c r="B2209" s="7">
        <v>43114.0</v>
      </c>
      <c r="C2209" s="7">
        <f t="shared" si="1"/>
        <v>43114</v>
      </c>
      <c r="D2209" s="1" t="str">
        <f t="array" ref="D2209">IF(ISBLANK(XLOOKUP(D$3,daily_items,XLOOKUP($C2209,daily_dates,big_daily_table))),NA(),XLOOKUP(D$3,daily_items,XLOOKUP($C2209,daily_dates,big_daily_table)))</f>
        <v>#N/A</v>
      </c>
      <c r="E2209" s="1" t="str">
        <f t="array" ref="E2209">IF(ISBLANK(XLOOKUP(E$3,daily_items,XLOOKUP($C2209,daily_dates,big_daily_table))),NA(),XLOOKUP(E$3,daily_items,XLOOKUP($C2209,daily_dates,big_daily_table)))</f>
        <v>#N/A</v>
      </c>
    </row>
    <row r="2210" ht="14.25" customHeight="1">
      <c r="B2210" s="7">
        <v>43115.0</v>
      </c>
      <c r="C2210" s="7">
        <f t="shared" si="1"/>
        <v>43114</v>
      </c>
      <c r="D2210" s="1" t="str">
        <f t="array" ref="D2210">IF(ISBLANK(XLOOKUP(D$3,daily_items,XLOOKUP($C2210,daily_dates,big_daily_table))),NA(),XLOOKUP(D$3,daily_items,XLOOKUP($C2210,daily_dates,big_daily_table)))</f>
        <v>#N/A</v>
      </c>
      <c r="E2210" s="1" t="str">
        <f t="array" ref="E2210">IF(ISBLANK(XLOOKUP(E$3,daily_items,XLOOKUP($C2210,daily_dates,big_daily_table))),NA(),XLOOKUP(E$3,daily_items,XLOOKUP($C2210,daily_dates,big_daily_table)))</f>
        <v>#N/A</v>
      </c>
    </row>
    <row r="2211" ht="14.25" customHeight="1">
      <c r="B2211" s="7">
        <v>43116.0</v>
      </c>
      <c r="C2211" s="7">
        <f t="shared" si="1"/>
        <v>43114</v>
      </c>
      <c r="D2211" s="1" t="str">
        <f t="array" ref="D2211">IF(ISBLANK(XLOOKUP(D$3,daily_items,XLOOKUP($C2211,daily_dates,big_daily_table))),NA(),XLOOKUP(D$3,daily_items,XLOOKUP($C2211,daily_dates,big_daily_table)))</f>
        <v>#N/A</v>
      </c>
      <c r="E2211" s="1" t="str">
        <f t="array" ref="E2211">IF(ISBLANK(XLOOKUP(E$3,daily_items,XLOOKUP($C2211,daily_dates,big_daily_table))),NA(),XLOOKUP(E$3,daily_items,XLOOKUP($C2211,daily_dates,big_daily_table)))</f>
        <v>#N/A</v>
      </c>
    </row>
    <row r="2212" ht="14.25" customHeight="1">
      <c r="B2212" s="7">
        <v>43117.0</v>
      </c>
      <c r="C2212" s="7">
        <f t="shared" si="1"/>
        <v>43114</v>
      </c>
      <c r="D2212" s="1" t="str">
        <f t="array" ref="D2212">IF(ISBLANK(XLOOKUP(D$3,daily_items,XLOOKUP($C2212,daily_dates,big_daily_table))),NA(),XLOOKUP(D$3,daily_items,XLOOKUP($C2212,daily_dates,big_daily_table)))</f>
        <v>#N/A</v>
      </c>
      <c r="E2212" s="1" t="str">
        <f t="array" ref="E2212">IF(ISBLANK(XLOOKUP(E$3,daily_items,XLOOKUP($C2212,daily_dates,big_daily_table))),NA(),XLOOKUP(E$3,daily_items,XLOOKUP($C2212,daily_dates,big_daily_table)))</f>
        <v>#N/A</v>
      </c>
    </row>
    <row r="2213" ht="14.25" customHeight="1">
      <c r="B2213" s="7">
        <v>43118.0</v>
      </c>
      <c r="C2213" s="7">
        <f t="shared" si="1"/>
        <v>43114</v>
      </c>
      <c r="D2213" s="1" t="str">
        <f t="array" ref="D2213">IF(ISBLANK(XLOOKUP(D$3,daily_items,XLOOKUP($C2213,daily_dates,big_daily_table))),NA(),XLOOKUP(D$3,daily_items,XLOOKUP($C2213,daily_dates,big_daily_table)))</f>
        <v>#N/A</v>
      </c>
      <c r="E2213" s="1" t="str">
        <f t="array" ref="E2213">IF(ISBLANK(XLOOKUP(E$3,daily_items,XLOOKUP($C2213,daily_dates,big_daily_table))),NA(),XLOOKUP(E$3,daily_items,XLOOKUP($C2213,daily_dates,big_daily_table)))</f>
        <v>#N/A</v>
      </c>
    </row>
    <row r="2214" ht="14.25" customHeight="1">
      <c r="B2214" s="7">
        <v>43119.0</v>
      </c>
      <c r="C2214" s="7">
        <f t="shared" si="1"/>
        <v>43114</v>
      </c>
      <c r="D2214" s="1" t="str">
        <f t="array" ref="D2214">IF(ISBLANK(XLOOKUP(D$3,daily_items,XLOOKUP($C2214,daily_dates,big_daily_table))),NA(),XLOOKUP(D$3,daily_items,XLOOKUP($C2214,daily_dates,big_daily_table)))</f>
        <v>#N/A</v>
      </c>
      <c r="E2214" s="1" t="str">
        <f t="array" ref="E2214">IF(ISBLANK(XLOOKUP(E$3,daily_items,XLOOKUP($C2214,daily_dates,big_daily_table))),NA(),XLOOKUP(E$3,daily_items,XLOOKUP($C2214,daily_dates,big_daily_table)))</f>
        <v>#N/A</v>
      </c>
    </row>
    <row r="2215" ht="14.25" customHeight="1">
      <c r="B2215" s="7">
        <v>43120.0</v>
      </c>
      <c r="C2215" s="7">
        <f t="shared" si="1"/>
        <v>43114</v>
      </c>
      <c r="D2215" s="1" t="str">
        <f t="array" ref="D2215">IF(ISBLANK(XLOOKUP(D$3,daily_items,XLOOKUP($C2215,daily_dates,big_daily_table))),NA(),XLOOKUP(D$3,daily_items,XLOOKUP($C2215,daily_dates,big_daily_table)))</f>
        <v>#N/A</v>
      </c>
      <c r="E2215" s="1" t="str">
        <f t="array" ref="E2215">IF(ISBLANK(XLOOKUP(E$3,daily_items,XLOOKUP($C2215,daily_dates,big_daily_table))),NA(),XLOOKUP(E$3,daily_items,XLOOKUP($C2215,daily_dates,big_daily_table)))</f>
        <v>#N/A</v>
      </c>
    </row>
    <row r="2216" ht="14.25" customHeight="1">
      <c r="B2216" s="7">
        <v>43121.0</v>
      </c>
      <c r="C2216" s="7">
        <f t="shared" si="1"/>
        <v>43121</v>
      </c>
      <c r="D2216" s="1" t="str">
        <f t="array" ref="D2216">IF(ISBLANK(XLOOKUP(D$3,daily_items,XLOOKUP($C2216,daily_dates,big_daily_table))),NA(),XLOOKUP(D$3,daily_items,XLOOKUP($C2216,daily_dates,big_daily_table)))</f>
        <v>#N/A</v>
      </c>
      <c r="E2216" s="1" t="str">
        <f t="array" ref="E2216">IF(ISBLANK(XLOOKUP(E$3,daily_items,XLOOKUP($C2216,daily_dates,big_daily_table))),NA(),XLOOKUP(E$3,daily_items,XLOOKUP($C2216,daily_dates,big_daily_table)))</f>
        <v>#N/A</v>
      </c>
    </row>
    <row r="2217" ht="14.25" customHeight="1">
      <c r="B2217" s="7">
        <v>43122.0</v>
      </c>
      <c r="C2217" s="7">
        <f t="shared" si="1"/>
        <v>43121</v>
      </c>
      <c r="D2217" s="1" t="str">
        <f t="array" ref="D2217">IF(ISBLANK(XLOOKUP(D$3,daily_items,XLOOKUP($C2217,daily_dates,big_daily_table))),NA(),XLOOKUP(D$3,daily_items,XLOOKUP($C2217,daily_dates,big_daily_table)))</f>
        <v>#N/A</v>
      </c>
      <c r="E2217" s="1" t="str">
        <f t="array" ref="E2217">IF(ISBLANK(XLOOKUP(E$3,daily_items,XLOOKUP($C2217,daily_dates,big_daily_table))),NA(),XLOOKUP(E$3,daily_items,XLOOKUP($C2217,daily_dates,big_daily_table)))</f>
        <v>#N/A</v>
      </c>
    </row>
    <row r="2218" ht="14.25" customHeight="1">
      <c r="B2218" s="7">
        <v>43123.0</v>
      </c>
      <c r="C2218" s="7">
        <f t="shared" si="1"/>
        <v>43121</v>
      </c>
      <c r="D2218" s="1" t="str">
        <f t="array" ref="D2218">IF(ISBLANK(XLOOKUP(D$3,daily_items,XLOOKUP($C2218,daily_dates,big_daily_table))),NA(),XLOOKUP(D$3,daily_items,XLOOKUP($C2218,daily_dates,big_daily_table)))</f>
        <v>#N/A</v>
      </c>
      <c r="E2218" s="1" t="str">
        <f t="array" ref="E2218">IF(ISBLANK(XLOOKUP(E$3,daily_items,XLOOKUP($C2218,daily_dates,big_daily_table))),NA(),XLOOKUP(E$3,daily_items,XLOOKUP($C2218,daily_dates,big_daily_table)))</f>
        <v>#N/A</v>
      </c>
    </row>
    <row r="2219" ht="14.25" customHeight="1">
      <c r="B2219" s="7">
        <v>43124.0</v>
      </c>
      <c r="C2219" s="7">
        <f t="shared" si="1"/>
        <v>43121</v>
      </c>
      <c r="D2219" s="1" t="str">
        <f t="array" ref="D2219">IF(ISBLANK(XLOOKUP(D$3,daily_items,XLOOKUP($C2219,daily_dates,big_daily_table))),NA(),XLOOKUP(D$3,daily_items,XLOOKUP($C2219,daily_dates,big_daily_table)))</f>
        <v>#N/A</v>
      </c>
      <c r="E2219" s="1" t="str">
        <f t="array" ref="E2219">IF(ISBLANK(XLOOKUP(E$3,daily_items,XLOOKUP($C2219,daily_dates,big_daily_table))),NA(),XLOOKUP(E$3,daily_items,XLOOKUP($C2219,daily_dates,big_daily_table)))</f>
        <v>#N/A</v>
      </c>
    </row>
    <row r="2220" ht="14.25" customHeight="1">
      <c r="B2220" s="7">
        <v>43125.0</v>
      </c>
      <c r="C2220" s="7">
        <f t="shared" si="1"/>
        <v>43121</v>
      </c>
      <c r="D2220" s="1" t="str">
        <f t="array" ref="D2220">IF(ISBLANK(XLOOKUP(D$3,daily_items,XLOOKUP($C2220,daily_dates,big_daily_table))),NA(),XLOOKUP(D$3,daily_items,XLOOKUP($C2220,daily_dates,big_daily_table)))</f>
        <v>#N/A</v>
      </c>
      <c r="E2220" s="1" t="str">
        <f t="array" ref="E2220">IF(ISBLANK(XLOOKUP(E$3,daily_items,XLOOKUP($C2220,daily_dates,big_daily_table))),NA(),XLOOKUP(E$3,daily_items,XLOOKUP($C2220,daily_dates,big_daily_table)))</f>
        <v>#N/A</v>
      </c>
    </row>
    <row r="2221" ht="14.25" customHeight="1">
      <c r="B2221" s="7">
        <v>43126.0</v>
      </c>
      <c r="C2221" s="7">
        <f t="shared" si="1"/>
        <v>43121</v>
      </c>
      <c r="D2221" s="1" t="str">
        <f t="array" ref="D2221">IF(ISBLANK(XLOOKUP(D$3,daily_items,XLOOKUP($C2221,daily_dates,big_daily_table))),NA(),XLOOKUP(D$3,daily_items,XLOOKUP($C2221,daily_dates,big_daily_table)))</f>
        <v>#N/A</v>
      </c>
      <c r="E2221" s="1" t="str">
        <f t="array" ref="E2221">IF(ISBLANK(XLOOKUP(E$3,daily_items,XLOOKUP($C2221,daily_dates,big_daily_table))),NA(),XLOOKUP(E$3,daily_items,XLOOKUP($C2221,daily_dates,big_daily_table)))</f>
        <v>#N/A</v>
      </c>
    </row>
    <row r="2222" ht="14.25" customHeight="1">
      <c r="B2222" s="7">
        <v>43127.0</v>
      </c>
      <c r="C2222" s="7">
        <f t="shared" si="1"/>
        <v>43121</v>
      </c>
      <c r="D2222" s="1" t="str">
        <f t="array" ref="D2222">IF(ISBLANK(XLOOKUP(D$3,daily_items,XLOOKUP($C2222,daily_dates,big_daily_table))),NA(),XLOOKUP(D$3,daily_items,XLOOKUP($C2222,daily_dates,big_daily_table)))</f>
        <v>#N/A</v>
      </c>
      <c r="E2222" s="1" t="str">
        <f t="array" ref="E2222">IF(ISBLANK(XLOOKUP(E$3,daily_items,XLOOKUP($C2222,daily_dates,big_daily_table))),NA(),XLOOKUP(E$3,daily_items,XLOOKUP($C2222,daily_dates,big_daily_table)))</f>
        <v>#N/A</v>
      </c>
    </row>
    <row r="2223" ht="14.25" customHeight="1">
      <c r="B2223" s="7">
        <v>43128.0</v>
      </c>
      <c r="C2223" s="7">
        <f t="shared" si="1"/>
        <v>43128</v>
      </c>
      <c r="D2223" s="1" t="str">
        <f t="array" ref="D2223">IF(ISBLANK(XLOOKUP(D$3,daily_items,XLOOKUP($C2223,daily_dates,big_daily_table))),NA(),XLOOKUP(D$3,daily_items,XLOOKUP($C2223,daily_dates,big_daily_table)))</f>
        <v>#N/A</v>
      </c>
      <c r="E2223" s="1" t="str">
        <f t="array" ref="E2223">IF(ISBLANK(XLOOKUP(E$3,daily_items,XLOOKUP($C2223,daily_dates,big_daily_table))),NA(),XLOOKUP(E$3,daily_items,XLOOKUP($C2223,daily_dates,big_daily_table)))</f>
        <v>#N/A</v>
      </c>
    </row>
    <row r="2224" ht="14.25" customHeight="1">
      <c r="B2224" s="7">
        <v>43129.0</v>
      </c>
      <c r="C2224" s="7">
        <f t="shared" si="1"/>
        <v>43128</v>
      </c>
      <c r="D2224" s="1" t="str">
        <f t="array" ref="D2224">IF(ISBLANK(XLOOKUP(D$3,daily_items,XLOOKUP($C2224,daily_dates,big_daily_table))),NA(),XLOOKUP(D$3,daily_items,XLOOKUP($C2224,daily_dates,big_daily_table)))</f>
        <v>#N/A</v>
      </c>
      <c r="E2224" s="1" t="str">
        <f t="array" ref="E2224">IF(ISBLANK(XLOOKUP(E$3,daily_items,XLOOKUP($C2224,daily_dates,big_daily_table))),NA(),XLOOKUP(E$3,daily_items,XLOOKUP($C2224,daily_dates,big_daily_table)))</f>
        <v>#N/A</v>
      </c>
    </row>
    <row r="2225" ht="14.25" customHeight="1">
      <c r="B2225" s="7">
        <v>43130.0</v>
      </c>
      <c r="C2225" s="7">
        <f t="shared" si="1"/>
        <v>43128</v>
      </c>
      <c r="D2225" s="1" t="str">
        <f t="array" ref="D2225">IF(ISBLANK(XLOOKUP(D$3,daily_items,XLOOKUP($C2225,daily_dates,big_daily_table))),NA(),XLOOKUP(D$3,daily_items,XLOOKUP($C2225,daily_dates,big_daily_table)))</f>
        <v>#N/A</v>
      </c>
      <c r="E2225" s="1" t="str">
        <f t="array" ref="E2225">IF(ISBLANK(XLOOKUP(E$3,daily_items,XLOOKUP($C2225,daily_dates,big_daily_table))),NA(),XLOOKUP(E$3,daily_items,XLOOKUP($C2225,daily_dates,big_daily_table)))</f>
        <v>#N/A</v>
      </c>
    </row>
    <row r="2226" ht="14.25" customHeight="1">
      <c r="B2226" s="7">
        <v>43131.0</v>
      </c>
      <c r="C2226" s="7">
        <f t="shared" si="1"/>
        <v>43128</v>
      </c>
      <c r="D2226" s="1" t="str">
        <f t="array" ref="D2226">IF(ISBLANK(XLOOKUP(D$3,daily_items,XLOOKUP($C2226,daily_dates,big_daily_table))),NA(),XLOOKUP(D$3,daily_items,XLOOKUP($C2226,daily_dates,big_daily_table)))</f>
        <v>#N/A</v>
      </c>
      <c r="E2226" s="1" t="str">
        <f t="array" ref="E2226">IF(ISBLANK(XLOOKUP(E$3,daily_items,XLOOKUP($C2226,daily_dates,big_daily_table))),NA(),XLOOKUP(E$3,daily_items,XLOOKUP($C2226,daily_dates,big_daily_table)))</f>
        <v>#N/A</v>
      </c>
    </row>
    <row r="2227" ht="14.25" customHeight="1">
      <c r="B2227" s="7">
        <v>43132.0</v>
      </c>
      <c r="C2227" s="7">
        <f t="shared" si="1"/>
        <v>43128</v>
      </c>
      <c r="D2227" s="1" t="str">
        <f t="array" ref="D2227">IF(ISBLANK(XLOOKUP(D$3,daily_items,XLOOKUP($C2227,daily_dates,big_daily_table))),NA(),XLOOKUP(D$3,daily_items,XLOOKUP($C2227,daily_dates,big_daily_table)))</f>
        <v>#N/A</v>
      </c>
      <c r="E2227" s="1" t="str">
        <f t="array" ref="E2227">IF(ISBLANK(XLOOKUP(E$3,daily_items,XLOOKUP($C2227,daily_dates,big_daily_table))),NA(),XLOOKUP(E$3,daily_items,XLOOKUP($C2227,daily_dates,big_daily_table)))</f>
        <v>#N/A</v>
      </c>
    </row>
    <row r="2228" ht="14.25" customHeight="1">
      <c r="B2228" s="7">
        <v>43133.0</v>
      </c>
      <c r="C2228" s="7">
        <f t="shared" si="1"/>
        <v>43128</v>
      </c>
      <c r="D2228" s="1" t="str">
        <f t="array" ref="D2228">IF(ISBLANK(XLOOKUP(D$3,daily_items,XLOOKUP($C2228,daily_dates,big_daily_table))),NA(),XLOOKUP(D$3,daily_items,XLOOKUP($C2228,daily_dates,big_daily_table)))</f>
        <v>#N/A</v>
      </c>
      <c r="E2228" s="1" t="str">
        <f t="array" ref="E2228">IF(ISBLANK(XLOOKUP(E$3,daily_items,XLOOKUP($C2228,daily_dates,big_daily_table))),NA(),XLOOKUP(E$3,daily_items,XLOOKUP($C2228,daily_dates,big_daily_table)))</f>
        <v>#N/A</v>
      </c>
    </row>
    <row r="2229" ht="14.25" customHeight="1">
      <c r="B2229" s="7">
        <v>43134.0</v>
      </c>
      <c r="C2229" s="7">
        <f t="shared" si="1"/>
        <v>43128</v>
      </c>
      <c r="D2229" s="1" t="str">
        <f t="array" ref="D2229">IF(ISBLANK(XLOOKUP(D$3,daily_items,XLOOKUP($C2229,daily_dates,big_daily_table))),NA(),XLOOKUP(D$3,daily_items,XLOOKUP($C2229,daily_dates,big_daily_table)))</f>
        <v>#N/A</v>
      </c>
      <c r="E2229" s="1" t="str">
        <f t="array" ref="E2229">IF(ISBLANK(XLOOKUP(E$3,daily_items,XLOOKUP($C2229,daily_dates,big_daily_table))),NA(),XLOOKUP(E$3,daily_items,XLOOKUP($C2229,daily_dates,big_daily_table)))</f>
        <v>#N/A</v>
      </c>
    </row>
    <row r="2230" ht="14.25" customHeight="1">
      <c r="B2230" s="7">
        <v>43135.0</v>
      </c>
      <c r="C2230" s="7">
        <f t="shared" si="1"/>
        <v>43135</v>
      </c>
      <c r="D2230" s="1" t="str">
        <f t="array" ref="D2230">IF(ISBLANK(XLOOKUP(D$3,daily_items,XLOOKUP($C2230,daily_dates,big_daily_table))),NA(),XLOOKUP(D$3,daily_items,XLOOKUP($C2230,daily_dates,big_daily_table)))</f>
        <v>#N/A</v>
      </c>
      <c r="E2230" s="1" t="str">
        <f t="array" ref="E2230">IF(ISBLANK(XLOOKUP(E$3,daily_items,XLOOKUP($C2230,daily_dates,big_daily_table))),NA(),XLOOKUP(E$3,daily_items,XLOOKUP($C2230,daily_dates,big_daily_table)))</f>
        <v>#N/A</v>
      </c>
    </row>
    <row r="2231" ht="14.25" customHeight="1">
      <c r="B2231" s="7">
        <v>43136.0</v>
      </c>
      <c r="C2231" s="7">
        <f t="shared" si="1"/>
        <v>43135</v>
      </c>
      <c r="D2231" s="1" t="str">
        <f t="array" ref="D2231">IF(ISBLANK(XLOOKUP(D$3,daily_items,XLOOKUP($C2231,daily_dates,big_daily_table))),NA(),XLOOKUP(D$3,daily_items,XLOOKUP($C2231,daily_dates,big_daily_table)))</f>
        <v>#N/A</v>
      </c>
      <c r="E2231" s="1" t="str">
        <f t="array" ref="E2231">IF(ISBLANK(XLOOKUP(E$3,daily_items,XLOOKUP($C2231,daily_dates,big_daily_table))),NA(),XLOOKUP(E$3,daily_items,XLOOKUP($C2231,daily_dates,big_daily_table)))</f>
        <v>#N/A</v>
      </c>
    </row>
    <row r="2232" ht="14.25" customHeight="1">
      <c r="B2232" s="7">
        <v>43137.0</v>
      </c>
      <c r="C2232" s="7">
        <f t="shared" si="1"/>
        <v>43135</v>
      </c>
      <c r="D2232" s="1" t="str">
        <f t="array" ref="D2232">IF(ISBLANK(XLOOKUP(D$3,daily_items,XLOOKUP($C2232,daily_dates,big_daily_table))),NA(),XLOOKUP(D$3,daily_items,XLOOKUP($C2232,daily_dates,big_daily_table)))</f>
        <v>#N/A</v>
      </c>
      <c r="E2232" s="1" t="str">
        <f t="array" ref="E2232">IF(ISBLANK(XLOOKUP(E$3,daily_items,XLOOKUP($C2232,daily_dates,big_daily_table))),NA(),XLOOKUP(E$3,daily_items,XLOOKUP($C2232,daily_dates,big_daily_table)))</f>
        <v>#N/A</v>
      </c>
    </row>
    <row r="2233" ht="14.25" customHeight="1">
      <c r="B2233" s="7">
        <v>43138.0</v>
      </c>
      <c r="C2233" s="7">
        <f t="shared" si="1"/>
        <v>43135</v>
      </c>
      <c r="D2233" s="1" t="str">
        <f t="array" ref="D2233">IF(ISBLANK(XLOOKUP(D$3,daily_items,XLOOKUP($C2233,daily_dates,big_daily_table))),NA(),XLOOKUP(D$3,daily_items,XLOOKUP($C2233,daily_dates,big_daily_table)))</f>
        <v>#N/A</v>
      </c>
      <c r="E2233" s="1" t="str">
        <f t="array" ref="E2233">IF(ISBLANK(XLOOKUP(E$3,daily_items,XLOOKUP($C2233,daily_dates,big_daily_table))),NA(),XLOOKUP(E$3,daily_items,XLOOKUP($C2233,daily_dates,big_daily_table)))</f>
        <v>#N/A</v>
      </c>
    </row>
    <row r="2234" ht="14.25" customHeight="1">
      <c r="B2234" s="7">
        <v>43139.0</v>
      </c>
      <c r="C2234" s="7">
        <f t="shared" si="1"/>
        <v>43135</v>
      </c>
      <c r="D2234" s="1" t="str">
        <f t="array" ref="D2234">IF(ISBLANK(XLOOKUP(D$3,daily_items,XLOOKUP($C2234,daily_dates,big_daily_table))),NA(),XLOOKUP(D$3,daily_items,XLOOKUP($C2234,daily_dates,big_daily_table)))</f>
        <v>#N/A</v>
      </c>
      <c r="E2234" s="1" t="str">
        <f t="array" ref="E2234">IF(ISBLANK(XLOOKUP(E$3,daily_items,XLOOKUP($C2234,daily_dates,big_daily_table))),NA(),XLOOKUP(E$3,daily_items,XLOOKUP($C2234,daily_dates,big_daily_table)))</f>
        <v>#N/A</v>
      </c>
    </row>
    <row r="2235" ht="14.25" customHeight="1">
      <c r="B2235" s="7">
        <v>43140.0</v>
      </c>
      <c r="C2235" s="7">
        <f t="shared" si="1"/>
        <v>43135</v>
      </c>
      <c r="D2235" s="1" t="str">
        <f t="array" ref="D2235">IF(ISBLANK(XLOOKUP(D$3,daily_items,XLOOKUP($C2235,daily_dates,big_daily_table))),NA(),XLOOKUP(D$3,daily_items,XLOOKUP($C2235,daily_dates,big_daily_table)))</f>
        <v>#N/A</v>
      </c>
      <c r="E2235" s="1" t="str">
        <f t="array" ref="E2235">IF(ISBLANK(XLOOKUP(E$3,daily_items,XLOOKUP($C2235,daily_dates,big_daily_table))),NA(),XLOOKUP(E$3,daily_items,XLOOKUP($C2235,daily_dates,big_daily_table)))</f>
        <v>#N/A</v>
      </c>
    </row>
    <row r="2236" ht="14.25" customHeight="1">
      <c r="B2236" s="7">
        <v>43141.0</v>
      </c>
      <c r="C2236" s="7">
        <f t="shared" si="1"/>
        <v>43135</v>
      </c>
      <c r="D2236" s="1" t="str">
        <f t="array" ref="D2236">IF(ISBLANK(XLOOKUP(D$3,daily_items,XLOOKUP($C2236,daily_dates,big_daily_table))),NA(),XLOOKUP(D$3,daily_items,XLOOKUP($C2236,daily_dates,big_daily_table)))</f>
        <v>#N/A</v>
      </c>
      <c r="E2236" s="1" t="str">
        <f t="array" ref="E2236">IF(ISBLANK(XLOOKUP(E$3,daily_items,XLOOKUP($C2236,daily_dates,big_daily_table))),NA(),XLOOKUP(E$3,daily_items,XLOOKUP($C2236,daily_dates,big_daily_table)))</f>
        <v>#N/A</v>
      </c>
    </row>
    <row r="2237" ht="14.25" customHeight="1">
      <c r="B2237" s="7">
        <v>43142.0</v>
      </c>
      <c r="C2237" s="7">
        <f t="shared" si="1"/>
        <v>43142</v>
      </c>
      <c r="D2237" s="1" t="str">
        <f t="array" ref="D2237">IF(ISBLANK(XLOOKUP(D$3,daily_items,XLOOKUP($C2237,daily_dates,big_daily_table))),NA(),XLOOKUP(D$3,daily_items,XLOOKUP($C2237,daily_dates,big_daily_table)))</f>
        <v>#N/A</v>
      </c>
      <c r="E2237" s="1" t="str">
        <f t="array" ref="E2237">IF(ISBLANK(XLOOKUP(E$3,daily_items,XLOOKUP($C2237,daily_dates,big_daily_table))),NA(),XLOOKUP(E$3,daily_items,XLOOKUP($C2237,daily_dates,big_daily_table)))</f>
        <v>#N/A</v>
      </c>
    </row>
    <row r="2238" ht="14.25" customHeight="1">
      <c r="B2238" s="7">
        <v>43143.0</v>
      </c>
      <c r="C2238" s="7">
        <f t="shared" si="1"/>
        <v>43142</v>
      </c>
      <c r="D2238" s="1" t="str">
        <f t="array" ref="D2238">IF(ISBLANK(XLOOKUP(D$3,daily_items,XLOOKUP($C2238,daily_dates,big_daily_table))),NA(),XLOOKUP(D$3,daily_items,XLOOKUP($C2238,daily_dates,big_daily_table)))</f>
        <v>#N/A</v>
      </c>
      <c r="E2238" s="1" t="str">
        <f t="array" ref="E2238">IF(ISBLANK(XLOOKUP(E$3,daily_items,XLOOKUP($C2238,daily_dates,big_daily_table))),NA(),XLOOKUP(E$3,daily_items,XLOOKUP($C2238,daily_dates,big_daily_table)))</f>
        <v>#N/A</v>
      </c>
    </row>
    <row r="2239" ht="14.25" customHeight="1">
      <c r="B2239" s="7">
        <v>43144.0</v>
      </c>
      <c r="C2239" s="7">
        <f t="shared" si="1"/>
        <v>43142</v>
      </c>
      <c r="D2239" s="1" t="str">
        <f t="array" ref="D2239">IF(ISBLANK(XLOOKUP(D$3,daily_items,XLOOKUP($C2239,daily_dates,big_daily_table))),NA(),XLOOKUP(D$3,daily_items,XLOOKUP($C2239,daily_dates,big_daily_table)))</f>
        <v>#N/A</v>
      </c>
      <c r="E2239" s="1" t="str">
        <f t="array" ref="E2239">IF(ISBLANK(XLOOKUP(E$3,daily_items,XLOOKUP($C2239,daily_dates,big_daily_table))),NA(),XLOOKUP(E$3,daily_items,XLOOKUP($C2239,daily_dates,big_daily_table)))</f>
        <v>#N/A</v>
      </c>
    </row>
    <row r="2240" ht="14.25" customHeight="1">
      <c r="B2240" s="7">
        <v>43145.0</v>
      </c>
      <c r="C2240" s="7">
        <f t="shared" si="1"/>
        <v>43142</v>
      </c>
      <c r="D2240" s="1" t="str">
        <f t="array" ref="D2240">IF(ISBLANK(XLOOKUP(D$3,daily_items,XLOOKUP($C2240,daily_dates,big_daily_table))),NA(),XLOOKUP(D$3,daily_items,XLOOKUP($C2240,daily_dates,big_daily_table)))</f>
        <v>#N/A</v>
      </c>
      <c r="E2240" s="1" t="str">
        <f t="array" ref="E2240">IF(ISBLANK(XLOOKUP(E$3,daily_items,XLOOKUP($C2240,daily_dates,big_daily_table))),NA(),XLOOKUP(E$3,daily_items,XLOOKUP($C2240,daily_dates,big_daily_table)))</f>
        <v>#N/A</v>
      </c>
    </row>
    <row r="2241" ht="14.25" customHeight="1">
      <c r="B2241" s="7">
        <v>43146.0</v>
      </c>
      <c r="C2241" s="7">
        <f t="shared" si="1"/>
        <v>43142</v>
      </c>
      <c r="D2241" s="1" t="str">
        <f t="array" ref="D2241">IF(ISBLANK(XLOOKUP(D$3,daily_items,XLOOKUP($C2241,daily_dates,big_daily_table))),NA(),XLOOKUP(D$3,daily_items,XLOOKUP($C2241,daily_dates,big_daily_table)))</f>
        <v>#N/A</v>
      </c>
      <c r="E2241" s="1" t="str">
        <f t="array" ref="E2241">IF(ISBLANK(XLOOKUP(E$3,daily_items,XLOOKUP($C2241,daily_dates,big_daily_table))),NA(),XLOOKUP(E$3,daily_items,XLOOKUP($C2241,daily_dates,big_daily_table)))</f>
        <v>#N/A</v>
      </c>
    </row>
    <row r="2242" ht="14.25" customHeight="1">
      <c r="B2242" s="7">
        <v>43147.0</v>
      </c>
      <c r="C2242" s="7">
        <f t="shared" si="1"/>
        <v>43142</v>
      </c>
      <c r="D2242" s="1" t="str">
        <f t="array" ref="D2242">IF(ISBLANK(XLOOKUP(D$3,daily_items,XLOOKUP($C2242,daily_dates,big_daily_table))),NA(),XLOOKUP(D$3,daily_items,XLOOKUP($C2242,daily_dates,big_daily_table)))</f>
        <v>#N/A</v>
      </c>
      <c r="E2242" s="1" t="str">
        <f t="array" ref="E2242">IF(ISBLANK(XLOOKUP(E$3,daily_items,XLOOKUP($C2242,daily_dates,big_daily_table))),NA(),XLOOKUP(E$3,daily_items,XLOOKUP($C2242,daily_dates,big_daily_table)))</f>
        <v>#N/A</v>
      </c>
    </row>
    <row r="2243" ht="14.25" customHeight="1">
      <c r="B2243" s="7">
        <v>43148.0</v>
      </c>
      <c r="C2243" s="7">
        <f t="shared" si="1"/>
        <v>43142</v>
      </c>
      <c r="D2243" s="1" t="str">
        <f t="array" ref="D2243">IF(ISBLANK(XLOOKUP(D$3,daily_items,XLOOKUP($C2243,daily_dates,big_daily_table))),NA(),XLOOKUP(D$3,daily_items,XLOOKUP($C2243,daily_dates,big_daily_table)))</f>
        <v>#N/A</v>
      </c>
      <c r="E2243" s="1" t="str">
        <f t="array" ref="E2243">IF(ISBLANK(XLOOKUP(E$3,daily_items,XLOOKUP($C2243,daily_dates,big_daily_table))),NA(),XLOOKUP(E$3,daily_items,XLOOKUP($C2243,daily_dates,big_daily_table)))</f>
        <v>#N/A</v>
      </c>
    </row>
    <row r="2244" ht="14.25" customHeight="1">
      <c r="B2244" s="7">
        <v>43149.0</v>
      </c>
      <c r="C2244" s="7">
        <f t="shared" si="1"/>
        <v>43149</v>
      </c>
      <c r="D2244" s="1" t="str">
        <f t="array" ref="D2244">IF(ISBLANK(XLOOKUP(D$3,daily_items,XLOOKUP($C2244,daily_dates,big_daily_table))),NA(),XLOOKUP(D$3,daily_items,XLOOKUP($C2244,daily_dates,big_daily_table)))</f>
        <v>#N/A</v>
      </c>
      <c r="E2244" s="1" t="str">
        <f t="array" ref="E2244">IF(ISBLANK(XLOOKUP(E$3,daily_items,XLOOKUP($C2244,daily_dates,big_daily_table))),NA(),XLOOKUP(E$3,daily_items,XLOOKUP($C2244,daily_dates,big_daily_table)))</f>
        <v>#N/A</v>
      </c>
    </row>
    <row r="2245" ht="14.25" customHeight="1">
      <c r="B2245" s="7">
        <v>43150.0</v>
      </c>
      <c r="C2245" s="7">
        <f t="shared" si="1"/>
        <v>43149</v>
      </c>
      <c r="D2245" s="1" t="str">
        <f t="array" ref="D2245">IF(ISBLANK(XLOOKUP(D$3,daily_items,XLOOKUP($C2245,daily_dates,big_daily_table))),NA(),XLOOKUP(D$3,daily_items,XLOOKUP($C2245,daily_dates,big_daily_table)))</f>
        <v>#N/A</v>
      </c>
      <c r="E2245" s="1" t="str">
        <f t="array" ref="E2245">IF(ISBLANK(XLOOKUP(E$3,daily_items,XLOOKUP($C2245,daily_dates,big_daily_table))),NA(),XLOOKUP(E$3,daily_items,XLOOKUP($C2245,daily_dates,big_daily_table)))</f>
        <v>#N/A</v>
      </c>
    </row>
    <row r="2246" ht="14.25" customHeight="1">
      <c r="B2246" s="7">
        <v>43151.0</v>
      </c>
      <c r="C2246" s="7">
        <f t="shared" si="1"/>
        <v>43149</v>
      </c>
      <c r="D2246" s="1" t="str">
        <f t="array" ref="D2246">IF(ISBLANK(XLOOKUP(D$3,daily_items,XLOOKUP($C2246,daily_dates,big_daily_table))),NA(),XLOOKUP(D$3,daily_items,XLOOKUP($C2246,daily_dates,big_daily_table)))</f>
        <v>#N/A</v>
      </c>
      <c r="E2246" s="1" t="str">
        <f t="array" ref="E2246">IF(ISBLANK(XLOOKUP(E$3,daily_items,XLOOKUP($C2246,daily_dates,big_daily_table))),NA(),XLOOKUP(E$3,daily_items,XLOOKUP($C2246,daily_dates,big_daily_table)))</f>
        <v>#N/A</v>
      </c>
    </row>
    <row r="2247" ht="14.25" customHeight="1">
      <c r="B2247" s="7">
        <v>43152.0</v>
      </c>
      <c r="C2247" s="7">
        <f t="shared" si="1"/>
        <v>43149</v>
      </c>
      <c r="D2247" s="1" t="str">
        <f t="array" ref="D2247">IF(ISBLANK(XLOOKUP(D$3,daily_items,XLOOKUP($C2247,daily_dates,big_daily_table))),NA(),XLOOKUP(D$3,daily_items,XLOOKUP($C2247,daily_dates,big_daily_table)))</f>
        <v>#N/A</v>
      </c>
      <c r="E2247" s="1" t="str">
        <f t="array" ref="E2247">IF(ISBLANK(XLOOKUP(E$3,daily_items,XLOOKUP($C2247,daily_dates,big_daily_table))),NA(),XLOOKUP(E$3,daily_items,XLOOKUP($C2247,daily_dates,big_daily_table)))</f>
        <v>#N/A</v>
      </c>
    </row>
    <row r="2248" ht="14.25" customHeight="1">
      <c r="B2248" s="7">
        <v>43153.0</v>
      </c>
      <c r="C2248" s="7">
        <f t="shared" si="1"/>
        <v>43149</v>
      </c>
      <c r="D2248" s="1" t="str">
        <f t="array" ref="D2248">IF(ISBLANK(XLOOKUP(D$3,daily_items,XLOOKUP($C2248,daily_dates,big_daily_table))),NA(),XLOOKUP(D$3,daily_items,XLOOKUP($C2248,daily_dates,big_daily_table)))</f>
        <v>#N/A</v>
      </c>
      <c r="E2248" s="1" t="str">
        <f t="array" ref="E2248">IF(ISBLANK(XLOOKUP(E$3,daily_items,XLOOKUP($C2248,daily_dates,big_daily_table))),NA(),XLOOKUP(E$3,daily_items,XLOOKUP($C2248,daily_dates,big_daily_table)))</f>
        <v>#N/A</v>
      </c>
    </row>
    <row r="2249" ht="14.25" customHeight="1">
      <c r="B2249" s="7">
        <v>43154.0</v>
      </c>
      <c r="C2249" s="7">
        <f t="shared" si="1"/>
        <v>43149</v>
      </c>
      <c r="D2249" s="1" t="str">
        <f t="array" ref="D2249">IF(ISBLANK(XLOOKUP(D$3,daily_items,XLOOKUP($C2249,daily_dates,big_daily_table))),NA(),XLOOKUP(D$3,daily_items,XLOOKUP($C2249,daily_dates,big_daily_table)))</f>
        <v>#N/A</v>
      </c>
      <c r="E2249" s="1" t="str">
        <f t="array" ref="E2249">IF(ISBLANK(XLOOKUP(E$3,daily_items,XLOOKUP($C2249,daily_dates,big_daily_table))),NA(),XLOOKUP(E$3,daily_items,XLOOKUP($C2249,daily_dates,big_daily_table)))</f>
        <v>#N/A</v>
      </c>
    </row>
    <row r="2250" ht="14.25" customHeight="1">
      <c r="B2250" s="7">
        <v>43155.0</v>
      </c>
      <c r="C2250" s="7">
        <f t="shared" si="1"/>
        <v>43149</v>
      </c>
      <c r="D2250" s="1" t="str">
        <f t="array" ref="D2250">IF(ISBLANK(XLOOKUP(D$3,daily_items,XLOOKUP($C2250,daily_dates,big_daily_table))),NA(),XLOOKUP(D$3,daily_items,XLOOKUP($C2250,daily_dates,big_daily_table)))</f>
        <v>#N/A</v>
      </c>
      <c r="E2250" s="1" t="str">
        <f t="array" ref="E2250">IF(ISBLANK(XLOOKUP(E$3,daily_items,XLOOKUP($C2250,daily_dates,big_daily_table))),NA(),XLOOKUP(E$3,daily_items,XLOOKUP($C2250,daily_dates,big_daily_table)))</f>
        <v>#N/A</v>
      </c>
    </row>
    <row r="2251" ht="14.25" customHeight="1">
      <c r="B2251" s="7">
        <v>43156.0</v>
      </c>
      <c r="C2251" s="7">
        <f t="shared" si="1"/>
        <v>43156</v>
      </c>
      <c r="D2251" s="1" t="str">
        <f t="array" ref="D2251">IF(ISBLANK(XLOOKUP(D$3,daily_items,XLOOKUP($C2251,daily_dates,big_daily_table))),NA(),XLOOKUP(D$3,daily_items,XLOOKUP($C2251,daily_dates,big_daily_table)))</f>
        <v>#N/A</v>
      </c>
      <c r="E2251" s="1" t="str">
        <f t="array" ref="E2251">IF(ISBLANK(XLOOKUP(E$3,daily_items,XLOOKUP($C2251,daily_dates,big_daily_table))),NA(),XLOOKUP(E$3,daily_items,XLOOKUP($C2251,daily_dates,big_daily_table)))</f>
        <v>#N/A</v>
      </c>
    </row>
    <row r="2252" ht="14.25" customHeight="1">
      <c r="B2252" s="7">
        <v>43157.0</v>
      </c>
      <c r="C2252" s="7">
        <f t="shared" si="1"/>
        <v>43156</v>
      </c>
      <c r="D2252" s="1" t="str">
        <f t="array" ref="D2252">IF(ISBLANK(XLOOKUP(D$3,daily_items,XLOOKUP($C2252,daily_dates,big_daily_table))),NA(),XLOOKUP(D$3,daily_items,XLOOKUP($C2252,daily_dates,big_daily_table)))</f>
        <v>#N/A</v>
      </c>
      <c r="E2252" s="1" t="str">
        <f t="array" ref="E2252">IF(ISBLANK(XLOOKUP(E$3,daily_items,XLOOKUP($C2252,daily_dates,big_daily_table))),NA(),XLOOKUP(E$3,daily_items,XLOOKUP($C2252,daily_dates,big_daily_table)))</f>
        <v>#N/A</v>
      </c>
    </row>
    <row r="2253" ht="14.25" customHeight="1">
      <c r="B2253" s="7">
        <v>43158.0</v>
      </c>
      <c r="C2253" s="7">
        <f t="shared" si="1"/>
        <v>43156</v>
      </c>
      <c r="D2253" s="1" t="str">
        <f t="array" ref="D2253">IF(ISBLANK(XLOOKUP(D$3,daily_items,XLOOKUP($C2253,daily_dates,big_daily_table))),NA(),XLOOKUP(D$3,daily_items,XLOOKUP($C2253,daily_dates,big_daily_table)))</f>
        <v>#N/A</v>
      </c>
      <c r="E2253" s="1" t="str">
        <f t="array" ref="E2253">IF(ISBLANK(XLOOKUP(E$3,daily_items,XLOOKUP($C2253,daily_dates,big_daily_table))),NA(),XLOOKUP(E$3,daily_items,XLOOKUP($C2253,daily_dates,big_daily_table)))</f>
        <v>#N/A</v>
      </c>
    </row>
    <row r="2254" ht="14.25" customHeight="1">
      <c r="B2254" s="7">
        <v>43159.0</v>
      </c>
      <c r="C2254" s="7">
        <f t="shared" si="1"/>
        <v>43156</v>
      </c>
      <c r="D2254" s="1" t="str">
        <f t="array" ref="D2254">IF(ISBLANK(XLOOKUP(D$3,daily_items,XLOOKUP($C2254,daily_dates,big_daily_table))),NA(),XLOOKUP(D$3,daily_items,XLOOKUP($C2254,daily_dates,big_daily_table)))</f>
        <v>#N/A</v>
      </c>
      <c r="E2254" s="1" t="str">
        <f t="array" ref="E2254">IF(ISBLANK(XLOOKUP(E$3,daily_items,XLOOKUP($C2254,daily_dates,big_daily_table))),NA(),XLOOKUP(E$3,daily_items,XLOOKUP($C2254,daily_dates,big_daily_table)))</f>
        <v>#N/A</v>
      </c>
    </row>
    <row r="2255" ht="14.25" customHeight="1">
      <c r="B2255" s="7">
        <v>43160.0</v>
      </c>
      <c r="C2255" s="7">
        <f t="shared" si="1"/>
        <v>43156</v>
      </c>
      <c r="D2255" s="1" t="str">
        <f t="array" ref="D2255">IF(ISBLANK(XLOOKUP(D$3,daily_items,XLOOKUP($C2255,daily_dates,big_daily_table))),NA(),XLOOKUP(D$3,daily_items,XLOOKUP($C2255,daily_dates,big_daily_table)))</f>
        <v>#N/A</v>
      </c>
      <c r="E2255" s="1" t="str">
        <f t="array" ref="E2255">IF(ISBLANK(XLOOKUP(E$3,daily_items,XLOOKUP($C2255,daily_dates,big_daily_table))),NA(),XLOOKUP(E$3,daily_items,XLOOKUP($C2255,daily_dates,big_daily_table)))</f>
        <v>#N/A</v>
      </c>
    </row>
    <row r="2256" ht="14.25" customHeight="1">
      <c r="B2256" s="7">
        <v>43161.0</v>
      </c>
      <c r="C2256" s="7">
        <f t="shared" si="1"/>
        <v>43156</v>
      </c>
      <c r="D2256" s="1" t="str">
        <f t="array" ref="D2256">IF(ISBLANK(XLOOKUP(D$3,daily_items,XLOOKUP($C2256,daily_dates,big_daily_table))),NA(),XLOOKUP(D$3,daily_items,XLOOKUP($C2256,daily_dates,big_daily_table)))</f>
        <v>#N/A</v>
      </c>
      <c r="E2256" s="1" t="str">
        <f t="array" ref="E2256">IF(ISBLANK(XLOOKUP(E$3,daily_items,XLOOKUP($C2256,daily_dates,big_daily_table))),NA(),XLOOKUP(E$3,daily_items,XLOOKUP($C2256,daily_dates,big_daily_table)))</f>
        <v>#N/A</v>
      </c>
    </row>
    <row r="2257" ht="14.25" customHeight="1">
      <c r="B2257" s="7">
        <v>43162.0</v>
      </c>
      <c r="C2257" s="7">
        <f t="shared" si="1"/>
        <v>43156</v>
      </c>
      <c r="D2257" s="1" t="str">
        <f t="array" ref="D2257">IF(ISBLANK(XLOOKUP(D$3,daily_items,XLOOKUP($C2257,daily_dates,big_daily_table))),NA(),XLOOKUP(D$3,daily_items,XLOOKUP($C2257,daily_dates,big_daily_table)))</f>
        <v>#N/A</v>
      </c>
      <c r="E2257" s="1" t="str">
        <f t="array" ref="E2257">IF(ISBLANK(XLOOKUP(E$3,daily_items,XLOOKUP($C2257,daily_dates,big_daily_table))),NA(),XLOOKUP(E$3,daily_items,XLOOKUP($C2257,daily_dates,big_daily_table)))</f>
        <v>#N/A</v>
      </c>
    </row>
    <row r="2258" ht="14.25" customHeight="1">
      <c r="B2258" s="7">
        <v>43163.0</v>
      </c>
      <c r="C2258" s="7">
        <f t="shared" si="1"/>
        <v>43163</v>
      </c>
      <c r="D2258" s="1" t="str">
        <f t="array" ref="D2258">IF(ISBLANK(XLOOKUP(D$3,daily_items,XLOOKUP($C2258,daily_dates,big_daily_table))),NA(),XLOOKUP(D$3,daily_items,XLOOKUP($C2258,daily_dates,big_daily_table)))</f>
        <v>#N/A</v>
      </c>
      <c r="E2258" s="1" t="str">
        <f t="array" ref="E2258">IF(ISBLANK(XLOOKUP(E$3,daily_items,XLOOKUP($C2258,daily_dates,big_daily_table))),NA(),XLOOKUP(E$3,daily_items,XLOOKUP($C2258,daily_dates,big_daily_table)))</f>
        <v>#N/A</v>
      </c>
    </row>
    <row r="2259" ht="14.25" customHeight="1">
      <c r="B2259" s="7">
        <v>43164.0</v>
      </c>
      <c r="C2259" s="7">
        <f t="shared" si="1"/>
        <v>43163</v>
      </c>
      <c r="D2259" s="1" t="str">
        <f t="array" ref="D2259">IF(ISBLANK(XLOOKUP(D$3,daily_items,XLOOKUP($C2259,daily_dates,big_daily_table))),NA(),XLOOKUP(D$3,daily_items,XLOOKUP($C2259,daily_dates,big_daily_table)))</f>
        <v>#N/A</v>
      </c>
      <c r="E2259" s="1" t="str">
        <f t="array" ref="E2259">IF(ISBLANK(XLOOKUP(E$3,daily_items,XLOOKUP($C2259,daily_dates,big_daily_table))),NA(),XLOOKUP(E$3,daily_items,XLOOKUP($C2259,daily_dates,big_daily_table)))</f>
        <v>#N/A</v>
      </c>
    </row>
    <row r="2260" ht="14.25" customHeight="1">
      <c r="B2260" s="7">
        <v>43165.0</v>
      </c>
      <c r="C2260" s="7">
        <f t="shared" si="1"/>
        <v>43163</v>
      </c>
      <c r="D2260" s="1" t="str">
        <f t="array" ref="D2260">IF(ISBLANK(XLOOKUP(D$3,daily_items,XLOOKUP($C2260,daily_dates,big_daily_table))),NA(),XLOOKUP(D$3,daily_items,XLOOKUP($C2260,daily_dates,big_daily_table)))</f>
        <v>#N/A</v>
      </c>
      <c r="E2260" s="1" t="str">
        <f t="array" ref="E2260">IF(ISBLANK(XLOOKUP(E$3,daily_items,XLOOKUP($C2260,daily_dates,big_daily_table))),NA(),XLOOKUP(E$3,daily_items,XLOOKUP($C2260,daily_dates,big_daily_table)))</f>
        <v>#N/A</v>
      </c>
    </row>
    <row r="2261" ht="14.25" customHeight="1">
      <c r="B2261" s="7">
        <v>43166.0</v>
      </c>
      <c r="C2261" s="7">
        <f t="shared" si="1"/>
        <v>43163</v>
      </c>
      <c r="D2261" s="1" t="str">
        <f t="array" ref="D2261">IF(ISBLANK(XLOOKUP(D$3,daily_items,XLOOKUP($C2261,daily_dates,big_daily_table))),NA(),XLOOKUP(D$3,daily_items,XLOOKUP($C2261,daily_dates,big_daily_table)))</f>
        <v>#N/A</v>
      </c>
      <c r="E2261" s="1" t="str">
        <f t="array" ref="E2261">IF(ISBLANK(XLOOKUP(E$3,daily_items,XLOOKUP($C2261,daily_dates,big_daily_table))),NA(),XLOOKUP(E$3,daily_items,XLOOKUP($C2261,daily_dates,big_daily_table)))</f>
        <v>#N/A</v>
      </c>
    </row>
    <row r="2262" ht="14.25" customHeight="1">
      <c r="B2262" s="7">
        <v>43167.0</v>
      </c>
      <c r="C2262" s="7">
        <f t="shared" si="1"/>
        <v>43163</v>
      </c>
      <c r="D2262" s="1" t="str">
        <f t="array" ref="D2262">IF(ISBLANK(XLOOKUP(D$3,daily_items,XLOOKUP($C2262,daily_dates,big_daily_table))),NA(),XLOOKUP(D$3,daily_items,XLOOKUP($C2262,daily_dates,big_daily_table)))</f>
        <v>#N/A</v>
      </c>
      <c r="E2262" s="1" t="str">
        <f t="array" ref="E2262">IF(ISBLANK(XLOOKUP(E$3,daily_items,XLOOKUP($C2262,daily_dates,big_daily_table))),NA(),XLOOKUP(E$3,daily_items,XLOOKUP($C2262,daily_dates,big_daily_table)))</f>
        <v>#N/A</v>
      </c>
    </row>
    <row r="2263" ht="14.25" customHeight="1">
      <c r="B2263" s="7">
        <v>43168.0</v>
      </c>
      <c r="C2263" s="7">
        <f t="shared" si="1"/>
        <v>43163</v>
      </c>
      <c r="D2263" s="1" t="str">
        <f t="array" ref="D2263">IF(ISBLANK(XLOOKUP(D$3,daily_items,XLOOKUP($C2263,daily_dates,big_daily_table))),NA(),XLOOKUP(D$3,daily_items,XLOOKUP($C2263,daily_dates,big_daily_table)))</f>
        <v>#N/A</v>
      </c>
      <c r="E2263" s="1" t="str">
        <f t="array" ref="E2263">IF(ISBLANK(XLOOKUP(E$3,daily_items,XLOOKUP($C2263,daily_dates,big_daily_table))),NA(),XLOOKUP(E$3,daily_items,XLOOKUP($C2263,daily_dates,big_daily_table)))</f>
        <v>#N/A</v>
      </c>
    </row>
    <row r="2264" ht="14.25" customHeight="1">
      <c r="B2264" s="7">
        <v>43169.0</v>
      </c>
      <c r="C2264" s="7">
        <f t="shared" si="1"/>
        <v>43163</v>
      </c>
      <c r="D2264" s="1" t="str">
        <f t="array" ref="D2264">IF(ISBLANK(XLOOKUP(D$3,daily_items,XLOOKUP($C2264,daily_dates,big_daily_table))),NA(),XLOOKUP(D$3,daily_items,XLOOKUP($C2264,daily_dates,big_daily_table)))</f>
        <v>#N/A</v>
      </c>
      <c r="E2264" s="1" t="str">
        <f t="array" ref="E2264">IF(ISBLANK(XLOOKUP(E$3,daily_items,XLOOKUP($C2264,daily_dates,big_daily_table))),NA(),XLOOKUP(E$3,daily_items,XLOOKUP($C2264,daily_dates,big_daily_table)))</f>
        <v>#N/A</v>
      </c>
    </row>
    <row r="2265" ht="14.25" customHeight="1">
      <c r="B2265" s="7">
        <v>43170.0</v>
      </c>
      <c r="C2265" s="7">
        <f t="shared" si="1"/>
        <v>43170</v>
      </c>
      <c r="D2265" s="1" t="str">
        <f t="array" ref="D2265">IF(ISBLANK(XLOOKUP(D$3,daily_items,XLOOKUP($C2265,daily_dates,big_daily_table))),NA(),XLOOKUP(D$3,daily_items,XLOOKUP($C2265,daily_dates,big_daily_table)))</f>
        <v>#N/A</v>
      </c>
      <c r="E2265" s="1" t="str">
        <f t="array" ref="E2265">IF(ISBLANK(XLOOKUP(E$3,daily_items,XLOOKUP($C2265,daily_dates,big_daily_table))),NA(),XLOOKUP(E$3,daily_items,XLOOKUP($C2265,daily_dates,big_daily_table)))</f>
        <v>#N/A</v>
      </c>
    </row>
    <row r="2266" ht="14.25" customHeight="1">
      <c r="B2266" s="7">
        <v>43171.0</v>
      </c>
      <c r="C2266" s="7">
        <f t="shared" si="1"/>
        <v>43170</v>
      </c>
      <c r="D2266" s="1" t="str">
        <f t="array" ref="D2266">IF(ISBLANK(XLOOKUP(D$3,daily_items,XLOOKUP($C2266,daily_dates,big_daily_table))),NA(),XLOOKUP(D$3,daily_items,XLOOKUP($C2266,daily_dates,big_daily_table)))</f>
        <v>#N/A</v>
      </c>
      <c r="E2266" s="1" t="str">
        <f t="array" ref="E2266">IF(ISBLANK(XLOOKUP(E$3,daily_items,XLOOKUP($C2266,daily_dates,big_daily_table))),NA(),XLOOKUP(E$3,daily_items,XLOOKUP($C2266,daily_dates,big_daily_table)))</f>
        <v>#N/A</v>
      </c>
    </row>
    <row r="2267" ht="14.25" customHeight="1">
      <c r="B2267" s="7">
        <v>43172.0</v>
      </c>
      <c r="C2267" s="7">
        <f t="shared" si="1"/>
        <v>43170</v>
      </c>
      <c r="D2267" s="1" t="str">
        <f t="array" ref="D2267">IF(ISBLANK(XLOOKUP(D$3,daily_items,XLOOKUP($C2267,daily_dates,big_daily_table))),NA(),XLOOKUP(D$3,daily_items,XLOOKUP($C2267,daily_dates,big_daily_table)))</f>
        <v>#N/A</v>
      </c>
      <c r="E2267" s="1" t="str">
        <f t="array" ref="E2267">IF(ISBLANK(XLOOKUP(E$3,daily_items,XLOOKUP($C2267,daily_dates,big_daily_table))),NA(),XLOOKUP(E$3,daily_items,XLOOKUP($C2267,daily_dates,big_daily_table)))</f>
        <v>#N/A</v>
      </c>
    </row>
    <row r="2268" ht="14.25" customHeight="1">
      <c r="B2268" s="7">
        <v>43173.0</v>
      </c>
      <c r="C2268" s="7">
        <f t="shared" si="1"/>
        <v>43170</v>
      </c>
      <c r="D2268" s="1" t="str">
        <f t="array" ref="D2268">IF(ISBLANK(XLOOKUP(D$3,daily_items,XLOOKUP($C2268,daily_dates,big_daily_table))),NA(),XLOOKUP(D$3,daily_items,XLOOKUP($C2268,daily_dates,big_daily_table)))</f>
        <v>#N/A</v>
      </c>
      <c r="E2268" s="1" t="str">
        <f t="array" ref="E2268">IF(ISBLANK(XLOOKUP(E$3,daily_items,XLOOKUP($C2268,daily_dates,big_daily_table))),NA(),XLOOKUP(E$3,daily_items,XLOOKUP($C2268,daily_dates,big_daily_table)))</f>
        <v>#N/A</v>
      </c>
    </row>
    <row r="2269" ht="14.25" customHeight="1">
      <c r="B2269" s="7">
        <v>43174.0</v>
      </c>
      <c r="C2269" s="7">
        <f t="shared" si="1"/>
        <v>43170</v>
      </c>
      <c r="D2269" s="1" t="str">
        <f t="array" ref="D2269">IF(ISBLANK(XLOOKUP(D$3,daily_items,XLOOKUP($C2269,daily_dates,big_daily_table))),NA(),XLOOKUP(D$3,daily_items,XLOOKUP($C2269,daily_dates,big_daily_table)))</f>
        <v>#N/A</v>
      </c>
      <c r="E2269" s="1" t="str">
        <f t="array" ref="E2269">IF(ISBLANK(XLOOKUP(E$3,daily_items,XLOOKUP($C2269,daily_dates,big_daily_table))),NA(),XLOOKUP(E$3,daily_items,XLOOKUP($C2269,daily_dates,big_daily_table)))</f>
        <v>#N/A</v>
      </c>
    </row>
    <row r="2270" ht="14.25" customHeight="1">
      <c r="B2270" s="7">
        <v>43175.0</v>
      </c>
      <c r="C2270" s="7">
        <f t="shared" si="1"/>
        <v>43170</v>
      </c>
      <c r="D2270" s="1" t="str">
        <f t="array" ref="D2270">IF(ISBLANK(XLOOKUP(D$3,daily_items,XLOOKUP($C2270,daily_dates,big_daily_table))),NA(),XLOOKUP(D$3,daily_items,XLOOKUP($C2270,daily_dates,big_daily_table)))</f>
        <v>#N/A</v>
      </c>
      <c r="E2270" s="1" t="str">
        <f t="array" ref="E2270">IF(ISBLANK(XLOOKUP(E$3,daily_items,XLOOKUP($C2270,daily_dates,big_daily_table))),NA(),XLOOKUP(E$3,daily_items,XLOOKUP($C2270,daily_dates,big_daily_table)))</f>
        <v>#N/A</v>
      </c>
    </row>
    <row r="2271" ht="14.25" customHeight="1">
      <c r="B2271" s="7">
        <v>43176.0</v>
      </c>
      <c r="C2271" s="7">
        <f t="shared" si="1"/>
        <v>43170</v>
      </c>
      <c r="D2271" s="1" t="str">
        <f t="array" ref="D2271">IF(ISBLANK(XLOOKUP(D$3,daily_items,XLOOKUP($C2271,daily_dates,big_daily_table))),NA(),XLOOKUP(D$3,daily_items,XLOOKUP($C2271,daily_dates,big_daily_table)))</f>
        <v>#N/A</v>
      </c>
      <c r="E2271" s="1" t="str">
        <f t="array" ref="E2271">IF(ISBLANK(XLOOKUP(E$3,daily_items,XLOOKUP($C2271,daily_dates,big_daily_table))),NA(),XLOOKUP(E$3,daily_items,XLOOKUP($C2271,daily_dates,big_daily_table)))</f>
        <v>#N/A</v>
      </c>
    </row>
    <row r="2272" ht="14.25" customHeight="1">
      <c r="B2272" s="7">
        <v>43177.0</v>
      </c>
      <c r="C2272" s="7">
        <f t="shared" si="1"/>
        <v>43177</v>
      </c>
      <c r="D2272" s="1" t="str">
        <f t="array" ref="D2272">IF(ISBLANK(XLOOKUP(D$3,daily_items,XLOOKUP($C2272,daily_dates,big_daily_table))),NA(),XLOOKUP(D$3,daily_items,XLOOKUP($C2272,daily_dates,big_daily_table)))</f>
        <v>#N/A</v>
      </c>
      <c r="E2272" s="1" t="str">
        <f t="array" ref="E2272">IF(ISBLANK(XLOOKUP(E$3,daily_items,XLOOKUP($C2272,daily_dates,big_daily_table))),NA(),XLOOKUP(E$3,daily_items,XLOOKUP($C2272,daily_dates,big_daily_table)))</f>
        <v>#N/A</v>
      </c>
    </row>
    <row r="2273" ht="14.25" customHeight="1">
      <c r="B2273" s="7">
        <v>43178.0</v>
      </c>
      <c r="C2273" s="7">
        <f t="shared" si="1"/>
        <v>43177</v>
      </c>
      <c r="D2273" s="1" t="str">
        <f t="array" ref="D2273">IF(ISBLANK(XLOOKUP(D$3,daily_items,XLOOKUP($C2273,daily_dates,big_daily_table))),NA(),XLOOKUP(D$3,daily_items,XLOOKUP($C2273,daily_dates,big_daily_table)))</f>
        <v>#N/A</v>
      </c>
      <c r="E2273" s="1" t="str">
        <f t="array" ref="E2273">IF(ISBLANK(XLOOKUP(E$3,daily_items,XLOOKUP($C2273,daily_dates,big_daily_table))),NA(),XLOOKUP(E$3,daily_items,XLOOKUP($C2273,daily_dates,big_daily_table)))</f>
        <v>#N/A</v>
      </c>
    </row>
    <row r="2274" ht="14.25" customHeight="1">
      <c r="B2274" s="7">
        <v>43179.0</v>
      </c>
      <c r="C2274" s="7">
        <f t="shared" si="1"/>
        <v>43177</v>
      </c>
      <c r="D2274" s="1" t="str">
        <f t="array" ref="D2274">IF(ISBLANK(XLOOKUP(D$3,daily_items,XLOOKUP($C2274,daily_dates,big_daily_table))),NA(),XLOOKUP(D$3,daily_items,XLOOKUP($C2274,daily_dates,big_daily_table)))</f>
        <v>#N/A</v>
      </c>
      <c r="E2274" s="1" t="str">
        <f t="array" ref="E2274">IF(ISBLANK(XLOOKUP(E$3,daily_items,XLOOKUP($C2274,daily_dates,big_daily_table))),NA(),XLOOKUP(E$3,daily_items,XLOOKUP($C2274,daily_dates,big_daily_table)))</f>
        <v>#N/A</v>
      </c>
    </row>
    <row r="2275" ht="14.25" customHeight="1">
      <c r="B2275" s="7">
        <v>43180.0</v>
      </c>
      <c r="C2275" s="7">
        <f t="shared" si="1"/>
        <v>43177</v>
      </c>
      <c r="D2275" s="1" t="str">
        <f t="array" ref="D2275">IF(ISBLANK(XLOOKUP(D$3,daily_items,XLOOKUP($C2275,daily_dates,big_daily_table))),NA(),XLOOKUP(D$3,daily_items,XLOOKUP($C2275,daily_dates,big_daily_table)))</f>
        <v>#N/A</v>
      </c>
      <c r="E2275" s="1" t="str">
        <f t="array" ref="E2275">IF(ISBLANK(XLOOKUP(E$3,daily_items,XLOOKUP($C2275,daily_dates,big_daily_table))),NA(),XLOOKUP(E$3,daily_items,XLOOKUP($C2275,daily_dates,big_daily_table)))</f>
        <v>#N/A</v>
      </c>
    </row>
    <row r="2276" ht="14.25" customHeight="1">
      <c r="B2276" s="7">
        <v>43181.0</v>
      </c>
      <c r="C2276" s="7">
        <f t="shared" si="1"/>
        <v>43177</v>
      </c>
      <c r="D2276" s="1" t="str">
        <f t="array" ref="D2276">IF(ISBLANK(XLOOKUP(D$3,daily_items,XLOOKUP($C2276,daily_dates,big_daily_table))),NA(),XLOOKUP(D$3,daily_items,XLOOKUP($C2276,daily_dates,big_daily_table)))</f>
        <v>#N/A</v>
      </c>
      <c r="E2276" s="1" t="str">
        <f t="array" ref="E2276">IF(ISBLANK(XLOOKUP(E$3,daily_items,XLOOKUP($C2276,daily_dates,big_daily_table))),NA(),XLOOKUP(E$3,daily_items,XLOOKUP($C2276,daily_dates,big_daily_table)))</f>
        <v>#N/A</v>
      </c>
    </row>
    <row r="2277" ht="14.25" customHeight="1">
      <c r="B2277" s="7">
        <v>43182.0</v>
      </c>
      <c r="C2277" s="7">
        <f t="shared" si="1"/>
        <v>43177</v>
      </c>
      <c r="D2277" s="1" t="str">
        <f t="array" ref="D2277">IF(ISBLANK(XLOOKUP(D$3,daily_items,XLOOKUP($C2277,daily_dates,big_daily_table))),NA(),XLOOKUP(D$3,daily_items,XLOOKUP($C2277,daily_dates,big_daily_table)))</f>
        <v>#N/A</v>
      </c>
      <c r="E2277" s="1" t="str">
        <f t="array" ref="E2277">IF(ISBLANK(XLOOKUP(E$3,daily_items,XLOOKUP($C2277,daily_dates,big_daily_table))),NA(),XLOOKUP(E$3,daily_items,XLOOKUP($C2277,daily_dates,big_daily_table)))</f>
        <v>#N/A</v>
      </c>
    </row>
    <row r="2278" ht="14.25" customHeight="1">
      <c r="B2278" s="7">
        <v>43183.0</v>
      </c>
      <c r="C2278" s="7">
        <f t="shared" si="1"/>
        <v>43177</v>
      </c>
      <c r="D2278" s="1" t="str">
        <f t="array" ref="D2278">IF(ISBLANK(XLOOKUP(D$3,daily_items,XLOOKUP($C2278,daily_dates,big_daily_table))),NA(),XLOOKUP(D$3,daily_items,XLOOKUP($C2278,daily_dates,big_daily_table)))</f>
        <v>#N/A</v>
      </c>
      <c r="E2278" s="1" t="str">
        <f t="array" ref="E2278">IF(ISBLANK(XLOOKUP(E$3,daily_items,XLOOKUP($C2278,daily_dates,big_daily_table))),NA(),XLOOKUP(E$3,daily_items,XLOOKUP($C2278,daily_dates,big_daily_table)))</f>
        <v>#N/A</v>
      </c>
    </row>
    <row r="2279" ht="14.25" customHeight="1">
      <c r="B2279" s="7">
        <v>43184.0</v>
      </c>
      <c r="C2279" s="7">
        <f t="shared" si="1"/>
        <v>43184</v>
      </c>
      <c r="D2279" s="1" t="str">
        <f t="array" ref="D2279">IF(ISBLANK(XLOOKUP(D$3,daily_items,XLOOKUP($C2279,daily_dates,big_daily_table))),NA(),XLOOKUP(D$3,daily_items,XLOOKUP($C2279,daily_dates,big_daily_table)))</f>
        <v>#N/A</v>
      </c>
      <c r="E2279" s="1" t="str">
        <f t="array" ref="E2279">IF(ISBLANK(XLOOKUP(E$3,daily_items,XLOOKUP($C2279,daily_dates,big_daily_table))),NA(),XLOOKUP(E$3,daily_items,XLOOKUP($C2279,daily_dates,big_daily_table)))</f>
        <v>#N/A</v>
      </c>
    </row>
    <row r="2280" ht="14.25" customHeight="1">
      <c r="B2280" s="7">
        <v>43185.0</v>
      </c>
      <c r="C2280" s="7">
        <f t="shared" si="1"/>
        <v>43184</v>
      </c>
      <c r="D2280" s="1" t="str">
        <f t="array" ref="D2280">IF(ISBLANK(XLOOKUP(D$3,daily_items,XLOOKUP($C2280,daily_dates,big_daily_table))),NA(),XLOOKUP(D$3,daily_items,XLOOKUP($C2280,daily_dates,big_daily_table)))</f>
        <v>#N/A</v>
      </c>
      <c r="E2280" s="1" t="str">
        <f t="array" ref="E2280">IF(ISBLANK(XLOOKUP(E$3,daily_items,XLOOKUP($C2280,daily_dates,big_daily_table))),NA(),XLOOKUP(E$3,daily_items,XLOOKUP($C2280,daily_dates,big_daily_table)))</f>
        <v>#N/A</v>
      </c>
    </row>
    <row r="2281" ht="14.25" customHeight="1">
      <c r="B2281" s="7">
        <v>43186.0</v>
      </c>
      <c r="C2281" s="7">
        <f t="shared" si="1"/>
        <v>43184</v>
      </c>
      <c r="D2281" s="1" t="str">
        <f t="array" ref="D2281">IF(ISBLANK(XLOOKUP(D$3,daily_items,XLOOKUP($C2281,daily_dates,big_daily_table))),NA(),XLOOKUP(D$3,daily_items,XLOOKUP($C2281,daily_dates,big_daily_table)))</f>
        <v>#N/A</v>
      </c>
      <c r="E2281" s="1" t="str">
        <f t="array" ref="E2281">IF(ISBLANK(XLOOKUP(E$3,daily_items,XLOOKUP($C2281,daily_dates,big_daily_table))),NA(),XLOOKUP(E$3,daily_items,XLOOKUP($C2281,daily_dates,big_daily_table)))</f>
        <v>#N/A</v>
      </c>
    </row>
    <row r="2282" ht="14.25" customHeight="1">
      <c r="B2282" s="7">
        <v>43187.0</v>
      </c>
      <c r="C2282" s="7">
        <f t="shared" si="1"/>
        <v>43184</v>
      </c>
      <c r="D2282" s="1" t="str">
        <f t="array" ref="D2282">IF(ISBLANK(XLOOKUP(D$3,daily_items,XLOOKUP($C2282,daily_dates,big_daily_table))),NA(),XLOOKUP(D$3,daily_items,XLOOKUP($C2282,daily_dates,big_daily_table)))</f>
        <v>#N/A</v>
      </c>
      <c r="E2282" s="1" t="str">
        <f t="array" ref="E2282">IF(ISBLANK(XLOOKUP(E$3,daily_items,XLOOKUP($C2282,daily_dates,big_daily_table))),NA(),XLOOKUP(E$3,daily_items,XLOOKUP($C2282,daily_dates,big_daily_table)))</f>
        <v>#N/A</v>
      </c>
    </row>
    <row r="2283" ht="14.25" customHeight="1">
      <c r="B2283" s="7">
        <v>43188.0</v>
      </c>
      <c r="C2283" s="7">
        <f t="shared" si="1"/>
        <v>43184</v>
      </c>
      <c r="D2283" s="1" t="str">
        <f t="array" ref="D2283">IF(ISBLANK(XLOOKUP(D$3,daily_items,XLOOKUP($C2283,daily_dates,big_daily_table))),NA(),XLOOKUP(D$3,daily_items,XLOOKUP($C2283,daily_dates,big_daily_table)))</f>
        <v>#N/A</v>
      </c>
      <c r="E2283" s="1" t="str">
        <f t="array" ref="E2283">IF(ISBLANK(XLOOKUP(E$3,daily_items,XLOOKUP($C2283,daily_dates,big_daily_table))),NA(),XLOOKUP(E$3,daily_items,XLOOKUP($C2283,daily_dates,big_daily_table)))</f>
        <v>#N/A</v>
      </c>
    </row>
    <row r="2284" ht="14.25" customHeight="1">
      <c r="B2284" s="7">
        <v>43189.0</v>
      </c>
      <c r="C2284" s="7">
        <f t="shared" si="1"/>
        <v>43184</v>
      </c>
      <c r="D2284" s="1" t="str">
        <f t="array" ref="D2284">IF(ISBLANK(XLOOKUP(D$3,daily_items,XLOOKUP($C2284,daily_dates,big_daily_table))),NA(),XLOOKUP(D$3,daily_items,XLOOKUP($C2284,daily_dates,big_daily_table)))</f>
        <v>#N/A</v>
      </c>
      <c r="E2284" s="1" t="str">
        <f t="array" ref="E2284">IF(ISBLANK(XLOOKUP(E$3,daily_items,XLOOKUP($C2284,daily_dates,big_daily_table))),NA(),XLOOKUP(E$3,daily_items,XLOOKUP($C2284,daily_dates,big_daily_table)))</f>
        <v>#N/A</v>
      </c>
    </row>
    <row r="2285" ht="14.25" customHeight="1">
      <c r="B2285" s="7">
        <v>43190.0</v>
      </c>
      <c r="C2285" s="7">
        <f t="shared" si="1"/>
        <v>43184</v>
      </c>
      <c r="D2285" s="1" t="str">
        <f t="array" ref="D2285">IF(ISBLANK(XLOOKUP(D$3,daily_items,XLOOKUP($C2285,daily_dates,big_daily_table))),NA(),XLOOKUP(D$3,daily_items,XLOOKUP($C2285,daily_dates,big_daily_table)))</f>
        <v>#N/A</v>
      </c>
      <c r="E2285" s="1" t="str">
        <f t="array" ref="E2285">IF(ISBLANK(XLOOKUP(E$3,daily_items,XLOOKUP($C2285,daily_dates,big_daily_table))),NA(),XLOOKUP(E$3,daily_items,XLOOKUP($C2285,daily_dates,big_daily_table)))</f>
        <v>#N/A</v>
      </c>
    </row>
    <row r="2286" ht="14.25" customHeight="1">
      <c r="B2286" s="7">
        <v>43191.0</v>
      </c>
      <c r="C2286" s="7">
        <f t="shared" si="1"/>
        <v>43191</v>
      </c>
      <c r="D2286" s="1" t="str">
        <f t="array" ref="D2286">IF(ISBLANK(XLOOKUP(D$3,daily_items,XLOOKUP($C2286,daily_dates,big_daily_table))),NA(),XLOOKUP(D$3,daily_items,XLOOKUP($C2286,daily_dates,big_daily_table)))</f>
        <v>#N/A</v>
      </c>
      <c r="E2286" s="1" t="str">
        <f t="array" ref="E2286">IF(ISBLANK(XLOOKUP(E$3,daily_items,XLOOKUP($C2286,daily_dates,big_daily_table))),NA(),XLOOKUP(E$3,daily_items,XLOOKUP($C2286,daily_dates,big_daily_table)))</f>
        <v>#N/A</v>
      </c>
    </row>
    <row r="2287" ht="14.25" customHeight="1">
      <c r="B2287" s="7">
        <v>43192.0</v>
      </c>
      <c r="C2287" s="7">
        <f t="shared" si="1"/>
        <v>43191</v>
      </c>
      <c r="D2287" s="1" t="str">
        <f t="array" ref="D2287">IF(ISBLANK(XLOOKUP(D$3,daily_items,XLOOKUP($C2287,daily_dates,big_daily_table))),NA(),XLOOKUP(D$3,daily_items,XLOOKUP($C2287,daily_dates,big_daily_table)))</f>
        <v>#N/A</v>
      </c>
      <c r="E2287" s="1" t="str">
        <f t="array" ref="E2287">IF(ISBLANK(XLOOKUP(E$3,daily_items,XLOOKUP($C2287,daily_dates,big_daily_table))),NA(),XLOOKUP(E$3,daily_items,XLOOKUP($C2287,daily_dates,big_daily_table)))</f>
        <v>#N/A</v>
      </c>
    </row>
    <row r="2288" ht="14.25" customHeight="1">
      <c r="B2288" s="7">
        <v>43193.0</v>
      </c>
      <c r="C2288" s="7">
        <f t="shared" si="1"/>
        <v>43191</v>
      </c>
      <c r="D2288" s="1" t="str">
        <f t="array" ref="D2288">IF(ISBLANK(XLOOKUP(D$3,daily_items,XLOOKUP($C2288,daily_dates,big_daily_table))),NA(),XLOOKUP(D$3,daily_items,XLOOKUP($C2288,daily_dates,big_daily_table)))</f>
        <v>#N/A</v>
      </c>
      <c r="E2288" s="1" t="str">
        <f t="array" ref="E2288">IF(ISBLANK(XLOOKUP(E$3,daily_items,XLOOKUP($C2288,daily_dates,big_daily_table))),NA(),XLOOKUP(E$3,daily_items,XLOOKUP($C2288,daily_dates,big_daily_table)))</f>
        <v>#N/A</v>
      </c>
    </row>
    <row r="2289" ht="14.25" customHeight="1">
      <c r="B2289" s="7">
        <v>43194.0</v>
      </c>
      <c r="C2289" s="7">
        <f t="shared" si="1"/>
        <v>43191</v>
      </c>
      <c r="D2289" s="1" t="str">
        <f t="array" ref="D2289">IF(ISBLANK(XLOOKUP(D$3,daily_items,XLOOKUP($C2289,daily_dates,big_daily_table))),NA(),XLOOKUP(D$3,daily_items,XLOOKUP($C2289,daily_dates,big_daily_table)))</f>
        <v>#N/A</v>
      </c>
      <c r="E2289" s="1" t="str">
        <f t="array" ref="E2289">IF(ISBLANK(XLOOKUP(E$3,daily_items,XLOOKUP($C2289,daily_dates,big_daily_table))),NA(),XLOOKUP(E$3,daily_items,XLOOKUP($C2289,daily_dates,big_daily_table)))</f>
        <v>#N/A</v>
      </c>
    </row>
    <row r="2290" ht="14.25" customHeight="1">
      <c r="B2290" s="7">
        <v>43195.0</v>
      </c>
      <c r="C2290" s="7">
        <f t="shared" si="1"/>
        <v>43191</v>
      </c>
      <c r="D2290" s="1" t="str">
        <f t="array" ref="D2290">IF(ISBLANK(XLOOKUP(D$3,daily_items,XLOOKUP($C2290,daily_dates,big_daily_table))),NA(),XLOOKUP(D$3,daily_items,XLOOKUP($C2290,daily_dates,big_daily_table)))</f>
        <v>#N/A</v>
      </c>
      <c r="E2290" s="1" t="str">
        <f t="array" ref="E2290">IF(ISBLANK(XLOOKUP(E$3,daily_items,XLOOKUP($C2290,daily_dates,big_daily_table))),NA(),XLOOKUP(E$3,daily_items,XLOOKUP($C2290,daily_dates,big_daily_table)))</f>
        <v>#N/A</v>
      </c>
    </row>
    <row r="2291" ht="14.25" customHeight="1">
      <c r="B2291" s="7">
        <v>43196.0</v>
      </c>
      <c r="C2291" s="7">
        <f t="shared" si="1"/>
        <v>43191</v>
      </c>
      <c r="D2291" s="1" t="str">
        <f t="array" ref="D2291">IF(ISBLANK(XLOOKUP(D$3,daily_items,XLOOKUP($C2291,daily_dates,big_daily_table))),NA(),XLOOKUP(D$3,daily_items,XLOOKUP($C2291,daily_dates,big_daily_table)))</f>
        <v>#N/A</v>
      </c>
      <c r="E2291" s="1" t="str">
        <f t="array" ref="E2291">IF(ISBLANK(XLOOKUP(E$3,daily_items,XLOOKUP($C2291,daily_dates,big_daily_table))),NA(),XLOOKUP(E$3,daily_items,XLOOKUP($C2291,daily_dates,big_daily_table)))</f>
        <v>#N/A</v>
      </c>
    </row>
    <row r="2292" ht="14.25" customHeight="1">
      <c r="B2292" s="7">
        <v>43197.0</v>
      </c>
      <c r="C2292" s="7">
        <f t="shared" si="1"/>
        <v>43191</v>
      </c>
      <c r="D2292" s="1" t="str">
        <f t="array" ref="D2292">IF(ISBLANK(XLOOKUP(D$3,daily_items,XLOOKUP($C2292,daily_dates,big_daily_table))),NA(),XLOOKUP(D$3,daily_items,XLOOKUP($C2292,daily_dates,big_daily_table)))</f>
        <v>#N/A</v>
      </c>
      <c r="E2292" s="1" t="str">
        <f t="array" ref="E2292">IF(ISBLANK(XLOOKUP(E$3,daily_items,XLOOKUP($C2292,daily_dates,big_daily_table))),NA(),XLOOKUP(E$3,daily_items,XLOOKUP($C2292,daily_dates,big_daily_table)))</f>
        <v>#N/A</v>
      </c>
    </row>
    <row r="2293" ht="14.25" customHeight="1">
      <c r="B2293" s="7">
        <v>43198.0</v>
      </c>
      <c r="C2293" s="7">
        <f t="shared" si="1"/>
        <v>43198</v>
      </c>
      <c r="D2293" s="1" t="str">
        <f t="array" ref="D2293">IF(ISBLANK(XLOOKUP(D$3,daily_items,XLOOKUP($C2293,daily_dates,big_daily_table))),NA(),XLOOKUP(D$3,daily_items,XLOOKUP($C2293,daily_dates,big_daily_table)))</f>
        <v>#N/A</v>
      </c>
      <c r="E2293" s="1" t="str">
        <f t="array" ref="E2293">IF(ISBLANK(XLOOKUP(E$3,daily_items,XLOOKUP($C2293,daily_dates,big_daily_table))),NA(),XLOOKUP(E$3,daily_items,XLOOKUP($C2293,daily_dates,big_daily_table)))</f>
        <v>#N/A</v>
      </c>
    </row>
    <row r="2294" ht="14.25" customHeight="1">
      <c r="B2294" s="7">
        <v>43199.0</v>
      </c>
      <c r="C2294" s="7">
        <f t="shared" si="1"/>
        <v>43198</v>
      </c>
      <c r="D2294" s="1" t="str">
        <f t="array" ref="D2294">IF(ISBLANK(XLOOKUP(D$3,daily_items,XLOOKUP($C2294,daily_dates,big_daily_table))),NA(),XLOOKUP(D$3,daily_items,XLOOKUP($C2294,daily_dates,big_daily_table)))</f>
        <v>#N/A</v>
      </c>
      <c r="E2294" s="1" t="str">
        <f t="array" ref="E2294">IF(ISBLANK(XLOOKUP(E$3,daily_items,XLOOKUP($C2294,daily_dates,big_daily_table))),NA(),XLOOKUP(E$3,daily_items,XLOOKUP($C2294,daily_dates,big_daily_table)))</f>
        <v>#N/A</v>
      </c>
    </row>
    <row r="2295" ht="14.25" customHeight="1">
      <c r="B2295" s="7">
        <v>43200.0</v>
      </c>
      <c r="C2295" s="7">
        <f t="shared" si="1"/>
        <v>43198</v>
      </c>
      <c r="D2295" s="1" t="str">
        <f t="array" ref="D2295">IF(ISBLANK(XLOOKUP(D$3,daily_items,XLOOKUP($C2295,daily_dates,big_daily_table))),NA(),XLOOKUP(D$3,daily_items,XLOOKUP($C2295,daily_dates,big_daily_table)))</f>
        <v>#N/A</v>
      </c>
      <c r="E2295" s="1" t="str">
        <f t="array" ref="E2295">IF(ISBLANK(XLOOKUP(E$3,daily_items,XLOOKUP($C2295,daily_dates,big_daily_table))),NA(),XLOOKUP(E$3,daily_items,XLOOKUP($C2295,daily_dates,big_daily_table)))</f>
        <v>#N/A</v>
      </c>
    </row>
    <row r="2296" ht="14.25" customHeight="1">
      <c r="B2296" s="7">
        <v>43201.0</v>
      </c>
      <c r="C2296" s="7">
        <f t="shared" si="1"/>
        <v>43198</v>
      </c>
      <c r="D2296" s="1" t="str">
        <f t="array" ref="D2296">IF(ISBLANK(XLOOKUP(D$3,daily_items,XLOOKUP($C2296,daily_dates,big_daily_table))),NA(),XLOOKUP(D$3,daily_items,XLOOKUP($C2296,daily_dates,big_daily_table)))</f>
        <v>#N/A</v>
      </c>
      <c r="E2296" s="1" t="str">
        <f t="array" ref="E2296">IF(ISBLANK(XLOOKUP(E$3,daily_items,XLOOKUP($C2296,daily_dates,big_daily_table))),NA(),XLOOKUP(E$3,daily_items,XLOOKUP($C2296,daily_dates,big_daily_table)))</f>
        <v>#N/A</v>
      </c>
    </row>
    <row r="2297" ht="14.25" customHeight="1">
      <c r="B2297" s="7">
        <v>43202.0</v>
      </c>
      <c r="C2297" s="7">
        <f t="shared" si="1"/>
        <v>43198</v>
      </c>
      <c r="D2297" s="1" t="str">
        <f t="array" ref="D2297">IF(ISBLANK(XLOOKUP(D$3,daily_items,XLOOKUP($C2297,daily_dates,big_daily_table))),NA(),XLOOKUP(D$3,daily_items,XLOOKUP($C2297,daily_dates,big_daily_table)))</f>
        <v>#N/A</v>
      </c>
      <c r="E2297" s="1" t="str">
        <f t="array" ref="E2297">IF(ISBLANK(XLOOKUP(E$3,daily_items,XLOOKUP($C2297,daily_dates,big_daily_table))),NA(),XLOOKUP(E$3,daily_items,XLOOKUP($C2297,daily_dates,big_daily_table)))</f>
        <v>#N/A</v>
      </c>
    </row>
    <row r="2298" ht="14.25" customHeight="1">
      <c r="B2298" s="7">
        <v>43203.0</v>
      </c>
      <c r="C2298" s="7">
        <f t="shared" si="1"/>
        <v>43198</v>
      </c>
      <c r="D2298" s="1" t="str">
        <f t="array" ref="D2298">IF(ISBLANK(XLOOKUP(D$3,daily_items,XLOOKUP($C2298,daily_dates,big_daily_table))),NA(),XLOOKUP(D$3,daily_items,XLOOKUP($C2298,daily_dates,big_daily_table)))</f>
        <v>#N/A</v>
      </c>
      <c r="E2298" s="1" t="str">
        <f t="array" ref="E2298">IF(ISBLANK(XLOOKUP(E$3,daily_items,XLOOKUP($C2298,daily_dates,big_daily_table))),NA(),XLOOKUP(E$3,daily_items,XLOOKUP($C2298,daily_dates,big_daily_table)))</f>
        <v>#N/A</v>
      </c>
    </row>
    <row r="2299" ht="14.25" customHeight="1">
      <c r="B2299" s="7">
        <v>43204.0</v>
      </c>
      <c r="C2299" s="7">
        <f t="shared" si="1"/>
        <v>43198</v>
      </c>
      <c r="D2299" s="1" t="str">
        <f t="array" ref="D2299">IF(ISBLANK(XLOOKUP(D$3,daily_items,XLOOKUP($C2299,daily_dates,big_daily_table))),NA(),XLOOKUP(D$3,daily_items,XLOOKUP($C2299,daily_dates,big_daily_table)))</f>
        <v>#N/A</v>
      </c>
      <c r="E2299" s="1" t="str">
        <f t="array" ref="E2299">IF(ISBLANK(XLOOKUP(E$3,daily_items,XLOOKUP($C2299,daily_dates,big_daily_table))),NA(),XLOOKUP(E$3,daily_items,XLOOKUP($C2299,daily_dates,big_daily_table)))</f>
        <v>#N/A</v>
      </c>
    </row>
    <row r="2300" ht="14.25" customHeight="1">
      <c r="B2300" s="7">
        <v>43205.0</v>
      </c>
      <c r="C2300" s="7">
        <f t="shared" si="1"/>
        <v>43205</v>
      </c>
      <c r="D2300" s="1" t="str">
        <f t="array" ref="D2300">IF(ISBLANK(XLOOKUP(D$3,daily_items,XLOOKUP($C2300,daily_dates,big_daily_table))),NA(),XLOOKUP(D$3,daily_items,XLOOKUP($C2300,daily_dates,big_daily_table)))</f>
        <v>#N/A</v>
      </c>
      <c r="E2300" s="1" t="str">
        <f t="array" ref="E2300">IF(ISBLANK(XLOOKUP(E$3,daily_items,XLOOKUP($C2300,daily_dates,big_daily_table))),NA(),XLOOKUP(E$3,daily_items,XLOOKUP($C2300,daily_dates,big_daily_table)))</f>
        <v>#N/A</v>
      </c>
    </row>
    <row r="2301" ht="14.25" customHeight="1">
      <c r="B2301" s="7">
        <v>43206.0</v>
      </c>
      <c r="C2301" s="7">
        <f t="shared" si="1"/>
        <v>43205</v>
      </c>
      <c r="D2301" s="1" t="str">
        <f t="array" ref="D2301">IF(ISBLANK(XLOOKUP(D$3,daily_items,XLOOKUP($C2301,daily_dates,big_daily_table))),NA(),XLOOKUP(D$3,daily_items,XLOOKUP($C2301,daily_dates,big_daily_table)))</f>
        <v>#N/A</v>
      </c>
      <c r="E2301" s="1" t="str">
        <f t="array" ref="E2301">IF(ISBLANK(XLOOKUP(E$3,daily_items,XLOOKUP($C2301,daily_dates,big_daily_table))),NA(),XLOOKUP(E$3,daily_items,XLOOKUP($C2301,daily_dates,big_daily_table)))</f>
        <v>#N/A</v>
      </c>
    </row>
    <row r="2302" ht="14.25" customHeight="1">
      <c r="B2302" s="7">
        <v>43207.0</v>
      </c>
      <c r="C2302" s="7">
        <f t="shared" si="1"/>
        <v>43205</v>
      </c>
      <c r="D2302" s="1" t="str">
        <f t="array" ref="D2302">IF(ISBLANK(XLOOKUP(D$3,daily_items,XLOOKUP($C2302,daily_dates,big_daily_table))),NA(),XLOOKUP(D$3,daily_items,XLOOKUP($C2302,daily_dates,big_daily_table)))</f>
        <v>#N/A</v>
      </c>
      <c r="E2302" s="1" t="str">
        <f t="array" ref="E2302">IF(ISBLANK(XLOOKUP(E$3,daily_items,XLOOKUP($C2302,daily_dates,big_daily_table))),NA(),XLOOKUP(E$3,daily_items,XLOOKUP($C2302,daily_dates,big_daily_table)))</f>
        <v>#N/A</v>
      </c>
    </row>
    <row r="2303" ht="14.25" customHeight="1">
      <c r="B2303" s="7">
        <v>43208.0</v>
      </c>
      <c r="C2303" s="7">
        <f t="shared" si="1"/>
        <v>43205</v>
      </c>
      <c r="D2303" s="1" t="str">
        <f t="array" ref="D2303">IF(ISBLANK(XLOOKUP(D$3,daily_items,XLOOKUP($C2303,daily_dates,big_daily_table))),NA(),XLOOKUP(D$3,daily_items,XLOOKUP($C2303,daily_dates,big_daily_table)))</f>
        <v>#N/A</v>
      </c>
      <c r="E2303" s="1" t="str">
        <f t="array" ref="E2303">IF(ISBLANK(XLOOKUP(E$3,daily_items,XLOOKUP($C2303,daily_dates,big_daily_table))),NA(),XLOOKUP(E$3,daily_items,XLOOKUP($C2303,daily_dates,big_daily_table)))</f>
        <v>#N/A</v>
      </c>
    </row>
    <row r="2304" ht="14.25" customHeight="1">
      <c r="B2304" s="7">
        <v>43209.0</v>
      </c>
      <c r="C2304" s="7">
        <f t="shared" si="1"/>
        <v>43205</v>
      </c>
      <c r="D2304" s="1" t="str">
        <f t="array" ref="D2304">IF(ISBLANK(XLOOKUP(D$3,daily_items,XLOOKUP($C2304,daily_dates,big_daily_table))),NA(),XLOOKUP(D$3,daily_items,XLOOKUP($C2304,daily_dates,big_daily_table)))</f>
        <v>#N/A</v>
      </c>
      <c r="E2304" s="1" t="str">
        <f t="array" ref="E2304">IF(ISBLANK(XLOOKUP(E$3,daily_items,XLOOKUP($C2304,daily_dates,big_daily_table))),NA(),XLOOKUP(E$3,daily_items,XLOOKUP($C2304,daily_dates,big_daily_table)))</f>
        <v>#N/A</v>
      </c>
    </row>
    <row r="2305" ht="14.25" customHeight="1">
      <c r="B2305" s="7">
        <v>43210.0</v>
      </c>
      <c r="C2305" s="7">
        <f t="shared" si="1"/>
        <v>43205</v>
      </c>
      <c r="D2305" s="1" t="str">
        <f t="array" ref="D2305">IF(ISBLANK(XLOOKUP(D$3,daily_items,XLOOKUP($C2305,daily_dates,big_daily_table))),NA(),XLOOKUP(D$3,daily_items,XLOOKUP($C2305,daily_dates,big_daily_table)))</f>
        <v>#N/A</v>
      </c>
      <c r="E2305" s="1" t="str">
        <f t="array" ref="E2305">IF(ISBLANK(XLOOKUP(E$3,daily_items,XLOOKUP($C2305,daily_dates,big_daily_table))),NA(),XLOOKUP(E$3,daily_items,XLOOKUP($C2305,daily_dates,big_daily_table)))</f>
        <v>#N/A</v>
      </c>
    </row>
    <row r="2306" ht="14.25" customHeight="1">
      <c r="B2306" s="7">
        <v>43211.0</v>
      </c>
      <c r="C2306" s="7">
        <f t="shared" si="1"/>
        <v>43205</v>
      </c>
      <c r="D2306" s="1" t="str">
        <f t="array" ref="D2306">IF(ISBLANK(XLOOKUP(D$3,daily_items,XLOOKUP($C2306,daily_dates,big_daily_table))),NA(),XLOOKUP(D$3,daily_items,XLOOKUP($C2306,daily_dates,big_daily_table)))</f>
        <v>#N/A</v>
      </c>
      <c r="E2306" s="1" t="str">
        <f t="array" ref="E2306">IF(ISBLANK(XLOOKUP(E$3,daily_items,XLOOKUP($C2306,daily_dates,big_daily_table))),NA(),XLOOKUP(E$3,daily_items,XLOOKUP($C2306,daily_dates,big_daily_table)))</f>
        <v>#N/A</v>
      </c>
    </row>
    <row r="2307" ht="14.25" customHeight="1">
      <c r="B2307" s="7">
        <v>43212.0</v>
      </c>
      <c r="C2307" s="7">
        <f t="shared" si="1"/>
        <v>43212</v>
      </c>
      <c r="D2307" s="1" t="str">
        <f t="array" ref="D2307">IF(ISBLANK(XLOOKUP(D$3,daily_items,XLOOKUP($C2307,daily_dates,big_daily_table))),NA(),XLOOKUP(D$3,daily_items,XLOOKUP($C2307,daily_dates,big_daily_table)))</f>
        <v>#N/A</v>
      </c>
      <c r="E2307" s="1" t="str">
        <f t="array" ref="E2307">IF(ISBLANK(XLOOKUP(E$3,daily_items,XLOOKUP($C2307,daily_dates,big_daily_table))),NA(),XLOOKUP(E$3,daily_items,XLOOKUP($C2307,daily_dates,big_daily_table)))</f>
        <v>#N/A</v>
      </c>
    </row>
    <row r="2308" ht="14.25" customHeight="1">
      <c r="B2308" s="7">
        <v>43213.0</v>
      </c>
      <c r="C2308" s="7">
        <f t="shared" si="1"/>
        <v>43212</v>
      </c>
      <c r="D2308" s="1" t="str">
        <f t="array" ref="D2308">IF(ISBLANK(XLOOKUP(D$3,daily_items,XLOOKUP($C2308,daily_dates,big_daily_table))),NA(),XLOOKUP(D$3,daily_items,XLOOKUP($C2308,daily_dates,big_daily_table)))</f>
        <v>#N/A</v>
      </c>
      <c r="E2308" s="1" t="str">
        <f t="array" ref="E2308">IF(ISBLANK(XLOOKUP(E$3,daily_items,XLOOKUP($C2308,daily_dates,big_daily_table))),NA(),XLOOKUP(E$3,daily_items,XLOOKUP($C2308,daily_dates,big_daily_table)))</f>
        <v>#N/A</v>
      </c>
    </row>
    <row r="2309" ht="14.25" customHeight="1">
      <c r="B2309" s="7">
        <v>43214.0</v>
      </c>
      <c r="C2309" s="7">
        <f t="shared" si="1"/>
        <v>43212</v>
      </c>
      <c r="D2309" s="1" t="str">
        <f t="array" ref="D2309">IF(ISBLANK(XLOOKUP(D$3,daily_items,XLOOKUP($C2309,daily_dates,big_daily_table))),NA(),XLOOKUP(D$3,daily_items,XLOOKUP($C2309,daily_dates,big_daily_table)))</f>
        <v>#N/A</v>
      </c>
      <c r="E2309" s="1" t="str">
        <f t="array" ref="E2309">IF(ISBLANK(XLOOKUP(E$3,daily_items,XLOOKUP($C2309,daily_dates,big_daily_table))),NA(),XLOOKUP(E$3,daily_items,XLOOKUP($C2309,daily_dates,big_daily_table)))</f>
        <v>#N/A</v>
      </c>
    </row>
    <row r="2310" ht="14.25" customHeight="1">
      <c r="B2310" s="7">
        <v>43215.0</v>
      </c>
      <c r="C2310" s="7">
        <f t="shared" si="1"/>
        <v>43212</v>
      </c>
      <c r="D2310" s="1" t="str">
        <f t="array" ref="D2310">IF(ISBLANK(XLOOKUP(D$3,daily_items,XLOOKUP($C2310,daily_dates,big_daily_table))),NA(),XLOOKUP(D$3,daily_items,XLOOKUP($C2310,daily_dates,big_daily_table)))</f>
        <v>#N/A</v>
      </c>
      <c r="E2310" s="1" t="str">
        <f t="array" ref="E2310">IF(ISBLANK(XLOOKUP(E$3,daily_items,XLOOKUP($C2310,daily_dates,big_daily_table))),NA(),XLOOKUP(E$3,daily_items,XLOOKUP($C2310,daily_dates,big_daily_table)))</f>
        <v>#N/A</v>
      </c>
    </row>
    <row r="2311" ht="14.25" customHeight="1">
      <c r="B2311" s="7">
        <v>43216.0</v>
      </c>
      <c r="C2311" s="7">
        <f t="shared" si="1"/>
        <v>43212</v>
      </c>
      <c r="D2311" s="1" t="str">
        <f t="array" ref="D2311">IF(ISBLANK(XLOOKUP(D$3,daily_items,XLOOKUP($C2311,daily_dates,big_daily_table))),NA(),XLOOKUP(D$3,daily_items,XLOOKUP($C2311,daily_dates,big_daily_table)))</f>
        <v>#N/A</v>
      </c>
      <c r="E2311" s="1" t="str">
        <f t="array" ref="E2311">IF(ISBLANK(XLOOKUP(E$3,daily_items,XLOOKUP($C2311,daily_dates,big_daily_table))),NA(),XLOOKUP(E$3,daily_items,XLOOKUP($C2311,daily_dates,big_daily_table)))</f>
        <v>#N/A</v>
      </c>
    </row>
    <row r="2312" ht="14.25" customHeight="1">
      <c r="B2312" s="7">
        <v>43217.0</v>
      </c>
      <c r="C2312" s="7">
        <f t="shared" si="1"/>
        <v>43212</v>
      </c>
      <c r="D2312" s="1" t="str">
        <f t="array" ref="D2312">IF(ISBLANK(XLOOKUP(D$3,daily_items,XLOOKUP($C2312,daily_dates,big_daily_table))),NA(),XLOOKUP(D$3,daily_items,XLOOKUP($C2312,daily_dates,big_daily_table)))</f>
        <v>#N/A</v>
      </c>
      <c r="E2312" s="1" t="str">
        <f t="array" ref="E2312">IF(ISBLANK(XLOOKUP(E$3,daily_items,XLOOKUP($C2312,daily_dates,big_daily_table))),NA(),XLOOKUP(E$3,daily_items,XLOOKUP($C2312,daily_dates,big_daily_table)))</f>
        <v>#N/A</v>
      </c>
    </row>
    <row r="2313" ht="14.25" customHeight="1">
      <c r="B2313" s="7">
        <v>43218.0</v>
      </c>
      <c r="C2313" s="7">
        <f t="shared" si="1"/>
        <v>43212</v>
      </c>
      <c r="D2313" s="1" t="str">
        <f t="array" ref="D2313">IF(ISBLANK(XLOOKUP(D$3,daily_items,XLOOKUP($C2313,daily_dates,big_daily_table))),NA(),XLOOKUP(D$3,daily_items,XLOOKUP($C2313,daily_dates,big_daily_table)))</f>
        <v>#N/A</v>
      </c>
      <c r="E2313" s="1" t="str">
        <f t="array" ref="E2313">IF(ISBLANK(XLOOKUP(E$3,daily_items,XLOOKUP($C2313,daily_dates,big_daily_table))),NA(),XLOOKUP(E$3,daily_items,XLOOKUP($C2313,daily_dates,big_daily_table)))</f>
        <v>#N/A</v>
      </c>
    </row>
    <row r="2314" ht="14.25" customHeight="1">
      <c r="B2314" s="7">
        <v>43219.0</v>
      </c>
      <c r="C2314" s="7">
        <f t="shared" si="1"/>
        <v>43219</v>
      </c>
      <c r="D2314" s="1" t="str">
        <f t="array" ref="D2314">IF(ISBLANK(XLOOKUP(D$3,daily_items,XLOOKUP($C2314,daily_dates,big_daily_table))),NA(),XLOOKUP(D$3,daily_items,XLOOKUP($C2314,daily_dates,big_daily_table)))</f>
        <v>#N/A</v>
      </c>
      <c r="E2314" s="1" t="str">
        <f t="array" ref="E2314">IF(ISBLANK(XLOOKUP(E$3,daily_items,XLOOKUP($C2314,daily_dates,big_daily_table))),NA(),XLOOKUP(E$3,daily_items,XLOOKUP($C2314,daily_dates,big_daily_table)))</f>
        <v>#N/A</v>
      </c>
    </row>
    <row r="2315" ht="14.25" customHeight="1">
      <c r="B2315" s="7">
        <v>43220.0</v>
      </c>
      <c r="C2315" s="7">
        <f t="shared" si="1"/>
        <v>43219</v>
      </c>
      <c r="D2315" s="1" t="str">
        <f t="array" ref="D2315">IF(ISBLANK(XLOOKUP(D$3,daily_items,XLOOKUP($C2315,daily_dates,big_daily_table))),NA(),XLOOKUP(D$3,daily_items,XLOOKUP($C2315,daily_dates,big_daily_table)))</f>
        <v>#N/A</v>
      </c>
      <c r="E2315" s="1" t="str">
        <f t="array" ref="E2315">IF(ISBLANK(XLOOKUP(E$3,daily_items,XLOOKUP($C2315,daily_dates,big_daily_table))),NA(),XLOOKUP(E$3,daily_items,XLOOKUP($C2315,daily_dates,big_daily_table)))</f>
        <v>#N/A</v>
      </c>
    </row>
    <row r="2316" ht="14.25" customHeight="1">
      <c r="B2316" s="7">
        <v>43221.0</v>
      </c>
      <c r="C2316" s="7">
        <f t="shared" si="1"/>
        <v>43219</v>
      </c>
      <c r="D2316" s="1" t="str">
        <f t="array" ref="D2316">IF(ISBLANK(XLOOKUP(D$3,daily_items,XLOOKUP($C2316,daily_dates,big_daily_table))),NA(),XLOOKUP(D$3,daily_items,XLOOKUP($C2316,daily_dates,big_daily_table)))</f>
        <v>#N/A</v>
      </c>
      <c r="E2316" s="1" t="str">
        <f t="array" ref="E2316">IF(ISBLANK(XLOOKUP(E$3,daily_items,XLOOKUP($C2316,daily_dates,big_daily_table))),NA(),XLOOKUP(E$3,daily_items,XLOOKUP($C2316,daily_dates,big_daily_table)))</f>
        <v>#N/A</v>
      </c>
    </row>
    <row r="2317" ht="14.25" customHeight="1">
      <c r="B2317" s="7">
        <v>43222.0</v>
      </c>
      <c r="C2317" s="7">
        <f t="shared" si="1"/>
        <v>43219</v>
      </c>
      <c r="D2317" s="1" t="str">
        <f t="array" ref="D2317">IF(ISBLANK(XLOOKUP(D$3,daily_items,XLOOKUP($C2317,daily_dates,big_daily_table))),NA(),XLOOKUP(D$3,daily_items,XLOOKUP($C2317,daily_dates,big_daily_table)))</f>
        <v>#N/A</v>
      </c>
      <c r="E2317" s="1" t="str">
        <f t="array" ref="E2317">IF(ISBLANK(XLOOKUP(E$3,daily_items,XLOOKUP($C2317,daily_dates,big_daily_table))),NA(),XLOOKUP(E$3,daily_items,XLOOKUP($C2317,daily_dates,big_daily_table)))</f>
        <v>#N/A</v>
      </c>
    </row>
    <row r="2318" ht="14.25" customHeight="1">
      <c r="B2318" s="7">
        <v>43223.0</v>
      </c>
      <c r="C2318" s="7">
        <f t="shared" si="1"/>
        <v>43219</v>
      </c>
      <c r="D2318" s="1" t="str">
        <f t="array" ref="D2318">IF(ISBLANK(XLOOKUP(D$3,daily_items,XLOOKUP($C2318,daily_dates,big_daily_table))),NA(),XLOOKUP(D$3,daily_items,XLOOKUP($C2318,daily_dates,big_daily_table)))</f>
        <v>#N/A</v>
      </c>
      <c r="E2318" s="1" t="str">
        <f t="array" ref="E2318">IF(ISBLANK(XLOOKUP(E$3,daily_items,XLOOKUP($C2318,daily_dates,big_daily_table))),NA(),XLOOKUP(E$3,daily_items,XLOOKUP($C2318,daily_dates,big_daily_table)))</f>
        <v>#N/A</v>
      </c>
    </row>
    <row r="2319" ht="14.25" customHeight="1">
      <c r="B2319" s="7">
        <v>43224.0</v>
      </c>
      <c r="C2319" s="7">
        <f t="shared" si="1"/>
        <v>43219</v>
      </c>
      <c r="D2319" s="1" t="str">
        <f t="array" ref="D2319">IF(ISBLANK(XLOOKUP(D$3,daily_items,XLOOKUP($C2319,daily_dates,big_daily_table))),NA(),XLOOKUP(D$3,daily_items,XLOOKUP($C2319,daily_dates,big_daily_table)))</f>
        <v>#N/A</v>
      </c>
      <c r="E2319" s="1" t="str">
        <f t="array" ref="E2319">IF(ISBLANK(XLOOKUP(E$3,daily_items,XLOOKUP($C2319,daily_dates,big_daily_table))),NA(),XLOOKUP(E$3,daily_items,XLOOKUP($C2319,daily_dates,big_daily_table)))</f>
        <v>#N/A</v>
      </c>
    </row>
    <row r="2320" ht="14.25" customHeight="1">
      <c r="B2320" s="7">
        <v>43225.0</v>
      </c>
      <c r="C2320" s="7">
        <f t="shared" si="1"/>
        <v>43219</v>
      </c>
      <c r="D2320" s="1" t="str">
        <f t="array" ref="D2320">IF(ISBLANK(XLOOKUP(D$3,daily_items,XLOOKUP($C2320,daily_dates,big_daily_table))),NA(),XLOOKUP(D$3,daily_items,XLOOKUP($C2320,daily_dates,big_daily_table)))</f>
        <v>#N/A</v>
      </c>
      <c r="E2320" s="1" t="str">
        <f t="array" ref="E2320">IF(ISBLANK(XLOOKUP(E$3,daily_items,XLOOKUP($C2320,daily_dates,big_daily_table))),NA(),XLOOKUP(E$3,daily_items,XLOOKUP($C2320,daily_dates,big_daily_table)))</f>
        <v>#N/A</v>
      </c>
    </row>
    <row r="2321" ht="14.25" customHeight="1">
      <c r="B2321" s="7">
        <v>43226.0</v>
      </c>
      <c r="C2321" s="7">
        <f t="shared" si="1"/>
        <v>43226</v>
      </c>
      <c r="D2321" s="1" t="str">
        <f t="array" ref="D2321">IF(ISBLANK(XLOOKUP(D$3,daily_items,XLOOKUP($C2321,daily_dates,big_daily_table))),NA(),XLOOKUP(D$3,daily_items,XLOOKUP($C2321,daily_dates,big_daily_table)))</f>
        <v>#N/A</v>
      </c>
      <c r="E2321" s="1" t="str">
        <f t="array" ref="E2321">IF(ISBLANK(XLOOKUP(E$3,daily_items,XLOOKUP($C2321,daily_dates,big_daily_table))),NA(),XLOOKUP(E$3,daily_items,XLOOKUP($C2321,daily_dates,big_daily_table)))</f>
        <v>#N/A</v>
      </c>
    </row>
    <row r="2322" ht="14.25" customHeight="1">
      <c r="B2322" s="7">
        <v>43227.0</v>
      </c>
      <c r="C2322" s="7">
        <f t="shared" si="1"/>
        <v>43226</v>
      </c>
      <c r="D2322" s="1" t="str">
        <f t="array" ref="D2322">IF(ISBLANK(XLOOKUP(D$3,daily_items,XLOOKUP($C2322,daily_dates,big_daily_table))),NA(),XLOOKUP(D$3,daily_items,XLOOKUP($C2322,daily_dates,big_daily_table)))</f>
        <v>#N/A</v>
      </c>
      <c r="E2322" s="1" t="str">
        <f t="array" ref="E2322">IF(ISBLANK(XLOOKUP(E$3,daily_items,XLOOKUP($C2322,daily_dates,big_daily_table))),NA(),XLOOKUP(E$3,daily_items,XLOOKUP($C2322,daily_dates,big_daily_table)))</f>
        <v>#N/A</v>
      </c>
    </row>
    <row r="2323" ht="14.25" customHeight="1">
      <c r="B2323" s="7">
        <v>43228.0</v>
      </c>
      <c r="C2323" s="7">
        <f t="shared" si="1"/>
        <v>43226</v>
      </c>
      <c r="D2323" s="1" t="str">
        <f t="array" ref="D2323">IF(ISBLANK(XLOOKUP(D$3,daily_items,XLOOKUP($C2323,daily_dates,big_daily_table))),NA(),XLOOKUP(D$3,daily_items,XLOOKUP($C2323,daily_dates,big_daily_table)))</f>
        <v>#N/A</v>
      </c>
      <c r="E2323" s="1" t="str">
        <f t="array" ref="E2323">IF(ISBLANK(XLOOKUP(E$3,daily_items,XLOOKUP($C2323,daily_dates,big_daily_table))),NA(),XLOOKUP(E$3,daily_items,XLOOKUP($C2323,daily_dates,big_daily_table)))</f>
        <v>#N/A</v>
      </c>
    </row>
    <row r="2324" ht="14.25" customHeight="1">
      <c r="B2324" s="7">
        <v>43229.0</v>
      </c>
      <c r="C2324" s="7">
        <f t="shared" si="1"/>
        <v>43226</v>
      </c>
      <c r="D2324" s="1" t="str">
        <f t="array" ref="D2324">IF(ISBLANK(XLOOKUP(D$3,daily_items,XLOOKUP($C2324,daily_dates,big_daily_table))),NA(),XLOOKUP(D$3,daily_items,XLOOKUP($C2324,daily_dates,big_daily_table)))</f>
        <v>#N/A</v>
      </c>
      <c r="E2324" s="1" t="str">
        <f t="array" ref="E2324">IF(ISBLANK(XLOOKUP(E$3,daily_items,XLOOKUP($C2324,daily_dates,big_daily_table))),NA(),XLOOKUP(E$3,daily_items,XLOOKUP($C2324,daily_dates,big_daily_table)))</f>
        <v>#N/A</v>
      </c>
    </row>
    <row r="2325" ht="14.25" customHeight="1">
      <c r="B2325" s="7">
        <v>43230.0</v>
      </c>
      <c r="C2325" s="7">
        <f t="shared" si="1"/>
        <v>43226</v>
      </c>
      <c r="D2325" s="1" t="str">
        <f t="array" ref="D2325">IF(ISBLANK(XLOOKUP(D$3,daily_items,XLOOKUP($C2325,daily_dates,big_daily_table))),NA(),XLOOKUP(D$3,daily_items,XLOOKUP($C2325,daily_dates,big_daily_table)))</f>
        <v>#N/A</v>
      </c>
      <c r="E2325" s="1" t="str">
        <f t="array" ref="E2325">IF(ISBLANK(XLOOKUP(E$3,daily_items,XLOOKUP($C2325,daily_dates,big_daily_table))),NA(),XLOOKUP(E$3,daily_items,XLOOKUP($C2325,daily_dates,big_daily_table)))</f>
        <v>#N/A</v>
      </c>
    </row>
    <row r="2326" ht="14.25" customHeight="1">
      <c r="B2326" s="7">
        <v>43231.0</v>
      </c>
      <c r="C2326" s="7">
        <f t="shared" si="1"/>
        <v>43226</v>
      </c>
      <c r="D2326" s="1" t="str">
        <f t="array" ref="D2326">IF(ISBLANK(XLOOKUP(D$3,daily_items,XLOOKUP($C2326,daily_dates,big_daily_table))),NA(),XLOOKUP(D$3,daily_items,XLOOKUP($C2326,daily_dates,big_daily_table)))</f>
        <v>#N/A</v>
      </c>
      <c r="E2326" s="1" t="str">
        <f t="array" ref="E2326">IF(ISBLANK(XLOOKUP(E$3,daily_items,XLOOKUP($C2326,daily_dates,big_daily_table))),NA(),XLOOKUP(E$3,daily_items,XLOOKUP($C2326,daily_dates,big_daily_table)))</f>
        <v>#N/A</v>
      </c>
    </row>
    <row r="2327" ht="14.25" customHeight="1">
      <c r="B2327" s="7">
        <v>43232.0</v>
      </c>
      <c r="C2327" s="7">
        <f t="shared" si="1"/>
        <v>43226</v>
      </c>
      <c r="D2327" s="1" t="str">
        <f t="array" ref="D2327">IF(ISBLANK(XLOOKUP(D$3,daily_items,XLOOKUP($C2327,daily_dates,big_daily_table))),NA(),XLOOKUP(D$3,daily_items,XLOOKUP($C2327,daily_dates,big_daily_table)))</f>
        <v>#N/A</v>
      </c>
      <c r="E2327" s="1" t="str">
        <f t="array" ref="E2327">IF(ISBLANK(XLOOKUP(E$3,daily_items,XLOOKUP($C2327,daily_dates,big_daily_table))),NA(),XLOOKUP(E$3,daily_items,XLOOKUP($C2327,daily_dates,big_daily_table)))</f>
        <v>#N/A</v>
      </c>
    </row>
    <row r="2328" ht="14.25" customHeight="1">
      <c r="B2328" s="7">
        <v>43233.0</v>
      </c>
      <c r="C2328" s="7">
        <f t="shared" si="1"/>
        <v>43233</v>
      </c>
      <c r="D2328" s="1" t="str">
        <f t="array" ref="D2328">IF(ISBLANK(XLOOKUP(D$3,daily_items,XLOOKUP($C2328,daily_dates,big_daily_table))),NA(),XLOOKUP(D$3,daily_items,XLOOKUP($C2328,daily_dates,big_daily_table)))</f>
        <v>#N/A</v>
      </c>
      <c r="E2328" s="1" t="str">
        <f t="array" ref="E2328">IF(ISBLANK(XLOOKUP(E$3,daily_items,XLOOKUP($C2328,daily_dates,big_daily_table))),NA(),XLOOKUP(E$3,daily_items,XLOOKUP($C2328,daily_dates,big_daily_table)))</f>
        <v>#N/A</v>
      </c>
    </row>
    <row r="2329" ht="14.25" customHeight="1">
      <c r="B2329" s="7">
        <v>43234.0</v>
      </c>
      <c r="C2329" s="7">
        <f t="shared" si="1"/>
        <v>43233</v>
      </c>
      <c r="D2329" s="1" t="str">
        <f t="array" ref="D2329">IF(ISBLANK(XLOOKUP(D$3,daily_items,XLOOKUP($C2329,daily_dates,big_daily_table))),NA(),XLOOKUP(D$3,daily_items,XLOOKUP($C2329,daily_dates,big_daily_table)))</f>
        <v>#N/A</v>
      </c>
      <c r="E2329" s="1" t="str">
        <f t="array" ref="E2329">IF(ISBLANK(XLOOKUP(E$3,daily_items,XLOOKUP($C2329,daily_dates,big_daily_table))),NA(),XLOOKUP(E$3,daily_items,XLOOKUP($C2329,daily_dates,big_daily_table)))</f>
        <v>#N/A</v>
      </c>
    </row>
    <row r="2330" ht="14.25" customHeight="1">
      <c r="B2330" s="7">
        <v>43235.0</v>
      </c>
      <c r="C2330" s="7">
        <f t="shared" si="1"/>
        <v>43233</v>
      </c>
      <c r="D2330" s="1" t="str">
        <f t="array" ref="D2330">IF(ISBLANK(XLOOKUP(D$3,daily_items,XLOOKUP($C2330,daily_dates,big_daily_table))),NA(),XLOOKUP(D$3,daily_items,XLOOKUP($C2330,daily_dates,big_daily_table)))</f>
        <v>#N/A</v>
      </c>
      <c r="E2330" s="1" t="str">
        <f t="array" ref="E2330">IF(ISBLANK(XLOOKUP(E$3,daily_items,XLOOKUP($C2330,daily_dates,big_daily_table))),NA(),XLOOKUP(E$3,daily_items,XLOOKUP($C2330,daily_dates,big_daily_table)))</f>
        <v>#N/A</v>
      </c>
    </row>
    <row r="2331" ht="14.25" customHeight="1">
      <c r="B2331" s="7">
        <v>43236.0</v>
      </c>
      <c r="C2331" s="7">
        <f t="shared" si="1"/>
        <v>43233</v>
      </c>
      <c r="D2331" s="1" t="str">
        <f t="array" ref="D2331">IF(ISBLANK(XLOOKUP(D$3,daily_items,XLOOKUP($C2331,daily_dates,big_daily_table))),NA(),XLOOKUP(D$3,daily_items,XLOOKUP($C2331,daily_dates,big_daily_table)))</f>
        <v>#N/A</v>
      </c>
      <c r="E2331" s="1" t="str">
        <f t="array" ref="E2331">IF(ISBLANK(XLOOKUP(E$3,daily_items,XLOOKUP($C2331,daily_dates,big_daily_table))),NA(),XLOOKUP(E$3,daily_items,XLOOKUP($C2331,daily_dates,big_daily_table)))</f>
        <v>#N/A</v>
      </c>
    </row>
    <row r="2332" ht="14.25" customHeight="1">
      <c r="B2332" s="7">
        <v>43237.0</v>
      </c>
      <c r="C2332" s="7">
        <f t="shared" si="1"/>
        <v>43233</v>
      </c>
      <c r="D2332" s="1" t="str">
        <f t="array" ref="D2332">IF(ISBLANK(XLOOKUP(D$3,daily_items,XLOOKUP($C2332,daily_dates,big_daily_table))),NA(),XLOOKUP(D$3,daily_items,XLOOKUP($C2332,daily_dates,big_daily_table)))</f>
        <v>#N/A</v>
      </c>
      <c r="E2332" s="1" t="str">
        <f t="array" ref="E2332">IF(ISBLANK(XLOOKUP(E$3,daily_items,XLOOKUP($C2332,daily_dates,big_daily_table))),NA(),XLOOKUP(E$3,daily_items,XLOOKUP($C2332,daily_dates,big_daily_table)))</f>
        <v>#N/A</v>
      </c>
    </row>
    <row r="2333" ht="14.25" customHeight="1">
      <c r="B2333" s="7">
        <v>43238.0</v>
      </c>
      <c r="C2333" s="7">
        <f t="shared" si="1"/>
        <v>43233</v>
      </c>
      <c r="D2333" s="1" t="str">
        <f t="array" ref="D2333">IF(ISBLANK(XLOOKUP(D$3,daily_items,XLOOKUP($C2333,daily_dates,big_daily_table))),NA(),XLOOKUP(D$3,daily_items,XLOOKUP($C2333,daily_dates,big_daily_table)))</f>
        <v>#N/A</v>
      </c>
      <c r="E2333" s="1" t="str">
        <f t="array" ref="E2333">IF(ISBLANK(XLOOKUP(E$3,daily_items,XLOOKUP($C2333,daily_dates,big_daily_table))),NA(),XLOOKUP(E$3,daily_items,XLOOKUP($C2333,daily_dates,big_daily_table)))</f>
        <v>#N/A</v>
      </c>
    </row>
    <row r="2334" ht="14.25" customHeight="1">
      <c r="B2334" s="7">
        <v>43239.0</v>
      </c>
      <c r="C2334" s="7">
        <f t="shared" si="1"/>
        <v>43233</v>
      </c>
      <c r="D2334" s="1" t="str">
        <f t="array" ref="D2334">IF(ISBLANK(XLOOKUP(D$3,daily_items,XLOOKUP($C2334,daily_dates,big_daily_table))),NA(),XLOOKUP(D$3,daily_items,XLOOKUP($C2334,daily_dates,big_daily_table)))</f>
        <v>#N/A</v>
      </c>
      <c r="E2334" s="1" t="str">
        <f t="array" ref="E2334">IF(ISBLANK(XLOOKUP(E$3,daily_items,XLOOKUP($C2334,daily_dates,big_daily_table))),NA(),XLOOKUP(E$3,daily_items,XLOOKUP($C2334,daily_dates,big_daily_table)))</f>
        <v>#N/A</v>
      </c>
    </row>
    <row r="2335" ht="14.25" customHeight="1">
      <c r="B2335" s="7">
        <v>43240.0</v>
      </c>
      <c r="C2335" s="7">
        <f t="shared" si="1"/>
        <v>43240</v>
      </c>
      <c r="D2335" s="1" t="str">
        <f t="array" ref="D2335">IF(ISBLANK(XLOOKUP(D$3,daily_items,XLOOKUP($C2335,daily_dates,big_daily_table))),NA(),XLOOKUP(D$3,daily_items,XLOOKUP($C2335,daily_dates,big_daily_table)))</f>
        <v>#N/A</v>
      </c>
      <c r="E2335" s="1" t="str">
        <f t="array" ref="E2335">IF(ISBLANK(XLOOKUP(E$3,daily_items,XLOOKUP($C2335,daily_dates,big_daily_table))),NA(),XLOOKUP(E$3,daily_items,XLOOKUP($C2335,daily_dates,big_daily_table)))</f>
        <v>#N/A</v>
      </c>
    </row>
    <row r="2336" ht="14.25" customHeight="1">
      <c r="B2336" s="7">
        <v>43241.0</v>
      </c>
      <c r="C2336" s="7">
        <f t="shared" si="1"/>
        <v>43240</v>
      </c>
      <c r="D2336" s="1" t="str">
        <f t="array" ref="D2336">IF(ISBLANK(XLOOKUP(D$3,daily_items,XLOOKUP($C2336,daily_dates,big_daily_table))),NA(),XLOOKUP(D$3,daily_items,XLOOKUP($C2336,daily_dates,big_daily_table)))</f>
        <v>#N/A</v>
      </c>
      <c r="E2336" s="1" t="str">
        <f t="array" ref="E2336">IF(ISBLANK(XLOOKUP(E$3,daily_items,XLOOKUP($C2336,daily_dates,big_daily_table))),NA(),XLOOKUP(E$3,daily_items,XLOOKUP($C2336,daily_dates,big_daily_table)))</f>
        <v>#N/A</v>
      </c>
    </row>
    <row r="2337" ht="14.25" customHeight="1">
      <c r="B2337" s="7">
        <v>43242.0</v>
      </c>
      <c r="C2337" s="7">
        <f t="shared" si="1"/>
        <v>43240</v>
      </c>
      <c r="D2337" s="1" t="str">
        <f t="array" ref="D2337">IF(ISBLANK(XLOOKUP(D$3,daily_items,XLOOKUP($C2337,daily_dates,big_daily_table))),NA(),XLOOKUP(D$3,daily_items,XLOOKUP($C2337,daily_dates,big_daily_table)))</f>
        <v>#N/A</v>
      </c>
      <c r="E2337" s="1" t="str">
        <f t="array" ref="E2337">IF(ISBLANK(XLOOKUP(E$3,daily_items,XLOOKUP($C2337,daily_dates,big_daily_table))),NA(),XLOOKUP(E$3,daily_items,XLOOKUP($C2337,daily_dates,big_daily_table)))</f>
        <v>#N/A</v>
      </c>
    </row>
    <row r="2338" ht="14.25" customHeight="1">
      <c r="B2338" s="7">
        <v>43243.0</v>
      </c>
      <c r="C2338" s="7">
        <f t="shared" si="1"/>
        <v>43240</v>
      </c>
      <c r="D2338" s="1" t="str">
        <f t="array" ref="D2338">IF(ISBLANK(XLOOKUP(D$3,daily_items,XLOOKUP($C2338,daily_dates,big_daily_table))),NA(),XLOOKUP(D$3,daily_items,XLOOKUP($C2338,daily_dates,big_daily_table)))</f>
        <v>#N/A</v>
      </c>
      <c r="E2338" s="1" t="str">
        <f t="array" ref="E2338">IF(ISBLANK(XLOOKUP(E$3,daily_items,XLOOKUP($C2338,daily_dates,big_daily_table))),NA(),XLOOKUP(E$3,daily_items,XLOOKUP($C2338,daily_dates,big_daily_table)))</f>
        <v>#N/A</v>
      </c>
    </row>
    <row r="2339" ht="14.25" customHeight="1">
      <c r="B2339" s="7">
        <v>43244.0</v>
      </c>
      <c r="C2339" s="7">
        <f t="shared" si="1"/>
        <v>43240</v>
      </c>
      <c r="D2339" s="1" t="str">
        <f t="array" ref="D2339">IF(ISBLANK(XLOOKUP(D$3,daily_items,XLOOKUP($C2339,daily_dates,big_daily_table))),NA(),XLOOKUP(D$3,daily_items,XLOOKUP($C2339,daily_dates,big_daily_table)))</f>
        <v>#N/A</v>
      </c>
      <c r="E2339" s="1" t="str">
        <f t="array" ref="E2339">IF(ISBLANK(XLOOKUP(E$3,daily_items,XLOOKUP($C2339,daily_dates,big_daily_table))),NA(),XLOOKUP(E$3,daily_items,XLOOKUP($C2339,daily_dates,big_daily_table)))</f>
        <v>#N/A</v>
      </c>
    </row>
    <row r="2340" ht="14.25" customHeight="1">
      <c r="B2340" s="7">
        <v>43245.0</v>
      </c>
      <c r="C2340" s="7">
        <f t="shared" si="1"/>
        <v>43240</v>
      </c>
      <c r="D2340" s="1" t="str">
        <f t="array" ref="D2340">IF(ISBLANK(XLOOKUP(D$3,daily_items,XLOOKUP($C2340,daily_dates,big_daily_table))),NA(),XLOOKUP(D$3,daily_items,XLOOKUP($C2340,daily_dates,big_daily_table)))</f>
        <v>#N/A</v>
      </c>
      <c r="E2340" s="1" t="str">
        <f t="array" ref="E2340">IF(ISBLANK(XLOOKUP(E$3,daily_items,XLOOKUP($C2340,daily_dates,big_daily_table))),NA(),XLOOKUP(E$3,daily_items,XLOOKUP($C2340,daily_dates,big_daily_table)))</f>
        <v>#N/A</v>
      </c>
    </row>
    <row r="2341" ht="14.25" customHeight="1">
      <c r="B2341" s="7">
        <v>43246.0</v>
      </c>
      <c r="C2341" s="7">
        <f t="shared" si="1"/>
        <v>43240</v>
      </c>
      <c r="D2341" s="1" t="str">
        <f t="array" ref="D2341">IF(ISBLANK(XLOOKUP(D$3,daily_items,XLOOKUP($C2341,daily_dates,big_daily_table))),NA(),XLOOKUP(D$3,daily_items,XLOOKUP($C2341,daily_dates,big_daily_table)))</f>
        <v>#N/A</v>
      </c>
      <c r="E2341" s="1" t="str">
        <f t="array" ref="E2341">IF(ISBLANK(XLOOKUP(E$3,daily_items,XLOOKUP($C2341,daily_dates,big_daily_table))),NA(),XLOOKUP(E$3,daily_items,XLOOKUP($C2341,daily_dates,big_daily_table)))</f>
        <v>#N/A</v>
      </c>
    </row>
    <row r="2342" ht="14.25" customHeight="1">
      <c r="B2342" s="7">
        <v>43247.0</v>
      </c>
      <c r="C2342" s="7">
        <f t="shared" si="1"/>
        <v>43247</v>
      </c>
      <c r="D2342" s="1" t="str">
        <f t="array" ref="D2342">IF(ISBLANK(XLOOKUP(D$3,daily_items,XLOOKUP($C2342,daily_dates,big_daily_table))),NA(),XLOOKUP(D$3,daily_items,XLOOKUP($C2342,daily_dates,big_daily_table)))</f>
        <v>#N/A</v>
      </c>
      <c r="E2342" s="1" t="str">
        <f t="array" ref="E2342">IF(ISBLANK(XLOOKUP(E$3,daily_items,XLOOKUP($C2342,daily_dates,big_daily_table))),NA(),XLOOKUP(E$3,daily_items,XLOOKUP($C2342,daily_dates,big_daily_table)))</f>
        <v>#N/A</v>
      </c>
    </row>
    <row r="2343" ht="14.25" customHeight="1">
      <c r="B2343" s="7">
        <v>43248.0</v>
      </c>
      <c r="C2343" s="7">
        <f t="shared" si="1"/>
        <v>43247</v>
      </c>
      <c r="D2343" s="1" t="str">
        <f t="array" ref="D2343">IF(ISBLANK(XLOOKUP(D$3,daily_items,XLOOKUP($C2343,daily_dates,big_daily_table))),NA(),XLOOKUP(D$3,daily_items,XLOOKUP($C2343,daily_dates,big_daily_table)))</f>
        <v>#N/A</v>
      </c>
      <c r="E2343" s="1" t="str">
        <f t="array" ref="E2343">IF(ISBLANK(XLOOKUP(E$3,daily_items,XLOOKUP($C2343,daily_dates,big_daily_table))),NA(),XLOOKUP(E$3,daily_items,XLOOKUP($C2343,daily_dates,big_daily_table)))</f>
        <v>#N/A</v>
      </c>
    </row>
    <row r="2344" ht="14.25" customHeight="1">
      <c r="B2344" s="7">
        <v>43249.0</v>
      </c>
      <c r="C2344" s="7">
        <f t="shared" si="1"/>
        <v>43247</v>
      </c>
      <c r="D2344" s="1" t="str">
        <f t="array" ref="D2344">IF(ISBLANK(XLOOKUP(D$3,daily_items,XLOOKUP($C2344,daily_dates,big_daily_table))),NA(),XLOOKUP(D$3,daily_items,XLOOKUP($C2344,daily_dates,big_daily_table)))</f>
        <v>#N/A</v>
      </c>
      <c r="E2344" s="1" t="str">
        <f t="array" ref="E2344">IF(ISBLANK(XLOOKUP(E$3,daily_items,XLOOKUP($C2344,daily_dates,big_daily_table))),NA(),XLOOKUP(E$3,daily_items,XLOOKUP($C2344,daily_dates,big_daily_table)))</f>
        <v>#N/A</v>
      </c>
    </row>
    <row r="2345" ht="14.25" customHeight="1">
      <c r="B2345" s="7">
        <v>43250.0</v>
      </c>
      <c r="C2345" s="7">
        <f t="shared" si="1"/>
        <v>43247</v>
      </c>
      <c r="D2345" s="1" t="str">
        <f t="array" ref="D2345">IF(ISBLANK(XLOOKUP(D$3,daily_items,XLOOKUP($C2345,daily_dates,big_daily_table))),NA(),XLOOKUP(D$3,daily_items,XLOOKUP($C2345,daily_dates,big_daily_table)))</f>
        <v>#N/A</v>
      </c>
      <c r="E2345" s="1" t="str">
        <f t="array" ref="E2345">IF(ISBLANK(XLOOKUP(E$3,daily_items,XLOOKUP($C2345,daily_dates,big_daily_table))),NA(),XLOOKUP(E$3,daily_items,XLOOKUP($C2345,daily_dates,big_daily_table)))</f>
        <v>#N/A</v>
      </c>
    </row>
    <row r="2346" ht="14.25" customHeight="1">
      <c r="B2346" s="7">
        <v>43251.0</v>
      </c>
      <c r="C2346" s="7">
        <f t="shared" si="1"/>
        <v>43247</v>
      </c>
      <c r="D2346" s="1" t="str">
        <f t="array" ref="D2346">IF(ISBLANK(XLOOKUP(D$3,daily_items,XLOOKUP($C2346,daily_dates,big_daily_table))),NA(),XLOOKUP(D$3,daily_items,XLOOKUP($C2346,daily_dates,big_daily_table)))</f>
        <v>#N/A</v>
      </c>
      <c r="E2346" s="1" t="str">
        <f t="array" ref="E2346">IF(ISBLANK(XLOOKUP(E$3,daily_items,XLOOKUP($C2346,daily_dates,big_daily_table))),NA(),XLOOKUP(E$3,daily_items,XLOOKUP($C2346,daily_dates,big_daily_table)))</f>
        <v>#N/A</v>
      </c>
    </row>
    <row r="2347" ht="14.25" customHeight="1">
      <c r="B2347" s="7">
        <v>43252.0</v>
      </c>
      <c r="C2347" s="7">
        <f t="shared" si="1"/>
        <v>43247</v>
      </c>
      <c r="D2347" s="1" t="str">
        <f t="array" ref="D2347">IF(ISBLANK(XLOOKUP(D$3,daily_items,XLOOKUP($C2347,daily_dates,big_daily_table))),NA(),XLOOKUP(D$3,daily_items,XLOOKUP($C2347,daily_dates,big_daily_table)))</f>
        <v>#N/A</v>
      </c>
      <c r="E2347" s="1" t="str">
        <f t="array" ref="E2347">IF(ISBLANK(XLOOKUP(E$3,daily_items,XLOOKUP($C2347,daily_dates,big_daily_table))),NA(),XLOOKUP(E$3,daily_items,XLOOKUP($C2347,daily_dates,big_daily_table)))</f>
        <v>#N/A</v>
      </c>
    </row>
    <row r="2348" ht="14.25" customHeight="1">
      <c r="B2348" s="7">
        <v>43253.0</v>
      </c>
      <c r="C2348" s="7">
        <f t="shared" si="1"/>
        <v>43247</v>
      </c>
      <c r="D2348" s="1" t="str">
        <f t="array" ref="D2348">IF(ISBLANK(XLOOKUP(D$3,daily_items,XLOOKUP($C2348,daily_dates,big_daily_table))),NA(),XLOOKUP(D$3,daily_items,XLOOKUP($C2348,daily_dates,big_daily_table)))</f>
        <v>#N/A</v>
      </c>
      <c r="E2348" s="1" t="str">
        <f t="array" ref="E2348">IF(ISBLANK(XLOOKUP(E$3,daily_items,XLOOKUP($C2348,daily_dates,big_daily_table))),NA(),XLOOKUP(E$3,daily_items,XLOOKUP($C2348,daily_dates,big_daily_table)))</f>
        <v>#N/A</v>
      </c>
    </row>
    <row r="2349" ht="14.25" customHeight="1">
      <c r="B2349" s="7">
        <v>43254.0</v>
      </c>
      <c r="C2349" s="7">
        <f t="shared" si="1"/>
        <v>43254</v>
      </c>
      <c r="D2349" s="1" t="str">
        <f t="array" ref="D2349">IF(ISBLANK(XLOOKUP(D$3,daily_items,XLOOKUP($C2349,daily_dates,big_daily_table))),NA(),XLOOKUP(D$3,daily_items,XLOOKUP($C2349,daily_dates,big_daily_table)))</f>
        <v>#N/A</v>
      </c>
      <c r="E2349" s="1" t="str">
        <f t="array" ref="E2349">IF(ISBLANK(XLOOKUP(E$3,daily_items,XLOOKUP($C2349,daily_dates,big_daily_table))),NA(),XLOOKUP(E$3,daily_items,XLOOKUP($C2349,daily_dates,big_daily_table)))</f>
        <v>#N/A</v>
      </c>
    </row>
    <row r="2350" ht="14.25" customHeight="1">
      <c r="B2350" s="7">
        <v>43255.0</v>
      </c>
      <c r="C2350" s="7">
        <f t="shared" si="1"/>
        <v>43254</v>
      </c>
      <c r="D2350" s="1" t="str">
        <f t="array" ref="D2350">IF(ISBLANK(XLOOKUP(D$3,daily_items,XLOOKUP($C2350,daily_dates,big_daily_table))),NA(),XLOOKUP(D$3,daily_items,XLOOKUP($C2350,daily_dates,big_daily_table)))</f>
        <v>#N/A</v>
      </c>
      <c r="E2350" s="1" t="str">
        <f t="array" ref="E2350">IF(ISBLANK(XLOOKUP(E$3,daily_items,XLOOKUP($C2350,daily_dates,big_daily_table))),NA(),XLOOKUP(E$3,daily_items,XLOOKUP($C2350,daily_dates,big_daily_table)))</f>
        <v>#N/A</v>
      </c>
    </row>
    <row r="2351" ht="14.25" customHeight="1">
      <c r="B2351" s="7">
        <v>43256.0</v>
      </c>
      <c r="C2351" s="7">
        <f t="shared" si="1"/>
        <v>43254</v>
      </c>
      <c r="D2351" s="1" t="str">
        <f t="array" ref="D2351">IF(ISBLANK(XLOOKUP(D$3,daily_items,XLOOKUP($C2351,daily_dates,big_daily_table))),NA(),XLOOKUP(D$3,daily_items,XLOOKUP($C2351,daily_dates,big_daily_table)))</f>
        <v>#N/A</v>
      </c>
      <c r="E2351" s="1" t="str">
        <f t="array" ref="E2351">IF(ISBLANK(XLOOKUP(E$3,daily_items,XLOOKUP($C2351,daily_dates,big_daily_table))),NA(),XLOOKUP(E$3,daily_items,XLOOKUP($C2351,daily_dates,big_daily_table)))</f>
        <v>#N/A</v>
      </c>
    </row>
    <row r="2352" ht="14.25" customHeight="1">
      <c r="B2352" s="7">
        <v>43257.0</v>
      </c>
      <c r="C2352" s="7">
        <f t="shared" si="1"/>
        <v>43254</v>
      </c>
      <c r="D2352" s="1" t="str">
        <f t="array" ref="D2352">IF(ISBLANK(XLOOKUP(D$3,daily_items,XLOOKUP($C2352,daily_dates,big_daily_table))),NA(),XLOOKUP(D$3,daily_items,XLOOKUP($C2352,daily_dates,big_daily_table)))</f>
        <v>#N/A</v>
      </c>
      <c r="E2352" s="1" t="str">
        <f t="array" ref="E2352">IF(ISBLANK(XLOOKUP(E$3,daily_items,XLOOKUP($C2352,daily_dates,big_daily_table))),NA(),XLOOKUP(E$3,daily_items,XLOOKUP($C2352,daily_dates,big_daily_table)))</f>
        <v>#N/A</v>
      </c>
    </row>
    <row r="2353" ht="14.25" customHeight="1">
      <c r="B2353" s="7">
        <v>43258.0</v>
      </c>
      <c r="C2353" s="7">
        <f t="shared" si="1"/>
        <v>43254</v>
      </c>
      <c r="D2353" s="1" t="str">
        <f t="array" ref="D2353">IF(ISBLANK(XLOOKUP(D$3,daily_items,XLOOKUP($C2353,daily_dates,big_daily_table))),NA(),XLOOKUP(D$3,daily_items,XLOOKUP($C2353,daily_dates,big_daily_table)))</f>
        <v>#N/A</v>
      </c>
      <c r="E2353" s="1" t="str">
        <f t="array" ref="E2353">IF(ISBLANK(XLOOKUP(E$3,daily_items,XLOOKUP($C2353,daily_dates,big_daily_table))),NA(),XLOOKUP(E$3,daily_items,XLOOKUP($C2353,daily_dates,big_daily_table)))</f>
        <v>#N/A</v>
      </c>
    </row>
    <row r="2354" ht="14.25" customHeight="1">
      <c r="B2354" s="7">
        <v>43259.0</v>
      </c>
      <c r="C2354" s="7">
        <f t="shared" si="1"/>
        <v>43254</v>
      </c>
      <c r="D2354" s="1" t="str">
        <f t="array" ref="D2354">IF(ISBLANK(XLOOKUP(D$3,daily_items,XLOOKUP($C2354,daily_dates,big_daily_table))),NA(),XLOOKUP(D$3,daily_items,XLOOKUP($C2354,daily_dates,big_daily_table)))</f>
        <v>#N/A</v>
      </c>
      <c r="E2354" s="1" t="str">
        <f t="array" ref="E2354">IF(ISBLANK(XLOOKUP(E$3,daily_items,XLOOKUP($C2354,daily_dates,big_daily_table))),NA(),XLOOKUP(E$3,daily_items,XLOOKUP($C2354,daily_dates,big_daily_table)))</f>
        <v>#N/A</v>
      </c>
    </row>
    <row r="2355" ht="14.25" customHeight="1">
      <c r="B2355" s="7">
        <v>43260.0</v>
      </c>
      <c r="C2355" s="7">
        <f t="shared" si="1"/>
        <v>43254</v>
      </c>
      <c r="D2355" s="1" t="str">
        <f t="array" ref="D2355">IF(ISBLANK(XLOOKUP(D$3,daily_items,XLOOKUP($C2355,daily_dates,big_daily_table))),NA(),XLOOKUP(D$3,daily_items,XLOOKUP($C2355,daily_dates,big_daily_table)))</f>
        <v>#N/A</v>
      </c>
      <c r="E2355" s="1" t="str">
        <f t="array" ref="E2355">IF(ISBLANK(XLOOKUP(E$3,daily_items,XLOOKUP($C2355,daily_dates,big_daily_table))),NA(),XLOOKUP(E$3,daily_items,XLOOKUP($C2355,daily_dates,big_daily_table)))</f>
        <v>#N/A</v>
      </c>
    </row>
    <row r="2356" ht="14.25" customHeight="1">
      <c r="B2356" s="7">
        <v>43261.0</v>
      </c>
      <c r="C2356" s="7">
        <f t="shared" si="1"/>
        <v>43261</v>
      </c>
      <c r="D2356" s="1" t="str">
        <f t="array" ref="D2356">IF(ISBLANK(XLOOKUP(D$3,daily_items,XLOOKUP($C2356,daily_dates,big_daily_table))),NA(),XLOOKUP(D$3,daily_items,XLOOKUP($C2356,daily_dates,big_daily_table)))</f>
        <v>#N/A</v>
      </c>
      <c r="E2356" s="1" t="str">
        <f t="array" ref="E2356">IF(ISBLANK(XLOOKUP(E$3,daily_items,XLOOKUP($C2356,daily_dates,big_daily_table))),NA(),XLOOKUP(E$3,daily_items,XLOOKUP($C2356,daily_dates,big_daily_table)))</f>
        <v>#N/A</v>
      </c>
    </row>
    <row r="2357" ht="14.25" customHeight="1">
      <c r="B2357" s="7">
        <v>43262.0</v>
      </c>
      <c r="C2357" s="7">
        <f t="shared" si="1"/>
        <v>43261</v>
      </c>
      <c r="D2357" s="1" t="str">
        <f t="array" ref="D2357">IF(ISBLANK(XLOOKUP(D$3,daily_items,XLOOKUP($C2357,daily_dates,big_daily_table))),NA(),XLOOKUP(D$3,daily_items,XLOOKUP($C2357,daily_dates,big_daily_table)))</f>
        <v>#N/A</v>
      </c>
      <c r="E2357" s="1" t="str">
        <f t="array" ref="E2357">IF(ISBLANK(XLOOKUP(E$3,daily_items,XLOOKUP($C2357,daily_dates,big_daily_table))),NA(),XLOOKUP(E$3,daily_items,XLOOKUP($C2357,daily_dates,big_daily_table)))</f>
        <v>#N/A</v>
      </c>
    </row>
    <row r="2358" ht="14.25" customHeight="1">
      <c r="B2358" s="7">
        <v>43263.0</v>
      </c>
      <c r="C2358" s="7">
        <f t="shared" si="1"/>
        <v>43261</v>
      </c>
      <c r="D2358" s="1" t="str">
        <f t="array" ref="D2358">IF(ISBLANK(XLOOKUP(D$3,daily_items,XLOOKUP($C2358,daily_dates,big_daily_table))),NA(),XLOOKUP(D$3,daily_items,XLOOKUP($C2358,daily_dates,big_daily_table)))</f>
        <v>#N/A</v>
      </c>
      <c r="E2358" s="1" t="str">
        <f t="array" ref="E2358">IF(ISBLANK(XLOOKUP(E$3,daily_items,XLOOKUP($C2358,daily_dates,big_daily_table))),NA(),XLOOKUP(E$3,daily_items,XLOOKUP($C2358,daily_dates,big_daily_table)))</f>
        <v>#N/A</v>
      </c>
    </row>
    <row r="2359" ht="14.25" customHeight="1">
      <c r="B2359" s="7">
        <v>43264.0</v>
      </c>
      <c r="C2359" s="7">
        <f t="shared" si="1"/>
        <v>43261</v>
      </c>
      <c r="D2359" s="1" t="str">
        <f t="array" ref="D2359">IF(ISBLANK(XLOOKUP(D$3,daily_items,XLOOKUP($C2359,daily_dates,big_daily_table))),NA(),XLOOKUP(D$3,daily_items,XLOOKUP($C2359,daily_dates,big_daily_table)))</f>
        <v>#N/A</v>
      </c>
      <c r="E2359" s="1" t="str">
        <f t="array" ref="E2359">IF(ISBLANK(XLOOKUP(E$3,daily_items,XLOOKUP($C2359,daily_dates,big_daily_table))),NA(),XLOOKUP(E$3,daily_items,XLOOKUP($C2359,daily_dates,big_daily_table)))</f>
        <v>#N/A</v>
      </c>
    </row>
    <row r="2360" ht="14.25" customHeight="1">
      <c r="B2360" s="7">
        <v>43265.0</v>
      </c>
      <c r="C2360" s="7">
        <f t="shared" si="1"/>
        <v>43261</v>
      </c>
      <c r="D2360" s="1" t="str">
        <f t="array" ref="D2360">IF(ISBLANK(XLOOKUP(D$3,daily_items,XLOOKUP($C2360,daily_dates,big_daily_table))),NA(),XLOOKUP(D$3,daily_items,XLOOKUP($C2360,daily_dates,big_daily_table)))</f>
        <v>#N/A</v>
      </c>
      <c r="E2360" s="1" t="str">
        <f t="array" ref="E2360">IF(ISBLANK(XLOOKUP(E$3,daily_items,XLOOKUP($C2360,daily_dates,big_daily_table))),NA(),XLOOKUP(E$3,daily_items,XLOOKUP($C2360,daily_dates,big_daily_table)))</f>
        <v>#N/A</v>
      </c>
    </row>
    <row r="2361" ht="14.25" customHeight="1">
      <c r="B2361" s="7">
        <v>43266.0</v>
      </c>
      <c r="C2361" s="7">
        <f t="shared" si="1"/>
        <v>43261</v>
      </c>
      <c r="D2361" s="1" t="str">
        <f t="array" ref="D2361">IF(ISBLANK(XLOOKUP(D$3,daily_items,XLOOKUP($C2361,daily_dates,big_daily_table))),NA(),XLOOKUP(D$3,daily_items,XLOOKUP($C2361,daily_dates,big_daily_table)))</f>
        <v>#N/A</v>
      </c>
      <c r="E2361" s="1" t="str">
        <f t="array" ref="E2361">IF(ISBLANK(XLOOKUP(E$3,daily_items,XLOOKUP($C2361,daily_dates,big_daily_table))),NA(),XLOOKUP(E$3,daily_items,XLOOKUP($C2361,daily_dates,big_daily_table)))</f>
        <v>#N/A</v>
      </c>
    </row>
    <row r="2362" ht="14.25" customHeight="1">
      <c r="B2362" s="7">
        <v>43267.0</v>
      </c>
      <c r="C2362" s="7">
        <f t="shared" si="1"/>
        <v>43261</v>
      </c>
      <c r="D2362" s="1" t="str">
        <f t="array" ref="D2362">IF(ISBLANK(XLOOKUP(D$3,daily_items,XLOOKUP($C2362,daily_dates,big_daily_table))),NA(),XLOOKUP(D$3,daily_items,XLOOKUP($C2362,daily_dates,big_daily_table)))</f>
        <v>#N/A</v>
      </c>
      <c r="E2362" s="1" t="str">
        <f t="array" ref="E2362">IF(ISBLANK(XLOOKUP(E$3,daily_items,XLOOKUP($C2362,daily_dates,big_daily_table))),NA(),XLOOKUP(E$3,daily_items,XLOOKUP($C2362,daily_dates,big_daily_table)))</f>
        <v>#N/A</v>
      </c>
    </row>
    <row r="2363" ht="14.25" customHeight="1">
      <c r="B2363" s="7">
        <v>43268.0</v>
      </c>
      <c r="C2363" s="7">
        <f t="shared" si="1"/>
        <v>43268</v>
      </c>
      <c r="D2363" s="1" t="str">
        <f t="array" ref="D2363">IF(ISBLANK(XLOOKUP(D$3,daily_items,XLOOKUP($C2363,daily_dates,big_daily_table))),NA(),XLOOKUP(D$3,daily_items,XLOOKUP($C2363,daily_dates,big_daily_table)))</f>
        <v>#N/A</v>
      </c>
      <c r="E2363" s="1" t="str">
        <f t="array" ref="E2363">IF(ISBLANK(XLOOKUP(E$3,daily_items,XLOOKUP($C2363,daily_dates,big_daily_table))),NA(),XLOOKUP(E$3,daily_items,XLOOKUP($C2363,daily_dates,big_daily_table)))</f>
        <v>#N/A</v>
      </c>
    </row>
    <row r="2364" ht="14.25" customHeight="1">
      <c r="B2364" s="7">
        <v>43269.0</v>
      </c>
      <c r="C2364" s="7">
        <f t="shared" si="1"/>
        <v>43268</v>
      </c>
      <c r="D2364" s="1" t="str">
        <f t="array" ref="D2364">IF(ISBLANK(XLOOKUP(D$3,daily_items,XLOOKUP($C2364,daily_dates,big_daily_table))),NA(),XLOOKUP(D$3,daily_items,XLOOKUP($C2364,daily_dates,big_daily_table)))</f>
        <v>#N/A</v>
      </c>
      <c r="E2364" s="1" t="str">
        <f t="array" ref="E2364">IF(ISBLANK(XLOOKUP(E$3,daily_items,XLOOKUP($C2364,daily_dates,big_daily_table))),NA(),XLOOKUP(E$3,daily_items,XLOOKUP($C2364,daily_dates,big_daily_table)))</f>
        <v>#N/A</v>
      </c>
    </row>
    <row r="2365" ht="14.25" customHeight="1">
      <c r="B2365" s="7">
        <v>43270.0</v>
      </c>
      <c r="C2365" s="7">
        <f t="shared" si="1"/>
        <v>43268</v>
      </c>
      <c r="D2365" s="1" t="str">
        <f t="array" ref="D2365">IF(ISBLANK(XLOOKUP(D$3,daily_items,XLOOKUP($C2365,daily_dates,big_daily_table))),NA(),XLOOKUP(D$3,daily_items,XLOOKUP($C2365,daily_dates,big_daily_table)))</f>
        <v>#N/A</v>
      </c>
      <c r="E2365" s="1" t="str">
        <f t="array" ref="E2365">IF(ISBLANK(XLOOKUP(E$3,daily_items,XLOOKUP($C2365,daily_dates,big_daily_table))),NA(),XLOOKUP(E$3,daily_items,XLOOKUP($C2365,daily_dates,big_daily_table)))</f>
        <v>#N/A</v>
      </c>
    </row>
    <row r="2366" ht="14.25" customHeight="1">
      <c r="B2366" s="7">
        <v>43271.0</v>
      </c>
      <c r="C2366" s="7">
        <f t="shared" si="1"/>
        <v>43268</v>
      </c>
      <c r="D2366" s="1" t="str">
        <f t="array" ref="D2366">IF(ISBLANK(XLOOKUP(D$3,daily_items,XLOOKUP($C2366,daily_dates,big_daily_table))),NA(),XLOOKUP(D$3,daily_items,XLOOKUP($C2366,daily_dates,big_daily_table)))</f>
        <v>#N/A</v>
      </c>
      <c r="E2366" s="1" t="str">
        <f t="array" ref="E2366">IF(ISBLANK(XLOOKUP(E$3,daily_items,XLOOKUP($C2366,daily_dates,big_daily_table))),NA(),XLOOKUP(E$3,daily_items,XLOOKUP($C2366,daily_dates,big_daily_table)))</f>
        <v>#N/A</v>
      </c>
    </row>
    <row r="2367" ht="14.25" customHeight="1">
      <c r="B2367" s="7">
        <v>43272.0</v>
      </c>
      <c r="C2367" s="7">
        <f t="shared" si="1"/>
        <v>43268</v>
      </c>
      <c r="D2367" s="1" t="str">
        <f t="array" ref="D2367">IF(ISBLANK(XLOOKUP(D$3,daily_items,XLOOKUP($C2367,daily_dates,big_daily_table))),NA(),XLOOKUP(D$3,daily_items,XLOOKUP($C2367,daily_dates,big_daily_table)))</f>
        <v>#N/A</v>
      </c>
      <c r="E2367" s="1" t="str">
        <f t="array" ref="E2367">IF(ISBLANK(XLOOKUP(E$3,daily_items,XLOOKUP($C2367,daily_dates,big_daily_table))),NA(),XLOOKUP(E$3,daily_items,XLOOKUP($C2367,daily_dates,big_daily_table)))</f>
        <v>#N/A</v>
      </c>
    </row>
    <row r="2368" ht="14.25" customHeight="1">
      <c r="B2368" s="7">
        <v>43273.0</v>
      </c>
      <c r="C2368" s="7">
        <f t="shared" si="1"/>
        <v>43268</v>
      </c>
      <c r="D2368" s="1" t="str">
        <f t="array" ref="D2368">IF(ISBLANK(XLOOKUP(D$3,daily_items,XLOOKUP($C2368,daily_dates,big_daily_table))),NA(),XLOOKUP(D$3,daily_items,XLOOKUP($C2368,daily_dates,big_daily_table)))</f>
        <v>#N/A</v>
      </c>
      <c r="E2368" s="1" t="str">
        <f t="array" ref="E2368">IF(ISBLANK(XLOOKUP(E$3,daily_items,XLOOKUP($C2368,daily_dates,big_daily_table))),NA(),XLOOKUP(E$3,daily_items,XLOOKUP($C2368,daily_dates,big_daily_table)))</f>
        <v>#N/A</v>
      </c>
    </row>
    <row r="2369" ht="14.25" customHeight="1">
      <c r="B2369" s="7">
        <v>43274.0</v>
      </c>
      <c r="C2369" s="7">
        <f t="shared" si="1"/>
        <v>43268</v>
      </c>
      <c r="D2369" s="1" t="str">
        <f t="array" ref="D2369">IF(ISBLANK(XLOOKUP(D$3,daily_items,XLOOKUP($C2369,daily_dates,big_daily_table))),NA(),XLOOKUP(D$3,daily_items,XLOOKUP($C2369,daily_dates,big_daily_table)))</f>
        <v>#N/A</v>
      </c>
      <c r="E2369" s="1" t="str">
        <f t="array" ref="E2369">IF(ISBLANK(XLOOKUP(E$3,daily_items,XLOOKUP($C2369,daily_dates,big_daily_table))),NA(),XLOOKUP(E$3,daily_items,XLOOKUP($C2369,daily_dates,big_daily_table)))</f>
        <v>#N/A</v>
      </c>
    </row>
    <row r="2370" ht="14.25" customHeight="1">
      <c r="B2370" s="7">
        <v>43275.0</v>
      </c>
      <c r="C2370" s="7">
        <f t="shared" si="1"/>
        <v>43275</v>
      </c>
      <c r="D2370" s="1" t="str">
        <f t="array" ref="D2370">IF(ISBLANK(XLOOKUP(D$3,daily_items,XLOOKUP($C2370,daily_dates,big_daily_table))),NA(),XLOOKUP(D$3,daily_items,XLOOKUP($C2370,daily_dates,big_daily_table)))</f>
        <v>#N/A</v>
      </c>
      <c r="E2370" s="1" t="str">
        <f t="array" ref="E2370">IF(ISBLANK(XLOOKUP(E$3,daily_items,XLOOKUP($C2370,daily_dates,big_daily_table))),NA(),XLOOKUP(E$3,daily_items,XLOOKUP($C2370,daily_dates,big_daily_table)))</f>
        <v>#N/A</v>
      </c>
    </row>
    <row r="2371" ht="14.25" customHeight="1">
      <c r="B2371" s="7">
        <v>43276.0</v>
      </c>
      <c r="C2371" s="7">
        <f t="shared" si="1"/>
        <v>43275</v>
      </c>
      <c r="D2371" s="1" t="str">
        <f t="array" ref="D2371">IF(ISBLANK(XLOOKUP(D$3,daily_items,XLOOKUP($C2371,daily_dates,big_daily_table))),NA(),XLOOKUP(D$3,daily_items,XLOOKUP($C2371,daily_dates,big_daily_table)))</f>
        <v>#N/A</v>
      </c>
      <c r="E2371" s="1" t="str">
        <f t="array" ref="E2371">IF(ISBLANK(XLOOKUP(E$3,daily_items,XLOOKUP($C2371,daily_dates,big_daily_table))),NA(),XLOOKUP(E$3,daily_items,XLOOKUP($C2371,daily_dates,big_daily_table)))</f>
        <v>#N/A</v>
      </c>
    </row>
    <row r="2372" ht="14.25" customHeight="1">
      <c r="B2372" s="7">
        <v>43277.0</v>
      </c>
      <c r="C2372" s="7">
        <f t="shared" si="1"/>
        <v>43275</v>
      </c>
      <c r="D2372" s="1" t="str">
        <f t="array" ref="D2372">IF(ISBLANK(XLOOKUP(D$3,daily_items,XLOOKUP($C2372,daily_dates,big_daily_table))),NA(),XLOOKUP(D$3,daily_items,XLOOKUP($C2372,daily_dates,big_daily_table)))</f>
        <v>#N/A</v>
      </c>
      <c r="E2372" s="1" t="str">
        <f t="array" ref="E2372">IF(ISBLANK(XLOOKUP(E$3,daily_items,XLOOKUP($C2372,daily_dates,big_daily_table))),NA(),XLOOKUP(E$3,daily_items,XLOOKUP($C2372,daily_dates,big_daily_table)))</f>
        <v>#N/A</v>
      </c>
    </row>
    <row r="2373" ht="14.25" customHeight="1">
      <c r="B2373" s="7">
        <v>43278.0</v>
      </c>
      <c r="C2373" s="7">
        <f t="shared" si="1"/>
        <v>43275</v>
      </c>
      <c r="D2373" s="1" t="str">
        <f t="array" ref="D2373">IF(ISBLANK(XLOOKUP(D$3,daily_items,XLOOKUP($C2373,daily_dates,big_daily_table))),NA(),XLOOKUP(D$3,daily_items,XLOOKUP($C2373,daily_dates,big_daily_table)))</f>
        <v>#N/A</v>
      </c>
      <c r="E2373" s="1" t="str">
        <f t="array" ref="E2373">IF(ISBLANK(XLOOKUP(E$3,daily_items,XLOOKUP($C2373,daily_dates,big_daily_table))),NA(),XLOOKUP(E$3,daily_items,XLOOKUP($C2373,daily_dates,big_daily_table)))</f>
        <v>#N/A</v>
      </c>
    </row>
    <row r="2374" ht="14.25" customHeight="1">
      <c r="B2374" s="7">
        <v>43279.0</v>
      </c>
      <c r="C2374" s="7">
        <f t="shared" si="1"/>
        <v>43275</v>
      </c>
      <c r="D2374" s="1" t="str">
        <f t="array" ref="D2374">IF(ISBLANK(XLOOKUP(D$3,daily_items,XLOOKUP($C2374,daily_dates,big_daily_table))),NA(),XLOOKUP(D$3,daily_items,XLOOKUP($C2374,daily_dates,big_daily_table)))</f>
        <v>#N/A</v>
      </c>
      <c r="E2374" s="1" t="str">
        <f t="array" ref="E2374">IF(ISBLANK(XLOOKUP(E$3,daily_items,XLOOKUP($C2374,daily_dates,big_daily_table))),NA(),XLOOKUP(E$3,daily_items,XLOOKUP($C2374,daily_dates,big_daily_table)))</f>
        <v>#N/A</v>
      </c>
    </row>
    <row r="2375" ht="14.25" customHeight="1">
      <c r="B2375" s="7">
        <v>43280.0</v>
      </c>
      <c r="C2375" s="7">
        <f t="shared" si="1"/>
        <v>43275</v>
      </c>
      <c r="D2375" s="1" t="str">
        <f t="array" ref="D2375">IF(ISBLANK(XLOOKUP(D$3,daily_items,XLOOKUP($C2375,daily_dates,big_daily_table))),NA(),XLOOKUP(D$3,daily_items,XLOOKUP($C2375,daily_dates,big_daily_table)))</f>
        <v>#N/A</v>
      </c>
      <c r="E2375" s="1" t="str">
        <f t="array" ref="E2375">IF(ISBLANK(XLOOKUP(E$3,daily_items,XLOOKUP($C2375,daily_dates,big_daily_table))),NA(),XLOOKUP(E$3,daily_items,XLOOKUP($C2375,daily_dates,big_daily_table)))</f>
        <v>#N/A</v>
      </c>
    </row>
    <row r="2376" ht="14.25" customHeight="1">
      <c r="B2376" s="7">
        <v>43281.0</v>
      </c>
      <c r="C2376" s="7">
        <f t="shared" si="1"/>
        <v>43275</v>
      </c>
      <c r="D2376" s="1" t="str">
        <f t="array" ref="D2376">IF(ISBLANK(XLOOKUP(D$3,daily_items,XLOOKUP($C2376,daily_dates,big_daily_table))),NA(),XLOOKUP(D$3,daily_items,XLOOKUP($C2376,daily_dates,big_daily_table)))</f>
        <v>#N/A</v>
      </c>
      <c r="E2376" s="1" t="str">
        <f t="array" ref="E2376">IF(ISBLANK(XLOOKUP(E$3,daily_items,XLOOKUP($C2376,daily_dates,big_daily_table))),NA(),XLOOKUP(E$3,daily_items,XLOOKUP($C2376,daily_dates,big_daily_table)))</f>
        <v>#N/A</v>
      </c>
    </row>
    <row r="2377" ht="14.25" customHeight="1">
      <c r="B2377" s="7">
        <v>43282.0</v>
      </c>
      <c r="C2377" s="7">
        <f t="shared" si="1"/>
        <v>43282</v>
      </c>
      <c r="D2377" s="1" t="str">
        <f t="array" ref="D2377">IF(ISBLANK(XLOOKUP(D$3,daily_items,XLOOKUP($C2377,daily_dates,big_daily_table))),NA(),XLOOKUP(D$3,daily_items,XLOOKUP($C2377,daily_dates,big_daily_table)))</f>
        <v>#N/A</v>
      </c>
      <c r="E2377" s="1" t="str">
        <f t="array" ref="E2377">IF(ISBLANK(XLOOKUP(E$3,daily_items,XLOOKUP($C2377,daily_dates,big_daily_table))),NA(),XLOOKUP(E$3,daily_items,XLOOKUP($C2377,daily_dates,big_daily_table)))</f>
        <v>#N/A</v>
      </c>
    </row>
    <row r="2378" ht="14.25" customHeight="1">
      <c r="B2378" s="7">
        <v>43283.0</v>
      </c>
      <c r="C2378" s="7">
        <f t="shared" si="1"/>
        <v>43282</v>
      </c>
      <c r="D2378" s="1" t="str">
        <f t="array" ref="D2378">IF(ISBLANK(XLOOKUP(D$3,daily_items,XLOOKUP($C2378,daily_dates,big_daily_table))),NA(),XLOOKUP(D$3,daily_items,XLOOKUP($C2378,daily_dates,big_daily_table)))</f>
        <v>#N/A</v>
      </c>
      <c r="E2378" s="1" t="str">
        <f t="array" ref="E2378">IF(ISBLANK(XLOOKUP(E$3,daily_items,XLOOKUP($C2378,daily_dates,big_daily_table))),NA(),XLOOKUP(E$3,daily_items,XLOOKUP($C2378,daily_dates,big_daily_table)))</f>
        <v>#N/A</v>
      </c>
    </row>
    <row r="2379" ht="14.25" customHeight="1">
      <c r="B2379" s="7">
        <v>43284.0</v>
      </c>
      <c r="C2379" s="7">
        <f t="shared" si="1"/>
        <v>43282</v>
      </c>
      <c r="D2379" s="1" t="str">
        <f t="array" ref="D2379">IF(ISBLANK(XLOOKUP(D$3,daily_items,XLOOKUP($C2379,daily_dates,big_daily_table))),NA(),XLOOKUP(D$3,daily_items,XLOOKUP($C2379,daily_dates,big_daily_table)))</f>
        <v>#N/A</v>
      </c>
      <c r="E2379" s="1" t="str">
        <f t="array" ref="E2379">IF(ISBLANK(XLOOKUP(E$3,daily_items,XLOOKUP($C2379,daily_dates,big_daily_table))),NA(),XLOOKUP(E$3,daily_items,XLOOKUP($C2379,daily_dates,big_daily_table)))</f>
        <v>#N/A</v>
      </c>
    </row>
    <row r="2380" ht="14.25" customHeight="1">
      <c r="B2380" s="7">
        <v>43285.0</v>
      </c>
      <c r="C2380" s="7">
        <f t="shared" si="1"/>
        <v>43282</v>
      </c>
      <c r="D2380" s="1" t="str">
        <f t="array" ref="D2380">IF(ISBLANK(XLOOKUP(D$3,daily_items,XLOOKUP($C2380,daily_dates,big_daily_table))),NA(),XLOOKUP(D$3,daily_items,XLOOKUP($C2380,daily_dates,big_daily_table)))</f>
        <v>#N/A</v>
      </c>
      <c r="E2380" s="1" t="str">
        <f t="array" ref="E2380">IF(ISBLANK(XLOOKUP(E$3,daily_items,XLOOKUP($C2380,daily_dates,big_daily_table))),NA(),XLOOKUP(E$3,daily_items,XLOOKUP($C2380,daily_dates,big_daily_table)))</f>
        <v>#N/A</v>
      </c>
    </row>
    <row r="2381" ht="14.25" customHeight="1">
      <c r="B2381" s="7">
        <v>43286.0</v>
      </c>
      <c r="C2381" s="7">
        <f t="shared" si="1"/>
        <v>43282</v>
      </c>
      <c r="D2381" s="1" t="str">
        <f t="array" ref="D2381">IF(ISBLANK(XLOOKUP(D$3,daily_items,XLOOKUP($C2381,daily_dates,big_daily_table))),NA(),XLOOKUP(D$3,daily_items,XLOOKUP($C2381,daily_dates,big_daily_table)))</f>
        <v>#N/A</v>
      </c>
      <c r="E2381" s="1" t="str">
        <f t="array" ref="E2381">IF(ISBLANK(XLOOKUP(E$3,daily_items,XLOOKUP($C2381,daily_dates,big_daily_table))),NA(),XLOOKUP(E$3,daily_items,XLOOKUP($C2381,daily_dates,big_daily_table)))</f>
        <v>#N/A</v>
      </c>
    </row>
    <row r="2382" ht="14.25" customHeight="1">
      <c r="B2382" s="7">
        <v>43287.0</v>
      </c>
      <c r="C2382" s="7">
        <f t="shared" si="1"/>
        <v>43282</v>
      </c>
      <c r="D2382" s="1" t="str">
        <f t="array" ref="D2382">IF(ISBLANK(XLOOKUP(D$3,daily_items,XLOOKUP($C2382,daily_dates,big_daily_table))),NA(),XLOOKUP(D$3,daily_items,XLOOKUP($C2382,daily_dates,big_daily_table)))</f>
        <v>#N/A</v>
      </c>
      <c r="E2382" s="1" t="str">
        <f t="array" ref="E2382">IF(ISBLANK(XLOOKUP(E$3,daily_items,XLOOKUP($C2382,daily_dates,big_daily_table))),NA(),XLOOKUP(E$3,daily_items,XLOOKUP($C2382,daily_dates,big_daily_table)))</f>
        <v>#N/A</v>
      </c>
    </row>
    <row r="2383" ht="14.25" customHeight="1">
      <c r="B2383" s="7">
        <v>43288.0</v>
      </c>
      <c r="C2383" s="7">
        <f t="shared" si="1"/>
        <v>43282</v>
      </c>
      <c r="D2383" s="1" t="str">
        <f t="array" ref="D2383">IF(ISBLANK(XLOOKUP(D$3,daily_items,XLOOKUP($C2383,daily_dates,big_daily_table))),NA(),XLOOKUP(D$3,daily_items,XLOOKUP($C2383,daily_dates,big_daily_table)))</f>
        <v>#N/A</v>
      </c>
      <c r="E2383" s="1" t="str">
        <f t="array" ref="E2383">IF(ISBLANK(XLOOKUP(E$3,daily_items,XLOOKUP($C2383,daily_dates,big_daily_table))),NA(),XLOOKUP(E$3,daily_items,XLOOKUP($C2383,daily_dates,big_daily_table)))</f>
        <v>#N/A</v>
      </c>
    </row>
    <row r="2384" ht="14.25" customHeight="1">
      <c r="B2384" s="7">
        <v>43289.0</v>
      </c>
      <c r="C2384" s="7">
        <f t="shared" si="1"/>
        <v>43289</v>
      </c>
      <c r="D2384" s="1" t="str">
        <f t="array" ref="D2384">IF(ISBLANK(XLOOKUP(D$3,daily_items,XLOOKUP($C2384,daily_dates,big_daily_table))),NA(),XLOOKUP(D$3,daily_items,XLOOKUP($C2384,daily_dates,big_daily_table)))</f>
        <v>#N/A</v>
      </c>
      <c r="E2384" s="1" t="str">
        <f t="array" ref="E2384">IF(ISBLANK(XLOOKUP(E$3,daily_items,XLOOKUP($C2384,daily_dates,big_daily_table))),NA(),XLOOKUP(E$3,daily_items,XLOOKUP($C2384,daily_dates,big_daily_table)))</f>
        <v>#N/A</v>
      </c>
    </row>
    <row r="2385" ht="14.25" customHeight="1">
      <c r="B2385" s="7">
        <v>43290.0</v>
      </c>
      <c r="C2385" s="7">
        <f t="shared" si="1"/>
        <v>43289</v>
      </c>
      <c r="D2385" s="1" t="str">
        <f t="array" ref="D2385">IF(ISBLANK(XLOOKUP(D$3,daily_items,XLOOKUP($C2385,daily_dates,big_daily_table))),NA(),XLOOKUP(D$3,daily_items,XLOOKUP($C2385,daily_dates,big_daily_table)))</f>
        <v>#N/A</v>
      </c>
      <c r="E2385" s="1" t="str">
        <f t="array" ref="E2385">IF(ISBLANK(XLOOKUP(E$3,daily_items,XLOOKUP($C2385,daily_dates,big_daily_table))),NA(),XLOOKUP(E$3,daily_items,XLOOKUP($C2385,daily_dates,big_daily_table)))</f>
        <v>#N/A</v>
      </c>
    </row>
    <row r="2386" ht="14.25" customHeight="1">
      <c r="B2386" s="7">
        <v>43291.0</v>
      </c>
      <c r="C2386" s="7">
        <f t="shared" si="1"/>
        <v>43289</v>
      </c>
      <c r="D2386" s="1" t="str">
        <f t="array" ref="D2386">IF(ISBLANK(XLOOKUP(D$3,daily_items,XLOOKUP($C2386,daily_dates,big_daily_table))),NA(),XLOOKUP(D$3,daily_items,XLOOKUP($C2386,daily_dates,big_daily_table)))</f>
        <v>#N/A</v>
      </c>
      <c r="E2386" s="1" t="str">
        <f t="array" ref="E2386">IF(ISBLANK(XLOOKUP(E$3,daily_items,XLOOKUP($C2386,daily_dates,big_daily_table))),NA(),XLOOKUP(E$3,daily_items,XLOOKUP($C2386,daily_dates,big_daily_table)))</f>
        <v>#N/A</v>
      </c>
    </row>
    <row r="2387" ht="14.25" customHeight="1">
      <c r="B2387" s="7">
        <v>43292.0</v>
      </c>
      <c r="C2387" s="7">
        <f t="shared" si="1"/>
        <v>43289</v>
      </c>
      <c r="D2387" s="1" t="str">
        <f t="array" ref="D2387">IF(ISBLANK(XLOOKUP(D$3,daily_items,XLOOKUP($C2387,daily_dates,big_daily_table))),NA(),XLOOKUP(D$3,daily_items,XLOOKUP($C2387,daily_dates,big_daily_table)))</f>
        <v>#N/A</v>
      </c>
      <c r="E2387" s="1" t="str">
        <f t="array" ref="E2387">IF(ISBLANK(XLOOKUP(E$3,daily_items,XLOOKUP($C2387,daily_dates,big_daily_table))),NA(),XLOOKUP(E$3,daily_items,XLOOKUP($C2387,daily_dates,big_daily_table)))</f>
        <v>#N/A</v>
      </c>
    </row>
    <row r="2388" ht="14.25" customHeight="1">
      <c r="B2388" s="7">
        <v>43293.0</v>
      </c>
      <c r="C2388" s="7">
        <f t="shared" si="1"/>
        <v>43289</v>
      </c>
      <c r="D2388" s="1" t="str">
        <f t="array" ref="D2388">IF(ISBLANK(XLOOKUP(D$3,daily_items,XLOOKUP($C2388,daily_dates,big_daily_table))),NA(),XLOOKUP(D$3,daily_items,XLOOKUP($C2388,daily_dates,big_daily_table)))</f>
        <v>#N/A</v>
      </c>
      <c r="E2388" s="1" t="str">
        <f t="array" ref="E2388">IF(ISBLANK(XLOOKUP(E$3,daily_items,XLOOKUP($C2388,daily_dates,big_daily_table))),NA(),XLOOKUP(E$3,daily_items,XLOOKUP($C2388,daily_dates,big_daily_table)))</f>
        <v>#N/A</v>
      </c>
    </row>
    <row r="2389" ht="14.25" customHeight="1">
      <c r="B2389" s="7">
        <v>43294.0</v>
      </c>
      <c r="C2389" s="7">
        <f t="shared" si="1"/>
        <v>43289</v>
      </c>
      <c r="D2389" s="1" t="str">
        <f t="array" ref="D2389">IF(ISBLANK(XLOOKUP(D$3,daily_items,XLOOKUP($C2389,daily_dates,big_daily_table))),NA(),XLOOKUP(D$3,daily_items,XLOOKUP($C2389,daily_dates,big_daily_table)))</f>
        <v>#N/A</v>
      </c>
      <c r="E2389" s="1" t="str">
        <f t="array" ref="E2389">IF(ISBLANK(XLOOKUP(E$3,daily_items,XLOOKUP($C2389,daily_dates,big_daily_table))),NA(),XLOOKUP(E$3,daily_items,XLOOKUP($C2389,daily_dates,big_daily_table)))</f>
        <v>#N/A</v>
      </c>
    </row>
    <row r="2390" ht="14.25" customHeight="1">
      <c r="B2390" s="7">
        <v>43295.0</v>
      </c>
      <c r="C2390" s="7">
        <f t="shared" si="1"/>
        <v>43289</v>
      </c>
      <c r="D2390" s="1" t="str">
        <f t="array" ref="D2390">IF(ISBLANK(XLOOKUP(D$3,daily_items,XLOOKUP($C2390,daily_dates,big_daily_table))),NA(),XLOOKUP(D$3,daily_items,XLOOKUP($C2390,daily_dates,big_daily_table)))</f>
        <v>#N/A</v>
      </c>
      <c r="E2390" s="1" t="str">
        <f t="array" ref="E2390">IF(ISBLANK(XLOOKUP(E$3,daily_items,XLOOKUP($C2390,daily_dates,big_daily_table))),NA(),XLOOKUP(E$3,daily_items,XLOOKUP($C2390,daily_dates,big_daily_table)))</f>
        <v>#N/A</v>
      </c>
    </row>
    <row r="2391" ht="14.25" customHeight="1">
      <c r="B2391" s="7">
        <v>43296.0</v>
      </c>
      <c r="C2391" s="7">
        <f t="shared" si="1"/>
        <v>43296</v>
      </c>
      <c r="D2391" s="1" t="str">
        <f t="array" ref="D2391">IF(ISBLANK(XLOOKUP(D$3,daily_items,XLOOKUP($C2391,daily_dates,big_daily_table))),NA(),XLOOKUP(D$3,daily_items,XLOOKUP($C2391,daily_dates,big_daily_table)))</f>
        <v>#N/A</v>
      </c>
      <c r="E2391" s="1" t="str">
        <f t="array" ref="E2391">IF(ISBLANK(XLOOKUP(E$3,daily_items,XLOOKUP($C2391,daily_dates,big_daily_table))),NA(),XLOOKUP(E$3,daily_items,XLOOKUP($C2391,daily_dates,big_daily_table)))</f>
        <v>#N/A</v>
      </c>
    </row>
    <row r="2392" ht="14.25" customHeight="1">
      <c r="B2392" s="7">
        <v>43297.0</v>
      </c>
      <c r="C2392" s="7">
        <f t="shared" si="1"/>
        <v>43296</v>
      </c>
      <c r="D2392" s="1" t="str">
        <f t="array" ref="D2392">IF(ISBLANK(XLOOKUP(D$3,daily_items,XLOOKUP($C2392,daily_dates,big_daily_table))),NA(),XLOOKUP(D$3,daily_items,XLOOKUP($C2392,daily_dates,big_daily_table)))</f>
        <v>#N/A</v>
      </c>
      <c r="E2392" s="1" t="str">
        <f t="array" ref="E2392">IF(ISBLANK(XLOOKUP(E$3,daily_items,XLOOKUP($C2392,daily_dates,big_daily_table))),NA(),XLOOKUP(E$3,daily_items,XLOOKUP($C2392,daily_dates,big_daily_table)))</f>
        <v>#N/A</v>
      </c>
    </row>
    <row r="2393" ht="14.25" customHeight="1">
      <c r="B2393" s="7">
        <v>43298.0</v>
      </c>
      <c r="C2393" s="7">
        <f t="shared" si="1"/>
        <v>43296</v>
      </c>
      <c r="D2393" s="1" t="str">
        <f t="array" ref="D2393">IF(ISBLANK(XLOOKUP(D$3,daily_items,XLOOKUP($C2393,daily_dates,big_daily_table))),NA(),XLOOKUP(D$3,daily_items,XLOOKUP($C2393,daily_dates,big_daily_table)))</f>
        <v>#N/A</v>
      </c>
      <c r="E2393" s="1" t="str">
        <f t="array" ref="E2393">IF(ISBLANK(XLOOKUP(E$3,daily_items,XLOOKUP($C2393,daily_dates,big_daily_table))),NA(),XLOOKUP(E$3,daily_items,XLOOKUP($C2393,daily_dates,big_daily_table)))</f>
        <v>#N/A</v>
      </c>
    </row>
    <row r="2394" ht="14.25" customHeight="1">
      <c r="B2394" s="7">
        <v>43299.0</v>
      </c>
      <c r="C2394" s="7">
        <f t="shared" si="1"/>
        <v>43296</v>
      </c>
      <c r="D2394" s="1" t="str">
        <f t="array" ref="D2394">IF(ISBLANK(XLOOKUP(D$3,daily_items,XLOOKUP($C2394,daily_dates,big_daily_table))),NA(),XLOOKUP(D$3,daily_items,XLOOKUP($C2394,daily_dates,big_daily_table)))</f>
        <v>#N/A</v>
      </c>
      <c r="E2394" s="1" t="str">
        <f t="array" ref="E2394">IF(ISBLANK(XLOOKUP(E$3,daily_items,XLOOKUP($C2394,daily_dates,big_daily_table))),NA(),XLOOKUP(E$3,daily_items,XLOOKUP($C2394,daily_dates,big_daily_table)))</f>
        <v>#N/A</v>
      </c>
    </row>
    <row r="2395" ht="14.25" customHeight="1">
      <c r="B2395" s="7">
        <v>43300.0</v>
      </c>
      <c r="C2395" s="7">
        <f t="shared" si="1"/>
        <v>43296</v>
      </c>
      <c r="D2395" s="1" t="str">
        <f t="array" ref="D2395">IF(ISBLANK(XLOOKUP(D$3,daily_items,XLOOKUP($C2395,daily_dates,big_daily_table))),NA(),XLOOKUP(D$3,daily_items,XLOOKUP($C2395,daily_dates,big_daily_table)))</f>
        <v>#N/A</v>
      </c>
      <c r="E2395" s="1" t="str">
        <f t="array" ref="E2395">IF(ISBLANK(XLOOKUP(E$3,daily_items,XLOOKUP($C2395,daily_dates,big_daily_table))),NA(),XLOOKUP(E$3,daily_items,XLOOKUP($C2395,daily_dates,big_daily_table)))</f>
        <v>#N/A</v>
      </c>
    </row>
    <row r="2396" ht="14.25" customHeight="1">
      <c r="B2396" s="7">
        <v>43301.0</v>
      </c>
      <c r="C2396" s="7">
        <f t="shared" si="1"/>
        <v>43296</v>
      </c>
      <c r="D2396" s="1" t="str">
        <f t="array" ref="D2396">IF(ISBLANK(XLOOKUP(D$3,daily_items,XLOOKUP($C2396,daily_dates,big_daily_table))),NA(),XLOOKUP(D$3,daily_items,XLOOKUP($C2396,daily_dates,big_daily_table)))</f>
        <v>#N/A</v>
      </c>
      <c r="E2396" s="1" t="str">
        <f t="array" ref="E2396">IF(ISBLANK(XLOOKUP(E$3,daily_items,XLOOKUP($C2396,daily_dates,big_daily_table))),NA(),XLOOKUP(E$3,daily_items,XLOOKUP($C2396,daily_dates,big_daily_table)))</f>
        <v>#N/A</v>
      </c>
    </row>
    <row r="2397" ht="14.25" customHeight="1">
      <c r="B2397" s="7">
        <v>43302.0</v>
      </c>
      <c r="C2397" s="7">
        <f t="shared" si="1"/>
        <v>43296</v>
      </c>
      <c r="D2397" s="1" t="str">
        <f t="array" ref="D2397">IF(ISBLANK(XLOOKUP(D$3,daily_items,XLOOKUP($C2397,daily_dates,big_daily_table))),NA(),XLOOKUP(D$3,daily_items,XLOOKUP($C2397,daily_dates,big_daily_table)))</f>
        <v>#N/A</v>
      </c>
      <c r="E2397" s="1" t="str">
        <f t="array" ref="E2397">IF(ISBLANK(XLOOKUP(E$3,daily_items,XLOOKUP($C2397,daily_dates,big_daily_table))),NA(),XLOOKUP(E$3,daily_items,XLOOKUP($C2397,daily_dates,big_daily_table)))</f>
        <v>#N/A</v>
      </c>
    </row>
    <row r="2398" ht="14.25" customHeight="1">
      <c r="B2398" s="7">
        <v>43303.0</v>
      </c>
      <c r="C2398" s="7">
        <f t="shared" si="1"/>
        <v>43303</v>
      </c>
      <c r="D2398" s="1" t="str">
        <f t="array" ref="D2398">IF(ISBLANK(XLOOKUP(D$3,daily_items,XLOOKUP($C2398,daily_dates,big_daily_table))),NA(),XLOOKUP(D$3,daily_items,XLOOKUP($C2398,daily_dates,big_daily_table)))</f>
        <v>#N/A</v>
      </c>
      <c r="E2398" s="1" t="str">
        <f t="array" ref="E2398">IF(ISBLANK(XLOOKUP(E$3,daily_items,XLOOKUP($C2398,daily_dates,big_daily_table))),NA(),XLOOKUP(E$3,daily_items,XLOOKUP($C2398,daily_dates,big_daily_table)))</f>
        <v>#N/A</v>
      </c>
    </row>
    <row r="2399" ht="14.25" customHeight="1">
      <c r="B2399" s="7">
        <v>43304.0</v>
      </c>
      <c r="C2399" s="7">
        <f t="shared" si="1"/>
        <v>43303</v>
      </c>
      <c r="D2399" s="1" t="str">
        <f t="array" ref="D2399">IF(ISBLANK(XLOOKUP(D$3,daily_items,XLOOKUP($C2399,daily_dates,big_daily_table))),NA(),XLOOKUP(D$3,daily_items,XLOOKUP($C2399,daily_dates,big_daily_table)))</f>
        <v>#N/A</v>
      </c>
      <c r="E2399" s="1" t="str">
        <f t="array" ref="E2399">IF(ISBLANK(XLOOKUP(E$3,daily_items,XLOOKUP($C2399,daily_dates,big_daily_table))),NA(),XLOOKUP(E$3,daily_items,XLOOKUP($C2399,daily_dates,big_daily_table)))</f>
        <v>#N/A</v>
      </c>
    </row>
    <row r="2400" ht="14.25" customHeight="1">
      <c r="B2400" s="7">
        <v>43305.0</v>
      </c>
      <c r="C2400" s="7">
        <f t="shared" si="1"/>
        <v>43303</v>
      </c>
      <c r="D2400" s="1" t="str">
        <f t="array" ref="D2400">IF(ISBLANK(XLOOKUP(D$3,daily_items,XLOOKUP($C2400,daily_dates,big_daily_table))),NA(),XLOOKUP(D$3,daily_items,XLOOKUP($C2400,daily_dates,big_daily_table)))</f>
        <v>#N/A</v>
      </c>
      <c r="E2400" s="1" t="str">
        <f t="array" ref="E2400">IF(ISBLANK(XLOOKUP(E$3,daily_items,XLOOKUP($C2400,daily_dates,big_daily_table))),NA(),XLOOKUP(E$3,daily_items,XLOOKUP($C2400,daily_dates,big_daily_table)))</f>
        <v>#N/A</v>
      </c>
    </row>
    <row r="2401" ht="14.25" customHeight="1">
      <c r="B2401" s="7">
        <v>43306.0</v>
      </c>
      <c r="C2401" s="7">
        <f t="shared" si="1"/>
        <v>43303</v>
      </c>
      <c r="D2401" s="1" t="str">
        <f t="array" ref="D2401">IF(ISBLANK(XLOOKUP(D$3,daily_items,XLOOKUP($C2401,daily_dates,big_daily_table))),NA(),XLOOKUP(D$3,daily_items,XLOOKUP($C2401,daily_dates,big_daily_table)))</f>
        <v>#N/A</v>
      </c>
      <c r="E2401" s="1" t="str">
        <f t="array" ref="E2401">IF(ISBLANK(XLOOKUP(E$3,daily_items,XLOOKUP($C2401,daily_dates,big_daily_table))),NA(),XLOOKUP(E$3,daily_items,XLOOKUP($C2401,daily_dates,big_daily_table)))</f>
        <v>#N/A</v>
      </c>
    </row>
    <row r="2402" ht="14.25" customHeight="1">
      <c r="B2402" s="7">
        <v>43307.0</v>
      </c>
      <c r="C2402" s="7">
        <f t="shared" si="1"/>
        <v>43303</v>
      </c>
      <c r="D2402" s="1" t="str">
        <f t="array" ref="D2402">IF(ISBLANK(XLOOKUP(D$3,daily_items,XLOOKUP($C2402,daily_dates,big_daily_table))),NA(),XLOOKUP(D$3,daily_items,XLOOKUP($C2402,daily_dates,big_daily_table)))</f>
        <v>#N/A</v>
      </c>
      <c r="E2402" s="1" t="str">
        <f t="array" ref="E2402">IF(ISBLANK(XLOOKUP(E$3,daily_items,XLOOKUP($C2402,daily_dates,big_daily_table))),NA(),XLOOKUP(E$3,daily_items,XLOOKUP($C2402,daily_dates,big_daily_table)))</f>
        <v>#N/A</v>
      </c>
    </row>
    <row r="2403" ht="14.25" customHeight="1">
      <c r="B2403" s="7">
        <v>43308.0</v>
      </c>
      <c r="C2403" s="7">
        <f t="shared" si="1"/>
        <v>43303</v>
      </c>
      <c r="D2403" s="1" t="str">
        <f t="array" ref="D2403">IF(ISBLANK(XLOOKUP(D$3,daily_items,XLOOKUP($C2403,daily_dates,big_daily_table))),NA(),XLOOKUP(D$3,daily_items,XLOOKUP($C2403,daily_dates,big_daily_table)))</f>
        <v>#N/A</v>
      </c>
      <c r="E2403" s="1" t="str">
        <f t="array" ref="E2403">IF(ISBLANK(XLOOKUP(E$3,daily_items,XLOOKUP($C2403,daily_dates,big_daily_table))),NA(),XLOOKUP(E$3,daily_items,XLOOKUP($C2403,daily_dates,big_daily_table)))</f>
        <v>#N/A</v>
      </c>
    </row>
    <row r="2404" ht="14.25" customHeight="1">
      <c r="B2404" s="7">
        <v>43309.0</v>
      </c>
      <c r="C2404" s="7">
        <f t="shared" si="1"/>
        <v>43303</v>
      </c>
      <c r="D2404" s="1" t="str">
        <f t="array" ref="D2404">IF(ISBLANK(XLOOKUP(D$3,daily_items,XLOOKUP($C2404,daily_dates,big_daily_table))),NA(),XLOOKUP(D$3,daily_items,XLOOKUP($C2404,daily_dates,big_daily_table)))</f>
        <v>#N/A</v>
      </c>
      <c r="E2404" s="1" t="str">
        <f t="array" ref="E2404">IF(ISBLANK(XLOOKUP(E$3,daily_items,XLOOKUP($C2404,daily_dates,big_daily_table))),NA(),XLOOKUP(E$3,daily_items,XLOOKUP($C2404,daily_dates,big_daily_table)))</f>
        <v>#N/A</v>
      </c>
    </row>
    <row r="2405" ht="14.25" customHeight="1">
      <c r="B2405" s="7">
        <v>43310.0</v>
      </c>
      <c r="C2405" s="7">
        <f t="shared" si="1"/>
        <v>43310</v>
      </c>
      <c r="D2405" s="1" t="str">
        <f t="array" ref="D2405">IF(ISBLANK(XLOOKUP(D$3,daily_items,XLOOKUP($C2405,daily_dates,big_daily_table))),NA(),XLOOKUP(D$3,daily_items,XLOOKUP($C2405,daily_dates,big_daily_table)))</f>
        <v>#N/A</v>
      </c>
      <c r="E2405" s="1" t="str">
        <f t="array" ref="E2405">IF(ISBLANK(XLOOKUP(E$3,daily_items,XLOOKUP($C2405,daily_dates,big_daily_table))),NA(),XLOOKUP(E$3,daily_items,XLOOKUP($C2405,daily_dates,big_daily_table)))</f>
        <v>#N/A</v>
      </c>
    </row>
    <row r="2406" ht="14.25" customHeight="1">
      <c r="B2406" s="7">
        <v>43311.0</v>
      </c>
      <c r="C2406" s="7">
        <f t="shared" si="1"/>
        <v>43310</v>
      </c>
      <c r="D2406" s="1" t="str">
        <f t="array" ref="D2406">IF(ISBLANK(XLOOKUP(D$3,daily_items,XLOOKUP($C2406,daily_dates,big_daily_table))),NA(),XLOOKUP(D$3,daily_items,XLOOKUP($C2406,daily_dates,big_daily_table)))</f>
        <v>#N/A</v>
      </c>
      <c r="E2406" s="1" t="str">
        <f t="array" ref="E2406">IF(ISBLANK(XLOOKUP(E$3,daily_items,XLOOKUP($C2406,daily_dates,big_daily_table))),NA(),XLOOKUP(E$3,daily_items,XLOOKUP($C2406,daily_dates,big_daily_table)))</f>
        <v>#N/A</v>
      </c>
    </row>
    <row r="2407" ht="14.25" customHeight="1">
      <c r="B2407" s="7">
        <v>43312.0</v>
      </c>
      <c r="C2407" s="7">
        <f t="shared" si="1"/>
        <v>43310</v>
      </c>
      <c r="D2407" s="1" t="str">
        <f t="array" ref="D2407">IF(ISBLANK(XLOOKUP(D$3,daily_items,XLOOKUP($C2407,daily_dates,big_daily_table))),NA(),XLOOKUP(D$3,daily_items,XLOOKUP($C2407,daily_dates,big_daily_table)))</f>
        <v>#N/A</v>
      </c>
      <c r="E2407" s="1" t="str">
        <f t="array" ref="E2407">IF(ISBLANK(XLOOKUP(E$3,daily_items,XLOOKUP($C2407,daily_dates,big_daily_table))),NA(),XLOOKUP(E$3,daily_items,XLOOKUP($C2407,daily_dates,big_daily_table)))</f>
        <v>#N/A</v>
      </c>
    </row>
    <row r="2408" ht="14.25" customHeight="1">
      <c r="B2408" s="7">
        <v>43313.0</v>
      </c>
      <c r="C2408" s="7">
        <f t="shared" si="1"/>
        <v>43310</v>
      </c>
      <c r="D2408" s="1" t="str">
        <f t="array" ref="D2408">IF(ISBLANK(XLOOKUP(D$3,daily_items,XLOOKUP($C2408,daily_dates,big_daily_table))),NA(),XLOOKUP(D$3,daily_items,XLOOKUP($C2408,daily_dates,big_daily_table)))</f>
        <v>#N/A</v>
      </c>
      <c r="E2408" s="1" t="str">
        <f t="array" ref="E2408">IF(ISBLANK(XLOOKUP(E$3,daily_items,XLOOKUP($C2408,daily_dates,big_daily_table))),NA(),XLOOKUP(E$3,daily_items,XLOOKUP($C2408,daily_dates,big_daily_table)))</f>
        <v>#N/A</v>
      </c>
    </row>
    <row r="2409" ht="14.25" customHeight="1">
      <c r="B2409" s="7">
        <v>43314.0</v>
      </c>
      <c r="C2409" s="7">
        <f t="shared" si="1"/>
        <v>43310</v>
      </c>
      <c r="D2409" s="1" t="str">
        <f t="array" ref="D2409">IF(ISBLANK(XLOOKUP(D$3,daily_items,XLOOKUP($C2409,daily_dates,big_daily_table))),NA(),XLOOKUP(D$3,daily_items,XLOOKUP($C2409,daily_dates,big_daily_table)))</f>
        <v>#N/A</v>
      </c>
      <c r="E2409" s="1" t="str">
        <f t="array" ref="E2409">IF(ISBLANK(XLOOKUP(E$3,daily_items,XLOOKUP($C2409,daily_dates,big_daily_table))),NA(),XLOOKUP(E$3,daily_items,XLOOKUP($C2409,daily_dates,big_daily_table)))</f>
        <v>#N/A</v>
      </c>
    </row>
    <row r="2410" ht="14.25" customHeight="1">
      <c r="B2410" s="7">
        <v>43315.0</v>
      </c>
      <c r="C2410" s="7">
        <f t="shared" si="1"/>
        <v>43310</v>
      </c>
      <c r="D2410" s="1" t="str">
        <f t="array" ref="D2410">IF(ISBLANK(XLOOKUP(D$3,daily_items,XLOOKUP($C2410,daily_dates,big_daily_table))),NA(),XLOOKUP(D$3,daily_items,XLOOKUP($C2410,daily_dates,big_daily_table)))</f>
        <v>#N/A</v>
      </c>
      <c r="E2410" s="1" t="str">
        <f t="array" ref="E2410">IF(ISBLANK(XLOOKUP(E$3,daily_items,XLOOKUP($C2410,daily_dates,big_daily_table))),NA(),XLOOKUP(E$3,daily_items,XLOOKUP($C2410,daily_dates,big_daily_table)))</f>
        <v>#N/A</v>
      </c>
    </row>
    <row r="2411" ht="14.25" customHeight="1">
      <c r="B2411" s="7">
        <v>43316.0</v>
      </c>
      <c r="C2411" s="7">
        <f t="shared" si="1"/>
        <v>43310</v>
      </c>
      <c r="D2411" s="1" t="str">
        <f t="array" ref="D2411">IF(ISBLANK(XLOOKUP(D$3,daily_items,XLOOKUP($C2411,daily_dates,big_daily_table))),NA(),XLOOKUP(D$3,daily_items,XLOOKUP($C2411,daily_dates,big_daily_table)))</f>
        <v>#N/A</v>
      </c>
      <c r="E2411" s="1" t="str">
        <f t="array" ref="E2411">IF(ISBLANK(XLOOKUP(E$3,daily_items,XLOOKUP($C2411,daily_dates,big_daily_table))),NA(),XLOOKUP(E$3,daily_items,XLOOKUP($C2411,daily_dates,big_daily_table)))</f>
        <v>#N/A</v>
      </c>
    </row>
    <row r="2412" ht="14.25" customHeight="1">
      <c r="B2412" s="7">
        <v>43317.0</v>
      </c>
      <c r="C2412" s="7">
        <f t="shared" si="1"/>
        <v>43317</v>
      </c>
      <c r="D2412" s="1" t="str">
        <f t="array" ref="D2412">IF(ISBLANK(XLOOKUP(D$3,daily_items,XLOOKUP($C2412,daily_dates,big_daily_table))),NA(),XLOOKUP(D$3,daily_items,XLOOKUP($C2412,daily_dates,big_daily_table)))</f>
        <v>#N/A</v>
      </c>
      <c r="E2412" s="1" t="str">
        <f t="array" ref="E2412">IF(ISBLANK(XLOOKUP(E$3,daily_items,XLOOKUP($C2412,daily_dates,big_daily_table))),NA(),XLOOKUP(E$3,daily_items,XLOOKUP($C2412,daily_dates,big_daily_table)))</f>
        <v>#N/A</v>
      </c>
    </row>
    <row r="2413" ht="14.25" customHeight="1">
      <c r="B2413" s="7">
        <v>43318.0</v>
      </c>
      <c r="C2413" s="7">
        <f t="shared" si="1"/>
        <v>43317</v>
      </c>
      <c r="D2413" s="1" t="str">
        <f t="array" ref="D2413">IF(ISBLANK(XLOOKUP(D$3,daily_items,XLOOKUP($C2413,daily_dates,big_daily_table))),NA(),XLOOKUP(D$3,daily_items,XLOOKUP($C2413,daily_dates,big_daily_table)))</f>
        <v>#N/A</v>
      </c>
      <c r="E2413" s="1" t="str">
        <f t="array" ref="E2413">IF(ISBLANK(XLOOKUP(E$3,daily_items,XLOOKUP($C2413,daily_dates,big_daily_table))),NA(),XLOOKUP(E$3,daily_items,XLOOKUP($C2413,daily_dates,big_daily_table)))</f>
        <v>#N/A</v>
      </c>
    </row>
    <row r="2414" ht="14.25" customHeight="1">
      <c r="B2414" s="7">
        <v>43319.0</v>
      </c>
      <c r="C2414" s="7">
        <f t="shared" si="1"/>
        <v>43317</v>
      </c>
      <c r="D2414" s="1" t="str">
        <f t="array" ref="D2414">IF(ISBLANK(XLOOKUP(D$3,daily_items,XLOOKUP($C2414,daily_dates,big_daily_table))),NA(),XLOOKUP(D$3,daily_items,XLOOKUP($C2414,daily_dates,big_daily_table)))</f>
        <v>#N/A</v>
      </c>
      <c r="E2414" s="1" t="str">
        <f t="array" ref="E2414">IF(ISBLANK(XLOOKUP(E$3,daily_items,XLOOKUP($C2414,daily_dates,big_daily_table))),NA(),XLOOKUP(E$3,daily_items,XLOOKUP($C2414,daily_dates,big_daily_table)))</f>
        <v>#N/A</v>
      </c>
    </row>
    <row r="2415" ht="14.25" customHeight="1">
      <c r="B2415" s="7">
        <v>43320.0</v>
      </c>
      <c r="C2415" s="7">
        <f t="shared" si="1"/>
        <v>43317</v>
      </c>
      <c r="D2415" s="1" t="str">
        <f t="array" ref="D2415">IF(ISBLANK(XLOOKUP(D$3,daily_items,XLOOKUP($C2415,daily_dates,big_daily_table))),NA(),XLOOKUP(D$3,daily_items,XLOOKUP($C2415,daily_dates,big_daily_table)))</f>
        <v>#N/A</v>
      </c>
      <c r="E2415" s="1" t="str">
        <f t="array" ref="E2415">IF(ISBLANK(XLOOKUP(E$3,daily_items,XLOOKUP($C2415,daily_dates,big_daily_table))),NA(),XLOOKUP(E$3,daily_items,XLOOKUP($C2415,daily_dates,big_daily_table)))</f>
        <v>#N/A</v>
      </c>
    </row>
    <row r="2416" ht="14.25" customHeight="1">
      <c r="B2416" s="7">
        <v>43321.0</v>
      </c>
      <c r="C2416" s="7">
        <f t="shared" si="1"/>
        <v>43317</v>
      </c>
      <c r="D2416" s="1" t="str">
        <f t="array" ref="D2416">IF(ISBLANK(XLOOKUP(D$3,daily_items,XLOOKUP($C2416,daily_dates,big_daily_table))),NA(),XLOOKUP(D$3,daily_items,XLOOKUP($C2416,daily_dates,big_daily_table)))</f>
        <v>#N/A</v>
      </c>
      <c r="E2416" s="1" t="str">
        <f t="array" ref="E2416">IF(ISBLANK(XLOOKUP(E$3,daily_items,XLOOKUP($C2416,daily_dates,big_daily_table))),NA(),XLOOKUP(E$3,daily_items,XLOOKUP($C2416,daily_dates,big_daily_table)))</f>
        <v>#N/A</v>
      </c>
    </row>
    <row r="2417" ht="14.25" customHeight="1">
      <c r="B2417" s="7">
        <v>43322.0</v>
      </c>
      <c r="C2417" s="7">
        <f t="shared" si="1"/>
        <v>43317</v>
      </c>
      <c r="D2417" s="1" t="str">
        <f t="array" ref="D2417">IF(ISBLANK(XLOOKUP(D$3,daily_items,XLOOKUP($C2417,daily_dates,big_daily_table))),NA(),XLOOKUP(D$3,daily_items,XLOOKUP($C2417,daily_dates,big_daily_table)))</f>
        <v>#N/A</v>
      </c>
      <c r="E2417" s="1" t="str">
        <f t="array" ref="E2417">IF(ISBLANK(XLOOKUP(E$3,daily_items,XLOOKUP($C2417,daily_dates,big_daily_table))),NA(),XLOOKUP(E$3,daily_items,XLOOKUP($C2417,daily_dates,big_daily_table)))</f>
        <v>#N/A</v>
      </c>
    </row>
    <row r="2418" ht="14.25" customHeight="1">
      <c r="B2418" s="7">
        <v>43323.0</v>
      </c>
      <c r="C2418" s="7">
        <f t="shared" si="1"/>
        <v>43317</v>
      </c>
      <c r="D2418" s="1" t="str">
        <f t="array" ref="D2418">IF(ISBLANK(XLOOKUP(D$3,daily_items,XLOOKUP($C2418,daily_dates,big_daily_table))),NA(),XLOOKUP(D$3,daily_items,XLOOKUP($C2418,daily_dates,big_daily_table)))</f>
        <v>#N/A</v>
      </c>
      <c r="E2418" s="1" t="str">
        <f t="array" ref="E2418">IF(ISBLANK(XLOOKUP(E$3,daily_items,XLOOKUP($C2418,daily_dates,big_daily_table))),NA(),XLOOKUP(E$3,daily_items,XLOOKUP($C2418,daily_dates,big_daily_table)))</f>
        <v>#N/A</v>
      </c>
    </row>
    <row r="2419" ht="14.25" customHeight="1">
      <c r="B2419" s="7">
        <v>43324.0</v>
      </c>
      <c r="C2419" s="7">
        <f t="shared" si="1"/>
        <v>43324</v>
      </c>
      <c r="D2419" s="1" t="str">
        <f t="array" ref="D2419">IF(ISBLANK(XLOOKUP(D$3,daily_items,XLOOKUP($C2419,daily_dates,big_daily_table))),NA(),XLOOKUP(D$3,daily_items,XLOOKUP($C2419,daily_dates,big_daily_table)))</f>
        <v>#N/A</v>
      </c>
      <c r="E2419" s="1" t="str">
        <f t="array" ref="E2419">IF(ISBLANK(XLOOKUP(E$3,daily_items,XLOOKUP($C2419,daily_dates,big_daily_table))),NA(),XLOOKUP(E$3,daily_items,XLOOKUP($C2419,daily_dates,big_daily_table)))</f>
        <v>#N/A</v>
      </c>
    </row>
    <row r="2420" ht="14.25" customHeight="1">
      <c r="B2420" s="7">
        <v>43325.0</v>
      </c>
      <c r="C2420" s="7">
        <f t="shared" si="1"/>
        <v>43324</v>
      </c>
      <c r="D2420" s="1" t="str">
        <f t="array" ref="D2420">IF(ISBLANK(XLOOKUP(D$3,daily_items,XLOOKUP($C2420,daily_dates,big_daily_table))),NA(),XLOOKUP(D$3,daily_items,XLOOKUP($C2420,daily_dates,big_daily_table)))</f>
        <v>#N/A</v>
      </c>
      <c r="E2420" s="1" t="str">
        <f t="array" ref="E2420">IF(ISBLANK(XLOOKUP(E$3,daily_items,XLOOKUP($C2420,daily_dates,big_daily_table))),NA(),XLOOKUP(E$3,daily_items,XLOOKUP($C2420,daily_dates,big_daily_table)))</f>
        <v>#N/A</v>
      </c>
    </row>
    <row r="2421" ht="14.25" customHeight="1">
      <c r="B2421" s="7">
        <v>43326.0</v>
      </c>
      <c r="C2421" s="7">
        <f t="shared" si="1"/>
        <v>43324</v>
      </c>
      <c r="D2421" s="1" t="str">
        <f t="array" ref="D2421">IF(ISBLANK(XLOOKUP(D$3,daily_items,XLOOKUP($C2421,daily_dates,big_daily_table))),NA(),XLOOKUP(D$3,daily_items,XLOOKUP($C2421,daily_dates,big_daily_table)))</f>
        <v>#N/A</v>
      </c>
      <c r="E2421" s="1" t="str">
        <f t="array" ref="E2421">IF(ISBLANK(XLOOKUP(E$3,daily_items,XLOOKUP($C2421,daily_dates,big_daily_table))),NA(),XLOOKUP(E$3,daily_items,XLOOKUP($C2421,daily_dates,big_daily_table)))</f>
        <v>#N/A</v>
      </c>
    </row>
    <row r="2422" ht="14.25" customHeight="1">
      <c r="B2422" s="7">
        <v>43327.0</v>
      </c>
      <c r="C2422" s="7">
        <f t="shared" si="1"/>
        <v>43324</v>
      </c>
      <c r="D2422" s="1" t="str">
        <f t="array" ref="D2422">IF(ISBLANK(XLOOKUP(D$3,daily_items,XLOOKUP($C2422,daily_dates,big_daily_table))),NA(),XLOOKUP(D$3,daily_items,XLOOKUP($C2422,daily_dates,big_daily_table)))</f>
        <v>#N/A</v>
      </c>
      <c r="E2422" s="1" t="str">
        <f t="array" ref="E2422">IF(ISBLANK(XLOOKUP(E$3,daily_items,XLOOKUP($C2422,daily_dates,big_daily_table))),NA(),XLOOKUP(E$3,daily_items,XLOOKUP($C2422,daily_dates,big_daily_table)))</f>
        <v>#N/A</v>
      </c>
    </row>
    <row r="2423" ht="14.25" customHeight="1">
      <c r="B2423" s="7">
        <v>43328.0</v>
      </c>
      <c r="C2423" s="7">
        <f t="shared" si="1"/>
        <v>43324</v>
      </c>
      <c r="D2423" s="1" t="str">
        <f t="array" ref="D2423">IF(ISBLANK(XLOOKUP(D$3,daily_items,XLOOKUP($C2423,daily_dates,big_daily_table))),NA(),XLOOKUP(D$3,daily_items,XLOOKUP($C2423,daily_dates,big_daily_table)))</f>
        <v>#N/A</v>
      </c>
      <c r="E2423" s="1" t="str">
        <f t="array" ref="E2423">IF(ISBLANK(XLOOKUP(E$3,daily_items,XLOOKUP($C2423,daily_dates,big_daily_table))),NA(),XLOOKUP(E$3,daily_items,XLOOKUP($C2423,daily_dates,big_daily_table)))</f>
        <v>#N/A</v>
      </c>
    </row>
    <row r="2424" ht="14.25" customHeight="1">
      <c r="B2424" s="7">
        <v>43329.0</v>
      </c>
      <c r="C2424" s="7">
        <f t="shared" si="1"/>
        <v>43324</v>
      </c>
      <c r="D2424" s="1" t="str">
        <f t="array" ref="D2424">IF(ISBLANK(XLOOKUP(D$3,daily_items,XLOOKUP($C2424,daily_dates,big_daily_table))),NA(),XLOOKUP(D$3,daily_items,XLOOKUP($C2424,daily_dates,big_daily_table)))</f>
        <v>#N/A</v>
      </c>
      <c r="E2424" s="1" t="str">
        <f t="array" ref="E2424">IF(ISBLANK(XLOOKUP(E$3,daily_items,XLOOKUP($C2424,daily_dates,big_daily_table))),NA(),XLOOKUP(E$3,daily_items,XLOOKUP($C2424,daily_dates,big_daily_table)))</f>
        <v>#N/A</v>
      </c>
    </row>
    <row r="2425" ht="14.25" customHeight="1">
      <c r="B2425" s="7">
        <v>43330.0</v>
      </c>
      <c r="C2425" s="7">
        <f t="shared" si="1"/>
        <v>43324</v>
      </c>
      <c r="D2425" s="1" t="str">
        <f t="array" ref="D2425">IF(ISBLANK(XLOOKUP(D$3,daily_items,XLOOKUP($C2425,daily_dates,big_daily_table))),NA(),XLOOKUP(D$3,daily_items,XLOOKUP($C2425,daily_dates,big_daily_table)))</f>
        <v>#N/A</v>
      </c>
      <c r="E2425" s="1" t="str">
        <f t="array" ref="E2425">IF(ISBLANK(XLOOKUP(E$3,daily_items,XLOOKUP($C2425,daily_dates,big_daily_table))),NA(),XLOOKUP(E$3,daily_items,XLOOKUP($C2425,daily_dates,big_daily_table)))</f>
        <v>#N/A</v>
      </c>
    </row>
    <row r="2426" ht="14.25" customHeight="1">
      <c r="B2426" s="7">
        <v>43331.0</v>
      </c>
      <c r="C2426" s="7">
        <f t="shared" si="1"/>
        <v>43331</v>
      </c>
      <c r="D2426" s="1" t="str">
        <f t="array" ref="D2426">IF(ISBLANK(XLOOKUP(D$3,daily_items,XLOOKUP($C2426,daily_dates,big_daily_table))),NA(),XLOOKUP(D$3,daily_items,XLOOKUP($C2426,daily_dates,big_daily_table)))</f>
        <v>#N/A</v>
      </c>
      <c r="E2426" s="1" t="str">
        <f t="array" ref="E2426">IF(ISBLANK(XLOOKUP(E$3,daily_items,XLOOKUP($C2426,daily_dates,big_daily_table))),NA(),XLOOKUP(E$3,daily_items,XLOOKUP($C2426,daily_dates,big_daily_table)))</f>
        <v>#N/A</v>
      </c>
    </row>
    <row r="2427" ht="14.25" customHeight="1">
      <c r="B2427" s="7">
        <v>43332.0</v>
      </c>
      <c r="C2427" s="7">
        <f t="shared" si="1"/>
        <v>43331</v>
      </c>
      <c r="D2427" s="1" t="str">
        <f t="array" ref="D2427">IF(ISBLANK(XLOOKUP(D$3,daily_items,XLOOKUP($C2427,daily_dates,big_daily_table))),NA(),XLOOKUP(D$3,daily_items,XLOOKUP($C2427,daily_dates,big_daily_table)))</f>
        <v>#N/A</v>
      </c>
      <c r="E2427" s="1" t="str">
        <f t="array" ref="E2427">IF(ISBLANK(XLOOKUP(E$3,daily_items,XLOOKUP($C2427,daily_dates,big_daily_table))),NA(),XLOOKUP(E$3,daily_items,XLOOKUP($C2427,daily_dates,big_daily_table)))</f>
        <v>#N/A</v>
      </c>
    </row>
    <row r="2428" ht="14.25" customHeight="1">
      <c r="B2428" s="7">
        <v>43333.0</v>
      </c>
      <c r="C2428" s="7">
        <f t="shared" si="1"/>
        <v>43331</v>
      </c>
      <c r="D2428" s="1" t="str">
        <f t="array" ref="D2428">IF(ISBLANK(XLOOKUP(D$3,daily_items,XLOOKUP($C2428,daily_dates,big_daily_table))),NA(),XLOOKUP(D$3,daily_items,XLOOKUP($C2428,daily_dates,big_daily_table)))</f>
        <v>#N/A</v>
      </c>
      <c r="E2428" s="1" t="str">
        <f t="array" ref="E2428">IF(ISBLANK(XLOOKUP(E$3,daily_items,XLOOKUP($C2428,daily_dates,big_daily_table))),NA(),XLOOKUP(E$3,daily_items,XLOOKUP($C2428,daily_dates,big_daily_table)))</f>
        <v>#N/A</v>
      </c>
    </row>
    <row r="2429" ht="14.25" customHeight="1">
      <c r="B2429" s="7">
        <v>43334.0</v>
      </c>
      <c r="C2429" s="7">
        <f t="shared" si="1"/>
        <v>43331</v>
      </c>
      <c r="D2429" s="1" t="str">
        <f t="array" ref="D2429">IF(ISBLANK(XLOOKUP(D$3,daily_items,XLOOKUP($C2429,daily_dates,big_daily_table))),NA(),XLOOKUP(D$3,daily_items,XLOOKUP($C2429,daily_dates,big_daily_table)))</f>
        <v>#N/A</v>
      </c>
      <c r="E2429" s="1" t="str">
        <f t="array" ref="E2429">IF(ISBLANK(XLOOKUP(E$3,daily_items,XLOOKUP($C2429,daily_dates,big_daily_table))),NA(),XLOOKUP(E$3,daily_items,XLOOKUP($C2429,daily_dates,big_daily_table)))</f>
        <v>#N/A</v>
      </c>
    </row>
    <row r="2430" ht="14.25" customHeight="1">
      <c r="B2430" s="7">
        <v>43335.0</v>
      </c>
      <c r="C2430" s="7">
        <f t="shared" si="1"/>
        <v>43331</v>
      </c>
      <c r="D2430" s="1" t="str">
        <f t="array" ref="D2430">IF(ISBLANK(XLOOKUP(D$3,daily_items,XLOOKUP($C2430,daily_dates,big_daily_table))),NA(),XLOOKUP(D$3,daily_items,XLOOKUP($C2430,daily_dates,big_daily_table)))</f>
        <v>#N/A</v>
      </c>
      <c r="E2430" s="1" t="str">
        <f t="array" ref="E2430">IF(ISBLANK(XLOOKUP(E$3,daily_items,XLOOKUP($C2430,daily_dates,big_daily_table))),NA(),XLOOKUP(E$3,daily_items,XLOOKUP($C2430,daily_dates,big_daily_table)))</f>
        <v>#N/A</v>
      </c>
    </row>
    <row r="2431" ht="14.25" customHeight="1">
      <c r="B2431" s="7">
        <v>43336.0</v>
      </c>
      <c r="C2431" s="7">
        <f t="shared" si="1"/>
        <v>43331</v>
      </c>
      <c r="D2431" s="1" t="str">
        <f t="array" ref="D2431">IF(ISBLANK(XLOOKUP(D$3,daily_items,XLOOKUP($C2431,daily_dates,big_daily_table))),NA(),XLOOKUP(D$3,daily_items,XLOOKUP($C2431,daily_dates,big_daily_table)))</f>
        <v>#N/A</v>
      </c>
      <c r="E2431" s="1" t="str">
        <f t="array" ref="E2431">IF(ISBLANK(XLOOKUP(E$3,daily_items,XLOOKUP($C2431,daily_dates,big_daily_table))),NA(),XLOOKUP(E$3,daily_items,XLOOKUP($C2431,daily_dates,big_daily_table)))</f>
        <v>#N/A</v>
      </c>
    </row>
    <row r="2432" ht="14.25" customHeight="1">
      <c r="B2432" s="7">
        <v>43337.0</v>
      </c>
      <c r="C2432" s="7">
        <f t="shared" si="1"/>
        <v>43331</v>
      </c>
      <c r="D2432" s="1" t="str">
        <f t="array" ref="D2432">IF(ISBLANK(XLOOKUP(D$3,daily_items,XLOOKUP($C2432,daily_dates,big_daily_table))),NA(),XLOOKUP(D$3,daily_items,XLOOKUP($C2432,daily_dates,big_daily_table)))</f>
        <v>#N/A</v>
      </c>
      <c r="E2432" s="1" t="str">
        <f t="array" ref="E2432">IF(ISBLANK(XLOOKUP(E$3,daily_items,XLOOKUP($C2432,daily_dates,big_daily_table))),NA(),XLOOKUP(E$3,daily_items,XLOOKUP($C2432,daily_dates,big_daily_table)))</f>
        <v>#N/A</v>
      </c>
    </row>
    <row r="2433" ht="14.25" customHeight="1">
      <c r="B2433" s="7">
        <v>43338.0</v>
      </c>
      <c r="C2433" s="7">
        <f t="shared" si="1"/>
        <v>43338</v>
      </c>
      <c r="D2433" s="1" t="str">
        <f t="array" ref="D2433">IF(ISBLANK(XLOOKUP(D$3,daily_items,XLOOKUP($C2433,daily_dates,big_daily_table))),NA(),XLOOKUP(D$3,daily_items,XLOOKUP($C2433,daily_dates,big_daily_table)))</f>
        <v>#N/A</v>
      </c>
      <c r="E2433" s="1" t="str">
        <f t="array" ref="E2433">IF(ISBLANK(XLOOKUP(E$3,daily_items,XLOOKUP($C2433,daily_dates,big_daily_table))),NA(),XLOOKUP(E$3,daily_items,XLOOKUP($C2433,daily_dates,big_daily_table)))</f>
        <v>#N/A</v>
      </c>
    </row>
    <row r="2434" ht="14.25" customHeight="1">
      <c r="B2434" s="7">
        <v>43339.0</v>
      </c>
      <c r="C2434" s="7">
        <f t="shared" si="1"/>
        <v>43338</v>
      </c>
      <c r="D2434" s="1" t="str">
        <f t="array" ref="D2434">IF(ISBLANK(XLOOKUP(D$3,daily_items,XLOOKUP($C2434,daily_dates,big_daily_table))),NA(),XLOOKUP(D$3,daily_items,XLOOKUP($C2434,daily_dates,big_daily_table)))</f>
        <v>#N/A</v>
      </c>
      <c r="E2434" s="1" t="str">
        <f t="array" ref="E2434">IF(ISBLANK(XLOOKUP(E$3,daily_items,XLOOKUP($C2434,daily_dates,big_daily_table))),NA(),XLOOKUP(E$3,daily_items,XLOOKUP($C2434,daily_dates,big_daily_table)))</f>
        <v>#N/A</v>
      </c>
    </row>
    <row r="2435" ht="14.25" customHeight="1">
      <c r="B2435" s="7">
        <v>43340.0</v>
      </c>
      <c r="C2435" s="7">
        <f t="shared" si="1"/>
        <v>43338</v>
      </c>
      <c r="D2435" s="1" t="str">
        <f t="array" ref="D2435">IF(ISBLANK(XLOOKUP(D$3,daily_items,XLOOKUP($C2435,daily_dates,big_daily_table))),NA(),XLOOKUP(D$3,daily_items,XLOOKUP($C2435,daily_dates,big_daily_table)))</f>
        <v>#N/A</v>
      </c>
      <c r="E2435" s="1" t="str">
        <f t="array" ref="E2435">IF(ISBLANK(XLOOKUP(E$3,daily_items,XLOOKUP($C2435,daily_dates,big_daily_table))),NA(),XLOOKUP(E$3,daily_items,XLOOKUP($C2435,daily_dates,big_daily_table)))</f>
        <v>#N/A</v>
      </c>
    </row>
    <row r="2436" ht="14.25" customHeight="1">
      <c r="B2436" s="7">
        <v>43341.0</v>
      </c>
      <c r="C2436" s="7">
        <f t="shared" si="1"/>
        <v>43338</v>
      </c>
      <c r="D2436" s="1" t="str">
        <f t="array" ref="D2436">IF(ISBLANK(XLOOKUP(D$3,daily_items,XLOOKUP($C2436,daily_dates,big_daily_table))),NA(),XLOOKUP(D$3,daily_items,XLOOKUP($C2436,daily_dates,big_daily_table)))</f>
        <v>#N/A</v>
      </c>
      <c r="E2436" s="1" t="str">
        <f t="array" ref="E2436">IF(ISBLANK(XLOOKUP(E$3,daily_items,XLOOKUP($C2436,daily_dates,big_daily_table))),NA(),XLOOKUP(E$3,daily_items,XLOOKUP($C2436,daily_dates,big_daily_table)))</f>
        <v>#N/A</v>
      </c>
    </row>
    <row r="2437" ht="14.25" customHeight="1">
      <c r="B2437" s="7">
        <v>43342.0</v>
      </c>
      <c r="C2437" s="7">
        <f t="shared" si="1"/>
        <v>43338</v>
      </c>
      <c r="D2437" s="1" t="str">
        <f t="array" ref="D2437">IF(ISBLANK(XLOOKUP(D$3,daily_items,XLOOKUP($C2437,daily_dates,big_daily_table))),NA(),XLOOKUP(D$3,daily_items,XLOOKUP($C2437,daily_dates,big_daily_table)))</f>
        <v>#N/A</v>
      </c>
      <c r="E2437" s="1" t="str">
        <f t="array" ref="E2437">IF(ISBLANK(XLOOKUP(E$3,daily_items,XLOOKUP($C2437,daily_dates,big_daily_table))),NA(),XLOOKUP(E$3,daily_items,XLOOKUP($C2437,daily_dates,big_daily_table)))</f>
        <v>#N/A</v>
      </c>
    </row>
    <row r="2438" ht="14.25" customHeight="1">
      <c r="B2438" s="7">
        <v>43343.0</v>
      </c>
      <c r="C2438" s="7">
        <f t="shared" si="1"/>
        <v>43338</v>
      </c>
      <c r="D2438" s="1" t="str">
        <f t="array" ref="D2438">IF(ISBLANK(XLOOKUP(D$3,daily_items,XLOOKUP($C2438,daily_dates,big_daily_table))),NA(),XLOOKUP(D$3,daily_items,XLOOKUP($C2438,daily_dates,big_daily_table)))</f>
        <v>#N/A</v>
      </c>
      <c r="E2438" s="1" t="str">
        <f t="array" ref="E2438">IF(ISBLANK(XLOOKUP(E$3,daily_items,XLOOKUP($C2438,daily_dates,big_daily_table))),NA(),XLOOKUP(E$3,daily_items,XLOOKUP($C2438,daily_dates,big_daily_table)))</f>
        <v>#N/A</v>
      </c>
    </row>
    <row r="2439" ht="14.25" customHeight="1">
      <c r="B2439" s="7">
        <v>43344.0</v>
      </c>
      <c r="C2439" s="7">
        <f t="shared" si="1"/>
        <v>43338</v>
      </c>
      <c r="D2439" s="1" t="str">
        <f t="array" ref="D2439">IF(ISBLANK(XLOOKUP(D$3,daily_items,XLOOKUP($C2439,daily_dates,big_daily_table))),NA(),XLOOKUP(D$3,daily_items,XLOOKUP($C2439,daily_dates,big_daily_table)))</f>
        <v>#N/A</v>
      </c>
      <c r="E2439" s="1" t="str">
        <f t="array" ref="E2439">IF(ISBLANK(XLOOKUP(E$3,daily_items,XLOOKUP($C2439,daily_dates,big_daily_table))),NA(),XLOOKUP(E$3,daily_items,XLOOKUP($C2439,daily_dates,big_daily_table)))</f>
        <v>#N/A</v>
      </c>
    </row>
    <row r="2440" ht="14.25" customHeight="1">
      <c r="B2440" s="7">
        <v>43345.0</v>
      </c>
      <c r="C2440" s="7">
        <f t="shared" si="1"/>
        <v>43345</v>
      </c>
      <c r="D2440" s="1" t="str">
        <f t="array" ref="D2440">IF(ISBLANK(XLOOKUP(D$3,daily_items,XLOOKUP($C2440,daily_dates,big_daily_table))),NA(),XLOOKUP(D$3,daily_items,XLOOKUP($C2440,daily_dates,big_daily_table)))</f>
        <v>#N/A</v>
      </c>
      <c r="E2440" s="1" t="str">
        <f t="array" ref="E2440">IF(ISBLANK(XLOOKUP(E$3,daily_items,XLOOKUP($C2440,daily_dates,big_daily_table))),NA(),XLOOKUP(E$3,daily_items,XLOOKUP($C2440,daily_dates,big_daily_table)))</f>
        <v>#N/A</v>
      </c>
    </row>
    <row r="2441" ht="14.25" customHeight="1">
      <c r="B2441" s="7">
        <v>43346.0</v>
      </c>
      <c r="C2441" s="7">
        <f t="shared" si="1"/>
        <v>43345</v>
      </c>
      <c r="D2441" s="1" t="str">
        <f t="array" ref="D2441">IF(ISBLANK(XLOOKUP(D$3,daily_items,XLOOKUP($C2441,daily_dates,big_daily_table))),NA(),XLOOKUP(D$3,daily_items,XLOOKUP($C2441,daily_dates,big_daily_table)))</f>
        <v>#N/A</v>
      </c>
      <c r="E2441" s="1" t="str">
        <f t="array" ref="E2441">IF(ISBLANK(XLOOKUP(E$3,daily_items,XLOOKUP($C2441,daily_dates,big_daily_table))),NA(),XLOOKUP(E$3,daily_items,XLOOKUP($C2441,daily_dates,big_daily_table)))</f>
        <v>#N/A</v>
      </c>
    </row>
    <row r="2442" ht="14.25" customHeight="1">
      <c r="B2442" s="7">
        <v>43347.0</v>
      </c>
      <c r="C2442" s="7">
        <f t="shared" si="1"/>
        <v>43345</v>
      </c>
      <c r="D2442" s="1" t="str">
        <f t="array" ref="D2442">IF(ISBLANK(XLOOKUP(D$3,daily_items,XLOOKUP($C2442,daily_dates,big_daily_table))),NA(),XLOOKUP(D$3,daily_items,XLOOKUP($C2442,daily_dates,big_daily_table)))</f>
        <v>#N/A</v>
      </c>
      <c r="E2442" s="1" t="str">
        <f t="array" ref="E2442">IF(ISBLANK(XLOOKUP(E$3,daily_items,XLOOKUP($C2442,daily_dates,big_daily_table))),NA(),XLOOKUP(E$3,daily_items,XLOOKUP($C2442,daily_dates,big_daily_table)))</f>
        <v>#N/A</v>
      </c>
    </row>
    <row r="2443" ht="14.25" customHeight="1">
      <c r="B2443" s="7">
        <v>43348.0</v>
      </c>
      <c r="C2443" s="7">
        <f t="shared" si="1"/>
        <v>43345</v>
      </c>
      <c r="D2443" s="1" t="str">
        <f t="array" ref="D2443">IF(ISBLANK(XLOOKUP(D$3,daily_items,XLOOKUP($C2443,daily_dates,big_daily_table))),NA(),XLOOKUP(D$3,daily_items,XLOOKUP($C2443,daily_dates,big_daily_table)))</f>
        <v>#N/A</v>
      </c>
      <c r="E2443" s="1" t="str">
        <f t="array" ref="E2443">IF(ISBLANK(XLOOKUP(E$3,daily_items,XLOOKUP($C2443,daily_dates,big_daily_table))),NA(),XLOOKUP(E$3,daily_items,XLOOKUP($C2443,daily_dates,big_daily_table)))</f>
        <v>#N/A</v>
      </c>
    </row>
    <row r="2444" ht="14.25" customHeight="1">
      <c r="B2444" s="7">
        <v>43349.0</v>
      </c>
      <c r="C2444" s="7">
        <f t="shared" si="1"/>
        <v>43345</v>
      </c>
      <c r="D2444" s="1" t="str">
        <f t="array" ref="D2444">IF(ISBLANK(XLOOKUP(D$3,daily_items,XLOOKUP($C2444,daily_dates,big_daily_table))),NA(),XLOOKUP(D$3,daily_items,XLOOKUP($C2444,daily_dates,big_daily_table)))</f>
        <v>#N/A</v>
      </c>
      <c r="E2444" s="1" t="str">
        <f t="array" ref="E2444">IF(ISBLANK(XLOOKUP(E$3,daily_items,XLOOKUP($C2444,daily_dates,big_daily_table))),NA(),XLOOKUP(E$3,daily_items,XLOOKUP($C2444,daily_dates,big_daily_table)))</f>
        <v>#N/A</v>
      </c>
    </row>
    <row r="2445" ht="14.25" customHeight="1">
      <c r="B2445" s="7">
        <v>43350.0</v>
      </c>
      <c r="C2445" s="7">
        <f t="shared" si="1"/>
        <v>43345</v>
      </c>
      <c r="D2445" s="1" t="str">
        <f t="array" ref="D2445">IF(ISBLANK(XLOOKUP(D$3,daily_items,XLOOKUP($C2445,daily_dates,big_daily_table))),NA(),XLOOKUP(D$3,daily_items,XLOOKUP($C2445,daily_dates,big_daily_table)))</f>
        <v>#N/A</v>
      </c>
      <c r="E2445" s="1" t="str">
        <f t="array" ref="E2445">IF(ISBLANK(XLOOKUP(E$3,daily_items,XLOOKUP($C2445,daily_dates,big_daily_table))),NA(),XLOOKUP(E$3,daily_items,XLOOKUP($C2445,daily_dates,big_daily_table)))</f>
        <v>#N/A</v>
      </c>
    </row>
    <row r="2446" ht="14.25" customHeight="1">
      <c r="B2446" s="7">
        <v>43351.0</v>
      </c>
      <c r="C2446" s="7">
        <f t="shared" si="1"/>
        <v>43345</v>
      </c>
      <c r="D2446" s="1" t="str">
        <f t="array" ref="D2446">IF(ISBLANK(XLOOKUP(D$3,daily_items,XLOOKUP($C2446,daily_dates,big_daily_table))),NA(),XLOOKUP(D$3,daily_items,XLOOKUP($C2446,daily_dates,big_daily_table)))</f>
        <v>#N/A</v>
      </c>
      <c r="E2446" s="1" t="str">
        <f t="array" ref="E2446">IF(ISBLANK(XLOOKUP(E$3,daily_items,XLOOKUP($C2446,daily_dates,big_daily_table))),NA(),XLOOKUP(E$3,daily_items,XLOOKUP($C2446,daily_dates,big_daily_table)))</f>
        <v>#N/A</v>
      </c>
    </row>
    <row r="2447" ht="14.25" customHeight="1">
      <c r="B2447" s="7">
        <v>43352.0</v>
      </c>
      <c r="C2447" s="7">
        <f t="shared" si="1"/>
        <v>43352</v>
      </c>
      <c r="D2447" s="1" t="str">
        <f t="array" ref="D2447">IF(ISBLANK(XLOOKUP(D$3,daily_items,XLOOKUP($C2447,daily_dates,big_daily_table))),NA(),XLOOKUP(D$3,daily_items,XLOOKUP($C2447,daily_dates,big_daily_table)))</f>
        <v>#N/A</v>
      </c>
      <c r="E2447" s="1" t="str">
        <f t="array" ref="E2447">IF(ISBLANK(XLOOKUP(E$3,daily_items,XLOOKUP($C2447,daily_dates,big_daily_table))),NA(),XLOOKUP(E$3,daily_items,XLOOKUP($C2447,daily_dates,big_daily_table)))</f>
        <v>#N/A</v>
      </c>
    </row>
    <row r="2448" ht="14.25" customHeight="1">
      <c r="B2448" s="7">
        <v>43353.0</v>
      </c>
      <c r="C2448" s="7">
        <f t="shared" si="1"/>
        <v>43352</v>
      </c>
      <c r="D2448" s="1" t="str">
        <f t="array" ref="D2448">IF(ISBLANK(XLOOKUP(D$3,daily_items,XLOOKUP($C2448,daily_dates,big_daily_table))),NA(),XLOOKUP(D$3,daily_items,XLOOKUP($C2448,daily_dates,big_daily_table)))</f>
        <v>#N/A</v>
      </c>
      <c r="E2448" s="1" t="str">
        <f t="array" ref="E2448">IF(ISBLANK(XLOOKUP(E$3,daily_items,XLOOKUP($C2448,daily_dates,big_daily_table))),NA(),XLOOKUP(E$3,daily_items,XLOOKUP($C2448,daily_dates,big_daily_table)))</f>
        <v>#N/A</v>
      </c>
    </row>
    <row r="2449" ht="14.25" customHeight="1">
      <c r="B2449" s="7">
        <v>43354.0</v>
      </c>
      <c r="C2449" s="7">
        <f t="shared" si="1"/>
        <v>43352</v>
      </c>
      <c r="D2449" s="1" t="str">
        <f t="array" ref="D2449">IF(ISBLANK(XLOOKUP(D$3,daily_items,XLOOKUP($C2449,daily_dates,big_daily_table))),NA(),XLOOKUP(D$3,daily_items,XLOOKUP($C2449,daily_dates,big_daily_table)))</f>
        <v>#N/A</v>
      </c>
      <c r="E2449" s="1" t="str">
        <f t="array" ref="E2449">IF(ISBLANK(XLOOKUP(E$3,daily_items,XLOOKUP($C2449,daily_dates,big_daily_table))),NA(),XLOOKUP(E$3,daily_items,XLOOKUP($C2449,daily_dates,big_daily_table)))</f>
        <v>#N/A</v>
      </c>
    </row>
    <row r="2450" ht="14.25" customHeight="1">
      <c r="B2450" s="7">
        <v>43355.0</v>
      </c>
      <c r="C2450" s="7">
        <f t="shared" si="1"/>
        <v>43352</v>
      </c>
      <c r="D2450" s="1" t="str">
        <f t="array" ref="D2450">IF(ISBLANK(XLOOKUP(D$3,daily_items,XLOOKUP($C2450,daily_dates,big_daily_table))),NA(),XLOOKUP(D$3,daily_items,XLOOKUP($C2450,daily_dates,big_daily_table)))</f>
        <v>#N/A</v>
      </c>
      <c r="E2450" s="1" t="str">
        <f t="array" ref="E2450">IF(ISBLANK(XLOOKUP(E$3,daily_items,XLOOKUP($C2450,daily_dates,big_daily_table))),NA(),XLOOKUP(E$3,daily_items,XLOOKUP($C2450,daily_dates,big_daily_table)))</f>
        <v>#N/A</v>
      </c>
    </row>
    <row r="2451" ht="14.25" customHeight="1">
      <c r="B2451" s="7">
        <v>43356.0</v>
      </c>
      <c r="C2451" s="7">
        <f t="shared" si="1"/>
        <v>43352</v>
      </c>
      <c r="D2451" s="1" t="str">
        <f t="array" ref="D2451">IF(ISBLANK(XLOOKUP(D$3,daily_items,XLOOKUP($C2451,daily_dates,big_daily_table))),NA(),XLOOKUP(D$3,daily_items,XLOOKUP($C2451,daily_dates,big_daily_table)))</f>
        <v>#N/A</v>
      </c>
      <c r="E2451" s="1" t="str">
        <f t="array" ref="E2451">IF(ISBLANK(XLOOKUP(E$3,daily_items,XLOOKUP($C2451,daily_dates,big_daily_table))),NA(),XLOOKUP(E$3,daily_items,XLOOKUP($C2451,daily_dates,big_daily_table)))</f>
        <v>#N/A</v>
      </c>
    </row>
    <row r="2452" ht="14.25" customHeight="1">
      <c r="B2452" s="7">
        <v>43357.0</v>
      </c>
      <c r="C2452" s="7">
        <f t="shared" si="1"/>
        <v>43352</v>
      </c>
      <c r="D2452" s="1" t="str">
        <f t="array" ref="D2452">IF(ISBLANK(XLOOKUP(D$3,daily_items,XLOOKUP($C2452,daily_dates,big_daily_table))),NA(),XLOOKUP(D$3,daily_items,XLOOKUP($C2452,daily_dates,big_daily_table)))</f>
        <v>#N/A</v>
      </c>
      <c r="E2452" s="1" t="str">
        <f t="array" ref="E2452">IF(ISBLANK(XLOOKUP(E$3,daily_items,XLOOKUP($C2452,daily_dates,big_daily_table))),NA(),XLOOKUP(E$3,daily_items,XLOOKUP($C2452,daily_dates,big_daily_table)))</f>
        <v>#N/A</v>
      </c>
    </row>
    <row r="2453" ht="14.25" customHeight="1">
      <c r="B2453" s="7">
        <v>43358.0</v>
      </c>
      <c r="C2453" s="7">
        <f t="shared" si="1"/>
        <v>43352</v>
      </c>
      <c r="D2453" s="1" t="str">
        <f t="array" ref="D2453">IF(ISBLANK(XLOOKUP(D$3,daily_items,XLOOKUP($C2453,daily_dates,big_daily_table))),NA(),XLOOKUP(D$3,daily_items,XLOOKUP($C2453,daily_dates,big_daily_table)))</f>
        <v>#N/A</v>
      </c>
      <c r="E2453" s="1" t="str">
        <f t="array" ref="E2453">IF(ISBLANK(XLOOKUP(E$3,daily_items,XLOOKUP($C2453,daily_dates,big_daily_table))),NA(),XLOOKUP(E$3,daily_items,XLOOKUP($C2453,daily_dates,big_daily_table)))</f>
        <v>#N/A</v>
      </c>
    </row>
    <row r="2454" ht="14.25" customHeight="1">
      <c r="B2454" s="7">
        <v>43359.0</v>
      </c>
      <c r="C2454" s="7">
        <f t="shared" si="1"/>
        <v>43359</v>
      </c>
      <c r="D2454" s="1" t="str">
        <f t="array" ref="D2454">IF(ISBLANK(XLOOKUP(D$3,daily_items,XLOOKUP($C2454,daily_dates,big_daily_table))),NA(),XLOOKUP(D$3,daily_items,XLOOKUP($C2454,daily_dates,big_daily_table)))</f>
        <v>#N/A</v>
      </c>
      <c r="E2454" s="1" t="str">
        <f t="array" ref="E2454">IF(ISBLANK(XLOOKUP(E$3,daily_items,XLOOKUP($C2454,daily_dates,big_daily_table))),NA(),XLOOKUP(E$3,daily_items,XLOOKUP($C2454,daily_dates,big_daily_table)))</f>
        <v>#N/A</v>
      </c>
    </row>
    <row r="2455" ht="14.25" customHeight="1">
      <c r="B2455" s="7">
        <v>43360.0</v>
      </c>
      <c r="C2455" s="7">
        <f t="shared" si="1"/>
        <v>43359</v>
      </c>
      <c r="D2455" s="1" t="str">
        <f t="array" ref="D2455">IF(ISBLANK(XLOOKUP(D$3,daily_items,XLOOKUP($C2455,daily_dates,big_daily_table))),NA(),XLOOKUP(D$3,daily_items,XLOOKUP($C2455,daily_dates,big_daily_table)))</f>
        <v>#N/A</v>
      </c>
      <c r="E2455" s="1" t="str">
        <f t="array" ref="E2455">IF(ISBLANK(XLOOKUP(E$3,daily_items,XLOOKUP($C2455,daily_dates,big_daily_table))),NA(),XLOOKUP(E$3,daily_items,XLOOKUP($C2455,daily_dates,big_daily_table)))</f>
        <v>#N/A</v>
      </c>
    </row>
    <row r="2456" ht="14.25" customHeight="1">
      <c r="B2456" s="7">
        <v>43361.0</v>
      </c>
      <c r="C2456" s="7">
        <f t="shared" si="1"/>
        <v>43359</v>
      </c>
      <c r="D2456" s="1" t="str">
        <f t="array" ref="D2456">IF(ISBLANK(XLOOKUP(D$3,daily_items,XLOOKUP($C2456,daily_dates,big_daily_table))),NA(),XLOOKUP(D$3,daily_items,XLOOKUP($C2456,daily_dates,big_daily_table)))</f>
        <v>#N/A</v>
      </c>
      <c r="E2456" s="1" t="str">
        <f t="array" ref="E2456">IF(ISBLANK(XLOOKUP(E$3,daily_items,XLOOKUP($C2456,daily_dates,big_daily_table))),NA(),XLOOKUP(E$3,daily_items,XLOOKUP($C2456,daily_dates,big_daily_table)))</f>
        <v>#N/A</v>
      </c>
    </row>
    <row r="2457" ht="14.25" customHeight="1">
      <c r="B2457" s="7">
        <v>43362.0</v>
      </c>
      <c r="C2457" s="7">
        <f t="shared" si="1"/>
        <v>43359</v>
      </c>
      <c r="D2457" s="1" t="str">
        <f t="array" ref="D2457">IF(ISBLANK(XLOOKUP(D$3,daily_items,XLOOKUP($C2457,daily_dates,big_daily_table))),NA(),XLOOKUP(D$3,daily_items,XLOOKUP($C2457,daily_dates,big_daily_table)))</f>
        <v>#N/A</v>
      </c>
      <c r="E2457" s="1" t="str">
        <f t="array" ref="E2457">IF(ISBLANK(XLOOKUP(E$3,daily_items,XLOOKUP($C2457,daily_dates,big_daily_table))),NA(),XLOOKUP(E$3,daily_items,XLOOKUP($C2457,daily_dates,big_daily_table)))</f>
        <v>#N/A</v>
      </c>
    </row>
    <row r="2458" ht="14.25" customHeight="1">
      <c r="B2458" s="7">
        <v>43363.0</v>
      </c>
      <c r="C2458" s="7">
        <f t="shared" si="1"/>
        <v>43359</v>
      </c>
      <c r="D2458" s="1" t="str">
        <f t="array" ref="D2458">IF(ISBLANK(XLOOKUP(D$3,daily_items,XLOOKUP($C2458,daily_dates,big_daily_table))),NA(),XLOOKUP(D$3,daily_items,XLOOKUP($C2458,daily_dates,big_daily_table)))</f>
        <v>#N/A</v>
      </c>
      <c r="E2458" s="1" t="str">
        <f t="array" ref="E2458">IF(ISBLANK(XLOOKUP(E$3,daily_items,XLOOKUP($C2458,daily_dates,big_daily_table))),NA(),XLOOKUP(E$3,daily_items,XLOOKUP($C2458,daily_dates,big_daily_table)))</f>
        <v>#N/A</v>
      </c>
    </row>
    <row r="2459" ht="14.25" customHeight="1">
      <c r="B2459" s="7">
        <v>43364.0</v>
      </c>
      <c r="C2459" s="7">
        <f t="shared" si="1"/>
        <v>43359</v>
      </c>
      <c r="D2459" s="1" t="str">
        <f t="array" ref="D2459">IF(ISBLANK(XLOOKUP(D$3,daily_items,XLOOKUP($C2459,daily_dates,big_daily_table))),NA(),XLOOKUP(D$3,daily_items,XLOOKUP($C2459,daily_dates,big_daily_table)))</f>
        <v>#N/A</v>
      </c>
      <c r="E2459" s="1" t="str">
        <f t="array" ref="E2459">IF(ISBLANK(XLOOKUP(E$3,daily_items,XLOOKUP($C2459,daily_dates,big_daily_table))),NA(),XLOOKUP(E$3,daily_items,XLOOKUP($C2459,daily_dates,big_daily_table)))</f>
        <v>#N/A</v>
      </c>
    </row>
    <row r="2460" ht="14.25" customHeight="1">
      <c r="B2460" s="7">
        <v>43365.0</v>
      </c>
      <c r="C2460" s="7">
        <f t="shared" si="1"/>
        <v>43359</v>
      </c>
      <c r="D2460" s="1" t="str">
        <f t="array" ref="D2460">IF(ISBLANK(XLOOKUP(D$3,daily_items,XLOOKUP($C2460,daily_dates,big_daily_table))),NA(),XLOOKUP(D$3,daily_items,XLOOKUP($C2460,daily_dates,big_daily_table)))</f>
        <v>#N/A</v>
      </c>
      <c r="E2460" s="1" t="str">
        <f t="array" ref="E2460">IF(ISBLANK(XLOOKUP(E$3,daily_items,XLOOKUP($C2460,daily_dates,big_daily_table))),NA(),XLOOKUP(E$3,daily_items,XLOOKUP($C2460,daily_dates,big_daily_table)))</f>
        <v>#N/A</v>
      </c>
    </row>
    <row r="2461" ht="14.25" customHeight="1">
      <c r="B2461" s="7">
        <v>43366.0</v>
      </c>
      <c r="C2461" s="7">
        <f t="shared" si="1"/>
        <v>43366</v>
      </c>
      <c r="D2461" s="1" t="str">
        <f t="array" ref="D2461">IF(ISBLANK(XLOOKUP(D$3,daily_items,XLOOKUP($C2461,daily_dates,big_daily_table))),NA(),XLOOKUP(D$3,daily_items,XLOOKUP($C2461,daily_dates,big_daily_table)))</f>
        <v>#N/A</v>
      </c>
      <c r="E2461" s="1" t="str">
        <f t="array" ref="E2461">IF(ISBLANK(XLOOKUP(E$3,daily_items,XLOOKUP($C2461,daily_dates,big_daily_table))),NA(),XLOOKUP(E$3,daily_items,XLOOKUP($C2461,daily_dates,big_daily_table)))</f>
        <v>#N/A</v>
      </c>
    </row>
    <row r="2462" ht="14.25" customHeight="1">
      <c r="B2462" s="7">
        <v>43367.0</v>
      </c>
      <c r="C2462" s="7">
        <f t="shared" si="1"/>
        <v>43366</v>
      </c>
      <c r="D2462" s="1" t="str">
        <f t="array" ref="D2462">IF(ISBLANK(XLOOKUP(D$3,daily_items,XLOOKUP($C2462,daily_dates,big_daily_table))),NA(),XLOOKUP(D$3,daily_items,XLOOKUP($C2462,daily_dates,big_daily_table)))</f>
        <v>#N/A</v>
      </c>
      <c r="E2462" s="1" t="str">
        <f t="array" ref="E2462">IF(ISBLANK(XLOOKUP(E$3,daily_items,XLOOKUP($C2462,daily_dates,big_daily_table))),NA(),XLOOKUP(E$3,daily_items,XLOOKUP($C2462,daily_dates,big_daily_table)))</f>
        <v>#N/A</v>
      </c>
    </row>
    <row r="2463" ht="14.25" customHeight="1">
      <c r="B2463" s="7">
        <v>43368.0</v>
      </c>
      <c r="C2463" s="7">
        <f t="shared" si="1"/>
        <v>43366</v>
      </c>
      <c r="D2463" s="1" t="str">
        <f t="array" ref="D2463">IF(ISBLANK(XLOOKUP(D$3,daily_items,XLOOKUP($C2463,daily_dates,big_daily_table))),NA(),XLOOKUP(D$3,daily_items,XLOOKUP($C2463,daily_dates,big_daily_table)))</f>
        <v>#N/A</v>
      </c>
      <c r="E2463" s="1" t="str">
        <f t="array" ref="E2463">IF(ISBLANK(XLOOKUP(E$3,daily_items,XLOOKUP($C2463,daily_dates,big_daily_table))),NA(),XLOOKUP(E$3,daily_items,XLOOKUP($C2463,daily_dates,big_daily_table)))</f>
        <v>#N/A</v>
      </c>
    </row>
    <row r="2464" ht="14.25" customHeight="1">
      <c r="B2464" s="7">
        <v>43369.0</v>
      </c>
      <c r="C2464" s="7">
        <f t="shared" si="1"/>
        <v>43366</v>
      </c>
      <c r="D2464" s="1" t="str">
        <f t="array" ref="D2464">IF(ISBLANK(XLOOKUP(D$3,daily_items,XLOOKUP($C2464,daily_dates,big_daily_table))),NA(),XLOOKUP(D$3,daily_items,XLOOKUP($C2464,daily_dates,big_daily_table)))</f>
        <v>#N/A</v>
      </c>
      <c r="E2464" s="1" t="str">
        <f t="array" ref="E2464">IF(ISBLANK(XLOOKUP(E$3,daily_items,XLOOKUP($C2464,daily_dates,big_daily_table))),NA(),XLOOKUP(E$3,daily_items,XLOOKUP($C2464,daily_dates,big_daily_table)))</f>
        <v>#N/A</v>
      </c>
    </row>
    <row r="2465" ht="14.25" customHeight="1">
      <c r="B2465" s="7">
        <v>43370.0</v>
      </c>
      <c r="C2465" s="7">
        <f t="shared" si="1"/>
        <v>43366</v>
      </c>
      <c r="D2465" s="1" t="str">
        <f t="array" ref="D2465">IF(ISBLANK(XLOOKUP(D$3,daily_items,XLOOKUP($C2465,daily_dates,big_daily_table))),NA(),XLOOKUP(D$3,daily_items,XLOOKUP($C2465,daily_dates,big_daily_table)))</f>
        <v>#N/A</v>
      </c>
      <c r="E2465" s="1" t="str">
        <f t="array" ref="E2465">IF(ISBLANK(XLOOKUP(E$3,daily_items,XLOOKUP($C2465,daily_dates,big_daily_table))),NA(),XLOOKUP(E$3,daily_items,XLOOKUP($C2465,daily_dates,big_daily_table)))</f>
        <v>#N/A</v>
      </c>
    </row>
    <row r="2466" ht="14.25" customHeight="1">
      <c r="B2466" s="7">
        <v>43371.0</v>
      </c>
      <c r="C2466" s="7">
        <f t="shared" si="1"/>
        <v>43366</v>
      </c>
      <c r="D2466" s="1" t="str">
        <f t="array" ref="D2466">IF(ISBLANK(XLOOKUP(D$3,daily_items,XLOOKUP($C2466,daily_dates,big_daily_table))),NA(),XLOOKUP(D$3,daily_items,XLOOKUP($C2466,daily_dates,big_daily_table)))</f>
        <v>#N/A</v>
      </c>
      <c r="E2466" s="1" t="str">
        <f t="array" ref="E2466">IF(ISBLANK(XLOOKUP(E$3,daily_items,XLOOKUP($C2466,daily_dates,big_daily_table))),NA(),XLOOKUP(E$3,daily_items,XLOOKUP($C2466,daily_dates,big_daily_table)))</f>
        <v>#N/A</v>
      </c>
    </row>
    <row r="2467" ht="14.25" customHeight="1">
      <c r="B2467" s="7">
        <v>43372.0</v>
      </c>
      <c r="C2467" s="7">
        <f t="shared" si="1"/>
        <v>43366</v>
      </c>
      <c r="D2467" s="1" t="str">
        <f t="array" ref="D2467">IF(ISBLANK(XLOOKUP(D$3,daily_items,XLOOKUP($C2467,daily_dates,big_daily_table))),NA(),XLOOKUP(D$3,daily_items,XLOOKUP($C2467,daily_dates,big_daily_table)))</f>
        <v>#N/A</v>
      </c>
      <c r="E2467" s="1" t="str">
        <f t="array" ref="E2467">IF(ISBLANK(XLOOKUP(E$3,daily_items,XLOOKUP($C2467,daily_dates,big_daily_table))),NA(),XLOOKUP(E$3,daily_items,XLOOKUP($C2467,daily_dates,big_daily_table)))</f>
        <v>#N/A</v>
      </c>
    </row>
    <row r="2468" ht="14.25" customHeight="1">
      <c r="B2468" s="7">
        <v>43373.0</v>
      </c>
      <c r="C2468" s="7">
        <f t="shared" si="1"/>
        <v>43373</v>
      </c>
      <c r="D2468" s="1" t="str">
        <f t="array" ref="D2468">IF(ISBLANK(XLOOKUP(D$3,daily_items,XLOOKUP($C2468,daily_dates,big_daily_table))),NA(),XLOOKUP(D$3,daily_items,XLOOKUP($C2468,daily_dates,big_daily_table)))</f>
        <v>#N/A</v>
      </c>
      <c r="E2468" s="1" t="str">
        <f t="array" ref="E2468">IF(ISBLANK(XLOOKUP(E$3,daily_items,XLOOKUP($C2468,daily_dates,big_daily_table))),NA(),XLOOKUP(E$3,daily_items,XLOOKUP($C2468,daily_dates,big_daily_table)))</f>
        <v>#N/A</v>
      </c>
    </row>
    <row r="2469" ht="14.25" customHeight="1">
      <c r="B2469" s="7">
        <v>43374.0</v>
      </c>
      <c r="C2469" s="7">
        <f t="shared" si="1"/>
        <v>43373</v>
      </c>
      <c r="D2469" s="1" t="str">
        <f t="array" ref="D2469">IF(ISBLANK(XLOOKUP(D$3,daily_items,XLOOKUP($C2469,daily_dates,big_daily_table))),NA(),XLOOKUP(D$3,daily_items,XLOOKUP($C2469,daily_dates,big_daily_table)))</f>
        <v>#N/A</v>
      </c>
      <c r="E2469" s="1" t="str">
        <f t="array" ref="E2469">IF(ISBLANK(XLOOKUP(E$3,daily_items,XLOOKUP($C2469,daily_dates,big_daily_table))),NA(),XLOOKUP(E$3,daily_items,XLOOKUP($C2469,daily_dates,big_daily_table)))</f>
        <v>#N/A</v>
      </c>
    </row>
    <row r="2470" ht="14.25" customHeight="1">
      <c r="B2470" s="7">
        <v>43375.0</v>
      </c>
      <c r="C2470" s="7">
        <f t="shared" si="1"/>
        <v>43373</v>
      </c>
      <c r="D2470" s="1" t="str">
        <f t="array" ref="D2470">IF(ISBLANK(XLOOKUP(D$3,daily_items,XLOOKUP($C2470,daily_dates,big_daily_table))),NA(),XLOOKUP(D$3,daily_items,XLOOKUP($C2470,daily_dates,big_daily_table)))</f>
        <v>#N/A</v>
      </c>
      <c r="E2470" s="1" t="str">
        <f t="array" ref="E2470">IF(ISBLANK(XLOOKUP(E$3,daily_items,XLOOKUP($C2470,daily_dates,big_daily_table))),NA(),XLOOKUP(E$3,daily_items,XLOOKUP($C2470,daily_dates,big_daily_table)))</f>
        <v>#N/A</v>
      </c>
    </row>
    <row r="2471" ht="14.25" customHeight="1">
      <c r="B2471" s="7">
        <v>43376.0</v>
      </c>
      <c r="C2471" s="7">
        <f t="shared" si="1"/>
        <v>43373</v>
      </c>
      <c r="D2471" s="1" t="str">
        <f t="array" ref="D2471">IF(ISBLANK(XLOOKUP(D$3,daily_items,XLOOKUP($C2471,daily_dates,big_daily_table))),NA(),XLOOKUP(D$3,daily_items,XLOOKUP($C2471,daily_dates,big_daily_table)))</f>
        <v>#N/A</v>
      </c>
      <c r="E2471" s="1" t="str">
        <f t="array" ref="E2471">IF(ISBLANK(XLOOKUP(E$3,daily_items,XLOOKUP($C2471,daily_dates,big_daily_table))),NA(),XLOOKUP(E$3,daily_items,XLOOKUP($C2471,daily_dates,big_daily_table)))</f>
        <v>#N/A</v>
      </c>
    </row>
    <row r="2472" ht="14.25" customHeight="1">
      <c r="B2472" s="7">
        <v>43377.0</v>
      </c>
      <c r="C2472" s="7">
        <f t="shared" si="1"/>
        <v>43373</v>
      </c>
      <c r="D2472" s="1" t="str">
        <f t="array" ref="D2472">IF(ISBLANK(XLOOKUP(D$3,daily_items,XLOOKUP($C2472,daily_dates,big_daily_table))),NA(),XLOOKUP(D$3,daily_items,XLOOKUP($C2472,daily_dates,big_daily_table)))</f>
        <v>#N/A</v>
      </c>
      <c r="E2472" s="1" t="str">
        <f t="array" ref="E2472">IF(ISBLANK(XLOOKUP(E$3,daily_items,XLOOKUP($C2472,daily_dates,big_daily_table))),NA(),XLOOKUP(E$3,daily_items,XLOOKUP($C2472,daily_dates,big_daily_table)))</f>
        <v>#N/A</v>
      </c>
    </row>
    <row r="2473" ht="14.25" customHeight="1">
      <c r="B2473" s="7">
        <v>43378.0</v>
      </c>
      <c r="C2473" s="7">
        <f t="shared" si="1"/>
        <v>43373</v>
      </c>
      <c r="D2473" s="1" t="str">
        <f t="array" ref="D2473">IF(ISBLANK(XLOOKUP(D$3,daily_items,XLOOKUP($C2473,daily_dates,big_daily_table))),NA(),XLOOKUP(D$3,daily_items,XLOOKUP($C2473,daily_dates,big_daily_table)))</f>
        <v>#N/A</v>
      </c>
      <c r="E2473" s="1" t="str">
        <f t="array" ref="E2473">IF(ISBLANK(XLOOKUP(E$3,daily_items,XLOOKUP($C2473,daily_dates,big_daily_table))),NA(),XLOOKUP(E$3,daily_items,XLOOKUP($C2473,daily_dates,big_daily_table)))</f>
        <v>#N/A</v>
      </c>
    </row>
    <row r="2474" ht="14.25" customHeight="1">
      <c r="B2474" s="7">
        <v>43379.0</v>
      </c>
      <c r="C2474" s="7">
        <f t="shared" si="1"/>
        <v>43373</v>
      </c>
      <c r="D2474" s="1" t="str">
        <f t="array" ref="D2474">IF(ISBLANK(XLOOKUP(D$3,daily_items,XLOOKUP($C2474,daily_dates,big_daily_table))),NA(),XLOOKUP(D$3,daily_items,XLOOKUP($C2474,daily_dates,big_daily_table)))</f>
        <v>#N/A</v>
      </c>
      <c r="E2474" s="1" t="str">
        <f t="array" ref="E2474">IF(ISBLANK(XLOOKUP(E$3,daily_items,XLOOKUP($C2474,daily_dates,big_daily_table))),NA(),XLOOKUP(E$3,daily_items,XLOOKUP($C2474,daily_dates,big_daily_table)))</f>
        <v>#N/A</v>
      </c>
    </row>
    <row r="2475" ht="14.25" customHeight="1">
      <c r="B2475" s="7">
        <v>43380.0</v>
      </c>
      <c r="C2475" s="7">
        <f t="shared" si="1"/>
        <v>43380</v>
      </c>
      <c r="D2475" s="1" t="str">
        <f t="array" ref="D2475">IF(ISBLANK(XLOOKUP(D$3,daily_items,XLOOKUP($C2475,daily_dates,big_daily_table))),NA(),XLOOKUP(D$3,daily_items,XLOOKUP($C2475,daily_dates,big_daily_table)))</f>
        <v>#N/A</v>
      </c>
      <c r="E2475" s="1" t="str">
        <f t="array" ref="E2475">IF(ISBLANK(XLOOKUP(E$3,daily_items,XLOOKUP($C2475,daily_dates,big_daily_table))),NA(),XLOOKUP(E$3,daily_items,XLOOKUP($C2475,daily_dates,big_daily_table)))</f>
        <v>#N/A</v>
      </c>
    </row>
    <row r="2476" ht="14.25" customHeight="1">
      <c r="B2476" s="7">
        <v>43381.0</v>
      </c>
      <c r="C2476" s="7">
        <f t="shared" si="1"/>
        <v>43380</v>
      </c>
      <c r="D2476" s="1" t="str">
        <f t="array" ref="D2476">IF(ISBLANK(XLOOKUP(D$3,daily_items,XLOOKUP($C2476,daily_dates,big_daily_table))),NA(),XLOOKUP(D$3,daily_items,XLOOKUP($C2476,daily_dates,big_daily_table)))</f>
        <v>#N/A</v>
      </c>
      <c r="E2476" s="1" t="str">
        <f t="array" ref="E2476">IF(ISBLANK(XLOOKUP(E$3,daily_items,XLOOKUP($C2476,daily_dates,big_daily_table))),NA(),XLOOKUP(E$3,daily_items,XLOOKUP($C2476,daily_dates,big_daily_table)))</f>
        <v>#N/A</v>
      </c>
    </row>
    <row r="2477" ht="14.25" customHeight="1">
      <c r="B2477" s="7">
        <v>43382.0</v>
      </c>
      <c r="C2477" s="7">
        <f t="shared" si="1"/>
        <v>43380</v>
      </c>
      <c r="D2477" s="1" t="str">
        <f t="array" ref="D2477">IF(ISBLANK(XLOOKUP(D$3,daily_items,XLOOKUP($C2477,daily_dates,big_daily_table))),NA(),XLOOKUP(D$3,daily_items,XLOOKUP($C2477,daily_dates,big_daily_table)))</f>
        <v>#N/A</v>
      </c>
      <c r="E2477" s="1" t="str">
        <f t="array" ref="E2477">IF(ISBLANK(XLOOKUP(E$3,daily_items,XLOOKUP($C2477,daily_dates,big_daily_table))),NA(),XLOOKUP(E$3,daily_items,XLOOKUP($C2477,daily_dates,big_daily_table)))</f>
        <v>#N/A</v>
      </c>
    </row>
    <row r="2478" ht="14.25" customHeight="1">
      <c r="B2478" s="7">
        <v>43383.0</v>
      </c>
      <c r="C2478" s="7">
        <f t="shared" si="1"/>
        <v>43380</v>
      </c>
      <c r="D2478" s="1" t="str">
        <f t="array" ref="D2478">IF(ISBLANK(XLOOKUP(D$3,daily_items,XLOOKUP($C2478,daily_dates,big_daily_table))),NA(),XLOOKUP(D$3,daily_items,XLOOKUP($C2478,daily_dates,big_daily_table)))</f>
        <v>#N/A</v>
      </c>
      <c r="E2478" s="1" t="str">
        <f t="array" ref="E2478">IF(ISBLANK(XLOOKUP(E$3,daily_items,XLOOKUP($C2478,daily_dates,big_daily_table))),NA(),XLOOKUP(E$3,daily_items,XLOOKUP($C2478,daily_dates,big_daily_table)))</f>
        <v>#N/A</v>
      </c>
    </row>
    <row r="2479" ht="14.25" customHeight="1">
      <c r="B2479" s="7">
        <v>43384.0</v>
      </c>
      <c r="C2479" s="7">
        <f t="shared" si="1"/>
        <v>43380</v>
      </c>
      <c r="D2479" s="1" t="str">
        <f t="array" ref="D2479">IF(ISBLANK(XLOOKUP(D$3,daily_items,XLOOKUP($C2479,daily_dates,big_daily_table))),NA(),XLOOKUP(D$3,daily_items,XLOOKUP($C2479,daily_dates,big_daily_table)))</f>
        <v>#N/A</v>
      </c>
      <c r="E2479" s="1" t="str">
        <f t="array" ref="E2479">IF(ISBLANK(XLOOKUP(E$3,daily_items,XLOOKUP($C2479,daily_dates,big_daily_table))),NA(),XLOOKUP(E$3,daily_items,XLOOKUP($C2479,daily_dates,big_daily_table)))</f>
        <v>#N/A</v>
      </c>
    </row>
    <row r="2480" ht="14.25" customHeight="1">
      <c r="B2480" s="7">
        <v>43385.0</v>
      </c>
      <c r="C2480" s="7">
        <f t="shared" si="1"/>
        <v>43380</v>
      </c>
      <c r="D2480" s="1" t="str">
        <f t="array" ref="D2480">IF(ISBLANK(XLOOKUP(D$3,daily_items,XLOOKUP($C2480,daily_dates,big_daily_table))),NA(),XLOOKUP(D$3,daily_items,XLOOKUP($C2480,daily_dates,big_daily_table)))</f>
        <v>#N/A</v>
      </c>
      <c r="E2480" s="1" t="str">
        <f t="array" ref="E2480">IF(ISBLANK(XLOOKUP(E$3,daily_items,XLOOKUP($C2480,daily_dates,big_daily_table))),NA(),XLOOKUP(E$3,daily_items,XLOOKUP($C2480,daily_dates,big_daily_table)))</f>
        <v>#N/A</v>
      </c>
    </row>
    <row r="2481" ht="14.25" customHeight="1">
      <c r="B2481" s="7">
        <v>43386.0</v>
      </c>
      <c r="C2481" s="7">
        <f t="shared" si="1"/>
        <v>43380</v>
      </c>
      <c r="D2481" s="1" t="str">
        <f t="array" ref="D2481">IF(ISBLANK(XLOOKUP(D$3,daily_items,XLOOKUP($C2481,daily_dates,big_daily_table))),NA(),XLOOKUP(D$3,daily_items,XLOOKUP($C2481,daily_dates,big_daily_table)))</f>
        <v>#N/A</v>
      </c>
      <c r="E2481" s="1" t="str">
        <f t="array" ref="E2481">IF(ISBLANK(XLOOKUP(E$3,daily_items,XLOOKUP($C2481,daily_dates,big_daily_table))),NA(),XLOOKUP(E$3,daily_items,XLOOKUP($C2481,daily_dates,big_daily_table)))</f>
        <v>#N/A</v>
      </c>
    </row>
    <row r="2482" ht="14.25" customHeight="1">
      <c r="B2482" s="7">
        <v>43387.0</v>
      </c>
      <c r="C2482" s="7">
        <f t="shared" si="1"/>
        <v>43387</v>
      </c>
      <c r="D2482" s="1" t="str">
        <f t="array" ref="D2482">IF(ISBLANK(XLOOKUP(D$3,daily_items,XLOOKUP($C2482,daily_dates,big_daily_table))),NA(),XLOOKUP(D$3,daily_items,XLOOKUP($C2482,daily_dates,big_daily_table)))</f>
        <v>#N/A</v>
      </c>
      <c r="E2482" s="1" t="str">
        <f t="array" ref="E2482">IF(ISBLANK(XLOOKUP(E$3,daily_items,XLOOKUP($C2482,daily_dates,big_daily_table))),NA(),XLOOKUP(E$3,daily_items,XLOOKUP($C2482,daily_dates,big_daily_table)))</f>
        <v>#N/A</v>
      </c>
    </row>
    <row r="2483" ht="14.25" customHeight="1">
      <c r="B2483" s="7">
        <v>43388.0</v>
      </c>
      <c r="C2483" s="7">
        <f t="shared" si="1"/>
        <v>43387</v>
      </c>
      <c r="D2483" s="1" t="str">
        <f t="array" ref="D2483">IF(ISBLANK(XLOOKUP(D$3,daily_items,XLOOKUP($C2483,daily_dates,big_daily_table))),NA(),XLOOKUP(D$3,daily_items,XLOOKUP($C2483,daily_dates,big_daily_table)))</f>
        <v>#N/A</v>
      </c>
      <c r="E2483" s="1" t="str">
        <f t="array" ref="E2483">IF(ISBLANK(XLOOKUP(E$3,daily_items,XLOOKUP($C2483,daily_dates,big_daily_table))),NA(),XLOOKUP(E$3,daily_items,XLOOKUP($C2483,daily_dates,big_daily_table)))</f>
        <v>#N/A</v>
      </c>
    </row>
    <row r="2484" ht="14.25" customHeight="1">
      <c r="B2484" s="7">
        <v>43389.0</v>
      </c>
      <c r="C2484" s="7">
        <f t="shared" si="1"/>
        <v>43387</v>
      </c>
      <c r="D2484" s="1" t="str">
        <f t="array" ref="D2484">IF(ISBLANK(XLOOKUP(D$3,daily_items,XLOOKUP($C2484,daily_dates,big_daily_table))),NA(),XLOOKUP(D$3,daily_items,XLOOKUP($C2484,daily_dates,big_daily_table)))</f>
        <v>#N/A</v>
      </c>
      <c r="E2484" s="1" t="str">
        <f t="array" ref="E2484">IF(ISBLANK(XLOOKUP(E$3,daily_items,XLOOKUP($C2484,daily_dates,big_daily_table))),NA(),XLOOKUP(E$3,daily_items,XLOOKUP($C2484,daily_dates,big_daily_table)))</f>
        <v>#N/A</v>
      </c>
    </row>
    <row r="2485" ht="14.25" customHeight="1">
      <c r="B2485" s="7">
        <v>43390.0</v>
      </c>
      <c r="C2485" s="7">
        <f t="shared" si="1"/>
        <v>43387</v>
      </c>
      <c r="D2485" s="1" t="str">
        <f t="array" ref="D2485">IF(ISBLANK(XLOOKUP(D$3,daily_items,XLOOKUP($C2485,daily_dates,big_daily_table))),NA(),XLOOKUP(D$3,daily_items,XLOOKUP($C2485,daily_dates,big_daily_table)))</f>
        <v>#N/A</v>
      </c>
      <c r="E2485" s="1" t="str">
        <f t="array" ref="E2485">IF(ISBLANK(XLOOKUP(E$3,daily_items,XLOOKUP($C2485,daily_dates,big_daily_table))),NA(),XLOOKUP(E$3,daily_items,XLOOKUP($C2485,daily_dates,big_daily_table)))</f>
        <v>#N/A</v>
      </c>
    </row>
    <row r="2486" ht="14.25" customHeight="1">
      <c r="B2486" s="7">
        <v>43391.0</v>
      </c>
      <c r="C2486" s="7">
        <f t="shared" si="1"/>
        <v>43387</v>
      </c>
      <c r="D2486" s="1" t="str">
        <f t="array" ref="D2486">IF(ISBLANK(XLOOKUP(D$3,daily_items,XLOOKUP($C2486,daily_dates,big_daily_table))),NA(),XLOOKUP(D$3,daily_items,XLOOKUP($C2486,daily_dates,big_daily_table)))</f>
        <v>#N/A</v>
      </c>
      <c r="E2486" s="1" t="str">
        <f t="array" ref="E2486">IF(ISBLANK(XLOOKUP(E$3,daily_items,XLOOKUP($C2486,daily_dates,big_daily_table))),NA(),XLOOKUP(E$3,daily_items,XLOOKUP($C2486,daily_dates,big_daily_table)))</f>
        <v>#N/A</v>
      </c>
    </row>
    <row r="2487" ht="14.25" customHeight="1">
      <c r="B2487" s="7">
        <v>43392.0</v>
      </c>
      <c r="C2487" s="7">
        <f t="shared" si="1"/>
        <v>43387</v>
      </c>
      <c r="D2487" s="1" t="str">
        <f t="array" ref="D2487">IF(ISBLANK(XLOOKUP(D$3,daily_items,XLOOKUP($C2487,daily_dates,big_daily_table))),NA(),XLOOKUP(D$3,daily_items,XLOOKUP($C2487,daily_dates,big_daily_table)))</f>
        <v>#N/A</v>
      </c>
      <c r="E2487" s="1" t="str">
        <f t="array" ref="E2487">IF(ISBLANK(XLOOKUP(E$3,daily_items,XLOOKUP($C2487,daily_dates,big_daily_table))),NA(),XLOOKUP(E$3,daily_items,XLOOKUP($C2487,daily_dates,big_daily_table)))</f>
        <v>#N/A</v>
      </c>
    </row>
    <row r="2488" ht="14.25" customHeight="1">
      <c r="B2488" s="7">
        <v>43393.0</v>
      </c>
      <c r="C2488" s="7">
        <f t="shared" si="1"/>
        <v>43387</v>
      </c>
      <c r="D2488" s="1" t="str">
        <f t="array" ref="D2488">IF(ISBLANK(XLOOKUP(D$3,daily_items,XLOOKUP($C2488,daily_dates,big_daily_table))),NA(),XLOOKUP(D$3,daily_items,XLOOKUP($C2488,daily_dates,big_daily_table)))</f>
        <v>#N/A</v>
      </c>
      <c r="E2488" s="1" t="str">
        <f t="array" ref="E2488">IF(ISBLANK(XLOOKUP(E$3,daily_items,XLOOKUP($C2488,daily_dates,big_daily_table))),NA(),XLOOKUP(E$3,daily_items,XLOOKUP($C2488,daily_dates,big_daily_table)))</f>
        <v>#N/A</v>
      </c>
    </row>
    <row r="2489" ht="14.25" customHeight="1">
      <c r="B2489" s="7">
        <v>43394.0</v>
      </c>
      <c r="C2489" s="7">
        <f t="shared" si="1"/>
        <v>43394</v>
      </c>
      <c r="D2489" s="1" t="str">
        <f t="array" ref="D2489">IF(ISBLANK(XLOOKUP(D$3,daily_items,XLOOKUP($C2489,daily_dates,big_daily_table))),NA(),XLOOKUP(D$3,daily_items,XLOOKUP($C2489,daily_dates,big_daily_table)))</f>
        <v>#N/A</v>
      </c>
      <c r="E2489" s="1" t="str">
        <f t="array" ref="E2489">IF(ISBLANK(XLOOKUP(E$3,daily_items,XLOOKUP($C2489,daily_dates,big_daily_table))),NA(),XLOOKUP(E$3,daily_items,XLOOKUP($C2489,daily_dates,big_daily_table)))</f>
        <v>#N/A</v>
      </c>
    </row>
    <row r="2490" ht="14.25" customHeight="1">
      <c r="B2490" s="7">
        <v>43395.0</v>
      </c>
      <c r="C2490" s="7">
        <f t="shared" si="1"/>
        <v>43394</v>
      </c>
      <c r="D2490" s="1" t="str">
        <f t="array" ref="D2490">IF(ISBLANK(XLOOKUP(D$3,daily_items,XLOOKUP($C2490,daily_dates,big_daily_table))),NA(),XLOOKUP(D$3,daily_items,XLOOKUP($C2490,daily_dates,big_daily_table)))</f>
        <v>#N/A</v>
      </c>
      <c r="E2490" s="1" t="str">
        <f t="array" ref="E2490">IF(ISBLANK(XLOOKUP(E$3,daily_items,XLOOKUP($C2490,daily_dates,big_daily_table))),NA(),XLOOKUP(E$3,daily_items,XLOOKUP($C2490,daily_dates,big_daily_table)))</f>
        <v>#N/A</v>
      </c>
    </row>
    <row r="2491" ht="14.25" customHeight="1">
      <c r="B2491" s="7">
        <v>43396.0</v>
      </c>
      <c r="C2491" s="7">
        <f t="shared" si="1"/>
        <v>43394</v>
      </c>
      <c r="D2491" s="1" t="str">
        <f t="array" ref="D2491">IF(ISBLANK(XLOOKUP(D$3,daily_items,XLOOKUP($C2491,daily_dates,big_daily_table))),NA(),XLOOKUP(D$3,daily_items,XLOOKUP($C2491,daily_dates,big_daily_table)))</f>
        <v>#N/A</v>
      </c>
      <c r="E2491" s="1" t="str">
        <f t="array" ref="E2491">IF(ISBLANK(XLOOKUP(E$3,daily_items,XLOOKUP($C2491,daily_dates,big_daily_table))),NA(),XLOOKUP(E$3,daily_items,XLOOKUP($C2491,daily_dates,big_daily_table)))</f>
        <v>#N/A</v>
      </c>
    </row>
    <row r="2492" ht="14.25" customHeight="1">
      <c r="B2492" s="7">
        <v>43397.0</v>
      </c>
      <c r="C2492" s="7">
        <f t="shared" si="1"/>
        <v>43394</v>
      </c>
      <c r="D2492" s="1" t="str">
        <f t="array" ref="D2492">IF(ISBLANK(XLOOKUP(D$3,daily_items,XLOOKUP($C2492,daily_dates,big_daily_table))),NA(),XLOOKUP(D$3,daily_items,XLOOKUP($C2492,daily_dates,big_daily_table)))</f>
        <v>#N/A</v>
      </c>
      <c r="E2492" s="1" t="str">
        <f t="array" ref="E2492">IF(ISBLANK(XLOOKUP(E$3,daily_items,XLOOKUP($C2492,daily_dates,big_daily_table))),NA(),XLOOKUP(E$3,daily_items,XLOOKUP($C2492,daily_dates,big_daily_table)))</f>
        <v>#N/A</v>
      </c>
    </row>
    <row r="2493" ht="14.25" customHeight="1">
      <c r="B2493" s="7">
        <v>43398.0</v>
      </c>
      <c r="C2493" s="7">
        <f t="shared" si="1"/>
        <v>43394</v>
      </c>
      <c r="D2493" s="1" t="str">
        <f t="array" ref="D2493">IF(ISBLANK(XLOOKUP(D$3,daily_items,XLOOKUP($C2493,daily_dates,big_daily_table))),NA(),XLOOKUP(D$3,daily_items,XLOOKUP($C2493,daily_dates,big_daily_table)))</f>
        <v>#N/A</v>
      </c>
      <c r="E2493" s="1" t="str">
        <f t="array" ref="E2493">IF(ISBLANK(XLOOKUP(E$3,daily_items,XLOOKUP($C2493,daily_dates,big_daily_table))),NA(),XLOOKUP(E$3,daily_items,XLOOKUP($C2493,daily_dates,big_daily_table)))</f>
        <v>#N/A</v>
      </c>
    </row>
    <row r="2494" ht="14.25" customHeight="1">
      <c r="B2494" s="7">
        <v>43399.0</v>
      </c>
      <c r="C2494" s="7">
        <f t="shared" si="1"/>
        <v>43394</v>
      </c>
      <c r="D2494" s="1" t="str">
        <f t="array" ref="D2494">IF(ISBLANK(XLOOKUP(D$3,daily_items,XLOOKUP($C2494,daily_dates,big_daily_table))),NA(),XLOOKUP(D$3,daily_items,XLOOKUP($C2494,daily_dates,big_daily_table)))</f>
        <v>#N/A</v>
      </c>
      <c r="E2494" s="1" t="str">
        <f t="array" ref="E2494">IF(ISBLANK(XLOOKUP(E$3,daily_items,XLOOKUP($C2494,daily_dates,big_daily_table))),NA(),XLOOKUP(E$3,daily_items,XLOOKUP($C2494,daily_dates,big_daily_table)))</f>
        <v>#N/A</v>
      </c>
    </row>
    <row r="2495" ht="14.25" customHeight="1">
      <c r="B2495" s="7">
        <v>43400.0</v>
      </c>
      <c r="C2495" s="7">
        <f t="shared" si="1"/>
        <v>43394</v>
      </c>
      <c r="D2495" s="1" t="str">
        <f t="array" ref="D2495">IF(ISBLANK(XLOOKUP(D$3,daily_items,XLOOKUP($C2495,daily_dates,big_daily_table))),NA(),XLOOKUP(D$3,daily_items,XLOOKUP($C2495,daily_dates,big_daily_table)))</f>
        <v>#N/A</v>
      </c>
      <c r="E2495" s="1" t="str">
        <f t="array" ref="E2495">IF(ISBLANK(XLOOKUP(E$3,daily_items,XLOOKUP($C2495,daily_dates,big_daily_table))),NA(),XLOOKUP(E$3,daily_items,XLOOKUP($C2495,daily_dates,big_daily_table)))</f>
        <v>#N/A</v>
      </c>
    </row>
    <row r="2496" ht="14.25" customHeight="1">
      <c r="B2496" s="7">
        <v>43401.0</v>
      </c>
      <c r="C2496" s="7">
        <f t="shared" si="1"/>
        <v>43401</v>
      </c>
      <c r="D2496" s="1" t="str">
        <f t="array" ref="D2496">IF(ISBLANK(XLOOKUP(D$3,daily_items,XLOOKUP($C2496,daily_dates,big_daily_table))),NA(),XLOOKUP(D$3,daily_items,XLOOKUP($C2496,daily_dates,big_daily_table)))</f>
        <v>#N/A</v>
      </c>
      <c r="E2496" s="1" t="str">
        <f t="array" ref="E2496">IF(ISBLANK(XLOOKUP(E$3,daily_items,XLOOKUP($C2496,daily_dates,big_daily_table))),NA(),XLOOKUP(E$3,daily_items,XLOOKUP($C2496,daily_dates,big_daily_table)))</f>
        <v>#N/A</v>
      </c>
    </row>
    <row r="2497" ht="14.25" customHeight="1">
      <c r="B2497" s="7">
        <v>43402.0</v>
      </c>
      <c r="C2497" s="7">
        <f t="shared" si="1"/>
        <v>43401</v>
      </c>
      <c r="D2497" s="1" t="str">
        <f t="array" ref="D2497">IF(ISBLANK(XLOOKUP(D$3,daily_items,XLOOKUP($C2497,daily_dates,big_daily_table))),NA(),XLOOKUP(D$3,daily_items,XLOOKUP($C2497,daily_dates,big_daily_table)))</f>
        <v>#N/A</v>
      </c>
      <c r="E2497" s="1" t="str">
        <f t="array" ref="E2497">IF(ISBLANK(XLOOKUP(E$3,daily_items,XLOOKUP($C2497,daily_dates,big_daily_table))),NA(),XLOOKUP(E$3,daily_items,XLOOKUP($C2497,daily_dates,big_daily_table)))</f>
        <v>#N/A</v>
      </c>
    </row>
    <row r="2498" ht="14.25" customHeight="1">
      <c r="B2498" s="7">
        <v>43403.0</v>
      </c>
      <c r="C2498" s="7">
        <f t="shared" si="1"/>
        <v>43401</v>
      </c>
      <c r="D2498" s="1" t="str">
        <f t="array" ref="D2498">IF(ISBLANK(XLOOKUP(D$3,daily_items,XLOOKUP($C2498,daily_dates,big_daily_table))),NA(),XLOOKUP(D$3,daily_items,XLOOKUP($C2498,daily_dates,big_daily_table)))</f>
        <v>#N/A</v>
      </c>
      <c r="E2498" s="1" t="str">
        <f t="array" ref="E2498">IF(ISBLANK(XLOOKUP(E$3,daily_items,XLOOKUP($C2498,daily_dates,big_daily_table))),NA(),XLOOKUP(E$3,daily_items,XLOOKUP($C2498,daily_dates,big_daily_table)))</f>
        <v>#N/A</v>
      </c>
    </row>
    <row r="2499" ht="14.25" customHeight="1">
      <c r="B2499" s="7">
        <v>43404.0</v>
      </c>
      <c r="C2499" s="7">
        <f t="shared" si="1"/>
        <v>43401</v>
      </c>
      <c r="D2499" s="1" t="str">
        <f t="array" ref="D2499">IF(ISBLANK(XLOOKUP(D$3,daily_items,XLOOKUP($C2499,daily_dates,big_daily_table))),NA(),XLOOKUP(D$3,daily_items,XLOOKUP($C2499,daily_dates,big_daily_table)))</f>
        <v>#N/A</v>
      </c>
      <c r="E2499" s="1" t="str">
        <f t="array" ref="E2499">IF(ISBLANK(XLOOKUP(E$3,daily_items,XLOOKUP($C2499,daily_dates,big_daily_table))),NA(),XLOOKUP(E$3,daily_items,XLOOKUP($C2499,daily_dates,big_daily_table)))</f>
        <v>#N/A</v>
      </c>
    </row>
    <row r="2500" ht="14.25" customHeight="1">
      <c r="B2500" s="7">
        <v>43405.0</v>
      </c>
      <c r="C2500" s="7">
        <f t="shared" si="1"/>
        <v>43401</v>
      </c>
      <c r="D2500" s="1" t="str">
        <f t="array" ref="D2500">IF(ISBLANK(XLOOKUP(D$3,daily_items,XLOOKUP($C2500,daily_dates,big_daily_table))),NA(),XLOOKUP(D$3,daily_items,XLOOKUP($C2500,daily_dates,big_daily_table)))</f>
        <v>#N/A</v>
      </c>
      <c r="E2500" s="1" t="str">
        <f t="array" ref="E2500">IF(ISBLANK(XLOOKUP(E$3,daily_items,XLOOKUP($C2500,daily_dates,big_daily_table))),NA(),XLOOKUP(E$3,daily_items,XLOOKUP($C2500,daily_dates,big_daily_table)))</f>
        <v>#N/A</v>
      </c>
    </row>
    <row r="2501" ht="14.25" customHeight="1">
      <c r="B2501" s="7">
        <v>43406.0</v>
      </c>
      <c r="C2501" s="7">
        <f t="shared" si="1"/>
        <v>43401</v>
      </c>
      <c r="D2501" s="1" t="str">
        <f t="array" ref="D2501">IF(ISBLANK(XLOOKUP(D$3,daily_items,XLOOKUP($C2501,daily_dates,big_daily_table))),NA(),XLOOKUP(D$3,daily_items,XLOOKUP($C2501,daily_dates,big_daily_table)))</f>
        <v>#N/A</v>
      </c>
      <c r="E2501" s="1" t="str">
        <f t="array" ref="E2501">IF(ISBLANK(XLOOKUP(E$3,daily_items,XLOOKUP($C2501,daily_dates,big_daily_table))),NA(),XLOOKUP(E$3,daily_items,XLOOKUP($C2501,daily_dates,big_daily_table)))</f>
        <v>#N/A</v>
      </c>
    </row>
    <row r="2502" ht="14.25" customHeight="1">
      <c r="B2502" s="7">
        <v>43407.0</v>
      </c>
      <c r="C2502" s="7">
        <f t="shared" si="1"/>
        <v>43401</v>
      </c>
      <c r="D2502" s="1" t="str">
        <f t="array" ref="D2502">IF(ISBLANK(XLOOKUP(D$3,daily_items,XLOOKUP($C2502,daily_dates,big_daily_table))),NA(),XLOOKUP(D$3,daily_items,XLOOKUP($C2502,daily_dates,big_daily_table)))</f>
        <v>#N/A</v>
      </c>
      <c r="E2502" s="1" t="str">
        <f t="array" ref="E2502">IF(ISBLANK(XLOOKUP(E$3,daily_items,XLOOKUP($C2502,daily_dates,big_daily_table))),NA(),XLOOKUP(E$3,daily_items,XLOOKUP($C2502,daily_dates,big_daily_table)))</f>
        <v>#N/A</v>
      </c>
    </row>
    <row r="2503" ht="14.25" customHeight="1">
      <c r="B2503" s="7">
        <v>43408.0</v>
      </c>
      <c r="C2503" s="7">
        <f t="shared" si="1"/>
        <v>43408</v>
      </c>
      <c r="D2503" s="1" t="str">
        <f t="array" ref="D2503">IF(ISBLANK(XLOOKUP(D$3,daily_items,XLOOKUP($C2503,daily_dates,big_daily_table))),NA(),XLOOKUP(D$3,daily_items,XLOOKUP($C2503,daily_dates,big_daily_table)))</f>
        <v>#N/A</v>
      </c>
      <c r="E2503" s="1" t="str">
        <f t="array" ref="E2503">IF(ISBLANK(XLOOKUP(E$3,daily_items,XLOOKUP($C2503,daily_dates,big_daily_table))),NA(),XLOOKUP(E$3,daily_items,XLOOKUP($C2503,daily_dates,big_daily_table)))</f>
        <v>#N/A</v>
      </c>
    </row>
    <row r="2504" ht="14.25" customHeight="1">
      <c r="B2504" s="7">
        <v>43409.0</v>
      </c>
      <c r="C2504" s="7">
        <f t="shared" si="1"/>
        <v>43408</v>
      </c>
      <c r="D2504" s="1" t="str">
        <f t="array" ref="D2504">IF(ISBLANK(XLOOKUP(D$3,daily_items,XLOOKUP($C2504,daily_dates,big_daily_table))),NA(),XLOOKUP(D$3,daily_items,XLOOKUP($C2504,daily_dates,big_daily_table)))</f>
        <v>#N/A</v>
      </c>
      <c r="E2504" s="1" t="str">
        <f t="array" ref="E2504">IF(ISBLANK(XLOOKUP(E$3,daily_items,XLOOKUP($C2504,daily_dates,big_daily_table))),NA(),XLOOKUP(E$3,daily_items,XLOOKUP($C2504,daily_dates,big_daily_table)))</f>
        <v>#N/A</v>
      </c>
    </row>
    <row r="2505" ht="14.25" customHeight="1">
      <c r="B2505" s="7">
        <v>43410.0</v>
      </c>
      <c r="C2505" s="7">
        <f t="shared" si="1"/>
        <v>43408</v>
      </c>
      <c r="D2505" s="1" t="str">
        <f t="array" ref="D2505">IF(ISBLANK(XLOOKUP(D$3,daily_items,XLOOKUP($C2505,daily_dates,big_daily_table))),NA(),XLOOKUP(D$3,daily_items,XLOOKUP($C2505,daily_dates,big_daily_table)))</f>
        <v>#N/A</v>
      </c>
      <c r="E2505" s="1" t="str">
        <f t="array" ref="E2505">IF(ISBLANK(XLOOKUP(E$3,daily_items,XLOOKUP($C2505,daily_dates,big_daily_table))),NA(),XLOOKUP(E$3,daily_items,XLOOKUP($C2505,daily_dates,big_daily_table)))</f>
        <v>#N/A</v>
      </c>
    </row>
    <row r="2506" ht="14.25" customHeight="1">
      <c r="B2506" s="7">
        <v>43411.0</v>
      </c>
      <c r="C2506" s="7">
        <f t="shared" si="1"/>
        <v>43408</v>
      </c>
      <c r="D2506" s="1" t="str">
        <f t="array" ref="D2506">IF(ISBLANK(XLOOKUP(D$3,daily_items,XLOOKUP($C2506,daily_dates,big_daily_table))),NA(),XLOOKUP(D$3,daily_items,XLOOKUP($C2506,daily_dates,big_daily_table)))</f>
        <v>#N/A</v>
      </c>
      <c r="E2506" s="1" t="str">
        <f t="array" ref="E2506">IF(ISBLANK(XLOOKUP(E$3,daily_items,XLOOKUP($C2506,daily_dates,big_daily_table))),NA(),XLOOKUP(E$3,daily_items,XLOOKUP($C2506,daily_dates,big_daily_table)))</f>
        <v>#N/A</v>
      </c>
    </row>
    <row r="2507" ht="14.25" customHeight="1">
      <c r="B2507" s="7">
        <v>43412.0</v>
      </c>
      <c r="C2507" s="7">
        <f t="shared" si="1"/>
        <v>43408</v>
      </c>
      <c r="D2507" s="1" t="str">
        <f t="array" ref="D2507">IF(ISBLANK(XLOOKUP(D$3,daily_items,XLOOKUP($C2507,daily_dates,big_daily_table))),NA(),XLOOKUP(D$3,daily_items,XLOOKUP($C2507,daily_dates,big_daily_table)))</f>
        <v>#N/A</v>
      </c>
      <c r="E2507" s="1" t="str">
        <f t="array" ref="E2507">IF(ISBLANK(XLOOKUP(E$3,daily_items,XLOOKUP($C2507,daily_dates,big_daily_table))),NA(),XLOOKUP(E$3,daily_items,XLOOKUP($C2507,daily_dates,big_daily_table)))</f>
        <v>#N/A</v>
      </c>
    </row>
    <row r="2508" ht="14.25" customHeight="1">
      <c r="B2508" s="7">
        <v>43413.0</v>
      </c>
      <c r="C2508" s="7">
        <f t="shared" si="1"/>
        <v>43408</v>
      </c>
      <c r="D2508" s="1" t="str">
        <f t="array" ref="D2508">IF(ISBLANK(XLOOKUP(D$3,daily_items,XLOOKUP($C2508,daily_dates,big_daily_table))),NA(),XLOOKUP(D$3,daily_items,XLOOKUP($C2508,daily_dates,big_daily_table)))</f>
        <v>#N/A</v>
      </c>
      <c r="E2508" s="1" t="str">
        <f t="array" ref="E2508">IF(ISBLANK(XLOOKUP(E$3,daily_items,XLOOKUP($C2508,daily_dates,big_daily_table))),NA(),XLOOKUP(E$3,daily_items,XLOOKUP($C2508,daily_dates,big_daily_table)))</f>
        <v>#N/A</v>
      </c>
    </row>
    <row r="2509" ht="14.25" customHeight="1">
      <c r="B2509" s="7">
        <v>43414.0</v>
      </c>
      <c r="C2509" s="7">
        <f t="shared" si="1"/>
        <v>43408</v>
      </c>
      <c r="D2509" s="1" t="str">
        <f t="array" ref="D2509">IF(ISBLANK(XLOOKUP(D$3,daily_items,XLOOKUP($C2509,daily_dates,big_daily_table))),NA(),XLOOKUP(D$3,daily_items,XLOOKUP($C2509,daily_dates,big_daily_table)))</f>
        <v>#N/A</v>
      </c>
      <c r="E2509" s="1" t="str">
        <f t="array" ref="E2509">IF(ISBLANK(XLOOKUP(E$3,daily_items,XLOOKUP($C2509,daily_dates,big_daily_table))),NA(),XLOOKUP(E$3,daily_items,XLOOKUP($C2509,daily_dates,big_daily_table)))</f>
        <v>#N/A</v>
      </c>
    </row>
    <row r="2510" ht="14.25" customHeight="1">
      <c r="B2510" s="7">
        <v>43415.0</v>
      </c>
      <c r="C2510" s="7">
        <f t="shared" si="1"/>
        <v>43415</v>
      </c>
      <c r="D2510" s="1" t="str">
        <f t="array" ref="D2510">IF(ISBLANK(XLOOKUP(D$3,daily_items,XLOOKUP($C2510,daily_dates,big_daily_table))),NA(),XLOOKUP(D$3,daily_items,XLOOKUP($C2510,daily_dates,big_daily_table)))</f>
        <v>#N/A</v>
      </c>
      <c r="E2510" s="1" t="str">
        <f t="array" ref="E2510">IF(ISBLANK(XLOOKUP(E$3,daily_items,XLOOKUP($C2510,daily_dates,big_daily_table))),NA(),XLOOKUP(E$3,daily_items,XLOOKUP($C2510,daily_dates,big_daily_table)))</f>
        <v>#N/A</v>
      </c>
    </row>
    <row r="2511" ht="14.25" customHeight="1">
      <c r="B2511" s="7">
        <v>43416.0</v>
      </c>
      <c r="C2511" s="7">
        <f t="shared" si="1"/>
        <v>43415</v>
      </c>
      <c r="D2511" s="1" t="str">
        <f t="array" ref="D2511">IF(ISBLANK(XLOOKUP(D$3,daily_items,XLOOKUP($C2511,daily_dates,big_daily_table))),NA(),XLOOKUP(D$3,daily_items,XLOOKUP($C2511,daily_dates,big_daily_table)))</f>
        <v>#N/A</v>
      </c>
      <c r="E2511" s="1" t="str">
        <f t="array" ref="E2511">IF(ISBLANK(XLOOKUP(E$3,daily_items,XLOOKUP($C2511,daily_dates,big_daily_table))),NA(),XLOOKUP(E$3,daily_items,XLOOKUP($C2511,daily_dates,big_daily_table)))</f>
        <v>#N/A</v>
      </c>
    </row>
    <row r="2512" ht="14.25" customHeight="1">
      <c r="B2512" s="7">
        <v>43417.0</v>
      </c>
      <c r="C2512" s="7">
        <f t="shared" si="1"/>
        <v>43415</v>
      </c>
      <c r="D2512" s="1" t="str">
        <f t="array" ref="D2512">IF(ISBLANK(XLOOKUP(D$3,daily_items,XLOOKUP($C2512,daily_dates,big_daily_table))),NA(),XLOOKUP(D$3,daily_items,XLOOKUP($C2512,daily_dates,big_daily_table)))</f>
        <v>#N/A</v>
      </c>
      <c r="E2512" s="1" t="str">
        <f t="array" ref="E2512">IF(ISBLANK(XLOOKUP(E$3,daily_items,XLOOKUP($C2512,daily_dates,big_daily_table))),NA(),XLOOKUP(E$3,daily_items,XLOOKUP($C2512,daily_dates,big_daily_table)))</f>
        <v>#N/A</v>
      </c>
    </row>
    <row r="2513" ht="14.25" customHeight="1">
      <c r="B2513" s="7">
        <v>43418.0</v>
      </c>
      <c r="C2513" s="7">
        <f t="shared" si="1"/>
        <v>43415</v>
      </c>
      <c r="D2513" s="1" t="str">
        <f t="array" ref="D2513">IF(ISBLANK(XLOOKUP(D$3,daily_items,XLOOKUP($C2513,daily_dates,big_daily_table))),NA(),XLOOKUP(D$3,daily_items,XLOOKUP($C2513,daily_dates,big_daily_table)))</f>
        <v>#N/A</v>
      </c>
      <c r="E2513" s="1" t="str">
        <f t="array" ref="E2513">IF(ISBLANK(XLOOKUP(E$3,daily_items,XLOOKUP($C2513,daily_dates,big_daily_table))),NA(),XLOOKUP(E$3,daily_items,XLOOKUP($C2513,daily_dates,big_daily_table)))</f>
        <v>#N/A</v>
      </c>
    </row>
    <row r="2514" ht="14.25" customHeight="1">
      <c r="B2514" s="7">
        <v>43419.0</v>
      </c>
      <c r="C2514" s="7">
        <f t="shared" si="1"/>
        <v>43415</v>
      </c>
      <c r="D2514" s="1" t="str">
        <f t="array" ref="D2514">IF(ISBLANK(XLOOKUP(D$3,daily_items,XLOOKUP($C2514,daily_dates,big_daily_table))),NA(),XLOOKUP(D$3,daily_items,XLOOKUP($C2514,daily_dates,big_daily_table)))</f>
        <v>#N/A</v>
      </c>
      <c r="E2514" s="1" t="str">
        <f t="array" ref="E2514">IF(ISBLANK(XLOOKUP(E$3,daily_items,XLOOKUP($C2514,daily_dates,big_daily_table))),NA(),XLOOKUP(E$3,daily_items,XLOOKUP($C2514,daily_dates,big_daily_table)))</f>
        <v>#N/A</v>
      </c>
    </row>
    <row r="2515" ht="14.25" customHeight="1">
      <c r="B2515" s="7">
        <v>43420.0</v>
      </c>
      <c r="C2515" s="7">
        <f t="shared" si="1"/>
        <v>43415</v>
      </c>
      <c r="D2515" s="1" t="str">
        <f t="array" ref="D2515">IF(ISBLANK(XLOOKUP(D$3,daily_items,XLOOKUP($C2515,daily_dates,big_daily_table))),NA(),XLOOKUP(D$3,daily_items,XLOOKUP($C2515,daily_dates,big_daily_table)))</f>
        <v>#N/A</v>
      </c>
      <c r="E2515" s="1" t="str">
        <f t="array" ref="E2515">IF(ISBLANK(XLOOKUP(E$3,daily_items,XLOOKUP($C2515,daily_dates,big_daily_table))),NA(),XLOOKUP(E$3,daily_items,XLOOKUP($C2515,daily_dates,big_daily_table)))</f>
        <v>#N/A</v>
      </c>
    </row>
    <row r="2516" ht="14.25" customHeight="1">
      <c r="B2516" s="7">
        <v>43421.0</v>
      </c>
      <c r="C2516" s="7">
        <f t="shared" si="1"/>
        <v>43415</v>
      </c>
      <c r="D2516" s="1" t="str">
        <f t="array" ref="D2516">IF(ISBLANK(XLOOKUP(D$3,daily_items,XLOOKUP($C2516,daily_dates,big_daily_table))),NA(),XLOOKUP(D$3,daily_items,XLOOKUP($C2516,daily_dates,big_daily_table)))</f>
        <v>#N/A</v>
      </c>
      <c r="E2516" s="1" t="str">
        <f t="array" ref="E2516">IF(ISBLANK(XLOOKUP(E$3,daily_items,XLOOKUP($C2516,daily_dates,big_daily_table))),NA(),XLOOKUP(E$3,daily_items,XLOOKUP($C2516,daily_dates,big_daily_table)))</f>
        <v>#N/A</v>
      </c>
    </row>
    <row r="2517" ht="14.25" customHeight="1">
      <c r="B2517" s="7">
        <v>43422.0</v>
      </c>
      <c r="C2517" s="7">
        <f t="shared" si="1"/>
        <v>43422</v>
      </c>
      <c r="D2517" s="1" t="str">
        <f t="array" ref="D2517">IF(ISBLANK(XLOOKUP(D$3,daily_items,XLOOKUP($C2517,daily_dates,big_daily_table))),NA(),XLOOKUP(D$3,daily_items,XLOOKUP($C2517,daily_dates,big_daily_table)))</f>
        <v>#N/A</v>
      </c>
      <c r="E2517" s="1" t="str">
        <f t="array" ref="E2517">IF(ISBLANK(XLOOKUP(E$3,daily_items,XLOOKUP($C2517,daily_dates,big_daily_table))),NA(),XLOOKUP(E$3,daily_items,XLOOKUP($C2517,daily_dates,big_daily_table)))</f>
        <v>#N/A</v>
      </c>
    </row>
    <row r="2518" ht="14.25" customHeight="1">
      <c r="B2518" s="7">
        <v>43423.0</v>
      </c>
      <c r="C2518" s="7">
        <f t="shared" si="1"/>
        <v>43422</v>
      </c>
      <c r="D2518" s="1" t="str">
        <f t="array" ref="D2518">IF(ISBLANK(XLOOKUP(D$3,daily_items,XLOOKUP($C2518,daily_dates,big_daily_table))),NA(),XLOOKUP(D$3,daily_items,XLOOKUP($C2518,daily_dates,big_daily_table)))</f>
        <v>#N/A</v>
      </c>
      <c r="E2518" s="1" t="str">
        <f t="array" ref="E2518">IF(ISBLANK(XLOOKUP(E$3,daily_items,XLOOKUP($C2518,daily_dates,big_daily_table))),NA(),XLOOKUP(E$3,daily_items,XLOOKUP($C2518,daily_dates,big_daily_table)))</f>
        <v>#N/A</v>
      </c>
    </row>
    <row r="2519" ht="14.25" customHeight="1">
      <c r="B2519" s="7">
        <v>43424.0</v>
      </c>
      <c r="C2519" s="7">
        <f t="shared" si="1"/>
        <v>43422</v>
      </c>
      <c r="D2519" s="1" t="str">
        <f t="array" ref="D2519">IF(ISBLANK(XLOOKUP(D$3,daily_items,XLOOKUP($C2519,daily_dates,big_daily_table))),NA(),XLOOKUP(D$3,daily_items,XLOOKUP($C2519,daily_dates,big_daily_table)))</f>
        <v>#N/A</v>
      </c>
      <c r="E2519" s="1" t="str">
        <f t="array" ref="E2519">IF(ISBLANK(XLOOKUP(E$3,daily_items,XLOOKUP($C2519,daily_dates,big_daily_table))),NA(),XLOOKUP(E$3,daily_items,XLOOKUP($C2519,daily_dates,big_daily_table)))</f>
        <v>#N/A</v>
      </c>
    </row>
    <row r="2520" ht="14.25" customHeight="1">
      <c r="B2520" s="7">
        <v>43425.0</v>
      </c>
      <c r="C2520" s="7">
        <f t="shared" si="1"/>
        <v>43422</v>
      </c>
      <c r="D2520" s="1" t="str">
        <f t="array" ref="D2520">IF(ISBLANK(XLOOKUP(D$3,daily_items,XLOOKUP($C2520,daily_dates,big_daily_table))),NA(),XLOOKUP(D$3,daily_items,XLOOKUP($C2520,daily_dates,big_daily_table)))</f>
        <v>#N/A</v>
      </c>
      <c r="E2520" s="1" t="str">
        <f t="array" ref="E2520">IF(ISBLANK(XLOOKUP(E$3,daily_items,XLOOKUP($C2520,daily_dates,big_daily_table))),NA(),XLOOKUP(E$3,daily_items,XLOOKUP($C2520,daily_dates,big_daily_table)))</f>
        <v>#N/A</v>
      </c>
    </row>
    <row r="2521" ht="14.25" customHeight="1">
      <c r="B2521" s="7">
        <v>43426.0</v>
      </c>
      <c r="C2521" s="7">
        <f t="shared" si="1"/>
        <v>43422</v>
      </c>
      <c r="D2521" s="1" t="str">
        <f t="array" ref="D2521">IF(ISBLANK(XLOOKUP(D$3,daily_items,XLOOKUP($C2521,daily_dates,big_daily_table))),NA(),XLOOKUP(D$3,daily_items,XLOOKUP($C2521,daily_dates,big_daily_table)))</f>
        <v>#N/A</v>
      </c>
      <c r="E2521" s="1" t="str">
        <f t="array" ref="E2521">IF(ISBLANK(XLOOKUP(E$3,daily_items,XLOOKUP($C2521,daily_dates,big_daily_table))),NA(),XLOOKUP(E$3,daily_items,XLOOKUP($C2521,daily_dates,big_daily_table)))</f>
        <v>#N/A</v>
      </c>
    </row>
    <row r="2522" ht="14.25" customHeight="1">
      <c r="B2522" s="7">
        <v>43427.0</v>
      </c>
      <c r="C2522" s="7">
        <f t="shared" si="1"/>
        <v>43422</v>
      </c>
      <c r="D2522" s="1" t="str">
        <f t="array" ref="D2522">IF(ISBLANK(XLOOKUP(D$3,daily_items,XLOOKUP($C2522,daily_dates,big_daily_table))),NA(),XLOOKUP(D$3,daily_items,XLOOKUP($C2522,daily_dates,big_daily_table)))</f>
        <v>#N/A</v>
      </c>
      <c r="E2522" s="1" t="str">
        <f t="array" ref="E2522">IF(ISBLANK(XLOOKUP(E$3,daily_items,XLOOKUP($C2522,daily_dates,big_daily_table))),NA(),XLOOKUP(E$3,daily_items,XLOOKUP($C2522,daily_dates,big_daily_table)))</f>
        <v>#N/A</v>
      </c>
    </row>
    <row r="2523" ht="14.25" customHeight="1">
      <c r="B2523" s="7">
        <v>43428.0</v>
      </c>
      <c r="C2523" s="7">
        <f t="shared" si="1"/>
        <v>43422</v>
      </c>
      <c r="D2523" s="1" t="str">
        <f t="array" ref="D2523">IF(ISBLANK(XLOOKUP(D$3,daily_items,XLOOKUP($C2523,daily_dates,big_daily_table))),NA(),XLOOKUP(D$3,daily_items,XLOOKUP($C2523,daily_dates,big_daily_table)))</f>
        <v>#N/A</v>
      </c>
      <c r="E2523" s="1" t="str">
        <f t="array" ref="E2523">IF(ISBLANK(XLOOKUP(E$3,daily_items,XLOOKUP($C2523,daily_dates,big_daily_table))),NA(),XLOOKUP(E$3,daily_items,XLOOKUP($C2523,daily_dates,big_daily_table)))</f>
        <v>#N/A</v>
      </c>
    </row>
    <row r="2524" ht="14.25" customHeight="1">
      <c r="B2524" s="7">
        <v>43429.0</v>
      </c>
      <c r="C2524" s="7">
        <f t="shared" si="1"/>
        <v>43429</v>
      </c>
      <c r="D2524" s="1" t="str">
        <f t="array" ref="D2524">IF(ISBLANK(XLOOKUP(D$3,daily_items,XLOOKUP($C2524,daily_dates,big_daily_table))),NA(),XLOOKUP(D$3,daily_items,XLOOKUP($C2524,daily_dates,big_daily_table)))</f>
        <v>#N/A</v>
      </c>
      <c r="E2524" s="1" t="str">
        <f t="array" ref="E2524">IF(ISBLANK(XLOOKUP(E$3,daily_items,XLOOKUP($C2524,daily_dates,big_daily_table))),NA(),XLOOKUP(E$3,daily_items,XLOOKUP($C2524,daily_dates,big_daily_table)))</f>
        <v>#N/A</v>
      </c>
    </row>
    <row r="2525" ht="14.25" customHeight="1">
      <c r="B2525" s="7">
        <v>43430.0</v>
      </c>
      <c r="C2525" s="7">
        <f t="shared" si="1"/>
        <v>43429</v>
      </c>
      <c r="D2525" s="1" t="str">
        <f t="array" ref="D2525">IF(ISBLANK(XLOOKUP(D$3,daily_items,XLOOKUP($C2525,daily_dates,big_daily_table))),NA(),XLOOKUP(D$3,daily_items,XLOOKUP($C2525,daily_dates,big_daily_table)))</f>
        <v>#N/A</v>
      </c>
      <c r="E2525" s="1" t="str">
        <f t="array" ref="E2525">IF(ISBLANK(XLOOKUP(E$3,daily_items,XLOOKUP($C2525,daily_dates,big_daily_table))),NA(),XLOOKUP(E$3,daily_items,XLOOKUP($C2525,daily_dates,big_daily_table)))</f>
        <v>#N/A</v>
      </c>
    </row>
    <row r="2526" ht="14.25" customHeight="1">
      <c r="B2526" s="7">
        <v>43431.0</v>
      </c>
      <c r="C2526" s="7">
        <f t="shared" si="1"/>
        <v>43429</v>
      </c>
      <c r="D2526" s="1" t="str">
        <f t="array" ref="D2526">IF(ISBLANK(XLOOKUP(D$3,daily_items,XLOOKUP($C2526,daily_dates,big_daily_table))),NA(),XLOOKUP(D$3,daily_items,XLOOKUP($C2526,daily_dates,big_daily_table)))</f>
        <v>#N/A</v>
      </c>
      <c r="E2526" s="1" t="str">
        <f t="array" ref="E2526">IF(ISBLANK(XLOOKUP(E$3,daily_items,XLOOKUP($C2526,daily_dates,big_daily_table))),NA(),XLOOKUP(E$3,daily_items,XLOOKUP($C2526,daily_dates,big_daily_table)))</f>
        <v>#N/A</v>
      </c>
    </row>
    <row r="2527" ht="14.25" customHeight="1">
      <c r="B2527" s="7">
        <v>43432.0</v>
      </c>
      <c r="C2527" s="7">
        <f t="shared" si="1"/>
        <v>43429</v>
      </c>
      <c r="D2527" s="1" t="str">
        <f t="array" ref="D2527">IF(ISBLANK(XLOOKUP(D$3,daily_items,XLOOKUP($C2527,daily_dates,big_daily_table))),NA(),XLOOKUP(D$3,daily_items,XLOOKUP($C2527,daily_dates,big_daily_table)))</f>
        <v>#N/A</v>
      </c>
      <c r="E2527" s="1" t="str">
        <f t="array" ref="E2527">IF(ISBLANK(XLOOKUP(E$3,daily_items,XLOOKUP($C2527,daily_dates,big_daily_table))),NA(),XLOOKUP(E$3,daily_items,XLOOKUP($C2527,daily_dates,big_daily_table)))</f>
        <v>#N/A</v>
      </c>
    </row>
    <row r="2528" ht="14.25" customHeight="1">
      <c r="B2528" s="7">
        <v>43433.0</v>
      </c>
      <c r="C2528" s="7">
        <f t="shared" si="1"/>
        <v>43429</v>
      </c>
      <c r="D2528" s="1" t="str">
        <f t="array" ref="D2528">IF(ISBLANK(XLOOKUP(D$3,daily_items,XLOOKUP($C2528,daily_dates,big_daily_table))),NA(),XLOOKUP(D$3,daily_items,XLOOKUP($C2528,daily_dates,big_daily_table)))</f>
        <v>#N/A</v>
      </c>
      <c r="E2528" s="1" t="str">
        <f t="array" ref="E2528">IF(ISBLANK(XLOOKUP(E$3,daily_items,XLOOKUP($C2528,daily_dates,big_daily_table))),NA(),XLOOKUP(E$3,daily_items,XLOOKUP($C2528,daily_dates,big_daily_table)))</f>
        <v>#N/A</v>
      </c>
    </row>
    <row r="2529" ht="14.25" customHeight="1">
      <c r="B2529" s="7">
        <v>43434.0</v>
      </c>
      <c r="C2529" s="7">
        <f t="shared" si="1"/>
        <v>43429</v>
      </c>
      <c r="D2529" s="1" t="str">
        <f t="array" ref="D2529">IF(ISBLANK(XLOOKUP(D$3,daily_items,XLOOKUP($C2529,daily_dates,big_daily_table))),NA(),XLOOKUP(D$3,daily_items,XLOOKUP($C2529,daily_dates,big_daily_table)))</f>
        <v>#N/A</v>
      </c>
      <c r="E2529" s="1" t="str">
        <f t="array" ref="E2529">IF(ISBLANK(XLOOKUP(E$3,daily_items,XLOOKUP($C2529,daily_dates,big_daily_table))),NA(),XLOOKUP(E$3,daily_items,XLOOKUP($C2529,daily_dates,big_daily_table)))</f>
        <v>#N/A</v>
      </c>
    </row>
    <row r="2530" ht="14.25" customHeight="1">
      <c r="B2530" s="7">
        <v>43435.0</v>
      </c>
      <c r="C2530" s="7">
        <f t="shared" si="1"/>
        <v>43429</v>
      </c>
      <c r="D2530" s="1" t="str">
        <f t="array" ref="D2530">IF(ISBLANK(XLOOKUP(D$3,daily_items,XLOOKUP($C2530,daily_dates,big_daily_table))),NA(),XLOOKUP(D$3,daily_items,XLOOKUP($C2530,daily_dates,big_daily_table)))</f>
        <v>#N/A</v>
      </c>
      <c r="E2530" s="1" t="str">
        <f t="array" ref="E2530">IF(ISBLANK(XLOOKUP(E$3,daily_items,XLOOKUP($C2530,daily_dates,big_daily_table))),NA(),XLOOKUP(E$3,daily_items,XLOOKUP($C2530,daily_dates,big_daily_table)))</f>
        <v>#N/A</v>
      </c>
    </row>
    <row r="2531" ht="14.25" customHeight="1">
      <c r="B2531" s="7">
        <v>43436.0</v>
      </c>
      <c r="C2531" s="7">
        <f t="shared" si="1"/>
        <v>43436</v>
      </c>
      <c r="D2531" s="1" t="str">
        <f t="array" ref="D2531">IF(ISBLANK(XLOOKUP(D$3,daily_items,XLOOKUP($C2531,daily_dates,big_daily_table))),NA(),XLOOKUP(D$3,daily_items,XLOOKUP($C2531,daily_dates,big_daily_table)))</f>
        <v>#N/A</v>
      </c>
      <c r="E2531" s="1" t="str">
        <f t="array" ref="E2531">IF(ISBLANK(XLOOKUP(E$3,daily_items,XLOOKUP($C2531,daily_dates,big_daily_table))),NA(),XLOOKUP(E$3,daily_items,XLOOKUP($C2531,daily_dates,big_daily_table)))</f>
        <v>#N/A</v>
      </c>
    </row>
    <row r="2532" ht="14.25" customHeight="1">
      <c r="B2532" s="7">
        <v>43437.0</v>
      </c>
      <c r="C2532" s="7">
        <f t="shared" si="1"/>
        <v>43436</v>
      </c>
      <c r="D2532" s="1" t="str">
        <f t="array" ref="D2532">IF(ISBLANK(XLOOKUP(D$3,daily_items,XLOOKUP($C2532,daily_dates,big_daily_table))),NA(),XLOOKUP(D$3,daily_items,XLOOKUP($C2532,daily_dates,big_daily_table)))</f>
        <v>#N/A</v>
      </c>
      <c r="E2532" s="1" t="str">
        <f t="array" ref="E2532">IF(ISBLANK(XLOOKUP(E$3,daily_items,XLOOKUP($C2532,daily_dates,big_daily_table))),NA(),XLOOKUP(E$3,daily_items,XLOOKUP($C2532,daily_dates,big_daily_table)))</f>
        <v>#N/A</v>
      </c>
    </row>
    <row r="2533" ht="14.25" customHeight="1">
      <c r="B2533" s="7">
        <v>43438.0</v>
      </c>
      <c r="C2533" s="7">
        <f t="shared" si="1"/>
        <v>43436</v>
      </c>
      <c r="D2533" s="1" t="str">
        <f t="array" ref="D2533">IF(ISBLANK(XLOOKUP(D$3,daily_items,XLOOKUP($C2533,daily_dates,big_daily_table))),NA(),XLOOKUP(D$3,daily_items,XLOOKUP($C2533,daily_dates,big_daily_table)))</f>
        <v>#N/A</v>
      </c>
      <c r="E2533" s="1" t="str">
        <f t="array" ref="E2533">IF(ISBLANK(XLOOKUP(E$3,daily_items,XLOOKUP($C2533,daily_dates,big_daily_table))),NA(),XLOOKUP(E$3,daily_items,XLOOKUP($C2533,daily_dates,big_daily_table)))</f>
        <v>#N/A</v>
      </c>
    </row>
    <row r="2534" ht="14.25" customHeight="1">
      <c r="B2534" s="7">
        <v>43439.0</v>
      </c>
      <c r="C2534" s="7">
        <f t="shared" si="1"/>
        <v>43436</v>
      </c>
      <c r="D2534" s="1" t="str">
        <f t="array" ref="D2534">IF(ISBLANK(XLOOKUP(D$3,daily_items,XLOOKUP($C2534,daily_dates,big_daily_table))),NA(),XLOOKUP(D$3,daily_items,XLOOKUP($C2534,daily_dates,big_daily_table)))</f>
        <v>#N/A</v>
      </c>
      <c r="E2534" s="1" t="str">
        <f t="array" ref="E2534">IF(ISBLANK(XLOOKUP(E$3,daily_items,XLOOKUP($C2534,daily_dates,big_daily_table))),NA(),XLOOKUP(E$3,daily_items,XLOOKUP($C2534,daily_dates,big_daily_table)))</f>
        <v>#N/A</v>
      </c>
    </row>
    <row r="2535" ht="14.25" customHeight="1">
      <c r="B2535" s="7">
        <v>43440.0</v>
      </c>
      <c r="C2535" s="7">
        <f t="shared" si="1"/>
        <v>43436</v>
      </c>
      <c r="D2535" s="1" t="str">
        <f t="array" ref="D2535">IF(ISBLANK(XLOOKUP(D$3,daily_items,XLOOKUP($C2535,daily_dates,big_daily_table))),NA(),XLOOKUP(D$3,daily_items,XLOOKUP($C2535,daily_dates,big_daily_table)))</f>
        <v>#N/A</v>
      </c>
      <c r="E2535" s="1" t="str">
        <f t="array" ref="E2535">IF(ISBLANK(XLOOKUP(E$3,daily_items,XLOOKUP($C2535,daily_dates,big_daily_table))),NA(),XLOOKUP(E$3,daily_items,XLOOKUP($C2535,daily_dates,big_daily_table)))</f>
        <v>#N/A</v>
      </c>
    </row>
    <row r="2536" ht="14.25" customHeight="1">
      <c r="B2536" s="7">
        <v>43441.0</v>
      </c>
      <c r="C2536" s="7">
        <f t="shared" si="1"/>
        <v>43436</v>
      </c>
      <c r="D2536" s="1" t="str">
        <f t="array" ref="D2536">IF(ISBLANK(XLOOKUP(D$3,daily_items,XLOOKUP($C2536,daily_dates,big_daily_table))),NA(),XLOOKUP(D$3,daily_items,XLOOKUP($C2536,daily_dates,big_daily_table)))</f>
        <v>#N/A</v>
      </c>
      <c r="E2536" s="1" t="str">
        <f t="array" ref="E2536">IF(ISBLANK(XLOOKUP(E$3,daily_items,XLOOKUP($C2536,daily_dates,big_daily_table))),NA(),XLOOKUP(E$3,daily_items,XLOOKUP($C2536,daily_dates,big_daily_table)))</f>
        <v>#N/A</v>
      </c>
    </row>
    <row r="2537" ht="14.25" customHeight="1">
      <c r="B2537" s="7">
        <v>43442.0</v>
      </c>
      <c r="C2537" s="7">
        <f t="shared" si="1"/>
        <v>43436</v>
      </c>
      <c r="D2537" s="1" t="str">
        <f t="array" ref="D2537">IF(ISBLANK(XLOOKUP(D$3,daily_items,XLOOKUP($C2537,daily_dates,big_daily_table))),NA(),XLOOKUP(D$3,daily_items,XLOOKUP($C2537,daily_dates,big_daily_table)))</f>
        <v>#N/A</v>
      </c>
      <c r="E2537" s="1" t="str">
        <f t="array" ref="E2537">IF(ISBLANK(XLOOKUP(E$3,daily_items,XLOOKUP($C2537,daily_dates,big_daily_table))),NA(),XLOOKUP(E$3,daily_items,XLOOKUP($C2537,daily_dates,big_daily_table)))</f>
        <v>#N/A</v>
      </c>
    </row>
    <row r="2538" ht="14.25" customHeight="1">
      <c r="B2538" s="7">
        <v>43443.0</v>
      </c>
      <c r="C2538" s="7">
        <f t="shared" si="1"/>
        <v>43443</v>
      </c>
      <c r="D2538" s="1" t="str">
        <f t="array" ref="D2538">IF(ISBLANK(XLOOKUP(D$3,daily_items,XLOOKUP($C2538,daily_dates,big_daily_table))),NA(),XLOOKUP(D$3,daily_items,XLOOKUP($C2538,daily_dates,big_daily_table)))</f>
        <v>#N/A</v>
      </c>
      <c r="E2538" s="1" t="str">
        <f t="array" ref="E2538">IF(ISBLANK(XLOOKUP(E$3,daily_items,XLOOKUP($C2538,daily_dates,big_daily_table))),NA(),XLOOKUP(E$3,daily_items,XLOOKUP($C2538,daily_dates,big_daily_table)))</f>
        <v>#N/A</v>
      </c>
    </row>
    <row r="2539" ht="14.25" customHeight="1">
      <c r="B2539" s="7">
        <v>43444.0</v>
      </c>
      <c r="C2539" s="7">
        <f t="shared" si="1"/>
        <v>43443</v>
      </c>
      <c r="D2539" s="1" t="str">
        <f t="array" ref="D2539">IF(ISBLANK(XLOOKUP(D$3,daily_items,XLOOKUP($C2539,daily_dates,big_daily_table))),NA(),XLOOKUP(D$3,daily_items,XLOOKUP($C2539,daily_dates,big_daily_table)))</f>
        <v>#N/A</v>
      </c>
      <c r="E2539" s="1" t="str">
        <f t="array" ref="E2539">IF(ISBLANK(XLOOKUP(E$3,daily_items,XLOOKUP($C2539,daily_dates,big_daily_table))),NA(),XLOOKUP(E$3,daily_items,XLOOKUP($C2539,daily_dates,big_daily_table)))</f>
        <v>#N/A</v>
      </c>
    </row>
    <row r="2540" ht="14.25" customHeight="1">
      <c r="B2540" s="7">
        <v>43445.0</v>
      </c>
      <c r="C2540" s="7">
        <f t="shared" si="1"/>
        <v>43443</v>
      </c>
      <c r="D2540" s="1" t="str">
        <f t="array" ref="D2540">IF(ISBLANK(XLOOKUP(D$3,daily_items,XLOOKUP($C2540,daily_dates,big_daily_table))),NA(),XLOOKUP(D$3,daily_items,XLOOKUP($C2540,daily_dates,big_daily_table)))</f>
        <v>#N/A</v>
      </c>
      <c r="E2540" s="1" t="str">
        <f t="array" ref="E2540">IF(ISBLANK(XLOOKUP(E$3,daily_items,XLOOKUP($C2540,daily_dates,big_daily_table))),NA(),XLOOKUP(E$3,daily_items,XLOOKUP($C2540,daily_dates,big_daily_table)))</f>
        <v>#N/A</v>
      </c>
    </row>
    <row r="2541" ht="14.25" customHeight="1">
      <c r="B2541" s="7">
        <v>43446.0</v>
      </c>
      <c r="C2541" s="7">
        <f t="shared" si="1"/>
        <v>43443</v>
      </c>
      <c r="D2541" s="1" t="str">
        <f t="array" ref="D2541">IF(ISBLANK(XLOOKUP(D$3,daily_items,XLOOKUP($C2541,daily_dates,big_daily_table))),NA(),XLOOKUP(D$3,daily_items,XLOOKUP($C2541,daily_dates,big_daily_table)))</f>
        <v>#N/A</v>
      </c>
      <c r="E2541" s="1" t="str">
        <f t="array" ref="E2541">IF(ISBLANK(XLOOKUP(E$3,daily_items,XLOOKUP($C2541,daily_dates,big_daily_table))),NA(),XLOOKUP(E$3,daily_items,XLOOKUP($C2541,daily_dates,big_daily_table)))</f>
        <v>#N/A</v>
      </c>
    </row>
    <row r="2542" ht="14.25" customHeight="1">
      <c r="B2542" s="7">
        <v>43447.0</v>
      </c>
      <c r="C2542" s="7">
        <f t="shared" si="1"/>
        <v>43443</v>
      </c>
      <c r="D2542" s="1" t="str">
        <f t="array" ref="D2542">IF(ISBLANK(XLOOKUP(D$3,daily_items,XLOOKUP($C2542,daily_dates,big_daily_table))),NA(),XLOOKUP(D$3,daily_items,XLOOKUP($C2542,daily_dates,big_daily_table)))</f>
        <v>#N/A</v>
      </c>
      <c r="E2542" s="1" t="str">
        <f t="array" ref="E2542">IF(ISBLANK(XLOOKUP(E$3,daily_items,XLOOKUP($C2542,daily_dates,big_daily_table))),NA(),XLOOKUP(E$3,daily_items,XLOOKUP($C2542,daily_dates,big_daily_table)))</f>
        <v>#N/A</v>
      </c>
    </row>
    <row r="2543" ht="14.25" customHeight="1">
      <c r="B2543" s="7">
        <v>43448.0</v>
      </c>
      <c r="C2543" s="7">
        <f t="shared" si="1"/>
        <v>43443</v>
      </c>
      <c r="D2543" s="1" t="str">
        <f t="array" ref="D2543">IF(ISBLANK(XLOOKUP(D$3,daily_items,XLOOKUP($C2543,daily_dates,big_daily_table))),NA(),XLOOKUP(D$3,daily_items,XLOOKUP($C2543,daily_dates,big_daily_table)))</f>
        <v>#N/A</v>
      </c>
      <c r="E2543" s="1" t="str">
        <f t="array" ref="E2543">IF(ISBLANK(XLOOKUP(E$3,daily_items,XLOOKUP($C2543,daily_dates,big_daily_table))),NA(),XLOOKUP(E$3,daily_items,XLOOKUP($C2543,daily_dates,big_daily_table)))</f>
        <v>#N/A</v>
      </c>
    </row>
    <row r="2544" ht="14.25" customHeight="1">
      <c r="B2544" s="7">
        <v>43449.0</v>
      </c>
      <c r="C2544" s="7">
        <f t="shared" si="1"/>
        <v>43443</v>
      </c>
      <c r="D2544" s="1" t="str">
        <f t="array" ref="D2544">IF(ISBLANK(XLOOKUP(D$3,daily_items,XLOOKUP($C2544,daily_dates,big_daily_table))),NA(),XLOOKUP(D$3,daily_items,XLOOKUP($C2544,daily_dates,big_daily_table)))</f>
        <v>#N/A</v>
      </c>
      <c r="E2544" s="1" t="str">
        <f t="array" ref="E2544">IF(ISBLANK(XLOOKUP(E$3,daily_items,XLOOKUP($C2544,daily_dates,big_daily_table))),NA(),XLOOKUP(E$3,daily_items,XLOOKUP($C2544,daily_dates,big_daily_table)))</f>
        <v>#N/A</v>
      </c>
    </row>
    <row r="2545" ht="14.25" customHeight="1">
      <c r="B2545" s="7">
        <v>43450.0</v>
      </c>
      <c r="C2545" s="7">
        <f t="shared" si="1"/>
        <v>43450</v>
      </c>
      <c r="D2545" s="1" t="str">
        <f t="array" ref="D2545">IF(ISBLANK(XLOOKUP(D$3,daily_items,XLOOKUP($C2545,daily_dates,big_daily_table))),NA(),XLOOKUP(D$3,daily_items,XLOOKUP($C2545,daily_dates,big_daily_table)))</f>
        <v>#N/A</v>
      </c>
      <c r="E2545" s="1" t="str">
        <f t="array" ref="E2545">IF(ISBLANK(XLOOKUP(E$3,daily_items,XLOOKUP($C2545,daily_dates,big_daily_table))),NA(),XLOOKUP(E$3,daily_items,XLOOKUP($C2545,daily_dates,big_daily_table)))</f>
        <v>#N/A</v>
      </c>
    </row>
    <row r="2546" ht="14.25" customHeight="1">
      <c r="B2546" s="7">
        <v>43451.0</v>
      </c>
      <c r="C2546" s="7">
        <f t="shared" si="1"/>
        <v>43450</v>
      </c>
      <c r="D2546" s="1" t="str">
        <f t="array" ref="D2546">IF(ISBLANK(XLOOKUP(D$3,daily_items,XLOOKUP($C2546,daily_dates,big_daily_table))),NA(),XLOOKUP(D$3,daily_items,XLOOKUP($C2546,daily_dates,big_daily_table)))</f>
        <v>#N/A</v>
      </c>
      <c r="E2546" s="1" t="str">
        <f t="array" ref="E2546">IF(ISBLANK(XLOOKUP(E$3,daily_items,XLOOKUP($C2546,daily_dates,big_daily_table))),NA(),XLOOKUP(E$3,daily_items,XLOOKUP($C2546,daily_dates,big_daily_table)))</f>
        <v>#N/A</v>
      </c>
    </row>
    <row r="2547" ht="14.25" customHeight="1">
      <c r="B2547" s="7">
        <v>43452.0</v>
      </c>
      <c r="C2547" s="7">
        <f t="shared" si="1"/>
        <v>43450</v>
      </c>
      <c r="D2547" s="1" t="str">
        <f t="array" ref="D2547">IF(ISBLANK(XLOOKUP(D$3,daily_items,XLOOKUP($C2547,daily_dates,big_daily_table))),NA(),XLOOKUP(D$3,daily_items,XLOOKUP($C2547,daily_dates,big_daily_table)))</f>
        <v>#N/A</v>
      </c>
      <c r="E2547" s="1" t="str">
        <f t="array" ref="E2547">IF(ISBLANK(XLOOKUP(E$3,daily_items,XLOOKUP($C2547,daily_dates,big_daily_table))),NA(),XLOOKUP(E$3,daily_items,XLOOKUP($C2547,daily_dates,big_daily_table)))</f>
        <v>#N/A</v>
      </c>
    </row>
    <row r="2548" ht="14.25" customHeight="1">
      <c r="B2548" s="7">
        <v>43453.0</v>
      </c>
      <c r="C2548" s="7">
        <f t="shared" si="1"/>
        <v>43450</v>
      </c>
      <c r="D2548" s="1" t="str">
        <f t="array" ref="D2548">IF(ISBLANK(XLOOKUP(D$3,daily_items,XLOOKUP($C2548,daily_dates,big_daily_table))),NA(),XLOOKUP(D$3,daily_items,XLOOKUP($C2548,daily_dates,big_daily_table)))</f>
        <v>#N/A</v>
      </c>
      <c r="E2548" s="1" t="str">
        <f t="array" ref="E2548">IF(ISBLANK(XLOOKUP(E$3,daily_items,XLOOKUP($C2548,daily_dates,big_daily_table))),NA(),XLOOKUP(E$3,daily_items,XLOOKUP($C2548,daily_dates,big_daily_table)))</f>
        <v>#N/A</v>
      </c>
    </row>
    <row r="2549" ht="14.25" customHeight="1">
      <c r="B2549" s="7">
        <v>43454.0</v>
      </c>
      <c r="C2549" s="7">
        <f t="shared" si="1"/>
        <v>43450</v>
      </c>
      <c r="D2549" s="1" t="str">
        <f t="array" ref="D2549">IF(ISBLANK(XLOOKUP(D$3,daily_items,XLOOKUP($C2549,daily_dates,big_daily_table))),NA(),XLOOKUP(D$3,daily_items,XLOOKUP($C2549,daily_dates,big_daily_table)))</f>
        <v>#N/A</v>
      </c>
      <c r="E2549" s="1" t="str">
        <f t="array" ref="E2549">IF(ISBLANK(XLOOKUP(E$3,daily_items,XLOOKUP($C2549,daily_dates,big_daily_table))),NA(),XLOOKUP(E$3,daily_items,XLOOKUP($C2549,daily_dates,big_daily_table)))</f>
        <v>#N/A</v>
      </c>
    </row>
    <row r="2550" ht="14.25" customHeight="1">
      <c r="B2550" s="7">
        <v>43455.0</v>
      </c>
      <c r="C2550" s="7">
        <f t="shared" si="1"/>
        <v>43450</v>
      </c>
      <c r="D2550" s="1" t="str">
        <f t="array" ref="D2550">IF(ISBLANK(XLOOKUP(D$3,daily_items,XLOOKUP($C2550,daily_dates,big_daily_table))),NA(),XLOOKUP(D$3,daily_items,XLOOKUP($C2550,daily_dates,big_daily_table)))</f>
        <v>#N/A</v>
      </c>
      <c r="E2550" s="1" t="str">
        <f t="array" ref="E2550">IF(ISBLANK(XLOOKUP(E$3,daily_items,XLOOKUP($C2550,daily_dates,big_daily_table))),NA(),XLOOKUP(E$3,daily_items,XLOOKUP($C2550,daily_dates,big_daily_table)))</f>
        <v>#N/A</v>
      </c>
    </row>
    <row r="2551" ht="14.25" customHeight="1">
      <c r="B2551" s="7">
        <v>43456.0</v>
      </c>
      <c r="C2551" s="7">
        <f t="shared" si="1"/>
        <v>43450</v>
      </c>
      <c r="D2551" s="1" t="str">
        <f t="array" ref="D2551">IF(ISBLANK(XLOOKUP(D$3,daily_items,XLOOKUP($C2551,daily_dates,big_daily_table))),NA(),XLOOKUP(D$3,daily_items,XLOOKUP($C2551,daily_dates,big_daily_table)))</f>
        <v>#N/A</v>
      </c>
      <c r="E2551" s="1" t="str">
        <f t="array" ref="E2551">IF(ISBLANK(XLOOKUP(E$3,daily_items,XLOOKUP($C2551,daily_dates,big_daily_table))),NA(),XLOOKUP(E$3,daily_items,XLOOKUP($C2551,daily_dates,big_daily_table)))</f>
        <v>#N/A</v>
      </c>
    </row>
    <row r="2552" ht="14.25" customHeight="1">
      <c r="B2552" s="7">
        <v>43457.0</v>
      </c>
      <c r="C2552" s="7">
        <f t="shared" si="1"/>
        <v>43457</v>
      </c>
      <c r="D2552" s="1" t="str">
        <f t="array" ref="D2552">IF(ISBLANK(XLOOKUP(D$3,daily_items,XLOOKUP($C2552,daily_dates,big_daily_table))),NA(),XLOOKUP(D$3,daily_items,XLOOKUP($C2552,daily_dates,big_daily_table)))</f>
        <v>#N/A</v>
      </c>
      <c r="E2552" s="1" t="str">
        <f t="array" ref="E2552">IF(ISBLANK(XLOOKUP(E$3,daily_items,XLOOKUP($C2552,daily_dates,big_daily_table))),NA(),XLOOKUP(E$3,daily_items,XLOOKUP($C2552,daily_dates,big_daily_table)))</f>
        <v>#N/A</v>
      </c>
    </row>
    <row r="2553" ht="14.25" customHeight="1">
      <c r="B2553" s="7">
        <v>43458.0</v>
      </c>
      <c r="C2553" s="7">
        <f t="shared" si="1"/>
        <v>43457</v>
      </c>
      <c r="D2553" s="1" t="str">
        <f t="array" ref="D2553">IF(ISBLANK(XLOOKUP(D$3,daily_items,XLOOKUP($C2553,daily_dates,big_daily_table))),NA(),XLOOKUP(D$3,daily_items,XLOOKUP($C2553,daily_dates,big_daily_table)))</f>
        <v>#N/A</v>
      </c>
      <c r="E2553" s="1" t="str">
        <f t="array" ref="E2553">IF(ISBLANK(XLOOKUP(E$3,daily_items,XLOOKUP($C2553,daily_dates,big_daily_table))),NA(),XLOOKUP(E$3,daily_items,XLOOKUP($C2553,daily_dates,big_daily_table)))</f>
        <v>#N/A</v>
      </c>
    </row>
    <row r="2554" ht="14.25" customHeight="1">
      <c r="B2554" s="7">
        <v>43459.0</v>
      </c>
      <c r="C2554" s="7">
        <f t="shared" si="1"/>
        <v>43457</v>
      </c>
      <c r="D2554" s="1" t="str">
        <f t="array" ref="D2554">IF(ISBLANK(XLOOKUP(D$3,daily_items,XLOOKUP($C2554,daily_dates,big_daily_table))),NA(),XLOOKUP(D$3,daily_items,XLOOKUP($C2554,daily_dates,big_daily_table)))</f>
        <v>#N/A</v>
      </c>
      <c r="E2554" s="1" t="str">
        <f t="array" ref="E2554">IF(ISBLANK(XLOOKUP(E$3,daily_items,XLOOKUP($C2554,daily_dates,big_daily_table))),NA(),XLOOKUP(E$3,daily_items,XLOOKUP($C2554,daily_dates,big_daily_table)))</f>
        <v>#N/A</v>
      </c>
    </row>
    <row r="2555" ht="14.25" customHeight="1">
      <c r="B2555" s="7">
        <v>43460.0</v>
      </c>
      <c r="C2555" s="7">
        <f t="shared" si="1"/>
        <v>43457</v>
      </c>
      <c r="D2555" s="1" t="str">
        <f t="array" ref="D2555">IF(ISBLANK(XLOOKUP(D$3,daily_items,XLOOKUP($C2555,daily_dates,big_daily_table))),NA(),XLOOKUP(D$3,daily_items,XLOOKUP($C2555,daily_dates,big_daily_table)))</f>
        <v>#N/A</v>
      </c>
      <c r="E2555" s="1" t="str">
        <f t="array" ref="E2555">IF(ISBLANK(XLOOKUP(E$3,daily_items,XLOOKUP($C2555,daily_dates,big_daily_table))),NA(),XLOOKUP(E$3,daily_items,XLOOKUP($C2555,daily_dates,big_daily_table)))</f>
        <v>#N/A</v>
      </c>
    </row>
    <row r="2556" ht="14.25" customHeight="1">
      <c r="B2556" s="7">
        <v>43461.0</v>
      </c>
      <c r="C2556" s="7">
        <f t="shared" si="1"/>
        <v>43457</v>
      </c>
      <c r="D2556" s="1" t="str">
        <f t="array" ref="D2556">IF(ISBLANK(XLOOKUP(D$3,daily_items,XLOOKUP($C2556,daily_dates,big_daily_table))),NA(),XLOOKUP(D$3,daily_items,XLOOKUP($C2556,daily_dates,big_daily_table)))</f>
        <v>#N/A</v>
      </c>
      <c r="E2556" s="1" t="str">
        <f t="array" ref="E2556">IF(ISBLANK(XLOOKUP(E$3,daily_items,XLOOKUP($C2556,daily_dates,big_daily_table))),NA(),XLOOKUP(E$3,daily_items,XLOOKUP($C2556,daily_dates,big_daily_table)))</f>
        <v>#N/A</v>
      </c>
    </row>
    <row r="2557" ht="14.25" customHeight="1">
      <c r="B2557" s="7">
        <v>43462.0</v>
      </c>
      <c r="C2557" s="7">
        <f t="shared" si="1"/>
        <v>43457</v>
      </c>
      <c r="D2557" s="1" t="str">
        <f t="array" ref="D2557">IF(ISBLANK(XLOOKUP(D$3,daily_items,XLOOKUP($C2557,daily_dates,big_daily_table))),NA(),XLOOKUP(D$3,daily_items,XLOOKUP($C2557,daily_dates,big_daily_table)))</f>
        <v>#N/A</v>
      </c>
      <c r="E2557" s="1" t="str">
        <f t="array" ref="E2557">IF(ISBLANK(XLOOKUP(E$3,daily_items,XLOOKUP($C2557,daily_dates,big_daily_table))),NA(),XLOOKUP(E$3,daily_items,XLOOKUP($C2557,daily_dates,big_daily_table)))</f>
        <v>#N/A</v>
      </c>
    </row>
    <row r="2558" ht="14.25" customHeight="1">
      <c r="B2558" s="7">
        <v>43463.0</v>
      </c>
      <c r="C2558" s="7">
        <f t="shared" si="1"/>
        <v>43457</v>
      </c>
      <c r="D2558" s="1" t="str">
        <f t="array" ref="D2558">IF(ISBLANK(XLOOKUP(D$3,daily_items,XLOOKUP($C2558,daily_dates,big_daily_table))),NA(),XLOOKUP(D$3,daily_items,XLOOKUP($C2558,daily_dates,big_daily_table)))</f>
        <v>#N/A</v>
      </c>
      <c r="E2558" s="1" t="str">
        <f t="array" ref="E2558">IF(ISBLANK(XLOOKUP(E$3,daily_items,XLOOKUP($C2558,daily_dates,big_daily_table))),NA(),XLOOKUP(E$3,daily_items,XLOOKUP($C2558,daily_dates,big_daily_table)))</f>
        <v>#N/A</v>
      </c>
    </row>
    <row r="2559" ht="14.25" customHeight="1">
      <c r="B2559" s="7">
        <v>43464.0</v>
      </c>
      <c r="C2559" s="7">
        <f t="shared" si="1"/>
        <v>43464</v>
      </c>
      <c r="D2559" s="1" t="str">
        <f t="array" ref="D2559">IF(ISBLANK(XLOOKUP(D$3,daily_items,XLOOKUP($C2559,daily_dates,big_daily_table))),NA(),XLOOKUP(D$3,daily_items,XLOOKUP($C2559,daily_dates,big_daily_table)))</f>
        <v>#N/A</v>
      </c>
      <c r="E2559" s="1" t="str">
        <f t="array" ref="E2559">IF(ISBLANK(XLOOKUP(E$3,daily_items,XLOOKUP($C2559,daily_dates,big_daily_table))),NA(),XLOOKUP(E$3,daily_items,XLOOKUP($C2559,daily_dates,big_daily_table)))</f>
        <v>#N/A</v>
      </c>
    </row>
    <row r="2560" ht="14.25" customHeight="1">
      <c r="B2560" s="7">
        <v>43465.0</v>
      </c>
      <c r="C2560" s="7">
        <f t="shared" si="1"/>
        <v>43464</v>
      </c>
      <c r="D2560" s="1" t="str">
        <f t="array" ref="D2560">IF(ISBLANK(XLOOKUP(D$3,daily_items,XLOOKUP($C2560,daily_dates,big_daily_table))),NA(),XLOOKUP(D$3,daily_items,XLOOKUP($C2560,daily_dates,big_daily_table)))</f>
        <v>#N/A</v>
      </c>
      <c r="E2560" s="1" t="str">
        <f t="array" ref="E2560">IF(ISBLANK(XLOOKUP(E$3,daily_items,XLOOKUP($C2560,daily_dates,big_daily_table))),NA(),XLOOKUP(E$3,daily_items,XLOOKUP($C2560,daily_dates,big_daily_table)))</f>
        <v>#N/A</v>
      </c>
    </row>
    <row r="2561" ht="14.25" customHeight="1">
      <c r="B2561" s="7">
        <v>43466.0</v>
      </c>
      <c r="C2561" s="7">
        <f t="shared" si="1"/>
        <v>43464</v>
      </c>
      <c r="D2561" s="1" t="str">
        <f t="array" ref="D2561">IF(ISBLANK(XLOOKUP(D$3,daily_items,XLOOKUP($C2561,daily_dates,big_daily_table))),NA(),XLOOKUP(D$3,daily_items,XLOOKUP($C2561,daily_dates,big_daily_table)))</f>
        <v>#N/A</v>
      </c>
      <c r="E2561" s="1" t="str">
        <f t="array" ref="E2561">IF(ISBLANK(XLOOKUP(E$3,daily_items,XLOOKUP($C2561,daily_dates,big_daily_table))),NA(),XLOOKUP(E$3,daily_items,XLOOKUP($C2561,daily_dates,big_daily_table)))</f>
        <v>#N/A</v>
      </c>
    </row>
    <row r="2562" ht="14.25" customHeight="1">
      <c r="B2562" s="7">
        <v>43467.0</v>
      </c>
      <c r="C2562" s="7">
        <f t="shared" si="1"/>
        <v>43464</v>
      </c>
      <c r="D2562" s="1" t="str">
        <f t="array" ref="D2562">IF(ISBLANK(XLOOKUP(D$3,daily_items,XLOOKUP($C2562,daily_dates,big_daily_table))),NA(),XLOOKUP(D$3,daily_items,XLOOKUP($C2562,daily_dates,big_daily_table)))</f>
        <v>#N/A</v>
      </c>
      <c r="E2562" s="1" t="str">
        <f t="array" ref="E2562">IF(ISBLANK(XLOOKUP(E$3,daily_items,XLOOKUP($C2562,daily_dates,big_daily_table))),NA(),XLOOKUP(E$3,daily_items,XLOOKUP($C2562,daily_dates,big_daily_table)))</f>
        <v>#N/A</v>
      </c>
    </row>
    <row r="2563" ht="14.25" customHeight="1">
      <c r="B2563" s="7">
        <v>43468.0</v>
      </c>
      <c r="C2563" s="7">
        <f t="shared" si="1"/>
        <v>43464</v>
      </c>
      <c r="D2563" s="1" t="str">
        <f t="array" ref="D2563">IF(ISBLANK(XLOOKUP(D$3,daily_items,XLOOKUP($C2563,daily_dates,big_daily_table))),NA(),XLOOKUP(D$3,daily_items,XLOOKUP($C2563,daily_dates,big_daily_table)))</f>
        <v>#N/A</v>
      </c>
      <c r="E2563" s="1" t="str">
        <f t="array" ref="E2563">IF(ISBLANK(XLOOKUP(E$3,daily_items,XLOOKUP($C2563,daily_dates,big_daily_table))),NA(),XLOOKUP(E$3,daily_items,XLOOKUP($C2563,daily_dates,big_daily_table)))</f>
        <v>#N/A</v>
      </c>
    </row>
    <row r="2564" ht="14.25" customHeight="1">
      <c r="B2564" s="7">
        <v>43469.0</v>
      </c>
      <c r="C2564" s="7">
        <f t="shared" si="1"/>
        <v>43464</v>
      </c>
      <c r="D2564" s="1" t="str">
        <f t="array" ref="D2564">IF(ISBLANK(XLOOKUP(D$3,daily_items,XLOOKUP($C2564,daily_dates,big_daily_table))),NA(),XLOOKUP(D$3,daily_items,XLOOKUP($C2564,daily_dates,big_daily_table)))</f>
        <v>#N/A</v>
      </c>
      <c r="E2564" s="1" t="str">
        <f t="array" ref="E2564">IF(ISBLANK(XLOOKUP(E$3,daily_items,XLOOKUP($C2564,daily_dates,big_daily_table))),NA(),XLOOKUP(E$3,daily_items,XLOOKUP($C2564,daily_dates,big_daily_table)))</f>
        <v>#N/A</v>
      </c>
    </row>
    <row r="2565" ht="14.25" customHeight="1">
      <c r="B2565" s="7">
        <v>43470.0</v>
      </c>
      <c r="C2565" s="7">
        <f t="shared" si="1"/>
        <v>43464</v>
      </c>
      <c r="D2565" s="1" t="str">
        <f t="array" ref="D2565">IF(ISBLANK(XLOOKUP(D$3,daily_items,XLOOKUP($C2565,daily_dates,big_daily_table))),NA(),XLOOKUP(D$3,daily_items,XLOOKUP($C2565,daily_dates,big_daily_table)))</f>
        <v>#N/A</v>
      </c>
      <c r="E2565" s="1" t="str">
        <f t="array" ref="E2565">IF(ISBLANK(XLOOKUP(E$3,daily_items,XLOOKUP($C2565,daily_dates,big_daily_table))),NA(),XLOOKUP(E$3,daily_items,XLOOKUP($C2565,daily_dates,big_daily_table)))</f>
        <v>#N/A</v>
      </c>
    </row>
    <row r="2566" ht="14.25" customHeight="1">
      <c r="B2566" s="7">
        <v>43471.0</v>
      </c>
      <c r="C2566" s="7">
        <f t="shared" si="1"/>
        <v>43471</v>
      </c>
      <c r="D2566" s="1" t="str">
        <f t="array" ref="D2566">IF(ISBLANK(XLOOKUP(D$3,daily_items,XLOOKUP($C2566,daily_dates,big_daily_table))),NA(),XLOOKUP(D$3,daily_items,XLOOKUP($C2566,daily_dates,big_daily_table)))</f>
        <v>#N/A</v>
      </c>
      <c r="E2566" s="1" t="str">
        <f t="array" ref="E2566">IF(ISBLANK(XLOOKUP(E$3,daily_items,XLOOKUP($C2566,daily_dates,big_daily_table))),NA(),XLOOKUP(E$3,daily_items,XLOOKUP($C2566,daily_dates,big_daily_table)))</f>
        <v>#N/A</v>
      </c>
    </row>
    <row r="2567" ht="14.25" customHeight="1">
      <c r="B2567" s="7">
        <v>43472.0</v>
      </c>
      <c r="C2567" s="7">
        <f t="shared" si="1"/>
        <v>43471</v>
      </c>
      <c r="D2567" s="1" t="str">
        <f t="array" ref="D2567">IF(ISBLANK(XLOOKUP(D$3,daily_items,XLOOKUP($C2567,daily_dates,big_daily_table))),NA(),XLOOKUP(D$3,daily_items,XLOOKUP($C2567,daily_dates,big_daily_table)))</f>
        <v>#N/A</v>
      </c>
      <c r="E2567" s="1" t="str">
        <f t="array" ref="E2567">IF(ISBLANK(XLOOKUP(E$3,daily_items,XLOOKUP($C2567,daily_dates,big_daily_table))),NA(),XLOOKUP(E$3,daily_items,XLOOKUP($C2567,daily_dates,big_daily_table)))</f>
        <v>#N/A</v>
      </c>
    </row>
    <row r="2568" ht="14.25" customHeight="1">
      <c r="B2568" s="7">
        <v>43473.0</v>
      </c>
      <c r="C2568" s="7">
        <f t="shared" si="1"/>
        <v>43471</v>
      </c>
      <c r="D2568" s="1" t="str">
        <f t="array" ref="D2568">IF(ISBLANK(XLOOKUP(D$3,daily_items,XLOOKUP($C2568,daily_dates,big_daily_table))),NA(),XLOOKUP(D$3,daily_items,XLOOKUP($C2568,daily_dates,big_daily_table)))</f>
        <v>#N/A</v>
      </c>
      <c r="E2568" s="1" t="str">
        <f t="array" ref="E2568">IF(ISBLANK(XLOOKUP(E$3,daily_items,XLOOKUP($C2568,daily_dates,big_daily_table))),NA(),XLOOKUP(E$3,daily_items,XLOOKUP($C2568,daily_dates,big_daily_table)))</f>
        <v>#N/A</v>
      </c>
    </row>
    <row r="2569" ht="14.25" customHeight="1">
      <c r="B2569" s="7">
        <v>43474.0</v>
      </c>
      <c r="C2569" s="7">
        <f t="shared" si="1"/>
        <v>43471</v>
      </c>
      <c r="D2569" s="1" t="str">
        <f t="array" ref="D2569">IF(ISBLANK(XLOOKUP(D$3,daily_items,XLOOKUP($C2569,daily_dates,big_daily_table))),NA(),XLOOKUP(D$3,daily_items,XLOOKUP($C2569,daily_dates,big_daily_table)))</f>
        <v>#N/A</v>
      </c>
      <c r="E2569" s="1" t="str">
        <f t="array" ref="E2569">IF(ISBLANK(XLOOKUP(E$3,daily_items,XLOOKUP($C2569,daily_dates,big_daily_table))),NA(),XLOOKUP(E$3,daily_items,XLOOKUP($C2569,daily_dates,big_daily_table)))</f>
        <v>#N/A</v>
      </c>
    </row>
    <row r="2570" ht="14.25" customHeight="1">
      <c r="B2570" s="7">
        <v>43475.0</v>
      </c>
      <c r="C2570" s="7">
        <f t="shared" si="1"/>
        <v>43471</v>
      </c>
      <c r="D2570" s="1" t="str">
        <f t="array" ref="D2570">IF(ISBLANK(XLOOKUP(D$3,daily_items,XLOOKUP($C2570,daily_dates,big_daily_table))),NA(),XLOOKUP(D$3,daily_items,XLOOKUP($C2570,daily_dates,big_daily_table)))</f>
        <v>#N/A</v>
      </c>
      <c r="E2570" s="1" t="str">
        <f t="array" ref="E2570">IF(ISBLANK(XLOOKUP(E$3,daily_items,XLOOKUP($C2570,daily_dates,big_daily_table))),NA(),XLOOKUP(E$3,daily_items,XLOOKUP($C2570,daily_dates,big_daily_table)))</f>
        <v>#N/A</v>
      </c>
    </row>
    <row r="2571" ht="14.25" customHeight="1">
      <c r="B2571" s="7">
        <v>43476.0</v>
      </c>
      <c r="C2571" s="7">
        <f t="shared" si="1"/>
        <v>43471</v>
      </c>
      <c r="D2571" s="1" t="str">
        <f t="array" ref="D2571">IF(ISBLANK(XLOOKUP(D$3,daily_items,XLOOKUP($C2571,daily_dates,big_daily_table))),NA(),XLOOKUP(D$3,daily_items,XLOOKUP($C2571,daily_dates,big_daily_table)))</f>
        <v>#N/A</v>
      </c>
      <c r="E2571" s="1" t="str">
        <f t="array" ref="E2571">IF(ISBLANK(XLOOKUP(E$3,daily_items,XLOOKUP($C2571,daily_dates,big_daily_table))),NA(),XLOOKUP(E$3,daily_items,XLOOKUP($C2571,daily_dates,big_daily_table)))</f>
        <v>#N/A</v>
      </c>
    </row>
    <row r="2572" ht="14.25" customHeight="1">
      <c r="B2572" s="7">
        <v>43477.0</v>
      </c>
      <c r="C2572" s="7">
        <f t="shared" si="1"/>
        <v>43471</v>
      </c>
      <c r="D2572" s="1" t="str">
        <f t="array" ref="D2572">IF(ISBLANK(XLOOKUP(D$3,daily_items,XLOOKUP($C2572,daily_dates,big_daily_table))),NA(),XLOOKUP(D$3,daily_items,XLOOKUP($C2572,daily_dates,big_daily_table)))</f>
        <v>#N/A</v>
      </c>
      <c r="E2572" s="1" t="str">
        <f t="array" ref="E2572">IF(ISBLANK(XLOOKUP(E$3,daily_items,XLOOKUP($C2572,daily_dates,big_daily_table))),NA(),XLOOKUP(E$3,daily_items,XLOOKUP($C2572,daily_dates,big_daily_table)))</f>
        <v>#N/A</v>
      </c>
    </row>
    <row r="2573" ht="14.25" customHeight="1">
      <c r="B2573" s="7">
        <v>43478.0</v>
      </c>
      <c r="C2573" s="7">
        <f t="shared" si="1"/>
        <v>43478</v>
      </c>
      <c r="D2573" s="1" t="str">
        <f t="array" ref="D2573">IF(ISBLANK(XLOOKUP(D$3,daily_items,XLOOKUP($C2573,daily_dates,big_daily_table))),NA(),XLOOKUP(D$3,daily_items,XLOOKUP($C2573,daily_dates,big_daily_table)))</f>
        <v>#N/A</v>
      </c>
      <c r="E2573" s="1" t="str">
        <f t="array" ref="E2573">IF(ISBLANK(XLOOKUP(E$3,daily_items,XLOOKUP($C2573,daily_dates,big_daily_table))),NA(),XLOOKUP(E$3,daily_items,XLOOKUP($C2573,daily_dates,big_daily_table)))</f>
        <v>#N/A</v>
      </c>
    </row>
    <row r="2574" ht="14.25" customHeight="1">
      <c r="B2574" s="7">
        <v>43479.0</v>
      </c>
      <c r="C2574" s="7">
        <f t="shared" si="1"/>
        <v>43478</v>
      </c>
      <c r="D2574" s="1" t="str">
        <f t="array" ref="D2574">IF(ISBLANK(XLOOKUP(D$3,daily_items,XLOOKUP($C2574,daily_dates,big_daily_table))),NA(),XLOOKUP(D$3,daily_items,XLOOKUP($C2574,daily_dates,big_daily_table)))</f>
        <v>#N/A</v>
      </c>
      <c r="E2574" s="1" t="str">
        <f t="array" ref="E2574">IF(ISBLANK(XLOOKUP(E$3,daily_items,XLOOKUP($C2574,daily_dates,big_daily_table))),NA(),XLOOKUP(E$3,daily_items,XLOOKUP($C2574,daily_dates,big_daily_table)))</f>
        <v>#N/A</v>
      </c>
    </row>
    <row r="2575" ht="14.25" customHeight="1">
      <c r="B2575" s="7">
        <v>43480.0</v>
      </c>
      <c r="C2575" s="7">
        <f t="shared" si="1"/>
        <v>43478</v>
      </c>
      <c r="D2575" s="1" t="str">
        <f t="array" ref="D2575">IF(ISBLANK(XLOOKUP(D$3,daily_items,XLOOKUP($C2575,daily_dates,big_daily_table))),NA(),XLOOKUP(D$3,daily_items,XLOOKUP($C2575,daily_dates,big_daily_table)))</f>
        <v>#N/A</v>
      </c>
      <c r="E2575" s="1" t="str">
        <f t="array" ref="E2575">IF(ISBLANK(XLOOKUP(E$3,daily_items,XLOOKUP($C2575,daily_dates,big_daily_table))),NA(),XLOOKUP(E$3,daily_items,XLOOKUP($C2575,daily_dates,big_daily_table)))</f>
        <v>#N/A</v>
      </c>
    </row>
    <row r="2576" ht="14.25" customHeight="1">
      <c r="B2576" s="7">
        <v>43481.0</v>
      </c>
      <c r="C2576" s="7">
        <f t="shared" si="1"/>
        <v>43478</v>
      </c>
      <c r="D2576" s="1" t="str">
        <f t="array" ref="D2576">IF(ISBLANK(XLOOKUP(D$3,daily_items,XLOOKUP($C2576,daily_dates,big_daily_table))),NA(),XLOOKUP(D$3,daily_items,XLOOKUP($C2576,daily_dates,big_daily_table)))</f>
        <v>#N/A</v>
      </c>
      <c r="E2576" s="1" t="str">
        <f t="array" ref="E2576">IF(ISBLANK(XLOOKUP(E$3,daily_items,XLOOKUP($C2576,daily_dates,big_daily_table))),NA(),XLOOKUP(E$3,daily_items,XLOOKUP($C2576,daily_dates,big_daily_table)))</f>
        <v>#N/A</v>
      </c>
    </row>
    <row r="2577" ht="14.25" customHeight="1">
      <c r="B2577" s="7">
        <v>43482.0</v>
      </c>
      <c r="C2577" s="7">
        <f t="shared" si="1"/>
        <v>43478</v>
      </c>
      <c r="D2577" s="1" t="str">
        <f t="array" ref="D2577">IF(ISBLANK(XLOOKUP(D$3,daily_items,XLOOKUP($C2577,daily_dates,big_daily_table))),NA(),XLOOKUP(D$3,daily_items,XLOOKUP($C2577,daily_dates,big_daily_table)))</f>
        <v>#N/A</v>
      </c>
      <c r="E2577" s="1" t="str">
        <f t="array" ref="E2577">IF(ISBLANK(XLOOKUP(E$3,daily_items,XLOOKUP($C2577,daily_dates,big_daily_table))),NA(),XLOOKUP(E$3,daily_items,XLOOKUP($C2577,daily_dates,big_daily_table)))</f>
        <v>#N/A</v>
      </c>
    </row>
    <row r="2578" ht="14.25" customHeight="1">
      <c r="B2578" s="7">
        <v>43483.0</v>
      </c>
      <c r="C2578" s="7">
        <f t="shared" si="1"/>
        <v>43478</v>
      </c>
      <c r="D2578" s="1" t="str">
        <f t="array" ref="D2578">IF(ISBLANK(XLOOKUP(D$3,daily_items,XLOOKUP($C2578,daily_dates,big_daily_table))),NA(),XLOOKUP(D$3,daily_items,XLOOKUP($C2578,daily_dates,big_daily_table)))</f>
        <v>#N/A</v>
      </c>
      <c r="E2578" s="1" t="str">
        <f t="array" ref="E2578">IF(ISBLANK(XLOOKUP(E$3,daily_items,XLOOKUP($C2578,daily_dates,big_daily_table))),NA(),XLOOKUP(E$3,daily_items,XLOOKUP($C2578,daily_dates,big_daily_table)))</f>
        <v>#N/A</v>
      </c>
    </row>
    <row r="2579" ht="14.25" customHeight="1">
      <c r="B2579" s="7">
        <v>43484.0</v>
      </c>
      <c r="C2579" s="7">
        <f t="shared" si="1"/>
        <v>43478</v>
      </c>
      <c r="D2579" s="1" t="str">
        <f t="array" ref="D2579">IF(ISBLANK(XLOOKUP(D$3,daily_items,XLOOKUP($C2579,daily_dates,big_daily_table))),NA(),XLOOKUP(D$3,daily_items,XLOOKUP($C2579,daily_dates,big_daily_table)))</f>
        <v>#N/A</v>
      </c>
      <c r="E2579" s="1" t="str">
        <f t="array" ref="E2579">IF(ISBLANK(XLOOKUP(E$3,daily_items,XLOOKUP($C2579,daily_dates,big_daily_table))),NA(),XLOOKUP(E$3,daily_items,XLOOKUP($C2579,daily_dates,big_daily_table)))</f>
        <v>#N/A</v>
      </c>
    </row>
    <row r="2580" ht="14.25" customHeight="1">
      <c r="B2580" s="7">
        <v>43485.0</v>
      </c>
      <c r="C2580" s="7">
        <f t="shared" si="1"/>
        <v>43485</v>
      </c>
      <c r="D2580" s="1" t="str">
        <f t="array" ref="D2580">IF(ISBLANK(XLOOKUP(D$3,daily_items,XLOOKUP($C2580,daily_dates,big_daily_table))),NA(),XLOOKUP(D$3,daily_items,XLOOKUP($C2580,daily_dates,big_daily_table)))</f>
        <v>#N/A</v>
      </c>
      <c r="E2580" s="1" t="str">
        <f t="array" ref="E2580">IF(ISBLANK(XLOOKUP(E$3,daily_items,XLOOKUP($C2580,daily_dates,big_daily_table))),NA(),XLOOKUP(E$3,daily_items,XLOOKUP($C2580,daily_dates,big_daily_table)))</f>
        <v>#N/A</v>
      </c>
    </row>
    <row r="2581" ht="14.25" customHeight="1">
      <c r="B2581" s="7">
        <v>43486.0</v>
      </c>
      <c r="C2581" s="7">
        <f t="shared" si="1"/>
        <v>43485</v>
      </c>
      <c r="D2581" s="1" t="str">
        <f t="array" ref="D2581">IF(ISBLANK(XLOOKUP(D$3,daily_items,XLOOKUP($C2581,daily_dates,big_daily_table))),NA(),XLOOKUP(D$3,daily_items,XLOOKUP($C2581,daily_dates,big_daily_table)))</f>
        <v>#N/A</v>
      </c>
      <c r="E2581" s="1" t="str">
        <f t="array" ref="E2581">IF(ISBLANK(XLOOKUP(E$3,daily_items,XLOOKUP($C2581,daily_dates,big_daily_table))),NA(),XLOOKUP(E$3,daily_items,XLOOKUP($C2581,daily_dates,big_daily_table)))</f>
        <v>#N/A</v>
      </c>
    </row>
    <row r="2582" ht="14.25" customHeight="1">
      <c r="B2582" s="7">
        <v>43487.0</v>
      </c>
      <c r="C2582" s="7">
        <f t="shared" si="1"/>
        <v>43485</v>
      </c>
      <c r="D2582" s="1" t="str">
        <f t="array" ref="D2582">IF(ISBLANK(XLOOKUP(D$3,daily_items,XLOOKUP($C2582,daily_dates,big_daily_table))),NA(),XLOOKUP(D$3,daily_items,XLOOKUP($C2582,daily_dates,big_daily_table)))</f>
        <v>#N/A</v>
      </c>
      <c r="E2582" s="1" t="str">
        <f t="array" ref="E2582">IF(ISBLANK(XLOOKUP(E$3,daily_items,XLOOKUP($C2582,daily_dates,big_daily_table))),NA(),XLOOKUP(E$3,daily_items,XLOOKUP($C2582,daily_dates,big_daily_table)))</f>
        <v>#N/A</v>
      </c>
    </row>
    <row r="2583" ht="14.25" customHeight="1">
      <c r="B2583" s="7">
        <v>43488.0</v>
      </c>
      <c r="C2583" s="7">
        <f t="shared" si="1"/>
        <v>43485</v>
      </c>
      <c r="D2583" s="1" t="str">
        <f t="array" ref="D2583">IF(ISBLANK(XLOOKUP(D$3,daily_items,XLOOKUP($C2583,daily_dates,big_daily_table))),NA(),XLOOKUP(D$3,daily_items,XLOOKUP($C2583,daily_dates,big_daily_table)))</f>
        <v>#N/A</v>
      </c>
      <c r="E2583" s="1" t="str">
        <f t="array" ref="E2583">IF(ISBLANK(XLOOKUP(E$3,daily_items,XLOOKUP($C2583,daily_dates,big_daily_table))),NA(),XLOOKUP(E$3,daily_items,XLOOKUP($C2583,daily_dates,big_daily_table)))</f>
        <v>#N/A</v>
      </c>
    </row>
    <row r="2584" ht="14.25" customHeight="1">
      <c r="B2584" s="7">
        <v>43489.0</v>
      </c>
      <c r="C2584" s="7">
        <f t="shared" si="1"/>
        <v>43485</v>
      </c>
      <c r="D2584" s="1" t="str">
        <f t="array" ref="D2584">IF(ISBLANK(XLOOKUP(D$3,daily_items,XLOOKUP($C2584,daily_dates,big_daily_table))),NA(),XLOOKUP(D$3,daily_items,XLOOKUP($C2584,daily_dates,big_daily_table)))</f>
        <v>#N/A</v>
      </c>
      <c r="E2584" s="1" t="str">
        <f t="array" ref="E2584">IF(ISBLANK(XLOOKUP(E$3,daily_items,XLOOKUP($C2584,daily_dates,big_daily_table))),NA(),XLOOKUP(E$3,daily_items,XLOOKUP($C2584,daily_dates,big_daily_table)))</f>
        <v>#N/A</v>
      </c>
    </row>
    <row r="2585" ht="14.25" customHeight="1">
      <c r="B2585" s="7">
        <v>43490.0</v>
      </c>
      <c r="C2585" s="7">
        <f t="shared" si="1"/>
        <v>43485</v>
      </c>
      <c r="D2585" s="1" t="str">
        <f t="array" ref="D2585">IF(ISBLANK(XLOOKUP(D$3,daily_items,XLOOKUP($C2585,daily_dates,big_daily_table))),NA(),XLOOKUP(D$3,daily_items,XLOOKUP($C2585,daily_dates,big_daily_table)))</f>
        <v>#N/A</v>
      </c>
      <c r="E2585" s="1" t="str">
        <f t="array" ref="E2585">IF(ISBLANK(XLOOKUP(E$3,daily_items,XLOOKUP($C2585,daily_dates,big_daily_table))),NA(),XLOOKUP(E$3,daily_items,XLOOKUP($C2585,daily_dates,big_daily_table)))</f>
        <v>#N/A</v>
      </c>
    </row>
    <row r="2586" ht="14.25" customHeight="1">
      <c r="B2586" s="7">
        <v>43491.0</v>
      </c>
      <c r="C2586" s="7">
        <f t="shared" si="1"/>
        <v>43485</v>
      </c>
      <c r="D2586" s="1" t="str">
        <f t="array" ref="D2586">IF(ISBLANK(XLOOKUP(D$3,daily_items,XLOOKUP($C2586,daily_dates,big_daily_table))),NA(),XLOOKUP(D$3,daily_items,XLOOKUP($C2586,daily_dates,big_daily_table)))</f>
        <v>#N/A</v>
      </c>
      <c r="E2586" s="1" t="str">
        <f t="array" ref="E2586">IF(ISBLANK(XLOOKUP(E$3,daily_items,XLOOKUP($C2586,daily_dates,big_daily_table))),NA(),XLOOKUP(E$3,daily_items,XLOOKUP($C2586,daily_dates,big_daily_table)))</f>
        <v>#N/A</v>
      </c>
    </row>
    <row r="2587" ht="14.25" customHeight="1">
      <c r="B2587" s="7">
        <v>43492.0</v>
      </c>
      <c r="C2587" s="7">
        <f t="shared" si="1"/>
        <v>43492</v>
      </c>
      <c r="D2587" s="1" t="str">
        <f t="array" ref="D2587">IF(ISBLANK(XLOOKUP(D$3,daily_items,XLOOKUP($C2587,daily_dates,big_daily_table))),NA(),XLOOKUP(D$3,daily_items,XLOOKUP($C2587,daily_dates,big_daily_table)))</f>
        <v>#N/A</v>
      </c>
      <c r="E2587" s="1" t="str">
        <f t="array" ref="E2587">IF(ISBLANK(XLOOKUP(E$3,daily_items,XLOOKUP($C2587,daily_dates,big_daily_table))),NA(),XLOOKUP(E$3,daily_items,XLOOKUP($C2587,daily_dates,big_daily_table)))</f>
        <v>#N/A</v>
      </c>
    </row>
    <row r="2588" ht="14.25" customHeight="1">
      <c r="B2588" s="7">
        <v>43493.0</v>
      </c>
      <c r="C2588" s="7">
        <f t="shared" si="1"/>
        <v>43492</v>
      </c>
      <c r="D2588" s="1" t="str">
        <f t="array" ref="D2588">IF(ISBLANK(XLOOKUP(D$3,daily_items,XLOOKUP($C2588,daily_dates,big_daily_table))),NA(),XLOOKUP(D$3,daily_items,XLOOKUP($C2588,daily_dates,big_daily_table)))</f>
        <v>#N/A</v>
      </c>
      <c r="E2588" s="1" t="str">
        <f t="array" ref="E2588">IF(ISBLANK(XLOOKUP(E$3,daily_items,XLOOKUP($C2588,daily_dates,big_daily_table))),NA(),XLOOKUP(E$3,daily_items,XLOOKUP($C2588,daily_dates,big_daily_table)))</f>
        <v>#N/A</v>
      </c>
    </row>
    <row r="2589" ht="14.25" customHeight="1">
      <c r="B2589" s="7">
        <v>43494.0</v>
      </c>
      <c r="C2589" s="7">
        <f t="shared" si="1"/>
        <v>43492</v>
      </c>
      <c r="D2589" s="1" t="str">
        <f t="array" ref="D2589">IF(ISBLANK(XLOOKUP(D$3,daily_items,XLOOKUP($C2589,daily_dates,big_daily_table))),NA(),XLOOKUP(D$3,daily_items,XLOOKUP($C2589,daily_dates,big_daily_table)))</f>
        <v>#N/A</v>
      </c>
      <c r="E2589" s="1" t="str">
        <f t="array" ref="E2589">IF(ISBLANK(XLOOKUP(E$3,daily_items,XLOOKUP($C2589,daily_dates,big_daily_table))),NA(),XLOOKUP(E$3,daily_items,XLOOKUP($C2589,daily_dates,big_daily_table)))</f>
        <v>#N/A</v>
      </c>
    </row>
    <row r="2590" ht="14.25" customHeight="1">
      <c r="B2590" s="7">
        <v>43495.0</v>
      </c>
      <c r="C2590" s="7">
        <f t="shared" si="1"/>
        <v>43492</v>
      </c>
      <c r="D2590" s="1" t="str">
        <f t="array" ref="D2590">IF(ISBLANK(XLOOKUP(D$3,daily_items,XLOOKUP($C2590,daily_dates,big_daily_table))),NA(),XLOOKUP(D$3,daily_items,XLOOKUP($C2590,daily_dates,big_daily_table)))</f>
        <v>#N/A</v>
      </c>
      <c r="E2590" s="1" t="str">
        <f t="array" ref="E2590">IF(ISBLANK(XLOOKUP(E$3,daily_items,XLOOKUP($C2590,daily_dates,big_daily_table))),NA(),XLOOKUP(E$3,daily_items,XLOOKUP($C2590,daily_dates,big_daily_table)))</f>
        <v>#N/A</v>
      </c>
    </row>
    <row r="2591" ht="14.25" customHeight="1">
      <c r="B2591" s="7">
        <v>43496.0</v>
      </c>
      <c r="C2591" s="7">
        <f t="shared" si="1"/>
        <v>43492</v>
      </c>
      <c r="D2591" s="1" t="str">
        <f t="array" ref="D2591">IF(ISBLANK(XLOOKUP(D$3,daily_items,XLOOKUP($C2591,daily_dates,big_daily_table))),NA(),XLOOKUP(D$3,daily_items,XLOOKUP($C2591,daily_dates,big_daily_table)))</f>
        <v>#N/A</v>
      </c>
      <c r="E2591" s="1" t="str">
        <f t="array" ref="E2591">IF(ISBLANK(XLOOKUP(E$3,daily_items,XLOOKUP($C2591,daily_dates,big_daily_table))),NA(),XLOOKUP(E$3,daily_items,XLOOKUP($C2591,daily_dates,big_daily_table)))</f>
        <v>#N/A</v>
      </c>
    </row>
    <row r="2592" ht="14.25" customHeight="1">
      <c r="B2592" s="7">
        <v>43497.0</v>
      </c>
      <c r="C2592" s="7">
        <f t="shared" si="1"/>
        <v>43492</v>
      </c>
      <c r="D2592" s="1" t="str">
        <f t="array" ref="D2592">IF(ISBLANK(XLOOKUP(D$3,daily_items,XLOOKUP($C2592,daily_dates,big_daily_table))),NA(),XLOOKUP(D$3,daily_items,XLOOKUP($C2592,daily_dates,big_daily_table)))</f>
        <v>#N/A</v>
      </c>
      <c r="E2592" s="1" t="str">
        <f t="array" ref="E2592">IF(ISBLANK(XLOOKUP(E$3,daily_items,XLOOKUP($C2592,daily_dates,big_daily_table))),NA(),XLOOKUP(E$3,daily_items,XLOOKUP($C2592,daily_dates,big_daily_table)))</f>
        <v>#N/A</v>
      </c>
    </row>
    <row r="2593" ht="14.25" customHeight="1">
      <c r="B2593" s="7">
        <v>43498.0</v>
      </c>
      <c r="C2593" s="7">
        <f t="shared" si="1"/>
        <v>43492</v>
      </c>
      <c r="D2593" s="1" t="str">
        <f t="array" ref="D2593">IF(ISBLANK(XLOOKUP(D$3,daily_items,XLOOKUP($C2593,daily_dates,big_daily_table))),NA(),XLOOKUP(D$3,daily_items,XLOOKUP($C2593,daily_dates,big_daily_table)))</f>
        <v>#N/A</v>
      </c>
      <c r="E2593" s="1" t="str">
        <f t="array" ref="E2593">IF(ISBLANK(XLOOKUP(E$3,daily_items,XLOOKUP($C2593,daily_dates,big_daily_table))),NA(),XLOOKUP(E$3,daily_items,XLOOKUP($C2593,daily_dates,big_daily_table)))</f>
        <v>#N/A</v>
      </c>
    </row>
    <row r="2594" ht="14.25" customHeight="1">
      <c r="B2594" s="7">
        <v>43499.0</v>
      </c>
      <c r="C2594" s="7">
        <f t="shared" si="1"/>
        <v>43499</v>
      </c>
      <c r="D2594" s="1" t="str">
        <f t="array" ref="D2594">IF(ISBLANK(XLOOKUP(D$3,daily_items,XLOOKUP($C2594,daily_dates,big_daily_table))),NA(),XLOOKUP(D$3,daily_items,XLOOKUP($C2594,daily_dates,big_daily_table)))</f>
        <v>#N/A</v>
      </c>
      <c r="E2594" s="1" t="str">
        <f t="array" ref="E2594">IF(ISBLANK(XLOOKUP(E$3,daily_items,XLOOKUP($C2594,daily_dates,big_daily_table))),NA(),XLOOKUP(E$3,daily_items,XLOOKUP($C2594,daily_dates,big_daily_table)))</f>
        <v>#N/A</v>
      </c>
    </row>
    <row r="2595" ht="14.25" customHeight="1">
      <c r="B2595" s="7">
        <v>43500.0</v>
      </c>
      <c r="C2595" s="7">
        <f t="shared" si="1"/>
        <v>43499</v>
      </c>
      <c r="D2595" s="1" t="str">
        <f t="array" ref="D2595">IF(ISBLANK(XLOOKUP(D$3,daily_items,XLOOKUP($C2595,daily_dates,big_daily_table))),NA(),XLOOKUP(D$3,daily_items,XLOOKUP($C2595,daily_dates,big_daily_table)))</f>
        <v>#N/A</v>
      </c>
      <c r="E2595" s="1" t="str">
        <f t="array" ref="E2595">IF(ISBLANK(XLOOKUP(E$3,daily_items,XLOOKUP($C2595,daily_dates,big_daily_table))),NA(),XLOOKUP(E$3,daily_items,XLOOKUP($C2595,daily_dates,big_daily_table)))</f>
        <v>#N/A</v>
      </c>
    </row>
    <row r="2596" ht="14.25" customHeight="1">
      <c r="B2596" s="7">
        <v>43501.0</v>
      </c>
      <c r="C2596" s="7">
        <f t="shared" si="1"/>
        <v>43499</v>
      </c>
      <c r="D2596" s="1" t="str">
        <f t="array" ref="D2596">IF(ISBLANK(XLOOKUP(D$3,daily_items,XLOOKUP($C2596,daily_dates,big_daily_table))),NA(),XLOOKUP(D$3,daily_items,XLOOKUP($C2596,daily_dates,big_daily_table)))</f>
        <v>#N/A</v>
      </c>
      <c r="E2596" s="1" t="str">
        <f t="array" ref="E2596">IF(ISBLANK(XLOOKUP(E$3,daily_items,XLOOKUP($C2596,daily_dates,big_daily_table))),NA(),XLOOKUP(E$3,daily_items,XLOOKUP($C2596,daily_dates,big_daily_table)))</f>
        <v>#N/A</v>
      </c>
    </row>
    <row r="2597" ht="14.25" customHeight="1">
      <c r="B2597" s="7">
        <v>43502.0</v>
      </c>
      <c r="C2597" s="7">
        <f t="shared" si="1"/>
        <v>43499</v>
      </c>
      <c r="D2597" s="1" t="str">
        <f t="array" ref="D2597">IF(ISBLANK(XLOOKUP(D$3,daily_items,XLOOKUP($C2597,daily_dates,big_daily_table))),NA(),XLOOKUP(D$3,daily_items,XLOOKUP($C2597,daily_dates,big_daily_table)))</f>
        <v>#N/A</v>
      </c>
      <c r="E2597" s="1" t="str">
        <f t="array" ref="E2597">IF(ISBLANK(XLOOKUP(E$3,daily_items,XLOOKUP($C2597,daily_dates,big_daily_table))),NA(),XLOOKUP(E$3,daily_items,XLOOKUP($C2597,daily_dates,big_daily_table)))</f>
        <v>#N/A</v>
      </c>
    </row>
    <row r="2598" ht="14.25" customHeight="1">
      <c r="B2598" s="7">
        <v>43503.0</v>
      </c>
      <c r="C2598" s="7">
        <f t="shared" si="1"/>
        <v>43499</v>
      </c>
      <c r="D2598" s="1" t="str">
        <f t="array" ref="D2598">IF(ISBLANK(XLOOKUP(D$3,daily_items,XLOOKUP($C2598,daily_dates,big_daily_table))),NA(),XLOOKUP(D$3,daily_items,XLOOKUP($C2598,daily_dates,big_daily_table)))</f>
        <v>#N/A</v>
      </c>
      <c r="E2598" s="1" t="str">
        <f t="array" ref="E2598">IF(ISBLANK(XLOOKUP(E$3,daily_items,XLOOKUP($C2598,daily_dates,big_daily_table))),NA(),XLOOKUP(E$3,daily_items,XLOOKUP($C2598,daily_dates,big_daily_table)))</f>
        <v>#N/A</v>
      </c>
    </row>
    <row r="2599" ht="14.25" customHeight="1">
      <c r="B2599" s="7">
        <v>43504.0</v>
      </c>
      <c r="C2599" s="7">
        <f t="shared" si="1"/>
        <v>43499</v>
      </c>
      <c r="D2599" s="1" t="str">
        <f t="array" ref="D2599">IF(ISBLANK(XLOOKUP(D$3,daily_items,XLOOKUP($C2599,daily_dates,big_daily_table))),NA(),XLOOKUP(D$3,daily_items,XLOOKUP($C2599,daily_dates,big_daily_table)))</f>
        <v>#N/A</v>
      </c>
      <c r="E2599" s="1" t="str">
        <f t="array" ref="E2599">IF(ISBLANK(XLOOKUP(E$3,daily_items,XLOOKUP($C2599,daily_dates,big_daily_table))),NA(),XLOOKUP(E$3,daily_items,XLOOKUP($C2599,daily_dates,big_daily_table)))</f>
        <v>#N/A</v>
      </c>
    </row>
    <row r="2600" ht="14.25" customHeight="1">
      <c r="B2600" s="7">
        <v>43505.0</v>
      </c>
      <c r="C2600" s="7">
        <f t="shared" si="1"/>
        <v>43499</v>
      </c>
      <c r="D2600" s="1" t="str">
        <f t="array" ref="D2600">IF(ISBLANK(XLOOKUP(D$3,daily_items,XLOOKUP($C2600,daily_dates,big_daily_table))),NA(),XLOOKUP(D$3,daily_items,XLOOKUP($C2600,daily_dates,big_daily_table)))</f>
        <v>#N/A</v>
      </c>
      <c r="E2600" s="1" t="str">
        <f t="array" ref="E2600">IF(ISBLANK(XLOOKUP(E$3,daily_items,XLOOKUP($C2600,daily_dates,big_daily_table))),NA(),XLOOKUP(E$3,daily_items,XLOOKUP($C2600,daily_dates,big_daily_table)))</f>
        <v>#N/A</v>
      </c>
    </row>
    <row r="2601" ht="14.25" customHeight="1">
      <c r="B2601" s="7">
        <v>43506.0</v>
      </c>
      <c r="C2601" s="7">
        <f t="shared" si="1"/>
        <v>43506</v>
      </c>
      <c r="D2601" s="1" t="str">
        <f t="array" ref="D2601">IF(ISBLANK(XLOOKUP(D$3,daily_items,XLOOKUP($C2601,daily_dates,big_daily_table))),NA(),XLOOKUP(D$3,daily_items,XLOOKUP($C2601,daily_dates,big_daily_table)))</f>
        <v>#N/A</v>
      </c>
      <c r="E2601" s="1" t="str">
        <f t="array" ref="E2601">IF(ISBLANK(XLOOKUP(E$3,daily_items,XLOOKUP($C2601,daily_dates,big_daily_table))),NA(),XLOOKUP(E$3,daily_items,XLOOKUP($C2601,daily_dates,big_daily_table)))</f>
        <v>#N/A</v>
      </c>
    </row>
    <row r="2602" ht="14.25" customHeight="1">
      <c r="B2602" s="7">
        <v>43507.0</v>
      </c>
      <c r="C2602" s="7">
        <f t="shared" si="1"/>
        <v>43506</v>
      </c>
      <c r="D2602" s="1" t="str">
        <f t="array" ref="D2602">IF(ISBLANK(XLOOKUP(D$3,daily_items,XLOOKUP($C2602,daily_dates,big_daily_table))),NA(),XLOOKUP(D$3,daily_items,XLOOKUP($C2602,daily_dates,big_daily_table)))</f>
        <v>#N/A</v>
      </c>
      <c r="E2602" s="1" t="str">
        <f t="array" ref="E2602">IF(ISBLANK(XLOOKUP(E$3,daily_items,XLOOKUP($C2602,daily_dates,big_daily_table))),NA(),XLOOKUP(E$3,daily_items,XLOOKUP($C2602,daily_dates,big_daily_table)))</f>
        <v>#N/A</v>
      </c>
    </row>
    <row r="2603" ht="14.25" customHeight="1">
      <c r="B2603" s="7">
        <v>43508.0</v>
      </c>
      <c r="C2603" s="7">
        <f t="shared" si="1"/>
        <v>43506</v>
      </c>
      <c r="D2603" s="1" t="str">
        <f t="array" ref="D2603">IF(ISBLANK(XLOOKUP(D$3,daily_items,XLOOKUP($C2603,daily_dates,big_daily_table))),NA(),XLOOKUP(D$3,daily_items,XLOOKUP($C2603,daily_dates,big_daily_table)))</f>
        <v>#N/A</v>
      </c>
      <c r="E2603" s="1" t="str">
        <f t="array" ref="E2603">IF(ISBLANK(XLOOKUP(E$3,daily_items,XLOOKUP($C2603,daily_dates,big_daily_table))),NA(),XLOOKUP(E$3,daily_items,XLOOKUP($C2603,daily_dates,big_daily_table)))</f>
        <v>#N/A</v>
      </c>
    </row>
    <row r="2604" ht="14.25" customHeight="1">
      <c r="B2604" s="7">
        <v>43509.0</v>
      </c>
      <c r="C2604" s="7">
        <f t="shared" si="1"/>
        <v>43506</v>
      </c>
      <c r="D2604" s="1" t="str">
        <f t="array" ref="D2604">IF(ISBLANK(XLOOKUP(D$3,daily_items,XLOOKUP($C2604,daily_dates,big_daily_table))),NA(),XLOOKUP(D$3,daily_items,XLOOKUP($C2604,daily_dates,big_daily_table)))</f>
        <v>#N/A</v>
      </c>
      <c r="E2604" s="1" t="str">
        <f t="array" ref="E2604">IF(ISBLANK(XLOOKUP(E$3,daily_items,XLOOKUP($C2604,daily_dates,big_daily_table))),NA(),XLOOKUP(E$3,daily_items,XLOOKUP($C2604,daily_dates,big_daily_table)))</f>
        <v>#N/A</v>
      </c>
    </row>
    <row r="2605" ht="14.25" customHeight="1">
      <c r="B2605" s="7">
        <v>43510.0</v>
      </c>
      <c r="C2605" s="7">
        <f t="shared" si="1"/>
        <v>43506</v>
      </c>
      <c r="D2605" s="1" t="str">
        <f t="array" ref="D2605">IF(ISBLANK(XLOOKUP(D$3,daily_items,XLOOKUP($C2605,daily_dates,big_daily_table))),NA(),XLOOKUP(D$3,daily_items,XLOOKUP($C2605,daily_dates,big_daily_table)))</f>
        <v>#N/A</v>
      </c>
      <c r="E2605" s="1" t="str">
        <f t="array" ref="E2605">IF(ISBLANK(XLOOKUP(E$3,daily_items,XLOOKUP($C2605,daily_dates,big_daily_table))),NA(),XLOOKUP(E$3,daily_items,XLOOKUP($C2605,daily_dates,big_daily_table)))</f>
        <v>#N/A</v>
      </c>
    </row>
    <row r="2606" ht="14.25" customHeight="1">
      <c r="B2606" s="7">
        <v>43511.0</v>
      </c>
      <c r="C2606" s="7">
        <f t="shared" si="1"/>
        <v>43506</v>
      </c>
      <c r="D2606" s="1" t="str">
        <f t="array" ref="D2606">IF(ISBLANK(XLOOKUP(D$3,daily_items,XLOOKUP($C2606,daily_dates,big_daily_table))),NA(),XLOOKUP(D$3,daily_items,XLOOKUP($C2606,daily_dates,big_daily_table)))</f>
        <v>#N/A</v>
      </c>
      <c r="E2606" s="1" t="str">
        <f t="array" ref="E2606">IF(ISBLANK(XLOOKUP(E$3,daily_items,XLOOKUP($C2606,daily_dates,big_daily_table))),NA(),XLOOKUP(E$3,daily_items,XLOOKUP($C2606,daily_dates,big_daily_table)))</f>
        <v>#N/A</v>
      </c>
    </row>
    <row r="2607" ht="14.25" customHeight="1">
      <c r="B2607" s="7">
        <v>43512.0</v>
      </c>
      <c r="C2607" s="7">
        <f t="shared" si="1"/>
        <v>43506</v>
      </c>
      <c r="D2607" s="1" t="str">
        <f t="array" ref="D2607">IF(ISBLANK(XLOOKUP(D$3,daily_items,XLOOKUP($C2607,daily_dates,big_daily_table))),NA(),XLOOKUP(D$3,daily_items,XLOOKUP($C2607,daily_dates,big_daily_table)))</f>
        <v>#N/A</v>
      </c>
      <c r="E2607" s="1" t="str">
        <f t="array" ref="E2607">IF(ISBLANK(XLOOKUP(E$3,daily_items,XLOOKUP($C2607,daily_dates,big_daily_table))),NA(),XLOOKUP(E$3,daily_items,XLOOKUP($C2607,daily_dates,big_daily_table)))</f>
        <v>#N/A</v>
      </c>
    </row>
    <row r="2608" ht="14.25" customHeight="1">
      <c r="B2608" s="7">
        <v>43513.0</v>
      </c>
      <c r="C2608" s="7">
        <f t="shared" si="1"/>
        <v>43513</v>
      </c>
      <c r="D2608" s="1" t="str">
        <f t="array" ref="D2608">IF(ISBLANK(XLOOKUP(D$3,daily_items,XLOOKUP($C2608,daily_dates,big_daily_table))),NA(),XLOOKUP(D$3,daily_items,XLOOKUP($C2608,daily_dates,big_daily_table)))</f>
        <v>#N/A</v>
      </c>
      <c r="E2608" s="1" t="str">
        <f t="array" ref="E2608">IF(ISBLANK(XLOOKUP(E$3,daily_items,XLOOKUP($C2608,daily_dates,big_daily_table))),NA(),XLOOKUP(E$3,daily_items,XLOOKUP($C2608,daily_dates,big_daily_table)))</f>
        <v>#N/A</v>
      </c>
    </row>
    <row r="2609" ht="14.25" customHeight="1">
      <c r="B2609" s="7">
        <v>43514.0</v>
      </c>
      <c r="C2609" s="7">
        <f t="shared" si="1"/>
        <v>43513</v>
      </c>
      <c r="D2609" s="1" t="str">
        <f t="array" ref="D2609">IF(ISBLANK(XLOOKUP(D$3,daily_items,XLOOKUP($C2609,daily_dates,big_daily_table))),NA(),XLOOKUP(D$3,daily_items,XLOOKUP($C2609,daily_dates,big_daily_table)))</f>
        <v>#N/A</v>
      </c>
      <c r="E2609" s="1" t="str">
        <f t="array" ref="E2609">IF(ISBLANK(XLOOKUP(E$3,daily_items,XLOOKUP($C2609,daily_dates,big_daily_table))),NA(),XLOOKUP(E$3,daily_items,XLOOKUP($C2609,daily_dates,big_daily_table)))</f>
        <v>#N/A</v>
      </c>
    </row>
    <row r="2610" ht="14.25" customHeight="1">
      <c r="B2610" s="7">
        <v>43515.0</v>
      </c>
      <c r="C2610" s="7">
        <f t="shared" si="1"/>
        <v>43513</v>
      </c>
      <c r="D2610" s="1" t="str">
        <f t="array" ref="D2610">IF(ISBLANK(XLOOKUP(D$3,daily_items,XLOOKUP($C2610,daily_dates,big_daily_table))),NA(),XLOOKUP(D$3,daily_items,XLOOKUP($C2610,daily_dates,big_daily_table)))</f>
        <v>#N/A</v>
      </c>
      <c r="E2610" s="1" t="str">
        <f t="array" ref="E2610">IF(ISBLANK(XLOOKUP(E$3,daily_items,XLOOKUP($C2610,daily_dates,big_daily_table))),NA(),XLOOKUP(E$3,daily_items,XLOOKUP($C2610,daily_dates,big_daily_table)))</f>
        <v>#N/A</v>
      </c>
    </row>
    <row r="2611" ht="14.25" customHeight="1">
      <c r="B2611" s="7">
        <v>43516.0</v>
      </c>
      <c r="C2611" s="7">
        <f t="shared" si="1"/>
        <v>43513</v>
      </c>
      <c r="D2611" s="1" t="str">
        <f t="array" ref="D2611">IF(ISBLANK(XLOOKUP(D$3,daily_items,XLOOKUP($C2611,daily_dates,big_daily_table))),NA(),XLOOKUP(D$3,daily_items,XLOOKUP($C2611,daily_dates,big_daily_table)))</f>
        <v>#N/A</v>
      </c>
      <c r="E2611" s="1" t="str">
        <f t="array" ref="E2611">IF(ISBLANK(XLOOKUP(E$3,daily_items,XLOOKUP($C2611,daily_dates,big_daily_table))),NA(),XLOOKUP(E$3,daily_items,XLOOKUP($C2611,daily_dates,big_daily_table)))</f>
        <v>#N/A</v>
      </c>
    </row>
    <row r="2612" ht="14.25" customHeight="1">
      <c r="B2612" s="7">
        <v>43517.0</v>
      </c>
      <c r="C2612" s="7">
        <f t="shared" si="1"/>
        <v>43513</v>
      </c>
      <c r="D2612" s="1" t="str">
        <f t="array" ref="D2612">IF(ISBLANK(XLOOKUP(D$3,daily_items,XLOOKUP($C2612,daily_dates,big_daily_table))),NA(),XLOOKUP(D$3,daily_items,XLOOKUP($C2612,daily_dates,big_daily_table)))</f>
        <v>#N/A</v>
      </c>
      <c r="E2612" s="1" t="str">
        <f t="array" ref="E2612">IF(ISBLANK(XLOOKUP(E$3,daily_items,XLOOKUP($C2612,daily_dates,big_daily_table))),NA(),XLOOKUP(E$3,daily_items,XLOOKUP($C2612,daily_dates,big_daily_table)))</f>
        <v>#N/A</v>
      </c>
    </row>
    <row r="2613" ht="14.25" customHeight="1">
      <c r="B2613" s="7">
        <v>43518.0</v>
      </c>
      <c r="C2613" s="7">
        <f t="shared" si="1"/>
        <v>43513</v>
      </c>
      <c r="D2613" s="1" t="str">
        <f t="array" ref="D2613">IF(ISBLANK(XLOOKUP(D$3,daily_items,XLOOKUP($C2613,daily_dates,big_daily_table))),NA(),XLOOKUP(D$3,daily_items,XLOOKUP($C2613,daily_dates,big_daily_table)))</f>
        <v>#N/A</v>
      </c>
      <c r="E2613" s="1" t="str">
        <f t="array" ref="E2613">IF(ISBLANK(XLOOKUP(E$3,daily_items,XLOOKUP($C2613,daily_dates,big_daily_table))),NA(),XLOOKUP(E$3,daily_items,XLOOKUP($C2613,daily_dates,big_daily_table)))</f>
        <v>#N/A</v>
      </c>
    </row>
    <row r="2614" ht="14.25" customHeight="1">
      <c r="B2614" s="7">
        <v>43519.0</v>
      </c>
      <c r="C2614" s="7">
        <f t="shared" si="1"/>
        <v>43513</v>
      </c>
      <c r="D2614" s="1" t="str">
        <f t="array" ref="D2614">IF(ISBLANK(XLOOKUP(D$3,daily_items,XLOOKUP($C2614,daily_dates,big_daily_table))),NA(),XLOOKUP(D$3,daily_items,XLOOKUP($C2614,daily_dates,big_daily_table)))</f>
        <v>#N/A</v>
      </c>
      <c r="E2614" s="1" t="str">
        <f t="array" ref="E2614">IF(ISBLANK(XLOOKUP(E$3,daily_items,XLOOKUP($C2614,daily_dates,big_daily_table))),NA(),XLOOKUP(E$3,daily_items,XLOOKUP($C2614,daily_dates,big_daily_table)))</f>
        <v>#N/A</v>
      </c>
    </row>
    <row r="2615" ht="14.25" customHeight="1">
      <c r="B2615" s="7">
        <v>43520.0</v>
      </c>
      <c r="C2615" s="7">
        <f t="shared" si="1"/>
        <v>43520</v>
      </c>
      <c r="D2615" s="1" t="str">
        <f t="array" ref="D2615">IF(ISBLANK(XLOOKUP(D$3,daily_items,XLOOKUP($C2615,daily_dates,big_daily_table))),NA(),XLOOKUP(D$3,daily_items,XLOOKUP($C2615,daily_dates,big_daily_table)))</f>
        <v>#N/A</v>
      </c>
      <c r="E2615" s="1" t="str">
        <f t="array" ref="E2615">IF(ISBLANK(XLOOKUP(E$3,daily_items,XLOOKUP($C2615,daily_dates,big_daily_table))),NA(),XLOOKUP(E$3,daily_items,XLOOKUP($C2615,daily_dates,big_daily_table)))</f>
        <v>#N/A</v>
      </c>
    </row>
    <row r="2616" ht="14.25" customHeight="1">
      <c r="B2616" s="7">
        <v>43521.0</v>
      </c>
      <c r="C2616" s="7">
        <f t="shared" si="1"/>
        <v>43520</v>
      </c>
      <c r="D2616" s="1" t="str">
        <f t="array" ref="D2616">IF(ISBLANK(XLOOKUP(D$3,daily_items,XLOOKUP($C2616,daily_dates,big_daily_table))),NA(),XLOOKUP(D$3,daily_items,XLOOKUP($C2616,daily_dates,big_daily_table)))</f>
        <v>#N/A</v>
      </c>
      <c r="E2616" s="1" t="str">
        <f t="array" ref="E2616">IF(ISBLANK(XLOOKUP(E$3,daily_items,XLOOKUP($C2616,daily_dates,big_daily_table))),NA(),XLOOKUP(E$3,daily_items,XLOOKUP($C2616,daily_dates,big_daily_table)))</f>
        <v>#N/A</v>
      </c>
    </row>
    <row r="2617" ht="14.25" customHeight="1">
      <c r="B2617" s="7">
        <v>43522.0</v>
      </c>
      <c r="C2617" s="7">
        <f t="shared" si="1"/>
        <v>43520</v>
      </c>
      <c r="D2617" s="1" t="str">
        <f t="array" ref="D2617">IF(ISBLANK(XLOOKUP(D$3,daily_items,XLOOKUP($C2617,daily_dates,big_daily_table))),NA(),XLOOKUP(D$3,daily_items,XLOOKUP($C2617,daily_dates,big_daily_table)))</f>
        <v>#N/A</v>
      </c>
      <c r="E2617" s="1" t="str">
        <f t="array" ref="E2617">IF(ISBLANK(XLOOKUP(E$3,daily_items,XLOOKUP($C2617,daily_dates,big_daily_table))),NA(),XLOOKUP(E$3,daily_items,XLOOKUP($C2617,daily_dates,big_daily_table)))</f>
        <v>#N/A</v>
      </c>
    </row>
    <row r="2618" ht="14.25" customHeight="1">
      <c r="B2618" s="7">
        <v>43523.0</v>
      </c>
      <c r="C2618" s="7">
        <f t="shared" si="1"/>
        <v>43520</v>
      </c>
      <c r="D2618" s="1" t="str">
        <f t="array" ref="D2618">IF(ISBLANK(XLOOKUP(D$3,daily_items,XLOOKUP($C2618,daily_dates,big_daily_table))),NA(),XLOOKUP(D$3,daily_items,XLOOKUP($C2618,daily_dates,big_daily_table)))</f>
        <v>#N/A</v>
      </c>
      <c r="E2618" s="1" t="str">
        <f t="array" ref="E2618">IF(ISBLANK(XLOOKUP(E$3,daily_items,XLOOKUP($C2618,daily_dates,big_daily_table))),NA(),XLOOKUP(E$3,daily_items,XLOOKUP($C2618,daily_dates,big_daily_table)))</f>
        <v>#N/A</v>
      </c>
    </row>
    <row r="2619" ht="14.25" customHeight="1">
      <c r="B2619" s="7">
        <v>43524.0</v>
      </c>
      <c r="C2619" s="7">
        <f t="shared" si="1"/>
        <v>43520</v>
      </c>
      <c r="D2619" s="1" t="str">
        <f t="array" ref="D2619">IF(ISBLANK(XLOOKUP(D$3,daily_items,XLOOKUP($C2619,daily_dates,big_daily_table))),NA(),XLOOKUP(D$3,daily_items,XLOOKUP($C2619,daily_dates,big_daily_table)))</f>
        <v>#N/A</v>
      </c>
      <c r="E2619" s="1" t="str">
        <f t="array" ref="E2619">IF(ISBLANK(XLOOKUP(E$3,daily_items,XLOOKUP($C2619,daily_dates,big_daily_table))),NA(),XLOOKUP(E$3,daily_items,XLOOKUP($C2619,daily_dates,big_daily_table)))</f>
        <v>#N/A</v>
      </c>
    </row>
    <row r="2620" ht="14.25" customHeight="1">
      <c r="B2620" s="7">
        <v>43525.0</v>
      </c>
      <c r="C2620" s="7">
        <f t="shared" si="1"/>
        <v>43520</v>
      </c>
      <c r="D2620" s="1" t="str">
        <f t="array" ref="D2620">IF(ISBLANK(XLOOKUP(D$3,daily_items,XLOOKUP($C2620,daily_dates,big_daily_table))),NA(),XLOOKUP(D$3,daily_items,XLOOKUP($C2620,daily_dates,big_daily_table)))</f>
        <v>#N/A</v>
      </c>
      <c r="E2620" s="1" t="str">
        <f t="array" ref="E2620">IF(ISBLANK(XLOOKUP(E$3,daily_items,XLOOKUP($C2620,daily_dates,big_daily_table))),NA(),XLOOKUP(E$3,daily_items,XLOOKUP($C2620,daily_dates,big_daily_table)))</f>
        <v>#N/A</v>
      </c>
    </row>
    <row r="2621" ht="14.25" customHeight="1">
      <c r="B2621" s="7">
        <v>43526.0</v>
      </c>
      <c r="C2621" s="7">
        <f t="shared" si="1"/>
        <v>43520</v>
      </c>
      <c r="D2621" s="1" t="str">
        <f t="array" ref="D2621">IF(ISBLANK(XLOOKUP(D$3,daily_items,XLOOKUP($C2621,daily_dates,big_daily_table))),NA(),XLOOKUP(D$3,daily_items,XLOOKUP($C2621,daily_dates,big_daily_table)))</f>
        <v>#N/A</v>
      </c>
      <c r="E2621" s="1" t="str">
        <f t="array" ref="E2621">IF(ISBLANK(XLOOKUP(E$3,daily_items,XLOOKUP($C2621,daily_dates,big_daily_table))),NA(),XLOOKUP(E$3,daily_items,XLOOKUP($C2621,daily_dates,big_daily_table)))</f>
        <v>#N/A</v>
      </c>
    </row>
    <row r="2622" ht="14.25" customHeight="1">
      <c r="B2622" s="7">
        <v>43527.0</v>
      </c>
      <c r="C2622" s="7">
        <f t="shared" si="1"/>
        <v>43527</v>
      </c>
      <c r="D2622" s="1" t="str">
        <f t="array" ref="D2622">IF(ISBLANK(XLOOKUP(D$3,daily_items,XLOOKUP($C2622,daily_dates,big_daily_table))),NA(),XLOOKUP(D$3,daily_items,XLOOKUP($C2622,daily_dates,big_daily_table)))</f>
        <v>#N/A</v>
      </c>
      <c r="E2622" s="1" t="str">
        <f t="array" ref="E2622">IF(ISBLANK(XLOOKUP(E$3,daily_items,XLOOKUP($C2622,daily_dates,big_daily_table))),NA(),XLOOKUP(E$3,daily_items,XLOOKUP($C2622,daily_dates,big_daily_table)))</f>
        <v>#N/A</v>
      </c>
    </row>
    <row r="2623" ht="14.25" customHeight="1">
      <c r="B2623" s="7">
        <v>43528.0</v>
      </c>
      <c r="C2623" s="7">
        <f t="shared" si="1"/>
        <v>43527</v>
      </c>
      <c r="D2623" s="1" t="str">
        <f t="array" ref="D2623">IF(ISBLANK(XLOOKUP(D$3,daily_items,XLOOKUP($C2623,daily_dates,big_daily_table))),NA(),XLOOKUP(D$3,daily_items,XLOOKUP($C2623,daily_dates,big_daily_table)))</f>
        <v>#N/A</v>
      </c>
      <c r="E2623" s="1" t="str">
        <f t="array" ref="E2623">IF(ISBLANK(XLOOKUP(E$3,daily_items,XLOOKUP($C2623,daily_dates,big_daily_table))),NA(),XLOOKUP(E$3,daily_items,XLOOKUP($C2623,daily_dates,big_daily_table)))</f>
        <v>#N/A</v>
      </c>
    </row>
    <row r="2624" ht="14.25" customHeight="1">
      <c r="B2624" s="7">
        <v>43529.0</v>
      </c>
      <c r="C2624" s="7">
        <f t="shared" si="1"/>
        <v>43527</v>
      </c>
      <c r="D2624" s="1" t="str">
        <f t="array" ref="D2624">IF(ISBLANK(XLOOKUP(D$3,daily_items,XLOOKUP($C2624,daily_dates,big_daily_table))),NA(),XLOOKUP(D$3,daily_items,XLOOKUP($C2624,daily_dates,big_daily_table)))</f>
        <v>#N/A</v>
      </c>
      <c r="E2624" s="1" t="str">
        <f t="array" ref="E2624">IF(ISBLANK(XLOOKUP(E$3,daily_items,XLOOKUP($C2624,daily_dates,big_daily_table))),NA(),XLOOKUP(E$3,daily_items,XLOOKUP($C2624,daily_dates,big_daily_table)))</f>
        <v>#N/A</v>
      </c>
    </row>
    <row r="2625" ht="14.25" customHeight="1">
      <c r="B2625" s="7">
        <v>43530.0</v>
      </c>
      <c r="C2625" s="7">
        <f t="shared" si="1"/>
        <v>43527</v>
      </c>
      <c r="D2625" s="1" t="str">
        <f t="array" ref="D2625">IF(ISBLANK(XLOOKUP(D$3,daily_items,XLOOKUP($C2625,daily_dates,big_daily_table))),NA(),XLOOKUP(D$3,daily_items,XLOOKUP($C2625,daily_dates,big_daily_table)))</f>
        <v>#N/A</v>
      </c>
      <c r="E2625" s="1" t="str">
        <f t="array" ref="E2625">IF(ISBLANK(XLOOKUP(E$3,daily_items,XLOOKUP($C2625,daily_dates,big_daily_table))),NA(),XLOOKUP(E$3,daily_items,XLOOKUP($C2625,daily_dates,big_daily_table)))</f>
        <v>#N/A</v>
      </c>
    </row>
    <row r="2626" ht="14.25" customHeight="1">
      <c r="B2626" s="7">
        <v>43531.0</v>
      </c>
      <c r="C2626" s="7">
        <f t="shared" si="1"/>
        <v>43527</v>
      </c>
      <c r="D2626" s="1" t="str">
        <f t="array" ref="D2626">IF(ISBLANK(XLOOKUP(D$3,daily_items,XLOOKUP($C2626,daily_dates,big_daily_table))),NA(),XLOOKUP(D$3,daily_items,XLOOKUP($C2626,daily_dates,big_daily_table)))</f>
        <v>#N/A</v>
      </c>
      <c r="E2626" s="1" t="str">
        <f t="array" ref="E2626">IF(ISBLANK(XLOOKUP(E$3,daily_items,XLOOKUP($C2626,daily_dates,big_daily_table))),NA(),XLOOKUP(E$3,daily_items,XLOOKUP($C2626,daily_dates,big_daily_table)))</f>
        <v>#N/A</v>
      </c>
    </row>
    <row r="2627" ht="14.25" customHeight="1">
      <c r="B2627" s="7">
        <v>43532.0</v>
      </c>
      <c r="C2627" s="7">
        <f t="shared" si="1"/>
        <v>43527</v>
      </c>
      <c r="D2627" s="1" t="str">
        <f t="array" ref="D2627">IF(ISBLANK(XLOOKUP(D$3,daily_items,XLOOKUP($C2627,daily_dates,big_daily_table))),NA(),XLOOKUP(D$3,daily_items,XLOOKUP($C2627,daily_dates,big_daily_table)))</f>
        <v>#N/A</v>
      </c>
      <c r="E2627" s="1" t="str">
        <f t="array" ref="E2627">IF(ISBLANK(XLOOKUP(E$3,daily_items,XLOOKUP($C2627,daily_dates,big_daily_table))),NA(),XLOOKUP(E$3,daily_items,XLOOKUP($C2627,daily_dates,big_daily_table)))</f>
        <v>#N/A</v>
      </c>
    </row>
    <row r="2628" ht="14.25" customHeight="1">
      <c r="B2628" s="7">
        <v>43533.0</v>
      </c>
      <c r="C2628" s="7">
        <f t="shared" si="1"/>
        <v>43527</v>
      </c>
      <c r="D2628" s="1" t="str">
        <f t="array" ref="D2628">IF(ISBLANK(XLOOKUP(D$3,daily_items,XLOOKUP($C2628,daily_dates,big_daily_table))),NA(),XLOOKUP(D$3,daily_items,XLOOKUP($C2628,daily_dates,big_daily_table)))</f>
        <v>#N/A</v>
      </c>
      <c r="E2628" s="1" t="str">
        <f t="array" ref="E2628">IF(ISBLANK(XLOOKUP(E$3,daily_items,XLOOKUP($C2628,daily_dates,big_daily_table))),NA(),XLOOKUP(E$3,daily_items,XLOOKUP($C2628,daily_dates,big_daily_table)))</f>
        <v>#N/A</v>
      </c>
    </row>
    <row r="2629" ht="14.25" customHeight="1">
      <c r="B2629" s="7">
        <v>43534.0</v>
      </c>
      <c r="C2629" s="7">
        <f t="shared" si="1"/>
        <v>43534</v>
      </c>
      <c r="D2629" s="1" t="str">
        <f t="array" ref="D2629">IF(ISBLANK(XLOOKUP(D$3,daily_items,XLOOKUP($C2629,daily_dates,big_daily_table))),NA(),XLOOKUP(D$3,daily_items,XLOOKUP($C2629,daily_dates,big_daily_table)))</f>
        <v>#N/A</v>
      </c>
      <c r="E2629" s="1" t="str">
        <f t="array" ref="E2629">IF(ISBLANK(XLOOKUP(E$3,daily_items,XLOOKUP($C2629,daily_dates,big_daily_table))),NA(),XLOOKUP(E$3,daily_items,XLOOKUP($C2629,daily_dates,big_daily_table)))</f>
        <v>#N/A</v>
      </c>
    </row>
    <row r="2630" ht="14.25" customHeight="1">
      <c r="B2630" s="7">
        <v>43535.0</v>
      </c>
      <c r="C2630" s="7">
        <f t="shared" si="1"/>
        <v>43534</v>
      </c>
      <c r="D2630" s="1" t="str">
        <f t="array" ref="D2630">IF(ISBLANK(XLOOKUP(D$3,daily_items,XLOOKUP($C2630,daily_dates,big_daily_table))),NA(),XLOOKUP(D$3,daily_items,XLOOKUP($C2630,daily_dates,big_daily_table)))</f>
        <v>#N/A</v>
      </c>
      <c r="E2630" s="1" t="str">
        <f t="array" ref="E2630">IF(ISBLANK(XLOOKUP(E$3,daily_items,XLOOKUP($C2630,daily_dates,big_daily_table))),NA(),XLOOKUP(E$3,daily_items,XLOOKUP($C2630,daily_dates,big_daily_table)))</f>
        <v>#N/A</v>
      </c>
    </row>
    <row r="2631" ht="14.25" customHeight="1">
      <c r="B2631" s="7">
        <v>43536.0</v>
      </c>
      <c r="C2631" s="7">
        <f t="shared" si="1"/>
        <v>43534</v>
      </c>
      <c r="D2631" s="1" t="str">
        <f t="array" ref="D2631">IF(ISBLANK(XLOOKUP(D$3,daily_items,XLOOKUP($C2631,daily_dates,big_daily_table))),NA(),XLOOKUP(D$3,daily_items,XLOOKUP($C2631,daily_dates,big_daily_table)))</f>
        <v>#N/A</v>
      </c>
      <c r="E2631" s="1" t="str">
        <f t="array" ref="E2631">IF(ISBLANK(XLOOKUP(E$3,daily_items,XLOOKUP($C2631,daily_dates,big_daily_table))),NA(),XLOOKUP(E$3,daily_items,XLOOKUP($C2631,daily_dates,big_daily_table)))</f>
        <v>#N/A</v>
      </c>
    </row>
    <row r="2632" ht="14.25" customHeight="1">
      <c r="B2632" s="7">
        <v>43537.0</v>
      </c>
      <c r="C2632" s="7">
        <f t="shared" si="1"/>
        <v>43534</v>
      </c>
      <c r="D2632" s="1" t="str">
        <f t="array" ref="D2632">IF(ISBLANK(XLOOKUP(D$3,daily_items,XLOOKUP($C2632,daily_dates,big_daily_table))),NA(),XLOOKUP(D$3,daily_items,XLOOKUP($C2632,daily_dates,big_daily_table)))</f>
        <v>#N/A</v>
      </c>
      <c r="E2632" s="1" t="str">
        <f t="array" ref="E2632">IF(ISBLANK(XLOOKUP(E$3,daily_items,XLOOKUP($C2632,daily_dates,big_daily_table))),NA(),XLOOKUP(E$3,daily_items,XLOOKUP($C2632,daily_dates,big_daily_table)))</f>
        <v>#N/A</v>
      </c>
    </row>
    <row r="2633" ht="14.25" customHeight="1">
      <c r="B2633" s="7">
        <v>43538.0</v>
      </c>
      <c r="C2633" s="7">
        <f t="shared" si="1"/>
        <v>43534</v>
      </c>
      <c r="D2633" s="1" t="str">
        <f t="array" ref="D2633">IF(ISBLANK(XLOOKUP(D$3,daily_items,XLOOKUP($C2633,daily_dates,big_daily_table))),NA(),XLOOKUP(D$3,daily_items,XLOOKUP($C2633,daily_dates,big_daily_table)))</f>
        <v>#N/A</v>
      </c>
      <c r="E2633" s="1" t="str">
        <f t="array" ref="E2633">IF(ISBLANK(XLOOKUP(E$3,daily_items,XLOOKUP($C2633,daily_dates,big_daily_table))),NA(),XLOOKUP(E$3,daily_items,XLOOKUP($C2633,daily_dates,big_daily_table)))</f>
        <v>#N/A</v>
      </c>
    </row>
    <row r="2634" ht="14.25" customHeight="1">
      <c r="B2634" s="7">
        <v>43539.0</v>
      </c>
      <c r="C2634" s="7">
        <f t="shared" si="1"/>
        <v>43534</v>
      </c>
      <c r="D2634" s="1" t="str">
        <f t="array" ref="D2634">IF(ISBLANK(XLOOKUP(D$3,daily_items,XLOOKUP($C2634,daily_dates,big_daily_table))),NA(),XLOOKUP(D$3,daily_items,XLOOKUP($C2634,daily_dates,big_daily_table)))</f>
        <v>#N/A</v>
      </c>
      <c r="E2634" s="1" t="str">
        <f t="array" ref="E2634">IF(ISBLANK(XLOOKUP(E$3,daily_items,XLOOKUP($C2634,daily_dates,big_daily_table))),NA(),XLOOKUP(E$3,daily_items,XLOOKUP($C2634,daily_dates,big_daily_table)))</f>
        <v>#N/A</v>
      </c>
    </row>
    <row r="2635" ht="14.25" customHeight="1">
      <c r="B2635" s="7">
        <v>43540.0</v>
      </c>
      <c r="C2635" s="7">
        <f t="shared" si="1"/>
        <v>43534</v>
      </c>
      <c r="D2635" s="1" t="str">
        <f t="array" ref="D2635">IF(ISBLANK(XLOOKUP(D$3,daily_items,XLOOKUP($C2635,daily_dates,big_daily_table))),NA(),XLOOKUP(D$3,daily_items,XLOOKUP($C2635,daily_dates,big_daily_table)))</f>
        <v>#N/A</v>
      </c>
      <c r="E2635" s="1" t="str">
        <f t="array" ref="E2635">IF(ISBLANK(XLOOKUP(E$3,daily_items,XLOOKUP($C2635,daily_dates,big_daily_table))),NA(),XLOOKUP(E$3,daily_items,XLOOKUP($C2635,daily_dates,big_daily_table)))</f>
        <v>#N/A</v>
      </c>
    </row>
    <row r="2636" ht="14.25" customHeight="1">
      <c r="B2636" s="7">
        <v>43541.0</v>
      </c>
      <c r="C2636" s="7">
        <f t="shared" si="1"/>
        <v>43541</v>
      </c>
      <c r="D2636" s="1" t="str">
        <f t="array" ref="D2636">IF(ISBLANK(XLOOKUP(D$3,daily_items,XLOOKUP($C2636,daily_dates,big_daily_table))),NA(),XLOOKUP(D$3,daily_items,XLOOKUP($C2636,daily_dates,big_daily_table)))</f>
        <v>#N/A</v>
      </c>
      <c r="E2636" s="1" t="str">
        <f t="array" ref="E2636">IF(ISBLANK(XLOOKUP(E$3,daily_items,XLOOKUP($C2636,daily_dates,big_daily_table))),NA(),XLOOKUP(E$3,daily_items,XLOOKUP($C2636,daily_dates,big_daily_table)))</f>
        <v>#N/A</v>
      </c>
    </row>
    <row r="2637" ht="14.25" customHeight="1">
      <c r="B2637" s="7">
        <v>43542.0</v>
      </c>
      <c r="C2637" s="7">
        <f t="shared" si="1"/>
        <v>43541</v>
      </c>
      <c r="D2637" s="1" t="str">
        <f t="array" ref="D2637">IF(ISBLANK(XLOOKUP(D$3,daily_items,XLOOKUP($C2637,daily_dates,big_daily_table))),NA(),XLOOKUP(D$3,daily_items,XLOOKUP($C2637,daily_dates,big_daily_table)))</f>
        <v>#N/A</v>
      </c>
      <c r="E2637" s="1" t="str">
        <f t="array" ref="E2637">IF(ISBLANK(XLOOKUP(E$3,daily_items,XLOOKUP($C2637,daily_dates,big_daily_table))),NA(),XLOOKUP(E$3,daily_items,XLOOKUP($C2637,daily_dates,big_daily_table)))</f>
        <v>#N/A</v>
      </c>
    </row>
    <row r="2638" ht="14.25" customHeight="1">
      <c r="B2638" s="7">
        <v>43543.0</v>
      </c>
      <c r="C2638" s="7">
        <f t="shared" si="1"/>
        <v>43541</v>
      </c>
      <c r="D2638" s="1" t="str">
        <f t="array" ref="D2638">IF(ISBLANK(XLOOKUP(D$3,daily_items,XLOOKUP($C2638,daily_dates,big_daily_table))),NA(),XLOOKUP(D$3,daily_items,XLOOKUP($C2638,daily_dates,big_daily_table)))</f>
        <v>#N/A</v>
      </c>
      <c r="E2638" s="1" t="str">
        <f t="array" ref="E2638">IF(ISBLANK(XLOOKUP(E$3,daily_items,XLOOKUP($C2638,daily_dates,big_daily_table))),NA(),XLOOKUP(E$3,daily_items,XLOOKUP($C2638,daily_dates,big_daily_table)))</f>
        <v>#N/A</v>
      </c>
    </row>
    <row r="2639" ht="14.25" customHeight="1">
      <c r="B2639" s="7">
        <v>43544.0</v>
      </c>
      <c r="C2639" s="7">
        <f t="shared" si="1"/>
        <v>43541</v>
      </c>
      <c r="D2639" s="1" t="str">
        <f t="array" ref="D2639">IF(ISBLANK(XLOOKUP(D$3,daily_items,XLOOKUP($C2639,daily_dates,big_daily_table))),NA(),XLOOKUP(D$3,daily_items,XLOOKUP($C2639,daily_dates,big_daily_table)))</f>
        <v>#N/A</v>
      </c>
      <c r="E2639" s="1" t="str">
        <f t="array" ref="E2639">IF(ISBLANK(XLOOKUP(E$3,daily_items,XLOOKUP($C2639,daily_dates,big_daily_table))),NA(),XLOOKUP(E$3,daily_items,XLOOKUP($C2639,daily_dates,big_daily_table)))</f>
        <v>#N/A</v>
      </c>
    </row>
    <row r="2640" ht="14.25" customHeight="1">
      <c r="B2640" s="7">
        <v>43545.0</v>
      </c>
      <c r="C2640" s="7">
        <f t="shared" si="1"/>
        <v>43541</v>
      </c>
      <c r="D2640" s="1" t="str">
        <f t="array" ref="D2640">IF(ISBLANK(XLOOKUP(D$3,daily_items,XLOOKUP($C2640,daily_dates,big_daily_table))),NA(),XLOOKUP(D$3,daily_items,XLOOKUP($C2640,daily_dates,big_daily_table)))</f>
        <v>#N/A</v>
      </c>
      <c r="E2640" s="1" t="str">
        <f t="array" ref="E2640">IF(ISBLANK(XLOOKUP(E$3,daily_items,XLOOKUP($C2640,daily_dates,big_daily_table))),NA(),XLOOKUP(E$3,daily_items,XLOOKUP($C2640,daily_dates,big_daily_table)))</f>
        <v>#N/A</v>
      </c>
    </row>
    <row r="2641" ht="14.25" customHeight="1">
      <c r="B2641" s="7">
        <v>43546.0</v>
      </c>
      <c r="C2641" s="7">
        <f t="shared" si="1"/>
        <v>43541</v>
      </c>
      <c r="D2641" s="1" t="str">
        <f t="array" ref="D2641">IF(ISBLANK(XLOOKUP(D$3,daily_items,XLOOKUP($C2641,daily_dates,big_daily_table))),NA(),XLOOKUP(D$3,daily_items,XLOOKUP($C2641,daily_dates,big_daily_table)))</f>
        <v>#N/A</v>
      </c>
      <c r="E2641" s="1" t="str">
        <f t="array" ref="E2641">IF(ISBLANK(XLOOKUP(E$3,daily_items,XLOOKUP($C2641,daily_dates,big_daily_table))),NA(),XLOOKUP(E$3,daily_items,XLOOKUP($C2641,daily_dates,big_daily_table)))</f>
        <v>#N/A</v>
      </c>
    </row>
    <row r="2642" ht="14.25" customHeight="1">
      <c r="B2642" s="7">
        <v>43547.0</v>
      </c>
      <c r="C2642" s="7">
        <f t="shared" si="1"/>
        <v>43541</v>
      </c>
      <c r="D2642" s="1" t="str">
        <f t="array" ref="D2642">IF(ISBLANK(XLOOKUP(D$3,daily_items,XLOOKUP($C2642,daily_dates,big_daily_table))),NA(),XLOOKUP(D$3,daily_items,XLOOKUP($C2642,daily_dates,big_daily_table)))</f>
        <v>#N/A</v>
      </c>
      <c r="E2642" s="1" t="str">
        <f t="array" ref="E2642">IF(ISBLANK(XLOOKUP(E$3,daily_items,XLOOKUP($C2642,daily_dates,big_daily_table))),NA(),XLOOKUP(E$3,daily_items,XLOOKUP($C2642,daily_dates,big_daily_table)))</f>
        <v>#N/A</v>
      </c>
    </row>
    <row r="2643" ht="14.25" customHeight="1">
      <c r="B2643" s="7">
        <v>43548.0</v>
      </c>
      <c r="C2643" s="7">
        <f t="shared" si="1"/>
        <v>43548</v>
      </c>
      <c r="D2643" s="1" t="str">
        <f t="array" ref="D2643">IF(ISBLANK(XLOOKUP(D$3,daily_items,XLOOKUP($C2643,daily_dates,big_daily_table))),NA(),XLOOKUP(D$3,daily_items,XLOOKUP($C2643,daily_dates,big_daily_table)))</f>
        <v>#N/A</v>
      </c>
      <c r="E2643" s="1" t="str">
        <f t="array" ref="E2643">IF(ISBLANK(XLOOKUP(E$3,daily_items,XLOOKUP($C2643,daily_dates,big_daily_table))),NA(),XLOOKUP(E$3,daily_items,XLOOKUP($C2643,daily_dates,big_daily_table)))</f>
        <v>#N/A</v>
      </c>
    </row>
    <row r="2644" ht="14.25" customHeight="1">
      <c r="B2644" s="7">
        <v>43549.0</v>
      </c>
      <c r="C2644" s="7">
        <f t="shared" si="1"/>
        <v>43548</v>
      </c>
      <c r="D2644" s="1" t="str">
        <f t="array" ref="D2644">IF(ISBLANK(XLOOKUP(D$3,daily_items,XLOOKUP($C2644,daily_dates,big_daily_table))),NA(),XLOOKUP(D$3,daily_items,XLOOKUP($C2644,daily_dates,big_daily_table)))</f>
        <v>#N/A</v>
      </c>
      <c r="E2644" s="1" t="str">
        <f t="array" ref="E2644">IF(ISBLANK(XLOOKUP(E$3,daily_items,XLOOKUP($C2644,daily_dates,big_daily_table))),NA(),XLOOKUP(E$3,daily_items,XLOOKUP($C2644,daily_dates,big_daily_table)))</f>
        <v>#N/A</v>
      </c>
    </row>
    <row r="2645" ht="14.25" customHeight="1">
      <c r="B2645" s="7">
        <v>43550.0</v>
      </c>
      <c r="C2645" s="7">
        <f t="shared" si="1"/>
        <v>43548</v>
      </c>
      <c r="D2645" s="1" t="str">
        <f t="array" ref="D2645">IF(ISBLANK(XLOOKUP(D$3,daily_items,XLOOKUP($C2645,daily_dates,big_daily_table))),NA(),XLOOKUP(D$3,daily_items,XLOOKUP($C2645,daily_dates,big_daily_table)))</f>
        <v>#N/A</v>
      </c>
      <c r="E2645" s="1" t="str">
        <f t="array" ref="E2645">IF(ISBLANK(XLOOKUP(E$3,daily_items,XLOOKUP($C2645,daily_dates,big_daily_table))),NA(),XLOOKUP(E$3,daily_items,XLOOKUP($C2645,daily_dates,big_daily_table)))</f>
        <v>#N/A</v>
      </c>
    </row>
    <row r="2646" ht="14.25" customHeight="1">
      <c r="B2646" s="7">
        <v>43551.0</v>
      </c>
      <c r="C2646" s="7">
        <f t="shared" si="1"/>
        <v>43548</v>
      </c>
      <c r="D2646" s="1" t="str">
        <f t="array" ref="D2646">IF(ISBLANK(XLOOKUP(D$3,daily_items,XLOOKUP($C2646,daily_dates,big_daily_table))),NA(),XLOOKUP(D$3,daily_items,XLOOKUP($C2646,daily_dates,big_daily_table)))</f>
        <v>#N/A</v>
      </c>
      <c r="E2646" s="1" t="str">
        <f t="array" ref="E2646">IF(ISBLANK(XLOOKUP(E$3,daily_items,XLOOKUP($C2646,daily_dates,big_daily_table))),NA(),XLOOKUP(E$3,daily_items,XLOOKUP($C2646,daily_dates,big_daily_table)))</f>
        <v>#N/A</v>
      </c>
    </row>
    <row r="2647" ht="14.25" customHeight="1">
      <c r="B2647" s="7">
        <v>43552.0</v>
      </c>
      <c r="C2647" s="7">
        <f t="shared" si="1"/>
        <v>43548</v>
      </c>
      <c r="D2647" s="1" t="str">
        <f t="array" ref="D2647">IF(ISBLANK(XLOOKUP(D$3,daily_items,XLOOKUP($C2647,daily_dates,big_daily_table))),NA(),XLOOKUP(D$3,daily_items,XLOOKUP($C2647,daily_dates,big_daily_table)))</f>
        <v>#N/A</v>
      </c>
      <c r="E2647" s="1" t="str">
        <f t="array" ref="E2647">IF(ISBLANK(XLOOKUP(E$3,daily_items,XLOOKUP($C2647,daily_dates,big_daily_table))),NA(),XLOOKUP(E$3,daily_items,XLOOKUP($C2647,daily_dates,big_daily_table)))</f>
        <v>#N/A</v>
      </c>
    </row>
    <row r="2648" ht="14.25" customHeight="1">
      <c r="B2648" s="7">
        <v>43553.0</v>
      </c>
      <c r="C2648" s="7">
        <f t="shared" si="1"/>
        <v>43548</v>
      </c>
      <c r="D2648" s="1" t="str">
        <f t="array" ref="D2648">IF(ISBLANK(XLOOKUP(D$3,daily_items,XLOOKUP($C2648,daily_dates,big_daily_table))),NA(),XLOOKUP(D$3,daily_items,XLOOKUP($C2648,daily_dates,big_daily_table)))</f>
        <v>#N/A</v>
      </c>
      <c r="E2648" s="1" t="str">
        <f t="array" ref="E2648">IF(ISBLANK(XLOOKUP(E$3,daily_items,XLOOKUP($C2648,daily_dates,big_daily_table))),NA(),XLOOKUP(E$3,daily_items,XLOOKUP($C2648,daily_dates,big_daily_table)))</f>
        <v>#N/A</v>
      </c>
    </row>
    <row r="2649" ht="14.25" customHeight="1">
      <c r="B2649" s="7">
        <v>43554.0</v>
      </c>
      <c r="C2649" s="7">
        <f t="shared" si="1"/>
        <v>43548</v>
      </c>
      <c r="D2649" s="1" t="str">
        <f t="array" ref="D2649">IF(ISBLANK(XLOOKUP(D$3,daily_items,XLOOKUP($C2649,daily_dates,big_daily_table))),NA(),XLOOKUP(D$3,daily_items,XLOOKUP($C2649,daily_dates,big_daily_table)))</f>
        <v>#N/A</v>
      </c>
      <c r="E2649" s="1" t="str">
        <f t="array" ref="E2649">IF(ISBLANK(XLOOKUP(E$3,daily_items,XLOOKUP($C2649,daily_dates,big_daily_table))),NA(),XLOOKUP(E$3,daily_items,XLOOKUP($C2649,daily_dates,big_daily_table)))</f>
        <v>#N/A</v>
      </c>
    </row>
    <row r="2650" ht="14.25" customHeight="1">
      <c r="B2650" s="7">
        <v>43555.0</v>
      </c>
      <c r="C2650" s="7">
        <f t="shared" si="1"/>
        <v>43555</v>
      </c>
      <c r="D2650" s="1" t="str">
        <f t="array" ref="D2650">IF(ISBLANK(XLOOKUP(D$3,daily_items,XLOOKUP($C2650,daily_dates,big_daily_table))),NA(),XLOOKUP(D$3,daily_items,XLOOKUP($C2650,daily_dates,big_daily_table)))</f>
        <v>#N/A</v>
      </c>
      <c r="E2650" s="1" t="str">
        <f t="array" ref="E2650">IF(ISBLANK(XLOOKUP(E$3,daily_items,XLOOKUP($C2650,daily_dates,big_daily_table))),NA(),XLOOKUP(E$3,daily_items,XLOOKUP($C2650,daily_dates,big_daily_table)))</f>
        <v>#N/A</v>
      </c>
    </row>
    <row r="2651" ht="14.25" customHeight="1">
      <c r="B2651" s="7">
        <v>43556.0</v>
      </c>
      <c r="C2651" s="7">
        <f t="shared" si="1"/>
        <v>43555</v>
      </c>
      <c r="D2651" s="1" t="str">
        <f t="array" ref="D2651">IF(ISBLANK(XLOOKUP(D$3,daily_items,XLOOKUP($C2651,daily_dates,big_daily_table))),NA(),XLOOKUP(D$3,daily_items,XLOOKUP($C2651,daily_dates,big_daily_table)))</f>
        <v>#N/A</v>
      </c>
      <c r="E2651" s="1" t="str">
        <f t="array" ref="E2651">IF(ISBLANK(XLOOKUP(E$3,daily_items,XLOOKUP($C2651,daily_dates,big_daily_table))),NA(),XLOOKUP(E$3,daily_items,XLOOKUP($C2651,daily_dates,big_daily_table)))</f>
        <v>#N/A</v>
      </c>
    </row>
    <row r="2652" ht="14.25" customHeight="1">
      <c r="B2652" s="7">
        <v>43557.0</v>
      </c>
      <c r="C2652" s="7">
        <f t="shared" si="1"/>
        <v>43555</v>
      </c>
      <c r="D2652" s="1" t="str">
        <f t="array" ref="D2652">IF(ISBLANK(XLOOKUP(D$3,daily_items,XLOOKUP($C2652,daily_dates,big_daily_table))),NA(),XLOOKUP(D$3,daily_items,XLOOKUP($C2652,daily_dates,big_daily_table)))</f>
        <v>#N/A</v>
      </c>
      <c r="E2652" s="1" t="str">
        <f t="array" ref="E2652">IF(ISBLANK(XLOOKUP(E$3,daily_items,XLOOKUP($C2652,daily_dates,big_daily_table))),NA(),XLOOKUP(E$3,daily_items,XLOOKUP($C2652,daily_dates,big_daily_table)))</f>
        <v>#N/A</v>
      </c>
    </row>
    <row r="2653" ht="14.25" customHeight="1">
      <c r="B2653" s="7">
        <v>43558.0</v>
      </c>
      <c r="C2653" s="7">
        <f t="shared" si="1"/>
        <v>43555</v>
      </c>
      <c r="D2653" s="1" t="str">
        <f t="array" ref="D2653">IF(ISBLANK(XLOOKUP(D$3,daily_items,XLOOKUP($C2653,daily_dates,big_daily_table))),NA(),XLOOKUP(D$3,daily_items,XLOOKUP($C2653,daily_dates,big_daily_table)))</f>
        <v>#N/A</v>
      </c>
      <c r="E2653" s="1" t="str">
        <f t="array" ref="E2653">IF(ISBLANK(XLOOKUP(E$3,daily_items,XLOOKUP($C2653,daily_dates,big_daily_table))),NA(),XLOOKUP(E$3,daily_items,XLOOKUP($C2653,daily_dates,big_daily_table)))</f>
        <v>#N/A</v>
      </c>
    </row>
    <row r="2654" ht="14.25" customHeight="1">
      <c r="B2654" s="7">
        <v>43559.0</v>
      </c>
      <c r="C2654" s="7">
        <f t="shared" si="1"/>
        <v>43555</v>
      </c>
      <c r="D2654" s="1" t="str">
        <f t="array" ref="D2654">IF(ISBLANK(XLOOKUP(D$3,daily_items,XLOOKUP($C2654,daily_dates,big_daily_table))),NA(),XLOOKUP(D$3,daily_items,XLOOKUP($C2654,daily_dates,big_daily_table)))</f>
        <v>#N/A</v>
      </c>
      <c r="E2654" s="1" t="str">
        <f t="array" ref="E2654">IF(ISBLANK(XLOOKUP(E$3,daily_items,XLOOKUP($C2654,daily_dates,big_daily_table))),NA(),XLOOKUP(E$3,daily_items,XLOOKUP($C2654,daily_dates,big_daily_table)))</f>
        <v>#N/A</v>
      </c>
    </row>
    <row r="2655" ht="14.25" customHeight="1">
      <c r="B2655" s="7">
        <v>43560.0</v>
      </c>
      <c r="C2655" s="7">
        <f t="shared" si="1"/>
        <v>43555</v>
      </c>
      <c r="D2655" s="1" t="str">
        <f t="array" ref="D2655">IF(ISBLANK(XLOOKUP(D$3,daily_items,XLOOKUP($C2655,daily_dates,big_daily_table))),NA(),XLOOKUP(D$3,daily_items,XLOOKUP($C2655,daily_dates,big_daily_table)))</f>
        <v>#N/A</v>
      </c>
      <c r="E2655" s="1" t="str">
        <f t="array" ref="E2655">IF(ISBLANK(XLOOKUP(E$3,daily_items,XLOOKUP($C2655,daily_dates,big_daily_table))),NA(),XLOOKUP(E$3,daily_items,XLOOKUP($C2655,daily_dates,big_daily_table)))</f>
        <v>#N/A</v>
      </c>
    </row>
    <row r="2656" ht="14.25" customHeight="1">
      <c r="B2656" s="7">
        <v>43561.0</v>
      </c>
      <c r="C2656" s="7">
        <f t="shared" si="1"/>
        <v>43555</v>
      </c>
      <c r="D2656" s="1" t="str">
        <f t="array" ref="D2656">IF(ISBLANK(XLOOKUP(D$3,daily_items,XLOOKUP($C2656,daily_dates,big_daily_table))),NA(),XLOOKUP(D$3,daily_items,XLOOKUP($C2656,daily_dates,big_daily_table)))</f>
        <v>#N/A</v>
      </c>
      <c r="E2656" s="1" t="str">
        <f t="array" ref="E2656">IF(ISBLANK(XLOOKUP(E$3,daily_items,XLOOKUP($C2656,daily_dates,big_daily_table))),NA(),XLOOKUP(E$3,daily_items,XLOOKUP($C2656,daily_dates,big_daily_table)))</f>
        <v>#N/A</v>
      </c>
    </row>
    <row r="2657" ht="14.25" customHeight="1">
      <c r="B2657" s="7">
        <v>43562.0</v>
      </c>
      <c r="C2657" s="7">
        <f t="shared" si="1"/>
        <v>43562</v>
      </c>
      <c r="D2657" s="1" t="str">
        <f t="array" ref="D2657">IF(ISBLANK(XLOOKUP(D$3,daily_items,XLOOKUP($C2657,daily_dates,big_daily_table))),NA(),XLOOKUP(D$3,daily_items,XLOOKUP($C2657,daily_dates,big_daily_table)))</f>
        <v>#N/A</v>
      </c>
      <c r="E2657" s="1" t="str">
        <f t="array" ref="E2657">IF(ISBLANK(XLOOKUP(E$3,daily_items,XLOOKUP($C2657,daily_dates,big_daily_table))),NA(),XLOOKUP(E$3,daily_items,XLOOKUP($C2657,daily_dates,big_daily_table)))</f>
        <v>#N/A</v>
      </c>
    </row>
    <row r="2658" ht="14.25" customHeight="1">
      <c r="B2658" s="7">
        <v>43563.0</v>
      </c>
      <c r="C2658" s="7">
        <f t="shared" si="1"/>
        <v>43562</v>
      </c>
      <c r="D2658" s="1" t="str">
        <f t="array" ref="D2658">IF(ISBLANK(XLOOKUP(D$3,daily_items,XLOOKUP($C2658,daily_dates,big_daily_table))),NA(),XLOOKUP(D$3,daily_items,XLOOKUP($C2658,daily_dates,big_daily_table)))</f>
        <v>#N/A</v>
      </c>
      <c r="E2658" s="1" t="str">
        <f t="array" ref="E2658">IF(ISBLANK(XLOOKUP(E$3,daily_items,XLOOKUP($C2658,daily_dates,big_daily_table))),NA(),XLOOKUP(E$3,daily_items,XLOOKUP($C2658,daily_dates,big_daily_table)))</f>
        <v>#N/A</v>
      </c>
    </row>
    <row r="2659" ht="14.25" customHeight="1">
      <c r="B2659" s="7">
        <v>43564.0</v>
      </c>
      <c r="C2659" s="7">
        <f t="shared" si="1"/>
        <v>43562</v>
      </c>
      <c r="D2659" s="1" t="str">
        <f t="array" ref="D2659">IF(ISBLANK(XLOOKUP(D$3,daily_items,XLOOKUP($C2659,daily_dates,big_daily_table))),NA(),XLOOKUP(D$3,daily_items,XLOOKUP($C2659,daily_dates,big_daily_table)))</f>
        <v>#N/A</v>
      </c>
      <c r="E2659" s="1" t="str">
        <f t="array" ref="E2659">IF(ISBLANK(XLOOKUP(E$3,daily_items,XLOOKUP($C2659,daily_dates,big_daily_table))),NA(),XLOOKUP(E$3,daily_items,XLOOKUP($C2659,daily_dates,big_daily_table)))</f>
        <v>#N/A</v>
      </c>
    </row>
    <row r="2660" ht="14.25" customHeight="1">
      <c r="B2660" s="7">
        <v>43565.0</v>
      </c>
      <c r="C2660" s="7">
        <f t="shared" si="1"/>
        <v>43562</v>
      </c>
      <c r="D2660" s="1" t="str">
        <f t="array" ref="D2660">IF(ISBLANK(XLOOKUP(D$3,daily_items,XLOOKUP($C2660,daily_dates,big_daily_table))),NA(),XLOOKUP(D$3,daily_items,XLOOKUP($C2660,daily_dates,big_daily_table)))</f>
        <v>#N/A</v>
      </c>
      <c r="E2660" s="1" t="str">
        <f t="array" ref="E2660">IF(ISBLANK(XLOOKUP(E$3,daily_items,XLOOKUP($C2660,daily_dates,big_daily_table))),NA(),XLOOKUP(E$3,daily_items,XLOOKUP($C2660,daily_dates,big_daily_table)))</f>
        <v>#N/A</v>
      </c>
    </row>
    <row r="2661" ht="14.25" customHeight="1">
      <c r="B2661" s="7">
        <v>43566.0</v>
      </c>
      <c r="C2661" s="7">
        <f t="shared" si="1"/>
        <v>43562</v>
      </c>
      <c r="D2661" s="1" t="str">
        <f t="array" ref="D2661">IF(ISBLANK(XLOOKUP(D$3,daily_items,XLOOKUP($C2661,daily_dates,big_daily_table))),NA(),XLOOKUP(D$3,daily_items,XLOOKUP($C2661,daily_dates,big_daily_table)))</f>
        <v>#N/A</v>
      </c>
      <c r="E2661" s="1" t="str">
        <f t="array" ref="E2661">IF(ISBLANK(XLOOKUP(E$3,daily_items,XLOOKUP($C2661,daily_dates,big_daily_table))),NA(),XLOOKUP(E$3,daily_items,XLOOKUP($C2661,daily_dates,big_daily_table)))</f>
        <v>#N/A</v>
      </c>
    </row>
    <row r="2662" ht="14.25" customHeight="1">
      <c r="B2662" s="7">
        <v>43567.0</v>
      </c>
      <c r="C2662" s="7">
        <f t="shared" si="1"/>
        <v>43562</v>
      </c>
      <c r="D2662" s="1" t="str">
        <f t="array" ref="D2662">IF(ISBLANK(XLOOKUP(D$3,daily_items,XLOOKUP($C2662,daily_dates,big_daily_table))),NA(),XLOOKUP(D$3,daily_items,XLOOKUP($C2662,daily_dates,big_daily_table)))</f>
        <v>#N/A</v>
      </c>
      <c r="E2662" s="1" t="str">
        <f t="array" ref="E2662">IF(ISBLANK(XLOOKUP(E$3,daily_items,XLOOKUP($C2662,daily_dates,big_daily_table))),NA(),XLOOKUP(E$3,daily_items,XLOOKUP($C2662,daily_dates,big_daily_table)))</f>
        <v>#N/A</v>
      </c>
    </row>
    <row r="2663" ht="14.25" customHeight="1">
      <c r="B2663" s="7">
        <v>43568.0</v>
      </c>
      <c r="C2663" s="7">
        <f t="shared" si="1"/>
        <v>43562</v>
      </c>
      <c r="D2663" s="1" t="str">
        <f t="array" ref="D2663">IF(ISBLANK(XLOOKUP(D$3,daily_items,XLOOKUP($C2663,daily_dates,big_daily_table))),NA(),XLOOKUP(D$3,daily_items,XLOOKUP($C2663,daily_dates,big_daily_table)))</f>
        <v>#N/A</v>
      </c>
      <c r="E2663" s="1" t="str">
        <f t="array" ref="E2663">IF(ISBLANK(XLOOKUP(E$3,daily_items,XLOOKUP($C2663,daily_dates,big_daily_table))),NA(),XLOOKUP(E$3,daily_items,XLOOKUP($C2663,daily_dates,big_daily_table)))</f>
        <v>#N/A</v>
      </c>
    </row>
    <row r="2664" ht="14.25" customHeight="1">
      <c r="B2664" s="7">
        <v>43569.0</v>
      </c>
      <c r="C2664" s="7">
        <f t="shared" si="1"/>
        <v>43569</v>
      </c>
      <c r="D2664" s="1" t="str">
        <f t="array" ref="D2664">IF(ISBLANK(XLOOKUP(D$3,daily_items,XLOOKUP($C2664,daily_dates,big_daily_table))),NA(),XLOOKUP(D$3,daily_items,XLOOKUP($C2664,daily_dates,big_daily_table)))</f>
        <v>#N/A</v>
      </c>
      <c r="E2664" s="1" t="str">
        <f t="array" ref="E2664">IF(ISBLANK(XLOOKUP(E$3,daily_items,XLOOKUP($C2664,daily_dates,big_daily_table))),NA(),XLOOKUP(E$3,daily_items,XLOOKUP($C2664,daily_dates,big_daily_table)))</f>
        <v>#N/A</v>
      </c>
    </row>
    <row r="2665" ht="14.25" customHeight="1">
      <c r="B2665" s="7">
        <v>43570.0</v>
      </c>
      <c r="C2665" s="7">
        <f t="shared" si="1"/>
        <v>43569</v>
      </c>
      <c r="D2665" s="1" t="str">
        <f t="array" ref="D2665">IF(ISBLANK(XLOOKUP(D$3,daily_items,XLOOKUP($C2665,daily_dates,big_daily_table))),NA(),XLOOKUP(D$3,daily_items,XLOOKUP($C2665,daily_dates,big_daily_table)))</f>
        <v>#N/A</v>
      </c>
      <c r="E2665" s="1" t="str">
        <f t="array" ref="E2665">IF(ISBLANK(XLOOKUP(E$3,daily_items,XLOOKUP($C2665,daily_dates,big_daily_table))),NA(),XLOOKUP(E$3,daily_items,XLOOKUP($C2665,daily_dates,big_daily_table)))</f>
        <v>#N/A</v>
      </c>
    </row>
    <row r="2666" ht="14.25" customHeight="1">
      <c r="B2666" s="7">
        <v>43571.0</v>
      </c>
      <c r="C2666" s="7">
        <f t="shared" si="1"/>
        <v>43569</v>
      </c>
      <c r="D2666" s="1" t="str">
        <f t="array" ref="D2666">IF(ISBLANK(XLOOKUP(D$3,daily_items,XLOOKUP($C2666,daily_dates,big_daily_table))),NA(),XLOOKUP(D$3,daily_items,XLOOKUP($C2666,daily_dates,big_daily_table)))</f>
        <v>#N/A</v>
      </c>
      <c r="E2666" s="1" t="str">
        <f t="array" ref="E2666">IF(ISBLANK(XLOOKUP(E$3,daily_items,XLOOKUP($C2666,daily_dates,big_daily_table))),NA(),XLOOKUP(E$3,daily_items,XLOOKUP($C2666,daily_dates,big_daily_table)))</f>
        <v>#N/A</v>
      </c>
    </row>
    <row r="2667" ht="14.25" customHeight="1">
      <c r="B2667" s="7">
        <v>43572.0</v>
      </c>
      <c r="C2667" s="7">
        <f t="shared" si="1"/>
        <v>43569</v>
      </c>
      <c r="D2667" s="1" t="str">
        <f t="array" ref="D2667">IF(ISBLANK(XLOOKUP(D$3,daily_items,XLOOKUP($C2667,daily_dates,big_daily_table))),NA(),XLOOKUP(D$3,daily_items,XLOOKUP($C2667,daily_dates,big_daily_table)))</f>
        <v>#N/A</v>
      </c>
      <c r="E2667" s="1" t="str">
        <f t="array" ref="E2667">IF(ISBLANK(XLOOKUP(E$3,daily_items,XLOOKUP($C2667,daily_dates,big_daily_table))),NA(),XLOOKUP(E$3,daily_items,XLOOKUP($C2667,daily_dates,big_daily_table)))</f>
        <v>#N/A</v>
      </c>
    </row>
    <row r="2668" ht="14.25" customHeight="1">
      <c r="B2668" s="7">
        <v>43573.0</v>
      </c>
      <c r="C2668" s="7">
        <f t="shared" si="1"/>
        <v>43569</v>
      </c>
      <c r="D2668" s="1" t="str">
        <f t="array" ref="D2668">IF(ISBLANK(XLOOKUP(D$3,daily_items,XLOOKUP($C2668,daily_dates,big_daily_table))),NA(),XLOOKUP(D$3,daily_items,XLOOKUP($C2668,daily_dates,big_daily_table)))</f>
        <v>#N/A</v>
      </c>
      <c r="E2668" s="1" t="str">
        <f t="array" ref="E2668">IF(ISBLANK(XLOOKUP(E$3,daily_items,XLOOKUP($C2668,daily_dates,big_daily_table))),NA(),XLOOKUP(E$3,daily_items,XLOOKUP($C2668,daily_dates,big_daily_table)))</f>
        <v>#N/A</v>
      </c>
    </row>
    <row r="2669" ht="14.25" customHeight="1">
      <c r="B2669" s="7">
        <v>43574.0</v>
      </c>
      <c r="C2669" s="7">
        <f t="shared" si="1"/>
        <v>43569</v>
      </c>
      <c r="D2669" s="1" t="str">
        <f t="array" ref="D2669">IF(ISBLANK(XLOOKUP(D$3,daily_items,XLOOKUP($C2669,daily_dates,big_daily_table))),NA(),XLOOKUP(D$3,daily_items,XLOOKUP($C2669,daily_dates,big_daily_table)))</f>
        <v>#N/A</v>
      </c>
      <c r="E2669" s="1" t="str">
        <f t="array" ref="E2669">IF(ISBLANK(XLOOKUP(E$3,daily_items,XLOOKUP($C2669,daily_dates,big_daily_table))),NA(),XLOOKUP(E$3,daily_items,XLOOKUP($C2669,daily_dates,big_daily_table)))</f>
        <v>#N/A</v>
      </c>
    </row>
    <row r="2670" ht="14.25" customHeight="1">
      <c r="B2670" s="7">
        <v>43575.0</v>
      </c>
      <c r="C2670" s="7">
        <f t="shared" si="1"/>
        <v>43569</v>
      </c>
      <c r="D2670" s="1" t="str">
        <f t="array" ref="D2670">IF(ISBLANK(XLOOKUP(D$3,daily_items,XLOOKUP($C2670,daily_dates,big_daily_table))),NA(),XLOOKUP(D$3,daily_items,XLOOKUP($C2670,daily_dates,big_daily_table)))</f>
        <v>#N/A</v>
      </c>
      <c r="E2670" s="1" t="str">
        <f t="array" ref="E2670">IF(ISBLANK(XLOOKUP(E$3,daily_items,XLOOKUP($C2670,daily_dates,big_daily_table))),NA(),XLOOKUP(E$3,daily_items,XLOOKUP($C2670,daily_dates,big_daily_table)))</f>
        <v>#N/A</v>
      </c>
    </row>
    <row r="2671" ht="14.25" customHeight="1">
      <c r="B2671" s="7">
        <v>43576.0</v>
      </c>
      <c r="C2671" s="7">
        <f t="shared" si="1"/>
        <v>43576</v>
      </c>
      <c r="D2671" s="1" t="str">
        <f t="array" ref="D2671">IF(ISBLANK(XLOOKUP(D$3,daily_items,XLOOKUP($C2671,daily_dates,big_daily_table))),NA(),XLOOKUP(D$3,daily_items,XLOOKUP($C2671,daily_dates,big_daily_table)))</f>
        <v>#N/A</v>
      </c>
      <c r="E2671" s="1" t="str">
        <f t="array" ref="E2671">IF(ISBLANK(XLOOKUP(E$3,daily_items,XLOOKUP($C2671,daily_dates,big_daily_table))),NA(),XLOOKUP(E$3,daily_items,XLOOKUP($C2671,daily_dates,big_daily_table)))</f>
        <v>#N/A</v>
      </c>
    </row>
    <row r="2672" ht="14.25" customHeight="1">
      <c r="B2672" s="7">
        <v>43577.0</v>
      </c>
      <c r="C2672" s="7">
        <f t="shared" si="1"/>
        <v>43576</v>
      </c>
      <c r="D2672" s="1" t="str">
        <f t="array" ref="D2672">IF(ISBLANK(XLOOKUP(D$3,daily_items,XLOOKUP($C2672,daily_dates,big_daily_table))),NA(),XLOOKUP(D$3,daily_items,XLOOKUP($C2672,daily_dates,big_daily_table)))</f>
        <v>#N/A</v>
      </c>
      <c r="E2672" s="1" t="str">
        <f t="array" ref="E2672">IF(ISBLANK(XLOOKUP(E$3,daily_items,XLOOKUP($C2672,daily_dates,big_daily_table))),NA(),XLOOKUP(E$3,daily_items,XLOOKUP($C2672,daily_dates,big_daily_table)))</f>
        <v>#N/A</v>
      </c>
    </row>
    <row r="2673" ht="14.25" customHeight="1">
      <c r="B2673" s="7">
        <v>43578.0</v>
      </c>
      <c r="C2673" s="7">
        <f t="shared" si="1"/>
        <v>43576</v>
      </c>
      <c r="D2673" s="1" t="str">
        <f t="array" ref="D2673">IF(ISBLANK(XLOOKUP(D$3,daily_items,XLOOKUP($C2673,daily_dates,big_daily_table))),NA(),XLOOKUP(D$3,daily_items,XLOOKUP($C2673,daily_dates,big_daily_table)))</f>
        <v>#N/A</v>
      </c>
      <c r="E2673" s="1" t="str">
        <f t="array" ref="E2673">IF(ISBLANK(XLOOKUP(E$3,daily_items,XLOOKUP($C2673,daily_dates,big_daily_table))),NA(),XLOOKUP(E$3,daily_items,XLOOKUP($C2673,daily_dates,big_daily_table)))</f>
        <v>#N/A</v>
      </c>
    </row>
    <row r="2674" ht="14.25" customHeight="1">
      <c r="B2674" s="7">
        <v>43579.0</v>
      </c>
      <c r="C2674" s="7">
        <f t="shared" si="1"/>
        <v>43576</v>
      </c>
      <c r="D2674" s="1" t="str">
        <f t="array" ref="D2674">IF(ISBLANK(XLOOKUP(D$3,daily_items,XLOOKUP($C2674,daily_dates,big_daily_table))),NA(),XLOOKUP(D$3,daily_items,XLOOKUP($C2674,daily_dates,big_daily_table)))</f>
        <v>#N/A</v>
      </c>
      <c r="E2674" s="1" t="str">
        <f t="array" ref="E2674">IF(ISBLANK(XLOOKUP(E$3,daily_items,XLOOKUP($C2674,daily_dates,big_daily_table))),NA(),XLOOKUP(E$3,daily_items,XLOOKUP($C2674,daily_dates,big_daily_table)))</f>
        <v>#N/A</v>
      </c>
    </row>
    <row r="2675" ht="14.25" customHeight="1">
      <c r="B2675" s="7">
        <v>43580.0</v>
      </c>
      <c r="C2675" s="7">
        <f t="shared" si="1"/>
        <v>43576</v>
      </c>
      <c r="D2675" s="1" t="str">
        <f t="array" ref="D2675">IF(ISBLANK(XLOOKUP(D$3,daily_items,XLOOKUP($C2675,daily_dates,big_daily_table))),NA(),XLOOKUP(D$3,daily_items,XLOOKUP($C2675,daily_dates,big_daily_table)))</f>
        <v>#N/A</v>
      </c>
      <c r="E2675" s="1" t="str">
        <f t="array" ref="E2675">IF(ISBLANK(XLOOKUP(E$3,daily_items,XLOOKUP($C2675,daily_dates,big_daily_table))),NA(),XLOOKUP(E$3,daily_items,XLOOKUP($C2675,daily_dates,big_daily_table)))</f>
        <v>#N/A</v>
      </c>
    </row>
    <row r="2676" ht="14.25" customHeight="1">
      <c r="B2676" s="7">
        <v>43581.0</v>
      </c>
      <c r="C2676" s="7">
        <f t="shared" si="1"/>
        <v>43576</v>
      </c>
      <c r="D2676" s="1" t="str">
        <f t="array" ref="D2676">IF(ISBLANK(XLOOKUP(D$3,daily_items,XLOOKUP($C2676,daily_dates,big_daily_table))),NA(),XLOOKUP(D$3,daily_items,XLOOKUP($C2676,daily_dates,big_daily_table)))</f>
        <v>#N/A</v>
      </c>
      <c r="E2676" s="1" t="str">
        <f t="array" ref="E2676">IF(ISBLANK(XLOOKUP(E$3,daily_items,XLOOKUP($C2676,daily_dates,big_daily_table))),NA(),XLOOKUP(E$3,daily_items,XLOOKUP($C2676,daily_dates,big_daily_table)))</f>
        <v>#N/A</v>
      </c>
    </row>
    <row r="2677" ht="14.25" customHeight="1">
      <c r="B2677" s="7">
        <v>43582.0</v>
      </c>
      <c r="C2677" s="7">
        <f t="shared" si="1"/>
        <v>43576</v>
      </c>
      <c r="D2677" s="1" t="str">
        <f t="array" ref="D2677">IF(ISBLANK(XLOOKUP(D$3,daily_items,XLOOKUP($C2677,daily_dates,big_daily_table))),NA(),XLOOKUP(D$3,daily_items,XLOOKUP($C2677,daily_dates,big_daily_table)))</f>
        <v>#N/A</v>
      </c>
      <c r="E2677" s="1" t="str">
        <f t="array" ref="E2677">IF(ISBLANK(XLOOKUP(E$3,daily_items,XLOOKUP($C2677,daily_dates,big_daily_table))),NA(),XLOOKUP(E$3,daily_items,XLOOKUP($C2677,daily_dates,big_daily_table)))</f>
        <v>#N/A</v>
      </c>
    </row>
    <row r="2678" ht="14.25" customHeight="1">
      <c r="B2678" s="7">
        <v>43583.0</v>
      </c>
      <c r="C2678" s="7">
        <f t="shared" si="1"/>
        <v>43583</v>
      </c>
      <c r="D2678" s="1" t="str">
        <f t="array" ref="D2678">IF(ISBLANK(XLOOKUP(D$3,daily_items,XLOOKUP($C2678,daily_dates,big_daily_table))),NA(),XLOOKUP(D$3,daily_items,XLOOKUP($C2678,daily_dates,big_daily_table)))</f>
        <v>#N/A</v>
      </c>
      <c r="E2678" s="1" t="str">
        <f t="array" ref="E2678">IF(ISBLANK(XLOOKUP(E$3,daily_items,XLOOKUP($C2678,daily_dates,big_daily_table))),NA(),XLOOKUP(E$3,daily_items,XLOOKUP($C2678,daily_dates,big_daily_table)))</f>
        <v>#N/A</v>
      </c>
    </row>
    <row r="2679" ht="14.25" customHeight="1">
      <c r="B2679" s="7">
        <v>43584.0</v>
      </c>
      <c r="C2679" s="7">
        <f t="shared" si="1"/>
        <v>43583</v>
      </c>
      <c r="D2679" s="1" t="str">
        <f t="array" ref="D2679">IF(ISBLANK(XLOOKUP(D$3,daily_items,XLOOKUP($C2679,daily_dates,big_daily_table))),NA(),XLOOKUP(D$3,daily_items,XLOOKUP($C2679,daily_dates,big_daily_table)))</f>
        <v>#N/A</v>
      </c>
      <c r="E2679" s="1" t="str">
        <f t="array" ref="E2679">IF(ISBLANK(XLOOKUP(E$3,daily_items,XLOOKUP($C2679,daily_dates,big_daily_table))),NA(),XLOOKUP(E$3,daily_items,XLOOKUP($C2679,daily_dates,big_daily_table)))</f>
        <v>#N/A</v>
      </c>
    </row>
    <row r="2680" ht="14.25" customHeight="1">
      <c r="B2680" s="7">
        <v>43585.0</v>
      </c>
      <c r="C2680" s="7">
        <f t="shared" si="1"/>
        <v>43583</v>
      </c>
      <c r="D2680" s="1" t="str">
        <f t="array" ref="D2680">IF(ISBLANK(XLOOKUP(D$3,daily_items,XLOOKUP($C2680,daily_dates,big_daily_table))),NA(),XLOOKUP(D$3,daily_items,XLOOKUP($C2680,daily_dates,big_daily_table)))</f>
        <v>#N/A</v>
      </c>
      <c r="E2680" s="1" t="str">
        <f t="array" ref="E2680">IF(ISBLANK(XLOOKUP(E$3,daily_items,XLOOKUP($C2680,daily_dates,big_daily_table))),NA(),XLOOKUP(E$3,daily_items,XLOOKUP($C2680,daily_dates,big_daily_table)))</f>
        <v>#N/A</v>
      </c>
    </row>
    <row r="2681" ht="14.25" customHeight="1">
      <c r="B2681" s="7">
        <v>43586.0</v>
      </c>
      <c r="C2681" s="7">
        <f t="shared" si="1"/>
        <v>43583</v>
      </c>
      <c r="D2681" s="1" t="str">
        <f t="array" ref="D2681">IF(ISBLANK(XLOOKUP(D$3,daily_items,XLOOKUP($C2681,daily_dates,big_daily_table))),NA(),XLOOKUP(D$3,daily_items,XLOOKUP($C2681,daily_dates,big_daily_table)))</f>
        <v>#N/A</v>
      </c>
      <c r="E2681" s="1" t="str">
        <f t="array" ref="E2681">IF(ISBLANK(XLOOKUP(E$3,daily_items,XLOOKUP($C2681,daily_dates,big_daily_table))),NA(),XLOOKUP(E$3,daily_items,XLOOKUP($C2681,daily_dates,big_daily_table)))</f>
        <v>#N/A</v>
      </c>
    </row>
    <row r="2682" ht="14.25" customHeight="1">
      <c r="B2682" s="7">
        <v>43587.0</v>
      </c>
      <c r="C2682" s="7">
        <f t="shared" si="1"/>
        <v>43583</v>
      </c>
      <c r="D2682" s="1" t="str">
        <f t="array" ref="D2682">IF(ISBLANK(XLOOKUP(D$3,daily_items,XLOOKUP($C2682,daily_dates,big_daily_table))),NA(),XLOOKUP(D$3,daily_items,XLOOKUP($C2682,daily_dates,big_daily_table)))</f>
        <v>#N/A</v>
      </c>
      <c r="E2682" s="1" t="str">
        <f t="array" ref="E2682">IF(ISBLANK(XLOOKUP(E$3,daily_items,XLOOKUP($C2682,daily_dates,big_daily_table))),NA(),XLOOKUP(E$3,daily_items,XLOOKUP($C2682,daily_dates,big_daily_table)))</f>
        <v>#N/A</v>
      </c>
    </row>
    <row r="2683" ht="14.25" customHeight="1">
      <c r="B2683" s="7">
        <v>43588.0</v>
      </c>
      <c r="C2683" s="7">
        <f t="shared" si="1"/>
        <v>43583</v>
      </c>
      <c r="D2683" s="1" t="str">
        <f t="array" ref="D2683">IF(ISBLANK(XLOOKUP(D$3,daily_items,XLOOKUP($C2683,daily_dates,big_daily_table))),NA(),XLOOKUP(D$3,daily_items,XLOOKUP($C2683,daily_dates,big_daily_table)))</f>
        <v>#N/A</v>
      </c>
      <c r="E2683" s="1" t="str">
        <f t="array" ref="E2683">IF(ISBLANK(XLOOKUP(E$3,daily_items,XLOOKUP($C2683,daily_dates,big_daily_table))),NA(),XLOOKUP(E$3,daily_items,XLOOKUP($C2683,daily_dates,big_daily_table)))</f>
        <v>#N/A</v>
      </c>
    </row>
    <row r="2684" ht="14.25" customHeight="1">
      <c r="B2684" s="7">
        <v>43589.0</v>
      </c>
      <c r="C2684" s="7">
        <f t="shared" si="1"/>
        <v>43583</v>
      </c>
      <c r="D2684" s="1" t="str">
        <f t="array" ref="D2684">IF(ISBLANK(XLOOKUP(D$3,daily_items,XLOOKUP($C2684,daily_dates,big_daily_table))),NA(),XLOOKUP(D$3,daily_items,XLOOKUP($C2684,daily_dates,big_daily_table)))</f>
        <v>#N/A</v>
      </c>
      <c r="E2684" s="1" t="str">
        <f t="array" ref="E2684">IF(ISBLANK(XLOOKUP(E$3,daily_items,XLOOKUP($C2684,daily_dates,big_daily_table))),NA(),XLOOKUP(E$3,daily_items,XLOOKUP($C2684,daily_dates,big_daily_table)))</f>
        <v>#N/A</v>
      </c>
    </row>
    <row r="2685" ht="14.25" customHeight="1">
      <c r="B2685" s="7">
        <v>43590.0</v>
      </c>
      <c r="C2685" s="7">
        <f t="shared" si="1"/>
        <v>43590</v>
      </c>
      <c r="D2685" s="1" t="str">
        <f t="array" ref="D2685">IF(ISBLANK(XLOOKUP(D$3,daily_items,XLOOKUP($C2685,daily_dates,big_daily_table))),NA(),XLOOKUP(D$3,daily_items,XLOOKUP($C2685,daily_dates,big_daily_table)))</f>
        <v>#N/A</v>
      </c>
      <c r="E2685" s="1" t="str">
        <f t="array" ref="E2685">IF(ISBLANK(XLOOKUP(E$3,daily_items,XLOOKUP($C2685,daily_dates,big_daily_table))),NA(),XLOOKUP(E$3,daily_items,XLOOKUP($C2685,daily_dates,big_daily_table)))</f>
        <v>#N/A</v>
      </c>
    </row>
    <row r="2686" ht="14.25" customHeight="1">
      <c r="B2686" s="7">
        <v>43591.0</v>
      </c>
      <c r="C2686" s="7">
        <f t="shared" si="1"/>
        <v>43590</v>
      </c>
      <c r="D2686" s="1" t="str">
        <f t="array" ref="D2686">IF(ISBLANK(XLOOKUP(D$3,daily_items,XLOOKUP($C2686,daily_dates,big_daily_table))),NA(),XLOOKUP(D$3,daily_items,XLOOKUP($C2686,daily_dates,big_daily_table)))</f>
        <v>#N/A</v>
      </c>
      <c r="E2686" s="1" t="str">
        <f t="array" ref="E2686">IF(ISBLANK(XLOOKUP(E$3,daily_items,XLOOKUP($C2686,daily_dates,big_daily_table))),NA(),XLOOKUP(E$3,daily_items,XLOOKUP($C2686,daily_dates,big_daily_table)))</f>
        <v>#N/A</v>
      </c>
    </row>
    <row r="2687" ht="14.25" customHeight="1">
      <c r="B2687" s="7">
        <v>43592.0</v>
      </c>
      <c r="C2687" s="7">
        <f t="shared" si="1"/>
        <v>43590</v>
      </c>
      <c r="D2687" s="1" t="str">
        <f t="array" ref="D2687">IF(ISBLANK(XLOOKUP(D$3,daily_items,XLOOKUP($C2687,daily_dates,big_daily_table))),NA(),XLOOKUP(D$3,daily_items,XLOOKUP($C2687,daily_dates,big_daily_table)))</f>
        <v>#N/A</v>
      </c>
      <c r="E2687" s="1" t="str">
        <f t="array" ref="E2687">IF(ISBLANK(XLOOKUP(E$3,daily_items,XLOOKUP($C2687,daily_dates,big_daily_table))),NA(),XLOOKUP(E$3,daily_items,XLOOKUP($C2687,daily_dates,big_daily_table)))</f>
        <v>#N/A</v>
      </c>
    </row>
    <row r="2688" ht="14.25" customHeight="1">
      <c r="B2688" s="7">
        <v>43593.0</v>
      </c>
      <c r="C2688" s="7">
        <f t="shared" si="1"/>
        <v>43590</v>
      </c>
      <c r="D2688" s="1" t="str">
        <f t="array" ref="D2688">IF(ISBLANK(XLOOKUP(D$3,daily_items,XLOOKUP($C2688,daily_dates,big_daily_table))),NA(),XLOOKUP(D$3,daily_items,XLOOKUP($C2688,daily_dates,big_daily_table)))</f>
        <v>#N/A</v>
      </c>
      <c r="E2688" s="1" t="str">
        <f t="array" ref="E2688">IF(ISBLANK(XLOOKUP(E$3,daily_items,XLOOKUP($C2688,daily_dates,big_daily_table))),NA(),XLOOKUP(E$3,daily_items,XLOOKUP($C2688,daily_dates,big_daily_table)))</f>
        <v>#N/A</v>
      </c>
    </row>
    <row r="2689" ht="14.25" customHeight="1">
      <c r="B2689" s="7">
        <v>43594.0</v>
      </c>
      <c r="C2689" s="7">
        <f t="shared" si="1"/>
        <v>43590</v>
      </c>
      <c r="D2689" s="1" t="str">
        <f t="array" ref="D2689">IF(ISBLANK(XLOOKUP(D$3,daily_items,XLOOKUP($C2689,daily_dates,big_daily_table))),NA(),XLOOKUP(D$3,daily_items,XLOOKUP($C2689,daily_dates,big_daily_table)))</f>
        <v>#N/A</v>
      </c>
      <c r="E2689" s="1" t="str">
        <f t="array" ref="E2689">IF(ISBLANK(XLOOKUP(E$3,daily_items,XLOOKUP($C2689,daily_dates,big_daily_table))),NA(),XLOOKUP(E$3,daily_items,XLOOKUP($C2689,daily_dates,big_daily_table)))</f>
        <v>#N/A</v>
      </c>
    </row>
    <row r="2690" ht="14.25" customHeight="1">
      <c r="B2690" s="7">
        <v>43595.0</v>
      </c>
      <c r="C2690" s="7">
        <f t="shared" si="1"/>
        <v>43590</v>
      </c>
      <c r="D2690" s="1" t="str">
        <f t="array" ref="D2690">IF(ISBLANK(XLOOKUP(D$3,daily_items,XLOOKUP($C2690,daily_dates,big_daily_table))),NA(),XLOOKUP(D$3,daily_items,XLOOKUP($C2690,daily_dates,big_daily_table)))</f>
        <v>#N/A</v>
      </c>
      <c r="E2690" s="1" t="str">
        <f t="array" ref="E2690">IF(ISBLANK(XLOOKUP(E$3,daily_items,XLOOKUP($C2690,daily_dates,big_daily_table))),NA(),XLOOKUP(E$3,daily_items,XLOOKUP($C2690,daily_dates,big_daily_table)))</f>
        <v>#N/A</v>
      </c>
    </row>
    <row r="2691" ht="14.25" customHeight="1">
      <c r="B2691" s="7">
        <v>43596.0</v>
      </c>
      <c r="C2691" s="7">
        <f t="shared" si="1"/>
        <v>43590</v>
      </c>
      <c r="D2691" s="1" t="str">
        <f t="array" ref="D2691">IF(ISBLANK(XLOOKUP(D$3,daily_items,XLOOKUP($C2691,daily_dates,big_daily_table))),NA(),XLOOKUP(D$3,daily_items,XLOOKUP($C2691,daily_dates,big_daily_table)))</f>
        <v>#N/A</v>
      </c>
      <c r="E2691" s="1" t="str">
        <f t="array" ref="E2691">IF(ISBLANK(XLOOKUP(E$3,daily_items,XLOOKUP($C2691,daily_dates,big_daily_table))),NA(),XLOOKUP(E$3,daily_items,XLOOKUP($C2691,daily_dates,big_daily_table)))</f>
        <v>#N/A</v>
      </c>
    </row>
    <row r="2692" ht="14.25" customHeight="1">
      <c r="B2692" s="7">
        <v>43597.0</v>
      </c>
      <c r="C2692" s="7">
        <f t="shared" si="1"/>
        <v>43597</v>
      </c>
      <c r="D2692" s="1" t="str">
        <f t="array" ref="D2692">IF(ISBLANK(XLOOKUP(D$3,daily_items,XLOOKUP($C2692,daily_dates,big_daily_table))),NA(),XLOOKUP(D$3,daily_items,XLOOKUP($C2692,daily_dates,big_daily_table)))</f>
        <v>#N/A</v>
      </c>
      <c r="E2692" s="1" t="str">
        <f t="array" ref="E2692">IF(ISBLANK(XLOOKUP(E$3,daily_items,XLOOKUP($C2692,daily_dates,big_daily_table))),NA(),XLOOKUP(E$3,daily_items,XLOOKUP($C2692,daily_dates,big_daily_table)))</f>
        <v>#N/A</v>
      </c>
    </row>
    <row r="2693" ht="14.25" customHeight="1">
      <c r="B2693" s="7">
        <v>43598.0</v>
      </c>
      <c r="C2693" s="7">
        <f t="shared" si="1"/>
        <v>43597</v>
      </c>
      <c r="D2693" s="1" t="str">
        <f t="array" ref="D2693">IF(ISBLANK(XLOOKUP(D$3,daily_items,XLOOKUP($C2693,daily_dates,big_daily_table))),NA(),XLOOKUP(D$3,daily_items,XLOOKUP($C2693,daily_dates,big_daily_table)))</f>
        <v>#N/A</v>
      </c>
      <c r="E2693" s="1" t="str">
        <f t="array" ref="E2693">IF(ISBLANK(XLOOKUP(E$3,daily_items,XLOOKUP($C2693,daily_dates,big_daily_table))),NA(),XLOOKUP(E$3,daily_items,XLOOKUP($C2693,daily_dates,big_daily_table)))</f>
        <v>#N/A</v>
      </c>
    </row>
    <row r="2694" ht="14.25" customHeight="1">
      <c r="B2694" s="7">
        <v>43599.0</v>
      </c>
      <c r="C2694" s="7">
        <f t="shared" si="1"/>
        <v>43597</v>
      </c>
      <c r="D2694" s="1" t="str">
        <f t="array" ref="D2694">IF(ISBLANK(XLOOKUP(D$3,daily_items,XLOOKUP($C2694,daily_dates,big_daily_table))),NA(),XLOOKUP(D$3,daily_items,XLOOKUP($C2694,daily_dates,big_daily_table)))</f>
        <v>#N/A</v>
      </c>
      <c r="E2694" s="1" t="str">
        <f t="array" ref="E2694">IF(ISBLANK(XLOOKUP(E$3,daily_items,XLOOKUP($C2694,daily_dates,big_daily_table))),NA(),XLOOKUP(E$3,daily_items,XLOOKUP($C2694,daily_dates,big_daily_table)))</f>
        <v>#N/A</v>
      </c>
    </row>
    <row r="2695" ht="14.25" customHeight="1">
      <c r="B2695" s="7">
        <v>43600.0</v>
      </c>
      <c r="C2695" s="7">
        <f t="shared" si="1"/>
        <v>43597</v>
      </c>
      <c r="D2695" s="1" t="str">
        <f t="array" ref="D2695">IF(ISBLANK(XLOOKUP(D$3,daily_items,XLOOKUP($C2695,daily_dates,big_daily_table))),NA(),XLOOKUP(D$3,daily_items,XLOOKUP($C2695,daily_dates,big_daily_table)))</f>
        <v>#N/A</v>
      </c>
      <c r="E2695" s="1" t="str">
        <f t="array" ref="E2695">IF(ISBLANK(XLOOKUP(E$3,daily_items,XLOOKUP($C2695,daily_dates,big_daily_table))),NA(),XLOOKUP(E$3,daily_items,XLOOKUP($C2695,daily_dates,big_daily_table)))</f>
        <v>#N/A</v>
      </c>
    </row>
    <row r="2696" ht="14.25" customHeight="1">
      <c r="B2696" s="7">
        <v>43601.0</v>
      </c>
      <c r="C2696" s="7">
        <f t="shared" si="1"/>
        <v>43597</v>
      </c>
      <c r="D2696" s="1" t="str">
        <f t="array" ref="D2696">IF(ISBLANK(XLOOKUP(D$3,daily_items,XLOOKUP($C2696,daily_dates,big_daily_table))),NA(),XLOOKUP(D$3,daily_items,XLOOKUP($C2696,daily_dates,big_daily_table)))</f>
        <v>#N/A</v>
      </c>
      <c r="E2696" s="1" t="str">
        <f t="array" ref="E2696">IF(ISBLANK(XLOOKUP(E$3,daily_items,XLOOKUP($C2696,daily_dates,big_daily_table))),NA(),XLOOKUP(E$3,daily_items,XLOOKUP($C2696,daily_dates,big_daily_table)))</f>
        <v>#N/A</v>
      </c>
    </row>
    <row r="2697" ht="14.25" customHeight="1">
      <c r="B2697" s="7">
        <v>43602.0</v>
      </c>
      <c r="C2697" s="7">
        <f t="shared" si="1"/>
        <v>43597</v>
      </c>
      <c r="D2697" s="1" t="str">
        <f t="array" ref="D2697">IF(ISBLANK(XLOOKUP(D$3,daily_items,XLOOKUP($C2697,daily_dates,big_daily_table))),NA(),XLOOKUP(D$3,daily_items,XLOOKUP($C2697,daily_dates,big_daily_table)))</f>
        <v>#N/A</v>
      </c>
      <c r="E2697" s="1" t="str">
        <f t="array" ref="E2697">IF(ISBLANK(XLOOKUP(E$3,daily_items,XLOOKUP($C2697,daily_dates,big_daily_table))),NA(),XLOOKUP(E$3,daily_items,XLOOKUP($C2697,daily_dates,big_daily_table)))</f>
        <v>#N/A</v>
      </c>
    </row>
    <row r="2698" ht="14.25" customHeight="1">
      <c r="B2698" s="7">
        <v>43603.0</v>
      </c>
      <c r="C2698" s="7">
        <f t="shared" si="1"/>
        <v>43597</v>
      </c>
      <c r="D2698" s="1" t="str">
        <f t="array" ref="D2698">IF(ISBLANK(XLOOKUP(D$3,daily_items,XLOOKUP($C2698,daily_dates,big_daily_table))),NA(),XLOOKUP(D$3,daily_items,XLOOKUP($C2698,daily_dates,big_daily_table)))</f>
        <v>#N/A</v>
      </c>
      <c r="E2698" s="1" t="str">
        <f t="array" ref="E2698">IF(ISBLANK(XLOOKUP(E$3,daily_items,XLOOKUP($C2698,daily_dates,big_daily_table))),NA(),XLOOKUP(E$3,daily_items,XLOOKUP($C2698,daily_dates,big_daily_table)))</f>
        <v>#N/A</v>
      </c>
    </row>
    <row r="2699" ht="14.25" customHeight="1">
      <c r="B2699" s="7">
        <v>43604.0</v>
      </c>
      <c r="C2699" s="7">
        <f t="shared" si="1"/>
        <v>43604</v>
      </c>
      <c r="D2699" s="1" t="str">
        <f t="array" ref="D2699">IF(ISBLANK(XLOOKUP(D$3,daily_items,XLOOKUP($C2699,daily_dates,big_daily_table))),NA(),XLOOKUP(D$3,daily_items,XLOOKUP($C2699,daily_dates,big_daily_table)))</f>
        <v>#N/A</v>
      </c>
      <c r="E2699" s="1" t="str">
        <f t="array" ref="E2699">IF(ISBLANK(XLOOKUP(E$3,daily_items,XLOOKUP($C2699,daily_dates,big_daily_table))),NA(),XLOOKUP(E$3,daily_items,XLOOKUP($C2699,daily_dates,big_daily_table)))</f>
        <v>#N/A</v>
      </c>
    </row>
    <row r="2700" ht="14.25" customHeight="1">
      <c r="B2700" s="7">
        <v>43605.0</v>
      </c>
      <c r="C2700" s="7">
        <f t="shared" si="1"/>
        <v>43604</v>
      </c>
      <c r="D2700" s="1" t="str">
        <f t="array" ref="D2700">IF(ISBLANK(XLOOKUP(D$3,daily_items,XLOOKUP($C2700,daily_dates,big_daily_table))),NA(),XLOOKUP(D$3,daily_items,XLOOKUP($C2700,daily_dates,big_daily_table)))</f>
        <v>#N/A</v>
      </c>
      <c r="E2700" s="1" t="str">
        <f t="array" ref="E2700">IF(ISBLANK(XLOOKUP(E$3,daily_items,XLOOKUP($C2700,daily_dates,big_daily_table))),NA(),XLOOKUP(E$3,daily_items,XLOOKUP($C2700,daily_dates,big_daily_table)))</f>
        <v>#N/A</v>
      </c>
    </row>
    <row r="2701" ht="14.25" customHeight="1">
      <c r="B2701" s="7">
        <v>43606.0</v>
      </c>
      <c r="C2701" s="7">
        <f t="shared" si="1"/>
        <v>43604</v>
      </c>
      <c r="D2701" s="1" t="str">
        <f t="array" ref="D2701">IF(ISBLANK(XLOOKUP(D$3,daily_items,XLOOKUP($C2701,daily_dates,big_daily_table))),NA(),XLOOKUP(D$3,daily_items,XLOOKUP($C2701,daily_dates,big_daily_table)))</f>
        <v>#N/A</v>
      </c>
      <c r="E2701" s="1" t="str">
        <f t="array" ref="E2701">IF(ISBLANK(XLOOKUP(E$3,daily_items,XLOOKUP($C2701,daily_dates,big_daily_table))),NA(),XLOOKUP(E$3,daily_items,XLOOKUP($C2701,daily_dates,big_daily_table)))</f>
        <v>#N/A</v>
      </c>
    </row>
    <row r="2702" ht="14.25" customHeight="1">
      <c r="B2702" s="7">
        <v>43607.0</v>
      </c>
      <c r="C2702" s="7">
        <f t="shared" si="1"/>
        <v>43604</v>
      </c>
      <c r="D2702" s="1" t="str">
        <f t="array" ref="D2702">IF(ISBLANK(XLOOKUP(D$3,daily_items,XLOOKUP($C2702,daily_dates,big_daily_table))),NA(),XLOOKUP(D$3,daily_items,XLOOKUP($C2702,daily_dates,big_daily_table)))</f>
        <v>#N/A</v>
      </c>
      <c r="E2702" s="1" t="str">
        <f t="array" ref="E2702">IF(ISBLANK(XLOOKUP(E$3,daily_items,XLOOKUP($C2702,daily_dates,big_daily_table))),NA(),XLOOKUP(E$3,daily_items,XLOOKUP($C2702,daily_dates,big_daily_table)))</f>
        <v>#N/A</v>
      </c>
    </row>
    <row r="2703" ht="14.25" customHeight="1">
      <c r="B2703" s="7">
        <v>43608.0</v>
      </c>
      <c r="C2703" s="7">
        <f t="shared" si="1"/>
        <v>43604</v>
      </c>
      <c r="D2703" s="1" t="str">
        <f t="array" ref="D2703">IF(ISBLANK(XLOOKUP(D$3,daily_items,XLOOKUP($C2703,daily_dates,big_daily_table))),NA(),XLOOKUP(D$3,daily_items,XLOOKUP($C2703,daily_dates,big_daily_table)))</f>
        <v>#N/A</v>
      </c>
      <c r="E2703" s="1" t="str">
        <f t="array" ref="E2703">IF(ISBLANK(XLOOKUP(E$3,daily_items,XLOOKUP($C2703,daily_dates,big_daily_table))),NA(),XLOOKUP(E$3,daily_items,XLOOKUP($C2703,daily_dates,big_daily_table)))</f>
        <v>#N/A</v>
      </c>
    </row>
    <row r="2704" ht="14.25" customHeight="1">
      <c r="B2704" s="7">
        <v>43609.0</v>
      </c>
      <c r="C2704" s="7">
        <f t="shared" si="1"/>
        <v>43604</v>
      </c>
      <c r="D2704" s="1" t="str">
        <f t="array" ref="D2704">IF(ISBLANK(XLOOKUP(D$3,daily_items,XLOOKUP($C2704,daily_dates,big_daily_table))),NA(),XLOOKUP(D$3,daily_items,XLOOKUP($C2704,daily_dates,big_daily_table)))</f>
        <v>#N/A</v>
      </c>
      <c r="E2704" s="1" t="str">
        <f t="array" ref="E2704">IF(ISBLANK(XLOOKUP(E$3,daily_items,XLOOKUP($C2704,daily_dates,big_daily_table))),NA(),XLOOKUP(E$3,daily_items,XLOOKUP($C2704,daily_dates,big_daily_table)))</f>
        <v>#N/A</v>
      </c>
    </row>
    <row r="2705" ht="14.25" customHeight="1">
      <c r="B2705" s="7">
        <v>43610.0</v>
      </c>
      <c r="C2705" s="7">
        <f t="shared" si="1"/>
        <v>43604</v>
      </c>
      <c r="D2705" s="1" t="str">
        <f t="array" ref="D2705">IF(ISBLANK(XLOOKUP(D$3,daily_items,XLOOKUP($C2705,daily_dates,big_daily_table))),NA(),XLOOKUP(D$3,daily_items,XLOOKUP($C2705,daily_dates,big_daily_table)))</f>
        <v>#N/A</v>
      </c>
      <c r="E2705" s="1" t="str">
        <f t="array" ref="E2705">IF(ISBLANK(XLOOKUP(E$3,daily_items,XLOOKUP($C2705,daily_dates,big_daily_table))),NA(),XLOOKUP(E$3,daily_items,XLOOKUP($C2705,daily_dates,big_daily_table)))</f>
        <v>#N/A</v>
      </c>
    </row>
    <row r="2706" ht="14.25" customHeight="1">
      <c r="B2706" s="7">
        <v>43611.0</v>
      </c>
      <c r="C2706" s="7">
        <f t="shared" si="1"/>
        <v>43611</v>
      </c>
      <c r="D2706" s="1" t="str">
        <f t="array" ref="D2706">IF(ISBLANK(XLOOKUP(D$3,daily_items,XLOOKUP($C2706,daily_dates,big_daily_table))),NA(),XLOOKUP(D$3,daily_items,XLOOKUP($C2706,daily_dates,big_daily_table)))</f>
        <v>#N/A</v>
      </c>
      <c r="E2706" s="1" t="str">
        <f t="array" ref="E2706">IF(ISBLANK(XLOOKUP(E$3,daily_items,XLOOKUP($C2706,daily_dates,big_daily_table))),NA(),XLOOKUP(E$3,daily_items,XLOOKUP($C2706,daily_dates,big_daily_table)))</f>
        <v>#N/A</v>
      </c>
    </row>
    <row r="2707" ht="14.25" customHeight="1">
      <c r="B2707" s="7">
        <v>43612.0</v>
      </c>
      <c r="C2707" s="7">
        <f t="shared" si="1"/>
        <v>43611</v>
      </c>
      <c r="D2707" s="1" t="str">
        <f t="array" ref="D2707">IF(ISBLANK(XLOOKUP(D$3,daily_items,XLOOKUP($C2707,daily_dates,big_daily_table))),NA(),XLOOKUP(D$3,daily_items,XLOOKUP($C2707,daily_dates,big_daily_table)))</f>
        <v>#N/A</v>
      </c>
      <c r="E2707" s="1" t="str">
        <f t="array" ref="E2707">IF(ISBLANK(XLOOKUP(E$3,daily_items,XLOOKUP($C2707,daily_dates,big_daily_table))),NA(),XLOOKUP(E$3,daily_items,XLOOKUP($C2707,daily_dates,big_daily_table)))</f>
        <v>#N/A</v>
      </c>
    </row>
    <row r="2708" ht="14.25" customHeight="1">
      <c r="B2708" s="7">
        <v>43613.0</v>
      </c>
      <c r="C2708" s="7">
        <f t="shared" si="1"/>
        <v>43611</v>
      </c>
      <c r="D2708" s="1" t="str">
        <f t="array" ref="D2708">IF(ISBLANK(XLOOKUP(D$3,daily_items,XLOOKUP($C2708,daily_dates,big_daily_table))),NA(),XLOOKUP(D$3,daily_items,XLOOKUP($C2708,daily_dates,big_daily_table)))</f>
        <v>#N/A</v>
      </c>
      <c r="E2708" s="1" t="str">
        <f t="array" ref="E2708">IF(ISBLANK(XLOOKUP(E$3,daily_items,XLOOKUP($C2708,daily_dates,big_daily_table))),NA(),XLOOKUP(E$3,daily_items,XLOOKUP($C2708,daily_dates,big_daily_table)))</f>
        <v>#N/A</v>
      </c>
    </row>
    <row r="2709" ht="14.25" customHeight="1">
      <c r="B2709" s="7">
        <v>43614.0</v>
      </c>
      <c r="C2709" s="7">
        <f t="shared" si="1"/>
        <v>43611</v>
      </c>
      <c r="D2709" s="1" t="str">
        <f t="array" ref="D2709">IF(ISBLANK(XLOOKUP(D$3,daily_items,XLOOKUP($C2709,daily_dates,big_daily_table))),NA(),XLOOKUP(D$3,daily_items,XLOOKUP($C2709,daily_dates,big_daily_table)))</f>
        <v>#N/A</v>
      </c>
      <c r="E2709" s="1" t="str">
        <f t="array" ref="E2709">IF(ISBLANK(XLOOKUP(E$3,daily_items,XLOOKUP($C2709,daily_dates,big_daily_table))),NA(),XLOOKUP(E$3,daily_items,XLOOKUP($C2709,daily_dates,big_daily_table)))</f>
        <v>#N/A</v>
      </c>
    </row>
    <row r="2710" ht="14.25" customHeight="1">
      <c r="B2710" s="7">
        <v>43615.0</v>
      </c>
      <c r="C2710" s="7">
        <f t="shared" si="1"/>
        <v>43611</v>
      </c>
      <c r="D2710" s="1" t="str">
        <f t="array" ref="D2710">IF(ISBLANK(XLOOKUP(D$3,daily_items,XLOOKUP($C2710,daily_dates,big_daily_table))),NA(),XLOOKUP(D$3,daily_items,XLOOKUP($C2710,daily_dates,big_daily_table)))</f>
        <v>#N/A</v>
      </c>
      <c r="E2710" s="1" t="str">
        <f t="array" ref="E2710">IF(ISBLANK(XLOOKUP(E$3,daily_items,XLOOKUP($C2710,daily_dates,big_daily_table))),NA(),XLOOKUP(E$3,daily_items,XLOOKUP($C2710,daily_dates,big_daily_table)))</f>
        <v>#N/A</v>
      </c>
    </row>
    <row r="2711" ht="14.25" customHeight="1">
      <c r="B2711" s="7">
        <v>43616.0</v>
      </c>
      <c r="C2711" s="7">
        <f t="shared" si="1"/>
        <v>43611</v>
      </c>
      <c r="D2711" s="1" t="str">
        <f t="array" ref="D2711">IF(ISBLANK(XLOOKUP(D$3,daily_items,XLOOKUP($C2711,daily_dates,big_daily_table))),NA(),XLOOKUP(D$3,daily_items,XLOOKUP($C2711,daily_dates,big_daily_table)))</f>
        <v>#N/A</v>
      </c>
      <c r="E2711" s="1" t="str">
        <f t="array" ref="E2711">IF(ISBLANK(XLOOKUP(E$3,daily_items,XLOOKUP($C2711,daily_dates,big_daily_table))),NA(),XLOOKUP(E$3,daily_items,XLOOKUP($C2711,daily_dates,big_daily_table)))</f>
        <v>#N/A</v>
      </c>
    </row>
    <row r="2712" ht="14.25" customHeight="1">
      <c r="B2712" s="7">
        <v>43617.0</v>
      </c>
      <c r="C2712" s="7">
        <f t="shared" si="1"/>
        <v>43611</v>
      </c>
      <c r="D2712" s="1" t="str">
        <f t="array" ref="D2712">IF(ISBLANK(XLOOKUP(D$3,daily_items,XLOOKUP($C2712,daily_dates,big_daily_table))),NA(),XLOOKUP(D$3,daily_items,XLOOKUP($C2712,daily_dates,big_daily_table)))</f>
        <v>#N/A</v>
      </c>
      <c r="E2712" s="1" t="str">
        <f t="array" ref="E2712">IF(ISBLANK(XLOOKUP(E$3,daily_items,XLOOKUP($C2712,daily_dates,big_daily_table))),NA(),XLOOKUP(E$3,daily_items,XLOOKUP($C2712,daily_dates,big_daily_table)))</f>
        <v>#N/A</v>
      </c>
    </row>
    <row r="2713" ht="14.25" customHeight="1">
      <c r="B2713" s="7">
        <v>43618.0</v>
      </c>
      <c r="C2713" s="7">
        <f t="shared" si="1"/>
        <v>43618</v>
      </c>
      <c r="D2713" s="1" t="str">
        <f t="array" ref="D2713">IF(ISBLANK(XLOOKUP(D$3,daily_items,XLOOKUP($C2713,daily_dates,big_daily_table))),NA(),XLOOKUP(D$3,daily_items,XLOOKUP($C2713,daily_dates,big_daily_table)))</f>
        <v>#N/A</v>
      </c>
      <c r="E2713" s="1" t="str">
        <f t="array" ref="E2713">IF(ISBLANK(XLOOKUP(E$3,daily_items,XLOOKUP($C2713,daily_dates,big_daily_table))),NA(),XLOOKUP(E$3,daily_items,XLOOKUP($C2713,daily_dates,big_daily_table)))</f>
        <v>#N/A</v>
      </c>
    </row>
    <row r="2714" ht="14.25" customHeight="1">
      <c r="B2714" s="7">
        <v>43619.0</v>
      </c>
      <c r="C2714" s="7">
        <f t="shared" si="1"/>
        <v>43618</v>
      </c>
      <c r="D2714" s="1" t="str">
        <f t="array" ref="D2714">IF(ISBLANK(XLOOKUP(D$3,daily_items,XLOOKUP($C2714,daily_dates,big_daily_table))),NA(),XLOOKUP(D$3,daily_items,XLOOKUP($C2714,daily_dates,big_daily_table)))</f>
        <v>#N/A</v>
      </c>
      <c r="E2714" s="1" t="str">
        <f t="array" ref="E2714">IF(ISBLANK(XLOOKUP(E$3,daily_items,XLOOKUP($C2714,daily_dates,big_daily_table))),NA(),XLOOKUP(E$3,daily_items,XLOOKUP($C2714,daily_dates,big_daily_table)))</f>
        <v>#N/A</v>
      </c>
    </row>
    <row r="2715" ht="14.25" customHeight="1">
      <c r="B2715" s="7">
        <v>43620.0</v>
      </c>
      <c r="C2715" s="7">
        <f t="shared" si="1"/>
        <v>43618</v>
      </c>
      <c r="D2715" s="1" t="str">
        <f t="array" ref="D2715">IF(ISBLANK(XLOOKUP(D$3,daily_items,XLOOKUP($C2715,daily_dates,big_daily_table))),NA(),XLOOKUP(D$3,daily_items,XLOOKUP($C2715,daily_dates,big_daily_table)))</f>
        <v>#N/A</v>
      </c>
      <c r="E2715" s="1" t="str">
        <f t="array" ref="E2715">IF(ISBLANK(XLOOKUP(E$3,daily_items,XLOOKUP($C2715,daily_dates,big_daily_table))),NA(),XLOOKUP(E$3,daily_items,XLOOKUP($C2715,daily_dates,big_daily_table)))</f>
        <v>#N/A</v>
      </c>
    </row>
    <row r="2716" ht="14.25" customHeight="1">
      <c r="B2716" s="7">
        <v>43621.0</v>
      </c>
      <c r="C2716" s="7">
        <f t="shared" si="1"/>
        <v>43618</v>
      </c>
      <c r="D2716" s="1" t="str">
        <f t="array" ref="D2716">IF(ISBLANK(XLOOKUP(D$3,daily_items,XLOOKUP($C2716,daily_dates,big_daily_table))),NA(),XLOOKUP(D$3,daily_items,XLOOKUP($C2716,daily_dates,big_daily_table)))</f>
        <v>#N/A</v>
      </c>
      <c r="E2716" s="1" t="str">
        <f t="array" ref="E2716">IF(ISBLANK(XLOOKUP(E$3,daily_items,XLOOKUP($C2716,daily_dates,big_daily_table))),NA(),XLOOKUP(E$3,daily_items,XLOOKUP($C2716,daily_dates,big_daily_table)))</f>
        <v>#N/A</v>
      </c>
    </row>
    <row r="2717" ht="14.25" customHeight="1">
      <c r="B2717" s="7">
        <v>43622.0</v>
      </c>
      <c r="C2717" s="7">
        <f t="shared" si="1"/>
        <v>43618</v>
      </c>
      <c r="D2717" s="1" t="str">
        <f t="array" ref="D2717">IF(ISBLANK(XLOOKUP(D$3,daily_items,XLOOKUP($C2717,daily_dates,big_daily_table))),NA(),XLOOKUP(D$3,daily_items,XLOOKUP($C2717,daily_dates,big_daily_table)))</f>
        <v>#N/A</v>
      </c>
      <c r="E2717" s="1" t="str">
        <f t="array" ref="E2717">IF(ISBLANK(XLOOKUP(E$3,daily_items,XLOOKUP($C2717,daily_dates,big_daily_table))),NA(),XLOOKUP(E$3,daily_items,XLOOKUP($C2717,daily_dates,big_daily_table)))</f>
        <v>#N/A</v>
      </c>
    </row>
    <row r="2718" ht="14.25" customHeight="1">
      <c r="B2718" s="7">
        <v>43623.0</v>
      </c>
      <c r="C2718" s="7">
        <f t="shared" si="1"/>
        <v>43618</v>
      </c>
      <c r="D2718" s="1" t="str">
        <f t="array" ref="D2718">IF(ISBLANK(XLOOKUP(D$3,daily_items,XLOOKUP($C2718,daily_dates,big_daily_table))),NA(),XLOOKUP(D$3,daily_items,XLOOKUP($C2718,daily_dates,big_daily_table)))</f>
        <v>#N/A</v>
      </c>
      <c r="E2718" s="1" t="str">
        <f t="array" ref="E2718">IF(ISBLANK(XLOOKUP(E$3,daily_items,XLOOKUP($C2718,daily_dates,big_daily_table))),NA(),XLOOKUP(E$3,daily_items,XLOOKUP($C2718,daily_dates,big_daily_table)))</f>
        <v>#N/A</v>
      </c>
    </row>
    <row r="2719" ht="14.25" customHeight="1">
      <c r="B2719" s="7">
        <v>43624.0</v>
      </c>
      <c r="C2719" s="7">
        <f t="shared" si="1"/>
        <v>43618</v>
      </c>
      <c r="D2719" s="1" t="str">
        <f t="array" ref="D2719">IF(ISBLANK(XLOOKUP(D$3,daily_items,XLOOKUP($C2719,daily_dates,big_daily_table))),NA(),XLOOKUP(D$3,daily_items,XLOOKUP($C2719,daily_dates,big_daily_table)))</f>
        <v>#N/A</v>
      </c>
      <c r="E2719" s="1" t="str">
        <f t="array" ref="E2719">IF(ISBLANK(XLOOKUP(E$3,daily_items,XLOOKUP($C2719,daily_dates,big_daily_table))),NA(),XLOOKUP(E$3,daily_items,XLOOKUP($C2719,daily_dates,big_daily_table)))</f>
        <v>#N/A</v>
      </c>
    </row>
    <row r="2720" ht="14.25" customHeight="1">
      <c r="B2720" s="7">
        <v>43625.0</v>
      </c>
      <c r="C2720" s="7">
        <f t="shared" si="1"/>
        <v>43625</v>
      </c>
      <c r="D2720" s="1" t="str">
        <f t="array" ref="D2720">IF(ISBLANK(XLOOKUP(D$3,daily_items,XLOOKUP($C2720,daily_dates,big_daily_table))),NA(),XLOOKUP(D$3,daily_items,XLOOKUP($C2720,daily_dates,big_daily_table)))</f>
        <v>#N/A</v>
      </c>
      <c r="E2720" s="1" t="str">
        <f t="array" ref="E2720">IF(ISBLANK(XLOOKUP(E$3,daily_items,XLOOKUP($C2720,daily_dates,big_daily_table))),NA(),XLOOKUP(E$3,daily_items,XLOOKUP($C2720,daily_dates,big_daily_table)))</f>
        <v>#N/A</v>
      </c>
    </row>
    <row r="2721" ht="14.25" customHeight="1">
      <c r="B2721" s="7">
        <v>43626.0</v>
      </c>
      <c r="C2721" s="7">
        <f t="shared" si="1"/>
        <v>43625</v>
      </c>
      <c r="D2721" s="1" t="str">
        <f t="array" ref="D2721">IF(ISBLANK(XLOOKUP(D$3,daily_items,XLOOKUP($C2721,daily_dates,big_daily_table))),NA(),XLOOKUP(D$3,daily_items,XLOOKUP($C2721,daily_dates,big_daily_table)))</f>
        <v>#N/A</v>
      </c>
      <c r="E2721" s="1" t="str">
        <f t="array" ref="E2721">IF(ISBLANK(XLOOKUP(E$3,daily_items,XLOOKUP($C2721,daily_dates,big_daily_table))),NA(),XLOOKUP(E$3,daily_items,XLOOKUP($C2721,daily_dates,big_daily_table)))</f>
        <v>#N/A</v>
      </c>
    </row>
    <row r="2722" ht="14.25" customHeight="1">
      <c r="B2722" s="7">
        <v>43627.0</v>
      </c>
      <c r="C2722" s="7">
        <f t="shared" si="1"/>
        <v>43625</v>
      </c>
      <c r="D2722" s="1" t="str">
        <f t="array" ref="D2722">IF(ISBLANK(XLOOKUP(D$3,daily_items,XLOOKUP($C2722,daily_dates,big_daily_table))),NA(),XLOOKUP(D$3,daily_items,XLOOKUP($C2722,daily_dates,big_daily_table)))</f>
        <v>#N/A</v>
      </c>
      <c r="E2722" s="1" t="str">
        <f t="array" ref="E2722">IF(ISBLANK(XLOOKUP(E$3,daily_items,XLOOKUP($C2722,daily_dates,big_daily_table))),NA(),XLOOKUP(E$3,daily_items,XLOOKUP($C2722,daily_dates,big_daily_table)))</f>
        <v>#N/A</v>
      </c>
    </row>
    <row r="2723" ht="14.25" customHeight="1">
      <c r="B2723" s="7">
        <v>43628.0</v>
      </c>
      <c r="C2723" s="7">
        <f t="shared" si="1"/>
        <v>43625</v>
      </c>
      <c r="D2723" s="1" t="str">
        <f t="array" ref="D2723">IF(ISBLANK(XLOOKUP(D$3,daily_items,XLOOKUP($C2723,daily_dates,big_daily_table))),NA(),XLOOKUP(D$3,daily_items,XLOOKUP($C2723,daily_dates,big_daily_table)))</f>
        <v>#N/A</v>
      </c>
      <c r="E2723" s="1" t="str">
        <f t="array" ref="E2723">IF(ISBLANK(XLOOKUP(E$3,daily_items,XLOOKUP($C2723,daily_dates,big_daily_table))),NA(),XLOOKUP(E$3,daily_items,XLOOKUP($C2723,daily_dates,big_daily_table)))</f>
        <v>#N/A</v>
      </c>
    </row>
    <row r="2724" ht="14.25" customHeight="1">
      <c r="B2724" s="7">
        <v>43629.0</v>
      </c>
      <c r="C2724" s="7">
        <f t="shared" si="1"/>
        <v>43625</v>
      </c>
      <c r="D2724" s="1" t="str">
        <f t="array" ref="D2724">IF(ISBLANK(XLOOKUP(D$3,daily_items,XLOOKUP($C2724,daily_dates,big_daily_table))),NA(),XLOOKUP(D$3,daily_items,XLOOKUP($C2724,daily_dates,big_daily_table)))</f>
        <v>#N/A</v>
      </c>
      <c r="E2724" s="1" t="str">
        <f t="array" ref="E2724">IF(ISBLANK(XLOOKUP(E$3,daily_items,XLOOKUP($C2724,daily_dates,big_daily_table))),NA(),XLOOKUP(E$3,daily_items,XLOOKUP($C2724,daily_dates,big_daily_table)))</f>
        <v>#N/A</v>
      </c>
    </row>
    <row r="2725" ht="14.25" customHeight="1">
      <c r="B2725" s="7">
        <v>43630.0</v>
      </c>
      <c r="C2725" s="7">
        <f t="shared" si="1"/>
        <v>43625</v>
      </c>
      <c r="D2725" s="1" t="str">
        <f t="array" ref="D2725">IF(ISBLANK(XLOOKUP(D$3,daily_items,XLOOKUP($C2725,daily_dates,big_daily_table))),NA(),XLOOKUP(D$3,daily_items,XLOOKUP($C2725,daily_dates,big_daily_table)))</f>
        <v>#N/A</v>
      </c>
      <c r="E2725" s="1" t="str">
        <f t="array" ref="E2725">IF(ISBLANK(XLOOKUP(E$3,daily_items,XLOOKUP($C2725,daily_dates,big_daily_table))),NA(),XLOOKUP(E$3,daily_items,XLOOKUP($C2725,daily_dates,big_daily_table)))</f>
        <v>#N/A</v>
      </c>
    </row>
    <row r="2726" ht="14.25" customHeight="1">
      <c r="B2726" s="7">
        <v>43631.0</v>
      </c>
      <c r="C2726" s="7">
        <f t="shared" si="1"/>
        <v>43625</v>
      </c>
      <c r="D2726" s="1" t="str">
        <f t="array" ref="D2726">IF(ISBLANK(XLOOKUP(D$3,daily_items,XLOOKUP($C2726,daily_dates,big_daily_table))),NA(),XLOOKUP(D$3,daily_items,XLOOKUP($C2726,daily_dates,big_daily_table)))</f>
        <v>#N/A</v>
      </c>
      <c r="E2726" s="1" t="str">
        <f t="array" ref="E2726">IF(ISBLANK(XLOOKUP(E$3,daily_items,XLOOKUP($C2726,daily_dates,big_daily_table))),NA(),XLOOKUP(E$3,daily_items,XLOOKUP($C2726,daily_dates,big_daily_table)))</f>
        <v>#N/A</v>
      </c>
    </row>
    <row r="2727" ht="14.25" customHeight="1">
      <c r="B2727" s="7">
        <v>43632.0</v>
      </c>
      <c r="C2727" s="7">
        <f t="shared" si="1"/>
        <v>43632</v>
      </c>
      <c r="D2727" s="1" t="str">
        <f t="array" ref="D2727">IF(ISBLANK(XLOOKUP(D$3,daily_items,XLOOKUP($C2727,daily_dates,big_daily_table))),NA(),XLOOKUP(D$3,daily_items,XLOOKUP($C2727,daily_dates,big_daily_table)))</f>
        <v>#N/A</v>
      </c>
      <c r="E2727" s="1" t="str">
        <f t="array" ref="E2727">IF(ISBLANK(XLOOKUP(E$3,daily_items,XLOOKUP($C2727,daily_dates,big_daily_table))),NA(),XLOOKUP(E$3,daily_items,XLOOKUP($C2727,daily_dates,big_daily_table)))</f>
        <v>#N/A</v>
      </c>
    </row>
    <row r="2728" ht="14.25" customHeight="1">
      <c r="B2728" s="7">
        <v>43633.0</v>
      </c>
      <c r="C2728" s="7">
        <f t="shared" si="1"/>
        <v>43632</v>
      </c>
      <c r="D2728" s="1" t="str">
        <f t="array" ref="D2728">IF(ISBLANK(XLOOKUP(D$3,daily_items,XLOOKUP($C2728,daily_dates,big_daily_table))),NA(),XLOOKUP(D$3,daily_items,XLOOKUP($C2728,daily_dates,big_daily_table)))</f>
        <v>#N/A</v>
      </c>
      <c r="E2728" s="1" t="str">
        <f t="array" ref="E2728">IF(ISBLANK(XLOOKUP(E$3,daily_items,XLOOKUP($C2728,daily_dates,big_daily_table))),NA(),XLOOKUP(E$3,daily_items,XLOOKUP($C2728,daily_dates,big_daily_table)))</f>
        <v>#N/A</v>
      </c>
    </row>
    <row r="2729" ht="14.25" customHeight="1">
      <c r="B2729" s="7">
        <v>43634.0</v>
      </c>
      <c r="C2729" s="7">
        <f t="shared" si="1"/>
        <v>43632</v>
      </c>
      <c r="D2729" s="1" t="str">
        <f t="array" ref="D2729">IF(ISBLANK(XLOOKUP(D$3,daily_items,XLOOKUP($C2729,daily_dates,big_daily_table))),NA(),XLOOKUP(D$3,daily_items,XLOOKUP($C2729,daily_dates,big_daily_table)))</f>
        <v>#N/A</v>
      </c>
      <c r="E2729" s="1" t="str">
        <f t="array" ref="E2729">IF(ISBLANK(XLOOKUP(E$3,daily_items,XLOOKUP($C2729,daily_dates,big_daily_table))),NA(),XLOOKUP(E$3,daily_items,XLOOKUP($C2729,daily_dates,big_daily_table)))</f>
        <v>#N/A</v>
      </c>
    </row>
    <row r="2730" ht="14.25" customHeight="1">
      <c r="B2730" s="7">
        <v>43635.0</v>
      </c>
      <c r="C2730" s="7">
        <f t="shared" si="1"/>
        <v>43632</v>
      </c>
      <c r="D2730" s="1" t="str">
        <f t="array" ref="D2730">IF(ISBLANK(XLOOKUP(D$3,daily_items,XLOOKUP($C2730,daily_dates,big_daily_table))),NA(),XLOOKUP(D$3,daily_items,XLOOKUP($C2730,daily_dates,big_daily_table)))</f>
        <v>#N/A</v>
      </c>
      <c r="E2730" s="1" t="str">
        <f t="array" ref="E2730">IF(ISBLANK(XLOOKUP(E$3,daily_items,XLOOKUP($C2730,daily_dates,big_daily_table))),NA(),XLOOKUP(E$3,daily_items,XLOOKUP($C2730,daily_dates,big_daily_table)))</f>
        <v>#N/A</v>
      </c>
    </row>
    <row r="2731" ht="14.25" customHeight="1">
      <c r="B2731" s="7">
        <v>43636.0</v>
      </c>
      <c r="C2731" s="7">
        <f t="shared" si="1"/>
        <v>43632</v>
      </c>
      <c r="D2731" s="1" t="str">
        <f t="array" ref="D2731">IF(ISBLANK(XLOOKUP(D$3,daily_items,XLOOKUP($C2731,daily_dates,big_daily_table))),NA(),XLOOKUP(D$3,daily_items,XLOOKUP($C2731,daily_dates,big_daily_table)))</f>
        <v>#N/A</v>
      </c>
      <c r="E2731" s="1" t="str">
        <f t="array" ref="E2731">IF(ISBLANK(XLOOKUP(E$3,daily_items,XLOOKUP($C2731,daily_dates,big_daily_table))),NA(),XLOOKUP(E$3,daily_items,XLOOKUP($C2731,daily_dates,big_daily_table)))</f>
        <v>#N/A</v>
      </c>
    </row>
    <row r="2732" ht="14.25" customHeight="1">
      <c r="B2732" s="7">
        <v>43637.0</v>
      </c>
      <c r="C2732" s="7">
        <f t="shared" si="1"/>
        <v>43632</v>
      </c>
      <c r="D2732" s="1" t="str">
        <f t="array" ref="D2732">IF(ISBLANK(XLOOKUP(D$3,daily_items,XLOOKUP($C2732,daily_dates,big_daily_table))),NA(),XLOOKUP(D$3,daily_items,XLOOKUP($C2732,daily_dates,big_daily_table)))</f>
        <v>#N/A</v>
      </c>
      <c r="E2732" s="1" t="str">
        <f t="array" ref="E2732">IF(ISBLANK(XLOOKUP(E$3,daily_items,XLOOKUP($C2732,daily_dates,big_daily_table))),NA(),XLOOKUP(E$3,daily_items,XLOOKUP($C2732,daily_dates,big_daily_table)))</f>
        <v>#N/A</v>
      </c>
    </row>
    <row r="2733" ht="14.25" customHeight="1">
      <c r="B2733" s="7">
        <v>43638.0</v>
      </c>
      <c r="C2733" s="7">
        <f t="shared" si="1"/>
        <v>43632</v>
      </c>
      <c r="D2733" s="1" t="str">
        <f t="array" ref="D2733">IF(ISBLANK(XLOOKUP(D$3,daily_items,XLOOKUP($C2733,daily_dates,big_daily_table))),NA(),XLOOKUP(D$3,daily_items,XLOOKUP($C2733,daily_dates,big_daily_table)))</f>
        <v>#N/A</v>
      </c>
      <c r="E2733" s="1" t="str">
        <f t="array" ref="E2733">IF(ISBLANK(XLOOKUP(E$3,daily_items,XLOOKUP($C2733,daily_dates,big_daily_table))),NA(),XLOOKUP(E$3,daily_items,XLOOKUP($C2733,daily_dates,big_daily_table)))</f>
        <v>#N/A</v>
      </c>
    </row>
    <row r="2734" ht="14.25" customHeight="1">
      <c r="B2734" s="7">
        <v>43639.0</v>
      </c>
      <c r="C2734" s="7">
        <f t="shared" si="1"/>
        <v>43639</v>
      </c>
      <c r="D2734" s="1" t="str">
        <f t="array" ref="D2734">IF(ISBLANK(XLOOKUP(D$3,daily_items,XLOOKUP($C2734,daily_dates,big_daily_table))),NA(),XLOOKUP(D$3,daily_items,XLOOKUP($C2734,daily_dates,big_daily_table)))</f>
        <v>#N/A</v>
      </c>
      <c r="E2734" s="1" t="str">
        <f t="array" ref="E2734">IF(ISBLANK(XLOOKUP(E$3,daily_items,XLOOKUP($C2734,daily_dates,big_daily_table))),NA(),XLOOKUP(E$3,daily_items,XLOOKUP($C2734,daily_dates,big_daily_table)))</f>
        <v>#N/A</v>
      </c>
    </row>
    <row r="2735" ht="14.25" customHeight="1">
      <c r="B2735" s="7">
        <v>43640.0</v>
      </c>
      <c r="C2735" s="7">
        <f t="shared" si="1"/>
        <v>43639</v>
      </c>
      <c r="D2735" s="1" t="str">
        <f t="array" ref="D2735">IF(ISBLANK(XLOOKUP(D$3,daily_items,XLOOKUP($C2735,daily_dates,big_daily_table))),NA(),XLOOKUP(D$3,daily_items,XLOOKUP($C2735,daily_dates,big_daily_table)))</f>
        <v>#N/A</v>
      </c>
      <c r="E2735" s="1" t="str">
        <f t="array" ref="E2735">IF(ISBLANK(XLOOKUP(E$3,daily_items,XLOOKUP($C2735,daily_dates,big_daily_table))),NA(),XLOOKUP(E$3,daily_items,XLOOKUP($C2735,daily_dates,big_daily_table)))</f>
        <v>#N/A</v>
      </c>
    </row>
    <row r="2736" ht="14.25" customHeight="1">
      <c r="B2736" s="7">
        <v>43641.0</v>
      </c>
      <c r="C2736" s="7">
        <f t="shared" si="1"/>
        <v>43639</v>
      </c>
      <c r="D2736" s="1" t="str">
        <f t="array" ref="D2736">IF(ISBLANK(XLOOKUP(D$3,daily_items,XLOOKUP($C2736,daily_dates,big_daily_table))),NA(),XLOOKUP(D$3,daily_items,XLOOKUP($C2736,daily_dates,big_daily_table)))</f>
        <v>#N/A</v>
      </c>
      <c r="E2736" s="1" t="str">
        <f t="array" ref="E2736">IF(ISBLANK(XLOOKUP(E$3,daily_items,XLOOKUP($C2736,daily_dates,big_daily_table))),NA(),XLOOKUP(E$3,daily_items,XLOOKUP($C2736,daily_dates,big_daily_table)))</f>
        <v>#N/A</v>
      </c>
    </row>
    <row r="2737" ht="14.25" customHeight="1">
      <c r="B2737" s="7">
        <v>43642.0</v>
      </c>
      <c r="C2737" s="7">
        <f t="shared" si="1"/>
        <v>43639</v>
      </c>
      <c r="D2737" s="1" t="str">
        <f t="array" ref="D2737">IF(ISBLANK(XLOOKUP(D$3,daily_items,XLOOKUP($C2737,daily_dates,big_daily_table))),NA(),XLOOKUP(D$3,daily_items,XLOOKUP($C2737,daily_dates,big_daily_table)))</f>
        <v>#N/A</v>
      </c>
      <c r="E2737" s="1" t="str">
        <f t="array" ref="E2737">IF(ISBLANK(XLOOKUP(E$3,daily_items,XLOOKUP($C2737,daily_dates,big_daily_table))),NA(),XLOOKUP(E$3,daily_items,XLOOKUP($C2737,daily_dates,big_daily_table)))</f>
        <v>#N/A</v>
      </c>
    </row>
    <row r="2738" ht="14.25" customHeight="1">
      <c r="B2738" s="7">
        <v>43643.0</v>
      </c>
      <c r="C2738" s="7">
        <f t="shared" si="1"/>
        <v>43639</v>
      </c>
      <c r="D2738" s="1" t="str">
        <f t="array" ref="D2738">IF(ISBLANK(XLOOKUP(D$3,daily_items,XLOOKUP($C2738,daily_dates,big_daily_table))),NA(),XLOOKUP(D$3,daily_items,XLOOKUP($C2738,daily_dates,big_daily_table)))</f>
        <v>#N/A</v>
      </c>
      <c r="E2738" s="1" t="str">
        <f t="array" ref="E2738">IF(ISBLANK(XLOOKUP(E$3,daily_items,XLOOKUP($C2738,daily_dates,big_daily_table))),NA(),XLOOKUP(E$3,daily_items,XLOOKUP($C2738,daily_dates,big_daily_table)))</f>
        <v>#N/A</v>
      </c>
    </row>
    <row r="2739" ht="14.25" customHeight="1">
      <c r="B2739" s="7">
        <v>43644.0</v>
      </c>
      <c r="C2739" s="7">
        <f t="shared" si="1"/>
        <v>43639</v>
      </c>
      <c r="D2739" s="1" t="str">
        <f t="array" ref="D2739">IF(ISBLANK(XLOOKUP(D$3,daily_items,XLOOKUP($C2739,daily_dates,big_daily_table))),NA(),XLOOKUP(D$3,daily_items,XLOOKUP($C2739,daily_dates,big_daily_table)))</f>
        <v>#N/A</v>
      </c>
      <c r="E2739" s="1" t="str">
        <f t="array" ref="E2739">IF(ISBLANK(XLOOKUP(E$3,daily_items,XLOOKUP($C2739,daily_dates,big_daily_table))),NA(),XLOOKUP(E$3,daily_items,XLOOKUP($C2739,daily_dates,big_daily_table)))</f>
        <v>#N/A</v>
      </c>
    </row>
    <row r="2740" ht="14.25" customHeight="1">
      <c r="B2740" s="7">
        <v>43645.0</v>
      </c>
      <c r="C2740" s="7">
        <f t="shared" si="1"/>
        <v>43639</v>
      </c>
      <c r="D2740" s="1" t="str">
        <f t="array" ref="D2740">IF(ISBLANK(XLOOKUP(D$3,daily_items,XLOOKUP($C2740,daily_dates,big_daily_table))),NA(),XLOOKUP(D$3,daily_items,XLOOKUP($C2740,daily_dates,big_daily_table)))</f>
        <v>#N/A</v>
      </c>
      <c r="E2740" s="1" t="str">
        <f t="array" ref="E2740">IF(ISBLANK(XLOOKUP(E$3,daily_items,XLOOKUP($C2740,daily_dates,big_daily_table))),NA(),XLOOKUP(E$3,daily_items,XLOOKUP($C2740,daily_dates,big_daily_table)))</f>
        <v>#N/A</v>
      </c>
    </row>
    <row r="2741" ht="14.25" customHeight="1">
      <c r="B2741" s="7">
        <v>43646.0</v>
      </c>
      <c r="C2741" s="7">
        <f t="shared" si="1"/>
        <v>43646</v>
      </c>
      <c r="D2741" s="1" t="str">
        <f t="array" ref="D2741">IF(ISBLANK(XLOOKUP(D$3,daily_items,XLOOKUP($C2741,daily_dates,big_daily_table))),NA(),XLOOKUP(D$3,daily_items,XLOOKUP($C2741,daily_dates,big_daily_table)))</f>
        <v>#N/A</v>
      </c>
      <c r="E2741" s="1" t="str">
        <f t="array" ref="E2741">IF(ISBLANK(XLOOKUP(E$3,daily_items,XLOOKUP($C2741,daily_dates,big_daily_table))),NA(),XLOOKUP(E$3,daily_items,XLOOKUP($C2741,daily_dates,big_daily_table)))</f>
        <v>#N/A</v>
      </c>
    </row>
    <row r="2742" ht="14.25" customHeight="1">
      <c r="B2742" s="7">
        <v>43647.0</v>
      </c>
      <c r="C2742" s="7">
        <f t="shared" si="1"/>
        <v>43646</v>
      </c>
      <c r="D2742" s="1" t="str">
        <f t="array" ref="D2742">IF(ISBLANK(XLOOKUP(D$3,daily_items,XLOOKUP($C2742,daily_dates,big_daily_table))),NA(),XLOOKUP(D$3,daily_items,XLOOKUP($C2742,daily_dates,big_daily_table)))</f>
        <v>#N/A</v>
      </c>
      <c r="E2742" s="1" t="str">
        <f t="array" ref="E2742">IF(ISBLANK(XLOOKUP(E$3,daily_items,XLOOKUP($C2742,daily_dates,big_daily_table))),NA(),XLOOKUP(E$3,daily_items,XLOOKUP($C2742,daily_dates,big_daily_table)))</f>
        <v>#N/A</v>
      </c>
    </row>
    <row r="2743" ht="14.25" customHeight="1">
      <c r="B2743" s="7">
        <v>43648.0</v>
      </c>
      <c r="C2743" s="7">
        <f t="shared" si="1"/>
        <v>43646</v>
      </c>
      <c r="D2743" s="1" t="str">
        <f t="array" ref="D2743">IF(ISBLANK(XLOOKUP(D$3,daily_items,XLOOKUP($C2743,daily_dates,big_daily_table))),NA(),XLOOKUP(D$3,daily_items,XLOOKUP($C2743,daily_dates,big_daily_table)))</f>
        <v>#N/A</v>
      </c>
      <c r="E2743" s="1" t="str">
        <f t="array" ref="E2743">IF(ISBLANK(XLOOKUP(E$3,daily_items,XLOOKUP($C2743,daily_dates,big_daily_table))),NA(),XLOOKUP(E$3,daily_items,XLOOKUP($C2743,daily_dates,big_daily_table)))</f>
        <v>#N/A</v>
      </c>
    </row>
    <row r="2744" ht="14.25" customHeight="1">
      <c r="B2744" s="7">
        <v>43649.0</v>
      </c>
      <c r="C2744" s="7">
        <f t="shared" si="1"/>
        <v>43646</v>
      </c>
      <c r="D2744" s="1" t="str">
        <f t="array" ref="D2744">IF(ISBLANK(XLOOKUP(D$3,daily_items,XLOOKUP($C2744,daily_dates,big_daily_table))),NA(),XLOOKUP(D$3,daily_items,XLOOKUP($C2744,daily_dates,big_daily_table)))</f>
        <v>#N/A</v>
      </c>
      <c r="E2744" s="1" t="str">
        <f t="array" ref="E2744">IF(ISBLANK(XLOOKUP(E$3,daily_items,XLOOKUP($C2744,daily_dates,big_daily_table))),NA(),XLOOKUP(E$3,daily_items,XLOOKUP($C2744,daily_dates,big_daily_table)))</f>
        <v>#N/A</v>
      </c>
    </row>
    <row r="2745" ht="14.25" customHeight="1">
      <c r="B2745" s="7">
        <v>43650.0</v>
      </c>
      <c r="C2745" s="7">
        <f t="shared" si="1"/>
        <v>43646</v>
      </c>
      <c r="D2745" s="1" t="str">
        <f t="array" ref="D2745">IF(ISBLANK(XLOOKUP(D$3,daily_items,XLOOKUP($C2745,daily_dates,big_daily_table))),NA(),XLOOKUP(D$3,daily_items,XLOOKUP($C2745,daily_dates,big_daily_table)))</f>
        <v>#N/A</v>
      </c>
      <c r="E2745" s="1" t="str">
        <f t="array" ref="E2745">IF(ISBLANK(XLOOKUP(E$3,daily_items,XLOOKUP($C2745,daily_dates,big_daily_table))),NA(),XLOOKUP(E$3,daily_items,XLOOKUP($C2745,daily_dates,big_daily_table)))</f>
        <v>#N/A</v>
      </c>
    </row>
    <row r="2746" ht="14.25" customHeight="1">
      <c r="B2746" s="7">
        <v>43651.0</v>
      </c>
      <c r="C2746" s="7">
        <f t="shared" si="1"/>
        <v>43646</v>
      </c>
      <c r="D2746" s="1" t="str">
        <f t="array" ref="D2746">IF(ISBLANK(XLOOKUP(D$3,daily_items,XLOOKUP($C2746,daily_dates,big_daily_table))),NA(),XLOOKUP(D$3,daily_items,XLOOKUP($C2746,daily_dates,big_daily_table)))</f>
        <v>#N/A</v>
      </c>
      <c r="E2746" s="1" t="str">
        <f t="array" ref="E2746">IF(ISBLANK(XLOOKUP(E$3,daily_items,XLOOKUP($C2746,daily_dates,big_daily_table))),NA(),XLOOKUP(E$3,daily_items,XLOOKUP($C2746,daily_dates,big_daily_table)))</f>
        <v>#N/A</v>
      </c>
    </row>
    <row r="2747" ht="14.25" customHeight="1">
      <c r="B2747" s="7">
        <v>43652.0</v>
      </c>
      <c r="C2747" s="7">
        <f t="shared" si="1"/>
        <v>43646</v>
      </c>
      <c r="D2747" s="1" t="str">
        <f t="array" ref="D2747">IF(ISBLANK(XLOOKUP(D$3,daily_items,XLOOKUP($C2747,daily_dates,big_daily_table))),NA(),XLOOKUP(D$3,daily_items,XLOOKUP($C2747,daily_dates,big_daily_table)))</f>
        <v>#N/A</v>
      </c>
      <c r="E2747" s="1" t="str">
        <f t="array" ref="E2747">IF(ISBLANK(XLOOKUP(E$3,daily_items,XLOOKUP($C2747,daily_dates,big_daily_table))),NA(),XLOOKUP(E$3,daily_items,XLOOKUP($C2747,daily_dates,big_daily_table)))</f>
        <v>#N/A</v>
      </c>
    </row>
    <row r="2748" ht="14.25" customHeight="1">
      <c r="B2748" s="7">
        <v>43653.0</v>
      </c>
      <c r="C2748" s="7">
        <f t="shared" si="1"/>
        <v>43653</v>
      </c>
      <c r="D2748" s="1" t="str">
        <f t="array" ref="D2748">IF(ISBLANK(XLOOKUP(D$3,daily_items,XLOOKUP($C2748,daily_dates,big_daily_table))),NA(),XLOOKUP(D$3,daily_items,XLOOKUP($C2748,daily_dates,big_daily_table)))</f>
        <v>#N/A</v>
      </c>
      <c r="E2748" s="1" t="str">
        <f t="array" ref="E2748">IF(ISBLANK(XLOOKUP(E$3,daily_items,XLOOKUP($C2748,daily_dates,big_daily_table))),NA(),XLOOKUP(E$3,daily_items,XLOOKUP($C2748,daily_dates,big_daily_table)))</f>
        <v>#N/A</v>
      </c>
    </row>
    <row r="2749" ht="14.25" customHeight="1">
      <c r="B2749" s="7">
        <v>43654.0</v>
      </c>
      <c r="C2749" s="7">
        <f t="shared" si="1"/>
        <v>43653</v>
      </c>
      <c r="D2749" s="1" t="str">
        <f t="array" ref="D2749">IF(ISBLANK(XLOOKUP(D$3,daily_items,XLOOKUP($C2749,daily_dates,big_daily_table))),NA(),XLOOKUP(D$3,daily_items,XLOOKUP($C2749,daily_dates,big_daily_table)))</f>
        <v>#N/A</v>
      </c>
      <c r="E2749" s="1" t="str">
        <f t="array" ref="E2749">IF(ISBLANK(XLOOKUP(E$3,daily_items,XLOOKUP($C2749,daily_dates,big_daily_table))),NA(),XLOOKUP(E$3,daily_items,XLOOKUP($C2749,daily_dates,big_daily_table)))</f>
        <v>#N/A</v>
      </c>
    </row>
    <row r="2750" ht="14.25" customHeight="1">
      <c r="B2750" s="7">
        <v>43655.0</v>
      </c>
      <c r="C2750" s="7">
        <f t="shared" si="1"/>
        <v>43653</v>
      </c>
      <c r="D2750" s="1" t="str">
        <f t="array" ref="D2750">IF(ISBLANK(XLOOKUP(D$3,daily_items,XLOOKUP($C2750,daily_dates,big_daily_table))),NA(),XLOOKUP(D$3,daily_items,XLOOKUP($C2750,daily_dates,big_daily_table)))</f>
        <v>#N/A</v>
      </c>
      <c r="E2750" s="1" t="str">
        <f t="array" ref="E2750">IF(ISBLANK(XLOOKUP(E$3,daily_items,XLOOKUP($C2750,daily_dates,big_daily_table))),NA(),XLOOKUP(E$3,daily_items,XLOOKUP($C2750,daily_dates,big_daily_table)))</f>
        <v>#N/A</v>
      </c>
    </row>
    <row r="2751" ht="14.25" customHeight="1">
      <c r="B2751" s="7">
        <v>43656.0</v>
      </c>
      <c r="C2751" s="7">
        <f t="shared" si="1"/>
        <v>43653</v>
      </c>
      <c r="D2751" s="1" t="str">
        <f t="array" ref="D2751">IF(ISBLANK(XLOOKUP(D$3,daily_items,XLOOKUP($C2751,daily_dates,big_daily_table))),NA(),XLOOKUP(D$3,daily_items,XLOOKUP($C2751,daily_dates,big_daily_table)))</f>
        <v>#N/A</v>
      </c>
      <c r="E2751" s="1" t="str">
        <f t="array" ref="E2751">IF(ISBLANK(XLOOKUP(E$3,daily_items,XLOOKUP($C2751,daily_dates,big_daily_table))),NA(),XLOOKUP(E$3,daily_items,XLOOKUP($C2751,daily_dates,big_daily_table)))</f>
        <v>#N/A</v>
      </c>
    </row>
    <row r="2752" ht="14.25" customHeight="1">
      <c r="B2752" s="7">
        <v>43657.0</v>
      </c>
      <c r="C2752" s="7">
        <f t="shared" si="1"/>
        <v>43653</v>
      </c>
      <c r="D2752" s="1" t="str">
        <f t="array" ref="D2752">IF(ISBLANK(XLOOKUP(D$3,daily_items,XLOOKUP($C2752,daily_dates,big_daily_table))),NA(),XLOOKUP(D$3,daily_items,XLOOKUP($C2752,daily_dates,big_daily_table)))</f>
        <v>#N/A</v>
      </c>
      <c r="E2752" s="1" t="str">
        <f t="array" ref="E2752">IF(ISBLANK(XLOOKUP(E$3,daily_items,XLOOKUP($C2752,daily_dates,big_daily_table))),NA(),XLOOKUP(E$3,daily_items,XLOOKUP($C2752,daily_dates,big_daily_table)))</f>
        <v>#N/A</v>
      </c>
    </row>
    <row r="2753" ht="14.25" customHeight="1">
      <c r="B2753" s="7">
        <v>43658.0</v>
      </c>
      <c r="C2753" s="7">
        <f t="shared" si="1"/>
        <v>43653</v>
      </c>
      <c r="D2753" s="1" t="str">
        <f t="array" ref="D2753">IF(ISBLANK(XLOOKUP(D$3,daily_items,XLOOKUP($C2753,daily_dates,big_daily_table))),NA(),XLOOKUP(D$3,daily_items,XLOOKUP($C2753,daily_dates,big_daily_table)))</f>
        <v>#N/A</v>
      </c>
      <c r="E2753" s="1" t="str">
        <f t="array" ref="E2753">IF(ISBLANK(XLOOKUP(E$3,daily_items,XLOOKUP($C2753,daily_dates,big_daily_table))),NA(),XLOOKUP(E$3,daily_items,XLOOKUP($C2753,daily_dates,big_daily_table)))</f>
        <v>#N/A</v>
      </c>
    </row>
    <row r="2754" ht="14.25" customHeight="1">
      <c r="B2754" s="7">
        <v>43659.0</v>
      </c>
      <c r="C2754" s="7">
        <f t="shared" si="1"/>
        <v>43653</v>
      </c>
      <c r="D2754" s="1" t="str">
        <f t="array" ref="D2754">IF(ISBLANK(XLOOKUP(D$3,daily_items,XLOOKUP($C2754,daily_dates,big_daily_table))),NA(),XLOOKUP(D$3,daily_items,XLOOKUP($C2754,daily_dates,big_daily_table)))</f>
        <v>#N/A</v>
      </c>
      <c r="E2754" s="1" t="str">
        <f t="array" ref="E2754">IF(ISBLANK(XLOOKUP(E$3,daily_items,XLOOKUP($C2754,daily_dates,big_daily_table))),NA(),XLOOKUP(E$3,daily_items,XLOOKUP($C2754,daily_dates,big_daily_table)))</f>
        <v>#N/A</v>
      </c>
    </row>
    <row r="2755" ht="14.25" customHeight="1">
      <c r="B2755" s="7">
        <v>43660.0</v>
      </c>
      <c r="C2755" s="7">
        <f t="shared" si="1"/>
        <v>43660</v>
      </c>
      <c r="D2755" s="1" t="str">
        <f t="array" ref="D2755">IF(ISBLANK(XLOOKUP(D$3,daily_items,XLOOKUP($C2755,daily_dates,big_daily_table))),NA(),XLOOKUP(D$3,daily_items,XLOOKUP($C2755,daily_dates,big_daily_table)))</f>
        <v>#N/A</v>
      </c>
      <c r="E2755" s="1" t="str">
        <f t="array" ref="E2755">IF(ISBLANK(XLOOKUP(E$3,daily_items,XLOOKUP($C2755,daily_dates,big_daily_table))),NA(),XLOOKUP(E$3,daily_items,XLOOKUP($C2755,daily_dates,big_daily_table)))</f>
        <v>#N/A</v>
      </c>
    </row>
    <row r="2756" ht="14.25" customHeight="1">
      <c r="B2756" s="7">
        <v>43661.0</v>
      </c>
      <c r="C2756" s="7">
        <f t="shared" si="1"/>
        <v>43660</v>
      </c>
      <c r="D2756" s="1" t="str">
        <f t="array" ref="D2756">IF(ISBLANK(XLOOKUP(D$3,daily_items,XLOOKUP($C2756,daily_dates,big_daily_table))),NA(),XLOOKUP(D$3,daily_items,XLOOKUP($C2756,daily_dates,big_daily_table)))</f>
        <v>#N/A</v>
      </c>
      <c r="E2756" s="1" t="str">
        <f t="array" ref="E2756">IF(ISBLANK(XLOOKUP(E$3,daily_items,XLOOKUP($C2756,daily_dates,big_daily_table))),NA(),XLOOKUP(E$3,daily_items,XLOOKUP($C2756,daily_dates,big_daily_table)))</f>
        <v>#N/A</v>
      </c>
    </row>
    <row r="2757" ht="14.25" customHeight="1">
      <c r="B2757" s="7">
        <v>43662.0</v>
      </c>
      <c r="C2757" s="7">
        <f t="shared" si="1"/>
        <v>43660</v>
      </c>
      <c r="D2757" s="1" t="str">
        <f t="array" ref="D2757">IF(ISBLANK(XLOOKUP(D$3,daily_items,XLOOKUP($C2757,daily_dates,big_daily_table))),NA(),XLOOKUP(D$3,daily_items,XLOOKUP($C2757,daily_dates,big_daily_table)))</f>
        <v>#N/A</v>
      </c>
      <c r="E2757" s="1" t="str">
        <f t="array" ref="E2757">IF(ISBLANK(XLOOKUP(E$3,daily_items,XLOOKUP($C2757,daily_dates,big_daily_table))),NA(),XLOOKUP(E$3,daily_items,XLOOKUP($C2757,daily_dates,big_daily_table)))</f>
        <v>#N/A</v>
      </c>
    </row>
    <row r="2758" ht="14.25" customHeight="1">
      <c r="B2758" s="7">
        <v>43663.0</v>
      </c>
      <c r="C2758" s="7">
        <f t="shared" si="1"/>
        <v>43660</v>
      </c>
      <c r="D2758" s="1" t="str">
        <f t="array" ref="D2758">IF(ISBLANK(XLOOKUP(D$3,daily_items,XLOOKUP($C2758,daily_dates,big_daily_table))),NA(),XLOOKUP(D$3,daily_items,XLOOKUP($C2758,daily_dates,big_daily_table)))</f>
        <v>#N/A</v>
      </c>
      <c r="E2758" s="1" t="str">
        <f t="array" ref="E2758">IF(ISBLANK(XLOOKUP(E$3,daily_items,XLOOKUP($C2758,daily_dates,big_daily_table))),NA(),XLOOKUP(E$3,daily_items,XLOOKUP($C2758,daily_dates,big_daily_table)))</f>
        <v>#N/A</v>
      </c>
    </row>
    <row r="2759" ht="14.25" customHeight="1">
      <c r="B2759" s="7">
        <v>43664.0</v>
      </c>
      <c r="C2759" s="7">
        <f t="shared" si="1"/>
        <v>43660</v>
      </c>
      <c r="D2759" s="1" t="str">
        <f t="array" ref="D2759">IF(ISBLANK(XLOOKUP(D$3,daily_items,XLOOKUP($C2759,daily_dates,big_daily_table))),NA(),XLOOKUP(D$3,daily_items,XLOOKUP($C2759,daily_dates,big_daily_table)))</f>
        <v>#N/A</v>
      </c>
      <c r="E2759" s="1" t="str">
        <f t="array" ref="E2759">IF(ISBLANK(XLOOKUP(E$3,daily_items,XLOOKUP($C2759,daily_dates,big_daily_table))),NA(),XLOOKUP(E$3,daily_items,XLOOKUP($C2759,daily_dates,big_daily_table)))</f>
        <v>#N/A</v>
      </c>
    </row>
    <row r="2760" ht="14.25" customHeight="1">
      <c r="B2760" s="7">
        <v>43665.0</v>
      </c>
      <c r="C2760" s="7">
        <f t="shared" si="1"/>
        <v>43660</v>
      </c>
      <c r="D2760" s="1" t="str">
        <f t="array" ref="D2760">IF(ISBLANK(XLOOKUP(D$3,daily_items,XLOOKUP($C2760,daily_dates,big_daily_table))),NA(),XLOOKUP(D$3,daily_items,XLOOKUP($C2760,daily_dates,big_daily_table)))</f>
        <v>#N/A</v>
      </c>
      <c r="E2760" s="1" t="str">
        <f t="array" ref="E2760">IF(ISBLANK(XLOOKUP(E$3,daily_items,XLOOKUP($C2760,daily_dates,big_daily_table))),NA(),XLOOKUP(E$3,daily_items,XLOOKUP($C2760,daily_dates,big_daily_table)))</f>
        <v>#N/A</v>
      </c>
    </row>
    <row r="2761" ht="14.25" customHeight="1">
      <c r="B2761" s="7">
        <v>43666.0</v>
      </c>
      <c r="C2761" s="7">
        <f t="shared" si="1"/>
        <v>43660</v>
      </c>
      <c r="D2761" s="1" t="str">
        <f t="array" ref="D2761">IF(ISBLANK(XLOOKUP(D$3,daily_items,XLOOKUP($C2761,daily_dates,big_daily_table))),NA(),XLOOKUP(D$3,daily_items,XLOOKUP($C2761,daily_dates,big_daily_table)))</f>
        <v>#N/A</v>
      </c>
      <c r="E2761" s="1" t="str">
        <f t="array" ref="E2761">IF(ISBLANK(XLOOKUP(E$3,daily_items,XLOOKUP($C2761,daily_dates,big_daily_table))),NA(),XLOOKUP(E$3,daily_items,XLOOKUP($C2761,daily_dates,big_daily_table)))</f>
        <v>#N/A</v>
      </c>
    </row>
    <row r="2762" ht="14.25" customHeight="1">
      <c r="B2762" s="7">
        <v>43667.0</v>
      </c>
      <c r="C2762" s="7">
        <f t="shared" si="1"/>
        <v>43667</v>
      </c>
      <c r="D2762" s="1" t="str">
        <f t="array" ref="D2762">IF(ISBLANK(XLOOKUP(D$3,daily_items,XLOOKUP($C2762,daily_dates,big_daily_table))),NA(),XLOOKUP(D$3,daily_items,XLOOKUP($C2762,daily_dates,big_daily_table)))</f>
        <v>#N/A</v>
      </c>
      <c r="E2762" s="1" t="str">
        <f t="array" ref="E2762">IF(ISBLANK(XLOOKUP(E$3,daily_items,XLOOKUP($C2762,daily_dates,big_daily_table))),NA(),XLOOKUP(E$3,daily_items,XLOOKUP($C2762,daily_dates,big_daily_table)))</f>
        <v>#N/A</v>
      </c>
    </row>
    <row r="2763" ht="14.25" customHeight="1">
      <c r="B2763" s="7">
        <v>43668.0</v>
      </c>
      <c r="C2763" s="7">
        <f t="shared" si="1"/>
        <v>43667</v>
      </c>
      <c r="D2763" s="1" t="str">
        <f t="array" ref="D2763">IF(ISBLANK(XLOOKUP(D$3,daily_items,XLOOKUP($C2763,daily_dates,big_daily_table))),NA(),XLOOKUP(D$3,daily_items,XLOOKUP($C2763,daily_dates,big_daily_table)))</f>
        <v>#N/A</v>
      </c>
      <c r="E2763" s="1" t="str">
        <f t="array" ref="E2763">IF(ISBLANK(XLOOKUP(E$3,daily_items,XLOOKUP($C2763,daily_dates,big_daily_table))),NA(),XLOOKUP(E$3,daily_items,XLOOKUP($C2763,daily_dates,big_daily_table)))</f>
        <v>#N/A</v>
      </c>
    </row>
    <row r="2764" ht="14.25" customHeight="1">
      <c r="B2764" s="7">
        <v>43669.0</v>
      </c>
      <c r="C2764" s="7">
        <f t="shared" si="1"/>
        <v>43667</v>
      </c>
      <c r="D2764" s="1" t="str">
        <f t="array" ref="D2764">IF(ISBLANK(XLOOKUP(D$3,daily_items,XLOOKUP($C2764,daily_dates,big_daily_table))),NA(),XLOOKUP(D$3,daily_items,XLOOKUP($C2764,daily_dates,big_daily_table)))</f>
        <v>#N/A</v>
      </c>
      <c r="E2764" s="1" t="str">
        <f t="array" ref="E2764">IF(ISBLANK(XLOOKUP(E$3,daily_items,XLOOKUP($C2764,daily_dates,big_daily_table))),NA(),XLOOKUP(E$3,daily_items,XLOOKUP($C2764,daily_dates,big_daily_table)))</f>
        <v>#N/A</v>
      </c>
    </row>
    <row r="2765" ht="14.25" customHeight="1">
      <c r="B2765" s="7">
        <v>43670.0</v>
      </c>
      <c r="C2765" s="7">
        <f t="shared" si="1"/>
        <v>43667</v>
      </c>
      <c r="D2765" s="1" t="str">
        <f t="array" ref="D2765">IF(ISBLANK(XLOOKUP(D$3,daily_items,XLOOKUP($C2765,daily_dates,big_daily_table))),NA(),XLOOKUP(D$3,daily_items,XLOOKUP($C2765,daily_dates,big_daily_table)))</f>
        <v>#N/A</v>
      </c>
      <c r="E2765" s="1" t="str">
        <f t="array" ref="E2765">IF(ISBLANK(XLOOKUP(E$3,daily_items,XLOOKUP($C2765,daily_dates,big_daily_table))),NA(),XLOOKUP(E$3,daily_items,XLOOKUP($C2765,daily_dates,big_daily_table)))</f>
        <v>#N/A</v>
      </c>
    </row>
    <row r="2766" ht="14.25" customHeight="1">
      <c r="B2766" s="7">
        <v>43671.0</v>
      </c>
      <c r="C2766" s="7">
        <f t="shared" si="1"/>
        <v>43667</v>
      </c>
      <c r="D2766" s="1" t="str">
        <f t="array" ref="D2766">IF(ISBLANK(XLOOKUP(D$3,daily_items,XLOOKUP($C2766,daily_dates,big_daily_table))),NA(),XLOOKUP(D$3,daily_items,XLOOKUP($C2766,daily_dates,big_daily_table)))</f>
        <v>#N/A</v>
      </c>
      <c r="E2766" s="1" t="str">
        <f t="array" ref="E2766">IF(ISBLANK(XLOOKUP(E$3,daily_items,XLOOKUP($C2766,daily_dates,big_daily_table))),NA(),XLOOKUP(E$3,daily_items,XLOOKUP($C2766,daily_dates,big_daily_table)))</f>
        <v>#N/A</v>
      </c>
    </row>
    <row r="2767" ht="14.25" customHeight="1">
      <c r="B2767" s="7">
        <v>43672.0</v>
      </c>
      <c r="C2767" s="7">
        <f t="shared" si="1"/>
        <v>43667</v>
      </c>
      <c r="D2767" s="1" t="str">
        <f t="array" ref="D2767">IF(ISBLANK(XLOOKUP(D$3,daily_items,XLOOKUP($C2767,daily_dates,big_daily_table))),NA(),XLOOKUP(D$3,daily_items,XLOOKUP($C2767,daily_dates,big_daily_table)))</f>
        <v>#N/A</v>
      </c>
      <c r="E2767" s="1" t="str">
        <f t="array" ref="E2767">IF(ISBLANK(XLOOKUP(E$3,daily_items,XLOOKUP($C2767,daily_dates,big_daily_table))),NA(),XLOOKUP(E$3,daily_items,XLOOKUP($C2767,daily_dates,big_daily_table)))</f>
        <v>#N/A</v>
      </c>
    </row>
    <row r="2768" ht="14.25" customHeight="1">
      <c r="B2768" s="7">
        <v>43673.0</v>
      </c>
      <c r="C2768" s="7">
        <f t="shared" si="1"/>
        <v>43667</v>
      </c>
      <c r="D2768" s="1" t="str">
        <f t="array" ref="D2768">IF(ISBLANK(XLOOKUP(D$3,daily_items,XLOOKUP($C2768,daily_dates,big_daily_table))),NA(),XLOOKUP(D$3,daily_items,XLOOKUP($C2768,daily_dates,big_daily_table)))</f>
        <v>#N/A</v>
      </c>
      <c r="E2768" s="1" t="str">
        <f t="array" ref="E2768">IF(ISBLANK(XLOOKUP(E$3,daily_items,XLOOKUP($C2768,daily_dates,big_daily_table))),NA(),XLOOKUP(E$3,daily_items,XLOOKUP($C2768,daily_dates,big_daily_table)))</f>
        <v>#N/A</v>
      </c>
    </row>
    <row r="2769" ht="14.25" customHeight="1">
      <c r="B2769" s="7">
        <v>43674.0</v>
      </c>
      <c r="C2769" s="7">
        <f t="shared" si="1"/>
        <v>43674</v>
      </c>
      <c r="D2769" s="1" t="str">
        <f t="array" ref="D2769">IF(ISBLANK(XLOOKUP(D$3,daily_items,XLOOKUP($C2769,daily_dates,big_daily_table))),NA(),XLOOKUP(D$3,daily_items,XLOOKUP($C2769,daily_dates,big_daily_table)))</f>
        <v>#N/A</v>
      </c>
      <c r="E2769" s="1" t="str">
        <f t="array" ref="E2769">IF(ISBLANK(XLOOKUP(E$3,daily_items,XLOOKUP($C2769,daily_dates,big_daily_table))),NA(),XLOOKUP(E$3,daily_items,XLOOKUP($C2769,daily_dates,big_daily_table)))</f>
        <v>#N/A</v>
      </c>
    </row>
    <row r="2770" ht="14.25" customHeight="1">
      <c r="B2770" s="7">
        <v>43675.0</v>
      </c>
      <c r="C2770" s="7">
        <f t="shared" si="1"/>
        <v>43674</v>
      </c>
      <c r="D2770" s="1" t="str">
        <f t="array" ref="D2770">IF(ISBLANK(XLOOKUP(D$3,daily_items,XLOOKUP($C2770,daily_dates,big_daily_table))),NA(),XLOOKUP(D$3,daily_items,XLOOKUP($C2770,daily_dates,big_daily_table)))</f>
        <v>#N/A</v>
      </c>
      <c r="E2770" s="1" t="str">
        <f t="array" ref="E2770">IF(ISBLANK(XLOOKUP(E$3,daily_items,XLOOKUP($C2770,daily_dates,big_daily_table))),NA(),XLOOKUP(E$3,daily_items,XLOOKUP($C2770,daily_dates,big_daily_table)))</f>
        <v>#N/A</v>
      </c>
    </row>
    <row r="2771" ht="14.25" customHeight="1">
      <c r="B2771" s="7">
        <v>43676.0</v>
      </c>
      <c r="C2771" s="7">
        <f t="shared" si="1"/>
        <v>43674</v>
      </c>
      <c r="D2771" s="1" t="str">
        <f t="array" ref="D2771">IF(ISBLANK(XLOOKUP(D$3,daily_items,XLOOKUP($C2771,daily_dates,big_daily_table))),NA(),XLOOKUP(D$3,daily_items,XLOOKUP($C2771,daily_dates,big_daily_table)))</f>
        <v>#N/A</v>
      </c>
      <c r="E2771" s="1" t="str">
        <f t="array" ref="E2771">IF(ISBLANK(XLOOKUP(E$3,daily_items,XLOOKUP($C2771,daily_dates,big_daily_table))),NA(),XLOOKUP(E$3,daily_items,XLOOKUP($C2771,daily_dates,big_daily_table)))</f>
        <v>#N/A</v>
      </c>
    </row>
    <row r="2772" ht="14.25" customHeight="1">
      <c r="B2772" s="7">
        <v>43677.0</v>
      </c>
      <c r="C2772" s="7">
        <f t="shared" si="1"/>
        <v>43674</v>
      </c>
      <c r="D2772" s="1" t="str">
        <f t="array" ref="D2772">IF(ISBLANK(XLOOKUP(D$3,daily_items,XLOOKUP($C2772,daily_dates,big_daily_table))),NA(),XLOOKUP(D$3,daily_items,XLOOKUP($C2772,daily_dates,big_daily_table)))</f>
        <v>#N/A</v>
      </c>
      <c r="E2772" s="1" t="str">
        <f t="array" ref="E2772">IF(ISBLANK(XLOOKUP(E$3,daily_items,XLOOKUP($C2772,daily_dates,big_daily_table))),NA(),XLOOKUP(E$3,daily_items,XLOOKUP($C2772,daily_dates,big_daily_table)))</f>
        <v>#N/A</v>
      </c>
    </row>
    <row r="2773" ht="14.25" customHeight="1">
      <c r="B2773" s="7">
        <v>43678.0</v>
      </c>
      <c r="C2773" s="7">
        <f t="shared" si="1"/>
        <v>43674</v>
      </c>
      <c r="D2773" s="1" t="str">
        <f t="array" ref="D2773">IF(ISBLANK(XLOOKUP(D$3,daily_items,XLOOKUP($C2773,daily_dates,big_daily_table))),NA(),XLOOKUP(D$3,daily_items,XLOOKUP($C2773,daily_dates,big_daily_table)))</f>
        <v>#N/A</v>
      </c>
      <c r="E2773" s="1" t="str">
        <f t="array" ref="E2773">IF(ISBLANK(XLOOKUP(E$3,daily_items,XLOOKUP($C2773,daily_dates,big_daily_table))),NA(),XLOOKUP(E$3,daily_items,XLOOKUP($C2773,daily_dates,big_daily_table)))</f>
        <v>#N/A</v>
      </c>
    </row>
    <row r="2774" ht="14.25" customHeight="1">
      <c r="B2774" s="7">
        <v>43679.0</v>
      </c>
      <c r="C2774" s="7">
        <f t="shared" si="1"/>
        <v>43674</v>
      </c>
      <c r="D2774" s="1" t="str">
        <f t="array" ref="D2774">IF(ISBLANK(XLOOKUP(D$3,daily_items,XLOOKUP($C2774,daily_dates,big_daily_table))),NA(),XLOOKUP(D$3,daily_items,XLOOKUP($C2774,daily_dates,big_daily_table)))</f>
        <v>#N/A</v>
      </c>
      <c r="E2774" s="1" t="str">
        <f t="array" ref="E2774">IF(ISBLANK(XLOOKUP(E$3,daily_items,XLOOKUP($C2774,daily_dates,big_daily_table))),NA(),XLOOKUP(E$3,daily_items,XLOOKUP($C2774,daily_dates,big_daily_table)))</f>
        <v>#N/A</v>
      </c>
    </row>
    <row r="2775" ht="14.25" customHeight="1">
      <c r="B2775" s="7">
        <v>43680.0</v>
      </c>
      <c r="C2775" s="7">
        <f t="shared" si="1"/>
        <v>43674</v>
      </c>
      <c r="D2775" s="1" t="str">
        <f t="array" ref="D2775">IF(ISBLANK(XLOOKUP(D$3,daily_items,XLOOKUP($C2775,daily_dates,big_daily_table))),NA(),XLOOKUP(D$3,daily_items,XLOOKUP($C2775,daily_dates,big_daily_table)))</f>
        <v>#N/A</v>
      </c>
      <c r="E2775" s="1" t="str">
        <f t="array" ref="E2775">IF(ISBLANK(XLOOKUP(E$3,daily_items,XLOOKUP($C2775,daily_dates,big_daily_table))),NA(),XLOOKUP(E$3,daily_items,XLOOKUP($C2775,daily_dates,big_daily_table)))</f>
        <v>#N/A</v>
      </c>
    </row>
    <row r="2776" ht="14.25" customHeight="1">
      <c r="B2776" s="7">
        <v>43681.0</v>
      </c>
      <c r="C2776" s="7">
        <f t="shared" si="1"/>
        <v>43681</v>
      </c>
      <c r="D2776" s="1" t="str">
        <f t="array" ref="D2776">IF(ISBLANK(XLOOKUP(D$3,daily_items,XLOOKUP($C2776,daily_dates,big_daily_table))),NA(),XLOOKUP(D$3,daily_items,XLOOKUP($C2776,daily_dates,big_daily_table)))</f>
        <v>#N/A</v>
      </c>
      <c r="E2776" s="1" t="str">
        <f t="array" ref="E2776">IF(ISBLANK(XLOOKUP(E$3,daily_items,XLOOKUP($C2776,daily_dates,big_daily_table))),NA(),XLOOKUP(E$3,daily_items,XLOOKUP($C2776,daily_dates,big_daily_table)))</f>
        <v>#N/A</v>
      </c>
    </row>
    <row r="2777" ht="14.25" customHeight="1">
      <c r="B2777" s="7">
        <v>43682.0</v>
      </c>
      <c r="C2777" s="7">
        <f t="shared" si="1"/>
        <v>43681</v>
      </c>
      <c r="D2777" s="1" t="str">
        <f t="array" ref="D2777">IF(ISBLANK(XLOOKUP(D$3,daily_items,XLOOKUP($C2777,daily_dates,big_daily_table))),NA(),XLOOKUP(D$3,daily_items,XLOOKUP($C2777,daily_dates,big_daily_table)))</f>
        <v>#N/A</v>
      </c>
      <c r="E2777" s="1" t="str">
        <f t="array" ref="E2777">IF(ISBLANK(XLOOKUP(E$3,daily_items,XLOOKUP($C2777,daily_dates,big_daily_table))),NA(),XLOOKUP(E$3,daily_items,XLOOKUP($C2777,daily_dates,big_daily_table)))</f>
        <v>#N/A</v>
      </c>
    </row>
    <row r="2778" ht="14.25" customHeight="1">
      <c r="B2778" s="7">
        <v>43683.0</v>
      </c>
      <c r="C2778" s="7">
        <f t="shared" si="1"/>
        <v>43681</v>
      </c>
      <c r="D2778" s="1" t="str">
        <f t="array" ref="D2778">IF(ISBLANK(XLOOKUP(D$3,daily_items,XLOOKUP($C2778,daily_dates,big_daily_table))),NA(),XLOOKUP(D$3,daily_items,XLOOKUP($C2778,daily_dates,big_daily_table)))</f>
        <v>#N/A</v>
      </c>
      <c r="E2778" s="1" t="str">
        <f t="array" ref="E2778">IF(ISBLANK(XLOOKUP(E$3,daily_items,XLOOKUP($C2778,daily_dates,big_daily_table))),NA(),XLOOKUP(E$3,daily_items,XLOOKUP($C2778,daily_dates,big_daily_table)))</f>
        <v>#N/A</v>
      </c>
    </row>
    <row r="2779" ht="14.25" customHeight="1">
      <c r="B2779" s="7">
        <v>43684.0</v>
      </c>
      <c r="C2779" s="7">
        <f t="shared" si="1"/>
        <v>43681</v>
      </c>
      <c r="D2779" s="1" t="str">
        <f t="array" ref="D2779">IF(ISBLANK(XLOOKUP(D$3,daily_items,XLOOKUP($C2779,daily_dates,big_daily_table))),NA(),XLOOKUP(D$3,daily_items,XLOOKUP($C2779,daily_dates,big_daily_table)))</f>
        <v>#N/A</v>
      </c>
      <c r="E2779" s="1" t="str">
        <f t="array" ref="E2779">IF(ISBLANK(XLOOKUP(E$3,daily_items,XLOOKUP($C2779,daily_dates,big_daily_table))),NA(),XLOOKUP(E$3,daily_items,XLOOKUP($C2779,daily_dates,big_daily_table)))</f>
        <v>#N/A</v>
      </c>
    </row>
    <row r="2780" ht="14.25" customHeight="1">
      <c r="B2780" s="7">
        <v>43685.0</v>
      </c>
      <c r="C2780" s="7">
        <f t="shared" si="1"/>
        <v>43681</v>
      </c>
      <c r="D2780" s="1" t="str">
        <f t="array" ref="D2780">IF(ISBLANK(XLOOKUP(D$3,daily_items,XLOOKUP($C2780,daily_dates,big_daily_table))),NA(),XLOOKUP(D$3,daily_items,XLOOKUP($C2780,daily_dates,big_daily_table)))</f>
        <v>#N/A</v>
      </c>
      <c r="E2780" s="1" t="str">
        <f t="array" ref="E2780">IF(ISBLANK(XLOOKUP(E$3,daily_items,XLOOKUP($C2780,daily_dates,big_daily_table))),NA(),XLOOKUP(E$3,daily_items,XLOOKUP($C2780,daily_dates,big_daily_table)))</f>
        <v>#N/A</v>
      </c>
    </row>
    <row r="2781" ht="14.25" customHeight="1">
      <c r="B2781" s="7">
        <v>43686.0</v>
      </c>
      <c r="C2781" s="7">
        <f t="shared" si="1"/>
        <v>43681</v>
      </c>
      <c r="D2781" s="1" t="str">
        <f t="array" ref="D2781">IF(ISBLANK(XLOOKUP(D$3,daily_items,XLOOKUP($C2781,daily_dates,big_daily_table))),NA(),XLOOKUP(D$3,daily_items,XLOOKUP($C2781,daily_dates,big_daily_table)))</f>
        <v>#N/A</v>
      </c>
      <c r="E2781" s="1" t="str">
        <f t="array" ref="E2781">IF(ISBLANK(XLOOKUP(E$3,daily_items,XLOOKUP($C2781,daily_dates,big_daily_table))),NA(),XLOOKUP(E$3,daily_items,XLOOKUP($C2781,daily_dates,big_daily_table)))</f>
        <v>#N/A</v>
      </c>
    </row>
    <row r="2782" ht="14.25" customHeight="1">
      <c r="B2782" s="7">
        <v>43687.0</v>
      </c>
      <c r="C2782" s="7">
        <f t="shared" si="1"/>
        <v>43681</v>
      </c>
      <c r="D2782" s="1" t="str">
        <f t="array" ref="D2782">IF(ISBLANK(XLOOKUP(D$3,daily_items,XLOOKUP($C2782,daily_dates,big_daily_table))),NA(),XLOOKUP(D$3,daily_items,XLOOKUP($C2782,daily_dates,big_daily_table)))</f>
        <v>#N/A</v>
      </c>
      <c r="E2782" s="1" t="str">
        <f t="array" ref="E2782">IF(ISBLANK(XLOOKUP(E$3,daily_items,XLOOKUP($C2782,daily_dates,big_daily_table))),NA(),XLOOKUP(E$3,daily_items,XLOOKUP($C2782,daily_dates,big_daily_table)))</f>
        <v>#N/A</v>
      </c>
    </row>
    <row r="2783" ht="14.25" customHeight="1">
      <c r="B2783" s="7">
        <v>43688.0</v>
      </c>
      <c r="C2783" s="7">
        <f t="shared" si="1"/>
        <v>43688</v>
      </c>
      <c r="D2783" s="1" t="str">
        <f t="array" ref="D2783">IF(ISBLANK(XLOOKUP(D$3,daily_items,XLOOKUP($C2783,daily_dates,big_daily_table))),NA(),XLOOKUP(D$3,daily_items,XLOOKUP($C2783,daily_dates,big_daily_table)))</f>
        <v>#N/A</v>
      </c>
      <c r="E2783" s="1" t="str">
        <f t="array" ref="E2783">IF(ISBLANK(XLOOKUP(E$3,daily_items,XLOOKUP($C2783,daily_dates,big_daily_table))),NA(),XLOOKUP(E$3,daily_items,XLOOKUP($C2783,daily_dates,big_daily_table)))</f>
        <v>#N/A</v>
      </c>
    </row>
    <row r="2784" ht="14.25" customHeight="1">
      <c r="B2784" s="7">
        <v>43689.0</v>
      </c>
      <c r="C2784" s="7">
        <f t="shared" si="1"/>
        <v>43688</v>
      </c>
      <c r="D2784" s="1" t="str">
        <f t="array" ref="D2784">IF(ISBLANK(XLOOKUP(D$3,daily_items,XLOOKUP($C2784,daily_dates,big_daily_table))),NA(),XLOOKUP(D$3,daily_items,XLOOKUP($C2784,daily_dates,big_daily_table)))</f>
        <v>#N/A</v>
      </c>
      <c r="E2784" s="1" t="str">
        <f t="array" ref="E2784">IF(ISBLANK(XLOOKUP(E$3,daily_items,XLOOKUP($C2784,daily_dates,big_daily_table))),NA(),XLOOKUP(E$3,daily_items,XLOOKUP($C2784,daily_dates,big_daily_table)))</f>
        <v>#N/A</v>
      </c>
    </row>
    <row r="2785" ht="14.25" customHeight="1">
      <c r="B2785" s="7">
        <v>43690.0</v>
      </c>
      <c r="C2785" s="7">
        <f t="shared" si="1"/>
        <v>43688</v>
      </c>
      <c r="D2785" s="1" t="str">
        <f t="array" ref="D2785">IF(ISBLANK(XLOOKUP(D$3,daily_items,XLOOKUP($C2785,daily_dates,big_daily_table))),NA(),XLOOKUP(D$3,daily_items,XLOOKUP($C2785,daily_dates,big_daily_table)))</f>
        <v>#N/A</v>
      </c>
      <c r="E2785" s="1" t="str">
        <f t="array" ref="E2785">IF(ISBLANK(XLOOKUP(E$3,daily_items,XLOOKUP($C2785,daily_dates,big_daily_table))),NA(),XLOOKUP(E$3,daily_items,XLOOKUP($C2785,daily_dates,big_daily_table)))</f>
        <v>#N/A</v>
      </c>
    </row>
    <row r="2786" ht="14.25" customHeight="1">
      <c r="B2786" s="7">
        <v>43691.0</v>
      </c>
      <c r="C2786" s="7">
        <f t="shared" si="1"/>
        <v>43688</v>
      </c>
      <c r="D2786" s="1" t="str">
        <f t="array" ref="D2786">IF(ISBLANK(XLOOKUP(D$3,daily_items,XLOOKUP($C2786,daily_dates,big_daily_table))),NA(),XLOOKUP(D$3,daily_items,XLOOKUP($C2786,daily_dates,big_daily_table)))</f>
        <v>#N/A</v>
      </c>
      <c r="E2786" s="1" t="str">
        <f t="array" ref="E2786">IF(ISBLANK(XLOOKUP(E$3,daily_items,XLOOKUP($C2786,daily_dates,big_daily_table))),NA(),XLOOKUP(E$3,daily_items,XLOOKUP($C2786,daily_dates,big_daily_table)))</f>
        <v>#N/A</v>
      </c>
    </row>
    <row r="2787" ht="14.25" customHeight="1">
      <c r="B2787" s="7">
        <v>43692.0</v>
      </c>
      <c r="C2787" s="7">
        <f t="shared" si="1"/>
        <v>43688</v>
      </c>
      <c r="D2787" s="1" t="str">
        <f t="array" ref="D2787">IF(ISBLANK(XLOOKUP(D$3,daily_items,XLOOKUP($C2787,daily_dates,big_daily_table))),NA(),XLOOKUP(D$3,daily_items,XLOOKUP($C2787,daily_dates,big_daily_table)))</f>
        <v>#N/A</v>
      </c>
      <c r="E2787" s="1" t="str">
        <f t="array" ref="E2787">IF(ISBLANK(XLOOKUP(E$3,daily_items,XLOOKUP($C2787,daily_dates,big_daily_table))),NA(),XLOOKUP(E$3,daily_items,XLOOKUP($C2787,daily_dates,big_daily_table)))</f>
        <v>#N/A</v>
      </c>
    </row>
    <row r="2788" ht="14.25" customHeight="1">
      <c r="B2788" s="7">
        <v>43693.0</v>
      </c>
      <c r="C2788" s="7">
        <f t="shared" si="1"/>
        <v>43688</v>
      </c>
      <c r="D2788" s="1" t="str">
        <f t="array" ref="D2788">IF(ISBLANK(XLOOKUP(D$3,daily_items,XLOOKUP($C2788,daily_dates,big_daily_table))),NA(),XLOOKUP(D$3,daily_items,XLOOKUP($C2788,daily_dates,big_daily_table)))</f>
        <v>#N/A</v>
      </c>
      <c r="E2788" s="1" t="str">
        <f t="array" ref="E2788">IF(ISBLANK(XLOOKUP(E$3,daily_items,XLOOKUP($C2788,daily_dates,big_daily_table))),NA(),XLOOKUP(E$3,daily_items,XLOOKUP($C2788,daily_dates,big_daily_table)))</f>
        <v>#N/A</v>
      </c>
    </row>
    <row r="2789" ht="14.25" customHeight="1">
      <c r="B2789" s="7">
        <v>43694.0</v>
      </c>
      <c r="C2789" s="7">
        <f t="shared" si="1"/>
        <v>43688</v>
      </c>
      <c r="D2789" s="1" t="str">
        <f t="array" ref="D2789">IF(ISBLANK(XLOOKUP(D$3,daily_items,XLOOKUP($C2789,daily_dates,big_daily_table))),NA(),XLOOKUP(D$3,daily_items,XLOOKUP($C2789,daily_dates,big_daily_table)))</f>
        <v>#N/A</v>
      </c>
      <c r="E2789" s="1" t="str">
        <f t="array" ref="E2789">IF(ISBLANK(XLOOKUP(E$3,daily_items,XLOOKUP($C2789,daily_dates,big_daily_table))),NA(),XLOOKUP(E$3,daily_items,XLOOKUP($C2789,daily_dates,big_daily_table)))</f>
        <v>#N/A</v>
      </c>
    </row>
    <row r="2790" ht="14.25" customHeight="1">
      <c r="B2790" s="7">
        <v>43695.0</v>
      </c>
      <c r="C2790" s="7">
        <f t="shared" si="1"/>
        <v>43695</v>
      </c>
      <c r="D2790" s="1" t="str">
        <f t="array" ref="D2790">IF(ISBLANK(XLOOKUP(D$3,daily_items,XLOOKUP($C2790,daily_dates,big_daily_table))),NA(),XLOOKUP(D$3,daily_items,XLOOKUP($C2790,daily_dates,big_daily_table)))</f>
        <v>#N/A</v>
      </c>
      <c r="E2790" s="1" t="str">
        <f t="array" ref="E2790">IF(ISBLANK(XLOOKUP(E$3,daily_items,XLOOKUP($C2790,daily_dates,big_daily_table))),NA(),XLOOKUP(E$3,daily_items,XLOOKUP($C2790,daily_dates,big_daily_table)))</f>
        <v>#N/A</v>
      </c>
    </row>
    <row r="2791" ht="14.25" customHeight="1">
      <c r="B2791" s="7">
        <v>43696.0</v>
      </c>
      <c r="C2791" s="7">
        <f t="shared" si="1"/>
        <v>43695</v>
      </c>
      <c r="D2791" s="1" t="str">
        <f t="array" ref="D2791">IF(ISBLANK(XLOOKUP(D$3,daily_items,XLOOKUP($C2791,daily_dates,big_daily_table))),NA(),XLOOKUP(D$3,daily_items,XLOOKUP($C2791,daily_dates,big_daily_table)))</f>
        <v>#N/A</v>
      </c>
      <c r="E2791" s="1" t="str">
        <f t="array" ref="E2791">IF(ISBLANK(XLOOKUP(E$3,daily_items,XLOOKUP($C2791,daily_dates,big_daily_table))),NA(),XLOOKUP(E$3,daily_items,XLOOKUP($C2791,daily_dates,big_daily_table)))</f>
        <v>#N/A</v>
      </c>
    </row>
    <row r="2792" ht="14.25" customHeight="1">
      <c r="B2792" s="7">
        <v>43697.0</v>
      </c>
      <c r="C2792" s="7">
        <f t="shared" si="1"/>
        <v>43695</v>
      </c>
      <c r="D2792" s="1" t="str">
        <f t="array" ref="D2792">IF(ISBLANK(XLOOKUP(D$3,daily_items,XLOOKUP($C2792,daily_dates,big_daily_table))),NA(),XLOOKUP(D$3,daily_items,XLOOKUP($C2792,daily_dates,big_daily_table)))</f>
        <v>#N/A</v>
      </c>
      <c r="E2792" s="1" t="str">
        <f t="array" ref="E2792">IF(ISBLANK(XLOOKUP(E$3,daily_items,XLOOKUP($C2792,daily_dates,big_daily_table))),NA(),XLOOKUP(E$3,daily_items,XLOOKUP($C2792,daily_dates,big_daily_table)))</f>
        <v>#N/A</v>
      </c>
    </row>
    <row r="2793" ht="14.25" customHeight="1">
      <c r="B2793" s="7">
        <v>43698.0</v>
      </c>
      <c r="C2793" s="7">
        <f t="shared" si="1"/>
        <v>43695</v>
      </c>
      <c r="D2793" s="1" t="str">
        <f t="array" ref="D2793">IF(ISBLANK(XLOOKUP(D$3,daily_items,XLOOKUP($C2793,daily_dates,big_daily_table))),NA(),XLOOKUP(D$3,daily_items,XLOOKUP($C2793,daily_dates,big_daily_table)))</f>
        <v>#N/A</v>
      </c>
      <c r="E2793" s="1" t="str">
        <f t="array" ref="E2793">IF(ISBLANK(XLOOKUP(E$3,daily_items,XLOOKUP($C2793,daily_dates,big_daily_table))),NA(),XLOOKUP(E$3,daily_items,XLOOKUP($C2793,daily_dates,big_daily_table)))</f>
        <v>#N/A</v>
      </c>
    </row>
    <row r="2794" ht="14.25" customHeight="1">
      <c r="B2794" s="7">
        <v>43699.0</v>
      </c>
      <c r="C2794" s="7">
        <f t="shared" si="1"/>
        <v>43695</v>
      </c>
      <c r="D2794" s="1" t="str">
        <f t="array" ref="D2794">IF(ISBLANK(XLOOKUP(D$3,daily_items,XLOOKUP($C2794,daily_dates,big_daily_table))),NA(),XLOOKUP(D$3,daily_items,XLOOKUP($C2794,daily_dates,big_daily_table)))</f>
        <v>#N/A</v>
      </c>
      <c r="E2794" s="1" t="str">
        <f t="array" ref="E2794">IF(ISBLANK(XLOOKUP(E$3,daily_items,XLOOKUP($C2794,daily_dates,big_daily_table))),NA(),XLOOKUP(E$3,daily_items,XLOOKUP($C2794,daily_dates,big_daily_table)))</f>
        <v>#N/A</v>
      </c>
    </row>
    <row r="2795" ht="14.25" customHeight="1">
      <c r="B2795" s="7">
        <v>43700.0</v>
      </c>
      <c r="C2795" s="7">
        <f t="shared" si="1"/>
        <v>43695</v>
      </c>
      <c r="D2795" s="1" t="str">
        <f t="array" ref="D2795">IF(ISBLANK(XLOOKUP(D$3,daily_items,XLOOKUP($C2795,daily_dates,big_daily_table))),NA(),XLOOKUP(D$3,daily_items,XLOOKUP($C2795,daily_dates,big_daily_table)))</f>
        <v>#N/A</v>
      </c>
      <c r="E2795" s="1" t="str">
        <f t="array" ref="E2795">IF(ISBLANK(XLOOKUP(E$3,daily_items,XLOOKUP($C2795,daily_dates,big_daily_table))),NA(),XLOOKUP(E$3,daily_items,XLOOKUP($C2795,daily_dates,big_daily_table)))</f>
        <v>#N/A</v>
      </c>
    </row>
    <row r="2796" ht="14.25" customHeight="1">
      <c r="B2796" s="7">
        <v>43701.0</v>
      </c>
      <c r="C2796" s="7">
        <f t="shared" si="1"/>
        <v>43695</v>
      </c>
      <c r="D2796" s="1" t="str">
        <f t="array" ref="D2796">IF(ISBLANK(XLOOKUP(D$3,daily_items,XLOOKUP($C2796,daily_dates,big_daily_table))),NA(),XLOOKUP(D$3,daily_items,XLOOKUP($C2796,daily_dates,big_daily_table)))</f>
        <v>#N/A</v>
      </c>
      <c r="E2796" s="1" t="str">
        <f t="array" ref="E2796">IF(ISBLANK(XLOOKUP(E$3,daily_items,XLOOKUP($C2796,daily_dates,big_daily_table))),NA(),XLOOKUP(E$3,daily_items,XLOOKUP($C2796,daily_dates,big_daily_table)))</f>
        <v>#N/A</v>
      </c>
    </row>
    <row r="2797" ht="14.25" customHeight="1">
      <c r="B2797" s="7">
        <v>43702.0</v>
      </c>
      <c r="C2797" s="7">
        <f t="shared" si="1"/>
        <v>43702</v>
      </c>
      <c r="D2797" s="1" t="str">
        <f t="array" ref="D2797">IF(ISBLANK(XLOOKUP(D$3,daily_items,XLOOKUP($C2797,daily_dates,big_daily_table))),NA(),XLOOKUP(D$3,daily_items,XLOOKUP($C2797,daily_dates,big_daily_table)))</f>
        <v>#N/A</v>
      </c>
      <c r="E2797" s="1" t="str">
        <f t="array" ref="E2797">IF(ISBLANK(XLOOKUP(E$3,daily_items,XLOOKUP($C2797,daily_dates,big_daily_table))),NA(),XLOOKUP(E$3,daily_items,XLOOKUP($C2797,daily_dates,big_daily_table)))</f>
        <v>#N/A</v>
      </c>
    </row>
    <row r="2798" ht="14.25" customHeight="1">
      <c r="B2798" s="7">
        <v>43703.0</v>
      </c>
      <c r="C2798" s="7">
        <f t="shared" si="1"/>
        <v>43702</v>
      </c>
      <c r="D2798" s="1" t="str">
        <f t="array" ref="D2798">IF(ISBLANK(XLOOKUP(D$3,daily_items,XLOOKUP($C2798,daily_dates,big_daily_table))),NA(),XLOOKUP(D$3,daily_items,XLOOKUP($C2798,daily_dates,big_daily_table)))</f>
        <v>#N/A</v>
      </c>
      <c r="E2798" s="1" t="str">
        <f t="array" ref="E2798">IF(ISBLANK(XLOOKUP(E$3,daily_items,XLOOKUP($C2798,daily_dates,big_daily_table))),NA(),XLOOKUP(E$3,daily_items,XLOOKUP($C2798,daily_dates,big_daily_table)))</f>
        <v>#N/A</v>
      </c>
    </row>
    <row r="2799" ht="14.25" customHeight="1">
      <c r="B2799" s="7">
        <v>43704.0</v>
      </c>
      <c r="C2799" s="7">
        <f t="shared" si="1"/>
        <v>43702</v>
      </c>
      <c r="D2799" s="1" t="str">
        <f t="array" ref="D2799">IF(ISBLANK(XLOOKUP(D$3,daily_items,XLOOKUP($C2799,daily_dates,big_daily_table))),NA(),XLOOKUP(D$3,daily_items,XLOOKUP($C2799,daily_dates,big_daily_table)))</f>
        <v>#N/A</v>
      </c>
      <c r="E2799" s="1" t="str">
        <f t="array" ref="E2799">IF(ISBLANK(XLOOKUP(E$3,daily_items,XLOOKUP($C2799,daily_dates,big_daily_table))),NA(),XLOOKUP(E$3,daily_items,XLOOKUP($C2799,daily_dates,big_daily_table)))</f>
        <v>#N/A</v>
      </c>
    </row>
    <row r="2800" ht="14.25" customHeight="1">
      <c r="B2800" s="7">
        <v>43705.0</v>
      </c>
      <c r="C2800" s="7">
        <f t="shared" si="1"/>
        <v>43702</v>
      </c>
      <c r="D2800" s="1" t="str">
        <f t="array" ref="D2800">IF(ISBLANK(XLOOKUP(D$3,daily_items,XLOOKUP($C2800,daily_dates,big_daily_table))),NA(),XLOOKUP(D$3,daily_items,XLOOKUP($C2800,daily_dates,big_daily_table)))</f>
        <v>#N/A</v>
      </c>
      <c r="E2800" s="1" t="str">
        <f t="array" ref="E2800">IF(ISBLANK(XLOOKUP(E$3,daily_items,XLOOKUP($C2800,daily_dates,big_daily_table))),NA(),XLOOKUP(E$3,daily_items,XLOOKUP($C2800,daily_dates,big_daily_table)))</f>
        <v>#N/A</v>
      </c>
    </row>
    <row r="2801" ht="14.25" customHeight="1">
      <c r="B2801" s="7">
        <v>43706.0</v>
      </c>
      <c r="C2801" s="7">
        <f t="shared" si="1"/>
        <v>43702</v>
      </c>
      <c r="D2801" s="1" t="str">
        <f t="array" ref="D2801">IF(ISBLANK(XLOOKUP(D$3,daily_items,XLOOKUP($C2801,daily_dates,big_daily_table))),NA(),XLOOKUP(D$3,daily_items,XLOOKUP($C2801,daily_dates,big_daily_table)))</f>
        <v>#N/A</v>
      </c>
      <c r="E2801" s="1" t="str">
        <f t="array" ref="E2801">IF(ISBLANK(XLOOKUP(E$3,daily_items,XLOOKUP($C2801,daily_dates,big_daily_table))),NA(),XLOOKUP(E$3,daily_items,XLOOKUP($C2801,daily_dates,big_daily_table)))</f>
        <v>#N/A</v>
      </c>
    </row>
    <row r="2802" ht="14.25" customHeight="1">
      <c r="B2802" s="7">
        <v>43707.0</v>
      </c>
      <c r="C2802" s="7">
        <f t="shared" si="1"/>
        <v>43702</v>
      </c>
      <c r="D2802" s="1" t="str">
        <f t="array" ref="D2802">IF(ISBLANK(XLOOKUP(D$3,daily_items,XLOOKUP($C2802,daily_dates,big_daily_table))),NA(),XLOOKUP(D$3,daily_items,XLOOKUP($C2802,daily_dates,big_daily_table)))</f>
        <v>#N/A</v>
      </c>
      <c r="E2802" s="1" t="str">
        <f t="array" ref="E2802">IF(ISBLANK(XLOOKUP(E$3,daily_items,XLOOKUP($C2802,daily_dates,big_daily_table))),NA(),XLOOKUP(E$3,daily_items,XLOOKUP($C2802,daily_dates,big_daily_table)))</f>
        <v>#N/A</v>
      </c>
    </row>
    <row r="2803" ht="14.25" customHeight="1">
      <c r="B2803" s="7">
        <v>43708.0</v>
      </c>
      <c r="C2803" s="7">
        <f t="shared" si="1"/>
        <v>43702</v>
      </c>
      <c r="D2803" s="1" t="str">
        <f t="array" ref="D2803">IF(ISBLANK(XLOOKUP(D$3,daily_items,XLOOKUP($C2803,daily_dates,big_daily_table))),NA(),XLOOKUP(D$3,daily_items,XLOOKUP($C2803,daily_dates,big_daily_table)))</f>
        <v>#N/A</v>
      </c>
      <c r="E2803" s="1" t="str">
        <f t="array" ref="E2803">IF(ISBLANK(XLOOKUP(E$3,daily_items,XLOOKUP($C2803,daily_dates,big_daily_table))),NA(),XLOOKUP(E$3,daily_items,XLOOKUP($C2803,daily_dates,big_daily_table)))</f>
        <v>#N/A</v>
      </c>
    </row>
    <row r="2804" ht="14.25" customHeight="1">
      <c r="B2804" s="7">
        <v>43709.0</v>
      </c>
      <c r="C2804" s="7">
        <f t="shared" si="1"/>
        <v>43709</v>
      </c>
      <c r="D2804" s="1" t="str">
        <f t="array" ref="D2804">IF(ISBLANK(XLOOKUP(D$3,daily_items,XLOOKUP($C2804,daily_dates,big_daily_table))),NA(),XLOOKUP(D$3,daily_items,XLOOKUP($C2804,daily_dates,big_daily_table)))</f>
        <v>#N/A</v>
      </c>
      <c r="E2804" s="1" t="str">
        <f t="array" ref="E2804">IF(ISBLANK(XLOOKUP(E$3,daily_items,XLOOKUP($C2804,daily_dates,big_daily_table))),NA(),XLOOKUP(E$3,daily_items,XLOOKUP($C2804,daily_dates,big_daily_table)))</f>
        <v>#N/A</v>
      </c>
    </row>
    <row r="2805" ht="14.25" customHeight="1">
      <c r="B2805" s="7">
        <v>43710.0</v>
      </c>
      <c r="C2805" s="7">
        <f t="shared" si="1"/>
        <v>43709</v>
      </c>
      <c r="D2805" s="1" t="str">
        <f t="array" ref="D2805">IF(ISBLANK(XLOOKUP(D$3,daily_items,XLOOKUP($C2805,daily_dates,big_daily_table))),NA(),XLOOKUP(D$3,daily_items,XLOOKUP($C2805,daily_dates,big_daily_table)))</f>
        <v>#N/A</v>
      </c>
      <c r="E2805" s="1" t="str">
        <f t="array" ref="E2805">IF(ISBLANK(XLOOKUP(E$3,daily_items,XLOOKUP($C2805,daily_dates,big_daily_table))),NA(),XLOOKUP(E$3,daily_items,XLOOKUP($C2805,daily_dates,big_daily_table)))</f>
        <v>#N/A</v>
      </c>
    </row>
    <row r="2806" ht="14.25" customHeight="1">
      <c r="B2806" s="7">
        <v>43711.0</v>
      </c>
      <c r="C2806" s="7">
        <f t="shared" si="1"/>
        <v>43709</v>
      </c>
      <c r="D2806" s="1" t="str">
        <f t="array" ref="D2806">IF(ISBLANK(XLOOKUP(D$3,daily_items,XLOOKUP($C2806,daily_dates,big_daily_table))),NA(),XLOOKUP(D$3,daily_items,XLOOKUP($C2806,daily_dates,big_daily_table)))</f>
        <v>#N/A</v>
      </c>
      <c r="E2806" s="1" t="str">
        <f t="array" ref="E2806">IF(ISBLANK(XLOOKUP(E$3,daily_items,XLOOKUP($C2806,daily_dates,big_daily_table))),NA(),XLOOKUP(E$3,daily_items,XLOOKUP($C2806,daily_dates,big_daily_table)))</f>
        <v>#N/A</v>
      </c>
    </row>
    <row r="2807" ht="14.25" customHeight="1">
      <c r="B2807" s="7">
        <v>43712.0</v>
      </c>
      <c r="C2807" s="7">
        <f t="shared" si="1"/>
        <v>43709</v>
      </c>
      <c r="D2807" s="1" t="str">
        <f t="array" ref="D2807">IF(ISBLANK(XLOOKUP(D$3,daily_items,XLOOKUP($C2807,daily_dates,big_daily_table))),NA(),XLOOKUP(D$3,daily_items,XLOOKUP($C2807,daily_dates,big_daily_table)))</f>
        <v>#N/A</v>
      </c>
      <c r="E2807" s="1" t="str">
        <f t="array" ref="E2807">IF(ISBLANK(XLOOKUP(E$3,daily_items,XLOOKUP($C2807,daily_dates,big_daily_table))),NA(),XLOOKUP(E$3,daily_items,XLOOKUP($C2807,daily_dates,big_daily_table)))</f>
        <v>#N/A</v>
      </c>
    </row>
    <row r="2808" ht="14.25" customHeight="1">
      <c r="B2808" s="7">
        <v>43713.0</v>
      </c>
      <c r="C2808" s="7">
        <f t="shared" si="1"/>
        <v>43709</v>
      </c>
      <c r="D2808" s="1" t="str">
        <f t="array" ref="D2808">IF(ISBLANK(XLOOKUP(D$3,daily_items,XLOOKUP($C2808,daily_dates,big_daily_table))),NA(),XLOOKUP(D$3,daily_items,XLOOKUP($C2808,daily_dates,big_daily_table)))</f>
        <v>#N/A</v>
      </c>
      <c r="E2808" s="1" t="str">
        <f t="array" ref="E2808">IF(ISBLANK(XLOOKUP(E$3,daily_items,XLOOKUP($C2808,daily_dates,big_daily_table))),NA(),XLOOKUP(E$3,daily_items,XLOOKUP($C2808,daily_dates,big_daily_table)))</f>
        <v>#N/A</v>
      </c>
    </row>
    <row r="2809" ht="14.25" customHeight="1">
      <c r="B2809" s="7">
        <v>43714.0</v>
      </c>
      <c r="C2809" s="7">
        <f t="shared" si="1"/>
        <v>43709</v>
      </c>
      <c r="D2809" s="1" t="str">
        <f t="array" ref="D2809">IF(ISBLANK(XLOOKUP(D$3,daily_items,XLOOKUP($C2809,daily_dates,big_daily_table))),NA(),XLOOKUP(D$3,daily_items,XLOOKUP($C2809,daily_dates,big_daily_table)))</f>
        <v>#N/A</v>
      </c>
      <c r="E2809" s="1" t="str">
        <f t="array" ref="E2809">IF(ISBLANK(XLOOKUP(E$3,daily_items,XLOOKUP($C2809,daily_dates,big_daily_table))),NA(),XLOOKUP(E$3,daily_items,XLOOKUP($C2809,daily_dates,big_daily_table)))</f>
        <v>#N/A</v>
      </c>
    </row>
    <row r="2810" ht="14.25" customHeight="1">
      <c r="B2810" s="7">
        <v>43715.0</v>
      </c>
      <c r="C2810" s="7">
        <f t="shared" si="1"/>
        <v>43709</v>
      </c>
      <c r="D2810" s="1" t="str">
        <f t="array" ref="D2810">IF(ISBLANK(XLOOKUP(D$3,daily_items,XLOOKUP($C2810,daily_dates,big_daily_table))),NA(),XLOOKUP(D$3,daily_items,XLOOKUP($C2810,daily_dates,big_daily_table)))</f>
        <v>#N/A</v>
      </c>
      <c r="E2810" s="1" t="str">
        <f t="array" ref="E2810">IF(ISBLANK(XLOOKUP(E$3,daily_items,XLOOKUP($C2810,daily_dates,big_daily_table))),NA(),XLOOKUP(E$3,daily_items,XLOOKUP($C2810,daily_dates,big_daily_table)))</f>
        <v>#N/A</v>
      </c>
    </row>
    <row r="2811" ht="14.25" customHeight="1">
      <c r="B2811" s="7">
        <v>43716.0</v>
      </c>
      <c r="C2811" s="7">
        <f t="shared" si="1"/>
        <v>43716</v>
      </c>
      <c r="D2811" s="1" t="str">
        <f t="array" ref="D2811">IF(ISBLANK(XLOOKUP(D$3,daily_items,XLOOKUP($C2811,daily_dates,big_daily_table))),NA(),XLOOKUP(D$3,daily_items,XLOOKUP($C2811,daily_dates,big_daily_table)))</f>
        <v>#N/A</v>
      </c>
      <c r="E2811" s="1" t="str">
        <f t="array" ref="E2811">IF(ISBLANK(XLOOKUP(E$3,daily_items,XLOOKUP($C2811,daily_dates,big_daily_table))),NA(),XLOOKUP(E$3,daily_items,XLOOKUP($C2811,daily_dates,big_daily_table)))</f>
        <v>#N/A</v>
      </c>
    </row>
    <row r="2812" ht="14.25" customHeight="1">
      <c r="B2812" s="7">
        <v>43717.0</v>
      </c>
      <c r="C2812" s="7">
        <f t="shared" si="1"/>
        <v>43716</v>
      </c>
      <c r="D2812" s="1" t="str">
        <f t="array" ref="D2812">IF(ISBLANK(XLOOKUP(D$3,daily_items,XLOOKUP($C2812,daily_dates,big_daily_table))),NA(),XLOOKUP(D$3,daily_items,XLOOKUP($C2812,daily_dates,big_daily_table)))</f>
        <v>#N/A</v>
      </c>
      <c r="E2812" s="1" t="str">
        <f t="array" ref="E2812">IF(ISBLANK(XLOOKUP(E$3,daily_items,XLOOKUP($C2812,daily_dates,big_daily_table))),NA(),XLOOKUP(E$3,daily_items,XLOOKUP($C2812,daily_dates,big_daily_table)))</f>
        <v>#N/A</v>
      </c>
    </row>
    <row r="2813" ht="14.25" customHeight="1">
      <c r="B2813" s="7">
        <v>43718.0</v>
      </c>
      <c r="C2813" s="7">
        <f t="shared" si="1"/>
        <v>43716</v>
      </c>
      <c r="D2813" s="1" t="str">
        <f t="array" ref="D2813">IF(ISBLANK(XLOOKUP(D$3,daily_items,XLOOKUP($C2813,daily_dates,big_daily_table))),NA(),XLOOKUP(D$3,daily_items,XLOOKUP($C2813,daily_dates,big_daily_table)))</f>
        <v>#N/A</v>
      </c>
      <c r="E2813" s="1" t="str">
        <f t="array" ref="E2813">IF(ISBLANK(XLOOKUP(E$3,daily_items,XLOOKUP($C2813,daily_dates,big_daily_table))),NA(),XLOOKUP(E$3,daily_items,XLOOKUP($C2813,daily_dates,big_daily_table)))</f>
        <v>#N/A</v>
      </c>
    </row>
    <row r="2814" ht="14.25" customHeight="1">
      <c r="B2814" s="7">
        <v>43719.0</v>
      </c>
      <c r="C2814" s="7">
        <f t="shared" si="1"/>
        <v>43716</v>
      </c>
      <c r="D2814" s="1" t="str">
        <f t="array" ref="D2814">IF(ISBLANK(XLOOKUP(D$3,daily_items,XLOOKUP($C2814,daily_dates,big_daily_table))),NA(),XLOOKUP(D$3,daily_items,XLOOKUP($C2814,daily_dates,big_daily_table)))</f>
        <v>#N/A</v>
      </c>
      <c r="E2814" s="1" t="str">
        <f t="array" ref="E2814">IF(ISBLANK(XLOOKUP(E$3,daily_items,XLOOKUP($C2814,daily_dates,big_daily_table))),NA(),XLOOKUP(E$3,daily_items,XLOOKUP($C2814,daily_dates,big_daily_table)))</f>
        <v>#N/A</v>
      </c>
    </row>
    <row r="2815" ht="14.25" customHeight="1">
      <c r="B2815" s="7">
        <v>43720.0</v>
      </c>
      <c r="C2815" s="7">
        <f t="shared" si="1"/>
        <v>43716</v>
      </c>
      <c r="D2815" s="1" t="str">
        <f t="array" ref="D2815">IF(ISBLANK(XLOOKUP(D$3,daily_items,XLOOKUP($C2815,daily_dates,big_daily_table))),NA(),XLOOKUP(D$3,daily_items,XLOOKUP($C2815,daily_dates,big_daily_table)))</f>
        <v>#N/A</v>
      </c>
      <c r="E2815" s="1" t="str">
        <f t="array" ref="E2815">IF(ISBLANK(XLOOKUP(E$3,daily_items,XLOOKUP($C2815,daily_dates,big_daily_table))),NA(),XLOOKUP(E$3,daily_items,XLOOKUP($C2815,daily_dates,big_daily_table)))</f>
        <v>#N/A</v>
      </c>
    </row>
    <row r="2816" ht="14.25" customHeight="1">
      <c r="B2816" s="7">
        <v>43721.0</v>
      </c>
      <c r="C2816" s="7">
        <f t="shared" si="1"/>
        <v>43716</v>
      </c>
      <c r="D2816" s="1" t="str">
        <f t="array" ref="D2816">IF(ISBLANK(XLOOKUP(D$3,daily_items,XLOOKUP($C2816,daily_dates,big_daily_table))),NA(),XLOOKUP(D$3,daily_items,XLOOKUP($C2816,daily_dates,big_daily_table)))</f>
        <v>#N/A</v>
      </c>
      <c r="E2816" s="1" t="str">
        <f t="array" ref="E2816">IF(ISBLANK(XLOOKUP(E$3,daily_items,XLOOKUP($C2816,daily_dates,big_daily_table))),NA(),XLOOKUP(E$3,daily_items,XLOOKUP($C2816,daily_dates,big_daily_table)))</f>
        <v>#N/A</v>
      </c>
    </row>
    <row r="2817" ht="14.25" customHeight="1">
      <c r="B2817" s="7">
        <v>43722.0</v>
      </c>
      <c r="C2817" s="7">
        <f t="shared" si="1"/>
        <v>43716</v>
      </c>
      <c r="D2817" s="1" t="str">
        <f t="array" ref="D2817">IF(ISBLANK(XLOOKUP(D$3,daily_items,XLOOKUP($C2817,daily_dates,big_daily_table))),NA(),XLOOKUP(D$3,daily_items,XLOOKUP($C2817,daily_dates,big_daily_table)))</f>
        <v>#N/A</v>
      </c>
      <c r="E2817" s="1" t="str">
        <f t="array" ref="E2817">IF(ISBLANK(XLOOKUP(E$3,daily_items,XLOOKUP($C2817,daily_dates,big_daily_table))),NA(),XLOOKUP(E$3,daily_items,XLOOKUP($C2817,daily_dates,big_daily_table)))</f>
        <v>#N/A</v>
      </c>
    </row>
    <row r="2818" ht="14.25" customHeight="1">
      <c r="B2818" s="7">
        <v>43723.0</v>
      </c>
      <c r="C2818" s="7">
        <f t="shared" si="1"/>
        <v>43723</v>
      </c>
      <c r="D2818" s="1" t="str">
        <f t="array" ref="D2818">IF(ISBLANK(XLOOKUP(D$3,daily_items,XLOOKUP($C2818,daily_dates,big_daily_table))),NA(),XLOOKUP(D$3,daily_items,XLOOKUP($C2818,daily_dates,big_daily_table)))</f>
        <v>#N/A</v>
      </c>
      <c r="E2818" s="1" t="str">
        <f t="array" ref="E2818">IF(ISBLANK(XLOOKUP(E$3,daily_items,XLOOKUP($C2818,daily_dates,big_daily_table))),NA(),XLOOKUP(E$3,daily_items,XLOOKUP($C2818,daily_dates,big_daily_table)))</f>
        <v>#N/A</v>
      </c>
    </row>
    <row r="2819" ht="14.25" customHeight="1">
      <c r="B2819" s="7">
        <v>43724.0</v>
      </c>
      <c r="C2819" s="7">
        <f t="shared" si="1"/>
        <v>43723</v>
      </c>
      <c r="D2819" s="1" t="str">
        <f t="array" ref="D2819">IF(ISBLANK(XLOOKUP(D$3,daily_items,XLOOKUP($C2819,daily_dates,big_daily_table))),NA(),XLOOKUP(D$3,daily_items,XLOOKUP($C2819,daily_dates,big_daily_table)))</f>
        <v>#N/A</v>
      </c>
      <c r="E2819" s="1" t="str">
        <f t="array" ref="E2819">IF(ISBLANK(XLOOKUP(E$3,daily_items,XLOOKUP($C2819,daily_dates,big_daily_table))),NA(),XLOOKUP(E$3,daily_items,XLOOKUP($C2819,daily_dates,big_daily_table)))</f>
        <v>#N/A</v>
      </c>
    </row>
    <row r="2820" ht="14.25" customHeight="1">
      <c r="B2820" s="7">
        <v>43725.0</v>
      </c>
      <c r="C2820" s="7">
        <f t="shared" si="1"/>
        <v>43723</v>
      </c>
      <c r="D2820" s="1" t="str">
        <f t="array" ref="D2820">IF(ISBLANK(XLOOKUP(D$3,daily_items,XLOOKUP($C2820,daily_dates,big_daily_table))),NA(),XLOOKUP(D$3,daily_items,XLOOKUP($C2820,daily_dates,big_daily_table)))</f>
        <v>#N/A</v>
      </c>
      <c r="E2820" s="1" t="str">
        <f t="array" ref="E2820">IF(ISBLANK(XLOOKUP(E$3,daily_items,XLOOKUP($C2820,daily_dates,big_daily_table))),NA(),XLOOKUP(E$3,daily_items,XLOOKUP($C2820,daily_dates,big_daily_table)))</f>
        <v>#N/A</v>
      </c>
    </row>
    <row r="2821" ht="14.25" customHeight="1">
      <c r="B2821" s="7">
        <v>43726.0</v>
      </c>
      <c r="C2821" s="7">
        <f t="shared" si="1"/>
        <v>43723</v>
      </c>
      <c r="D2821" s="1" t="str">
        <f t="array" ref="D2821">IF(ISBLANK(XLOOKUP(D$3,daily_items,XLOOKUP($C2821,daily_dates,big_daily_table))),NA(),XLOOKUP(D$3,daily_items,XLOOKUP($C2821,daily_dates,big_daily_table)))</f>
        <v>#N/A</v>
      </c>
      <c r="E2821" s="1" t="str">
        <f t="array" ref="E2821">IF(ISBLANK(XLOOKUP(E$3,daily_items,XLOOKUP($C2821,daily_dates,big_daily_table))),NA(),XLOOKUP(E$3,daily_items,XLOOKUP($C2821,daily_dates,big_daily_table)))</f>
        <v>#N/A</v>
      </c>
    </row>
    <row r="2822" ht="14.25" customHeight="1">
      <c r="B2822" s="7">
        <v>43727.0</v>
      </c>
      <c r="C2822" s="7">
        <f t="shared" si="1"/>
        <v>43723</v>
      </c>
      <c r="D2822" s="1" t="str">
        <f t="array" ref="D2822">IF(ISBLANK(XLOOKUP(D$3,daily_items,XLOOKUP($C2822,daily_dates,big_daily_table))),NA(),XLOOKUP(D$3,daily_items,XLOOKUP($C2822,daily_dates,big_daily_table)))</f>
        <v>#N/A</v>
      </c>
      <c r="E2822" s="1" t="str">
        <f t="array" ref="E2822">IF(ISBLANK(XLOOKUP(E$3,daily_items,XLOOKUP($C2822,daily_dates,big_daily_table))),NA(),XLOOKUP(E$3,daily_items,XLOOKUP($C2822,daily_dates,big_daily_table)))</f>
        <v>#N/A</v>
      </c>
    </row>
    <row r="2823" ht="14.25" customHeight="1">
      <c r="B2823" s="7">
        <v>43728.0</v>
      </c>
      <c r="C2823" s="7">
        <f t="shared" si="1"/>
        <v>43723</v>
      </c>
      <c r="D2823" s="1" t="str">
        <f t="array" ref="D2823">IF(ISBLANK(XLOOKUP(D$3,daily_items,XLOOKUP($C2823,daily_dates,big_daily_table))),NA(),XLOOKUP(D$3,daily_items,XLOOKUP($C2823,daily_dates,big_daily_table)))</f>
        <v>#N/A</v>
      </c>
      <c r="E2823" s="1" t="str">
        <f t="array" ref="E2823">IF(ISBLANK(XLOOKUP(E$3,daily_items,XLOOKUP($C2823,daily_dates,big_daily_table))),NA(),XLOOKUP(E$3,daily_items,XLOOKUP($C2823,daily_dates,big_daily_table)))</f>
        <v>#N/A</v>
      </c>
    </row>
    <row r="2824" ht="14.25" customHeight="1">
      <c r="B2824" s="7">
        <v>43729.0</v>
      </c>
      <c r="C2824" s="7">
        <f t="shared" si="1"/>
        <v>43723</v>
      </c>
      <c r="D2824" s="1" t="str">
        <f t="array" ref="D2824">IF(ISBLANK(XLOOKUP(D$3,daily_items,XLOOKUP($C2824,daily_dates,big_daily_table))),NA(),XLOOKUP(D$3,daily_items,XLOOKUP($C2824,daily_dates,big_daily_table)))</f>
        <v>#N/A</v>
      </c>
      <c r="E2824" s="1" t="str">
        <f t="array" ref="E2824">IF(ISBLANK(XLOOKUP(E$3,daily_items,XLOOKUP($C2824,daily_dates,big_daily_table))),NA(),XLOOKUP(E$3,daily_items,XLOOKUP($C2824,daily_dates,big_daily_table)))</f>
        <v>#N/A</v>
      </c>
    </row>
    <row r="2825" ht="14.25" customHeight="1">
      <c r="B2825" s="7">
        <v>43730.0</v>
      </c>
      <c r="C2825" s="7">
        <f t="shared" si="1"/>
        <v>43730</v>
      </c>
      <c r="D2825" s="1" t="str">
        <f t="array" ref="D2825">IF(ISBLANK(XLOOKUP(D$3,daily_items,XLOOKUP($C2825,daily_dates,big_daily_table))),NA(),XLOOKUP(D$3,daily_items,XLOOKUP($C2825,daily_dates,big_daily_table)))</f>
        <v>#N/A</v>
      </c>
      <c r="E2825" s="1" t="str">
        <f t="array" ref="E2825">IF(ISBLANK(XLOOKUP(E$3,daily_items,XLOOKUP($C2825,daily_dates,big_daily_table))),NA(),XLOOKUP(E$3,daily_items,XLOOKUP($C2825,daily_dates,big_daily_table)))</f>
        <v>#N/A</v>
      </c>
    </row>
    <row r="2826" ht="14.25" customHeight="1">
      <c r="B2826" s="7">
        <v>43731.0</v>
      </c>
      <c r="C2826" s="7">
        <f t="shared" si="1"/>
        <v>43730</v>
      </c>
      <c r="D2826" s="1" t="str">
        <f t="array" ref="D2826">IF(ISBLANK(XLOOKUP(D$3,daily_items,XLOOKUP($C2826,daily_dates,big_daily_table))),NA(),XLOOKUP(D$3,daily_items,XLOOKUP($C2826,daily_dates,big_daily_table)))</f>
        <v>#N/A</v>
      </c>
      <c r="E2826" s="1" t="str">
        <f t="array" ref="E2826">IF(ISBLANK(XLOOKUP(E$3,daily_items,XLOOKUP($C2826,daily_dates,big_daily_table))),NA(),XLOOKUP(E$3,daily_items,XLOOKUP($C2826,daily_dates,big_daily_table)))</f>
        <v>#N/A</v>
      </c>
    </row>
    <row r="2827" ht="14.25" customHeight="1">
      <c r="B2827" s="7">
        <v>43732.0</v>
      </c>
      <c r="C2827" s="7">
        <f t="shared" si="1"/>
        <v>43730</v>
      </c>
      <c r="D2827" s="1" t="str">
        <f t="array" ref="D2827">IF(ISBLANK(XLOOKUP(D$3,daily_items,XLOOKUP($C2827,daily_dates,big_daily_table))),NA(),XLOOKUP(D$3,daily_items,XLOOKUP($C2827,daily_dates,big_daily_table)))</f>
        <v>#N/A</v>
      </c>
      <c r="E2827" s="1" t="str">
        <f t="array" ref="E2827">IF(ISBLANK(XLOOKUP(E$3,daily_items,XLOOKUP($C2827,daily_dates,big_daily_table))),NA(),XLOOKUP(E$3,daily_items,XLOOKUP($C2827,daily_dates,big_daily_table)))</f>
        <v>#N/A</v>
      </c>
    </row>
    <row r="2828" ht="14.25" customHeight="1">
      <c r="B2828" s="7">
        <v>43733.0</v>
      </c>
      <c r="C2828" s="7">
        <f t="shared" si="1"/>
        <v>43730</v>
      </c>
      <c r="D2828" s="1" t="str">
        <f t="array" ref="D2828">IF(ISBLANK(XLOOKUP(D$3,daily_items,XLOOKUP($C2828,daily_dates,big_daily_table))),NA(),XLOOKUP(D$3,daily_items,XLOOKUP($C2828,daily_dates,big_daily_table)))</f>
        <v>#N/A</v>
      </c>
      <c r="E2828" s="1" t="str">
        <f t="array" ref="E2828">IF(ISBLANK(XLOOKUP(E$3,daily_items,XLOOKUP($C2828,daily_dates,big_daily_table))),NA(),XLOOKUP(E$3,daily_items,XLOOKUP($C2828,daily_dates,big_daily_table)))</f>
        <v>#N/A</v>
      </c>
    </row>
    <row r="2829" ht="14.25" customHeight="1">
      <c r="B2829" s="7">
        <v>43734.0</v>
      </c>
      <c r="C2829" s="7">
        <f t="shared" si="1"/>
        <v>43730</v>
      </c>
      <c r="D2829" s="1" t="str">
        <f t="array" ref="D2829">IF(ISBLANK(XLOOKUP(D$3,daily_items,XLOOKUP($C2829,daily_dates,big_daily_table))),NA(),XLOOKUP(D$3,daily_items,XLOOKUP($C2829,daily_dates,big_daily_table)))</f>
        <v>#N/A</v>
      </c>
      <c r="E2829" s="1" t="str">
        <f t="array" ref="E2829">IF(ISBLANK(XLOOKUP(E$3,daily_items,XLOOKUP($C2829,daily_dates,big_daily_table))),NA(),XLOOKUP(E$3,daily_items,XLOOKUP($C2829,daily_dates,big_daily_table)))</f>
        <v>#N/A</v>
      </c>
    </row>
    <row r="2830" ht="14.25" customHeight="1">
      <c r="B2830" s="7">
        <v>43735.0</v>
      </c>
      <c r="C2830" s="7">
        <f t="shared" si="1"/>
        <v>43730</v>
      </c>
      <c r="D2830" s="1" t="str">
        <f t="array" ref="D2830">IF(ISBLANK(XLOOKUP(D$3,daily_items,XLOOKUP($C2830,daily_dates,big_daily_table))),NA(),XLOOKUP(D$3,daily_items,XLOOKUP($C2830,daily_dates,big_daily_table)))</f>
        <v>#N/A</v>
      </c>
      <c r="E2830" s="1" t="str">
        <f t="array" ref="E2830">IF(ISBLANK(XLOOKUP(E$3,daily_items,XLOOKUP($C2830,daily_dates,big_daily_table))),NA(),XLOOKUP(E$3,daily_items,XLOOKUP($C2830,daily_dates,big_daily_table)))</f>
        <v>#N/A</v>
      </c>
    </row>
    <row r="2831" ht="14.25" customHeight="1">
      <c r="B2831" s="7">
        <v>43736.0</v>
      </c>
      <c r="C2831" s="7">
        <f t="shared" si="1"/>
        <v>43730</v>
      </c>
      <c r="D2831" s="1" t="str">
        <f t="array" ref="D2831">IF(ISBLANK(XLOOKUP(D$3,daily_items,XLOOKUP($C2831,daily_dates,big_daily_table))),NA(),XLOOKUP(D$3,daily_items,XLOOKUP($C2831,daily_dates,big_daily_table)))</f>
        <v>#N/A</v>
      </c>
      <c r="E2831" s="1" t="str">
        <f t="array" ref="E2831">IF(ISBLANK(XLOOKUP(E$3,daily_items,XLOOKUP($C2831,daily_dates,big_daily_table))),NA(),XLOOKUP(E$3,daily_items,XLOOKUP($C2831,daily_dates,big_daily_table)))</f>
        <v>#N/A</v>
      </c>
    </row>
    <row r="2832" ht="14.25" customHeight="1">
      <c r="B2832" s="7">
        <v>43737.0</v>
      </c>
      <c r="C2832" s="7">
        <f t="shared" si="1"/>
        <v>43737</v>
      </c>
      <c r="D2832" s="1" t="str">
        <f t="array" ref="D2832">IF(ISBLANK(XLOOKUP(D$3,daily_items,XLOOKUP($C2832,daily_dates,big_daily_table))),NA(),XLOOKUP(D$3,daily_items,XLOOKUP($C2832,daily_dates,big_daily_table)))</f>
        <v>#N/A</v>
      </c>
      <c r="E2832" s="1" t="str">
        <f t="array" ref="E2832">IF(ISBLANK(XLOOKUP(E$3,daily_items,XLOOKUP($C2832,daily_dates,big_daily_table))),NA(),XLOOKUP(E$3,daily_items,XLOOKUP($C2832,daily_dates,big_daily_table)))</f>
        <v>#N/A</v>
      </c>
    </row>
    <row r="2833" ht="14.25" customHeight="1">
      <c r="B2833" s="7">
        <v>43738.0</v>
      </c>
      <c r="C2833" s="7">
        <f t="shared" si="1"/>
        <v>43737</v>
      </c>
      <c r="D2833" s="1" t="str">
        <f t="array" ref="D2833">IF(ISBLANK(XLOOKUP(D$3,daily_items,XLOOKUP($C2833,daily_dates,big_daily_table))),NA(),XLOOKUP(D$3,daily_items,XLOOKUP($C2833,daily_dates,big_daily_table)))</f>
        <v>#N/A</v>
      </c>
      <c r="E2833" s="1" t="str">
        <f t="array" ref="E2833">IF(ISBLANK(XLOOKUP(E$3,daily_items,XLOOKUP($C2833,daily_dates,big_daily_table))),NA(),XLOOKUP(E$3,daily_items,XLOOKUP($C2833,daily_dates,big_daily_table)))</f>
        <v>#N/A</v>
      </c>
    </row>
    <row r="2834" ht="14.25" customHeight="1">
      <c r="B2834" s="7">
        <v>43739.0</v>
      </c>
      <c r="C2834" s="7">
        <f t="shared" si="1"/>
        <v>43737</v>
      </c>
      <c r="D2834" s="1" t="str">
        <f t="array" ref="D2834">IF(ISBLANK(XLOOKUP(D$3,daily_items,XLOOKUP($C2834,daily_dates,big_daily_table))),NA(),XLOOKUP(D$3,daily_items,XLOOKUP($C2834,daily_dates,big_daily_table)))</f>
        <v>#N/A</v>
      </c>
      <c r="E2834" s="1" t="str">
        <f t="array" ref="E2834">IF(ISBLANK(XLOOKUP(E$3,daily_items,XLOOKUP($C2834,daily_dates,big_daily_table))),NA(),XLOOKUP(E$3,daily_items,XLOOKUP($C2834,daily_dates,big_daily_table)))</f>
        <v>#N/A</v>
      </c>
    </row>
    <row r="2835" ht="14.25" customHeight="1">
      <c r="B2835" s="7">
        <v>43740.0</v>
      </c>
      <c r="C2835" s="7">
        <f t="shared" si="1"/>
        <v>43737</v>
      </c>
      <c r="D2835" s="1" t="str">
        <f t="array" ref="D2835">IF(ISBLANK(XLOOKUP(D$3,daily_items,XLOOKUP($C2835,daily_dates,big_daily_table))),NA(),XLOOKUP(D$3,daily_items,XLOOKUP($C2835,daily_dates,big_daily_table)))</f>
        <v>#N/A</v>
      </c>
      <c r="E2835" s="1" t="str">
        <f t="array" ref="E2835">IF(ISBLANK(XLOOKUP(E$3,daily_items,XLOOKUP($C2835,daily_dates,big_daily_table))),NA(),XLOOKUP(E$3,daily_items,XLOOKUP($C2835,daily_dates,big_daily_table)))</f>
        <v>#N/A</v>
      </c>
    </row>
    <row r="2836" ht="14.25" customHeight="1">
      <c r="B2836" s="7">
        <v>43741.0</v>
      </c>
      <c r="C2836" s="7">
        <f t="shared" si="1"/>
        <v>43737</v>
      </c>
      <c r="D2836" s="1" t="str">
        <f t="array" ref="D2836">IF(ISBLANK(XLOOKUP(D$3,daily_items,XLOOKUP($C2836,daily_dates,big_daily_table))),NA(),XLOOKUP(D$3,daily_items,XLOOKUP($C2836,daily_dates,big_daily_table)))</f>
        <v>#N/A</v>
      </c>
      <c r="E2836" s="1" t="str">
        <f t="array" ref="E2836">IF(ISBLANK(XLOOKUP(E$3,daily_items,XLOOKUP($C2836,daily_dates,big_daily_table))),NA(),XLOOKUP(E$3,daily_items,XLOOKUP($C2836,daily_dates,big_daily_table)))</f>
        <v>#N/A</v>
      </c>
    </row>
    <row r="2837" ht="14.25" customHeight="1">
      <c r="B2837" s="7">
        <v>43742.0</v>
      </c>
      <c r="C2837" s="7">
        <f t="shared" si="1"/>
        <v>43737</v>
      </c>
      <c r="D2837" s="1" t="str">
        <f t="array" ref="D2837">IF(ISBLANK(XLOOKUP(D$3,daily_items,XLOOKUP($C2837,daily_dates,big_daily_table))),NA(),XLOOKUP(D$3,daily_items,XLOOKUP($C2837,daily_dates,big_daily_table)))</f>
        <v>#N/A</v>
      </c>
      <c r="E2837" s="1" t="str">
        <f t="array" ref="E2837">IF(ISBLANK(XLOOKUP(E$3,daily_items,XLOOKUP($C2837,daily_dates,big_daily_table))),NA(),XLOOKUP(E$3,daily_items,XLOOKUP($C2837,daily_dates,big_daily_table)))</f>
        <v>#N/A</v>
      </c>
    </row>
    <row r="2838" ht="14.25" customHeight="1">
      <c r="B2838" s="7">
        <v>43743.0</v>
      </c>
      <c r="C2838" s="7">
        <f t="shared" si="1"/>
        <v>43737</v>
      </c>
      <c r="D2838" s="1" t="str">
        <f t="array" ref="D2838">IF(ISBLANK(XLOOKUP(D$3,daily_items,XLOOKUP($C2838,daily_dates,big_daily_table))),NA(),XLOOKUP(D$3,daily_items,XLOOKUP($C2838,daily_dates,big_daily_table)))</f>
        <v>#N/A</v>
      </c>
      <c r="E2838" s="1" t="str">
        <f t="array" ref="E2838">IF(ISBLANK(XLOOKUP(E$3,daily_items,XLOOKUP($C2838,daily_dates,big_daily_table))),NA(),XLOOKUP(E$3,daily_items,XLOOKUP($C2838,daily_dates,big_daily_table)))</f>
        <v>#N/A</v>
      </c>
    </row>
    <row r="2839" ht="14.25" customHeight="1">
      <c r="B2839" s="7">
        <v>43744.0</v>
      </c>
      <c r="C2839" s="7">
        <f t="shared" si="1"/>
        <v>43744</v>
      </c>
      <c r="D2839" s="1" t="str">
        <f t="array" ref="D2839">IF(ISBLANK(XLOOKUP(D$3,daily_items,XLOOKUP($C2839,daily_dates,big_daily_table))),NA(),XLOOKUP(D$3,daily_items,XLOOKUP($C2839,daily_dates,big_daily_table)))</f>
        <v>#N/A</v>
      </c>
      <c r="E2839" s="1" t="str">
        <f t="array" ref="E2839">IF(ISBLANK(XLOOKUP(E$3,daily_items,XLOOKUP($C2839,daily_dates,big_daily_table))),NA(),XLOOKUP(E$3,daily_items,XLOOKUP($C2839,daily_dates,big_daily_table)))</f>
        <v>#N/A</v>
      </c>
    </row>
    <row r="2840" ht="14.25" customHeight="1">
      <c r="B2840" s="7">
        <v>43745.0</v>
      </c>
      <c r="C2840" s="7">
        <f t="shared" si="1"/>
        <v>43744</v>
      </c>
      <c r="D2840" s="1" t="str">
        <f t="array" ref="D2840">IF(ISBLANK(XLOOKUP(D$3,daily_items,XLOOKUP($C2840,daily_dates,big_daily_table))),NA(),XLOOKUP(D$3,daily_items,XLOOKUP($C2840,daily_dates,big_daily_table)))</f>
        <v>#N/A</v>
      </c>
      <c r="E2840" s="1" t="str">
        <f t="array" ref="E2840">IF(ISBLANK(XLOOKUP(E$3,daily_items,XLOOKUP($C2840,daily_dates,big_daily_table))),NA(),XLOOKUP(E$3,daily_items,XLOOKUP($C2840,daily_dates,big_daily_table)))</f>
        <v>#N/A</v>
      </c>
    </row>
    <row r="2841" ht="14.25" customHeight="1">
      <c r="B2841" s="7">
        <v>43746.0</v>
      </c>
      <c r="C2841" s="7">
        <f t="shared" si="1"/>
        <v>43744</v>
      </c>
      <c r="D2841" s="1" t="str">
        <f t="array" ref="D2841">IF(ISBLANK(XLOOKUP(D$3,daily_items,XLOOKUP($C2841,daily_dates,big_daily_table))),NA(),XLOOKUP(D$3,daily_items,XLOOKUP($C2841,daily_dates,big_daily_table)))</f>
        <v>#N/A</v>
      </c>
      <c r="E2841" s="1" t="str">
        <f t="array" ref="E2841">IF(ISBLANK(XLOOKUP(E$3,daily_items,XLOOKUP($C2841,daily_dates,big_daily_table))),NA(),XLOOKUP(E$3,daily_items,XLOOKUP($C2841,daily_dates,big_daily_table)))</f>
        <v>#N/A</v>
      </c>
    </row>
    <row r="2842" ht="14.25" customHeight="1">
      <c r="B2842" s="7">
        <v>43747.0</v>
      </c>
      <c r="C2842" s="7">
        <f t="shared" si="1"/>
        <v>43744</v>
      </c>
      <c r="D2842" s="1" t="str">
        <f t="array" ref="D2842">IF(ISBLANK(XLOOKUP(D$3,daily_items,XLOOKUP($C2842,daily_dates,big_daily_table))),NA(),XLOOKUP(D$3,daily_items,XLOOKUP($C2842,daily_dates,big_daily_table)))</f>
        <v>#N/A</v>
      </c>
      <c r="E2842" s="1" t="str">
        <f t="array" ref="E2842">IF(ISBLANK(XLOOKUP(E$3,daily_items,XLOOKUP($C2842,daily_dates,big_daily_table))),NA(),XLOOKUP(E$3,daily_items,XLOOKUP($C2842,daily_dates,big_daily_table)))</f>
        <v>#N/A</v>
      </c>
    </row>
    <row r="2843" ht="14.25" customHeight="1">
      <c r="B2843" s="7">
        <v>43748.0</v>
      </c>
      <c r="C2843" s="7">
        <f t="shared" si="1"/>
        <v>43744</v>
      </c>
      <c r="D2843" s="1" t="str">
        <f t="array" ref="D2843">IF(ISBLANK(XLOOKUP(D$3,daily_items,XLOOKUP($C2843,daily_dates,big_daily_table))),NA(),XLOOKUP(D$3,daily_items,XLOOKUP($C2843,daily_dates,big_daily_table)))</f>
        <v>#N/A</v>
      </c>
      <c r="E2843" s="1" t="str">
        <f t="array" ref="E2843">IF(ISBLANK(XLOOKUP(E$3,daily_items,XLOOKUP($C2843,daily_dates,big_daily_table))),NA(),XLOOKUP(E$3,daily_items,XLOOKUP($C2843,daily_dates,big_daily_table)))</f>
        <v>#N/A</v>
      </c>
    </row>
    <row r="2844" ht="14.25" customHeight="1">
      <c r="B2844" s="7">
        <v>43749.0</v>
      </c>
      <c r="C2844" s="7">
        <f t="shared" si="1"/>
        <v>43744</v>
      </c>
      <c r="D2844" s="1" t="str">
        <f t="array" ref="D2844">IF(ISBLANK(XLOOKUP(D$3,daily_items,XLOOKUP($C2844,daily_dates,big_daily_table))),NA(),XLOOKUP(D$3,daily_items,XLOOKUP($C2844,daily_dates,big_daily_table)))</f>
        <v>#N/A</v>
      </c>
      <c r="E2844" s="1" t="str">
        <f t="array" ref="E2844">IF(ISBLANK(XLOOKUP(E$3,daily_items,XLOOKUP($C2844,daily_dates,big_daily_table))),NA(),XLOOKUP(E$3,daily_items,XLOOKUP($C2844,daily_dates,big_daily_table)))</f>
        <v>#N/A</v>
      </c>
    </row>
    <row r="2845" ht="14.25" customHeight="1">
      <c r="B2845" s="7">
        <v>43750.0</v>
      </c>
      <c r="C2845" s="7">
        <f t="shared" si="1"/>
        <v>43744</v>
      </c>
      <c r="D2845" s="1" t="str">
        <f t="array" ref="D2845">IF(ISBLANK(XLOOKUP(D$3,daily_items,XLOOKUP($C2845,daily_dates,big_daily_table))),NA(),XLOOKUP(D$3,daily_items,XLOOKUP($C2845,daily_dates,big_daily_table)))</f>
        <v>#N/A</v>
      </c>
      <c r="E2845" s="1" t="str">
        <f t="array" ref="E2845">IF(ISBLANK(XLOOKUP(E$3,daily_items,XLOOKUP($C2845,daily_dates,big_daily_table))),NA(),XLOOKUP(E$3,daily_items,XLOOKUP($C2845,daily_dates,big_daily_table)))</f>
        <v>#N/A</v>
      </c>
    </row>
    <row r="2846" ht="14.25" customHeight="1">
      <c r="B2846" s="7">
        <v>43751.0</v>
      </c>
      <c r="C2846" s="7">
        <f t="shared" si="1"/>
        <v>43751</v>
      </c>
      <c r="D2846" s="1" t="str">
        <f t="array" ref="D2846">IF(ISBLANK(XLOOKUP(D$3,daily_items,XLOOKUP($C2846,daily_dates,big_daily_table))),NA(),XLOOKUP(D$3,daily_items,XLOOKUP($C2846,daily_dates,big_daily_table)))</f>
        <v>#N/A</v>
      </c>
      <c r="E2846" s="1" t="str">
        <f t="array" ref="E2846">IF(ISBLANK(XLOOKUP(E$3,daily_items,XLOOKUP($C2846,daily_dates,big_daily_table))),NA(),XLOOKUP(E$3,daily_items,XLOOKUP($C2846,daily_dates,big_daily_table)))</f>
        <v>#N/A</v>
      </c>
    </row>
    <row r="2847" ht="14.25" customHeight="1">
      <c r="B2847" s="7">
        <v>43752.0</v>
      </c>
      <c r="C2847" s="7">
        <f t="shared" si="1"/>
        <v>43751</v>
      </c>
      <c r="D2847" s="1" t="str">
        <f t="array" ref="D2847">IF(ISBLANK(XLOOKUP(D$3,daily_items,XLOOKUP($C2847,daily_dates,big_daily_table))),NA(),XLOOKUP(D$3,daily_items,XLOOKUP($C2847,daily_dates,big_daily_table)))</f>
        <v>#N/A</v>
      </c>
      <c r="E2847" s="1" t="str">
        <f t="array" ref="E2847">IF(ISBLANK(XLOOKUP(E$3,daily_items,XLOOKUP($C2847,daily_dates,big_daily_table))),NA(),XLOOKUP(E$3,daily_items,XLOOKUP($C2847,daily_dates,big_daily_table)))</f>
        <v>#N/A</v>
      </c>
    </row>
    <row r="2848" ht="14.25" customHeight="1">
      <c r="B2848" s="7">
        <v>43753.0</v>
      </c>
      <c r="C2848" s="7">
        <f t="shared" si="1"/>
        <v>43751</v>
      </c>
      <c r="D2848" s="1" t="str">
        <f t="array" ref="D2848">IF(ISBLANK(XLOOKUP(D$3,daily_items,XLOOKUP($C2848,daily_dates,big_daily_table))),NA(),XLOOKUP(D$3,daily_items,XLOOKUP($C2848,daily_dates,big_daily_table)))</f>
        <v>#N/A</v>
      </c>
      <c r="E2848" s="1" t="str">
        <f t="array" ref="E2848">IF(ISBLANK(XLOOKUP(E$3,daily_items,XLOOKUP($C2848,daily_dates,big_daily_table))),NA(),XLOOKUP(E$3,daily_items,XLOOKUP($C2848,daily_dates,big_daily_table)))</f>
        <v>#N/A</v>
      </c>
    </row>
    <row r="2849" ht="14.25" customHeight="1">
      <c r="B2849" s="7">
        <v>43754.0</v>
      </c>
      <c r="C2849" s="7">
        <f t="shared" si="1"/>
        <v>43751</v>
      </c>
      <c r="D2849" s="1" t="str">
        <f t="array" ref="D2849">IF(ISBLANK(XLOOKUP(D$3,daily_items,XLOOKUP($C2849,daily_dates,big_daily_table))),NA(),XLOOKUP(D$3,daily_items,XLOOKUP($C2849,daily_dates,big_daily_table)))</f>
        <v>#N/A</v>
      </c>
      <c r="E2849" s="1" t="str">
        <f t="array" ref="E2849">IF(ISBLANK(XLOOKUP(E$3,daily_items,XLOOKUP($C2849,daily_dates,big_daily_table))),NA(),XLOOKUP(E$3,daily_items,XLOOKUP($C2849,daily_dates,big_daily_table)))</f>
        <v>#N/A</v>
      </c>
    </row>
    <row r="2850" ht="14.25" customHeight="1">
      <c r="B2850" s="7">
        <v>43755.0</v>
      </c>
      <c r="C2850" s="7">
        <f t="shared" si="1"/>
        <v>43751</v>
      </c>
      <c r="D2850" s="1" t="str">
        <f t="array" ref="D2850">IF(ISBLANK(XLOOKUP(D$3,daily_items,XLOOKUP($C2850,daily_dates,big_daily_table))),NA(),XLOOKUP(D$3,daily_items,XLOOKUP($C2850,daily_dates,big_daily_table)))</f>
        <v>#N/A</v>
      </c>
      <c r="E2850" s="1" t="str">
        <f t="array" ref="E2850">IF(ISBLANK(XLOOKUP(E$3,daily_items,XLOOKUP($C2850,daily_dates,big_daily_table))),NA(),XLOOKUP(E$3,daily_items,XLOOKUP($C2850,daily_dates,big_daily_table)))</f>
        <v>#N/A</v>
      </c>
    </row>
    <row r="2851" ht="14.25" customHeight="1">
      <c r="B2851" s="7">
        <v>43756.0</v>
      </c>
      <c r="C2851" s="7">
        <f t="shared" si="1"/>
        <v>43751</v>
      </c>
      <c r="D2851" s="1" t="str">
        <f t="array" ref="D2851">IF(ISBLANK(XLOOKUP(D$3,daily_items,XLOOKUP($C2851,daily_dates,big_daily_table))),NA(),XLOOKUP(D$3,daily_items,XLOOKUP($C2851,daily_dates,big_daily_table)))</f>
        <v>#N/A</v>
      </c>
      <c r="E2851" s="1" t="str">
        <f t="array" ref="E2851">IF(ISBLANK(XLOOKUP(E$3,daily_items,XLOOKUP($C2851,daily_dates,big_daily_table))),NA(),XLOOKUP(E$3,daily_items,XLOOKUP($C2851,daily_dates,big_daily_table)))</f>
        <v>#N/A</v>
      </c>
    </row>
    <row r="2852" ht="14.25" customHeight="1">
      <c r="B2852" s="7">
        <v>43757.0</v>
      </c>
      <c r="C2852" s="7">
        <f t="shared" si="1"/>
        <v>43751</v>
      </c>
      <c r="D2852" s="1" t="str">
        <f t="array" ref="D2852">IF(ISBLANK(XLOOKUP(D$3,daily_items,XLOOKUP($C2852,daily_dates,big_daily_table))),NA(),XLOOKUP(D$3,daily_items,XLOOKUP($C2852,daily_dates,big_daily_table)))</f>
        <v>#N/A</v>
      </c>
      <c r="E2852" s="1" t="str">
        <f t="array" ref="E2852">IF(ISBLANK(XLOOKUP(E$3,daily_items,XLOOKUP($C2852,daily_dates,big_daily_table))),NA(),XLOOKUP(E$3,daily_items,XLOOKUP($C2852,daily_dates,big_daily_table)))</f>
        <v>#N/A</v>
      </c>
    </row>
    <row r="2853" ht="14.25" customHeight="1">
      <c r="B2853" s="7">
        <v>43758.0</v>
      </c>
      <c r="C2853" s="7">
        <f t="shared" si="1"/>
        <v>43758</v>
      </c>
      <c r="D2853" s="1" t="str">
        <f t="array" ref="D2853">IF(ISBLANK(XLOOKUP(D$3,daily_items,XLOOKUP($C2853,daily_dates,big_daily_table))),NA(),XLOOKUP(D$3,daily_items,XLOOKUP($C2853,daily_dates,big_daily_table)))</f>
        <v>#N/A</v>
      </c>
      <c r="E2853" s="1" t="str">
        <f t="array" ref="E2853">IF(ISBLANK(XLOOKUP(E$3,daily_items,XLOOKUP($C2853,daily_dates,big_daily_table))),NA(),XLOOKUP(E$3,daily_items,XLOOKUP($C2853,daily_dates,big_daily_table)))</f>
        <v>#N/A</v>
      </c>
    </row>
    <row r="2854" ht="14.25" customHeight="1">
      <c r="B2854" s="7">
        <v>43759.0</v>
      </c>
      <c r="C2854" s="7">
        <f t="shared" si="1"/>
        <v>43758</v>
      </c>
      <c r="D2854" s="1" t="str">
        <f t="array" ref="D2854">IF(ISBLANK(XLOOKUP(D$3,daily_items,XLOOKUP($C2854,daily_dates,big_daily_table))),NA(),XLOOKUP(D$3,daily_items,XLOOKUP($C2854,daily_dates,big_daily_table)))</f>
        <v>#N/A</v>
      </c>
      <c r="E2854" s="1" t="str">
        <f t="array" ref="E2854">IF(ISBLANK(XLOOKUP(E$3,daily_items,XLOOKUP($C2854,daily_dates,big_daily_table))),NA(),XLOOKUP(E$3,daily_items,XLOOKUP($C2854,daily_dates,big_daily_table)))</f>
        <v>#N/A</v>
      </c>
    </row>
    <row r="2855" ht="14.25" customHeight="1">
      <c r="B2855" s="7">
        <v>43760.0</v>
      </c>
      <c r="C2855" s="7">
        <f t="shared" si="1"/>
        <v>43758</v>
      </c>
      <c r="D2855" s="1" t="str">
        <f t="array" ref="D2855">IF(ISBLANK(XLOOKUP(D$3,daily_items,XLOOKUP($C2855,daily_dates,big_daily_table))),NA(),XLOOKUP(D$3,daily_items,XLOOKUP($C2855,daily_dates,big_daily_table)))</f>
        <v>#N/A</v>
      </c>
      <c r="E2855" s="1" t="str">
        <f t="array" ref="E2855">IF(ISBLANK(XLOOKUP(E$3,daily_items,XLOOKUP($C2855,daily_dates,big_daily_table))),NA(),XLOOKUP(E$3,daily_items,XLOOKUP($C2855,daily_dates,big_daily_table)))</f>
        <v>#N/A</v>
      </c>
    </row>
    <row r="2856" ht="14.25" customHeight="1">
      <c r="B2856" s="7">
        <v>43761.0</v>
      </c>
      <c r="C2856" s="7">
        <f t="shared" si="1"/>
        <v>43758</v>
      </c>
      <c r="D2856" s="1" t="str">
        <f t="array" ref="D2856">IF(ISBLANK(XLOOKUP(D$3,daily_items,XLOOKUP($C2856,daily_dates,big_daily_table))),NA(),XLOOKUP(D$3,daily_items,XLOOKUP($C2856,daily_dates,big_daily_table)))</f>
        <v>#N/A</v>
      </c>
      <c r="E2856" s="1" t="str">
        <f t="array" ref="E2856">IF(ISBLANK(XLOOKUP(E$3,daily_items,XLOOKUP($C2856,daily_dates,big_daily_table))),NA(),XLOOKUP(E$3,daily_items,XLOOKUP($C2856,daily_dates,big_daily_table)))</f>
        <v>#N/A</v>
      </c>
    </row>
    <row r="2857" ht="14.25" customHeight="1">
      <c r="B2857" s="7">
        <v>43762.0</v>
      </c>
      <c r="C2857" s="7">
        <f t="shared" si="1"/>
        <v>43758</v>
      </c>
      <c r="D2857" s="1" t="str">
        <f t="array" ref="D2857">IF(ISBLANK(XLOOKUP(D$3,daily_items,XLOOKUP($C2857,daily_dates,big_daily_table))),NA(),XLOOKUP(D$3,daily_items,XLOOKUP($C2857,daily_dates,big_daily_table)))</f>
        <v>#N/A</v>
      </c>
      <c r="E2857" s="1" t="str">
        <f t="array" ref="E2857">IF(ISBLANK(XLOOKUP(E$3,daily_items,XLOOKUP($C2857,daily_dates,big_daily_table))),NA(),XLOOKUP(E$3,daily_items,XLOOKUP($C2857,daily_dates,big_daily_table)))</f>
        <v>#N/A</v>
      </c>
    </row>
    <row r="2858" ht="14.25" customHeight="1">
      <c r="B2858" s="7">
        <v>43763.0</v>
      </c>
      <c r="C2858" s="7">
        <f t="shared" si="1"/>
        <v>43758</v>
      </c>
      <c r="D2858" s="1" t="str">
        <f t="array" ref="D2858">IF(ISBLANK(XLOOKUP(D$3,daily_items,XLOOKUP($C2858,daily_dates,big_daily_table))),NA(),XLOOKUP(D$3,daily_items,XLOOKUP($C2858,daily_dates,big_daily_table)))</f>
        <v>#N/A</v>
      </c>
      <c r="E2858" s="1" t="str">
        <f t="array" ref="E2858">IF(ISBLANK(XLOOKUP(E$3,daily_items,XLOOKUP($C2858,daily_dates,big_daily_table))),NA(),XLOOKUP(E$3,daily_items,XLOOKUP($C2858,daily_dates,big_daily_table)))</f>
        <v>#N/A</v>
      </c>
    </row>
    <row r="2859" ht="14.25" customHeight="1">
      <c r="B2859" s="7">
        <v>43764.0</v>
      </c>
      <c r="C2859" s="7">
        <f t="shared" si="1"/>
        <v>43758</v>
      </c>
      <c r="D2859" s="1" t="str">
        <f t="array" ref="D2859">IF(ISBLANK(XLOOKUP(D$3,daily_items,XLOOKUP($C2859,daily_dates,big_daily_table))),NA(),XLOOKUP(D$3,daily_items,XLOOKUP($C2859,daily_dates,big_daily_table)))</f>
        <v>#N/A</v>
      </c>
      <c r="E2859" s="1" t="str">
        <f t="array" ref="E2859">IF(ISBLANK(XLOOKUP(E$3,daily_items,XLOOKUP($C2859,daily_dates,big_daily_table))),NA(),XLOOKUP(E$3,daily_items,XLOOKUP($C2859,daily_dates,big_daily_table)))</f>
        <v>#N/A</v>
      </c>
    </row>
    <row r="2860" ht="14.25" customHeight="1">
      <c r="B2860" s="7">
        <v>43765.0</v>
      </c>
      <c r="C2860" s="7">
        <f t="shared" si="1"/>
        <v>43765</v>
      </c>
      <c r="D2860" s="1" t="str">
        <f t="array" ref="D2860">IF(ISBLANK(XLOOKUP(D$3,daily_items,XLOOKUP($C2860,daily_dates,big_daily_table))),NA(),XLOOKUP(D$3,daily_items,XLOOKUP($C2860,daily_dates,big_daily_table)))</f>
        <v>#N/A</v>
      </c>
      <c r="E2860" s="1" t="str">
        <f t="array" ref="E2860">IF(ISBLANK(XLOOKUP(E$3,daily_items,XLOOKUP($C2860,daily_dates,big_daily_table))),NA(),XLOOKUP(E$3,daily_items,XLOOKUP($C2860,daily_dates,big_daily_table)))</f>
        <v>#N/A</v>
      </c>
    </row>
    <row r="2861" ht="14.25" customHeight="1">
      <c r="B2861" s="7">
        <v>43766.0</v>
      </c>
      <c r="C2861" s="7">
        <f t="shared" si="1"/>
        <v>43765</v>
      </c>
      <c r="D2861" s="1" t="str">
        <f t="array" ref="D2861">IF(ISBLANK(XLOOKUP(D$3,daily_items,XLOOKUP($C2861,daily_dates,big_daily_table))),NA(),XLOOKUP(D$3,daily_items,XLOOKUP($C2861,daily_dates,big_daily_table)))</f>
        <v>#N/A</v>
      </c>
      <c r="E2861" s="1" t="str">
        <f t="array" ref="E2861">IF(ISBLANK(XLOOKUP(E$3,daily_items,XLOOKUP($C2861,daily_dates,big_daily_table))),NA(),XLOOKUP(E$3,daily_items,XLOOKUP($C2861,daily_dates,big_daily_table)))</f>
        <v>#N/A</v>
      </c>
    </row>
    <row r="2862" ht="14.25" customHeight="1">
      <c r="B2862" s="7">
        <v>43767.0</v>
      </c>
      <c r="C2862" s="7">
        <f t="shared" si="1"/>
        <v>43765</v>
      </c>
      <c r="D2862" s="1" t="str">
        <f t="array" ref="D2862">IF(ISBLANK(XLOOKUP(D$3,daily_items,XLOOKUP($C2862,daily_dates,big_daily_table))),NA(),XLOOKUP(D$3,daily_items,XLOOKUP($C2862,daily_dates,big_daily_table)))</f>
        <v>#N/A</v>
      </c>
      <c r="E2862" s="1" t="str">
        <f t="array" ref="E2862">IF(ISBLANK(XLOOKUP(E$3,daily_items,XLOOKUP($C2862,daily_dates,big_daily_table))),NA(),XLOOKUP(E$3,daily_items,XLOOKUP($C2862,daily_dates,big_daily_table)))</f>
        <v>#N/A</v>
      </c>
    </row>
    <row r="2863" ht="14.25" customHeight="1">
      <c r="B2863" s="7">
        <v>43768.0</v>
      </c>
      <c r="C2863" s="7">
        <f t="shared" si="1"/>
        <v>43765</v>
      </c>
      <c r="D2863" s="1" t="str">
        <f t="array" ref="D2863">IF(ISBLANK(XLOOKUP(D$3,daily_items,XLOOKUP($C2863,daily_dates,big_daily_table))),NA(),XLOOKUP(D$3,daily_items,XLOOKUP($C2863,daily_dates,big_daily_table)))</f>
        <v>#N/A</v>
      </c>
      <c r="E2863" s="1" t="str">
        <f t="array" ref="E2863">IF(ISBLANK(XLOOKUP(E$3,daily_items,XLOOKUP($C2863,daily_dates,big_daily_table))),NA(),XLOOKUP(E$3,daily_items,XLOOKUP($C2863,daily_dates,big_daily_table)))</f>
        <v>#N/A</v>
      </c>
    </row>
    <row r="2864" ht="14.25" customHeight="1">
      <c r="B2864" s="7">
        <v>43769.0</v>
      </c>
      <c r="C2864" s="7">
        <f t="shared" si="1"/>
        <v>43765</v>
      </c>
      <c r="D2864" s="1" t="str">
        <f t="array" ref="D2864">IF(ISBLANK(XLOOKUP(D$3,daily_items,XLOOKUP($C2864,daily_dates,big_daily_table))),NA(),XLOOKUP(D$3,daily_items,XLOOKUP($C2864,daily_dates,big_daily_table)))</f>
        <v>#N/A</v>
      </c>
      <c r="E2864" s="1" t="str">
        <f t="array" ref="E2864">IF(ISBLANK(XLOOKUP(E$3,daily_items,XLOOKUP($C2864,daily_dates,big_daily_table))),NA(),XLOOKUP(E$3,daily_items,XLOOKUP($C2864,daily_dates,big_daily_table)))</f>
        <v>#N/A</v>
      </c>
    </row>
    <row r="2865" ht="14.25" customHeight="1">
      <c r="B2865" s="7">
        <v>43770.0</v>
      </c>
      <c r="C2865" s="7">
        <f t="shared" si="1"/>
        <v>43765</v>
      </c>
      <c r="D2865" s="1" t="str">
        <f t="array" ref="D2865">IF(ISBLANK(XLOOKUP(D$3,daily_items,XLOOKUP($C2865,daily_dates,big_daily_table))),NA(),XLOOKUP(D$3,daily_items,XLOOKUP($C2865,daily_dates,big_daily_table)))</f>
        <v>#N/A</v>
      </c>
      <c r="E2865" s="1" t="str">
        <f t="array" ref="E2865">IF(ISBLANK(XLOOKUP(E$3,daily_items,XLOOKUP($C2865,daily_dates,big_daily_table))),NA(),XLOOKUP(E$3,daily_items,XLOOKUP($C2865,daily_dates,big_daily_table)))</f>
        <v>#N/A</v>
      </c>
    </row>
    <row r="2866" ht="14.25" customHeight="1">
      <c r="B2866" s="7">
        <v>43771.0</v>
      </c>
      <c r="C2866" s="7">
        <f t="shared" si="1"/>
        <v>43765</v>
      </c>
      <c r="D2866" s="1" t="str">
        <f t="array" ref="D2866">IF(ISBLANK(XLOOKUP(D$3,daily_items,XLOOKUP($C2866,daily_dates,big_daily_table))),NA(),XLOOKUP(D$3,daily_items,XLOOKUP($C2866,daily_dates,big_daily_table)))</f>
        <v>#N/A</v>
      </c>
      <c r="E2866" s="1" t="str">
        <f t="array" ref="E2866">IF(ISBLANK(XLOOKUP(E$3,daily_items,XLOOKUP($C2866,daily_dates,big_daily_table))),NA(),XLOOKUP(E$3,daily_items,XLOOKUP($C2866,daily_dates,big_daily_table)))</f>
        <v>#N/A</v>
      </c>
    </row>
    <row r="2867" ht="14.25" customHeight="1">
      <c r="B2867" s="7">
        <v>43772.0</v>
      </c>
      <c r="C2867" s="7">
        <f t="shared" si="1"/>
        <v>43772</v>
      </c>
      <c r="D2867" s="1" t="str">
        <f t="array" ref="D2867">IF(ISBLANK(XLOOKUP(D$3,daily_items,XLOOKUP($C2867,daily_dates,big_daily_table))),NA(),XLOOKUP(D$3,daily_items,XLOOKUP($C2867,daily_dates,big_daily_table)))</f>
        <v>#N/A</v>
      </c>
      <c r="E2867" s="1" t="str">
        <f t="array" ref="E2867">IF(ISBLANK(XLOOKUP(E$3,daily_items,XLOOKUP($C2867,daily_dates,big_daily_table))),NA(),XLOOKUP(E$3,daily_items,XLOOKUP($C2867,daily_dates,big_daily_table)))</f>
        <v>#N/A</v>
      </c>
    </row>
    <row r="2868" ht="14.25" customHeight="1">
      <c r="B2868" s="7">
        <v>43773.0</v>
      </c>
      <c r="C2868" s="7">
        <f t="shared" si="1"/>
        <v>43772</v>
      </c>
      <c r="D2868" s="1" t="str">
        <f t="array" ref="D2868">IF(ISBLANK(XLOOKUP(D$3,daily_items,XLOOKUP($C2868,daily_dates,big_daily_table))),NA(),XLOOKUP(D$3,daily_items,XLOOKUP($C2868,daily_dates,big_daily_table)))</f>
        <v>#N/A</v>
      </c>
      <c r="E2868" s="1" t="str">
        <f t="array" ref="E2868">IF(ISBLANK(XLOOKUP(E$3,daily_items,XLOOKUP($C2868,daily_dates,big_daily_table))),NA(),XLOOKUP(E$3,daily_items,XLOOKUP($C2868,daily_dates,big_daily_table)))</f>
        <v>#N/A</v>
      </c>
    </row>
    <row r="2869" ht="14.25" customHeight="1">
      <c r="B2869" s="7">
        <v>43774.0</v>
      </c>
      <c r="C2869" s="7">
        <f t="shared" si="1"/>
        <v>43772</v>
      </c>
      <c r="D2869" s="1" t="str">
        <f t="array" ref="D2869">IF(ISBLANK(XLOOKUP(D$3,daily_items,XLOOKUP($C2869,daily_dates,big_daily_table))),NA(),XLOOKUP(D$3,daily_items,XLOOKUP($C2869,daily_dates,big_daily_table)))</f>
        <v>#N/A</v>
      </c>
      <c r="E2869" s="1" t="str">
        <f t="array" ref="E2869">IF(ISBLANK(XLOOKUP(E$3,daily_items,XLOOKUP($C2869,daily_dates,big_daily_table))),NA(),XLOOKUP(E$3,daily_items,XLOOKUP($C2869,daily_dates,big_daily_table)))</f>
        <v>#N/A</v>
      </c>
    </row>
    <row r="2870" ht="14.25" customHeight="1">
      <c r="B2870" s="7">
        <v>43775.0</v>
      </c>
      <c r="C2870" s="7">
        <f t="shared" si="1"/>
        <v>43772</v>
      </c>
      <c r="D2870" s="1" t="str">
        <f t="array" ref="D2870">IF(ISBLANK(XLOOKUP(D$3,daily_items,XLOOKUP($C2870,daily_dates,big_daily_table))),NA(),XLOOKUP(D$3,daily_items,XLOOKUP($C2870,daily_dates,big_daily_table)))</f>
        <v>#N/A</v>
      </c>
      <c r="E2870" s="1" t="str">
        <f t="array" ref="E2870">IF(ISBLANK(XLOOKUP(E$3,daily_items,XLOOKUP($C2870,daily_dates,big_daily_table))),NA(),XLOOKUP(E$3,daily_items,XLOOKUP($C2870,daily_dates,big_daily_table)))</f>
        <v>#N/A</v>
      </c>
    </row>
    <row r="2871" ht="14.25" customHeight="1">
      <c r="B2871" s="7">
        <v>43776.0</v>
      </c>
      <c r="C2871" s="7">
        <f t="shared" si="1"/>
        <v>43772</v>
      </c>
      <c r="D2871" s="1" t="str">
        <f t="array" ref="D2871">IF(ISBLANK(XLOOKUP(D$3,daily_items,XLOOKUP($C2871,daily_dates,big_daily_table))),NA(),XLOOKUP(D$3,daily_items,XLOOKUP($C2871,daily_dates,big_daily_table)))</f>
        <v>#N/A</v>
      </c>
      <c r="E2871" s="1" t="str">
        <f t="array" ref="E2871">IF(ISBLANK(XLOOKUP(E$3,daily_items,XLOOKUP($C2871,daily_dates,big_daily_table))),NA(),XLOOKUP(E$3,daily_items,XLOOKUP($C2871,daily_dates,big_daily_table)))</f>
        <v>#N/A</v>
      </c>
    </row>
    <row r="2872" ht="14.25" customHeight="1">
      <c r="B2872" s="7">
        <v>43777.0</v>
      </c>
      <c r="C2872" s="7">
        <f t="shared" si="1"/>
        <v>43772</v>
      </c>
      <c r="D2872" s="1" t="str">
        <f t="array" ref="D2872">IF(ISBLANK(XLOOKUP(D$3,daily_items,XLOOKUP($C2872,daily_dates,big_daily_table))),NA(),XLOOKUP(D$3,daily_items,XLOOKUP($C2872,daily_dates,big_daily_table)))</f>
        <v>#N/A</v>
      </c>
      <c r="E2872" s="1" t="str">
        <f t="array" ref="E2872">IF(ISBLANK(XLOOKUP(E$3,daily_items,XLOOKUP($C2872,daily_dates,big_daily_table))),NA(),XLOOKUP(E$3,daily_items,XLOOKUP($C2872,daily_dates,big_daily_table)))</f>
        <v>#N/A</v>
      </c>
    </row>
    <row r="2873" ht="14.25" customHeight="1">
      <c r="B2873" s="7">
        <v>43778.0</v>
      </c>
      <c r="C2873" s="7">
        <f t="shared" si="1"/>
        <v>43772</v>
      </c>
      <c r="D2873" s="1" t="str">
        <f t="array" ref="D2873">IF(ISBLANK(XLOOKUP(D$3,daily_items,XLOOKUP($C2873,daily_dates,big_daily_table))),NA(),XLOOKUP(D$3,daily_items,XLOOKUP($C2873,daily_dates,big_daily_table)))</f>
        <v>#N/A</v>
      </c>
      <c r="E2873" s="1" t="str">
        <f t="array" ref="E2873">IF(ISBLANK(XLOOKUP(E$3,daily_items,XLOOKUP($C2873,daily_dates,big_daily_table))),NA(),XLOOKUP(E$3,daily_items,XLOOKUP($C2873,daily_dates,big_daily_table)))</f>
        <v>#N/A</v>
      </c>
    </row>
    <row r="2874" ht="14.25" customHeight="1">
      <c r="B2874" s="7">
        <v>43779.0</v>
      </c>
      <c r="C2874" s="7">
        <f t="shared" si="1"/>
        <v>43779</v>
      </c>
      <c r="D2874" s="1" t="str">
        <f t="array" ref="D2874">IF(ISBLANK(XLOOKUP(D$3,daily_items,XLOOKUP($C2874,daily_dates,big_daily_table))),NA(),XLOOKUP(D$3,daily_items,XLOOKUP($C2874,daily_dates,big_daily_table)))</f>
        <v>#N/A</v>
      </c>
      <c r="E2874" s="1" t="str">
        <f t="array" ref="E2874">IF(ISBLANK(XLOOKUP(E$3,daily_items,XLOOKUP($C2874,daily_dates,big_daily_table))),NA(),XLOOKUP(E$3,daily_items,XLOOKUP($C2874,daily_dates,big_daily_table)))</f>
        <v>#N/A</v>
      </c>
    </row>
    <row r="2875" ht="14.25" customHeight="1">
      <c r="B2875" s="7">
        <v>43780.0</v>
      </c>
      <c r="C2875" s="7">
        <f t="shared" si="1"/>
        <v>43779</v>
      </c>
      <c r="D2875" s="1" t="str">
        <f t="array" ref="D2875">IF(ISBLANK(XLOOKUP(D$3,daily_items,XLOOKUP($C2875,daily_dates,big_daily_table))),NA(),XLOOKUP(D$3,daily_items,XLOOKUP($C2875,daily_dates,big_daily_table)))</f>
        <v>#N/A</v>
      </c>
      <c r="E2875" s="1" t="str">
        <f t="array" ref="E2875">IF(ISBLANK(XLOOKUP(E$3,daily_items,XLOOKUP($C2875,daily_dates,big_daily_table))),NA(),XLOOKUP(E$3,daily_items,XLOOKUP($C2875,daily_dates,big_daily_table)))</f>
        <v>#N/A</v>
      </c>
    </row>
    <row r="2876" ht="14.25" customHeight="1">
      <c r="B2876" s="7">
        <v>43781.0</v>
      </c>
      <c r="C2876" s="7">
        <f t="shared" si="1"/>
        <v>43779</v>
      </c>
      <c r="D2876" s="1" t="str">
        <f t="array" ref="D2876">IF(ISBLANK(XLOOKUP(D$3,daily_items,XLOOKUP($C2876,daily_dates,big_daily_table))),NA(),XLOOKUP(D$3,daily_items,XLOOKUP($C2876,daily_dates,big_daily_table)))</f>
        <v>#N/A</v>
      </c>
      <c r="E2876" s="1" t="str">
        <f t="array" ref="E2876">IF(ISBLANK(XLOOKUP(E$3,daily_items,XLOOKUP($C2876,daily_dates,big_daily_table))),NA(),XLOOKUP(E$3,daily_items,XLOOKUP($C2876,daily_dates,big_daily_table)))</f>
        <v>#N/A</v>
      </c>
    </row>
    <row r="2877" ht="14.25" customHeight="1">
      <c r="B2877" s="7">
        <v>43782.0</v>
      </c>
      <c r="C2877" s="7">
        <f t="shared" si="1"/>
        <v>43779</v>
      </c>
      <c r="D2877" s="1" t="str">
        <f t="array" ref="D2877">IF(ISBLANK(XLOOKUP(D$3,daily_items,XLOOKUP($C2877,daily_dates,big_daily_table))),NA(),XLOOKUP(D$3,daily_items,XLOOKUP($C2877,daily_dates,big_daily_table)))</f>
        <v>#N/A</v>
      </c>
      <c r="E2877" s="1" t="str">
        <f t="array" ref="E2877">IF(ISBLANK(XLOOKUP(E$3,daily_items,XLOOKUP($C2877,daily_dates,big_daily_table))),NA(),XLOOKUP(E$3,daily_items,XLOOKUP($C2877,daily_dates,big_daily_table)))</f>
        <v>#N/A</v>
      </c>
    </row>
    <row r="2878" ht="14.25" customHeight="1">
      <c r="B2878" s="7">
        <v>43783.0</v>
      </c>
      <c r="C2878" s="7">
        <f t="shared" si="1"/>
        <v>43779</v>
      </c>
      <c r="D2878" s="1" t="str">
        <f t="array" ref="D2878">IF(ISBLANK(XLOOKUP(D$3,daily_items,XLOOKUP($C2878,daily_dates,big_daily_table))),NA(),XLOOKUP(D$3,daily_items,XLOOKUP($C2878,daily_dates,big_daily_table)))</f>
        <v>#N/A</v>
      </c>
      <c r="E2878" s="1" t="str">
        <f t="array" ref="E2878">IF(ISBLANK(XLOOKUP(E$3,daily_items,XLOOKUP($C2878,daily_dates,big_daily_table))),NA(),XLOOKUP(E$3,daily_items,XLOOKUP($C2878,daily_dates,big_daily_table)))</f>
        <v>#N/A</v>
      </c>
    </row>
    <row r="2879" ht="14.25" customHeight="1">
      <c r="B2879" s="7">
        <v>43784.0</v>
      </c>
      <c r="C2879" s="7">
        <f t="shared" si="1"/>
        <v>43779</v>
      </c>
      <c r="D2879" s="1" t="str">
        <f t="array" ref="D2879">IF(ISBLANK(XLOOKUP(D$3,daily_items,XLOOKUP($C2879,daily_dates,big_daily_table))),NA(),XLOOKUP(D$3,daily_items,XLOOKUP($C2879,daily_dates,big_daily_table)))</f>
        <v>#N/A</v>
      </c>
      <c r="E2879" s="1" t="str">
        <f t="array" ref="E2879">IF(ISBLANK(XLOOKUP(E$3,daily_items,XLOOKUP($C2879,daily_dates,big_daily_table))),NA(),XLOOKUP(E$3,daily_items,XLOOKUP($C2879,daily_dates,big_daily_table)))</f>
        <v>#N/A</v>
      </c>
    </row>
    <row r="2880" ht="14.25" customHeight="1">
      <c r="B2880" s="7">
        <v>43785.0</v>
      </c>
      <c r="C2880" s="7">
        <f t="shared" si="1"/>
        <v>43779</v>
      </c>
      <c r="D2880" s="1" t="str">
        <f t="array" ref="D2880">IF(ISBLANK(XLOOKUP(D$3,daily_items,XLOOKUP($C2880,daily_dates,big_daily_table))),NA(),XLOOKUP(D$3,daily_items,XLOOKUP($C2880,daily_dates,big_daily_table)))</f>
        <v>#N/A</v>
      </c>
      <c r="E2880" s="1" t="str">
        <f t="array" ref="E2880">IF(ISBLANK(XLOOKUP(E$3,daily_items,XLOOKUP($C2880,daily_dates,big_daily_table))),NA(),XLOOKUP(E$3,daily_items,XLOOKUP($C2880,daily_dates,big_daily_table)))</f>
        <v>#N/A</v>
      </c>
    </row>
    <row r="2881" ht="14.25" customHeight="1">
      <c r="B2881" s="7">
        <v>43786.0</v>
      </c>
      <c r="C2881" s="7">
        <f t="shared" si="1"/>
        <v>43786</v>
      </c>
      <c r="D2881" s="1" t="str">
        <f t="array" ref="D2881">IF(ISBLANK(XLOOKUP(D$3,daily_items,XLOOKUP($C2881,daily_dates,big_daily_table))),NA(),XLOOKUP(D$3,daily_items,XLOOKUP($C2881,daily_dates,big_daily_table)))</f>
        <v>#N/A</v>
      </c>
      <c r="E2881" s="1" t="str">
        <f t="array" ref="E2881">IF(ISBLANK(XLOOKUP(E$3,daily_items,XLOOKUP($C2881,daily_dates,big_daily_table))),NA(),XLOOKUP(E$3,daily_items,XLOOKUP($C2881,daily_dates,big_daily_table)))</f>
        <v>#N/A</v>
      </c>
    </row>
    <row r="2882" ht="14.25" customHeight="1">
      <c r="B2882" s="7">
        <v>43787.0</v>
      </c>
      <c r="C2882" s="7">
        <f t="shared" si="1"/>
        <v>43786</v>
      </c>
      <c r="D2882" s="1" t="str">
        <f t="array" ref="D2882">IF(ISBLANK(XLOOKUP(D$3,daily_items,XLOOKUP($C2882,daily_dates,big_daily_table))),NA(),XLOOKUP(D$3,daily_items,XLOOKUP($C2882,daily_dates,big_daily_table)))</f>
        <v>#N/A</v>
      </c>
      <c r="E2882" s="1" t="str">
        <f t="array" ref="E2882">IF(ISBLANK(XLOOKUP(E$3,daily_items,XLOOKUP($C2882,daily_dates,big_daily_table))),NA(),XLOOKUP(E$3,daily_items,XLOOKUP($C2882,daily_dates,big_daily_table)))</f>
        <v>#N/A</v>
      </c>
    </row>
    <row r="2883" ht="14.25" customHeight="1">
      <c r="B2883" s="7">
        <v>43788.0</v>
      </c>
      <c r="C2883" s="7">
        <f t="shared" si="1"/>
        <v>43786</v>
      </c>
      <c r="D2883" s="1" t="str">
        <f t="array" ref="D2883">IF(ISBLANK(XLOOKUP(D$3,daily_items,XLOOKUP($C2883,daily_dates,big_daily_table))),NA(),XLOOKUP(D$3,daily_items,XLOOKUP($C2883,daily_dates,big_daily_table)))</f>
        <v>#N/A</v>
      </c>
      <c r="E2883" s="1" t="str">
        <f t="array" ref="E2883">IF(ISBLANK(XLOOKUP(E$3,daily_items,XLOOKUP($C2883,daily_dates,big_daily_table))),NA(),XLOOKUP(E$3,daily_items,XLOOKUP($C2883,daily_dates,big_daily_table)))</f>
        <v>#N/A</v>
      </c>
    </row>
    <row r="2884" ht="14.25" customHeight="1">
      <c r="B2884" s="7">
        <v>43789.0</v>
      </c>
      <c r="C2884" s="7">
        <f t="shared" si="1"/>
        <v>43786</v>
      </c>
      <c r="D2884" s="1" t="str">
        <f t="array" ref="D2884">IF(ISBLANK(XLOOKUP(D$3,daily_items,XLOOKUP($C2884,daily_dates,big_daily_table))),NA(),XLOOKUP(D$3,daily_items,XLOOKUP($C2884,daily_dates,big_daily_table)))</f>
        <v>#N/A</v>
      </c>
      <c r="E2884" s="1" t="str">
        <f t="array" ref="E2884">IF(ISBLANK(XLOOKUP(E$3,daily_items,XLOOKUP($C2884,daily_dates,big_daily_table))),NA(),XLOOKUP(E$3,daily_items,XLOOKUP($C2884,daily_dates,big_daily_table)))</f>
        <v>#N/A</v>
      </c>
    </row>
    <row r="2885" ht="14.25" customHeight="1">
      <c r="B2885" s="7">
        <v>43790.0</v>
      </c>
      <c r="C2885" s="7">
        <f t="shared" si="1"/>
        <v>43786</v>
      </c>
      <c r="D2885" s="1" t="str">
        <f t="array" ref="D2885">IF(ISBLANK(XLOOKUP(D$3,daily_items,XLOOKUP($C2885,daily_dates,big_daily_table))),NA(),XLOOKUP(D$3,daily_items,XLOOKUP($C2885,daily_dates,big_daily_table)))</f>
        <v>#N/A</v>
      </c>
      <c r="E2885" s="1" t="str">
        <f t="array" ref="E2885">IF(ISBLANK(XLOOKUP(E$3,daily_items,XLOOKUP($C2885,daily_dates,big_daily_table))),NA(),XLOOKUP(E$3,daily_items,XLOOKUP($C2885,daily_dates,big_daily_table)))</f>
        <v>#N/A</v>
      </c>
    </row>
    <row r="2886" ht="14.25" customHeight="1">
      <c r="B2886" s="7">
        <v>43791.0</v>
      </c>
      <c r="C2886" s="7">
        <f t="shared" si="1"/>
        <v>43786</v>
      </c>
      <c r="D2886" s="1" t="str">
        <f t="array" ref="D2886">IF(ISBLANK(XLOOKUP(D$3,daily_items,XLOOKUP($C2886,daily_dates,big_daily_table))),NA(),XLOOKUP(D$3,daily_items,XLOOKUP($C2886,daily_dates,big_daily_table)))</f>
        <v>#N/A</v>
      </c>
      <c r="E2886" s="1" t="str">
        <f t="array" ref="E2886">IF(ISBLANK(XLOOKUP(E$3,daily_items,XLOOKUP($C2886,daily_dates,big_daily_table))),NA(),XLOOKUP(E$3,daily_items,XLOOKUP($C2886,daily_dates,big_daily_table)))</f>
        <v>#N/A</v>
      </c>
    </row>
    <row r="2887" ht="14.25" customHeight="1">
      <c r="B2887" s="7">
        <v>43792.0</v>
      </c>
      <c r="C2887" s="7">
        <f t="shared" si="1"/>
        <v>43786</v>
      </c>
      <c r="D2887" s="1" t="str">
        <f t="array" ref="D2887">IF(ISBLANK(XLOOKUP(D$3,daily_items,XLOOKUP($C2887,daily_dates,big_daily_table))),NA(),XLOOKUP(D$3,daily_items,XLOOKUP($C2887,daily_dates,big_daily_table)))</f>
        <v>#N/A</v>
      </c>
      <c r="E2887" s="1" t="str">
        <f t="array" ref="E2887">IF(ISBLANK(XLOOKUP(E$3,daily_items,XLOOKUP($C2887,daily_dates,big_daily_table))),NA(),XLOOKUP(E$3,daily_items,XLOOKUP($C2887,daily_dates,big_daily_table)))</f>
        <v>#N/A</v>
      </c>
    </row>
    <row r="2888" ht="14.25" customHeight="1">
      <c r="B2888" s="7">
        <v>43793.0</v>
      </c>
      <c r="C2888" s="7">
        <f t="shared" si="1"/>
        <v>43793</v>
      </c>
      <c r="D2888" s="1" t="str">
        <f t="array" ref="D2888">IF(ISBLANK(XLOOKUP(D$3,daily_items,XLOOKUP($C2888,daily_dates,big_daily_table))),NA(),XLOOKUP(D$3,daily_items,XLOOKUP($C2888,daily_dates,big_daily_table)))</f>
        <v>#N/A</v>
      </c>
      <c r="E2888" s="1" t="str">
        <f t="array" ref="E2888">IF(ISBLANK(XLOOKUP(E$3,daily_items,XLOOKUP($C2888,daily_dates,big_daily_table))),NA(),XLOOKUP(E$3,daily_items,XLOOKUP($C2888,daily_dates,big_daily_table)))</f>
        <v>#N/A</v>
      </c>
    </row>
    <row r="2889" ht="14.25" customHeight="1">
      <c r="B2889" s="7">
        <v>43794.0</v>
      </c>
      <c r="C2889" s="7">
        <f t="shared" si="1"/>
        <v>43793</v>
      </c>
      <c r="D2889" s="1" t="str">
        <f t="array" ref="D2889">IF(ISBLANK(XLOOKUP(D$3,daily_items,XLOOKUP($C2889,daily_dates,big_daily_table))),NA(),XLOOKUP(D$3,daily_items,XLOOKUP($C2889,daily_dates,big_daily_table)))</f>
        <v>#N/A</v>
      </c>
      <c r="E2889" s="1" t="str">
        <f t="array" ref="E2889">IF(ISBLANK(XLOOKUP(E$3,daily_items,XLOOKUP($C2889,daily_dates,big_daily_table))),NA(),XLOOKUP(E$3,daily_items,XLOOKUP($C2889,daily_dates,big_daily_table)))</f>
        <v>#N/A</v>
      </c>
    </row>
    <row r="2890" ht="14.25" customHeight="1">
      <c r="B2890" s="7">
        <v>43795.0</v>
      </c>
      <c r="C2890" s="7">
        <f t="shared" si="1"/>
        <v>43793</v>
      </c>
      <c r="D2890" s="1" t="str">
        <f t="array" ref="D2890">IF(ISBLANK(XLOOKUP(D$3,daily_items,XLOOKUP($C2890,daily_dates,big_daily_table))),NA(),XLOOKUP(D$3,daily_items,XLOOKUP($C2890,daily_dates,big_daily_table)))</f>
        <v>#N/A</v>
      </c>
      <c r="E2890" s="1" t="str">
        <f t="array" ref="E2890">IF(ISBLANK(XLOOKUP(E$3,daily_items,XLOOKUP($C2890,daily_dates,big_daily_table))),NA(),XLOOKUP(E$3,daily_items,XLOOKUP($C2890,daily_dates,big_daily_table)))</f>
        <v>#N/A</v>
      </c>
    </row>
    <row r="2891" ht="14.25" customHeight="1">
      <c r="B2891" s="7">
        <v>43796.0</v>
      </c>
      <c r="C2891" s="7">
        <f t="shared" si="1"/>
        <v>43793</v>
      </c>
      <c r="D2891" s="1" t="str">
        <f t="array" ref="D2891">IF(ISBLANK(XLOOKUP(D$3,daily_items,XLOOKUP($C2891,daily_dates,big_daily_table))),NA(),XLOOKUP(D$3,daily_items,XLOOKUP($C2891,daily_dates,big_daily_table)))</f>
        <v>#N/A</v>
      </c>
      <c r="E2891" s="1" t="str">
        <f t="array" ref="E2891">IF(ISBLANK(XLOOKUP(E$3,daily_items,XLOOKUP($C2891,daily_dates,big_daily_table))),NA(),XLOOKUP(E$3,daily_items,XLOOKUP($C2891,daily_dates,big_daily_table)))</f>
        <v>#N/A</v>
      </c>
    </row>
    <row r="2892" ht="14.25" customHeight="1">
      <c r="B2892" s="7">
        <v>43797.0</v>
      </c>
      <c r="C2892" s="7">
        <f t="shared" si="1"/>
        <v>43793</v>
      </c>
      <c r="D2892" s="1" t="str">
        <f t="array" ref="D2892">IF(ISBLANK(XLOOKUP(D$3,daily_items,XLOOKUP($C2892,daily_dates,big_daily_table))),NA(),XLOOKUP(D$3,daily_items,XLOOKUP($C2892,daily_dates,big_daily_table)))</f>
        <v>#N/A</v>
      </c>
      <c r="E2892" s="1" t="str">
        <f t="array" ref="E2892">IF(ISBLANK(XLOOKUP(E$3,daily_items,XLOOKUP($C2892,daily_dates,big_daily_table))),NA(),XLOOKUP(E$3,daily_items,XLOOKUP($C2892,daily_dates,big_daily_table)))</f>
        <v>#N/A</v>
      </c>
    </row>
    <row r="2893" ht="14.25" customHeight="1">
      <c r="B2893" s="7">
        <v>43798.0</v>
      </c>
      <c r="C2893" s="7">
        <f t="shared" si="1"/>
        <v>43793</v>
      </c>
      <c r="D2893" s="1" t="str">
        <f t="array" ref="D2893">IF(ISBLANK(XLOOKUP(D$3,daily_items,XLOOKUP($C2893,daily_dates,big_daily_table))),NA(),XLOOKUP(D$3,daily_items,XLOOKUP($C2893,daily_dates,big_daily_table)))</f>
        <v>#N/A</v>
      </c>
      <c r="E2893" s="1" t="str">
        <f t="array" ref="E2893">IF(ISBLANK(XLOOKUP(E$3,daily_items,XLOOKUP($C2893,daily_dates,big_daily_table))),NA(),XLOOKUP(E$3,daily_items,XLOOKUP($C2893,daily_dates,big_daily_table)))</f>
        <v>#N/A</v>
      </c>
    </row>
    <row r="2894" ht="14.25" customHeight="1">
      <c r="B2894" s="7">
        <v>43799.0</v>
      </c>
      <c r="C2894" s="7">
        <f t="shared" si="1"/>
        <v>43793</v>
      </c>
      <c r="D2894" s="1" t="str">
        <f t="array" ref="D2894">IF(ISBLANK(XLOOKUP(D$3,daily_items,XLOOKUP($C2894,daily_dates,big_daily_table))),NA(),XLOOKUP(D$3,daily_items,XLOOKUP($C2894,daily_dates,big_daily_table)))</f>
        <v>#N/A</v>
      </c>
      <c r="E2894" s="1" t="str">
        <f t="array" ref="E2894">IF(ISBLANK(XLOOKUP(E$3,daily_items,XLOOKUP($C2894,daily_dates,big_daily_table))),NA(),XLOOKUP(E$3,daily_items,XLOOKUP($C2894,daily_dates,big_daily_table)))</f>
        <v>#N/A</v>
      </c>
    </row>
    <row r="2895" ht="14.25" customHeight="1">
      <c r="B2895" s="7">
        <v>43800.0</v>
      </c>
      <c r="C2895" s="7">
        <f t="shared" si="1"/>
        <v>43800</v>
      </c>
      <c r="D2895" s="1" t="str">
        <f t="array" ref="D2895">IF(ISBLANK(XLOOKUP(D$3,daily_items,XLOOKUP($C2895,daily_dates,big_daily_table))),NA(),XLOOKUP(D$3,daily_items,XLOOKUP($C2895,daily_dates,big_daily_table)))</f>
        <v>#N/A</v>
      </c>
      <c r="E2895" s="1" t="str">
        <f t="array" ref="E2895">IF(ISBLANK(XLOOKUP(E$3,daily_items,XLOOKUP($C2895,daily_dates,big_daily_table))),NA(),XLOOKUP(E$3,daily_items,XLOOKUP($C2895,daily_dates,big_daily_table)))</f>
        <v>#N/A</v>
      </c>
    </row>
    <row r="2896" ht="14.25" customHeight="1">
      <c r="B2896" s="7">
        <v>43801.0</v>
      </c>
      <c r="C2896" s="7">
        <f t="shared" si="1"/>
        <v>43800</v>
      </c>
      <c r="D2896" s="1" t="str">
        <f t="array" ref="D2896">IF(ISBLANK(XLOOKUP(D$3,daily_items,XLOOKUP($C2896,daily_dates,big_daily_table))),NA(),XLOOKUP(D$3,daily_items,XLOOKUP($C2896,daily_dates,big_daily_table)))</f>
        <v>#N/A</v>
      </c>
      <c r="E2896" s="1" t="str">
        <f t="array" ref="E2896">IF(ISBLANK(XLOOKUP(E$3,daily_items,XLOOKUP($C2896,daily_dates,big_daily_table))),NA(),XLOOKUP(E$3,daily_items,XLOOKUP($C2896,daily_dates,big_daily_table)))</f>
        <v>#N/A</v>
      </c>
    </row>
    <row r="2897" ht="14.25" customHeight="1">
      <c r="B2897" s="7">
        <v>43802.0</v>
      </c>
      <c r="C2897" s="7">
        <f t="shared" si="1"/>
        <v>43800</v>
      </c>
      <c r="D2897" s="1" t="str">
        <f t="array" ref="D2897">IF(ISBLANK(XLOOKUP(D$3,daily_items,XLOOKUP($C2897,daily_dates,big_daily_table))),NA(),XLOOKUP(D$3,daily_items,XLOOKUP($C2897,daily_dates,big_daily_table)))</f>
        <v>#N/A</v>
      </c>
      <c r="E2897" s="1" t="str">
        <f t="array" ref="E2897">IF(ISBLANK(XLOOKUP(E$3,daily_items,XLOOKUP($C2897,daily_dates,big_daily_table))),NA(),XLOOKUP(E$3,daily_items,XLOOKUP($C2897,daily_dates,big_daily_table)))</f>
        <v>#N/A</v>
      </c>
    </row>
    <row r="2898" ht="14.25" customHeight="1">
      <c r="B2898" s="7">
        <v>43803.0</v>
      </c>
      <c r="C2898" s="7">
        <f t="shared" si="1"/>
        <v>43800</v>
      </c>
      <c r="D2898" s="1" t="str">
        <f t="array" ref="D2898">IF(ISBLANK(XLOOKUP(D$3,daily_items,XLOOKUP($C2898,daily_dates,big_daily_table))),NA(),XLOOKUP(D$3,daily_items,XLOOKUP($C2898,daily_dates,big_daily_table)))</f>
        <v>#N/A</v>
      </c>
      <c r="E2898" s="1" t="str">
        <f t="array" ref="E2898">IF(ISBLANK(XLOOKUP(E$3,daily_items,XLOOKUP($C2898,daily_dates,big_daily_table))),NA(),XLOOKUP(E$3,daily_items,XLOOKUP($C2898,daily_dates,big_daily_table)))</f>
        <v>#N/A</v>
      </c>
    </row>
    <row r="2899" ht="14.25" customHeight="1">
      <c r="B2899" s="7">
        <v>43804.0</v>
      </c>
      <c r="C2899" s="7">
        <f t="shared" si="1"/>
        <v>43800</v>
      </c>
      <c r="D2899" s="1" t="str">
        <f t="array" ref="D2899">IF(ISBLANK(XLOOKUP(D$3,daily_items,XLOOKUP($C2899,daily_dates,big_daily_table))),NA(),XLOOKUP(D$3,daily_items,XLOOKUP($C2899,daily_dates,big_daily_table)))</f>
        <v>#N/A</v>
      </c>
      <c r="E2899" s="1" t="str">
        <f t="array" ref="E2899">IF(ISBLANK(XLOOKUP(E$3,daily_items,XLOOKUP($C2899,daily_dates,big_daily_table))),NA(),XLOOKUP(E$3,daily_items,XLOOKUP($C2899,daily_dates,big_daily_table)))</f>
        <v>#N/A</v>
      </c>
    </row>
    <row r="2900" ht="14.25" customHeight="1">
      <c r="B2900" s="7">
        <v>43805.0</v>
      </c>
      <c r="C2900" s="7">
        <f t="shared" si="1"/>
        <v>43800</v>
      </c>
      <c r="D2900" s="1" t="str">
        <f t="array" ref="D2900">IF(ISBLANK(XLOOKUP(D$3,daily_items,XLOOKUP($C2900,daily_dates,big_daily_table))),NA(),XLOOKUP(D$3,daily_items,XLOOKUP($C2900,daily_dates,big_daily_table)))</f>
        <v>#N/A</v>
      </c>
      <c r="E2900" s="1" t="str">
        <f t="array" ref="E2900">IF(ISBLANK(XLOOKUP(E$3,daily_items,XLOOKUP($C2900,daily_dates,big_daily_table))),NA(),XLOOKUP(E$3,daily_items,XLOOKUP($C2900,daily_dates,big_daily_table)))</f>
        <v>#N/A</v>
      </c>
    </row>
    <row r="2901" ht="14.25" customHeight="1">
      <c r="B2901" s="7">
        <v>43806.0</v>
      </c>
      <c r="C2901" s="7">
        <f t="shared" si="1"/>
        <v>43800</v>
      </c>
      <c r="D2901" s="1" t="str">
        <f t="array" ref="D2901">IF(ISBLANK(XLOOKUP(D$3,daily_items,XLOOKUP($C2901,daily_dates,big_daily_table))),NA(),XLOOKUP(D$3,daily_items,XLOOKUP($C2901,daily_dates,big_daily_table)))</f>
        <v>#N/A</v>
      </c>
      <c r="E2901" s="1" t="str">
        <f t="array" ref="E2901">IF(ISBLANK(XLOOKUP(E$3,daily_items,XLOOKUP($C2901,daily_dates,big_daily_table))),NA(),XLOOKUP(E$3,daily_items,XLOOKUP($C2901,daily_dates,big_daily_table)))</f>
        <v>#N/A</v>
      </c>
    </row>
    <row r="2902" ht="14.25" customHeight="1">
      <c r="B2902" s="7">
        <v>43807.0</v>
      </c>
      <c r="C2902" s="7">
        <f t="shared" si="1"/>
        <v>43807</v>
      </c>
      <c r="D2902" s="1" t="str">
        <f t="array" ref="D2902">IF(ISBLANK(XLOOKUP(D$3,daily_items,XLOOKUP($C2902,daily_dates,big_daily_table))),NA(),XLOOKUP(D$3,daily_items,XLOOKUP($C2902,daily_dates,big_daily_table)))</f>
        <v>#N/A</v>
      </c>
      <c r="E2902" s="1" t="str">
        <f t="array" ref="E2902">IF(ISBLANK(XLOOKUP(E$3,daily_items,XLOOKUP($C2902,daily_dates,big_daily_table))),NA(),XLOOKUP(E$3,daily_items,XLOOKUP($C2902,daily_dates,big_daily_table)))</f>
        <v>#N/A</v>
      </c>
    </row>
    <row r="2903" ht="14.25" customHeight="1">
      <c r="B2903" s="7">
        <v>43808.0</v>
      </c>
      <c r="C2903" s="7">
        <f t="shared" si="1"/>
        <v>43807</v>
      </c>
      <c r="D2903" s="1" t="str">
        <f t="array" ref="D2903">IF(ISBLANK(XLOOKUP(D$3,daily_items,XLOOKUP($C2903,daily_dates,big_daily_table))),NA(),XLOOKUP(D$3,daily_items,XLOOKUP($C2903,daily_dates,big_daily_table)))</f>
        <v>#N/A</v>
      </c>
      <c r="E2903" s="1" t="str">
        <f t="array" ref="E2903">IF(ISBLANK(XLOOKUP(E$3,daily_items,XLOOKUP($C2903,daily_dates,big_daily_table))),NA(),XLOOKUP(E$3,daily_items,XLOOKUP($C2903,daily_dates,big_daily_table)))</f>
        <v>#N/A</v>
      </c>
    </row>
    <row r="2904" ht="14.25" customHeight="1">
      <c r="B2904" s="7">
        <v>43809.0</v>
      </c>
      <c r="C2904" s="7">
        <f t="shared" si="1"/>
        <v>43807</v>
      </c>
      <c r="D2904" s="1" t="str">
        <f t="array" ref="D2904">IF(ISBLANK(XLOOKUP(D$3,daily_items,XLOOKUP($C2904,daily_dates,big_daily_table))),NA(),XLOOKUP(D$3,daily_items,XLOOKUP($C2904,daily_dates,big_daily_table)))</f>
        <v>#N/A</v>
      </c>
      <c r="E2904" s="1" t="str">
        <f t="array" ref="E2904">IF(ISBLANK(XLOOKUP(E$3,daily_items,XLOOKUP($C2904,daily_dates,big_daily_table))),NA(),XLOOKUP(E$3,daily_items,XLOOKUP($C2904,daily_dates,big_daily_table)))</f>
        <v>#N/A</v>
      </c>
    </row>
    <row r="2905" ht="14.25" customHeight="1">
      <c r="B2905" s="7">
        <v>43810.0</v>
      </c>
      <c r="C2905" s="7">
        <f t="shared" si="1"/>
        <v>43807</v>
      </c>
      <c r="D2905" s="1" t="str">
        <f t="array" ref="D2905">IF(ISBLANK(XLOOKUP(D$3,daily_items,XLOOKUP($C2905,daily_dates,big_daily_table))),NA(),XLOOKUP(D$3,daily_items,XLOOKUP($C2905,daily_dates,big_daily_table)))</f>
        <v>#N/A</v>
      </c>
      <c r="E2905" s="1" t="str">
        <f t="array" ref="E2905">IF(ISBLANK(XLOOKUP(E$3,daily_items,XLOOKUP($C2905,daily_dates,big_daily_table))),NA(),XLOOKUP(E$3,daily_items,XLOOKUP($C2905,daily_dates,big_daily_table)))</f>
        <v>#N/A</v>
      </c>
    </row>
    <row r="2906" ht="14.25" customHeight="1">
      <c r="B2906" s="7">
        <v>43811.0</v>
      </c>
      <c r="C2906" s="7">
        <f t="shared" si="1"/>
        <v>43807</v>
      </c>
      <c r="D2906" s="1" t="str">
        <f t="array" ref="D2906">IF(ISBLANK(XLOOKUP(D$3,daily_items,XLOOKUP($C2906,daily_dates,big_daily_table))),NA(),XLOOKUP(D$3,daily_items,XLOOKUP($C2906,daily_dates,big_daily_table)))</f>
        <v>#N/A</v>
      </c>
      <c r="E2906" s="1" t="str">
        <f t="array" ref="E2906">IF(ISBLANK(XLOOKUP(E$3,daily_items,XLOOKUP($C2906,daily_dates,big_daily_table))),NA(),XLOOKUP(E$3,daily_items,XLOOKUP($C2906,daily_dates,big_daily_table)))</f>
        <v>#N/A</v>
      </c>
    </row>
    <row r="2907" ht="14.25" customHeight="1">
      <c r="B2907" s="7">
        <v>43812.0</v>
      </c>
      <c r="C2907" s="7">
        <f t="shared" si="1"/>
        <v>43807</v>
      </c>
      <c r="D2907" s="1" t="str">
        <f t="array" ref="D2907">IF(ISBLANK(XLOOKUP(D$3,daily_items,XLOOKUP($C2907,daily_dates,big_daily_table))),NA(),XLOOKUP(D$3,daily_items,XLOOKUP($C2907,daily_dates,big_daily_table)))</f>
        <v>#N/A</v>
      </c>
      <c r="E2907" s="1" t="str">
        <f t="array" ref="E2907">IF(ISBLANK(XLOOKUP(E$3,daily_items,XLOOKUP($C2907,daily_dates,big_daily_table))),NA(),XLOOKUP(E$3,daily_items,XLOOKUP($C2907,daily_dates,big_daily_table)))</f>
        <v>#N/A</v>
      </c>
    </row>
    <row r="2908" ht="14.25" customHeight="1">
      <c r="B2908" s="7">
        <v>43813.0</v>
      </c>
      <c r="C2908" s="7">
        <f t="shared" si="1"/>
        <v>43807</v>
      </c>
      <c r="D2908" s="1" t="str">
        <f t="array" ref="D2908">IF(ISBLANK(XLOOKUP(D$3,daily_items,XLOOKUP($C2908,daily_dates,big_daily_table))),NA(),XLOOKUP(D$3,daily_items,XLOOKUP($C2908,daily_dates,big_daily_table)))</f>
        <v>#N/A</v>
      </c>
      <c r="E2908" s="1" t="str">
        <f t="array" ref="E2908">IF(ISBLANK(XLOOKUP(E$3,daily_items,XLOOKUP($C2908,daily_dates,big_daily_table))),NA(),XLOOKUP(E$3,daily_items,XLOOKUP($C2908,daily_dates,big_daily_table)))</f>
        <v>#N/A</v>
      </c>
    </row>
    <row r="2909" ht="14.25" customHeight="1">
      <c r="B2909" s="7">
        <v>43814.0</v>
      </c>
      <c r="C2909" s="7">
        <f t="shared" si="1"/>
        <v>43814</v>
      </c>
      <c r="D2909" s="1" t="str">
        <f t="array" ref="D2909">IF(ISBLANK(XLOOKUP(D$3,daily_items,XLOOKUP($C2909,daily_dates,big_daily_table))),NA(),XLOOKUP(D$3,daily_items,XLOOKUP($C2909,daily_dates,big_daily_table)))</f>
        <v>#N/A</v>
      </c>
      <c r="E2909" s="1" t="str">
        <f t="array" ref="E2909">IF(ISBLANK(XLOOKUP(E$3,daily_items,XLOOKUP($C2909,daily_dates,big_daily_table))),NA(),XLOOKUP(E$3,daily_items,XLOOKUP($C2909,daily_dates,big_daily_table)))</f>
        <v>#N/A</v>
      </c>
    </row>
    <row r="2910" ht="14.25" customHeight="1">
      <c r="B2910" s="7">
        <v>43815.0</v>
      </c>
      <c r="C2910" s="7">
        <f t="shared" si="1"/>
        <v>43814</v>
      </c>
      <c r="D2910" s="1" t="str">
        <f t="array" ref="D2910">IF(ISBLANK(XLOOKUP(D$3,daily_items,XLOOKUP($C2910,daily_dates,big_daily_table))),NA(),XLOOKUP(D$3,daily_items,XLOOKUP($C2910,daily_dates,big_daily_table)))</f>
        <v>#N/A</v>
      </c>
      <c r="E2910" s="1" t="str">
        <f t="array" ref="E2910">IF(ISBLANK(XLOOKUP(E$3,daily_items,XLOOKUP($C2910,daily_dates,big_daily_table))),NA(),XLOOKUP(E$3,daily_items,XLOOKUP($C2910,daily_dates,big_daily_table)))</f>
        <v>#N/A</v>
      </c>
    </row>
    <row r="2911" ht="14.25" customHeight="1">
      <c r="B2911" s="7">
        <v>43816.0</v>
      </c>
      <c r="C2911" s="7">
        <f t="shared" si="1"/>
        <v>43814</v>
      </c>
      <c r="D2911" s="1" t="str">
        <f t="array" ref="D2911">IF(ISBLANK(XLOOKUP(D$3,daily_items,XLOOKUP($C2911,daily_dates,big_daily_table))),NA(),XLOOKUP(D$3,daily_items,XLOOKUP($C2911,daily_dates,big_daily_table)))</f>
        <v>#N/A</v>
      </c>
      <c r="E2911" s="1" t="str">
        <f t="array" ref="E2911">IF(ISBLANK(XLOOKUP(E$3,daily_items,XLOOKUP($C2911,daily_dates,big_daily_table))),NA(),XLOOKUP(E$3,daily_items,XLOOKUP($C2911,daily_dates,big_daily_table)))</f>
        <v>#N/A</v>
      </c>
    </row>
    <row r="2912" ht="14.25" customHeight="1">
      <c r="B2912" s="7">
        <v>43817.0</v>
      </c>
      <c r="C2912" s="7">
        <f t="shared" si="1"/>
        <v>43814</v>
      </c>
      <c r="D2912" s="1" t="str">
        <f t="array" ref="D2912">IF(ISBLANK(XLOOKUP(D$3,daily_items,XLOOKUP($C2912,daily_dates,big_daily_table))),NA(),XLOOKUP(D$3,daily_items,XLOOKUP($C2912,daily_dates,big_daily_table)))</f>
        <v>#N/A</v>
      </c>
      <c r="E2912" s="1" t="str">
        <f t="array" ref="E2912">IF(ISBLANK(XLOOKUP(E$3,daily_items,XLOOKUP($C2912,daily_dates,big_daily_table))),NA(),XLOOKUP(E$3,daily_items,XLOOKUP($C2912,daily_dates,big_daily_table)))</f>
        <v>#N/A</v>
      </c>
    </row>
    <row r="2913" ht="14.25" customHeight="1">
      <c r="B2913" s="7">
        <v>43818.0</v>
      </c>
      <c r="C2913" s="7">
        <f t="shared" si="1"/>
        <v>43814</v>
      </c>
      <c r="D2913" s="1" t="str">
        <f t="array" ref="D2913">IF(ISBLANK(XLOOKUP(D$3,daily_items,XLOOKUP($C2913,daily_dates,big_daily_table))),NA(),XLOOKUP(D$3,daily_items,XLOOKUP($C2913,daily_dates,big_daily_table)))</f>
        <v>#N/A</v>
      </c>
      <c r="E2913" s="1" t="str">
        <f t="array" ref="E2913">IF(ISBLANK(XLOOKUP(E$3,daily_items,XLOOKUP($C2913,daily_dates,big_daily_table))),NA(),XLOOKUP(E$3,daily_items,XLOOKUP($C2913,daily_dates,big_daily_table)))</f>
        <v>#N/A</v>
      </c>
    </row>
    <row r="2914" ht="14.25" customHeight="1">
      <c r="B2914" s="7">
        <v>43819.0</v>
      </c>
      <c r="C2914" s="7">
        <f t="shared" si="1"/>
        <v>43814</v>
      </c>
      <c r="D2914" s="1" t="str">
        <f t="array" ref="D2914">IF(ISBLANK(XLOOKUP(D$3,daily_items,XLOOKUP($C2914,daily_dates,big_daily_table))),NA(),XLOOKUP(D$3,daily_items,XLOOKUP($C2914,daily_dates,big_daily_table)))</f>
        <v>#N/A</v>
      </c>
      <c r="E2914" s="1" t="str">
        <f t="array" ref="E2914">IF(ISBLANK(XLOOKUP(E$3,daily_items,XLOOKUP($C2914,daily_dates,big_daily_table))),NA(),XLOOKUP(E$3,daily_items,XLOOKUP($C2914,daily_dates,big_daily_table)))</f>
        <v>#N/A</v>
      </c>
    </row>
    <row r="2915" ht="14.25" customHeight="1">
      <c r="B2915" s="7">
        <v>43820.0</v>
      </c>
      <c r="C2915" s="7">
        <f t="shared" si="1"/>
        <v>43814</v>
      </c>
      <c r="D2915" s="1" t="str">
        <f t="array" ref="D2915">IF(ISBLANK(XLOOKUP(D$3,daily_items,XLOOKUP($C2915,daily_dates,big_daily_table))),NA(),XLOOKUP(D$3,daily_items,XLOOKUP($C2915,daily_dates,big_daily_table)))</f>
        <v>#N/A</v>
      </c>
      <c r="E2915" s="1" t="str">
        <f t="array" ref="E2915">IF(ISBLANK(XLOOKUP(E$3,daily_items,XLOOKUP($C2915,daily_dates,big_daily_table))),NA(),XLOOKUP(E$3,daily_items,XLOOKUP($C2915,daily_dates,big_daily_table)))</f>
        <v>#N/A</v>
      </c>
    </row>
    <row r="2916" ht="14.25" customHeight="1">
      <c r="B2916" s="7">
        <v>43821.0</v>
      </c>
      <c r="C2916" s="7">
        <f t="shared" si="1"/>
        <v>43821</v>
      </c>
      <c r="D2916" s="1" t="str">
        <f t="array" ref="D2916">IF(ISBLANK(XLOOKUP(D$3,daily_items,XLOOKUP($C2916,daily_dates,big_daily_table))),NA(),XLOOKUP(D$3,daily_items,XLOOKUP($C2916,daily_dates,big_daily_table)))</f>
        <v>#N/A</v>
      </c>
      <c r="E2916" s="1" t="str">
        <f t="array" ref="E2916">IF(ISBLANK(XLOOKUP(E$3,daily_items,XLOOKUP($C2916,daily_dates,big_daily_table))),NA(),XLOOKUP(E$3,daily_items,XLOOKUP($C2916,daily_dates,big_daily_table)))</f>
        <v>#N/A</v>
      </c>
    </row>
    <row r="2917" ht="14.25" customHeight="1">
      <c r="B2917" s="7">
        <v>43822.0</v>
      </c>
      <c r="C2917" s="7">
        <f t="shared" si="1"/>
        <v>43821</v>
      </c>
      <c r="D2917" s="1" t="str">
        <f t="array" ref="D2917">IF(ISBLANK(XLOOKUP(D$3,daily_items,XLOOKUP($C2917,daily_dates,big_daily_table))),NA(),XLOOKUP(D$3,daily_items,XLOOKUP($C2917,daily_dates,big_daily_table)))</f>
        <v>#N/A</v>
      </c>
      <c r="E2917" s="1" t="str">
        <f t="array" ref="E2917">IF(ISBLANK(XLOOKUP(E$3,daily_items,XLOOKUP($C2917,daily_dates,big_daily_table))),NA(),XLOOKUP(E$3,daily_items,XLOOKUP($C2917,daily_dates,big_daily_table)))</f>
        <v>#N/A</v>
      </c>
    </row>
    <row r="2918" ht="14.25" customHeight="1">
      <c r="B2918" s="7">
        <v>43823.0</v>
      </c>
      <c r="C2918" s="7">
        <f t="shared" si="1"/>
        <v>43821</v>
      </c>
      <c r="D2918" s="1" t="str">
        <f t="array" ref="D2918">IF(ISBLANK(XLOOKUP(D$3,daily_items,XLOOKUP($C2918,daily_dates,big_daily_table))),NA(),XLOOKUP(D$3,daily_items,XLOOKUP($C2918,daily_dates,big_daily_table)))</f>
        <v>#N/A</v>
      </c>
      <c r="E2918" s="1" t="str">
        <f t="array" ref="E2918">IF(ISBLANK(XLOOKUP(E$3,daily_items,XLOOKUP($C2918,daily_dates,big_daily_table))),NA(),XLOOKUP(E$3,daily_items,XLOOKUP($C2918,daily_dates,big_daily_table)))</f>
        <v>#N/A</v>
      </c>
    </row>
    <row r="2919" ht="14.25" customHeight="1">
      <c r="B2919" s="7">
        <v>43824.0</v>
      </c>
      <c r="C2919" s="7">
        <f t="shared" si="1"/>
        <v>43821</v>
      </c>
      <c r="D2919" s="1" t="str">
        <f t="array" ref="D2919">IF(ISBLANK(XLOOKUP(D$3,daily_items,XLOOKUP($C2919,daily_dates,big_daily_table))),NA(),XLOOKUP(D$3,daily_items,XLOOKUP($C2919,daily_dates,big_daily_table)))</f>
        <v>#N/A</v>
      </c>
      <c r="E2919" s="1" t="str">
        <f t="array" ref="E2919">IF(ISBLANK(XLOOKUP(E$3,daily_items,XLOOKUP($C2919,daily_dates,big_daily_table))),NA(),XLOOKUP(E$3,daily_items,XLOOKUP($C2919,daily_dates,big_daily_table)))</f>
        <v>#N/A</v>
      </c>
    </row>
    <row r="2920" ht="14.25" customHeight="1">
      <c r="B2920" s="7">
        <v>43825.0</v>
      </c>
      <c r="C2920" s="7">
        <f t="shared" si="1"/>
        <v>43821</v>
      </c>
      <c r="D2920" s="1" t="str">
        <f t="array" ref="D2920">IF(ISBLANK(XLOOKUP(D$3,daily_items,XLOOKUP($C2920,daily_dates,big_daily_table))),NA(),XLOOKUP(D$3,daily_items,XLOOKUP($C2920,daily_dates,big_daily_table)))</f>
        <v>#N/A</v>
      </c>
      <c r="E2920" s="1" t="str">
        <f t="array" ref="E2920">IF(ISBLANK(XLOOKUP(E$3,daily_items,XLOOKUP($C2920,daily_dates,big_daily_table))),NA(),XLOOKUP(E$3,daily_items,XLOOKUP($C2920,daily_dates,big_daily_table)))</f>
        <v>#N/A</v>
      </c>
    </row>
    <row r="2921" ht="14.25" customHeight="1">
      <c r="B2921" s="7">
        <v>43826.0</v>
      </c>
      <c r="C2921" s="7">
        <f t="shared" si="1"/>
        <v>43821</v>
      </c>
      <c r="D2921" s="1" t="str">
        <f t="array" ref="D2921">IF(ISBLANK(XLOOKUP(D$3,daily_items,XLOOKUP($C2921,daily_dates,big_daily_table))),NA(),XLOOKUP(D$3,daily_items,XLOOKUP($C2921,daily_dates,big_daily_table)))</f>
        <v>#N/A</v>
      </c>
      <c r="E2921" s="1" t="str">
        <f t="array" ref="E2921">IF(ISBLANK(XLOOKUP(E$3,daily_items,XLOOKUP($C2921,daily_dates,big_daily_table))),NA(),XLOOKUP(E$3,daily_items,XLOOKUP($C2921,daily_dates,big_daily_table)))</f>
        <v>#N/A</v>
      </c>
    </row>
    <row r="2922" ht="14.25" customHeight="1">
      <c r="B2922" s="7">
        <v>43827.0</v>
      </c>
      <c r="C2922" s="7">
        <f t="shared" si="1"/>
        <v>43821</v>
      </c>
      <c r="D2922" s="1" t="str">
        <f t="array" ref="D2922">IF(ISBLANK(XLOOKUP(D$3,daily_items,XLOOKUP($C2922,daily_dates,big_daily_table))),NA(),XLOOKUP(D$3,daily_items,XLOOKUP($C2922,daily_dates,big_daily_table)))</f>
        <v>#N/A</v>
      </c>
      <c r="E2922" s="1" t="str">
        <f t="array" ref="E2922">IF(ISBLANK(XLOOKUP(E$3,daily_items,XLOOKUP($C2922,daily_dates,big_daily_table))),NA(),XLOOKUP(E$3,daily_items,XLOOKUP($C2922,daily_dates,big_daily_table)))</f>
        <v>#N/A</v>
      </c>
    </row>
    <row r="2923" ht="14.25" customHeight="1">
      <c r="B2923" s="7">
        <v>43828.0</v>
      </c>
      <c r="C2923" s="7">
        <f t="shared" si="1"/>
        <v>43828</v>
      </c>
      <c r="D2923" s="1" t="str">
        <f t="array" ref="D2923">IF(ISBLANK(XLOOKUP(D$3,daily_items,XLOOKUP($C2923,daily_dates,big_daily_table))),NA(),XLOOKUP(D$3,daily_items,XLOOKUP($C2923,daily_dates,big_daily_table)))</f>
        <v>#N/A</v>
      </c>
      <c r="E2923" s="1" t="str">
        <f t="array" ref="E2923">IF(ISBLANK(XLOOKUP(E$3,daily_items,XLOOKUP($C2923,daily_dates,big_daily_table))),NA(),XLOOKUP(E$3,daily_items,XLOOKUP($C2923,daily_dates,big_daily_table)))</f>
        <v>#N/A</v>
      </c>
    </row>
    <row r="2924" ht="14.25" customHeight="1">
      <c r="B2924" s="7">
        <v>43829.0</v>
      </c>
      <c r="C2924" s="7">
        <f t="shared" si="1"/>
        <v>43828</v>
      </c>
      <c r="D2924" s="1" t="str">
        <f t="array" ref="D2924">IF(ISBLANK(XLOOKUP(D$3,daily_items,XLOOKUP($C2924,daily_dates,big_daily_table))),NA(),XLOOKUP(D$3,daily_items,XLOOKUP($C2924,daily_dates,big_daily_table)))</f>
        <v>#N/A</v>
      </c>
      <c r="E2924" s="1" t="str">
        <f t="array" ref="E2924">IF(ISBLANK(XLOOKUP(E$3,daily_items,XLOOKUP($C2924,daily_dates,big_daily_table))),NA(),XLOOKUP(E$3,daily_items,XLOOKUP($C2924,daily_dates,big_daily_table)))</f>
        <v>#N/A</v>
      </c>
    </row>
    <row r="2925" ht="14.25" customHeight="1">
      <c r="B2925" s="7">
        <v>43830.0</v>
      </c>
      <c r="C2925" s="7">
        <f t="shared" si="1"/>
        <v>43828</v>
      </c>
      <c r="D2925" s="1" t="str">
        <f t="array" ref="D2925">IF(ISBLANK(XLOOKUP(D$3,daily_items,XLOOKUP($C2925,daily_dates,big_daily_table))),NA(),XLOOKUP(D$3,daily_items,XLOOKUP($C2925,daily_dates,big_daily_table)))</f>
        <v>#N/A</v>
      </c>
      <c r="E2925" s="1" t="str">
        <f t="array" ref="E2925">IF(ISBLANK(XLOOKUP(E$3,daily_items,XLOOKUP($C2925,daily_dates,big_daily_table))),NA(),XLOOKUP(E$3,daily_items,XLOOKUP($C2925,daily_dates,big_daily_table)))</f>
        <v>#N/A</v>
      </c>
    </row>
    <row r="2926" ht="14.25" customHeight="1">
      <c r="B2926" s="7">
        <v>43831.0</v>
      </c>
      <c r="C2926" s="7">
        <f t="shared" si="1"/>
        <v>43828</v>
      </c>
      <c r="D2926" s="1" t="str">
        <f t="array" ref="D2926">IF(ISBLANK(XLOOKUP(D$3,daily_items,XLOOKUP($C2926,daily_dates,big_daily_table))),NA(),XLOOKUP(D$3,daily_items,XLOOKUP($C2926,daily_dates,big_daily_table)))</f>
        <v>#N/A</v>
      </c>
      <c r="E2926" s="1" t="str">
        <f t="array" ref="E2926">IF(ISBLANK(XLOOKUP(E$3,daily_items,XLOOKUP($C2926,daily_dates,big_daily_table))),NA(),XLOOKUP(E$3,daily_items,XLOOKUP($C2926,daily_dates,big_daily_table)))</f>
        <v>#N/A</v>
      </c>
    </row>
    <row r="2927" ht="14.25" customHeight="1">
      <c r="B2927" s="7">
        <v>43832.0</v>
      </c>
      <c r="C2927" s="7">
        <f t="shared" si="1"/>
        <v>43828</v>
      </c>
      <c r="D2927" s="1" t="str">
        <f t="array" ref="D2927">IF(ISBLANK(XLOOKUP(D$3,daily_items,XLOOKUP($C2927,daily_dates,big_daily_table))),NA(),XLOOKUP(D$3,daily_items,XLOOKUP($C2927,daily_dates,big_daily_table)))</f>
        <v>#N/A</v>
      </c>
      <c r="E2927" s="1" t="str">
        <f t="array" ref="E2927">IF(ISBLANK(XLOOKUP(E$3,daily_items,XLOOKUP($C2927,daily_dates,big_daily_table))),NA(),XLOOKUP(E$3,daily_items,XLOOKUP($C2927,daily_dates,big_daily_table)))</f>
        <v>#N/A</v>
      </c>
    </row>
    <row r="2928" ht="14.25" customHeight="1">
      <c r="B2928" s="7">
        <v>43833.0</v>
      </c>
      <c r="C2928" s="7">
        <f t="shared" si="1"/>
        <v>43828</v>
      </c>
      <c r="D2928" s="1" t="str">
        <f t="array" ref="D2928">IF(ISBLANK(XLOOKUP(D$3,daily_items,XLOOKUP($C2928,daily_dates,big_daily_table))),NA(),XLOOKUP(D$3,daily_items,XLOOKUP($C2928,daily_dates,big_daily_table)))</f>
        <v>#N/A</v>
      </c>
      <c r="E2928" s="1" t="str">
        <f t="array" ref="E2928">IF(ISBLANK(XLOOKUP(E$3,daily_items,XLOOKUP($C2928,daily_dates,big_daily_table))),NA(),XLOOKUP(E$3,daily_items,XLOOKUP($C2928,daily_dates,big_daily_table)))</f>
        <v>#N/A</v>
      </c>
    </row>
    <row r="2929" ht="14.25" customHeight="1">
      <c r="B2929" s="7">
        <v>43834.0</v>
      </c>
      <c r="C2929" s="7">
        <f t="shared" si="1"/>
        <v>43828</v>
      </c>
      <c r="D2929" s="1" t="str">
        <f t="array" ref="D2929">IF(ISBLANK(XLOOKUP(D$3,daily_items,XLOOKUP($C2929,daily_dates,big_daily_table))),NA(),XLOOKUP(D$3,daily_items,XLOOKUP($C2929,daily_dates,big_daily_table)))</f>
        <v>#N/A</v>
      </c>
      <c r="E2929" s="1" t="str">
        <f t="array" ref="E2929">IF(ISBLANK(XLOOKUP(E$3,daily_items,XLOOKUP($C2929,daily_dates,big_daily_table))),NA(),XLOOKUP(E$3,daily_items,XLOOKUP($C2929,daily_dates,big_daily_table)))</f>
        <v>#N/A</v>
      </c>
    </row>
    <row r="2930" ht="14.25" customHeight="1">
      <c r="B2930" s="7">
        <v>43835.0</v>
      </c>
      <c r="C2930" s="7">
        <f t="shared" si="1"/>
        <v>43835</v>
      </c>
      <c r="D2930" s="1" t="str">
        <f t="array" ref="D2930">IF(ISBLANK(XLOOKUP(D$3,daily_items,XLOOKUP($C2930,daily_dates,big_daily_table))),NA(),XLOOKUP(D$3,daily_items,XLOOKUP($C2930,daily_dates,big_daily_table)))</f>
        <v>#N/A</v>
      </c>
      <c r="E2930" s="1" t="str">
        <f t="array" ref="E2930">IF(ISBLANK(XLOOKUP(E$3,daily_items,XLOOKUP($C2930,daily_dates,big_daily_table))),NA(),XLOOKUP(E$3,daily_items,XLOOKUP($C2930,daily_dates,big_daily_table)))</f>
        <v>#N/A</v>
      </c>
    </row>
    <row r="2931" ht="14.25" customHeight="1">
      <c r="B2931" s="7">
        <v>43836.0</v>
      </c>
      <c r="C2931" s="7">
        <f t="shared" si="1"/>
        <v>43835</v>
      </c>
      <c r="D2931" s="1" t="str">
        <f t="array" ref="D2931">IF(ISBLANK(XLOOKUP(D$3,daily_items,XLOOKUP($C2931,daily_dates,big_daily_table))),NA(),XLOOKUP(D$3,daily_items,XLOOKUP($C2931,daily_dates,big_daily_table)))</f>
        <v>#N/A</v>
      </c>
      <c r="E2931" s="1" t="str">
        <f t="array" ref="E2931">IF(ISBLANK(XLOOKUP(E$3,daily_items,XLOOKUP($C2931,daily_dates,big_daily_table))),NA(),XLOOKUP(E$3,daily_items,XLOOKUP($C2931,daily_dates,big_daily_table)))</f>
        <v>#N/A</v>
      </c>
    </row>
    <row r="2932" ht="14.25" customHeight="1">
      <c r="B2932" s="7">
        <v>43837.0</v>
      </c>
      <c r="C2932" s="7">
        <f t="shared" si="1"/>
        <v>43835</v>
      </c>
      <c r="D2932" s="1" t="str">
        <f t="array" ref="D2932">IF(ISBLANK(XLOOKUP(D$3,daily_items,XLOOKUP($C2932,daily_dates,big_daily_table))),NA(),XLOOKUP(D$3,daily_items,XLOOKUP($C2932,daily_dates,big_daily_table)))</f>
        <v>#N/A</v>
      </c>
      <c r="E2932" s="1" t="str">
        <f t="array" ref="E2932">IF(ISBLANK(XLOOKUP(E$3,daily_items,XLOOKUP($C2932,daily_dates,big_daily_table))),NA(),XLOOKUP(E$3,daily_items,XLOOKUP($C2932,daily_dates,big_daily_table)))</f>
        <v>#N/A</v>
      </c>
    </row>
    <row r="2933" ht="14.25" customHeight="1">
      <c r="B2933" s="7">
        <v>43838.0</v>
      </c>
      <c r="C2933" s="7">
        <f t="shared" si="1"/>
        <v>43835</v>
      </c>
      <c r="D2933" s="1" t="str">
        <f t="array" ref="D2933">IF(ISBLANK(XLOOKUP(D$3,daily_items,XLOOKUP($C2933,daily_dates,big_daily_table))),NA(),XLOOKUP(D$3,daily_items,XLOOKUP($C2933,daily_dates,big_daily_table)))</f>
        <v>#N/A</v>
      </c>
      <c r="E2933" s="1" t="str">
        <f t="array" ref="E2933">IF(ISBLANK(XLOOKUP(E$3,daily_items,XLOOKUP($C2933,daily_dates,big_daily_table))),NA(),XLOOKUP(E$3,daily_items,XLOOKUP($C2933,daily_dates,big_daily_table)))</f>
        <v>#N/A</v>
      </c>
    </row>
    <row r="2934" ht="14.25" customHeight="1">
      <c r="B2934" s="7">
        <v>43839.0</v>
      </c>
      <c r="C2934" s="7">
        <f t="shared" si="1"/>
        <v>43835</v>
      </c>
      <c r="D2934" s="1" t="str">
        <f t="array" ref="D2934">IF(ISBLANK(XLOOKUP(D$3,daily_items,XLOOKUP($C2934,daily_dates,big_daily_table))),NA(),XLOOKUP(D$3,daily_items,XLOOKUP($C2934,daily_dates,big_daily_table)))</f>
        <v>#N/A</v>
      </c>
      <c r="E2934" s="1" t="str">
        <f t="array" ref="E2934">IF(ISBLANK(XLOOKUP(E$3,daily_items,XLOOKUP($C2934,daily_dates,big_daily_table))),NA(),XLOOKUP(E$3,daily_items,XLOOKUP($C2934,daily_dates,big_daily_table)))</f>
        <v>#N/A</v>
      </c>
    </row>
    <row r="2935" ht="14.25" customHeight="1">
      <c r="B2935" s="7">
        <v>43840.0</v>
      </c>
      <c r="C2935" s="7">
        <f t="shared" si="1"/>
        <v>43835</v>
      </c>
      <c r="D2935" s="1" t="str">
        <f t="array" ref="D2935">IF(ISBLANK(XLOOKUP(D$3,daily_items,XLOOKUP($C2935,daily_dates,big_daily_table))),NA(),XLOOKUP(D$3,daily_items,XLOOKUP($C2935,daily_dates,big_daily_table)))</f>
        <v>#N/A</v>
      </c>
      <c r="E2935" s="1" t="str">
        <f t="array" ref="E2935">IF(ISBLANK(XLOOKUP(E$3,daily_items,XLOOKUP($C2935,daily_dates,big_daily_table))),NA(),XLOOKUP(E$3,daily_items,XLOOKUP($C2935,daily_dates,big_daily_table)))</f>
        <v>#N/A</v>
      </c>
    </row>
    <row r="2936" ht="14.25" customHeight="1">
      <c r="B2936" s="7">
        <v>43841.0</v>
      </c>
      <c r="C2936" s="7">
        <f t="shared" si="1"/>
        <v>43835</v>
      </c>
      <c r="D2936" s="1" t="str">
        <f t="array" ref="D2936">IF(ISBLANK(XLOOKUP(D$3,daily_items,XLOOKUP($C2936,daily_dates,big_daily_table))),NA(),XLOOKUP(D$3,daily_items,XLOOKUP($C2936,daily_dates,big_daily_table)))</f>
        <v>#N/A</v>
      </c>
      <c r="E2936" s="1" t="str">
        <f t="array" ref="E2936">IF(ISBLANK(XLOOKUP(E$3,daily_items,XLOOKUP($C2936,daily_dates,big_daily_table))),NA(),XLOOKUP(E$3,daily_items,XLOOKUP($C2936,daily_dates,big_daily_table)))</f>
        <v>#N/A</v>
      </c>
    </row>
    <row r="2937" ht="14.25" customHeight="1">
      <c r="B2937" s="7">
        <v>43842.0</v>
      </c>
      <c r="C2937" s="7">
        <f t="shared" si="1"/>
        <v>43842</v>
      </c>
      <c r="D2937" s="1" t="str">
        <f t="array" ref="D2937">IF(ISBLANK(XLOOKUP(D$3,daily_items,XLOOKUP($C2937,daily_dates,big_daily_table))),NA(),XLOOKUP(D$3,daily_items,XLOOKUP($C2937,daily_dates,big_daily_table)))</f>
        <v>#N/A</v>
      </c>
      <c r="E2937" s="1" t="str">
        <f t="array" ref="E2937">IF(ISBLANK(XLOOKUP(E$3,daily_items,XLOOKUP($C2937,daily_dates,big_daily_table))),NA(),XLOOKUP(E$3,daily_items,XLOOKUP($C2937,daily_dates,big_daily_table)))</f>
        <v>#N/A</v>
      </c>
    </row>
    <row r="2938" ht="14.25" customHeight="1">
      <c r="B2938" s="7">
        <v>43843.0</v>
      </c>
      <c r="C2938" s="7">
        <f t="shared" si="1"/>
        <v>43842</v>
      </c>
      <c r="D2938" s="1" t="str">
        <f t="array" ref="D2938">IF(ISBLANK(XLOOKUP(D$3,daily_items,XLOOKUP($C2938,daily_dates,big_daily_table))),NA(),XLOOKUP(D$3,daily_items,XLOOKUP($C2938,daily_dates,big_daily_table)))</f>
        <v>#N/A</v>
      </c>
      <c r="E2938" s="1" t="str">
        <f t="array" ref="E2938">IF(ISBLANK(XLOOKUP(E$3,daily_items,XLOOKUP($C2938,daily_dates,big_daily_table))),NA(),XLOOKUP(E$3,daily_items,XLOOKUP($C2938,daily_dates,big_daily_table)))</f>
        <v>#N/A</v>
      </c>
    </row>
    <row r="2939" ht="14.25" customHeight="1">
      <c r="B2939" s="7">
        <v>43844.0</v>
      </c>
      <c r="C2939" s="7">
        <f t="shared" si="1"/>
        <v>43842</v>
      </c>
      <c r="D2939" s="1" t="str">
        <f t="array" ref="D2939">IF(ISBLANK(XLOOKUP(D$3,daily_items,XLOOKUP($C2939,daily_dates,big_daily_table))),NA(),XLOOKUP(D$3,daily_items,XLOOKUP($C2939,daily_dates,big_daily_table)))</f>
        <v>#N/A</v>
      </c>
      <c r="E2939" s="1" t="str">
        <f t="array" ref="E2939">IF(ISBLANK(XLOOKUP(E$3,daily_items,XLOOKUP($C2939,daily_dates,big_daily_table))),NA(),XLOOKUP(E$3,daily_items,XLOOKUP($C2939,daily_dates,big_daily_table)))</f>
        <v>#N/A</v>
      </c>
    </row>
    <row r="2940" ht="14.25" customHeight="1">
      <c r="B2940" s="7">
        <v>43845.0</v>
      </c>
      <c r="C2940" s="7">
        <f t="shared" si="1"/>
        <v>43842</v>
      </c>
      <c r="D2940" s="1" t="str">
        <f t="array" ref="D2940">IF(ISBLANK(XLOOKUP(D$3,daily_items,XLOOKUP($C2940,daily_dates,big_daily_table))),NA(),XLOOKUP(D$3,daily_items,XLOOKUP($C2940,daily_dates,big_daily_table)))</f>
        <v>#N/A</v>
      </c>
      <c r="E2940" s="1" t="str">
        <f t="array" ref="E2940">IF(ISBLANK(XLOOKUP(E$3,daily_items,XLOOKUP($C2940,daily_dates,big_daily_table))),NA(),XLOOKUP(E$3,daily_items,XLOOKUP($C2940,daily_dates,big_daily_table)))</f>
        <v>#N/A</v>
      </c>
    </row>
    <row r="2941" ht="14.25" customHeight="1">
      <c r="B2941" s="7">
        <v>43846.0</v>
      </c>
      <c r="C2941" s="7">
        <f t="shared" si="1"/>
        <v>43842</v>
      </c>
      <c r="D2941" s="1" t="str">
        <f t="array" ref="D2941">IF(ISBLANK(XLOOKUP(D$3,daily_items,XLOOKUP($C2941,daily_dates,big_daily_table))),NA(),XLOOKUP(D$3,daily_items,XLOOKUP($C2941,daily_dates,big_daily_table)))</f>
        <v>#N/A</v>
      </c>
      <c r="E2941" s="1" t="str">
        <f t="array" ref="E2941">IF(ISBLANK(XLOOKUP(E$3,daily_items,XLOOKUP($C2941,daily_dates,big_daily_table))),NA(),XLOOKUP(E$3,daily_items,XLOOKUP($C2941,daily_dates,big_daily_table)))</f>
        <v>#N/A</v>
      </c>
    </row>
    <row r="2942" ht="14.25" customHeight="1">
      <c r="B2942" s="7">
        <v>43847.0</v>
      </c>
      <c r="C2942" s="7">
        <f t="shared" si="1"/>
        <v>43842</v>
      </c>
      <c r="D2942" s="1" t="str">
        <f t="array" ref="D2942">IF(ISBLANK(XLOOKUP(D$3,daily_items,XLOOKUP($C2942,daily_dates,big_daily_table))),NA(),XLOOKUP(D$3,daily_items,XLOOKUP($C2942,daily_dates,big_daily_table)))</f>
        <v>#N/A</v>
      </c>
      <c r="E2942" s="1" t="str">
        <f t="array" ref="E2942">IF(ISBLANK(XLOOKUP(E$3,daily_items,XLOOKUP($C2942,daily_dates,big_daily_table))),NA(),XLOOKUP(E$3,daily_items,XLOOKUP($C2942,daily_dates,big_daily_table)))</f>
        <v>#N/A</v>
      </c>
    </row>
    <row r="2943" ht="14.25" customHeight="1">
      <c r="B2943" s="7">
        <v>43848.0</v>
      </c>
      <c r="C2943" s="7">
        <f t="shared" si="1"/>
        <v>43842</v>
      </c>
      <c r="D2943" s="1" t="str">
        <f t="array" ref="D2943">IF(ISBLANK(XLOOKUP(D$3,daily_items,XLOOKUP($C2943,daily_dates,big_daily_table))),NA(),XLOOKUP(D$3,daily_items,XLOOKUP($C2943,daily_dates,big_daily_table)))</f>
        <v>#N/A</v>
      </c>
      <c r="E2943" s="1" t="str">
        <f t="array" ref="E2943">IF(ISBLANK(XLOOKUP(E$3,daily_items,XLOOKUP($C2943,daily_dates,big_daily_table))),NA(),XLOOKUP(E$3,daily_items,XLOOKUP($C2943,daily_dates,big_daily_table)))</f>
        <v>#N/A</v>
      </c>
    </row>
    <row r="2944" ht="14.25" customHeight="1">
      <c r="B2944" s="7">
        <v>43849.0</v>
      </c>
      <c r="C2944" s="7">
        <f t="shared" si="1"/>
        <v>43849</v>
      </c>
      <c r="D2944" s="1" t="str">
        <f t="array" ref="D2944">IF(ISBLANK(XLOOKUP(D$3,daily_items,XLOOKUP($C2944,daily_dates,big_daily_table))),NA(),XLOOKUP(D$3,daily_items,XLOOKUP($C2944,daily_dates,big_daily_table)))</f>
        <v>#N/A</v>
      </c>
      <c r="E2944" s="1" t="str">
        <f t="array" ref="E2944">IF(ISBLANK(XLOOKUP(E$3,daily_items,XLOOKUP($C2944,daily_dates,big_daily_table))),NA(),XLOOKUP(E$3,daily_items,XLOOKUP($C2944,daily_dates,big_daily_table)))</f>
        <v>#N/A</v>
      </c>
    </row>
    <row r="2945" ht="14.25" customHeight="1">
      <c r="B2945" s="7">
        <v>43850.0</v>
      </c>
      <c r="C2945" s="7">
        <f t="shared" si="1"/>
        <v>43849</v>
      </c>
      <c r="D2945" s="1" t="str">
        <f t="array" ref="D2945">IF(ISBLANK(XLOOKUP(D$3,daily_items,XLOOKUP($C2945,daily_dates,big_daily_table))),NA(),XLOOKUP(D$3,daily_items,XLOOKUP($C2945,daily_dates,big_daily_table)))</f>
        <v>#N/A</v>
      </c>
      <c r="E2945" s="1" t="str">
        <f t="array" ref="E2945">IF(ISBLANK(XLOOKUP(E$3,daily_items,XLOOKUP($C2945,daily_dates,big_daily_table))),NA(),XLOOKUP(E$3,daily_items,XLOOKUP($C2945,daily_dates,big_daily_table)))</f>
        <v>#N/A</v>
      </c>
    </row>
    <row r="2946" ht="14.25" customHeight="1">
      <c r="B2946" s="7">
        <v>43851.0</v>
      </c>
      <c r="C2946" s="7">
        <f t="shared" si="1"/>
        <v>43849</v>
      </c>
      <c r="D2946" s="1" t="str">
        <f t="array" ref="D2946">IF(ISBLANK(XLOOKUP(D$3,daily_items,XLOOKUP($C2946,daily_dates,big_daily_table))),NA(),XLOOKUP(D$3,daily_items,XLOOKUP($C2946,daily_dates,big_daily_table)))</f>
        <v>#N/A</v>
      </c>
      <c r="E2946" s="1" t="str">
        <f t="array" ref="E2946">IF(ISBLANK(XLOOKUP(E$3,daily_items,XLOOKUP($C2946,daily_dates,big_daily_table))),NA(),XLOOKUP(E$3,daily_items,XLOOKUP($C2946,daily_dates,big_daily_table)))</f>
        <v>#N/A</v>
      </c>
    </row>
    <row r="2947" ht="14.25" customHeight="1">
      <c r="B2947" s="7">
        <v>43852.0</v>
      </c>
      <c r="C2947" s="7">
        <f t="shared" si="1"/>
        <v>43849</v>
      </c>
      <c r="D2947" s="1" t="str">
        <f t="array" ref="D2947">IF(ISBLANK(XLOOKUP(D$3,daily_items,XLOOKUP($C2947,daily_dates,big_daily_table))),NA(),XLOOKUP(D$3,daily_items,XLOOKUP($C2947,daily_dates,big_daily_table)))</f>
        <v>#N/A</v>
      </c>
      <c r="E2947" s="1" t="str">
        <f t="array" ref="E2947">IF(ISBLANK(XLOOKUP(E$3,daily_items,XLOOKUP($C2947,daily_dates,big_daily_table))),NA(),XLOOKUP(E$3,daily_items,XLOOKUP($C2947,daily_dates,big_daily_table)))</f>
        <v>#N/A</v>
      </c>
    </row>
    <row r="2948" ht="14.25" customHeight="1">
      <c r="B2948" s="7">
        <v>43853.0</v>
      </c>
      <c r="C2948" s="7">
        <f t="shared" si="1"/>
        <v>43849</v>
      </c>
      <c r="D2948" s="1" t="str">
        <f t="array" ref="D2948">IF(ISBLANK(XLOOKUP(D$3,daily_items,XLOOKUP($C2948,daily_dates,big_daily_table))),NA(),XLOOKUP(D$3,daily_items,XLOOKUP($C2948,daily_dates,big_daily_table)))</f>
        <v>#N/A</v>
      </c>
      <c r="E2948" s="1" t="str">
        <f t="array" ref="E2948">IF(ISBLANK(XLOOKUP(E$3,daily_items,XLOOKUP($C2948,daily_dates,big_daily_table))),NA(),XLOOKUP(E$3,daily_items,XLOOKUP($C2948,daily_dates,big_daily_table)))</f>
        <v>#N/A</v>
      </c>
    </row>
    <row r="2949" ht="14.25" customHeight="1">
      <c r="B2949" s="7">
        <v>43854.0</v>
      </c>
      <c r="C2949" s="7">
        <f t="shared" si="1"/>
        <v>43849</v>
      </c>
      <c r="D2949" s="1" t="str">
        <f t="array" ref="D2949">IF(ISBLANK(XLOOKUP(D$3,daily_items,XLOOKUP($C2949,daily_dates,big_daily_table))),NA(),XLOOKUP(D$3,daily_items,XLOOKUP($C2949,daily_dates,big_daily_table)))</f>
        <v>#N/A</v>
      </c>
      <c r="E2949" s="1" t="str">
        <f t="array" ref="E2949">IF(ISBLANK(XLOOKUP(E$3,daily_items,XLOOKUP($C2949,daily_dates,big_daily_table))),NA(),XLOOKUP(E$3,daily_items,XLOOKUP($C2949,daily_dates,big_daily_table)))</f>
        <v>#N/A</v>
      </c>
    </row>
    <row r="2950" ht="14.25" customHeight="1">
      <c r="B2950" s="7">
        <v>43855.0</v>
      </c>
      <c r="C2950" s="7">
        <f t="shared" si="1"/>
        <v>43849</v>
      </c>
      <c r="D2950" s="1" t="str">
        <f t="array" ref="D2950">IF(ISBLANK(XLOOKUP(D$3,daily_items,XLOOKUP($C2950,daily_dates,big_daily_table))),NA(),XLOOKUP(D$3,daily_items,XLOOKUP($C2950,daily_dates,big_daily_table)))</f>
        <v>#N/A</v>
      </c>
      <c r="E2950" s="1" t="str">
        <f t="array" ref="E2950">IF(ISBLANK(XLOOKUP(E$3,daily_items,XLOOKUP($C2950,daily_dates,big_daily_table))),NA(),XLOOKUP(E$3,daily_items,XLOOKUP($C2950,daily_dates,big_daily_table)))</f>
        <v>#N/A</v>
      </c>
    </row>
    <row r="2951" ht="14.25" customHeight="1">
      <c r="B2951" s="7">
        <v>43856.0</v>
      </c>
      <c r="C2951" s="7">
        <f t="shared" si="1"/>
        <v>43856</v>
      </c>
      <c r="D2951" s="1" t="str">
        <f t="array" ref="D2951">IF(ISBLANK(XLOOKUP(D$3,daily_items,XLOOKUP($C2951,daily_dates,big_daily_table))),NA(),XLOOKUP(D$3,daily_items,XLOOKUP($C2951,daily_dates,big_daily_table)))</f>
        <v>#N/A</v>
      </c>
      <c r="E2951" s="1" t="str">
        <f t="array" ref="E2951">IF(ISBLANK(XLOOKUP(E$3,daily_items,XLOOKUP($C2951,daily_dates,big_daily_table))),NA(),XLOOKUP(E$3,daily_items,XLOOKUP($C2951,daily_dates,big_daily_table)))</f>
        <v>#N/A</v>
      </c>
    </row>
    <row r="2952" ht="14.25" customHeight="1">
      <c r="B2952" s="7">
        <v>43857.0</v>
      </c>
      <c r="C2952" s="7">
        <f t="shared" si="1"/>
        <v>43856</v>
      </c>
      <c r="D2952" s="1" t="str">
        <f t="array" ref="D2952">IF(ISBLANK(XLOOKUP(D$3,daily_items,XLOOKUP($C2952,daily_dates,big_daily_table))),NA(),XLOOKUP(D$3,daily_items,XLOOKUP($C2952,daily_dates,big_daily_table)))</f>
        <v>#N/A</v>
      </c>
      <c r="E2952" s="1" t="str">
        <f t="array" ref="E2952">IF(ISBLANK(XLOOKUP(E$3,daily_items,XLOOKUP($C2952,daily_dates,big_daily_table))),NA(),XLOOKUP(E$3,daily_items,XLOOKUP($C2952,daily_dates,big_daily_table)))</f>
        <v>#N/A</v>
      </c>
    </row>
    <row r="2953" ht="14.25" customHeight="1">
      <c r="B2953" s="7">
        <v>43858.0</v>
      </c>
      <c r="C2953" s="7">
        <f t="shared" si="1"/>
        <v>43856</v>
      </c>
      <c r="D2953" s="1" t="str">
        <f t="array" ref="D2953">IF(ISBLANK(XLOOKUP(D$3,daily_items,XLOOKUP($C2953,daily_dates,big_daily_table))),NA(),XLOOKUP(D$3,daily_items,XLOOKUP($C2953,daily_dates,big_daily_table)))</f>
        <v>#N/A</v>
      </c>
      <c r="E2953" s="1" t="str">
        <f t="array" ref="E2953">IF(ISBLANK(XLOOKUP(E$3,daily_items,XLOOKUP($C2953,daily_dates,big_daily_table))),NA(),XLOOKUP(E$3,daily_items,XLOOKUP($C2953,daily_dates,big_daily_table)))</f>
        <v>#N/A</v>
      </c>
    </row>
    <row r="2954" ht="14.25" customHeight="1">
      <c r="B2954" s="7">
        <v>43859.0</v>
      </c>
      <c r="C2954" s="7">
        <f t="shared" si="1"/>
        <v>43856</v>
      </c>
      <c r="D2954" s="1" t="str">
        <f t="array" ref="D2954">IF(ISBLANK(XLOOKUP(D$3,daily_items,XLOOKUP($C2954,daily_dates,big_daily_table))),NA(),XLOOKUP(D$3,daily_items,XLOOKUP($C2954,daily_dates,big_daily_table)))</f>
        <v>#N/A</v>
      </c>
      <c r="E2954" s="1" t="str">
        <f t="array" ref="E2954">IF(ISBLANK(XLOOKUP(E$3,daily_items,XLOOKUP($C2954,daily_dates,big_daily_table))),NA(),XLOOKUP(E$3,daily_items,XLOOKUP($C2954,daily_dates,big_daily_table)))</f>
        <v>#N/A</v>
      </c>
    </row>
    <row r="2955" ht="14.25" customHeight="1">
      <c r="B2955" s="7">
        <v>43860.0</v>
      </c>
      <c r="C2955" s="7">
        <f t="shared" si="1"/>
        <v>43856</v>
      </c>
      <c r="D2955" s="1" t="str">
        <f t="array" ref="D2955">IF(ISBLANK(XLOOKUP(D$3,daily_items,XLOOKUP($C2955,daily_dates,big_daily_table))),NA(),XLOOKUP(D$3,daily_items,XLOOKUP($C2955,daily_dates,big_daily_table)))</f>
        <v>#N/A</v>
      </c>
      <c r="E2955" s="1" t="str">
        <f t="array" ref="E2955">IF(ISBLANK(XLOOKUP(E$3,daily_items,XLOOKUP($C2955,daily_dates,big_daily_table))),NA(),XLOOKUP(E$3,daily_items,XLOOKUP($C2955,daily_dates,big_daily_table)))</f>
        <v>#N/A</v>
      </c>
    </row>
    <row r="2956" ht="14.25" customHeight="1">
      <c r="B2956" s="7">
        <v>43861.0</v>
      </c>
      <c r="C2956" s="7">
        <f t="shared" si="1"/>
        <v>43856</v>
      </c>
      <c r="D2956" s="1" t="str">
        <f t="array" ref="D2956">IF(ISBLANK(XLOOKUP(D$3,daily_items,XLOOKUP($C2956,daily_dates,big_daily_table))),NA(),XLOOKUP(D$3,daily_items,XLOOKUP($C2956,daily_dates,big_daily_table)))</f>
        <v>#N/A</v>
      </c>
      <c r="E2956" s="1" t="str">
        <f t="array" ref="E2956">IF(ISBLANK(XLOOKUP(E$3,daily_items,XLOOKUP($C2956,daily_dates,big_daily_table))),NA(),XLOOKUP(E$3,daily_items,XLOOKUP($C2956,daily_dates,big_daily_table)))</f>
        <v>#N/A</v>
      </c>
    </row>
    <row r="2957" ht="14.25" customHeight="1">
      <c r="B2957" s="7">
        <v>43862.0</v>
      </c>
      <c r="C2957" s="7">
        <f t="shared" si="1"/>
        <v>43856</v>
      </c>
      <c r="D2957" s="1" t="str">
        <f t="array" ref="D2957">IF(ISBLANK(XLOOKUP(D$3,daily_items,XLOOKUP($C2957,daily_dates,big_daily_table))),NA(),XLOOKUP(D$3,daily_items,XLOOKUP($C2957,daily_dates,big_daily_table)))</f>
        <v>#N/A</v>
      </c>
      <c r="E2957" s="1" t="str">
        <f t="array" ref="E2957">IF(ISBLANK(XLOOKUP(E$3,daily_items,XLOOKUP($C2957,daily_dates,big_daily_table))),NA(),XLOOKUP(E$3,daily_items,XLOOKUP($C2957,daily_dates,big_daily_table)))</f>
        <v>#N/A</v>
      </c>
    </row>
    <row r="2958" ht="14.25" customHeight="1">
      <c r="B2958" s="7">
        <v>43863.0</v>
      </c>
      <c r="C2958" s="7">
        <f t="shared" si="1"/>
        <v>43863</v>
      </c>
      <c r="D2958" s="1" t="str">
        <f t="array" ref="D2958">IF(ISBLANK(XLOOKUP(D$3,daily_items,XLOOKUP($C2958,daily_dates,big_daily_table))),NA(),XLOOKUP(D$3,daily_items,XLOOKUP($C2958,daily_dates,big_daily_table)))</f>
        <v>#N/A</v>
      </c>
      <c r="E2958" s="1" t="str">
        <f t="array" ref="E2958">IF(ISBLANK(XLOOKUP(E$3,daily_items,XLOOKUP($C2958,daily_dates,big_daily_table))),NA(),XLOOKUP(E$3,daily_items,XLOOKUP($C2958,daily_dates,big_daily_table)))</f>
        <v>#N/A</v>
      </c>
    </row>
    <row r="2959" ht="14.25" customHeight="1">
      <c r="B2959" s="7">
        <v>43864.0</v>
      </c>
      <c r="C2959" s="7">
        <f t="shared" si="1"/>
        <v>43863</v>
      </c>
      <c r="D2959" s="1" t="str">
        <f t="array" ref="D2959">IF(ISBLANK(XLOOKUP(D$3,daily_items,XLOOKUP($C2959,daily_dates,big_daily_table))),NA(),XLOOKUP(D$3,daily_items,XLOOKUP($C2959,daily_dates,big_daily_table)))</f>
        <v>#N/A</v>
      </c>
      <c r="E2959" s="1" t="str">
        <f t="array" ref="E2959">IF(ISBLANK(XLOOKUP(E$3,daily_items,XLOOKUP($C2959,daily_dates,big_daily_table))),NA(),XLOOKUP(E$3,daily_items,XLOOKUP($C2959,daily_dates,big_daily_table)))</f>
        <v>#N/A</v>
      </c>
    </row>
    <row r="2960" ht="14.25" customHeight="1">
      <c r="B2960" s="7">
        <v>43865.0</v>
      </c>
      <c r="C2960" s="7">
        <f t="shared" si="1"/>
        <v>43863</v>
      </c>
      <c r="D2960" s="1" t="str">
        <f t="array" ref="D2960">IF(ISBLANK(XLOOKUP(D$3,daily_items,XLOOKUP($C2960,daily_dates,big_daily_table))),NA(),XLOOKUP(D$3,daily_items,XLOOKUP($C2960,daily_dates,big_daily_table)))</f>
        <v>#N/A</v>
      </c>
      <c r="E2960" s="1" t="str">
        <f t="array" ref="E2960">IF(ISBLANK(XLOOKUP(E$3,daily_items,XLOOKUP($C2960,daily_dates,big_daily_table))),NA(),XLOOKUP(E$3,daily_items,XLOOKUP($C2960,daily_dates,big_daily_table)))</f>
        <v>#N/A</v>
      </c>
    </row>
    <row r="2961" ht="14.25" customHeight="1">
      <c r="B2961" s="7">
        <v>43866.0</v>
      </c>
      <c r="C2961" s="7">
        <f t="shared" si="1"/>
        <v>43863</v>
      </c>
      <c r="D2961" s="1" t="str">
        <f t="array" ref="D2961">IF(ISBLANK(XLOOKUP(D$3,daily_items,XLOOKUP($C2961,daily_dates,big_daily_table))),NA(),XLOOKUP(D$3,daily_items,XLOOKUP($C2961,daily_dates,big_daily_table)))</f>
        <v>#N/A</v>
      </c>
      <c r="E2961" s="1" t="str">
        <f t="array" ref="E2961">IF(ISBLANK(XLOOKUP(E$3,daily_items,XLOOKUP($C2961,daily_dates,big_daily_table))),NA(),XLOOKUP(E$3,daily_items,XLOOKUP($C2961,daily_dates,big_daily_table)))</f>
        <v>#N/A</v>
      </c>
    </row>
    <row r="2962" ht="14.25" customHeight="1">
      <c r="B2962" s="7">
        <v>43867.0</v>
      </c>
      <c r="C2962" s="7">
        <f t="shared" si="1"/>
        <v>43863</v>
      </c>
      <c r="D2962" s="1" t="str">
        <f t="array" ref="D2962">IF(ISBLANK(XLOOKUP(D$3,daily_items,XLOOKUP($C2962,daily_dates,big_daily_table))),NA(),XLOOKUP(D$3,daily_items,XLOOKUP($C2962,daily_dates,big_daily_table)))</f>
        <v>#N/A</v>
      </c>
      <c r="E2962" s="1" t="str">
        <f t="array" ref="E2962">IF(ISBLANK(XLOOKUP(E$3,daily_items,XLOOKUP($C2962,daily_dates,big_daily_table))),NA(),XLOOKUP(E$3,daily_items,XLOOKUP($C2962,daily_dates,big_daily_table)))</f>
        <v>#N/A</v>
      </c>
    </row>
    <row r="2963" ht="14.25" customHeight="1">
      <c r="B2963" s="7">
        <v>43868.0</v>
      </c>
      <c r="C2963" s="7">
        <f t="shared" si="1"/>
        <v>43863</v>
      </c>
      <c r="D2963" s="1" t="str">
        <f t="array" ref="D2963">IF(ISBLANK(XLOOKUP(D$3,daily_items,XLOOKUP($C2963,daily_dates,big_daily_table))),NA(),XLOOKUP(D$3,daily_items,XLOOKUP($C2963,daily_dates,big_daily_table)))</f>
        <v>#N/A</v>
      </c>
      <c r="E2963" s="1" t="str">
        <f t="array" ref="E2963">IF(ISBLANK(XLOOKUP(E$3,daily_items,XLOOKUP($C2963,daily_dates,big_daily_table))),NA(),XLOOKUP(E$3,daily_items,XLOOKUP($C2963,daily_dates,big_daily_table)))</f>
        <v>#N/A</v>
      </c>
    </row>
    <row r="2964" ht="14.25" customHeight="1">
      <c r="B2964" s="7">
        <v>43869.0</v>
      </c>
      <c r="C2964" s="7">
        <f t="shared" si="1"/>
        <v>43863</v>
      </c>
      <c r="D2964" s="1" t="str">
        <f t="array" ref="D2964">IF(ISBLANK(XLOOKUP(D$3,daily_items,XLOOKUP($C2964,daily_dates,big_daily_table))),NA(),XLOOKUP(D$3,daily_items,XLOOKUP($C2964,daily_dates,big_daily_table)))</f>
        <v>#N/A</v>
      </c>
      <c r="E2964" s="1" t="str">
        <f t="array" ref="E2964">IF(ISBLANK(XLOOKUP(E$3,daily_items,XLOOKUP($C2964,daily_dates,big_daily_table))),NA(),XLOOKUP(E$3,daily_items,XLOOKUP($C2964,daily_dates,big_daily_table)))</f>
        <v>#N/A</v>
      </c>
    </row>
    <row r="2965" ht="14.25" customHeight="1">
      <c r="B2965" s="7">
        <v>43870.0</v>
      </c>
      <c r="C2965" s="7">
        <f t="shared" si="1"/>
        <v>43870</v>
      </c>
      <c r="D2965" s="1" t="str">
        <f t="array" ref="D2965">IF(ISBLANK(XLOOKUP(D$3,daily_items,XLOOKUP($C2965,daily_dates,big_daily_table))),NA(),XLOOKUP(D$3,daily_items,XLOOKUP($C2965,daily_dates,big_daily_table)))</f>
        <v>#N/A</v>
      </c>
      <c r="E2965" s="1" t="str">
        <f t="array" ref="E2965">IF(ISBLANK(XLOOKUP(E$3,daily_items,XLOOKUP($C2965,daily_dates,big_daily_table))),NA(),XLOOKUP(E$3,daily_items,XLOOKUP($C2965,daily_dates,big_daily_table)))</f>
        <v>#N/A</v>
      </c>
    </row>
    <row r="2966" ht="14.25" customHeight="1">
      <c r="B2966" s="7">
        <v>43871.0</v>
      </c>
      <c r="C2966" s="7">
        <f t="shared" si="1"/>
        <v>43870</v>
      </c>
      <c r="D2966" s="1" t="str">
        <f t="array" ref="D2966">IF(ISBLANK(XLOOKUP(D$3,daily_items,XLOOKUP($C2966,daily_dates,big_daily_table))),NA(),XLOOKUP(D$3,daily_items,XLOOKUP($C2966,daily_dates,big_daily_table)))</f>
        <v>#N/A</v>
      </c>
      <c r="E2966" s="1" t="str">
        <f t="array" ref="E2966">IF(ISBLANK(XLOOKUP(E$3,daily_items,XLOOKUP($C2966,daily_dates,big_daily_table))),NA(),XLOOKUP(E$3,daily_items,XLOOKUP($C2966,daily_dates,big_daily_table)))</f>
        <v>#N/A</v>
      </c>
    </row>
    <row r="2967" ht="14.25" customHeight="1">
      <c r="B2967" s="7">
        <v>43872.0</v>
      </c>
      <c r="C2967" s="7">
        <f t="shared" si="1"/>
        <v>43870</v>
      </c>
      <c r="D2967" s="1" t="str">
        <f t="array" ref="D2967">IF(ISBLANK(XLOOKUP(D$3,daily_items,XLOOKUP($C2967,daily_dates,big_daily_table))),NA(),XLOOKUP(D$3,daily_items,XLOOKUP($C2967,daily_dates,big_daily_table)))</f>
        <v>#N/A</v>
      </c>
      <c r="E2967" s="1" t="str">
        <f t="array" ref="E2967">IF(ISBLANK(XLOOKUP(E$3,daily_items,XLOOKUP($C2967,daily_dates,big_daily_table))),NA(),XLOOKUP(E$3,daily_items,XLOOKUP($C2967,daily_dates,big_daily_table)))</f>
        <v>#N/A</v>
      </c>
    </row>
    <row r="2968" ht="14.25" customHeight="1">
      <c r="B2968" s="7">
        <v>43873.0</v>
      </c>
      <c r="C2968" s="7">
        <f t="shared" si="1"/>
        <v>43870</v>
      </c>
      <c r="D2968" s="1" t="str">
        <f t="array" ref="D2968">IF(ISBLANK(XLOOKUP(D$3,daily_items,XLOOKUP($C2968,daily_dates,big_daily_table))),NA(),XLOOKUP(D$3,daily_items,XLOOKUP($C2968,daily_dates,big_daily_table)))</f>
        <v>#N/A</v>
      </c>
      <c r="E2968" s="1" t="str">
        <f t="array" ref="E2968">IF(ISBLANK(XLOOKUP(E$3,daily_items,XLOOKUP($C2968,daily_dates,big_daily_table))),NA(),XLOOKUP(E$3,daily_items,XLOOKUP($C2968,daily_dates,big_daily_table)))</f>
        <v>#N/A</v>
      </c>
    </row>
    <row r="2969" ht="14.25" customHeight="1">
      <c r="B2969" s="7">
        <v>43874.0</v>
      </c>
      <c r="C2969" s="7">
        <f t="shared" si="1"/>
        <v>43870</v>
      </c>
      <c r="D2969" s="1" t="str">
        <f t="array" ref="D2969">IF(ISBLANK(XLOOKUP(D$3,daily_items,XLOOKUP($C2969,daily_dates,big_daily_table))),NA(),XLOOKUP(D$3,daily_items,XLOOKUP($C2969,daily_dates,big_daily_table)))</f>
        <v>#N/A</v>
      </c>
      <c r="E2969" s="1" t="str">
        <f t="array" ref="E2969">IF(ISBLANK(XLOOKUP(E$3,daily_items,XLOOKUP($C2969,daily_dates,big_daily_table))),NA(),XLOOKUP(E$3,daily_items,XLOOKUP($C2969,daily_dates,big_daily_table)))</f>
        <v>#N/A</v>
      </c>
    </row>
    <row r="2970" ht="14.25" customHeight="1">
      <c r="B2970" s="7">
        <v>43875.0</v>
      </c>
      <c r="C2970" s="7">
        <f t="shared" si="1"/>
        <v>43870</v>
      </c>
      <c r="D2970" s="1" t="str">
        <f t="array" ref="D2970">IF(ISBLANK(XLOOKUP(D$3,daily_items,XLOOKUP($C2970,daily_dates,big_daily_table))),NA(),XLOOKUP(D$3,daily_items,XLOOKUP($C2970,daily_dates,big_daily_table)))</f>
        <v>#N/A</v>
      </c>
      <c r="E2970" s="1" t="str">
        <f t="array" ref="E2970">IF(ISBLANK(XLOOKUP(E$3,daily_items,XLOOKUP($C2970,daily_dates,big_daily_table))),NA(),XLOOKUP(E$3,daily_items,XLOOKUP($C2970,daily_dates,big_daily_table)))</f>
        <v>#N/A</v>
      </c>
    </row>
    <row r="2971" ht="14.25" customHeight="1">
      <c r="B2971" s="7">
        <v>43876.0</v>
      </c>
      <c r="C2971" s="7">
        <f t="shared" si="1"/>
        <v>43870</v>
      </c>
      <c r="D2971" s="1" t="str">
        <f t="array" ref="D2971">IF(ISBLANK(XLOOKUP(D$3,daily_items,XLOOKUP($C2971,daily_dates,big_daily_table))),NA(),XLOOKUP(D$3,daily_items,XLOOKUP($C2971,daily_dates,big_daily_table)))</f>
        <v>#N/A</v>
      </c>
      <c r="E2971" s="1" t="str">
        <f t="array" ref="E2971">IF(ISBLANK(XLOOKUP(E$3,daily_items,XLOOKUP($C2971,daily_dates,big_daily_table))),NA(),XLOOKUP(E$3,daily_items,XLOOKUP($C2971,daily_dates,big_daily_table)))</f>
        <v>#N/A</v>
      </c>
    </row>
    <row r="2972" ht="14.25" customHeight="1">
      <c r="B2972" s="7">
        <v>43877.0</v>
      </c>
      <c r="C2972" s="7">
        <f t="shared" si="1"/>
        <v>43877</v>
      </c>
      <c r="D2972" s="1" t="str">
        <f t="array" ref="D2972">IF(ISBLANK(XLOOKUP(D$3,daily_items,XLOOKUP($C2972,daily_dates,big_daily_table))),NA(),XLOOKUP(D$3,daily_items,XLOOKUP($C2972,daily_dates,big_daily_table)))</f>
        <v>#N/A</v>
      </c>
      <c r="E2972" s="1" t="str">
        <f t="array" ref="E2972">IF(ISBLANK(XLOOKUP(E$3,daily_items,XLOOKUP($C2972,daily_dates,big_daily_table))),NA(),XLOOKUP(E$3,daily_items,XLOOKUP($C2972,daily_dates,big_daily_table)))</f>
        <v>#N/A</v>
      </c>
    </row>
    <row r="2973" ht="14.25" customHeight="1">
      <c r="B2973" s="7">
        <v>43878.0</v>
      </c>
      <c r="C2973" s="7">
        <f t="shared" si="1"/>
        <v>43877</v>
      </c>
      <c r="D2973" s="1" t="str">
        <f t="array" ref="D2973">IF(ISBLANK(XLOOKUP(D$3,daily_items,XLOOKUP($C2973,daily_dates,big_daily_table))),NA(),XLOOKUP(D$3,daily_items,XLOOKUP($C2973,daily_dates,big_daily_table)))</f>
        <v>#N/A</v>
      </c>
      <c r="E2973" s="1" t="str">
        <f t="array" ref="E2973">IF(ISBLANK(XLOOKUP(E$3,daily_items,XLOOKUP($C2973,daily_dates,big_daily_table))),NA(),XLOOKUP(E$3,daily_items,XLOOKUP($C2973,daily_dates,big_daily_table)))</f>
        <v>#N/A</v>
      </c>
    </row>
    <row r="2974" ht="14.25" customHeight="1">
      <c r="B2974" s="7">
        <v>43879.0</v>
      </c>
      <c r="C2974" s="7">
        <f t="shared" si="1"/>
        <v>43877</v>
      </c>
      <c r="D2974" s="1" t="str">
        <f t="array" ref="D2974">IF(ISBLANK(XLOOKUP(D$3,daily_items,XLOOKUP($C2974,daily_dates,big_daily_table))),NA(),XLOOKUP(D$3,daily_items,XLOOKUP($C2974,daily_dates,big_daily_table)))</f>
        <v>#N/A</v>
      </c>
      <c r="E2974" s="1" t="str">
        <f t="array" ref="E2974">IF(ISBLANK(XLOOKUP(E$3,daily_items,XLOOKUP($C2974,daily_dates,big_daily_table))),NA(),XLOOKUP(E$3,daily_items,XLOOKUP($C2974,daily_dates,big_daily_table)))</f>
        <v>#N/A</v>
      </c>
    </row>
    <row r="2975" ht="14.25" customHeight="1">
      <c r="B2975" s="7">
        <v>43880.0</v>
      </c>
      <c r="C2975" s="7">
        <f t="shared" si="1"/>
        <v>43877</v>
      </c>
      <c r="D2975" s="1" t="str">
        <f t="array" ref="D2975">IF(ISBLANK(XLOOKUP(D$3,daily_items,XLOOKUP($C2975,daily_dates,big_daily_table))),NA(),XLOOKUP(D$3,daily_items,XLOOKUP($C2975,daily_dates,big_daily_table)))</f>
        <v>#N/A</v>
      </c>
      <c r="E2975" s="1" t="str">
        <f t="array" ref="E2975">IF(ISBLANK(XLOOKUP(E$3,daily_items,XLOOKUP($C2975,daily_dates,big_daily_table))),NA(),XLOOKUP(E$3,daily_items,XLOOKUP($C2975,daily_dates,big_daily_table)))</f>
        <v>#N/A</v>
      </c>
    </row>
    <row r="2976" ht="14.25" customHeight="1">
      <c r="B2976" s="7">
        <v>43881.0</v>
      </c>
      <c r="C2976" s="7">
        <f t="shared" si="1"/>
        <v>43877</v>
      </c>
      <c r="D2976" s="1" t="str">
        <f t="array" ref="D2976">IF(ISBLANK(XLOOKUP(D$3,daily_items,XLOOKUP($C2976,daily_dates,big_daily_table))),NA(),XLOOKUP(D$3,daily_items,XLOOKUP($C2976,daily_dates,big_daily_table)))</f>
        <v>#N/A</v>
      </c>
      <c r="E2976" s="1" t="str">
        <f t="array" ref="E2976">IF(ISBLANK(XLOOKUP(E$3,daily_items,XLOOKUP($C2976,daily_dates,big_daily_table))),NA(),XLOOKUP(E$3,daily_items,XLOOKUP($C2976,daily_dates,big_daily_table)))</f>
        <v>#N/A</v>
      </c>
    </row>
    <row r="2977" ht="14.25" customHeight="1">
      <c r="B2977" s="7">
        <v>43882.0</v>
      </c>
      <c r="C2977" s="7">
        <f t="shared" si="1"/>
        <v>43877</v>
      </c>
      <c r="D2977" s="1" t="str">
        <f t="array" ref="D2977">IF(ISBLANK(XLOOKUP(D$3,daily_items,XLOOKUP($C2977,daily_dates,big_daily_table))),NA(),XLOOKUP(D$3,daily_items,XLOOKUP($C2977,daily_dates,big_daily_table)))</f>
        <v>#N/A</v>
      </c>
      <c r="E2977" s="1" t="str">
        <f t="array" ref="E2977">IF(ISBLANK(XLOOKUP(E$3,daily_items,XLOOKUP($C2977,daily_dates,big_daily_table))),NA(),XLOOKUP(E$3,daily_items,XLOOKUP($C2977,daily_dates,big_daily_table)))</f>
        <v>#N/A</v>
      </c>
    </row>
    <row r="2978" ht="14.25" customHeight="1">
      <c r="B2978" s="7">
        <v>43883.0</v>
      </c>
      <c r="C2978" s="7">
        <f t="shared" si="1"/>
        <v>43877</v>
      </c>
      <c r="D2978" s="1" t="str">
        <f t="array" ref="D2978">IF(ISBLANK(XLOOKUP(D$3,daily_items,XLOOKUP($C2978,daily_dates,big_daily_table))),NA(),XLOOKUP(D$3,daily_items,XLOOKUP($C2978,daily_dates,big_daily_table)))</f>
        <v>#N/A</v>
      </c>
      <c r="E2978" s="1" t="str">
        <f t="array" ref="E2978">IF(ISBLANK(XLOOKUP(E$3,daily_items,XLOOKUP($C2978,daily_dates,big_daily_table))),NA(),XLOOKUP(E$3,daily_items,XLOOKUP($C2978,daily_dates,big_daily_table)))</f>
        <v>#N/A</v>
      </c>
    </row>
    <row r="2979" ht="14.25" customHeight="1">
      <c r="B2979" s="7">
        <v>43884.0</v>
      </c>
      <c r="C2979" s="7">
        <f t="shared" si="1"/>
        <v>43884</v>
      </c>
      <c r="D2979" s="1" t="str">
        <f t="array" ref="D2979">IF(ISBLANK(XLOOKUP(D$3,daily_items,XLOOKUP($C2979,daily_dates,big_daily_table))),NA(),XLOOKUP(D$3,daily_items,XLOOKUP($C2979,daily_dates,big_daily_table)))</f>
        <v>#N/A</v>
      </c>
      <c r="E2979" s="1" t="str">
        <f t="array" ref="E2979">IF(ISBLANK(XLOOKUP(E$3,daily_items,XLOOKUP($C2979,daily_dates,big_daily_table))),NA(),XLOOKUP(E$3,daily_items,XLOOKUP($C2979,daily_dates,big_daily_table)))</f>
        <v>#N/A</v>
      </c>
    </row>
    <row r="2980" ht="14.25" customHeight="1">
      <c r="B2980" s="7">
        <v>43885.0</v>
      </c>
      <c r="C2980" s="7">
        <f t="shared" si="1"/>
        <v>43884</v>
      </c>
      <c r="D2980" s="1" t="str">
        <f t="array" ref="D2980">IF(ISBLANK(XLOOKUP(D$3,daily_items,XLOOKUP($C2980,daily_dates,big_daily_table))),NA(),XLOOKUP(D$3,daily_items,XLOOKUP($C2980,daily_dates,big_daily_table)))</f>
        <v>#N/A</v>
      </c>
      <c r="E2980" s="1" t="str">
        <f t="array" ref="E2980">IF(ISBLANK(XLOOKUP(E$3,daily_items,XLOOKUP($C2980,daily_dates,big_daily_table))),NA(),XLOOKUP(E$3,daily_items,XLOOKUP($C2980,daily_dates,big_daily_table)))</f>
        <v>#N/A</v>
      </c>
    </row>
    <row r="2981" ht="14.25" customHeight="1">
      <c r="B2981" s="7">
        <v>43886.0</v>
      </c>
      <c r="C2981" s="7">
        <f t="shared" si="1"/>
        <v>43884</v>
      </c>
      <c r="D2981" s="1" t="str">
        <f t="array" ref="D2981">IF(ISBLANK(XLOOKUP(D$3,daily_items,XLOOKUP($C2981,daily_dates,big_daily_table))),NA(),XLOOKUP(D$3,daily_items,XLOOKUP($C2981,daily_dates,big_daily_table)))</f>
        <v>#N/A</v>
      </c>
      <c r="E2981" s="1" t="str">
        <f t="array" ref="E2981">IF(ISBLANK(XLOOKUP(E$3,daily_items,XLOOKUP($C2981,daily_dates,big_daily_table))),NA(),XLOOKUP(E$3,daily_items,XLOOKUP($C2981,daily_dates,big_daily_table)))</f>
        <v>#N/A</v>
      </c>
    </row>
    <row r="2982" ht="14.25" customHeight="1">
      <c r="B2982" s="7">
        <v>43887.0</v>
      </c>
      <c r="C2982" s="7">
        <f t="shared" si="1"/>
        <v>43884</v>
      </c>
      <c r="D2982" s="1" t="str">
        <f t="array" ref="D2982">IF(ISBLANK(XLOOKUP(D$3,daily_items,XLOOKUP($C2982,daily_dates,big_daily_table))),NA(),XLOOKUP(D$3,daily_items,XLOOKUP($C2982,daily_dates,big_daily_table)))</f>
        <v>#N/A</v>
      </c>
      <c r="E2982" s="1" t="str">
        <f t="array" ref="E2982">IF(ISBLANK(XLOOKUP(E$3,daily_items,XLOOKUP($C2982,daily_dates,big_daily_table))),NA(),XLOOKUP(E$3,daily_items,XLOOKUP($C2982,daily_dates,big_daily_table)))</f>
        <v>#N/A</v>
      </c>
    </row>
    <row r="2983" ht="14.25" customHeight="1">
      <c r="B2983" s="7">
        <v>43888.0</v>
      </c>
      <c r="C2983" s="7">
        <f t="shared" si="1"/>
        <v>43884</v>
      </c>
      <c r="D2983" s="1" t="str">
        <f t="array" ref="D2983">IF(ISBLANK(XLOOKUP(D$3,daily_items,XLOOKUP($C2983,daily_dates,big_daily_table))),NA(),XLOOKUP(D$3,daily_items,XLOOKUP($C2983,daily_dates,big_daily_table)))</f>
        <v>#N/A</v>
      </c>
      <c r="E2983" s="1" t="str">
        <f t="array" ref="E2983">IF(ISBLANK(XLOOKUP(E$3,daily_items,XLOOKUP($C2983,daily_dates,big_daily_table))),NA(),XLOOKUP(E$3,daily_items,XLOOKUP($C2983,daily_dates,big_daily_table)))</f>
        <v>#N/A</v>
      </c>
    </row>
    <row r="2984" ht="14.25" customHeight="1">
      <c r="B2984" s="7">
        <v>43889.0</v>
      </c>
      <c r="C2984" s="7">
        <f t="shared" si="1"/>
        <v>43884</v>
      </c>
      <c r="D2984" s="1" t="str">
        <f t="array" ref="D2984">IF(ISBLANK(XLOOKUP(D$3,daily_items,XLOOKUP($C2984,daily_dates,big_daily_table))),NA(),XLOOKUP(D$3,daily_items,XLOOKUP($C2984,daily_dates,big_daily_table)))</f>
        <v>#N/A</v>
      </c>
      <c r="E2984" s="1" t="str">
        <f t="array" ref="E2984">IF(ISBLANK(XLOOKUP(E$3,daily_items,XLOOKUP($C2984,daily_dates,big_daily_table))),NA(),XLOOKUP(E$3,daily_items,XLOOKUP($C2984,daily_dates,big_daily_table)))</f>
        <v>#N/A</v>
      </c>
    </row>
    <row r="2985" ht="14.25" customHeight="1">
      <c r="B2985" s="7">
        <v>43890.0</v>
      </c>
      <c r="C2985" s="7">
        <f t="shared" si="1"/>
        <v>43884</v>
      </c>
      <c r="D2985" s="1" t="str">
        <f t="array" ref="D2985">IF(ISBLANK(XLOOKUP(D$3,daily_items,XLOOKUP($C2985,daily_dates,big_daily_table))),NA(),XLOOKUP(D$3,daily_items,XLOOKUP($C2985,daily_dates,big_daily_table)))</f>
        <v>#N/A</v>
      </c>
      <c r="E2985" s="1" t="str">
        <f t="array" ref="E2985">IF(ISBLANK(XLOOKUP(E$3,daily_items,XLOOKUP($C2985,daily_dates,big_daily_table))),NA(),XLOOKUP(E$3,daily_items,XLOOKUP($C2985,daily_dates,big_daily_table)))</f>
        <v>#N/A</v>
      </c>
    </row>
    <row r="2986" ht="14.25" customHeight="1">
      <c r="B2986" s="7">
        <v>43891.0</v>
      </c>
      <c r="C2986" s="7">
        <f t="shared" si="1"/>
        <v>43891</v>
      </c>
      <c r="D2986" s="1" t="str">
        <f t="array" ref="D2986">IF(ISBLANK(XLOOKUP(D$3,daily_items,XLOOKUP($C2986,daily_dates,big_daily_table))),NA(),XLOOKUP(D$3,daily_items,XLOOKUP($C2986,daily_dates,big_daily_table)))</f>
        <v>#N/A</v>
      </c>
      <c r="E2986" s="1" t="str">
        <f t="array" ref="E2986">IF(ISBLANK(XLOOKUP(E$3,daily_items,XLOOKUP($C2986,daily_dates,big_daily_table))),NA(),XLOOKUP(E$3,daily_items,XLOOKUP($C2986,daily_dates,big_daily_table)))</f>
        <v>#N/A</v>
      </c>
    </row>
    <row r="2987" ht="14.25" customHeight="1">
      <c r="B2987" s="7">
        <v>43892.0</v>
      </c>
      <c r="C2987" s="7">
        <f t="shared" si="1"/>
        <v>43891</v>
      </c>
      <c r="D2987" s="1" t="str">
        <f t="array" ref="D2987">IF(ISBLANK(XLOOKUP(D$3,daily_items,XLOOKUP($C2987,daily_dates,big_daily_table))),NA(),XLOOKUP(D$3,daily_items,XLOOKUP($C2987,daily_dates,big_daily_table)))</f>
        <v>#N/A</v>
      </c>
      <c r="E2987" s="1" t="str">
        <f t="array" ref="E2987">IF(ISBLANK(XLOOKUP(E$3,daily_items,XLOOKUP($C2987,daily_dates,big_daily_table))),NA(),XLOOKUP(E$3,daily_items,XLOOKUP($C2987,daily_dates,big_daily_table)))</f>
        <v>#N/A</v>
      </c>
    </row>
    <row r="2988" ht="14.25" customHeight="1">
      <c r="B2988" s="7">
        <v>43893.0</v>
      </c>
      <c r="C2988" s="7">
        <f t="shared" si="1"/>
        <v>43891</v>
      </c>
      <c r="D2988" s="1" t="str">
        <f t="array" ref="D2988">IF(ISBLANK(XLOOKUP(D$3,daily_items,XLOOKUP($C2988,daily_dates,big_daily_table))),NA(),XLOOKUP(D$3,daily_items,XLOOKUP($C2988,daily_dates,big_daily_table)))</f>
        <v>#N/A</v>
      </c>
      <c r="E2988" s="1" t="str">
        <f t="array" ref="E2988">IF(ISBLANK(XLOOKUP(E$3,daily_items,XLOOKUP($C2988,daily_dates,big_daily_table))),NA(),XLOOKUP(E$3,daily_items,XLOOKUP($C2988,daily_dates,big_daily_table)))</f>
        <v>#N/A</v>
      </c>
    </row>
    <row r="2989" ht="14.25" customHeight="1">
      <c r="B2989" s="7">
        <v>43894.0</v>
      </c>
      <c r="C2989" s="7">
        <f t="shared" si="1"/>
        <v>43891</v>
      </c>
      <c r="D2989" s="1" t="str">
        <f t="array" ref="D2989">IF(ISBLANK(XLOOKUP(D$3,daily_items,XLOOKUP($C2989,daily_dates,big_daily_table))),NA(),XLOOKUP(D$3,daily_items,XLOOKUP($C2989,daily_dates,big_daily_table)))</f>
        <v>#N/A</v>
      </c>
      <c r="E2989" s="1" t="str">
        <f t="array" ref="E2989">IF(ISBLANK(XLOOKUP(E$3,daily_items,XLOOKUP($C2989,daily_dates,big_daily_table))),NA(),XLOOKUP(E$3,daily_items,XLOOKUP($C2989,daily_dates,big_daily_table)))</f>
        <v>#N/A</v>
      </c>
    </row>
    <row r="2990" ht="14.25" customHeight="1">
      <c r="B2990" s="7">
        <v>43895.0</v>
      </c>
      <c r="C2990" s="7">
        <f t="shared" si="1"/>
        <v>43891</v>
      </c>
      <c r="D2990" s="1" t="str">
        <f t="array" ref="D2990">IF(ISBLANK(XLOOKUP(D$3,daily_items,XLOOKUP($C2990,daily_dates,big_daily_table))),NA(),XLOOKUP(D$3,daily_items,XLOOKUP($C2990,daily_dates,big_daily_table)))</f>
        <v>#N/A</v>
      </c>
      <c r="E2990" s="1" t="str">
        <f t="array" ref="E2990">IF(ISBLANK(XLOOKUP(E$3,daily_items,XLOOKUP($C2990,daily_dates,big_daily_table))),NA(),XLOOKUP(E$3,daily_items,XLOOKUP($C2990,daily_dates,big_daily_table)))</f>
        <v>#N/A</v>
      </c>
    </row>
    <row r="2991" ht="14.25" customHeight="1">
      <c r="B2991" s="7">
        <v>43896.0</v>
      </c>
      <c r="C2991" s="7">
        <f t="shared" si="1"/>
        <v>43891</v>
      </c>
      <c r="D2991" s="1" t="str">
        <f t="array" ref="D2991">IF(ISBLANK(XLOOKUP(D$3,daily_items,XLOOKUP($C2991,daily_dates,big_daily_table))),NA(),XLOOKUP(D$3,daily_items,XLOOKUP($C2991,daily_dates,big_daily_table)))</f>
        <v>#N/A</v>
      </c>
      <c r="E2991" s="1" t="str">
        <f t="array" ref="E2991">IF(ISBLANK(XLOOKUP(E$3,daily_items,XLOOKUP($C2991,daily_dates,big_daily_table))),NA(),XLOOKUP(E$3,daily_items,XLOOKUP($C2991,daily_dates,big_daily_table)))</f>
        <v>#N/A</v>
      </c>
    </row>
    <row r="2992" ht="14.25" customHeight="1">
      <c r="B2992" s="7">
        <v>43897.0</v>
      </c>
      <c r="C2992" s="7">
        <f t="shared" si="1"/>
        <v>43891</v>
      </c>
      <c r="D2992" s="1" t="str">
        <f t="array" ref="D2992">IF(ISBLANK(XLOOKUP(D$3,daily_items,XLOOKUP($C2992,daily_dates,big_daily_table))),NA(),XLOOKUP(D$3,daily_items,XLOOKUP($C2992,daily_dates,big_daily_table)))</f>
        <v>#N/A</v>
      </c>
      <c r="E2992" s="1" t="str">
        <f t="array" ref="E2992">IF(ISBLANK(XLOOKUP(E$3,daily_items,XLOOKUP($C2992,daily_dates,big_daily_table))),NA(),XLOOKUP(E$3,daily_items,XLOOKUP($C2992,daily_dates,big_daily_table)))</f>
        <v>#N/A</v>
      </c>
    </row>
    <row r="2993" ht="14.25" customHeight="1">
      <c r="B2993" s="7">
        <v>43898.0</v>
      </c>
      <c r="C2993" s="7">
        <f t="shared" si="1"/>
        <v>43898</v>
      </c>
      <c r="D2993" s="1" t="str">
        <f t="array" ref="D2993">IF(ISBLANK(XLOOKUP(D$3,daily_items,XLOOKUP($C2993,daily_dates,big_daily_table))),NA(),XLOOKUP(D$3,daily_items,XLOOKUP($C2993,daily_dates,big_daily_table)))</f>
        <v>#N/A</v>
      </c>
      <c r="E2993" s="1" t="str">
        <f t="array" ref="E2993">IF(ISBLANK(XLOOKUP(E$3,daily_items,XLOOKUP($C2993,daily_dates,big_daily_table))),NA(),XLOOKUP(E$3,daily_items,XLOOKUP($C2993,daily_dates,big_daily_table)))</f>
        <v>#N/A</v>
      </c>
    </row>
    <row r="2994" ht="14.25" customHeight="1">
      <c r="B2994" s="7">
        <v>43899.0</v>
      </c>
      <c r="C2994" s="7">
        <f t="shared" si="1"/>
        <v>43898</v>
      </c>
      <c r="D2994" s="1" t="str">
        <f t="array" ref="D2994">IF(ISBLANK(XLOOKUP(D$3,daily_items,XLOOKUP($C2994,daily_dates,big_daily_table))),NA(),XLOOKUP(D$3,daily_items,XLOOKUP($C2994,daily_dates,big_daily_table)))</f>
        <v>#N/A</v>
      </c>
      <c r="E2994" s="1" t="str">
        <f t="array" ref="E2994">IF(ISBLANK(XLOOKUP(E$3,daily_items,XLOOKUP($C2994,daily_dates,big_daily_table))),NA(),XLOOKUP(E$3,daily_items,XLOOKUP($C2994,daily_dates,big_daily_table)))</f>
        <v>#N/A</v>
      </c>
    </row>
    <row r="2995" ht="14.25" customHeight="1">
      <c r="B2995" s="7">
        <v>43900.0</v>
      </c>
      <c r="C2995" s="7">
        <f t="shared" si="1"/>
        <v>43898</v>
      </c>
      <c r="D2995" s="1" t="str">
        <f t="array" ref="D2995">IF(ISBLANK(XLOOKUP(D$3,daily_items,XLOOKUP($C2995,daily_dates,big_daily_table))),NA(),XLOOKUP(D$3,daily_items,XLOOKUP($C2995,daily_dates,big_daily_table)))</f>
        <v>#N/A</v>
      </c>
      <c r="E2995" s="1" t="str">
        <f t="array" ref="E2995">IF(ISBLANK(XLOOKUP(E$3,daily_items,XLOOKUP($C2995,daily_dates,big_daily_table))),NA(),XLOOKUP(E$3,daily_items,XLOOKUP($C2995,daily_dates,big_daily_table)))</f>
        <v>#N/A</v>
      </c>
    </row>
    <row r="2996" ht="14.25" customHeight="1">
      <c r="B2996" s="7">
        <v>43901.0</v>
      </c>
      <c r="C2996" s="7">
        <f t="shared" si="1"/>
        <v>43898</v>
      </c>
      <c r="D2996" s="1" t="str">
        <f t="array" ref="D2996">IF(ISBLANK(XLOOKUP(D$3,daily_items,XLOOKUP($C2996,daily_dates,big_daily_table))),NA(),XLOOKUP(D$3,daily_items,XLOOKUP($C2996,daily_dates,big_daily_table)))</f>
        <v>#N/A</v>
      </c>
      <c r="E2996" s="1" t="str">
        <f t="array" ref="E2996">IF(ISBLANK(XLOOKUP(E$3,daily_items,XLOOKUP($C2996,daily_dates,big_daily_table))),NA(),XLOOKUP(E$3,daily_items,XLOOKUP($C2996,daily_dates,big_daily_table)))</f>
        <v>#N/A</v>
      </c>
    </row>
    <row r="2997" ht="14.25" customHeight="1">
      <c r="B2997" s="7">
        <v>43902.0</v>
      </c>
      <c r="C2997" s="7">
        <f t="shared" si="1"/>
        <v>43898</v>
      </c>
      <c r="D2997" s="1" t="str">
        <f t="array" ref="D2997">IF(ISBLANK(XLOOKUP(D$3,daily_items,XLOOKUP($C2997,daily_dates,big_daily_table))),NA(),XLOOKUP(D$3,daily_items,XLOOKUP($C2997,daily_dates,big_daily_table)))</f>
        <v>#N/A</v>
      </c>
      <c r="E2997" s="1" t="str">
        <f t="array" ref="E2997">IF(ISBLANK(XLOOKUP(E$3,daily_items,XLOOKUP($C2997,daily_dates,big_daily_table))),NA(),XLOOKUP(E$3,daily_items,XLOOKUP($C2997,daily_dates,big_daily_table)))</f>
        <v>#N/A</v>
      </c>
    </row>
    <row r="2998" ht="14.25" customHeight="1">
      <c r="B2998" s="7">
        <v>43903.0</v>
      </c>
      <c r="C2998" s="7">
        <f t="shared" si="1"/>
        <v>43898</v>
      </c>
      <c r="D2998" s="1" t="str">
        <f t="array" ref="D2998">IF(ISBLANK(XLOOKUP(D$3,daily_items,XLOOKUP($C2998,daily_dates,big_daily_table))),NA(),XLOOKUP(D$3,daily_items,XLOOKUP($C2998,daily_dates,big_daily_table)))</f>
        <v>#N/A</v>
      </c>
      <c r="E2998" s="1" t="str">
        <f t="array" ref="E2998">IF(ISBLANK(XLOOKUP(E$3,daily_items,XLOOKUP($C2998,daily_dates,big_daily_table))),NA(),XLOOKUP(E$3,daily_items,XLOOKUP($C2998,daily_dates,big_daily_table)))</f>
        <v>#N/A</v>
      </c>
    </row>
    <row r="2999" ht="14.25" customHeight="1">
      <c r="B2999" s="7">
        <v>43904.0</v>
      </c>
      <c r="C2999" s="7">
        <f t="shared" si="1"/>
        <v>43898</v>
      </c>
      <c r="D2999" s="1" t="str">
        <f t="array" ref="D2999">IF(ISBLANK(XLOOKUP(D$3,daily_items,XLOOKUP($C2999,daily_dates,big_daily_table))),NA(),XLOOKUP(D$3,daily_items,XLOOKUP($C2999,daily_dates,big_daily_table)))</f>
        <v>#N/A</v>
      </c>
      <c r="E2999" s="1" t="str">
        <f t="array" ref="E2999">IF(ISBLANK(XLOOKUP(E$3,daily_items,XLOOKUP($C2999,daily_dates,big_daily_table))),NA(),XLOOKUP(E$3,daily_items,XLOOKUP($C2999,daily_dates,big_daily_table)))</f>
        <v>#N/A</v>
      </c>
    </row>
    <row r="3000" ht="14.25" customHeight="1">
      <c r="B3000" s="7">
        <v>43905.0</v>
      </c>
      <c r="C3000" s="7">
        <f t="shared" si="1"/>
        <v>43905</v>
      </c>
      <c r="D3000" s="1" t="str">
        <f t="array" ref="D3000">IF(ISBLANK(XLOOKUP(D$3,daily_items,XLOOKUP($C3000,daily_dates,big_daily_table))),NA(),XLOOKUP(D$3,daily_items,XLOOKUP($C3000,daily_dates,big_daily_table)))</f>
        <v>#N/A</v>
      </c>
      <c r="E3000" s="1" t="str">
        <f t="array" ref="E3000">IF(ISBLANK(XLOOKUP(E$3,daily_items,XLOOKUP($C3000,daily_dates,big_daily_table))),NA(),XLOOKUP(E$3,daily_items,XLOOKUP($C3000,daily_dates,big_daily_table)))</f>
        <v>#N/A</v>
      </c>
    </row>
    <row r="3001" ht="14.25" customHeight="1">
      <c r="B3001" s="7">
        <v>43906.0</v>
      </c>
      <c r="C3001" s="7">
        <f t="shared" si="1"/>
        <v>43905</v>
      </c>
      <c r="D3001" s="1" t="str">
        <f t="array" ref="D3001">IF(ISBLANK(XLOOKUP(D$3,daily_items,XLOOKUP($C3001,daily_dates,big_daily_table))),NA(),XLOOKUP(D$3,daily_items,XLOOKUP($C3001,daily_dates,big_daily_table)))</f>
        <v>#N/A</v>
      </c>
      <c r="E3001" s="1" t="str">
        <f t="array" ref="E3001">IF(ISBLANK(XLOOKUP(E$3,daily_items,XLOOKUP($C3001,daily_dates,big_daily_table))),NA(),XLOOKUP(E$3,daily_items,XLOOKUP($C3001,daily_dates,big_daily_table)))</f>
        <v>#N/A</v>
      </c>
    </row>
    <row r="3002" ht="14.25" customHeight="1">
      <c r="B3002" s="7">
        <v>43907.0</v>
      </c>
      <c r="C3002" s="7">
        <f t="shared" si="1"/>
        <v>43905</v>
      </c>
      <c r="D3002" s="1" t="str">
        <f t="array" ref="D3002">IF(ISBLANK(XLOOKUP(D$3,daily_items,XLOOKUP($C3002,daily_dates,big_daily_table))),NA(),XLOOKUP(D$3,daily_items,XLOOKUP($C3002,daily_dates,big_daily_table)))</f>
        <v>#N/A</v>
      </c>
      <c r="E3002" s="1" t="str">
        <f t="array" ref="E3002">IF(ISBLANK(XLOOKUP(E$3,daily_items,XLOOKUP($C3002,daily_dates,big_daily_table))),NA(),XLOOKUP(E$3,daily_items,XLOOKUP($C3002,daily_dates,big_daily_table)))</f>
        <v>#N/A</v>
      </c>
    </row>
    <row r="3003" ht="14.25" customHeight="1">
      <c r="B3003" s="7">
        <v>43908.0</v>
      </c>
      <c r="C3003" s="7">
        <f t="shared" si="1"/>
        <v>43905</v>
      </c>
      <c r="D3003" s="1" t="str">
        <f t="array" ref="D3003">IF(ISBLANK(XLOOKUP(D$3,daily_items,XLOOKUP($C3003,daily_dates,big_daily_table))),NA(),XLOOKUP(D$3,daily_items,XLOOKUP($C3003,daily_dates,big_daily_table)))</f>
        <v>#N/A</v>
      </c>
      <c r="E3003" s="1" t="str">
        <f t="array" ref="E3003">IF(ISBLANK(XLOOKUP(E$3,daily_items,XLOOKUP($C3003,daily_dates,big_daily_table))),NA(),XLOOKUP(E$3,daily_items,XLOOKUP($C3003,daily_dates,big_daily_table)))</f>
        <v>#N/A</v>
      </c>
    </row>
    <row r="3004" ht="14.25" customHeight="1">
      <c r="B3004" s="7">
        <v>43909.0</v>
      </c>
      <c r="C3004" s="7">
        <f t="shared" si="1"/>
        <v>43905</v>
      </c>
      <c r="D3004" s="1" t="str">
        <f t="array" ref="D3004">IF(ISBLANK(XLOOKUP(D$3,daily_items,XLOOKUP($C3004,daily_dates,big_daily_table))),NA(),XLOOKUP(D$3,daily_items,XLOOKUP($C3004,daily_dates,big_daily_table)))</f>
        <v>#N/A</v>
      </c>
      <c r="E3004" s="1" t="str">
        <f t="array" ref="E3004">IF(ISBLANK(XLOOKUP(E$3,daily_items,XLOOKUP($C3004,daily_dates,big_daily_table))),NA(),XLOOKUP(E$3,daily_items,XLOOKUP($C3004,daily_dates,big_daily_table)))</f>
        <v>#N/A</v>
      </c>
    </row>
    <row r="3005" ht="14.25" customHeight="1">
      <c r="B3005" s="7">
        <v>43910.0</v>
      </c>
      <c r="C3005" s="7">
        <f t="shared" si="1"/>
        <v>43905</v>
      </c>
      <c r="D3005" s="1" t="str">
        <f t="array" ref="D3005">IF(ISBLANK(XLOOKUP(D$3,daily_items,XLOOKUP($C3005,daily_dates,big_daily_table))),NA(),XLOOKUP(D$3,daily_items,XLOOKUP($C3005,daily_dates,big_daily_table)))</f>
        <v>#N/A</v>
      </c>
      <c r="E3005" s="1" t="str">
        <f t="array" ref="E3005">IF(ISBLANK(XLOOKUP(E$3,daily_items,XLOOKUP($C3005,daily_dates,big_daily_table))),NA(),XLOOKUP(E$3,daily_items,XLOOKUP($C3005,daily_dates,big_daily_table)))</f>
        <v>#N/A</v>
      </c>
    </row>
    <row r="3006" ht="14.25" customHeight="1">
      <c r="B3006" s="7">
        <v>43911.0</v>
      </c>
      <c r="C3006" s="7">
        <f t="shared" si="1"/>
        <v>43905</v>
      </c>
      <c r="D3006" s="1" t="str">
        <f t="array" ref="D3006">IF(ISBLANK(XLOOKUP(D$3,daily_items,XLOOKUP($C3006,daily_dates,big_daily_table))),NA(),XLOOKUP(D$3,daily_items,XLOOKUP($C3006,daily_dates,big_daily_table)))</f>
        <v>#N/A</v>
      </c>
      <c r="E3006" s="1" t="str">
        <f t="array" ref="E3006">IF(ISBLANK(XLOOKUP(E$3,daily_items,XLOOKUP($C3006,daily_dates,big_daily_table))),NA(),XLOOKUP(E$3,daily_items,XLOOKUP($C3006,daily_dates,big_daily_table)))</f>
        <v>#N/A</v>
      </c>
    </row>
    <row r="3007" ht="14.25" customHeight="1">
      <c r="B3007" s="7">
        <v>43912.0</v>
      </c>
      <c r="C3007" s="7">
        <f t="shared" si="1"/>
        <v>43912</v>
      </c>
      <c r="D3007" s="1" t="str">
        <f t="array" ref="D3007">IF(ISBLANK(XLOOKUP(D$3,daily_items,XLOOKUP($C3007,daily_dates,big_daily_table))),NA(),XLOOKUP(D$3,daily_items,XLOOKUP($C3007,daily_dates,big_daily_table)))</f>
        <v>#N/A</v>
      </c>
      <c r="E3007" s="1" t="str">
        <f t="array" ref="E3007">IF(ISBLANK(XLOOKUP(E$3,daily_items,XLOOKUP($C3007,daily_dates,big_daily_table))),NA(),XLOOKUP(E$3,daily_items,XLOOKUP($C3007,daily_dates,big_daily_table)))</f>
        <v>#N/A</v>
      </c>
    </row>
    <row r="3008" ht="14.25" customHeight="1">
      <c r="B3008" s="7">
        <v>43913.0</v>
      </c>
      <c r="C3008" s="7">
        <f t="shared" si="1"/>
        <v>43912</v>
      </c>
      <c r="D3008" s="1" t="str">
        <f t="array" ref="D3008">IF(ISBLANK(XLOOKUP(D$3,daily_items,XLOOKUP($C3008,daily_dates,big_daily_table))),NA(),XLOOKUP(D$3,daily_items,XLOOKUP($C3008,daily_dates,big_daily_table)))</f>
        <v>#N/A</v>
      </c>
      <c r="E3008" s="1" t="str">
        <f t="array" ref="E3008">IF(ISBLANK(XLOOKUP(E$3,daily_items,XLOOKUP($C3008,daily_dates,big_daily_table))),NA(),XLOOKUP(E$3,daily_items,XLOOKUP($C3008,daily_dates,big_daily_table)))</f>
        <v>#N/A</v>
      </c>
    </row>
    <row r="3009" ht="14.25" customHeight="1">
      <c r="B3009" s="7">
        <v>43914.0</v>
      </c>
      <c r="C3009" s="7">
        <f t="shared" si="1"/>
        <v>43912</v>
      </c>
      <c r="D3009" s="1" t="str">
        <f t="array" ref="D3009">IF(ISBLANK(XLOOKUP(D$3,daily_items,XLOOKUP($C3009,daily_dates,big_daily_table))),NA(),XLOOKUP(D$3,daily_items,XLOOKUP($C3009,daily_dates,big_daily_table)))</f>
        <v>#N/A</v>
      </c>
      <c r="E3009" s="1" t="str">
        <f t="array" ref="E3009">IF(ISBLANK(XLOOKUP(E$3,daily_items,XLOOKUP($C3009,daily_dates,big_daily_table))),NA(),XLOOKUP(E$3,daily_items,XLOOKUP($C3009,daily_dates,big_daily_table)))</f>
        <v>#N/A</v>
      </c>
    </row>
    <row r="3010" ht="14.25" customHeight="1">
      <c r="B3010" s="7">
        <v>43915.0</v>
      </c>
      <c r="C3010" s="7">
        <f t="shared" si="1"/>
        <v>43912</v>
      </c>
      <c r="D3010" s="1" t="str">
        <f t="array" ref="D3010">IF(ISBLANK(XLOOKUP(D$3,daily_items,XLOOKUP($C3010,daily_dates,big_daily_table))),NA(),XLOOKUP(D$3,daily_items,XLOOKUP($C3010,daily_dates,big_daily_table)))</f>
        <v>#N/A</v>
      </c>
      <c r="E3010" s="1" t="str">
        <f t="array" ref="E3010">IF(ISBLANK(XLOOKUP(E$3,daily_items,XLOOKUP($C3010,daily_dates,big_daily_table))),NA(),XLOOKUP(E$3,daily_items,XLOOKUP($C3010,daily_dates,big_daily_table)))</f>
        <v>#N/A</v>
      </c>
    </row>
    <row r="3011" ht="14.25" customHeight="1">
      <c r="B3011" s="7">
        <v>43916.0</v>
      </c>
      <c r="C3011" s="7">
        <f t="shared" si="1"/>
        <v>43912</v>
      </c>
      <c r="D3011" s="1" t="str">
        <f t="array" ref="D3011">IF(ISBLANK(XLOOKUP(D$3,daily_items,XLOOKUP($C3011,daily_dates,big_daily_table))),NA(),XLOOKUP(D$3,daily_items,XLOOKUP($C3011,daily_dates,big_daily_table)))</f>
        <v>#N/A</v>
      </c>
      <c r="E3011" s="1" t="str">
        <f t="array" ref="E3011">IF(ISBLANK(XLOOKUP(E$3,daily_items,XLOOKUP($C3011,daily_dates,big_daily_table))),NA(),XLOOKUP(E$3,daily_items,XLOOKUP($C3011,daily_dates,big_daily_table)))</f>
        <v>#N/A</v>
      </c>
    </row>
    <row r="3012" ht="14.25" customHeight="1">
      <c r="B3012" s="7">
        <v>43917.0</v>
      </c>
      <c r="C3012" s="7">
        <f t="shared" si="1"/>
        <v>43912</v>
      </c>
      <c r="D3012" s="1" t="str">
        <f t="array" ref="D3012">IF(ISBLANK(XLOOKUP(D$3,daily_items,XLOOKUP($C3012,daily_dates,big_daily_table))),NA(),XLOOKUP(D$3,daily_items,XLOOKUP($C3012,daily_dates,big_daily_table)))</f>
        <v>#N/A</v>
      </c>
      <c r="E3012" s="1" t="str">
        <f t="array" ref="E3012">IF(ISBLANK(XLOOKUP(E$3,daily_items,XLOOKUP($C3012,daily_dates,big_daily_table))),NA(),XLOOKUP(E$3,daily_items,XLOOKUP($C3012,daily_dates,big_daily_table)))</f>
        <v>#N/A</v>
      </c>
    </row>
    <row r="3013" ht="14.25" customHeight="1">
      <c r="B3013" s="7">
        <v>43918.0</v>
      </c>
      <c r="C3013" s="7">
        <f t="shared" si="1"/>
        <v>43912</v>
      </c>
      <c r="D3013" s="1" t="str">
        <f t="array" ref="D3013">IF(ISBLANK(XLOOKUP(D$3,daily_items,XLOOKUP($C3013,daily_dates,big_daily_table))),NA(),XLOOKUP(D$3,daily_items,XLOOKUP($C3013,daily_dates,big_daily_table)))</f>
        <v>#N/A</v>
      </c>
      <c r="E3013" s="1" t="str">
        <f t="array" ref="E3013">IF(ISBLANK(XLOOKUP(E$3,daily_items,XLOOKUP($C3013,daily_dates,big_daily_table))),NA(),XLOOKUP(E$3,daily_items,XLOOKUP($C3013,daily_dates,big_daily_table)))</f>
        <v>#N/A</v>
      </c>
    </row>
    <row r="3014" ht="14.25" customHeight="1">
      <c r="B3014" s="7">
        <v>43919.0</v>
      </c>
      <c r="C3014" s="7">
        <f t="shared" si="1"/>
        <v>43919</v>
      </c>
      <c r="D3014" s="1" t="str">
        <f t="array" ref="D3014">IF(ISBLANK(XLOOKUP(D$3,daily_items,XLOOKUP($C3014,daily_dates,big_daily_table))),NA(),XLOOKUP(D$3,daily_items,XLOOKUP($C3014,daily_dates,big_daily_table)))</f>
        <v>#N/A</v>
      </c>
      <c r="E3014" s="1" t="str">
        <f t="array" ref="E3014">IF(ISBLANK(XLOOKUP(E$3,daily_items,XLOOKUP($C3014,daily_dates,big_daily_table))),NA(),XLOOKUP(E$3,daily_items,XLOOKUP($C3014,daily_dates,big_daily_table)))</f>
        <v>#N/A</v>
      </c>
    </row>
    <row r="3015" ht="14.25" customHeight="1">
      <c r="B3015" s="7">
        <v>43920.0</v>
      </c>
      <c r="C3015" s="7">
        <f t="shared" si="1"/>
        <v>43919</v>
      </c>
      <c r="D3015" s="1" t="str">
        <f t="array" ref="D3015">IF(ISBLANK(XLOOKUP(D$3,daily_items,XLOOKUP($C3015,daily_dates,big_daily_table))),NA(),XLOOKUP(D$3,daily_items,XLOOKUP($C3015,daily_dates,big_daily_table)))</f>
        <v>#N/A</v>
      </c>
      <c r="E3015" s="1" t="str">
        <f t="array" ref="E3015">IF(ISBLANK(XLOOKUP(E$3,daily_items,XLOOKUP($C3015,daily_dates,big_daily_table))),NA(),XLOOKUP(E$3,daily_items,XLOOKUP($C3015,daily_dates,big_daily_table)))</f>
        <v>#N/A</v>
      </c>
    </row>
    <row r="3016" ht="14.25" customHeight="1">
      <c r="B3016" s="7">
        <v>43921.0</v>
      </c>
      <c r="C3016" s="7">
        <f t="shared" si="1"/>
        <v>43919</v>
      </c>
      <c r="D3016" s="1" t="str">
        <f t="array" ref="D3016">IF(ISBLANK(XLOOKUP(D$3,daily_items,XLOOKUP($C3016,daily_dates,big_daily_table))),NA(),XLOOKUP(D$3,daily_items,XLOOKUP($C3016,daily_dates,big_daily_table)))</f>
        <v>#N/A</v>
      </c>
      <c r="E3016" s="1" t="str">
        <f t="array" ref="E3016">IF(ISBLANK(XLOOKUP(E$3,daily_items,XLOOKUP($C3016,daily_dates,big_daily_table))),NA(),XLOOKUP(E$3,daily_items,XLOOKUP($C3016,daily_dates,big_daily_table)))</f>
        <v>#N/A</v>
      </c>
    </row>
    <row r="3017" ht="14.25" customHeight="1">
      <c r="B3017" s="7">
        <v>43922.0</v>
      </c>
      <c r="C3017" s="7">
        <f t="shared" si="1"/>
        <v>43919</v>
      </c>
      <c r="D3017" s="1" t="str">
        <f t="array" ref="D3017">IF(ISBLANK(XLOOKUP(D$3,daily_items,XLOOKUP($C3017,daily_dates,big_daily_table))),NA(),XLOOKUP(D$3,daily_items,XLOOKUP($C3017,daily_dates,big_daily_table)))</f>
        <v>#N/A</v>
      </c>
      <c r="E3017" s="1" t="str">
        <f t="array" ref="E3017">IF(ISBLANK(XLOOKUP(E$3,daily_items,XLOOKUP($C3017,daily_dates,big_daily_table))),NA(),XLOOKUP(E$3,daily_items,XLOOKUP($C3017,daily_dates,big_daily_table)))</f>
        <v>#N/A</v>
      </c>
    </row>
    <row r="3018" ht="14.25" customHeight="1">
      <c r="B3018" s="7">
        <v>43923.0</v>
      </c>
      <c r="C3018" s="7">
        <f t="shared" si="1"/>
        <v>43919</v>
      </c>
      <c r="D3018" s="1" t="str">
        <f t="array" ref="D3018">IF(ISBLANK(XLOOKUP(D$3,daily_items,XLOOKUP($C3018,daily_dates,big_daily_table))),NA(),XLOOKUP(D$3,daily_items,XLOOKUP($C3018,daily_dates,big_daily_table)))</f>
        <v>#N/A</v>
      </c>
      <c r="E3018" s="1" t="str">
        <f t="array" ref="E3018">IF(ISBLANK(XLOOKUP(E$3,daily_items,XLOOKUP($C3018,daily_dates,big_daily_table))),NA(),XLOOKUP(E$3,daily_items,XLOOKUP($C3018,daily_dates,big_daily_table)))</f>
        <v>#N/A</v>
      </c>
    </row>
    <row r="3019" ht="14.25" customHeight="1">
      <c r="B3019" s="7">
        <v>43924.0</v>
      </c>
      <c r="C3019" s="7">
        <f t="shared" si="1"/>
        <v>43919</v>
      </c>
      <c r="D3019" s="1" t="str">
        <f t="array" ref="D3019">IF(ISBLANK(XLOOKUP(D$3,daily_items,XLOOKUP($C3019,daily_dates,big_daily_table))),NA(),XLOOKUP(D$3,daily_items,XLOOKUP($C3019,daily_dates,big_daily_table)))</f>
        <v>#N/A</v>
      </c>
      <c r="E3019" s="1" t="str">
        <f t="array" ref="E3019">IF(ISBLANK(XLOOKUP(E$3,daily_items,XLOOKUP($C3019,daily_dates,big_daily_table))),NA(),XLOOKUP(E$3,daily_items,XLOOKUP($C3019,daily_dates,big_daily_table)))</f>
        <v>#N/A</v>
      </c>
    </row>
    <row r="3020" ht="14.25" customHeight="1">
      <c r="B3020" s="7">
        <v>43925.0</v>
      </c>
      <c r="C3020" s="7">
        <f t="shared" si="1"/>
        <v>43919</v>
      </c>
      <c r="D3020" s="1" t="str">
        <f t="array" ref="D3020">IF(ISBLANK(XLOOKUP(D$3,daily_items,XLOOKUP($C3020,daily_dates,big_daily_table))),NA(),XLOOKUP(D$3,daily_items,XLOOKUP($C3020,daily_dates,big_daily_table)))</f>
        <v>#N/A</v>
      </c>
      <c r="E3020" s="1" t="str">
        <f t="array" ref="E3020">IF(ISBLANK(XLOOKUP(E$3,daily_items,XLOOKUP($C3020,daily_dates,big_daily_table))),NA(),XLOOKUP(E$3,daily_items,XLOOKUP($C3020,daily_dates,big_daily_table)))</f>
        <v>#N/A</v>
      </c>
    </row>
    <row r="3021" ht="14.25" customHeight="1">
      <c r="B3021" s="7">
        <v>43926.0</v>
      </c>
      <c r="C3021" s="7">
        <f t="shared" si="1"/>
        <v>43926</v>
      </c>
      <c r="D3021" s="1" t="str">
        <f t="array" ref="D3021">IF(ISBLANK(XLOOKUP(D$3,daily_items,XLOOKUP($C3021,daily_dates,big_daily_table))),NA(),XLOOKUP(D$3,daily_items,XLOOKUP($C3021,daily_dates,big_daily_table)))</f>
        <v>#N/A</v>
      </c>
      <c r="E3021" s="1" t="str">
        <f t="array" ref="E3021">IF(ISBLANK(XLOOKUP(E$3,daily_items,XLOOKUP($C3021,daily_dates,big_daily_table))),NA(),XLOOKUP(E$3,daily_items,XLOOKUP($C3021,daily_dates,big_daily_table)))</f>
        <v>#N/A</v>
      </c>
    </row>
    <row r="3022" ht="14.25" customHeight="1">
      <c r="B3022" s="7">
        <v>43927.0</v>
      </c>
      <c r="C3022" s="7">
        <f t="shared" si="1"/>
        <v>43926</v>
      </c>
      <c r="D3022" s="1" t="str">
        <f t="array" ref="D3022">IF(ISBLANK(XLOOKUP(D$3,daily_items,XLOOKUP($C3022,daily_dates,big_daily_table))),NA(),XLOOKUP(D$3,daily_items,XLOOKUP($C3022,daily_dates,big_daily_table)))</f>
        <v>#N/A</v>
      </c>
      <c r="E3022" s="1" t="str">
        <f t="array" ref="E3022">IF(ISBLANK(XLOOKUP(E$3,daily_items,XLOOKUP($C3022,daily_dates,big_daily_table))),NA(),XLOOKUP(E$3,daily_items,XLOOKUP($C3022,daily_dates,big_daily_table)))</f>
        <v>#N/A</v>
      </c>
    </row>
    <row r="3023" ht="14.25" customHeight="1">
      <c r="B3023" s="7">
        <v>43928.0</v>
      </c>
      <c r="C3023" s="7">
        <f t="shared" si="1"/>
        <v>43926</v>
      </c>
      <c r="D3023" s="1" t="str">
        <f t="array" ref="D3023">IF(ISBLANK(XLOOKUP(D$3,daily_items,XLOOKUP($C3023,daily_dates,big_daily_table))),NA(),XLOOKUP(D$3,daily_items,XLOOKUP($C3023,daily_dates,big_daily_table)))</f>
        <v>#N/A</v>
      </c>
      <c r="E3023" s="1" t="str">
        <f t="array" ref="E3023">IF(ISBLANK(XLOOKUP(E$3,daily_items,XLOOKUP($C3023,daily_dates,big_daily_table))),NA(),XLOOKUP(E$3,daily_items,XLOOKUP($C3023,daily_dates,big_daily_table)))</f>
        <v>#N/A</v>
      </c>
    </row>
    <row r="3024" ht="14.25" customHeight="1">
      <c r="B3024" s="7">
        <v>43929.0</v>
      </c>
      <c r="C3024" s="7">
        <f t="shared" si="1"/>
        <v>43926</v>
      </c>
      <c r="D3024" s="1" t="str">
        <f t="array" ref="D3024">IF(ISBLANK(XLOOKUP(D$3,daily_items,XLOOKUP($C3024,daily_dates,big_daily_table))),NA(),XLOOKUP(D$3,daily_items,XLOOKUP($C3024,daily_dates,big_daily_table)))</f>
        <v>#N/A</v>
      </c>
      <c r="E3024" s="1" t="str">
        <f t="array" ref="E3024">IF(ISBLANK(XLOOKUP(E$3,daily_items,XLOOKUP($C3024,daily_dates,big_daily_table))),NA(),XLOOKUP(E$3,daily_items,XLOOKUP($C3024,daily_dates,big_daily_table)))</f>
        <v>#N/A</v>
      </c>
    </row>
    <row r="3025" ht="14.25" customHeight="1">
      <c r="B3025" s="7">
        <v>43930.0</v>
      </c>
      <c r="C3025" s="7">
        <f t="shared" si="1"/>
        <v>43926</v>
      </c>
      <c r="D3025" s="1" t="str">
        <f t="array" ref="D3025">IF(ISBLANK(XLOOKUP(D$3,daily_items,XLOOKUP($C3025,daily_dates,big_daily_table))),NA(),XLOOKUP(D$3,daily_items,XLOOKUP($C3025,daily_dates,big_daily_table)))</f>
        <v>#N/A</v>
      </c>
      <c r="E3025" s="1" t="str">
        <f t="array" ref="E3025">IF(ISBLANK(XLOOKUP(E$3,daily_items,XLOOKUP($C3025,daily_dates,big_daily_table))),NA(),XLOOKUP(E$3,daily_items,XLOOKUP($C3025,daily_dates,big_daily_table)))</f>
        <v>#N/A</v>
      </c>
    </row>
    <row r="3026" ht="14.25" customHeight="1">
      <c r="B3026" s="7">
        <v>43931.0</v>
      </c>
      <c r="C3026" s="7">
        <f t="shared" si="1"/>
        <v>43926</v>
      </c>
      <c r="D3026" s="1" t="str">
        <f t="array" ref="D3026">IF(ISBLANK(XLOOKUP(D$3,daily_items,XLOOKUP($C3026,daily_dates,big_daily_table))),NA(),XLOOKUP(D$3,daily_items,XLOOKUP($C3026,daily_dates,big_daily_table)))</f>
        <v>#N/A</v>
      </c>
      <c r="E3026" s="1" t="str">
        <f t="array" ref="E3026">IF(ISBLANK(XLOOKUP(E$3,daily_items,XLOOKUP($C3026,daily_dates,big_daily_table))),NA(),XLOOKUP(E$3,daily_items,XLOOKUP($C3026,daily_dates,big_daily_table)))</f>
        <v>#N/A</v>
      </c>
    </row>
    <row r="3027" ht="14.25" customHeight="1">
      <c r="B3027" s="7">
        <v>43932.0</v>
      </c>
      <c r="C3027" s="7">
        <f t="shared" si="1"/>
        <v>43926</v>
      </c>
      <c r="D3027" s="1" t="str">
        <f t="array" ref="D3027">IF(ISBLANK(XLOOKUP(D$3,daily_items,XLOOKUP($C3027,daily_dates,big_daily_table))),NA(),XLOOKUP(D$3,daily_items,XLOOKUP($C3027,daily_dates,big_daily_table)))</f>
        <v>#N/A</v>
      </c>
      <c r="E3027" s="1" t="str">
        <f t="array" ref="E3027">IF(ISBLANK(XLOOKUP(E$3,daily_items,XLOOKUP($C3027,daily_dates,big_daily_table))),NA(),XLOOKUP(E$3,daily_items,XLOOKUP($C3027,daily_dates,big_daily_table)))</f>
        <v>#N/A</v>
      </c>
    </row>
    <row r="3028" ht="14.25" customHeight="1">
      <c r="B3028" s="7">
        <v>43933.0</v>
      </c>
      <c r="C3028" s="7">
        <f t="shared" si="1"/>
        <v>43933</v>
      </c>
      <c r="D3028" s="1" t="str">
        <f t="array" ref="D3028">IF(ISBLANK(XLOOKUP(D$3,daily_items,XLOOKUP($C3028,daily_dates,big_daily_table))),NA(),XLOOKUP(D$3,daily_items,XLOOKUP($C3028,daily_dates,big_daily_table)))</f>
        <v>#N/A</v>
      </c>
      <c r="E3028" s="1" t="str">
        <f t="array" ref="E3028">IF(ISBLANK(XLOOKUP(E$3,daily_items,XLOOKUP($C3028,daily_dates,big_daily_table))),NA(),XLOOKUP(E$3,daily_items,XLOOKUP($C3028,daily_dates,big_daily_table)))</f>
        <v>#N/A</v>
      </c>
    </row>
    <row r="3029" ht="14.25" customHeight="1">
      <c r="B3029" s="7">
        <v>43934.0</v>
      </c>
      <c r="C3029" s="7">
        <f t="shared" si="1"/>
        <v>43933</v>
      </c>
      <c r="D3029" s="1" t="str">
        <f t="array" ref="D3029">IF(ISBLANK(XLOOKUP(D$3,daily_items,XLOOKUP($C3029,daily_dates,big_daily_table))),NA(),XLOOKUP(D$3,daily_items,XLOOKUP($C3029,daily_dates,big_daily_table)))</f>
        <v>#N/A</v>
      </c>
      <c r="E3029" s="1" t="str">
        <f t="array" ref="E3029">IF(ISBLANK(XLOOKUP(E$3,daily_items,XLOOKUP($C3029,daily_dates,big_daily_table))),NA(),XLOOKUP(E$3,daily_items,XLOOKUP($C3029,daily_dates,big_daily_table)))</f>
        <v>#N/A</v>
      </c>
    </row>
    <row r="3030" ht="14.25" customHeight="1">
      <c r="B3030" s="7">
        <v>43935.0</v>
      </c>
      <c r="C3030" s="7">
        <f t="shared" si="1"/>
        <v>43933</v>
      </c>
      <c r="D3030" s="1" t="str">
        <f t="array" ref="D3030">IF(ISBLANK(XLOOKUP(D$3,daily_items,XLOOKUP($C3030,daily_dates,big_daily_table))),NA(),XLOOKUP(D$3,daily_items,XLOOKUP($C3030,daily_dates,big_daily_table)))</f>
        <v>#N/A</v>
      </c>
      <c r="E3030" s="1" t="str">
        <f t="array" ref="E3030">IF(ISBLANK(XLOOKUP(E$3,daily_items,XLOOKUP($C3030,daily_dates,big_daily_table))),NA(),XLOOKUP(E$3,daily_items,XLOOKUP($C3030,daily_dates,big_daily_table)))</f>
        <v>#N/A</v>
      </c>
    </row>
    <row r="3031" ht="14.25" customHeight="1">
      <c r="B3031" s="7">
        <v>43936.0</v>
      </c>
      <c r="C3031" s="7">
        <f t="shared" si="1"/>
        <v>43933</v>
      </c>
      <c r="D3031" s="1" t="str">
        <f t="array" ref="D3031">IF(ISBLANK(XLOOKUP(D$3,daily_items,XLOOKUP($C3031,daily_dates,big_daily_table))),NA(),XLOOKUP(D$3,daily_items,XLOOKUP($C3031,daily_dates,big_daily_table)))</f>
        <v>#N/A</v>
      </c>
      <c r="E3031" s="1" t="str">
        <f t="array" ref="E3031">IF(ISBLANK(XLOOKUP(E$3,daily_items,XLOOKUP($C3031,daily_dates,big_daily_table))),NA(),XLOOKUP(E$3,daily_items,XLOOKUP($C3031,daily_dates,big_daily_table)))</f>
        <v>#N/A</v>
      </c>
    </row>
    <row r="3032" ht="14.25" customHeight="1">
      <c r="B3032" s="7">
        <v>43937.0</v>
      </c>
      <c r="C3032" s="7">
        <f t="shared" si="1"/>
        <v>43933</v>
      </c>
      <c r="D3032" s="1" t="str">
        <f t="array" ref="D3032">IF(ISBLANK(XLOOKUP(D$3,daily_items,XLOOKUP($C3032,daily_dates,big_daily_table))),NA(),XLOOKUP(D$3,daily_items,XLOOKUP($C3032,daily_dates,big_daily_table)))</f>
        <v>#N/A</v>
      </c>
      <c r="E3032" s="1" t="str">
        <f t="array" ref="E3032">IF(ISBLANK(XLOOKUP(E$3,daily_items,XLOOKUP($C3032,daily_dates,big_daily_table))),NA(),XLOOKUP(E$3,daily_items,XLOOKUP($C3032,daily_dates,big_daily_table)))</f>
        <v>#N/A</v>
      </c>
    </row>
    <row r="3033" ht="14.25" customHeight="1">
      <c r="B3033" s="7">
        <v>43938.0</v>
      </c>
      <c r="C3033" s="7">
        <f t="shared" si="1"/>
        <v>43933</v>
      </c>
      <c r="D3033" s="1" t="str">
        <f t="array" ref="D3033">IF(ISBLANK(XLOOKUP(D$3,daily_items,XLOOKUP($C3033,daily_dates,big_daily_table))),NA(),XLOOKUP(D$3,daily_items,XLOOKUP($C3033,daily_dates,big_daily_table)))</f>
        <v>#N/A</v>
      </c>
      <c r="E3033" s="1" t="str">
        <f t="array" ref="E3033">IF(ISBLANK(XLOOKUP(E$3,daily_items,XLOOKUP($C3033,daily_dates,big_daily_table))),NA(),XLOOKUP(E$3,daily_items,XLOOKUP($C3033,daily_dates,big_daily_table)))</f>
        <v>#N/A</v>
      </c>
    </row>
    <row r="3034" ht="14.25" customHeight="1">
      <c r="B3034" s="7">
        <v>43939.0</v>
      </c>
      <c r="C3034" s="7">
        <f t="shared" si="1"/>
        <v>43933</v>
      </c>
      <c r="D3034" s="1" t="str">
        <f t="array" ref="D3034">IF(ISBLANK(XLOOKUP(D$3,daily_items,XLOOKUP($C3034,daily_dates,big_daily_table))),NA(),XLOOKUP(D$3,daily_items,XLOOKUP($C3034,daily_dates,big_daily_table)))</f>
        <v>#N/A</v>
      </c>
      <c r="E3034" s="1" t="str">
        <f t="array" ref="E3034">IF(ISBLANK(XLOOKUP(E$3,daily_items,XLOOKUP($C3034,daily_dates,big_daily_table))),NA(),XLOOKUP(E$3,daily_items,XLOOKUP($C3034,daily_dates,big_daily_table)))</f>
        <v>#N/A</v>
      </c>
    </row>
    <row r="3035" ht="14.25" customHeight="1">
      <c r="B3035" s="7">
        <v>43940.0</v>
      </c>
      <c r="C3035" s="7">
        <f t="shared" si="1"/>
        <v>43940</v>
      </c>
      <c r="D3035" s="1" t="str">
        <f t="array" ref="D3035">IF(ISBLANK(XLOOKUP(D$3,daily_items,XLOOKUP($C3035,daily_dates,big_daily_table))),NA(),XLOOKUP(D$3,daily_items,XLOOKUP($C3035,daily_dates,big_daily_table)))</f>
        <v>#N/A</v>
      </c>
      <c r="E3035" s="1" t="str">
        <f t="array" ref="E3035">IF(ISBLANK(XLOOKUP(E$3,daily_items,XLOOKUP($C3035,daily_dates,big_daily_table))),NA(),XLOOKUP(E$3,daily_items,XLOOKUP($C3035,daily_dates,big_daily_table)))</f>
        <v>#N/A</v>
      </c>
    </row>
    <row r="3036" ht="14.25" customHeight="1">
      <c r="B3036" s="7">
        <v>43941.0</v>
      </c>
      <c r="C3036" s="7">
        <f t="shared" si="1"/>
        <v>43940</v>
      </c>
      <c r="D3036" s="1" t="str">
        <f t="array" ref="D3036">IF(ISBLANK(XLOOKUP(D$3,daily_items,XLOOKUP($C3036,daily_dates,big_daily_table))),NA(),XLOOKUP(D$3,daily_items,XLOOKUP($C3036,daily_dates,big_daily_table)))</f>
        <v>#N/A</v>
      </c>
      <c r="E3036" s="1" t="str">
        <f t="array" ref="E3036">IF(ISBLANK(XLOOKUP(E$3,daily_items,XLOOKUP($C3036,daily_dates,big_daily_table))),NA(),XLOOKUP(E$3,daily_items,XLOOKUP($C3036,daily_dates,big_daily_table)))</f>
        <v>#N/A</v>
      </c>
    </row>
    <row r="3037" ht="14.25" customHeight="1">
      <c r="B3037" s="7">
        <v>43942.0</v>
      </c>
      <c r="C3037" s="7">
        <f t="shared" si="1"/>
        <v>43940</v>
      </c>
      <c r="D3037" s="1" t="str">
        <f t="array" ref="D3037">IF(ISBLANK(XLOOKUP(D$3,daily_items,XLOOKUP($C3037,daily_dates,big_daily_table))),NA(),XLOOKUP(D$3,daily_items,XLOOKUP($C3037,daily_dates,big_daily_table)))</f>
        <v>#N/A</v>
      </c>
      <c r="E3037" s="1" t="str">
        <f t="array" ref="E3037">IF(ISBLANK(XLOOKUP(E$3,daily_items,XLOOKUP($C3037,daily_dates,big_daily_table))),NA(),XLOOKUP(E$3,daily_items,XLOOKUP($C3037,daily_dates,big_daily_table)))</f>
        <v>#N/A</v>
      </c>
    </row>
    <row r="3038" ht="14.25" customHeight="1">
      <c r="B3038" s="7">
        <v>43943.0</v>
      </c>
      <c r="C3038" s="7">
        <f t="shared" si="1"/>
        <v>43940</v>
      </c>
      <c r="D3038" s="1" t="str">
        <f t="array" ref="D3038">IF(ISBLANK(XLOOKUP(D$3,daily_items,XLOOKUP($C3038,daily_dates,big_daily_table))),NA(),XLOOKUP(D$3,daily_items,XLOOKUP($C3038,daily_dates,big_daily_table)))</f>
        <v>#N/A</v>
      </c>
      <c r="E3038" s="1" t="str">
        <f t="array" ref="E3038">IF(ISBLANK(XLOOKUP(E$3,daily_items,XLOOKUP($C3038,daily_dates,big_daily_table))),NA(),XLOOKUP(E$3,daily_items,XLOOKUP($C3038,daily_dates,big_daily_table)))</f>
        <v>#N/A</v>
      </c>
    </row>
    <row r="3039" ht="14.25" customHeight="1">
      <c r="B3039" s="7">
        <v>43944.0</v>
      </c>
      <c r="C3039" s="7">
        <f t="shared" si="1"/>
        <v>43940</v>
      </c>
      <c r="D3039" s="1" t="str">
        <f t="array" ref="D3039">IF(ISBLANK(XLOOKUP(D$3,daily_items,XLOOKUP($C3039,daily_dates,big_daily_table))),NA(),XLOOKUP(D$3,daily_items,XLOOKUP($C3039,daily_dates,big_daily_table)))</f>
        <v>#N/A</v>
      </c>
      <c r="E3039" s="1" t="str">
        <f t="array" ref="E3039">IF(ISBLANK(XLOOKUP(E$3,daily_items,XLOOKUP($C3039,daily_dates,big_daily_table))),NA(),XLOOKUP(E$3,daily_items,XLOOKUP($C3039,daily_dates,big_daily_table)))</f>
        <v>#N/A</v>
      </c>
    </row>
    <row r="3040" ht="14.25" customHeight="1">
      <c r="B3040" s="7">
        <v>43945.0</v>
      </c>
      <c r="C3040" s="7">
        <f t="shared" si="1"/>
        <v>43940</v>
      </c>
      <c r="D3040" s="1" t="str">
        <f t="array" ref="D3040">IF(ISBLANK(XLOOKUP(D$3,daily_items,XLOOKUP($C3040,daily_dates,big_daily_table))),NA(),XLOOKUP(D$3,daily_items,XLOOKUP($C3040,daily_dates,big_daily_table)))</f>
        <v>#N/A</v>
      </c>
      <c r="E3040" s="1" t="str">
        <f t="array" ref="E3040">IF(ISBLANK(XLOOKUP(E$3,daily_items,XLOOKUP($C3040,daily_dates,big_daily_table))),NA(),XLOOKUP(E$3,daily_items,XLOOKUP($C3040,daily_dates,big_daily_table)))</f>
        <v>#N/A</v>
      </c>
    </row>
    <row r="3041" ht="14.25" customHeight="1">
      <c r="B3041" s="7">
        <v>43946.0</v>
      </c>
      <c r="C3041" s="7">
        <f t="shared" si="1"/>
        <v>43940</v>
      </c>
      <c r="D3041" s="1" t="str">
        <f t="array" ref="D3041">IF(ISBLANK(XLOOKUP(D$3,daily_items,XLOOKUP($C3041,daily_dates,big_daily_table))),NA(),XLOOKUP(D$3,daily_items,XLOOKUP($C3041,daily_dates,big_daily_table)))</f>
        <v>#N/A</v>
      </c>
      <c r="E3041" s="1" t="str">
        <f t="array" ref="E3041">IF(ISBLANK(XLOOKUP(E$3,daily_items,XLOOKUP($C3041,daily_dates,big_daily_table))),NA(),XLOOKUP(E$3,daily_items,XLOOKUP($C3041,daily_dates,big_daily_table)))</f>
        <v>#N/A</v>
      </c>
    </row>
    <row r="3042" ht="14.25" customHeight="1">
      <c r="B3042" s="7">
        <v>43947.0</v>
      </c>
      <c r="C3042" s="7">
        <f t="shared" si="1"/>
        <v>43947</v>
      </c>
      <c r="D3042" s="1" t="str">
        <f t="array" ref="D3042">IF(ISBLANK(XLOOKUP(D$3,daily_items,XLOOKUP($C3042,daily_dates,big_daily_table))),NA(),XLOOKUP(D$3,daily_items,XLOOKUP($C3042,daily_dates,big_daily_table)))</f>
        <v>#N/A</v>
      </c>
      <c r="E3042" s="1" t="str">
        <f t="array" ref="E3042">IF(ISBLANK(XLOOKUP(E$3,daily_items,XLOOKUP($C3042,daily_dates,big_daily_table))),NA(),XLOOKUP(E$3,daily_items,XLOOKUP($C3042,daily_dates,big_daily_table)))</f>
        <v>#N/A</v>
      </c>
    </row>
    <row r="3043" ht="14.25" customHeight="1">
      <c r="B3043" s="7">
        <v>43948.0</v>
      </c>
      <c r="C3043" s="7">
        <f t="shared" si="1"/>
        <v>43947</v>
      </c>
      <c r="D3043" s="1" t="str">
        <f t="array" ref="D3043">IF(ISBLANK(XLOOKUP(D$3,daily_items,XLOOKUP($C3043,daily_dates,big_daily_table))),NA(),XLOOKUP(D$3,daily_items,XLOOKUP($C3043,daily_dates,big_daily_table)))</f>
        <v>#N/A</v>
      </c>
      <c r="E3043" s="1" t="str">
        <f t="array" ref="E3043">IF(ISBLANK(XLOOKUP(E$3,daily_items,XLOOKUP($C3043,daily_dates,big_daily_table))),NA(),XLOOKUP(E$3,daily_items,XLOOKUP($C3043,daily_dates,big_daily_table)))</f>
        <v>#N/A</v>
      </c>
    </row>
    <row r="3044" ht="14.25" customHeight="1">
      <c r="B3044" s="7">
        <v>43949.0</v>
      </c>
      <c r="C3044" s="7">
        <f t="shared" si="1"/>
        <v>43947</v>
      </c>
      <c r="D3044" s="1" t="str">
        <f t="array" ref="D3044">IF(ISBLANK(XLOOKUP(D$3,daily_items,XLOOKUP($C3044,daily_dates,big_daily_table))),NA(),XLOOKUP(D$3,daily_items,XLOOKUP($C3044,daily_dates,big_daily_table)))</f>
        <v>#N/A</v>
      </c>
      <c r="E3044" s="1" t="str">
        <f t="array" ref="E3044">IF(ISBLANK(XLOOKUP(E$3,daily_items,XLOOKUP($C3044,daily_dates,big_daily_table))),NA(),XLOOKUP(E$3,daily_items,XLOOKUP($C3044,daily_dates,big_daily_table)))</f>
        <v>#N/A</v>
      </c>
    </row>
    <row r="3045" ht="14.25" customHeight="1">
      <c r="B3045" s="7">
        <v>43950.0</v>
      </c>
      <c r="C3045" s="7">
        <f t="shared" si="1"/>
        <v>43947</v>
      </c>
      <c r="D3045" s="1" t="str">
        <f t="array" ref="D3045">IF(ISBLANK(XLOOKUP(D$3,daily_items,XLOOKUP($C3045,daily_dates,big_daily_table))),NA(),XLOOKUP(D$3,daily_items,XLOOKUP($C3045,daily_dates,big_daily_table)))</f>
        <v>#N/A</v>
      </c>
      <c r="E3045" s="1" t="str">
        <f t="array" ref="E3045">IF(ISBLANK(XLOOKUP(E$3,daily_items,XLOOKUP($C3045,daily_dates,big_daily_table))),NA(),XLOOKUP(E$3,daily_items,XLOOKUP($C3045,daily_dates,big_daily_table)))</f>
        <v>#N/A</v>
      </c>
    </row>
    <row r="3046" ht="14.25" customHeight="1">
      <c r="B3046" s="7">
        <v>43951.0</v>
      </c>
      <c r="C3046" s="7">
        <f t="shared" si="1"/>
        <v>43947</v>
      </c>
      <c r="D3046" s="1" t="str">
        <f t="array" ref="D3046">IF(ISBLANK(XLOOKUP(D$3,daily_items,XLOOKUP($C3046,daily_dates,big_daily_table))),NA(),XLOOKUP(D$3,daily_items,XLOOKUP($C3046,daily_dates,big_daily_table)))</f>
        <v>#N/A</v>
      </c>
      <c r="E3046" s="1" t="str">
        <f t="array" ref="E3046">IF(ISBLANK(XLOOKUP(E$3,daily_items,XLOOKUP($C3046,daily_dates,big_daily_table))),NA(),XLOOKUP(E$3,daily_items,XLOOKUP($C3046,daily_dates,big_daily_table)))</f>
        <v>#N/A</v>
      </c>
    </row>
    <row r="3047" ht="14.25" customHeight="1">
      <c r="B3047" s="7">
        <v>43952.0</v>
      </c>
      <c r="C3047" s="7">
        <f t="shared" si="1"/>
        <v>43947</v>
      </c>
      <c r="D3047" s="1" t="str">
        <f t="array" ref="D3047">IF(ISBLANK(XLOOKUP(D$3,daily_items,XLOOKUP($C3047,daily_dates,big_daily_table))),NA(),XLOOKUP(D$3,daily_items,XLOOKUP($C3047,daily_dates,big_daily_table)))</f>
        <v>#N/A</v>
      </c>
      <c r="E3047" s="1" t="str">
        <f t="array" ref="E3047">IF(ISBLANK(XLOOKUP(E$3,daily_items,XLOOKUP($C3047,daily_dates,big_daily_table))),NA(),XLOOKUP(E$3,daily_items,XLOOKUP($C3047,daily_dates,big_daily_table)))</f>
        <v>#N/A</v>
      </c>
    </row>
    <row r="3048" ht="14.25" customHeight="1">
      <c r="B3048" s="7">
        <v>43953.0</v>
      </c>
      <c r="C3048" s="7">
        <f t="shared" si="1"/>
        <v>43947</v>
      </c>
      <c r="D3048" s="1" t="str">
        <f t="array" ref="D3048">IF(ISBLANK(XLOOKUP(D$3,daily_items,XLOOKUP($C3048,daily_dates,big_daily_table))),NA(),XLOOKUP(D$3,daily_items,XLOOKUP($C3048,daily_dates,big_daily_table)))</f>
        <v>#N/A</v>
      </c>
      <c r="E3048" s="1" t="str">
        <f t="array" ref="E3048">IF(ISBLANK(XLOOKUP(E$3,daily_items,XLOOKUP($C3048,daily_dates,big_daily_table))),NA(),XLOOKUP(E$3,daily_items,XLOOKUP($C3048,daily_dates,big_daily_table)))</f>
        <v>#N/A</v>
      </c>
    </row>
    <row r="3049" ht="14.25" customHeight="1">
      <c r="B3049" s="7">
        <v>43954.0</v>
      </c>
      <c r="C3049" s="7">
        <f t="shared" si="1"/>
        <v>43954</v>
      </c>
      <c r="D3049" s="1" t="str">
        <f t="array" ref="D3049">IF(ISBLANK(XLOOKUP(D$3,daily_items,XLOOKUP($C3049,daily_dates,big_daily_table))),NA(),XLOOKUP(D$3,daily_items,XLOOKUP($C3049,daily_dates,big_daily_table)))</f>
        <v>#N/A</v>
      </c>
      <c r="E3049" s="1" t="str">
        <f t="array" ref="E3049">IF(ISBLANK(XLOOKUP(E$3,daily_items,XLOOKUP($C3049,daily_dates,big_daily_table))),NA(),XLOOKUP(E$3,daily_items,XLOOKUP($C3049,daily_dates,big_daily_table)))</f>
        <v>#N/A</v>
      </c>
    </row>
    <row r="3050" ht="14.25" customHeight="1">
      <c r="B3050" s="7">
        <v>43955.0</v>
      </c>
      <c r="C3050" s="7">
        <f t="shared" si="1"/>
        <v>43954</v>
      </c>
      <c r="D3050" s="1" t="str">
        <f t="array" ref="D3050">IF(ISBLANK(XLOOKUP(D$3,daily_items,XLOOKUP($C3050,daily_dates,big_daily_table))),NA(),XLOOKUP(D$3,daily_items,XLOOKUP($C3050,daily_dates,big_daily_table)))</f>
        <v>#N/A</v>
      </c>
      <c r="E3050" s="1" t="str">
        <f t="array" ref="E3050">IF(ISBLANK(XLOOKUP(E$3,daily_items,XLOOKUP($C3050,daily_dates,big_daily_table))),NA(),XLOOKUP(E$3,daily_items,XLOOKUP($C3050,daily_dates,big_daily_table)))</f>
        <v>#N/A</v>
      </c>
    </row>
    <row r="3051" ht="14.25" customHeight="1">
      <c r="B3051" s="7">
        <v>43956.0</v>
      </c>
      <c r="C3051" s="7">
        <f t="shared" si="1"/>
        <v>43954</v>
      </c>
      <c r="D3051" s="1" t="str">
        <f t="array" ref="D3051">IF(ISBLANK(XLOOKUP(D$3,daily_items,XLOOKUP($C3051,daily_dates,big_daily_table))),NA(),XLOOKUP(D$3,daily_items,XLOOKUP($C3051,daily_dates,big_daily_table)))</f>
        <v>#N/A</v>
      </c>
      <c r="E3051" s="1" t="str">
        <f t="array" ref="E3051">IF(ISBLANK(XLOOKUP(E$3,daily_items,XLOOKUP($C3051,daily_dates,big_daily_table))),NA(),XLOOKUP(E$3,daily_items,XLOOKUP($C3051,daily_dates,big_daily_table)))</f>
        <v>#N/A</v>
      </c>
    </row>
    <row r="3052" ht="14.25" customHeight="1">
      <c r="B3052" s="7">
        <v>43957.0</v>
      </c>
      <c r="C3052" s="7">
        <f t="shared" si="1"/>
        <v>43954</v>
      </c>
      <c r="D3052" s="1" t="str">
        <f t="array" ref="D3052">IF(ISBLANK(XLOOKUP(D$3,daily_items,XLOOKUP($C3052,daily_dates,big_daily_table))),NA(),XLOOKUP(D$3,daily_items,XLOOKUP($C3052,daily_dates,big_daily_table)))</f>
        <v>#N/A</v>
      </c>
      <c r="E3052" s="1" t="str">
        <f t="array" ref="E3052">IF(ISBLANK(XLOOKUP(E$3,daily_items,XLOOKUP($C3052,daily_dates,big_daily_table))),NA(),XLOOKUP(E$3,daily_items,XLOOKUP($C3052,daily_dates,big_daily_table)))</f>
        <v>#N/A</v>
      </c>
    </row>
    <row r="3053" ht="14.25" customHeight="1">
      <c r="B3053" s="7">
        <v>43958.0</v>
      </c>
      <c r="C3053" s="7">
        <f t="shared" si="1"/>
        <v>43954</v>
      </c>
      <c r="D3053" s="1" t="str">
        <f t="array" ref="D3053">IF(ISBLANK(XLOOKUP(D$3,daily_items,XLOOKUP($C3053,daily_dates,big_daily_table))),NA(),XLOOKUP(D$3,daily_items,XLOOKUP($C3053,daily_dates,big_daily_table)))</f>
        <v>#N/A</v>
      </c>
      <c r="E3053" s="1" t="str">
        <f t="array" ref="E3053">IF(ISBLANK(XLOOKUP(E$3,daily_items,XLOOKUP($C3053,daily_dates,big_daily_table))),NA(),XLOOKUP(E$3,daily_items,XLOOKUP($C3053,daily_dates,big_daily_table)))</f>
        <v>#N/A</v>
      </c>
    </row>
    <row r="3054" ht="14.25" customHeight="1">
      <c r="B3054" s="7">
        <v>43959.0</v>
      </c>
      <c r="C3054" s="7">
        <f t="shared" si="1"/>
        <v>43954</v>
      </c>
      <c r="D3054" s="1" t="str">
        <f t="array" ref="D3054">IF(ISBLANK(XLOOKUP(D$3,daily_items,XLOOKUP($C3054,daily_dates,big_daily_table))),NA(),XLOOKUP(D$3,daily_items,XLOOKUP($C3054,daily_dates,big_daily_table)))</f>
        <v>#N/A</v>
      </c>
      <c r="E3054" s="1" t="str">
        <f t="array" ref="E3054">IF(ISBLANK(XLOOKUP(E$3,daily_items,XLOOKUP($C3054,daily_dates,big_daily_table))),NA(),XLOOKUP(E$3,daily_items,XLOOKUP($C3054,daily_dates,big_daily_table)))</f>
        <v>#N/A</v>
      </c>
    </row>
    <row r="3055" ht="14.25" customHeight="1">
      <c r="B3055" s="7">
        <v>43960.0</v>
      </c>
      <c r="C3055" s="7">
        <f t="shared" si="1"/>
        <v>43954</v>
      </c>
      <c r="D3055" s="1" t="str">
        <f t="array" ref="D3055">IF(ISBLANK(XLOOKUP(D$3,daily_items,XLOOKUP($C3055,daily_dates,big_daily_table))),NA(),XLOOKUP(D$3,daily_items,XLOOKUP($C3055,daily_dates,big_daily_table)))</f>
        <v>#N/A</v>
      </c>
      <c r="E3055" s="1" t="str">
        <f t="array" ref="E3055">IF(ISBLANK(XLOOKUP(E$3,daily_items,XLOOKUP($C3055,daily_dates,big_daily_table))),NA(),XLOOKUP(E$3,daily_items,XLOOKUP($C3055,daily_dates,big_daily_table)))</f>
        <v>#N/A</v>
      </c>
    </row>
    <row r="3056" ht="14.25" customHeight="1">
      <c r="B3056" s="7">
        <v>43961.0</v>
      </c>
      <c r="C3056" s="7">
        <f t="shared" si="1"/>
        <v>43961</v>
      </c>
      <c r="D3056" s="1" t="str">
        <f t="array" ref="D3056">IF(ISBLANK(XLOOKUP(D$3,daily_items,XLOOKUP($C3056,daily_dates,big_daily_table))),NA(),XLOOKUP(D$3,daily_items,XLOOKUP($C3056,daily_dates,big_daily_table)))</f>
        <v>#N/A</v>
      </c>
      <c r="E3056" s="1" t="str">
        <f t="array" ref="E3056">IF(ISBLANK(XLOOKUP(E$3,daily_items,XLOOKUP($C3056,daily_dates,big_daily_table))),NA(),XLOOKUP(E$3,daily_items,XLOOKUP($C3056,daily_dates,big_daily_table)))</f>
        <v>#N/A</v>
      </c>
    </row>
    <row r="3057" ht="14.25" customHeight="1">
      <c r="B3057" s="7">
        <v>43962.0</v>
      </c>
      <c r="C3057" s="7">
        <f t="shared" si="1"/>
        <v>43961</v>
      </c>
      <c r="D3057" s="1" t="str">
        <f t="array" ref="D3057">IF(ISBLANK(XLOOKUP(D$3,daily_items,XLOOKUP($C3057,daily_dates,big_daily_table))),NA(),XLOOKUP(D$3,daily_items,XLOOKUP($C3057,daily_dates,big_daily_table)))</f>
        <v>#N/A</v>
      </c>
      <c r="E3057" s="1" t="str">
        <f t="array" ref="E3057">IF(ISBLANK(XLOOKUP(E$3,daily_items,XLOOKUP($C3057,daily_dates,big_daily_table))),NA(),XLOOKUP(E$3,daily_items,XLOOKUP($C3057,daily_dates,big_daily_table)))</f>
        <v>#N/A</v>
      </c>
    </row>
    <row r="3058" ht="14.25" customHeight="1">
      <c r="B3058" s="7">
        <v>43963.0</v>
      </c>
      <c r="C3058" s="7">
        <f t="shared" si="1"/>
        <v>43961</v>
      </c>
      <c r="D3058" s="1" t="str">
        <f t="array" ref="D3058">IF(ISBLANK(XLOOKUP(D$3,daily_items,XLOOKUP($C3058,daily_dates,big_daily_table))),NA(),XLOOKUP(D$3,daily_items,XLOOKUP($C3058,daily_dates,big_daily_table)))</f>
        <v>#N/A</v>
      </c>
      <c r="E3058" s="1" t="str">
        <f t="array" ref="E3058">IF(ISBLANK(XLOOKUP(E$3,daily_items,XLOOKUP($C3058,daily_dates,big_daily_table))),NA(),XLOOKUP(E$3,daily_items,XLOOKUP($C3058,daily_dates,big_daily_table)))</f>
        <v>#N/A</v>
      </c>
    </row>
    <row r="3059" ht="14.25" customHeight="1">
      <c r="B3059" s="7">
        <v>43964.0</v>
      </c>
      <c r="C3059" s="7">
        <f t="shared" si="1"/>
        <v>43961</v>
      </c>
      <c r="D3059" s="1" t="str">
        <f t="array" ref="D3059">IF(ISBLANK(XLOOKUP(D$3,daily_items,XLOOKUP($C3059,daily_dates,big_daily_table))),NA(),XLOOKUP(D$3,daily_items,XLOOKUP($C3059,daily_dates,big_daily_table)))</f>
        <v>#N/A</v>
      </c>
      <c r="E3059" s="1" t="str">
        <f t="array" ref="E3059">IF(ISBLANK(XLOOKUP(E$3,daily_items,XLOOKUP($C3059,daily_dates,big_daily_table))),NA(),XLOOKUP(E$3,daily_items,XLOOKUP($C3059,daily_dates,big_daily_table)))</f>
        <v>#N/A</v>
      </c>
    </row>
    <row r="3060" ht="14.25" customHeight="1">
      <c r="B3060" s="7">
        <v>43965.0</v>
      </c>
      <c r="C3060" s="7">
        <f t="shared" si="1"/>
        <v>43961</v>
      </c>
      <c r="D3060" s="1" t="str">
        <f t="array" ref="D3060">IF(ISBLANK(XLOOKUP(D$3,daily_items,XLOOKUP($C3060,daily_dates,big_daily_table))),NA(),XLOOKUP(D$3,daily_items,XLOOKUP($C3060,daily_dates,big_daily_table)))</f>
        <v>#N/A</v>
      </c>
      <c r="E3060" s="1" t="str">
        <f t="array" ref="E3060">IF(ISBLANK(XLOOKUP(E$3,daily_items,XLOOKUP($C3060,daily_dates,big_daily_table))),NA(),XLOOKUP(E$3,daily_items,XLOOKUP($C3060,daily_dates,big_daily_table)))</f>
        <v>#N/A</v>
      </c>
    </row>
    <row r="3061" ht="14.25" customHeight="1">
      <c r="B3061" s="7">
        <v>43966.0</v>
      </c>
      <c r="C3061" s="7">
        <f t="shared" si="1"/>
        <v>43961</v>
      </c>
      <c r="D3061" s="1" t="str">
        <f t="array" ref="D3061">IF(ISBLANK(XLOOKUP(D$3,daily_items,XLOOKUP($C3061,daily_dates,big_daily_table))),NA(),XLOOKUP(D$3,daily_items,XLOOKUP($C3061,daily_dates,big_daily_table)))</f>
        <v>#N/A</v>
      </c>
      <c r="E3061" s="1" t="str">
        <f t="array" ref="E3061">IF(ISBLANK(XLOOKUP(E$3,daily_items,XLOOKUP($C3061,daily_dates,big_daily_table))),NA(),XLOOKUP(E$3,daily_items,XLOOKUP($C3061,daily_dates,big_daily_table)))</f>
        <v>#N/A</v>
      </c>
    </row>
    <row r="3062" ht="14.25" customHeight="1">
      <c r="B3062" s="7">
        <v>43967.0</v>
      </c>
      <c r="C3062" s="7">
        <f t="shared" si="1"/>
        <v>43961</v>
      </c>
      <c r="D3062" s="1" t="str">
        <f t="array" ref="D3062">IF(ISBLANK(XLOOKUP(D$3,daily_items,XLOOKUP($C3062,daily_dates,big_daily_table))),NA(),XLOOKUP(D$3,daily_items,XLOOKUP($C3062,daily_dates,big_daily_table)))</f>
        <v>#N/A</v>
      </c>
      <c r="E3062" s="1" t="str">
        <f t="array" ref="E3062">IF(ISBLANK(XLOOKUP(E$3,daily_items,XLOOKUP($C3062,daily_dates,big_daily_table))),NA(),XLOOKUP(E$3,daily_items,XLOOKUP($C3062,daily_dates,big_daily_table)))</f>
        <v>#N/A</v>
      </c>
    </row>
    <row r="3063" ht="14.25" customHeight="1">
      <c r="B3063" s="7">
        <v>43968.0</v>
      </c>
      <c r="C3063" s="7">
        <f t="shared" si="1"/>
        <v>43968</v>
      </c>
      <c r="D3063" s="1" t="str">
        <f t="array" ref="D3063">IF(ISBLANK(XLOOKUP(D$3,daily_items,XLOOKUP($C3063,daily_dates,big_daily_table))),NA(),XLOOKUP(D$3,daily_items,XLOOKUP($C3063,daily_dates,big_daily_table)))</f>
        <v>#N/A</v>
      </c>
      <c r="E3063" s="1" t="str">
        <f t="array" ref="E3063">IF(ISBLANK(XLOOKUP(E$3,daily_items,XLOOKUP($C3063,daily_dates,big_daily_table))),NA(),XLOOKUP(E$3,daily_items,XLOOKUP($C3063,daily_dates,big_daily_table)))</f>
        <v>#N/A</v>
      </c>
    </row>
    <row r="3064" ht="14.25" customHeight="1">
      <c r="B3064" s="7">
        <v>43969.0</v>
      </c>
      <c r="C3064" s="7">
        <f t="shared" si="1"/>
        <v>43968</v>
      </c>
      <c r="D3064" s="1" t="str">
        <f t="array" ref="D3064">IF(ISBLANK(XLOOKUP(D$3,daily_items,XLOOKUP($C3064,daily_dates,big_daily_table))),NA(),XLOOKUP(D$3,daily_items,XLOOKUP($C3064,daily_dates,big_daily_table)))</f>
        <v>#N/A</v>
      </c>
      <c r="E3064" s="1" t="str">
        <f t="array" ref="E3064">IF(ISBLANK(XLOOKUP(E$3,daily_items,XLOOKUP($C3064,daily_dates,big_daily_table))),NA(),XLOOKUP(E$3,daily_items,XLOOKUP($C3064,daily_dates,big_daily_table)))</f>
        <v>#N/A</v>
      </c>
    </row>
    <row r="3065" ht="14.25" customHeight="1">
      <c r="B3065" s="7">
        <v>43970.0</v>
      </c>
      <c r="C3065" s="7">
        <f t="shared" si="1"/>
        <v>43968</v>
      </c>
      <c r="D3065" s="1" t="str">
        <f t="array" ref="D3065">IF(ISBLANK(XLOOKUP(D$3,daily_items,XLOOKUP($C3065,daily_dates,big_daily_table))),NA(),XLOOKUP(D$3,daily_items,XLOOKUP($C3065,daily_dates,big_daily_table)))</f>
        <v>#N/A</v>
      </c>
      <c r="E3065" s="1" t="str">
        <f t="array" ref="E3065">IF(ISBLANK(XLOOKUP(E$3,daily_items,XLOOKUP($C3065,daily_dates,big_daily_table))),NA(),XLOOKUP(E$3,daily_items,XLOOKUP($C3065,daily_dates,big_daily_table)))</f>
        <v>#N/A</v>
      </c>
    </row>
    <row r="3066" ht="14.25" customHeight="1">
      <c r="B3066" s="7">
        <v>43971.0</v>
      </c>
      <c r="C3066" s="7">
        <f t="shared" si="1"/>
        <v>43968</v>
      </c>
      <c r="D3066" s="1" t="str">
        <f t="array" ref="D3066">IF(ISBLANK(XLOOKUP(D$3,daily_items,XLOOKUP($C3066,daily_dates,big_daily_table))),NA(),XLOOKUP(D$3,daily_items,XLOOKUP($C3066,daily_dates,big_daily_table)))</f>
        <v>#N/A</v>
      </c>
      <c r="E3066" s="1" t="str">
        <f t="array" ref="E3066">IF(ISBLANK(XLOOKUP(E$3,daily_items,XLOOKUP($C3066,daily_dates,big_daily_table))),NA(),XLOOKUP(E$3,daily_items,XLOOKUP($C3066,daily_dates,big_daily_table)))</f>
        <v>#N/A</v>
      </c>
    </row>
    <row r="3067" ht="14.25" customHeight="1">
      <c r="B3067" s="7">
        <v>43972.0</v>
      </c>
      <c r="C3067" s="7">
        <f t="shared" si="1"/>
        <v>43968</v>
      </c>
      <c r="D3067" s="1" t="str">
        <f t="array" ref="D3067">IF(ISBLANK(XLOOKUP(D$3,daily_items,XLOOKUP($C3067,daily_dates,big_daily_table))),NA(),XLOOKUP(D$3,daily_items,XLOOKUP($C3067,daily_dates,big_daily_table)))</f>
        <v>#N/A</v>
      </c>
      <c r="E3067" s="1" t="str">
        <f t="array" ref="E3067">IF(ISBLANK(XLOOKUP(E$3,daily_items,XLOOKUP($C3067,daily_dates,big_daily_table))),NA(),XLOOKUP(E$3,daily_items,XLOOKUP($C3067,daily_dates,big_daily_table)))</f>
        <v>#N/A</v>
      </c>
    </row>
    <row r="3068" ht="14.25" customHeight="1">
      <c r="B3068" s="7">
        <v>43973.0</v>
      </c>
      <c r="C3068" s="7">
        <f t="shared" si="1"/>
        <v>43968</v>
      </c>
      <c r="D3068" s="1" t="str">
        <f t="array" ref="D3068">IF(ISBLANK(XLOOKUP(D$3,daily_items,XLOOKUP($C3068,daily_dates,big_daily_table))),NA(),XLOOKUP(D$3,daily_items,XLOOKUP($C3068,daily_dates,big_daily_table)))</f>
        <v>#N/A</v>
      </c>
      <c r="E3068" s="1" t="str">
        <f t="array" ref="E3068">IF(ISBLANK(XLOOKUP(E$3,daily_items,XLOOKUP($C3068,daily_dates,big_daily_table))),NA(),XLOOKUP(E$3,daily_items,XLOOKUP($C3068,daily_dates,big_daily_table)))</f>
        <v>#N/A</v>
      </c>
    </row>
    <row r="3069" ht="14.25" customHeight="1">
      <c r="B3069" s="7">
        <v>43974.0</v>
      </c>
      <c r="C3069" s="7">
        <f t="shared" si="1"/>
        <v>43968</v>
      </c>
      <c r="D3069" s="1" t="str">
        <f t="array" ref="D3069">IF(ISBLANK(XLOOKUP(D$3,daily_items,XLOOKUP($C3069,daily_dates,big_daily_table))),NA(),XLOOKUP(D$3,daily_items,XLOOKUP($C3069,daily_dates,big_daily_table)))</f>
        <v>#N/A</v>
      </c>
      <c r="E3069" s="1" t="str">
        <f t="array" ref="E3069">IF(ISBLANK(XLOOKUP(E$3,daily_items,XLOOKUP($C3069,daily_dates,big_daily_table))),NA(),XLOOKUP(E$3,daily_items,XLOOKUP($C3069,daily_dates,big_daily_table)))</f>
        <v>#N/A</v>
      </c>
    </row>
    <row r="3070" ht="14.25" customHeight="1">
      <c r="B3070" s="7">
        <v>43975.0</v>
      </c>
      <c r="C3070" s="7">
        <f t="shared" si="1"/>
        <v>43975</v>
      </c>
      <c r="D3070" s="1" t="str">
        <f t="array" ref="D3070">IF(ISBLANK(XLOOKUP(D$3,daily_items,XLOOKUP($C3070,daily_dates,big_daily_table))),NA(),XLOOKUP(D$3,daily_items,XLOOKUP($C3070,daily_dates,big_daily_table)))</f>
        <v>#N/A</v>
      </c>
      <c r="E3070" s="1" t="str">
        <f t="array" ref="E3070">IF(ISBLANK(XLOOKUP(E$3,daily_items,XLOOKUP($C3070,daily_dates,big_daily_table))),NA(),XLOOKUP(E$3,daily_items,XLOOKUP($C3070,daily_dates,big_daily_table)))</f>
        <v>#N/A</v>
      </c>
    </row>
    <row r="3071" ht="14.25" customHeight="1">
      <c r="B3071" s="7">
        <v>43976.0</v>
      </c>
      <c r="C3071" s="7">
        <f t="shared" si="1"/>
        <v>43975</v>
      </c>
      <c r="D3071" s="1" t="str">
        <f t="array" ref="D3071">IF(ISBLANK(XLOOKUP(D$3,daily_items,XLOOKUP($C3071,daily_dates,big_daily_table))),NA(),XLOOKUP(D$3,daily_items,XLOOKUP($C3071,daily_dates,big_daily_table)))</f>
        <v>#N/A</v>
      </c>
      <c r="E3071" s="1" t="str">
        <f t="array" ref="E3071">IF(ISBLANK(XLOOKUP(E$3,daily_items,XLOOKUP($C3071,daily_dates,big_daily_table))),NA(),XLOOKUP(E$3,daily_items,XLOOKUP($C3071,daily_dates,big_daily_table)))</f>
        <v>#N/A</v>
      </c>
    </row>
    <row r="3072" ht="14.25" customHeight="1">
      <c r="B3072" s="7">
        <v>43977.0</v>
      </c>
      <c r="C3072" s="7">
        <f t="shared" si="1"/>
        <v>43975</v>
      </c>
      <c r="D3072" s="1" t="str">
        <f t="array" ref="D3072">IF(ISBLANK(XLOOKUP(D$3,daily_items,XLOOKUP($C3072,daily_dates,big_daily_table))),NA(),XLOOKUP(D$3,daily_items,XLOOKUP($C3072,daily_dates,big_daily_table)))</f>
        <v>#N/A</v>
      </c>
      <c r="E3072" s="1" t="str">
        <f t="array" ref="E3072">IF(ISBLANK(XLOOKUP(E$3,daily_items,XLOOKUP($C3072,daily_dates,big_daily_table))),NA(),XLOOKUP(E$3,daily_items,XLOOKUP($C3072,daily_dates,big_daily_table)))</f>
        <v>#N/A</v>
      </c>
    </row>
    <row r="3073" ht="14.25" customHeight="1">
      <c r="B3073" s="7">
        <v>43978.0</v>
      </c>
      <c r="C3073" s="7">
        <f t="shared" si="1"/>
        <v>43975</v>
      </c>
      <c r="D3073" s="1" t="str">
        <f t="array" ref="D3073">IF(ISBLANK(XLOOKUP(D$3,daily_items,XLOOKUP($C3073,daily_dates,big_daily_table))),NA(),XLOOKUP(D$3,daily_items,XLOOKUP($C3073,daily_dates,big_daily_table)))</f>
        <v>#N/A</v>
      </c>
      <c r="E3073" s="1" t="str">
        <f t="array" ref="E3073">IF(ISBLANK(XLOOKUP(E$3,daily_items,XLOOKUP($C3073,daily_dates,big_daily_table))),NA(),XLOOKUP(E$3,daily_items,XLOOKUP($C3073,daily_dates,big_daily_table)))</f>
        <v>#N/A</v>
      </c>
    </row>
    <row r="3074" ht="14.25" customHeight="1">
      <c r="B3074" s="7">
        <v>43979.0</v>
      </c>
      <c r="C3074" s="7">
        <f t="shared" si="1"/>
        <v>43975</v>
      </c>
      <c r="D3074" s="1" t="str">
        <f t="array" ref="D3074">IF(ISBLANK(XLOOKUP(D$3,daily_items,XLOOKUP($C3074,daily_dates,big_daily_table))),NA(),XLOOKUP(D$3,daily_items,XLOOKUP($C3074,daily_dates,big_daily_table)))</f>
        <v>#N/A</v>
      </c>
      <c r="E3074" s="1" t="str">
        <f t="array" ref="E3074">IF(ISBLANK(XLOOKUP(E$3,daily_items,XLOOKUP($C3074,daily_dates,big_daily_table))),NA(),XLOOKUP(E$3,daily_items,XLOOKUP($C3074,daily_dates,big_daily_table)))</f>
        <v>#N/A</v>
      </c>
    </row>
    <row r="3075" ht="14.25" customHeight="1">
      <c r="B3075" s="7">
        <v>43980.0</v>
      </c>
      <c r="C3075" s="7">
        <f t="shared" si="1"/>
        <v>43975</v>
      </c>
      <c r="D3075" s="1" t="str">
        <f t="array" ref="D3075">IF(ISBLANK(XLOOKUP(D$3,daily_items,XLOOKUP($C3075,daily_dates,big_daily_table))),NA(),XLOOKUP(D$3,daily_items,XLOOKUP($C3075,daily_dates,big_daily_table)))</f>
        <v>#N/A</v>
      </c>
      <c r="E3075" s="1" t="str">
        <f t="array" ref="E3075">IF(ISBLANK(XLOOKUP(E$3,daily_items,XLOOKUP($C3075,daily_dates,big_daily_table))),NA(),XLOOKUP(E$3,daily_items,XLOOKUP($C3075,daily_dates,big_daily_table)))</f>
        <v>#N/A</v>
      </c>
    </row>
    <row r="3076" ht="14.25" customHeight="1">
      <c r="B3076" s="7">
        <v>43981.0</v>
      </c>
      <c r="C3076" s="7">
        <f t="shared" si="1"/>
        <v>43975</v>
      </c>
      <c r="D3076" s="1" t="str">
        <f t="array" ref="D3076">IF(ISBLANK(XLOOKUP(D$3,daily_items,XLOOKUP($C3076,daily_dates,big_daily_table))),NA(),XLOOKUP(D$3,daily_items,XLOOKUP($C3076,daily_dates,big_daily_table)))</f>
        <v>#N/A</v>
      </c>
      <c r="E3076" s="1" t="str">
        <f t="array" ref="E3076">IF(ISBLANK(XLOOKUP(E$3,daily_items,XLOOKUP($C3076,daily_dates,big_daily_table))),NA(),XLOOKUP(E$3,daily_items,XLOOKUP($C3076,daily_dates,big_daily_table)))</f>
        <v>#N/A</v>
      </c>
    </row>
    <row r="3077" ht="14.25" customHeight="1">
      <c r="B3077" s="7">
        <v>43982.0</v>
      </c>
      <c r="C3077" s="7">
        <f t="shared" si="1"/>
        <v>43982</v>
      </c>
      <c r="D3077" s="1" t="str">
        <f t="array" ref="D3077">IF(ISBLANK(XLOOKUP(D$3,daily_items,XLOOKUP($C3077,daily_dates,big_daily_table))),NA(),XLOOKUP(D$3,daily_items,XLOOKUP($C3077,daily_dates,big_daily_table)))</f>
        <v>#N/A</v>
      </c>
      <c r="E3077" s="1" t="str">
        <f t="array" ref="E3077">IF(ISBLANK(XLOOKUP(E$3,daily_items,XLOOKUP($C3077,daily_dates,big_daily_table))),NA(),XLOOKUP(E$3,daily_items,XLOOKUP($C3077,daily_dates,big_daily_table)))</f>
        <v>#N/A</v>
      </c>
    </row>
    <row r="3078" ht="14.25" customHeight="1">
      <c r="B3078" s="7">
        <v>43983.0</v>
      </c>
      <c r="C3078" s="7">
        <f t="shared" si="1"/>
        <v>43982</v>
      </c>
      <c r="D3078" s="1" t="str">
        <f t="array" ref="D3078">IF(ISBLANK(XLOOKUP(D$3,daily_items,XLOOKUP($C3078,daily_dates,big_daily_table))),NA(),XLOOKUP(D$3,daily_items,XLOOKUP($C3078,daily_dates,big_daily_table)))</f>
        <v>#N/A</v>
      </c>
      <c r="E3078" s="1" t="str">
        <f t="array" ref="E3078">IF(ISBLANK(XLOOKUP(E$3,daily_items,XLOOKUP($C3078,daily_dates,big_daily_table))),NA(),XLOOKUP(E$3,daily_items,XLOOKUP($C3078,daily_dates,big_daily_table)))</f>
        <v>#N/A</v>
      </c>
    </row>
    <row r="3079" ht="14.25" customHeight="1">
      <c r="B3079" s="7">
        <v>43984.0</v>
      </c>
      <c r="C3079" s="7">
        <f t="shared" si="1"/>
        <v>43982</v>
      </c>
      <c r="D3079" s="1" t="str">
        <f t="array" ref="D3079">IF(ISBLANK(XLOOKUP(D$3,daily_items,XLOOKUP($C3079,daily_dates,big_daily_table))),NA(),XLOOKUP(D$3,daily_items,XLOOKUP($C3079,daily_dates,big_daily_table)))</f>
        <v>#N/A</v>
      </c>
      <c r="E3079" s="1" t="str">
        <f t="array" ref="E3079">IF(ISBLANK(XLOOKUP(E$3,daily_items,XLOOKUP($C3079,daily_dates,big_daily_table))),NA(),XLOOKUP(E$3,daily_items,XLOOKUP($C3079,daily_dates,big_daily_table)))</f>
        <v>#N/A</v>
      </c>
    </row>
    <row r="3080" ht="14.25" customHeight="1">
      <c r="B3080" s="7">
        <v>43985.0</v>
      </c>
      <c r="C3080" s="7">
        <f t="shared" si="1"/>
        <v>43982</v>
      </c>
      <c r="D3080" s="1" t="str">
        <f t="array" ref="D3080">IF(ISBLANK(XLOOKUP(D$3,daily_items,XLOOKUP($C3080,daily_dates,big_daily_table))),NA(),XLOOKUP(D$3,daily_items,XLOOKUP($C3080,daily_dates,big_daily_table)))</f>
        <v>#N/A</v>
      </c>
      <c r="E3080" s="1" t="str">
        <f t="array" ref="E3080">IF(ISBLANK(XLOOKUP(E$3,daily_items,XLOOKUP($C3080,daily_dates,big_daily_table))),NA(),XLOOKUP(E$3,daily_items,XLOOKUP($C3080,daily_dates,big_daily_table)))</f>
        <v>#N/A</v>
      </c>
    </row>
    <row r="3081" ht="14.25" customHeight="1">
      <c r="B3081" s="7">
        <v>43986.0</v>
      </c>
      <c r="C3081" s="7">
        <f t="shared" si="1"/>
        <v>43982</v>
      </c>
      <c r="D3081" s="1" t="str">
        <f t="array" ref="D3081">IF(ISBLANK(XLOOKUP(D$3,daily_items,XLOOKUP($C3081,daily_dates,big_daily_table))),NA(),XLOOKUP(D$3,daily_items,XLOOKUP($C3081,daily_dates,big_daily_table)))</f>
        <v>#N/A</v>
      </c>
      <c r="E3081" s="1" t="str">
        <f t="array" ref="E3081">IF(ISBLANK(XLOOKUP(E$3,daily_items,XLOOKUP($C3081,daily_dates,big_daily_table))),NA(),XLOOKUP(E$3,daily_items,XLOOKUP($C3081,daily_dates,big_daily_table)))</f>
        <v>#N/A</v>
      </c>
    </row>
    <row r="3082" ht="14.25" customHeight="1">
      <c r="B3082" s="7">
        <v>43987.0</v>
      </c>
      <c r="C3082" s="7">
        <f t="shared" si="1"/>
        <v>43982</v>
      </c>
      <c r="D3082" s="1" t="str">
        <f t="array" ref="D3082">IF(ISBLANK(XLOOKUP(D$3,daily_items,XLOOKUP($C3082,daily_dates,big_daily_table))),NA(),XLOOKUP(D$3,daily_items,XLOOKUP($C3082,daily_dates,big_daily_table)))</f>
        <v>#N/A</v>
      </c>
      <c r="E3082" s="1" t="str">
        <f t="array" ref="E3082">IF(ISBLANK(XLOOKUP(E$3,daily_items,XLOOKUP($C3082,daily_dates,big_daily_table))),NA(),XLOOKUP(E$3,daily_items,XLOOKUP($C3082,daily_dates,big_daily_table)))</f>
        <v>#N/A</v>
      </c>
    </row>
    <row r="3083" ht="14.25" customHeight="1">
      <c r="B3083" s="7">
        <v>43988.0</v>
      </c>
      <c r="C3083" s="7">
        <f t="shared" si="1"/>
        <v>43982</v>
      </c>
      <c r="D3083" s="1" t="str">
        <f t="array" ref="D3083">IF(ISBLANK(XLOOKUP(D$3,daily_items,XLOOKUP($C3083,daily_dates,big_daily_table))),NA(),XLOOKUP(D$3,daily_items,XLOOKUP($C3083,daily_dates,big_daily_table)))</f>
        <v>#N/A</v>
      </c>
      <c r="E3083" s="1" t="str">
        <f t="array" ref="E3083">IF(ISBLANK(XLOOKUP(E$3,daily_items,XLOOKUP($C3083,daily_dates,big_daily_table))),NA(),XLOOKUP(E$3,daily_items,XLOOKUP($C3083,daily_dates,big_daily_table)))</f>
        <v>#N/A</v>
      </c>
    </row>
    <row r="3084" ht="14.25" customHeight="1">
      <c r="B3084" s="7">
        <v>43989.0</v>
      </c>
      <c r="C3084" s="7">
        <f t="shared" si="1"/>
        <v>43989</v>
      </c>
      <c r="D3084" s="1" t="str">
        <f t="array" ref="D3084">IF(ISBLANK(XLOOKUP(D$3,daily_items,XLOOKUP($C3084,daily_dates,big_daily_table))),NA(),XLOOKUP(D$3,daily_items,XLOOKUP($C3084,daily_dates,big_daily_table)))</f>
        <v>#N/A</v>
      </c>
      <c r="E3084" s="1" t="str">
        <f t="array" ref="E3084">IF(ISBLANK(XLOOKUP(E$3,daily_items,XLOOKUP($C3084,daily_dates,big_daily_table))),NA(),XLOOKUP(E$3,daily_items,XLOOKUP($C3084,daily_dates,big_daily_table)))</f>
        <v>#N/A</v>
      </c>
    </row>
    <row r="3085" ht="14.25" customHeight="1">
      <c r="B3085" s="7">
        <v>43990.0</v>
      </c>
      <c r="C3085" s="7">
        <f t="shared" si="1"/>
        <v>43989</v>
      </c>
      <c r="D3085" s="1" t="str">
        <f t="array" ref="D3085">IF(ISBLANK(XLOOKUP(D$3,daily_items,XLOOKUP($C3085,daily_dates,big_daily_table))),NA(),XLOOKUP(D$3,daily_items,XLOOKUP($C3085,daily_dates,big_daily_table)))</f>
        <v>#N/A</v>
      </c>
      <c r="E3085" s="1" t="str">
        <f t="array" ref="E3085">IF(ISBLANK(XLOOKUP(E$3,daily_items,XLOOKUP($C3085,daily_dates,big_daily_table))),NA(),XLOOKUP(E$3,daily_items,XLOOKUP($C3085,daily_dates,big_daily_table)))</f>
        <v>#N/A</v>
      </c>
    </row>
    <row r="3086" ht="14.25" customHeight="1">
      <c r="B3086" s="7">
        <v>43991.0</v>
      </c>
      <c r="C3086" s="7">
        <f t="shared" si="1"/>
        <v>43989</v>
      </c>
      <c r="D3086" s="1" t="str">
        <f t="array" ref="D3086">IF(ISBLANK(XLOOKUP(D$3,daily_items,XLOOKUP($C3086,daily_dates,big_daily_table))),NA(),XLOOKUP(D$3,daily_items,XLOOKUP($C3086,daily_dates,big_daily_table)))</f>
        <v>#N/A</v>
      </c>
      <c r="E3086" s="1" t="str">
        <f t="array" ref="E3086">IF(ISBLANK(XLOOKUP(E$3,daily_items,XLOOKUP($C3086,daily_dates,big_daily_table))),NA(),XLOOKUP(E$3,daily_items,XLOOKUP($C3086,daily_dates,big_daily_table)))</f>
        <v>#N/A</v>
      </c>
    </row>
    <row r="3087" ht="14.25" customHeight="1">
      <c r="B3087" s="7">
        <v>43992.0</v>
      </c>
      <c r="C3087" s="7">
        <f t="shared" si="1"/>
        <v>43989</v>
      </c>
      <c r="D3087" s="1" t="str">
        <f t="array" ref="D3087">IF(ISBLANK(XLOOKUP(D$3,daily_items,XLOOKUP($C3087,daily_dates,big_daily_table))),NA(),XLOOKUP(D$3,daily_items,XLOOKUP($C3087,daily_dates,big_daily_table)))</f>
        <v>#N/A</v>
      </c>
      <c r="E3087" s="1" t="str">
        <f t="array" ref="E3087">IF(ISBLANK(XLOOKUP(E$3,daily_items,XLOOKUP($C3087,daily_dates,big_daily_table))),NA(),XLOOKUP(E$3,daily_items,XLOOKUP($C3087,daily_dates,big_daily_table)))</f>
        <v>#N/A</v>
      </c>
    </row>
    <row r="3088" ht="14.25" customHeight="1">
      <c r="B3088" s="7">
        <v>43993.0</v>
      </c>
      <c r="C3088" s="7">
        <f t="shared" si="1"/>
        <v>43989</v>
      </c>
      <c r="D3088" s="1" t="str">
        <f t="array" ref="D3088">IF(ISBLANK(XLOOKUP(D$3,daily_items,XLOOKUP($C3088,daily_dates,big_daily_table))),NA(),XLOOKUP(D$3,daily_items,XLOOKUP($C3088,daily_dates,big_daily_table)))</f>
        <v>#N/A</v>
      </c>
      <c r="E3088" s="1" t="str">
        <f t="array" ref="E3088">IF(ISBLANK(XLOOKUP(E$3,daily_items,XLOOKUP($C3088,daily_dates,big_daily_table))),NA(),XLOOKUP(E$3,daily_items,XLOOKUP($C3088,daily_dates,big_daily_table)))</f>
        <v>#N/A</v>
      </c>
    </row>
    <row r="3089" ht="14.25" customHeight="1">
      <c r="B3089" s="7">
        <v>43994.0</v>
      </c>
      <c r="C3089" s="7">
        <f t="shared" si="1"/>
        <v>43989</v>
      </c>
      <c r="D3089" s="1" t="str">
        <f t="array" ref="D3089">IF(ISBLANK(XLOOKUP(D$3,daily_items,XLOOKUP($C3089,daily_dates,big_daily_table))),NA(),XLOOKUP(D$3,daily_items,XLOOKUP($C3089,daily_dates,big_daily_table)))</f>
        <v>#N/A</v>
      </c>
      <c r="E3089" s="1" t="str">
        <f t="array" ref="E3089">IF(ISBLANK(XLOOKUP(E$3,daily_items,XLOOKUP($C3089,daily_dates,big_daily_table))),NA(),XLOOKUP(E$3,daily_items,XLOOKUP($C3089,daily_dates,big_daily_table)))</f>
        <v>#N/A</v>
      </c>
    </row>
    <row r="3090" ht="14.25" customHeight="1">
      <c r="B3090" s="7">
        <v>43995.0</v>
      </c>
      <c r="C3090" s="7">
        <f t="shared" si="1"/>
        <v>43989</v>
      </c>
      <c r="D3090" s="1" t="str">
        <f t="array" ref="D3090">IF(ISBLANK(XLOOKUP(D$3,daily_items,XLOOKUP($C3090,daily_dates,big_daily_table))),NA(),XLOOKUP(D$3,daily_items,XLOOKUP($C3090,daily_dates,big_daily_table)))</f>
        <v>#N/A</v>
      </c>
      <c r="E3090" s="1" t="str">
        <f t="array" ref="E3090">IF(ISBLANK(XLOOKUP(E$3,daily_items,XLOOKUP($C3090,daily_dates,big_daily_table))),NA(),XLOOKUP(E$3,daily_items,XLOOKUP($C3090,daily_dates,big_daily_table)))</f>
        <v>#N/A</v>
      </c>
    </row>
    <row r="3091" ht="14.25" customHeight="1">
      <c r="B3091" s="7">
        <v>43996.0</v>
      </c>
      <c r="C3091" s="7">
        <f t="shared" si="1"/>
        <v>43996</v>
      </c>
      <c r="D3091" s="1" t="str">
        <f t="array" ref="D3091">IF(ISBLANK(XLOOKUP(D$3,daily_items,XLOOKUP($C3091,daily_dates,big_daily_table))),NA(),XLOOKUP(D$3,daily_items,XLOOKUP($C3091,daily_dates,big_daily_table)))</f>
        <v>#N/A</v>
      </c>
      <c r="E3091" s="1" t="str">
        <f t="array" ref="E3091">IF(ISBLANK(XLOOKUP(E$3,daily_items,XLOOKUP($C3091,daily_dates,big_daily_table))),NA(),XLOOKUP(E$3,daily_items,XLOOKUP($C3091,daily_dates,big_daily_table)))</f>
        <v>#N/A</v>
      </c>
    </row>
    <row r="3092" ht="14.25" customHeight="1">
      <c r="B3092" s="7">
        <v>43997.0</v>
      </c>
      <c r="C3092" s="7">
        <f t="shared" si="1"/>
        <v>43996</v>
      </c>
      <c r="D3092" s="1" t="str">
        <f t="array" ref="D3092">IF(ISBLANK(XLOOKUP(D$3,daily_items,XLOOKUP($C3092,daily_dates,big_daily_table))),NA(),XLOOKUP(D$3,daily_items,XLOOKUP($C3092,daily_dates,big_daily_table)))</f>
        <v>#N/A</v>
      </c>
      <c r="E3092" s="1" t="str">
        <f t="array" ref="E3092">IF(ISBLANK(XLOOKUP(E$3,daily_items,XLOOKUP($C3092,daily_dates,big_daily_table))),NA(),XLOOKUP(E$3,daily_items,XLOOKUP($C3092,daily_dates,big_daily_table)))</f>
        <v>#N/A</v>
      </c>
    </row>
    <row r="3093" ht="14.25" customHeight="1">
      <c r="B3093" s="7">
        <v>43998.0</v>
      </c>
      <c r="C3093" s="7">
        <f t="shared" si="1"/>
        <v>43996</v>
      </c>
      <c r="D3093" s="1" t="str">
        <f t="array" ref="D3093">IF(ISBLANK(XLOOKUP(D$3,daily_items,XLOOKUP($C3093,daily_dates,big_daily_table))),NA(),XLOOKUP(D$3,daily_items,XLOOKUP($C3093,daily_dates,big_daily_table)))</f>
        <v>#N/A</v>
      </c>
      <c r="E3093" s="1" t="str">
        <f t="array" ref="E3093">IF(ISBLANK(XLOOKUP(E$3,daily_items,XLOOKUP($C3093,daily_dates,big_daily_table))),NA(),XLOOKUP(E$3,daily_items,XLOOKUP($C3093,daily_dates,big_daily_table)))</f>
        <v>#N/A</v>
      </c>
    </row>
    <row r="3094" ht="14.25" customHeight="1">
      <c r="B3094" s="7">
        <v>43999.0</v>
      </c>
      <c r="C3094" s="7">
        <f t="shared" si="1"/>
        <v>43996</v>
      </c>
      <c r="D3094" s="1" t="str">
        <f t="array" ref="D3094">IF(ISBLANK(XLOOKUP(D$3,daily_items,XLOOKUP($C3094,daily_dates,big_daily_table))),NA(),XLOOKUP(D$3,daily_items,XLOOKUP($C3094,daily_dates,big_daily_table)))</f>
        <v>#N/A</v>
      </c>
      <c r="E3094" s="1" t="str">
        <f t="array" ref="E3094">IF(ISBLANK(XLOOKUP(E$3,daily_items,XLOOKUP($C3094,daily_dates,big_daily_table))),NA(),XLOOKUP(E$3,daily_items,XLOOKUP($C3094,daily_dates,big_daily_table)))</f>
        <v>#N/A</v>
      </c>
    </row>
    <row r="3095" ht="14.25" customHeight="1">
      <c r="B3095" s="7">
        <v>44000.0</v>
      </c>
      <c r="C3095" s="7">
        <f t="shared" si="1"/>
        <v>43996</v>
      </c>
      <c r="D3095" s="1" t="str">
        <f t="array" ref="D3095">IF(ISBLANK(XLOOKUP(D$3,daily_items,XLOOKUP($C3095,daily_dates,big_daily_table))),NA(),XLOOKUP(D$3,daily_items,XLOOKUP($C3095,daily_dates,big_daily_table)))</f>
        <v>#N/A</v>
      </c>
      <c r="E3095" s="1" t="str">
        <f t="array" ref="E3095">IF(ISBLANK(XLOOKUP(E$3,daily_items,XLOOKUP($C3095,daily_dates,big_daily_table))),NA(),XLOOKUP(E$3,daily_items,XLOOKUP($C3095,daily_dates,big_daily_table)))</f>
        <v>#N/A</v>
      </c>
    </row>
    <row r="3096" ht="14.25" customHeight="1">
      <c r="B3096" s="7">
        <v>44001.0</v>
      </c>
      <c r="C3096" s="7">
        <f t="shared" si="1"/>
        <v>43996</v>
      </c>
      <c r="D3096" s="1" t="str">
        <f t="array" ref="D3096">IF(ISBLANK(XLOOKUP(D$3,daily_items,XLOOKUP($C3096,daily_dates,big_daily_table))),NA(),XLOOKUP(D$3,daily_items,XLOOKUP($C3096,daily_dates,big_daily_table)))</f>
        <v>#N/A</v>
      </c>
      <c r="E3096" s="1" t="str">
        <f t="array" ref="E3096">IF(ISBLANK(XLOOKUP(E$3,daily_items,XLOOKUP($C3096,daily_dates,big_daily_table))),NA(),XLOOKUP(E$3,daily_items,XLOOKUP($C3096,daily_dates,big_daily_table)))</f>
        <v>#N/A</v>
      </c>
    </row>
    <row r="3097" ht="14.25" customHeight="1">
      <c r="B3097" s="7">
        <v>44002.0</v>
      </c>
      <c r="C3097" s="7">
        <f t="shared" si="1"/>
        <v>43996</v>
      </c>
      <c r="D3097" s="1" t="str">
        <f t="array" ref="D3097">IF(ISBLANK(XLOOKUP(D$3,daily_items,XLOOKUP($C3097,daily_dates,big_daily_table))),NA(),XLOOKUP(D$3,daily_items,XLOOKUP($C3097,daily_dates,big_daily_table)))</f>
        <v>#N/A</v>
      </c>
      <c r="E3097" s="1" t="str">
        <f t="array" ref="E3097">IF(ISBLANK(XLOOKUP(E$3,daily_items,XLOOKUP($C3097,daily_dates,big_daily_table))),NA(),XLOOKUP(E$3,daily_items,XLOOKUP($C3097,daily_dates,big_daily_table)))</f>
        <v>#N/A</v>
      </c>
    </row>
    <row r="3098" ht="14.25" customHeight="1">
      <c r="B3098" s="7">
        <v>44003.0</v>
      </c>
      <c r="C3098" s="7">
        <f t="shared" si="1"/>
        <v>44003</v>
      </c>
      <c r="D3098" s="1" t="str">
        <f t="array" ref="D3098">IF(ISBLANK(XLOOKUP(D$3,daily_items,XLOOKUP($C3098,daily_dates,big_daily_table))),NA(),XLOOKUP(D$3,daily_items,XLOOKUP($C3098,daily_dates,big_daily_table)))</f>
        <v>#N/A</v>
      </c>
      <c r="E3098" s="1" t="str">
        <f t="array" ref="E3098">IF(ISBLANK(XLOOKUP(E$3,daily_items,XLOOKUP($C3098,daily_dates,big_daily_table))),NA(),XLOOKUP(E$3,daily_items,XLOOKUP($C3098,daily_dates,big_daily_table)))</f>
        <v>#N/A</v>
      </c>
    </row>
    <row r="3099" ht="14.25" customHeight="1">
      <c r="B3099" s="7">
        <v>44004.0</v>
      </c>
      <c r="C3099" s="7">
        <f t="shared" si="1"/>
        <v>44003</v>
      </c>
      <c r="D3099" s="1" t="str">
        <f t="array" ref="D3099">IF(ISBLANK(XLOOKUP(D$3,daily_items,XLOOKUP($C3099,daily_dates,big_daily_table))),NA(),XLOOKUP(D$3,daily_items,XLOOKUP($C3099,daily_dates,big_daily_table)))</f>
        <v>#N/A</v>
      </c>
      <c r="E3099" s="1" t="str">
        <f t="array" ref="E3099">IF(ISBLANK(XLOOKUP(E$3,daily_items,XLOOKUP($C3099,daily_dates,big_daily_table))),NA(),XLOOKUP(E$3,daily_items,XLOOKUP($C3099,daily_dates,big_daily_table)))</f>
        <v>#N/A</v>
      </c>
    </row>
    <row r="3100" ht="14.25" customHeight="1">
      <c r="B3100" s="7">
        <v>44005.0</v>
      </c>
      <c r="C3100" s="7">
        <f t="shared" si="1"/>
        <v>44003</v>
      </c>
      <c r="D3100" s="1" t="str">
        <f t="array" ref="D3100">IF(ISBLANK(XLOOKUP(D$3,daily_items,XLOOKUP($C3100,daily_dates,big_daily_table))),NA(),XLOOKUP(D$3,daily_items,XLOOKUP($C3100,daily_dates,big_daily_table)))</f>
        <v>#N/A</v>
      </c>
      <c r="E3100" s="1" t="str">
        <f t="array" ref="E3100">IF(ISBLANK(XLOOKUP(E$3,daily_items,XLOOKUP($C3100,daily_dates,big_daily_table))),NA(),XLOOKUP(E$3,daily_items,XLOOKUP($C3100,daily_dates,big_daily_table)))</f>
        <v>#N/A</v>
      </c>
    </row>
    <row r="3101" ht="14.25" customHeight="1">
      <c r="B3101" s="7">
        <v>44006.0</v>
      </c>
      <c r="C3101" s="7">
        <f t="shared" si="1"/>
        <v>44003</v>
      </c>
      <c r="D3101" s="1" t="str">
        <f t="array" ref="D3101">IF(ISBLANK(XLOOKUP(D$3,daily_items,XLOOKUP($C3101,daily_dates,big_daily_table))),NA(),XLOOKUP(D$3,daily_items,XLOOKUP($C3101,daily_dates,big_daily_table)))</f>
        <v>#N/A</v>
      </c>
      <c r="E3101" s="1" t="str">
        <f t="array" ref="E3101">IF(ISBLANK(XLOOKUP(E$3,daily_items,XLOOKUP($C3101,daily_dates,big_daily_table))),NA(),XLOOKUP(E$3,daily_items,XLOOKUP($C3101,daily_dates,big_daily_table)))</f>
        <v>#N/A</v>
      </c>
    </row>
    <row r="3102" ht="14.25" customHeight="1">
      <c r="B3102" s="7">
        <v>44007.0</v>
      </c>
      <c r="C3102" s="7">
        <f t="shared" si="1"/>
        <v>44003</v>
      </c>
      <c r="D3102" s="1" t="str">
        <f t="array" ref="D3102">IF(ISBLANK(XLOOKUP(D$3,daily_items,XLOOKUP($C3102,daily_dates,big_daily_table))),NA(),XLOOKUP(D$3,daily_items,XLOOKUP($C3102,daily_dates,big_daily_table)))</f>
        <v>#N/A</v>
      </c>
      <c r="E3102" s="1" t="str">
        <f t="array" ref="E3102">IF(ISBLANK(XLOOKUP(E$3,daily_items,XLOOKUP($C3102,daily_dates,big_daily_table))),NA(),XLOOKUP(E$3,daily_items,XLOOKUP($C3102,daily_dates,big_daily_table)))</f>
        <v>#N/A</v>
      </c>
    </row>
    <row r="3103" ht="14.25" customHeight="1">
      <c r="B3103" s="7">
        <v>44008.0</v>
      </c>
      <c r="C3103" s="7">
        <f t="shared" si="1"/>
        <v>44003</v>
      </c>
      <c r="D3103" s="1" t="str">
        <f t="array" ref="D3103">IF(ISBLANK(XLOOKUP(D$3,daily_items,XLOOKUP($C3103,daily_dates,big_daily_table))),NA(),XLOOKUP(D$3,daily_items,XLOOKUP($C3103,daily_dates,big_daily_table)))</f>
        <v>#N/A</v>
      </c>
      <c r="E3103" s="1" t="str">
        <f t="array" ref="E3103">IF(ISBLANK(XLOOKUP(E$3,daily_items,XLOOKUP($C3103,daily_dates,big_daily_table))),NA(),XLOOKUP(E$3,daily_items,XLOOKUP($C3103,daily_dates,big_daily_table)))</f>
        <v>#N/A</v>
      </c>
    </row>
    <row r="3104" ht="14.25" customHeight="1">
      <c r="B3104" s="7">
        <v>44009.0</v>
      </c>
      <c r="C3104" s="7">
        <f t="shared" si="1"/>
        <v>44003</v>
      </c>
      <c r="D3104" s="1" t="str">
        <f t="array" ref="D3104">IF(ISBLANK(XLOOKUP(D$3,daily_items,XLOOKUP($C3104,daily_dates,big_daily_table))),NA(),XLOOKUP(D$3,daily_items,XLOOKUP($C3104,daily_dates,big_daily_table)))</f>
        <v>#N/A</v>
      </c>
      <c r="E3104" s="1" t="str">
        <f t="array" ref="E3104">IF(ISBLANK(XLOOKUP(E$3,daily_items,XLOOKUP($C3104,daily_dates,big_daily_table))),NA(),XLOOKUP(E$3,daily_items,XLOOKUP($C3104,daily_dates,big_daily_table)))</f>
        <v>#N/A</v>
      </c>
    </row>
    <row r="3105" ht="14.25" customHeight="1">
      <c r="B3105" s="7">
        <v>44010.0</v>
      </c>
      <c r="C3105" s="7">
        <f t="shared" si="1"/>
        <v>44010</v>
      </c>
      <c r="D3105" s="1" t="str">
        <f t="array" ref="D3105">IF(ISBLANK(XLOOKUP(D$3,daily_items,XLOOKUP($C3105,daily_dates,big_daily_table))),NA(),XLOOKUP(D$3,daily_items,XLOOKUP($C3105,daily_dates,big_daily_table)))</f>
        <v>#N/A</v>
      </c>
      <c r="E3105" s="1" t="str">
        <f t="array" ref="E3105">IF(ISBLANK(XLOOKUP(E$3,daily_items,XLOOKUP($C3105,daily_dates,big_daily_table))),NA(),XLOOKUP(E$3,daily_items,XLOOKUP($C3105,daily_dates,big_daily_table)))</f>
        <v>#N/A</v>
      </c>
    </row>
    <row r="3106" ht="14.25" customHeight="1">
      <c r="B3106" s="7">
        <v>44011.0</v>
      </c>
      <c r="C3106" s="7">
        <f t="shared" si="1"/>
        <v>44010</v>
      </c>
      <c r="D3106" s="1" t="str">
        <f t="array" ref="D3106">IF(ISBLANK(XLOOKUP(D$3,daily_items,XLOOKUP($C3106,daily_dates,big_daily_table))),NA(),XLOOKUP(D$3,daily_items,XLOOKUP($C3106,daily_dates,big_daily_table)))</f>
        <v>#N/A</v>
      </c>
      <c r="E3106" s="1" t="str">
        <f t="array" ref="E3106">IF(ISBLANK(XLOOKUP(E$3,daily_items,XLOOKUP($C3106,daily_dates,big_daily_table))),NA(),XLOOKUP(E$3,daily_items,XLOOKUP($C3106,daily_dates,big_daily_table)))</f>
        <v>#N/A</v>
      </c>
    </row>
    <row r="3107" ht="14.25" customHeight="1">
      <c r="B3107" s="7">
        <v>44012.0</v>
      </c>
      <c r="C3107" s="7">
        <f t="shared" si="1"/>
        <v>44010</v>
      </c>
      <c r="D3107" s="1" t="str">
        <f t="array" ref="D3107">IF(ISBLANK(XLOOKUP(D$3,daily_items,XLOOKUP($C3107,daily_dates,big_daily_table))),NA(),XLOOKUP(D$3,daily_items,XLOOKUP($C3107,daily_dates,big_daily_table)))</f>
        <v>#N/A</v>
      </c>
      <c r="E3107" s="1" t="str">
        <f t="array" ref="E3107">IF(ISBLANK(XLOOKUP(E$3,daily_items,XLOOKUP($C3107,daily_dates,big_daily_table))),NA(),XLOOKUP(E$3,daily_items,XLOOKUP($C3107,daily_dates,big_daily_table)))</f>
        <v>#N/A</v>
      </c>
    </row>
    <row r="3108" ht="14.25" customHeight="1">
      <c r="B3108" s="7">
        <v>44013.0</v>
      </c>
      <c r="C3108" s="7">
        <f t="shared" si="1"/>
        <v>44010</v>
      </c>
      <c r="D3108" s="1" t="str">
        <f t="array" ref="D3108">IF(ISBLANK(XLOOKUP(D$3,daily_items,XLOOKUP($C3108,daily_dates,big_daily_table))),NA(),XLOOKUP(D$3,daily_items,XLOOKUP($C3108,daily_dates,big_daily_table)))</f>
        <v>#N/A</v>
      </c>
      <c r="E3108" s="1" t="str">
        <f t="array" ref="E3108">IF(ISBLANK(XLOOKUP(E$3,daily_items,XLOOKUP($C3108,daily_dates,big_daily_table))),NA(),XLOOKUP(E$3,daily_items,XLOOKUP($C3108,daily_dates,big_daily_table)))</f>
        <v>#N/A</v>
      </c>
    </row>
    <row r="3109" ht="14.25" customHeight="1">
      <c r="B3109" s="7">
        <v>44014.0</v>
      </c>
      <c r="C3109" s="7">
        <f t="shared" si="1"/>
        <v>44010</v>
      </c>
      <c r="D3109" s="1" t="str">
        <f t="array" ref="D3109">IF(ISBLANK(XLOOKUP(D$3,daily_items,XLOOKUP($C3109,daily_dates,big_daily_table))),NA(),XLOOKUP(D$3,daily_items,XLOOKUP($C3109,daily_dates,big_daily_table)))</f>
        <v>#N/A</v>
      </c>
      <c r="E3109" s="1" t="str">
        <f t="array" ref="E3109">IF(ISBLANK(XLOOKUP(E$3,daily_items,XLOOKUP($C3109,daily_dates,big_daily_table))),NA(),XLOOKUP(E$3,daily_items,XLOOKUP($C3109,daily_dates,big_daily_table)))</f>
        <v>#N/A</v>
      </c>
    </row>
    <row r="3110" ht="14.25" customHeight="1">
      <c r="B3110" s="7">
        <v>44015.0</v>
      </c>
      <c r="C3110" s="7">
        <f t="shared" si="1"/>
        <v>44010</v>
      </c>
      <c r="D3110" s="1" t="str">
        <f t="array" ref="D3110">IF(ISBLANK(XLOOKUP(D$3,daily_items,XLOOKUP($C3110,daily_dates,big_daily_table))),NA(),XLOOKUP(D$3,daily_items,XLOOKUP($C3110,daily_dates,big_daily_table)))</f>
        <v>#N/A</v>
      </c>
      <c r="E3110" s="1" t="str">
        <f t="array" ref="E3110">IF(ISBLANK(XLOOKUP(E$3,daily_items,XLOOKUP($C3110,daily_dates,big_daily_table))),NA(),XLOOKUP(E$3,daily_items,XLOOKUP($C3110,daily_dates,big_daily_table)))</f>
        <v>#N/A</v>
      </c>
    </row>
    <row r="3111" ht="14.25" customHeight="1">
      <c r="B3111" s="7">
        <v>44016.0</v>
      </c>
      <c r="C3111" s="7">
        <f t="shared" si="1"/>
        <v>44010</v>
      </c>
      <c r="D3111" s="1" t="str">
        <f t="array" ref="D3111">IF(ISBLANK(XLOOKUP(D$3,daily_items,XLOOKUP($C3111,daily_dates,big_daily_table))),NA(),XLOOKUP(D$3,daily_items,XLOOKUP($C3111,daily_dates,big_daily_table)))</f>
        <v>#N/A</v>
      </c>
      <c r="E3111" s="1" t="str">
        <f t="array" ref="E3111">IF(ISBLANK(XLOOKUP(E$3,daily_items,XLOOKUP($C3111,daily_dates,big_daily_table))),NA(),XLOOKUP(E$3,daily_items,XLOOKUP($C3111,daily_dates,big_daily_table)))</f>
        <v>#N/A</v>
      </c>
    </row>
    <row r="3112" ht="14.25" customHeight="1">
      <c r="B3112" s="7">
        <v>44017.0</v>
      </c>
      <c r="C3112" s="7">
        <f t="shared" si="1"/>
        <v>44017</v>
      </c>
      <c r="D3112" s="1" t="str">
        <f t="array" ref="D3112">IF(ISBLANK(XLOOKUP(D$3,daily_items,XLOOKUP($C3112,daily_dates,big_daily_table))),NA(),XLOOKUP(D$3,daily_items,XLOOKUP($C3112,daily_dates,big_daily_table)))</f>
        <v>#N/A</v>
      </c>
      <c r="E3112" s="1" t="str">
        <f t="array" ref="E3112">IF(ISBLANK(XLOOKUP(E$3,daily_items,XLOOKUP($C3112,daily_dates,big_daily_table))),NA(),XLOOKUP(E$3,daily_items,XLOOKUP($C3112,daily_dates,big_daily_table)))</f>
        <v>#N/A</v>
      </c>
    </row>
    <row r="3113" ht="14.25" customHeight="1">
      <c r="B3113" s="7">
        <v>44018.0</v>
      </c>
      <c r="C3113" s="7">
        <f t="shared" si="1"/>
        <v>44017</v>
      </c>
      <c r="D3113" s="1" t="str">
        <f t="array" ref="D3113">IF(ISBLANK(XLOOKUP(D$3,daily_items,XLOOKUP($C3113,daily_dates,big_daily_table))),NA(),XLOOKUP(D$3,daily_items,XLOOKUP($C3113,daily_dates,big_daily_table)))</f>
        <v>#N/A</v>
      </c>
      <c r="E3113" s="1" t="str">
        <f t="array" ref="E3113">IF(ISBLANK(XLOOKUP(E$3,daily_items,XLOOKUP($C3113,daily_dates,big_daily_table))),NA(),XLOOKUP(E$3,daily_items,XLOOKUP($C3113,daily_dates,big_daily_table)))</f>
        <v>#N/A</v>
      </c>
    </row>
    <row r="3114" ht="14.25" customHeight="1">
      <c r="B3114" s="7">
        <v>44019.0</v>
      </c>
      <c r="C3114" s="7">
        <f t="shared" si="1"/>
        <v>44017</v>
      </c>
      <c r="D3114" s="1" t="str">
        <f t="array" ref="D3114">IF(ISBLANK(XLOOKUP(D$3,daily_items,XLOOKUP($C3114,daily_dates,big_daily_table))),NA(),XLOOKUP(D$3,daily_items,XLOOKUP($C3114,daily_dates,big_daily_table)))</f>
        <v>#N/A</v>
      </c>
      <c r="E3114" s="1" t="str">
        <f t="array" ref="E3114">IF(ISBLANK(XLOOKUP(E$3,daily_items,XLOOKUP($C3114,daily_dates,big_daily_table))),NA(),XLOOKUP(E$3,daily_items,XLOOKUP($C3114,daily_dates,big_daily_table)))</f>
        <v>#N/A</v>
      </c>
    </row>
    <row r="3115" ht="14.25" customHeight="1">
      <c r="B3115" s="7">
        <v>44020.0</v>
      </c>
      <c r="C3115" s="7">
        <f t="shared" si="1"/>
        <v>44017</v>
      </c>
      <c r="D3115" s="1" t="str">
        <f t="array" ref="D3115">IF(ISBLANK(XLOOKUP(D$3,daily_items,XLOOKUP($C3115,daily_dates,big_daily_table))),NA(),XLOOKUP(D$3,daily_items,XLOOKUP($C3115,daily_dates,big_daily_table)))</f>
        <v>#N/A</v>
      </c>
      <c r="E3115" s="1" t="str">
        <f t="array" ref="E3115">IF(ISBLANK(XLOOKUP(E$3,daily_items,XLOOKUP($C3115,daily_dates,big_daily_table))),NA(),XLOOKUP(E$3,daily_items,XLOOKUP($C3115,daily_dates,big_daily_table)))</f>
        <v>#N/A</v>
      </c>
    </row>
    <row r="3116" ht="14.25" customHeight="1">
      <c r="B3116" s="7">
        <v>44021.0</v>
      </c>
      <c r="C3116" s="7">
        <f t="shared" si="1"/>
        <v>44017</v>
      </c>
      <c r="D3116" s="1" t="str">
        <f t="array" ref="D3116">IF(ISBLANK(XLOOKUP(D$3,daily_items,XLOOKUP($C3116,daily_dates,big_daily_table))),NA(),XLOOKUP(D$3,daily_items,XLOOKUP($C3116,daily_dates,big_daily_table)))</f>
        <v>#N/A</v>
      </c>
      <c r="E3116" s="1" t="str">
        <f t="array" ref="E3116">IF(ISBLANK(XLOOKUP(E$3,daily_items,XLOOKUP($C3116,daily_dates,big_daily_table))),NA(),XLOOKUP(E$3,daily_items,XLOOKUP($C3116,daily_dates,big_daily_table)))</f>
        <v>#N/A</v>
      </c>
    </row>
    <row r="3117" ht="14.25" customHeight="1">
      <c r="B3117" s="7">
        <v>44022.0</v>
      </c>
      <c r="C3117" s="7">
        <f t="shared" si="1"/>
        <v>44017</v>
      </c>
      <c r="D3117" s="1" t="str">
        <f t="array" ref="D3117">IF(ISBLANK(XLOOKUP(D$3,daily_items,XLOOKUP($C3117,daily_dates,big_daily_table))),NA(),XLOOKUP(D$3,daily_items,XLOOKUP($C3117,daily_dates,big_daily_table)))</f>
        <v>#N/A</v>
      </c>
      <c r="E3117" s="1" t="str">
        <f t="array" ref="E3117">IF(ISBLANK(XLOOKUP(E$3,daily_items,XLOOKUP($C3117,daily_dates,big_daily_table))),NA(),XLOOKUP(E$3,daily_items,XLOOKUP($C3117,daily_dates,big_daily_table)))</f>
        <v>#N/A</v>
      </c>
    </row>
    <row r="3118" ht="14.25" customHeight="1">
      <c r="B3118" s="7">
        <v>44023.0</v>
      </c>
      <c r="C3118" s="7">
        <f t="shared" si="1"/>
        <v>44017</v>
      </c>
      <c r="D3118" s="1" t="str">
        <f t="array" ref="D3118">IF(ISBLANK(XLOOKUP(D$3,daily_items,XLOOKUP($C3118,daily_dates,big_daily_table))),NA(),XLOOKUP(D$3,daily_items,XLOOKUP($C3118,daily_dates,big_daily_table)))</f>
        <v>#N/A</v>
      </c>
      <c r="E3118" s="1" t="str">
        <f t="array" ref="E3118">IF(ISBLANK(XLOOKUP(E$3,daily_items,XLOOKUP($C3118,daily_dates,big_daily_table))),NA(),XLOOKUP(E$3,daily_items,XLOOKUP($C3118,daily_dates,big_daily_table)))</f>
        <v>#N/A</v>
      </c>
    </row>
    <row r="3119" ht="14.25" customHeight="1">
      <c r="B3119" s="7">
        <v>44024.0</v>
      </c>
      <c r="C3119" s="7">
        <f t="shared" si="1"/>
        <v>44024</v>
      </c>
      <c r="D3119" s="1" t="str">
        <f t="array" ref="D3119">IF(ISBLANK(XLOOKUP(D$3,daily_items,XLOOKUP($C3119,daily_dates,big_daily_table))),NA(),XLOOKUP(D$3,daily_items,XLOOKUP($C3119,daily_dates,big_daily_table)))</f>
        <v>#N/A</v>
      </c>
      <c r="E3119" s="1" t="str">
        <f t="array" ref="E3119">IF(ISBLANK(XLOOKUP(E$3,daily_items,XLOOKUP($C3119,daily_dates,big_daily_table))),NA(),XLOOKUP(E$3,daily_items,XLOOKUP($C3119,daily_dates,big_daily_table)))</f>
        <v>#N/A</v>
      </c>
    </row>
    <row r="3120" ht="14.25" customHeight="1">
      <c r="B3120" s="7">
        <v>44025.0</v>
      </c>
      <c r="C3120" s="7">
        <f t="shared" si="1"/>
        <v>44024</v>
      </c>
      <c r="D3120" s="1" t="str">
        <f t="array" ref="D3120">IF(ISBLANK(XLOOKUP(D$3,daily_items,XLOOKUP($C3120,daily_dates,big_daily_table))),NA(),XLOOKUP(D$3,daily_items,XLOOKUP($C3120,daily_dates,big_daily_table)))</f>
        <v>#N/A</v>
      </c>
      <c r="E3120" s="1" t="str">
        <f t="array" ref="E3120">IF(ISBLANK(XLOOKUP(E$3,daily_items,XLOOKUP($C3120,daily_dates,big_daily_table))),NA(),XLOOKUP(E$3,daily_items,XLOOKUP($C3120,daily_dates,big_daily_table)))</f>
        <v>#N/A</v>
      </c>
    </row>
    <row r="3121" ht="14.25" customHeight="1">
      <c r="B3121" s="7">
        <v>44026.0</v>
      </c>
      <c r="C3121" s="7">
        <f t="shared" si="1"/>
        <v>44024</v>
      </c>
      <c r="D3121" s="1" t="str">
        <f t="array" ref="D3121">IF(ISBLANK(XLOOKUP(D$3,daily_items,XLOOKUP($C3121,daily_dates,big_daily_table))),NA(),XLOOKUP(D$3,daily_items,XLOOKUP($C3121,daily_dates,big_daily_table)))</f>
        <v>#N/A</v>
      </c>
      <c r="E3121" s="1" t="str">
        <f t="array" ref="E3121">IF(ISBLANK(XLOOKUP(E$3,daily_items,XLOOKUP($C3121,daily_dates,big_daily_table))),NA(),XLOOKUP(E$3,daily_items,XLOOKUP($C3121,daily_dates,big_daily_table)))</f>
        <v>#N/A</v>
      </c>
    </row>
    <row r="3122" ht="14.25" customHeight="1">
      <c r="B3122" s="7">
        <v>44027.0</v>
      </c>
      <c r="C3122" s="7">
        <f t="shared" si="1"/>
        <v>44024</v>
      </c>
      <c r="D3122" s="1" t="str">
        <f t="array" ref="D3122">IF(ISBLANK(XLOOKUP(D$3,daily_items,XLOOKUP($C3122,daily_dates,big_daily_table))),NA(),XLOOKUP(D$3,daily_items,XLOOKUP($C3122,daily_dates,big_daily_table)))</f>
        <v>#N/A</v>
      </c>
      <c r="E3122" s="1" t="str">
        <f t="array" ref="E3122">IF(ISBLANK(XLOOKUP(E$3,daily_items,XLOOKUP($C3122,daily_dates,big_daily_table))),NA(),XLOOKUP(E$3,daily_items,XLOOKUP($C3122,daily_dates,big_daily_table)))</f>
        <v>#N/A</v>
      </c>
    </row>
    <row r="3123" ht="14.25" customHeight="1">
      <c r="B3123" s="7">
        <v>44028.0</v>
      </c>
      <c r="C3123" s="7">
        <f t="shared" si="1"/>
        <v>44024</v>
      </c>
      <c r="D3123" s="1" t="str">
        <f t="array" ref="D3123">IF(ISBLANK(XLOOKUP(D$3,daily_items,XLOOKUP($C3123,daily_dates,big_daily_table))),NA(),XLOOKUP(D$3,daily_items,XLOOKUP($C3123,daily_dates,big_daily_table)))</f>
        <v>#N/A</v>
      </c>
      <c r="E3123" s="1" t="str">
        <f t="array" ref="E3123">IF(ISBLANK(XLOOKUP(E$3,daily_items,XLOOKUP($C3123,daily_dates,big_daily_table))),NA(),XLOOKUP(E$3,daily_items,XLOOKUP($C3123,daily_dates,big_daily_table)))</f>
        <v>#N/A</v>
      </c>
    </row>
    <row r="3124" ht="14.25" customHeight="1">
      <c r="B3124" s="7">
        <v>44029.0</v>
      </c>
      <c r="C3124" s="7">
        <f t="shared" si="1"/>
        <v>44024</v>
      </c>
      <c r="D3124" s="1" t="str">
        <f t="array" ref="D3124">IF(ISBLANK(XLOOKUP(D$3,daily_items,XLOOKUP($C3124,daily_dates,big_daily_table))),NA(),XLOOKUP(D$3,daily_items,XLOOKUP($C3124,daily_dates,big_daily_table)))</f>
        <v>#N/A</v>
      </c>
      <c r="E3124" s="1" t="str">
        <f t="array" ref="E3124">IF(ISBLANK(XLOOKUP(E$3,daily_items,XLOOKUP($C3124,daily_dates,big_daily_table))),NA(),XLOOKUP(E$3,daily_items,XLOOKUP($C3124,daily_dates,big_daily_table)))</f>
        <v>#N/A</v>
      </c>
    </row>
    <row r="3125" ht="14.25" customHeight="1">
      <c r="B3125" s="7">
        <v>44030.0</v>
      </c>
      <c r="C3125" s="7">
        <f t="shared" si="1"/>
        <v>44024</v>
      </c>
      <c r="D3125" s="1" t="str">
        <f t="array" ref="D3125">IF(ISBLANK(XLOOKUP(D$3,daily_items,XLOOKUP($C3125,daily_dates,big_daily_table))),NA(),XLOOKUP(D$3,daily_items,XLOOKUP($C3125,daily_dates,big_daily_table)))</f>
        <v>#N/A</v>
      </c>
      <c r="E3125" s="1" t="str">
        <f t="array" ref="E3125">IF(ISBLANK(XLOOKUP(E$3,daily_items,XLOOKUP($C3125,daily_dates,big_daily_table))),NA(),XLOOKUP(E$3,daily_items,XLOOKUP($C3125,daily_dates,big_daily_table)))</f>
        <v>#N/A</v>
      </c>
    </row>
    <row r="3126" ht="14.25" customHeight="1">
      <c r="B3126" s="7">
        <v>44031.0</v>
      </c>
      <c r="C3126" s="7">
        <f t="shared" si="1"/>
        <v>44031</v>
      </c>
      <c r="D3126" s="1" t="str">
        <f t="array" ref="D3126">IF(ISBLANK(XLOOKUP(D$3,daily_items,XLOOKUP($C3126,daily_dates,big_daily_table))),NA(),XLOOKUP(D$3,daily_items,XLOOKUP($C3126,daily_dates,big_daily_table)))</f>
        <v>#N/A</v>
      </c>
      <c r="E3126" s="1" t="str">
        <f t="array" ref="E3126">IF(ISBLANK(XLOOKUP(E$3,daily_items,XLOOKUP($C3126,daily_dates,big_daily_table))),NA(),XLOOKUP(E$3,daily_items,XLOOKUP($C3126,daily_dates,big_daily_table)))</f>
        <v>#N/A</v>
      </c>
    </row>
    <row r="3127" ht="14.25" customHeight="1">
      <c r="B3127" s="7">
        <v>44032.0</v>
      </c>
      <c r="C3127" s="7">
        <f t="shared" si="1"/>
        <v>44031</v>
      </c>
      <c r="D3127" s="1" t="str">
        <f t="array" ref="D3127">IF(ISBLANK(XLOOKUP(D$3,daily_items,XLOOKUP($C3127,daily_dates,big_daily_table))),NA(),XLOOKUP(D$3,daily_items,XLOOKUP($C3127,daily_dates,big_daily_table)))</f>
        <v>#N/A</v>
      </c>
      <c r="E3127" s="1" t="str">
        <f t="array" ref="E3127">IF(ISBLANK(XLOOKUP(E$3,daily_items,XLOOKUP($C3127,daily_dates,big_daily_table))),NA(),XLOOKUP(E$3,daily_items,XLOOKUP($C3127,daily_dates,big_daily_table)))</f>
        <v>#N/A</v>
      </c>
    </row>
    <row r="3128" ht="14.25" customHeight="1">
      <c r="B3128" s="7">
        <v>44033.0</v>
      </c>
      <c r="C3128" s="7">
        <f t="shared" si="1"/>
        <v>44031</v>
      </c>
      <c r="D3128" s="1" t="str">
        <f t="array" ref="D3128">IF(ISBLANK(XLOOKUP(D$3,daily_items,XLOOKUP($C3128,daily_dates,big_daily_table))),NA(),XLOOKUP(D$3,daily_items,XLOOKUP($C3128,daily_dates,big_daily_table)))</f>
        <v>#N/A</v>
      </c>
      <c r="E3128" s="1" t="str">
        <f t="array" ref="E3128">IF(ISBLANK(XLOOKUP(E$3,daily_items,XLOOKUP($C3128,daily_dates,big_daily_table))),NA(),XLOOKUP(E$3,daily_items,XLOOKUP($C3128,daily_dates,big_daily_table)))</f>
        <v>#N/A</v>
      </c>
    </row>
    <row r="3129" ht="14.25" customHeight="1">
      <c r="B3129" s="7">
        <v>44034.0</v>
      </c>
      <c r="C3129" s="7">
        <f t="shared" si="1"/>
        <v>44031</v>
      </c>
      <c r="D3129" s="1" t="str">
        <f t="array" ref="D3129">IF(ISBLANK(XLOOKUP(D$3,daily_items,XLOOKUP($C3129,daily_dates,big_daily_table))),NA(),XLOOKUP(D$3,daily_items,XLOOKUP($C3129,daily_dates,big_daily_table)))</f>
        <v>#N/A</v>
      </c>
      <c r="E3129" s="1" t="str">
        <f t="array" ref="E3129">IF(ISBLANK(XLOOKUP(E$3,daily_items,XLOOKUP($C3129,daily_dates,big_daily_table))),NA(),XLOOKUP(E$3,daily_items,XLOOKUP($C3129,daily_dates,big_daily_table)))</f>
        <v>#N/A</v>
      </c>
    </row>
    <row r="3130" ht="14.25" customHeight="1">
      <c r="B3130" s="7">
        <v>44035.0</v>
      </c>
      <c r="C3130" s="7">
        <f t="shared" si="1"/>
        <v>44031</v>
      </c>
      <c r="D3130" s="1" t="str">
        <f t="array" ref="D3130">IF(ISBLANK(XLOOKUP(D$3,daily_items,XLOOKUP($C3130,daily_dates,big_daily_table))),NA(),XLOOKUP(D$3,daily_items,XLOOKUP($C3130,daily_dates,big_daily_table)))</f>
        <v>#N/A</v>
      </c>
      <c r="E3130" s="1" t="str">
        <f t="array" ref="E3130">IF(ISBLANK(XLOOKUP(E$3,daily_items,XLOOKUP($C3130,daily_dates,big_daily_table))),NA(),XLOOKUP(E$3,daily_items,XLOOKUP($C3130,daily_dates,big_daily_table)))</f>
        <v>#N/A</v>
      </c>
    </row>
    <row r="3131" ht="14.25" customHeight="1">
      <c r="B3131" s="7">
        <v>44036.0</v>
      </c>
      <c r="C3131" s="7">
        <f t="shared" si="1"/>
        <v>44031</v>
      </c>
      <c r="D3131" s="1" t="str">
        <f t="array" ref="D3131">IF(ISBLANK(XLOOKUP(D$3,daily_items,XLOOKUP($C3131,daily_dates,big_daily_table))),NA(),XLOOKUP(D$3,daily_items,XLOOKUP($C3131,daily_dates,big_daily_table)))</f>
        <v>#N/A</v>
      </c>
      <c r="E3131" s="1" t="str">
        <f t="array" ref="E3131">IF(ISBLANK(XLOOKUP(E$3,daily_items,XLOOKUP($C3131,daily_dates,big_daily_table))),NA(),XLOOKUP(E$3,daily_items,XLOOKUP($C3131,daily_dates,big_daily_table)))</f>
        <v>#N/A</v>
      </c>
    </row>
    <row r="3132" ht="14.25" customHeight="1">
      <c r="B3132" s="7">
        <v>44037.0</v>
      </c>
      <c r="C3132" s="7">
        <f t="shared" si="1"/>
        <v>44031</v>
      </c>
      <c r="D3132" s="1" t="str">
        <f t="array" ref="D3132">IF(ISBLANK(XLOOKUP(D$3,daily_items,XLOOKUP($C3132,daily_dates,big_daily_table))),NA(),XLOOKUP(D$3,daily_items,XLOOKUP($C3132,daily_dates,big_daily_table)))</f>
        <v>#N/A</v>
      </c>
      <c r="E3132" s="1" t="str">
        <f t="array" ref="E3132">IF(ISBLANK(XLOOKUP(E$3,daily_items,XLOOKUP($C3132,daily_dates,big_daily_table))),NA(),XLOOKUP(E$3,daily_items,XLOOKUP($C3132,daily_dates,big_daily_table)))</f>
        <v>#N/A</v>
      </c>
    </row>
    <row r="3133" ht="14.25" customHeight="1">
      <c r="B3133" s="7">
        <v>44038.0</v>
      </c>
      <c r="C3133" s="7">
        <f t="shared" si="1"/>
        <v>44038</v>
      </c>
      <c r="D3133" s="1" t="str">
        <f t="array" ref="D3133">IF(ISBLANK(XLOOKUP(D$3,daily_items,XLOOKUP($C3133,daily_dates,big_daily_table))),NA(),XLOOKUP(D$3,daily_items,XLOOKUP($C3133,daily_dates,big_daily_table)))</f>
        <v>#N/A</v>
      </c>
      <c r="E3133" s="1" t="str">
        <f t="array" ref="E3133">IF(ISBLANK(XLOOKUP(E$3,daily_items,XLOOKUP($C3133,daily_dates,big_daily_table))),NA(),XLOOKUP(E$3,daily_items,XLOOKUP($C3133,daily_dates,big_daily_table)))</f>
        <v>#N/A</v>
      </c>
    </row>
    <row r="3134" ht="14.25" customHeight="1">
      <c r="B3134" s="7">
        <v>44039.0</v>
      </c>
      <c r="C3134" s="7">
        <f t="shared" si="1"/>
        <v>44038</v>
      </c>
      <c r="D3134" s="1" t="str">
        <f t="array" ref="D3134">IF(ISBLANK(XLOOKUP(D$3,daily_items,XLOOKUP($C3134,daily_dates,big_daily_table))),NA(),XLOOKUP(D$3,daily_items,XLOOKUP($C3134,daily_dates,big_daily_table)))</f>
        <v>#N/A</v>
      </c>
      <c r="E3134" s="1" t="str">
        <f t="array" ref="E3134">IF(ISBLANK(XLOOKUP(E$3,daily_items,XLOOKUP($C3134,daily_dates,big_daily_table))),NA(),XLOOKUP(E$3,daily_items,XLOOKUP($C3134,daily_dates,big_daily_table)))</f>
        <v>#N/A</v>
      </c>
    </row>
    <row r="3135" ht="14.25" customHeight="1">
      <c r="B3135" s="7">
        <v>44040.0</v>
      </c>
      <c r="C3135" s="7">
        <f t="shared" si="1"/>
        <v>44038</v>
      </c>
      <c r="D3135" s="1" t="str">
        <f t="array" ref="D3135">IF(ISBLANK(XLOOKUP(D$3,daily_items,XLOOKUP($C3135,daily_dates,big_daily_table))),NA(),XLOOKUP(D$3,daily_items,XLOOKUP($C3135,daily_dates,big_daily_table)))</f>
        <v>#N/A</v>
      </c>
      <c r="E3135" s="1" t="str">
        <f t="array" ref="E3135">IF(ISBLANK(XLOOKUP(E$3,daily_items,XLOOKUP($C3135,daily_dates,big_daily_table))),NA(),XLOOKUP(E$3,daily_items,XLOOKUP($C3135,daily_dates,big_daily_table)))</f>
        <v>#N/A</v>
      </c>
    </row>
    <row r="3136" ht="14.25" customHeight="1">
      <c r="B3136" s="7">
        <v>44041.0</v>
      </c>
      <c r="C3136" s="7">
        <f t="shared" si="1"/>
        <v>44038</v>
      </c>
      <c r="D3136" s="1" t="str">
        <f t="array" ref="D3136">IF(ISBLANK(XLOOKUP(D$3,daily_items,XLOOKUP($C3136,daily_dates,big_daily_table))),NA(),XLOOKUP(D$3,daily_items,XLOOKUP($C3136,daily_dates,big_daily_table)))</f>
        <v>#N/A</v>
      </c>
      <c r="E3136" s="1" t="str">
        <f t="array" ref="E3136">IF(ISBLANK(XLOOKUP(E$3,daily_items,XLOOKUP($C3136,daily_dates,big_daily_table))),NA(),XLOOKUP(E$3,daily_items,XLOOKUP($C3136,daily_dates,big_daily_table)))</f>
        <v>#N/A</v>
      </c>
    </row>
    <row r="3137" ht="14.25" customHeight="1">
      <c r="B3137" s="7">
        <v>44042.0</v>
      </c>
      <c r="C3137" s="7">
        <f t="shared" si="1"/>
        <v>44038</v>
      </c>
      <c r="D3137" s="1" t="str">
        <f t="array" ref="D3137">IF(ISBLANK(XLOOKUP(D$3,daily_items,XLOOKUP($C3137,daily_dates,big_daily_table))),NA(),XLOOKUP(D$3,daily_items,XLOOKUP($C3137,daily_dates,big_daily_table)))</f>
        <v>#N/A</v>
      </c>
      <c r="E3137" s="1" t="str">
        <f t="array" ref="E3137">IF(ISBLANK(XLOOKUP(E$3,daily_items,XLOOKUP($C3137,daily_dates,big_daily_table))),NA(),XLOOKUP(E$3,daily_items,XLOOKUP($C3137,daily_dates,big_daily_table)))</f>
        <v>#N/A</v>
      </c>
    </row>
    <row r="3138" ht="14.25" customHeight="1">
      <c r="B3138" s="7">
        <v>44043.0</v>
      </c>
      <c r="C3138" s="7">
        <f t="shared" si="1"/>
        <v>44038</v>
      </c>
      <c r="D3138" s="1" t="str">
        <f t="array" ref="D3138">IF(ISBLANK(XLOOKUP(D$3,daily_items,XLOOKUP($C3138,daily_dates,big_daily_table))),NA(),XLOOKUP(D$3,daily_items,XLOOKUP($C3138,daily_dates,big_daily_table)))</f>
        <v>#N/A</v>
      </c>
      <c r="E3138" s="1" t="str">
        <f t="array" ref="E3138">IF(ISBLANK(XLOOKUP(E$3,daily_items,XLOOKUP($C3138,daily_dates,big_daily_table))),NA(),XLOOKUP(E$3,daily_items,XLOOKUP($C3138,daily_dates,big_daily_table)))</f>
        <v>#N/A</v>
      </c>
    </row>
    <row r="3139" ht="14.25" customHeight="1">
      <c r="B3139" s="7">
        <v>44044.0</v>
      </c>
      <c r="C3139" s="7">
        <f t="shared" si="1"/>
        <v>44038</v>
      </c>
      <c r="D3139" s="1" t="str">
        <f t="array" ref="D3139">IF(ISBLANK(XLOOKUP(D$3,daily_items,XLOOKUP($C3139,daily_dates,big_daily_table))),NA(),XLOOKUP(D$3,daily_items,XLOOKUP($C3139,daily_dates,big_daily_table)))</f>
        <v>#N/A</v>
      </c>
      <c r="E3139" s="1" t="str">
        <f t="array" ref="E3139">IF(ISBLANK(XLOOKUP(E$3,daily_items,XLOOKUP($C3139,daily_dates,big_daily_table))),NA(),XLOOKUP(E$3,daily_items,XLOOKUP($C3139,daily_dates,big_daily_table)))</f>
        <v>#N/A</v>
      </c>
    </row>
    <row r="3140" ht="14.25" customHeight="1">
      <c r="B3140" s="7">
        <v>44045.0</v>
      </c>
      <c r="C3140" s="7">
        <f t="shared" si="1"/>
        <v>44045</v>
      </c>
      <c r="D3140" s="1" t="str">
        <f t="array" ref="D3140">IF(ISBLANK(XLOOKUP(D$3,daily_items,XLOOKUP($C3140,daily_dates,big_daily_table))),NA(),XLOOKUP(D$3,daily_items,XLOOKUP($C3140,daily_dates,big_daily_table)))</f>
        <v>#N/A</v>
      </c>
      <c r="E3140" s="1" t="str">
        <f t="array" ref="E3140">IF(ISBLANK(XLOOKUP(E$3,daily_items,XLOOKUP($C3140,daily_dates,big_daily_table))),NA(),XLOOKUP(E$3,daily_items,XLOOKUP($C3140,daily_dates,big_daily_table)))</f>
        <v>#N/A</v>
      </c>
    </row>
    <row r="3141" ht="14.25" customHeight="1">
      <c r="B3141" s="7">
        <v>44046.0</v>
      </c>
      <c r="C3141" s="7">
        <f t="shared" si="1"/>
        <v>44045</v>
      </c>
      <c r="D3141" s="1" t="str">
        <f t="array" ref="D3141">IF(ISBLANK(XLOOKUP(D$3,daily_items,XLOOKUP($C3141,daily_dates,big_daily_table))),NA(),XLOOKUP(D$3,daily_items,XLOOKUP($C3141,daily_dates,big_daily_table)))</f>
        <v>#N/A</v>
      </c>
      <c r="E3141" s="1" t="str">
        <f t="array" ref="E3141">IF(ISBLANK(XLOOKUP(E$3,daily_items,XLOOKUP($C3141,daily_dates,big_daily_table))),NA(),XLOOKUP(E$3,daily_items,XLOOKUP($C3141,daily_dates,big_daily_table)))</f>
        <v>#N/A</v>
      </c>
    </row>
    <row r="3142" ht="14.25" customHeight="1">
      <c r="B3142" s="7">
        <v>44047.0</v>
      </c>
      <c r="C3142" s="7">
        <f t="shared" si="1"/>
        <v>44045</v>
      </c>
      <c r="D3142" s="1" t="str">
        <f t="array" ref="D3142">IF(ISBLANK(XLOOKUP(D$3,daily_items,XLOOKUP($C3142,daily_dates,big_daily_table))),NA(),XLOOKUP(D$3,daily_items,XLOOKUP($C3142,daily_dates,big_daily_table)))</f>
        <v>#N/A</v>
      </c>
      <c r="E3142" s="1" t="str">
        <f t="array" ref="E3142">IF(ISBLANK(XLOOKUP(E$3,daily_items,XLOOKUP($C3142,daily_dates,big_daily_table))),NA(),XLOOKUP(E$3,daily_items,XLOOKUP($C3142,daily_dates,big_daily_table)))</f>
        <v>#N/A</v>
      </c>
    </row>
    <row r="3143" ht="14.25" customHeight="1">
      <c r="B3143" s="7">
        <v>44048.0</v>
      </c>
      <c r="C3143" s="7">
        <f t="shared" si="1"/>
        <v>44045</v>
      </c>
      <c r="D3143" s="1" t="str">
        <f t="array" ref="D3143">IF(ISBLANK(XLOOKUP(D$3,daily_items,XLOOKUP($C3143,daily_dates,big_daily_table))),NA(),XLOOKUP(D$3,daily_items,XLOOKUP($C3143,daily_dates,big_daily_table)))</f>
        <v>#N/A</v>
      </c>
      <c r="E3143" s="1" t="str">
        <f t="array" ref="E3143">IF(ISBLANK(XLOOKUP(E$3,daily_items,XLOOKUP($C3143,daily_dates,big_daily_table))),NA(),XLOOKUP(E$3,daily_items,XLOOKUP($C3143,daily_dates,big_daily_table)))</f>
        <v>#N/A</v>
      </c>
    </row>
    <row r="3144" ht="14.25" customHeight="1">
      <c r="B3144" s="7">
        <v>44049.0</v>
      </c>
      <c r="C3144" s="7">
        <f t="shared" si="1"/>
        <v>44045</v>
      </c>
      <c r="D3144" s="1" t="str">
        <f t="array" ref="D3144">IF(ISBLANK(XLOOKUP(D$3,daily_items,XLOOKUP($C3144,daily_dates,big_daily_table))),NA(),XLOOKUP(D$3,daily_items,XLOOKUP($C3144,daily_dates,big_daily_table)))</f>
        <v>#N/A</v>
      </c>
      <c r="E3144" s="1" t="str">
        <f t="array" ref="E3144">IF(ISBLANK(XLOOKUP(E$3,daily_items,XLOOKUP($C3144,daily_dates,big_daily_table))),NA(),XLOOKUP(E$3,daily_items,XLOOKUP($C3144,daily_dates,big_daily_table)))</f>
        <v>#N/A</v>
      </c>
    </row>
    <row r="3145" ht="14.25" customHeight="1">
      <c r="B3145" s="7">
        <v>44050.0</v>
      </c>
      <c r="C3145" s="7">
        <f t="shared" si="1"/>
        <v>44045</v>
      </c>
      <c r="D3145" s="1" t="str">
        <f t="array" ref="D3145">IF(ISBLANK(XLOOKUP(D$3,daily_items,XLOOKUP($C3145,daily_dates,big_daily_table))),NA(),XLOOKUP(D$3,daily_items,XLOOKUP($C3145,daily_dates,big_daily_table)))</f>
        <v>#N/A</v>
      </c>
      <c r="E3145" s="1" t="str">
        <f t="array" ref="E3145">IF(ISBLANK(XLOOKUP(E$3,daily_items,XLOOKUP($C3145,daily_dates,big_daily_table))),NA(),XLOOKUP(E$3,daily_items,XLOOKUP($C3145,daily_dates,big_daily_table)))</f>
        <v>#N/A</v>
      </c>
    </row>
    <row r="3146" ht="14.25" customHeight="1">
      <c r="B3146" s="7">
        <v>44051.0</v>
      </c>
      <c r="C3146" s="7">
        <f t="shared" si="1"/>
        <v>44045</v>
      </c>
      <c r="D3146" s="1" t="str">
        <f t="array" ref="D3146">IF(ISBLANK(XLOOKUP(D$3,daily_items,XLOOKUP($C3146,daily_dates,big_daily_table))),NA(),XLOOKUP(D$3,daily_items,XLOOKUP($C3146,daily_dates,big_daily_table)))</f>
        <v>#N/A</v>
      </c>
      <c r="E3146" s="1" t="str">
        <f t="array" ref="E3146">IF(ISBLANK(XLOOKUP(E$3,daily_items,XLOOKUP($C3146,daily_dates,big_daily_table))),NA(),XLOOKUP(E$3,daily_items,XLOOKUP($C3146,daily_dates,big_daily_table)))</f>
        <v>#N/A</v>
      </c>
    </row>
    <row r="3147" ht="14.25" customHeight="1">
      <c r="B3147" s="7">
        <v>44052.0</v>
      </c>
      <c r="C3147" s="7">
        <f t="shared" si="1"/>
        <v>44052</v>
      </c>
      <c r="D3147" s="1" t="str">
        <f t="array" ref="D3147">IF(ISBLANK(XLOOKUP(D$3,daily_items,XLOOKUP($C3147,daily_dates,big_daily_table))),NA(),XLOOKUP(D$3,daily_items,XLOOKUP($C3147,daily_dates,big_daily_table)))</f>
        <v>#N/A</v>
      </c>
      <c r="E3147" s="1" t="str">
        <f t="array" ref="E3147">IF(ISBLANK(XLOOKUP(E$3,daily_items,XLOOKUP($C3147,daily_dates,big_daily_table))),NA(),XLOOKUP(E$3,daily_items,XLOOKUP($C3147,daily_dates,big_daily_table)))</f>
        <v>#N/A</v>
      </c>
    </row>
    <row r="3148" ht="14.25" customHeight="1">
      <c r="B3148" s="7">
        <v>44053.0</v>
      </c>
      <c r="C3148" s="7">
        <f t="shared" si="1"/>
        <v>44052</v>
      </c>
      <c r="D3148" s="1" t="str">
        <f t="array" ref="D3148">IF(ISBLANK(XLOOKUP(D$3,daily_items,XLOOKUP($C3148,daily_dates,big_daily_table))),NA(),XLOOKUP(D$3,daily_items,XLOOKUP($C3148,daily_dates,big_daily_table)))</f>
        <v>#N/A</v>
      </c>
      <c r="E3148" s="1" t="str">
        <f t="array" ref="E3148">IF(ISBLANK(XLOOKUP(E$3,daily_items,XLOOKUP($C3148,daily_dates,big_daily_table))),NA(),XLOOKUP(E$3,daily_items,XLOOKUP($C3148,daily_dates,big_daily_table)))</f>
        <v>#N/A</v>
      </c>
    </row>
    <row r="3149" ht="14.25" customHeight="1">
      <c r="B3149" s="7">
        <v>44054.0</v>
      </c>
      <c r="C3149" s="7">
        <f t="shared" si="1"/>
        <v>44052</v>
      </c>
      <c r="D3149" s="1" t="str">
        <f t="array" ref="D3149">IF(ISBLANK(XLOOKUP(D$3,daily_items,XLOOKUP($C3149,daily_dates,big_daily_table))),NA(),XLOOKUP(D$3,daily_items,XLOOKUP($C3149,daily_dates,big_daily_table)))</f>
        <v>#N/A</v>
      </c>
      <c r="E3149" s="1" t="str">
        <f t="array" ref="E3149">IF(ISBLANK(XLOOKUP(E$3,daily_items,XLOOKUP($C3149,daily_dates,big_daily_table))),NA(),XLOOKUP(E$3,daily_items,XLOOKUP($C3149,daily_dates,big_daily_table)))</f>
        <v>#N/A</v>
      </c>
    </row>
    <row r="3150" ht="14.25" customHeight="1">
      <c r="B3150" s="7">
        <v>44055.0</v>
      </c>
      <c r="C3150" s="7">
        <f t="shared" si="1"/>
        <v>44052</v>
      </c>
      <c r="D3150" s="1" t="str">
        <f t="array" ref="D3150">IF(ISBLANK(XLOOKUP(D$3,daily_items,XLOOKUP($C3150,daily_dates,big_daily_table))),NA(),XLOOKUP(D$3,daily_items,XLOOKUP($C3150,daily_dates,big_daily_table)))</f>
        <v>#N/A</v>
      </c>
      <c r="E3150" s="1" t="str">
        <f t="array" ref="E3150">IF(ISBLANK(XLOOKUP(E$3,daily_items,XLOOKUP($C3150,daily_dates,big_daily_table))),NA(),XLOOKUP(E$3,daily_items,XLOOKUP($C3150,daily_dates,big_daily_table)))</f>
        <v>#N/A</v>
      </c>
    </row>
    <row r="3151" ht="14.25" customHeight="1">
      <c r="B3151" s="7">
        <v>44056.0</v>
      </c>
      <c r="C3151" s="7">
        <f t="shared" si="1"/>
        <v>44052</v>
      </c>
      <c r="D3151" s="1" t="str">
        <f t="array" ref="D3151">IF(ISBLANK(XLOOKUP(D$3,daily_items,XLOOKUP($C3151,daily_dates,big_daily_table))),NA(),XLOOKUP(D$3,daily_items,XLOOKUP($C3151,daily_dates,big_daily_table)))</f>
        <v>#N/A</v>
      </c>
      <c r="E3151" s="1" t="str">
        <f t="array" ref="E3151">IF(ISBLANK(XLOOKUP(E$3,daily_items,XLOOKUP($C3151,daily_dates,big_daily_table))),NA(),XLOOKUP(E$3,daily_items,XLOOKUP($C3151,daily_dates,big_daily_table)))</f>
        <v>#N/A</v>
      </c>
    </row>
    <row r="3152" ht="14.25" customHeight="1">
      <c r="B3152" s="7">
        <v>44057.0</v>
      </c>
      <c r="C3152" s="7">
        <f t="shared" si="1"/>
        <v>44052</v>
      </c>
      <c r="D3152" s="1" t="str">
        <f t="array" ref="D3152">IF(ISBLANK(XLOOKUP(D$3,daily_items,XLOOKUP($C3152,daily_dates,big_daily_table))),NA(),XLOOKUP(D$3,daily_items,XLOOKUP($C3152,daily_dates,big_daily_table)))</f>
        <v>#N/A</v>
      </c>
      <c r="E3152" s="1" t="str">
        <f t="array" ref="E3152">IF(ISBLANK(XLOOKUP(E$3,daily_items,XLOOKUP($C3152,daily_dates,big_daily_table))),NA(),XLOOKUP(E$3,daily_items,XLOOKUP($C3152,daily_dates,big_daily_table)))</f>
        <v>#N/A</v>
      </c>
    </row>
    <row r="3153" ht="14.25" customHeight="1">
      <c r="B3153" s="7">
        <v>44058.0</v>
      </c>
      <c r="C3153" s="7">
        <f t="shared" si="1"/>
        <v>44052</v>
      </c>
      <c r="D3153" s="1" t="str">
        <f t="array" ref="D3153">IF(ISBLANK(XLOOKUP(D$3,daily_items,XLOOKUP($C3153,daily_dates,big_daily_table))),NA(),XLOOKUP(D$3,daily_items,XLOOKUP($C3153,daily_dates,big_daily_table)))</f>
        <v>#N/A</v>
      </c>
      <c r="E3153" s="1" t="str">
        <f t="array" ref="E3153">IF(ISBLANK(XLOOKUP(E$3,daily_items,XLOOKUP($C3153,daily_dates,big_daily_table))),NA(),XLOOKUP(E$3,daily_items,XLOOKUP($C3153,daily_dates,big_daily_table)))</f>
        <v>#N/A</v>
      </c>
    </row>
    <row r="3154" ht="14.25" customHeight="1">
      <c r="B3154" s="7">
        <v>44059.0</v>
      </c>
      <c r="C3154" s="7">
        <f t="shared" si="1"/>
        <v>44059</v>
      </c>
      <c r="D3154" s="1" t="str">
        <f t="array" ref="D3154">IF(ISBLANK(XLOOKUP(D$3,daily_items,XLOOKUP($C3154,daily_dates,big_daily_table))),NA(),XLOOKUP(D$3,daily_items,XLOOKUP($C3154,daily_dates,big_daily_table)))</f>
        <v>#N/A</v>
      </c>
      <c r="E3154" s="1" t="str">
        <f t="array" ref="E3154">IF(ISBLANK(XLOOKUP(E$3,daily_items,XLOOKUP($C3154,daily_dates,big_daily_table))),NA(),XLOOKUP(E$3,daily_items,XLOOKUP($C3154,daily_dates,big_daily_table)))</f>
        <v>#N/A</v>
      </c>
    </row>
    <row r="3155" ht="14.25" customHeight="1">
      <c r="B3155" s="7">
        <v>44060.0</v>
      </c>
      <c r="C3155" s="7">
        <f t="shared" si="1"/>
        <v>44059</v>
      </c>
      <c r="D3155" s="1" t="str">
        <f t="array" ref="D3155">IF(ISBLANK(XLOOKUP(D$3,daily_items,XLOOKUP($C3155,daily_dates,big_daily_table))),NA(),XLOOKUP(D$3,daily_items,XLOOKUP($C3155,daily_dates,big_daily_table)))</f>
        <v>#N/A</v>
      </c>
      <c r="E3155" s="1" t="str">
        <f t="array" ref="E3155">IF(ISBLANK(XLOOKUP(E$3,daily_items,XLOOKUP($C3155,daily_dates,big_daily_table))),NA(),XLOOKUP(E$3,daily_items,XLOOKUP($C3155,daily_dates,big_daily_table)))</f>
        <v>#N/A</v>
      </c>
    </row>
    <row r="3156" ht="14.25" customHeight="1">
      <c r="B3156" s="7">
        <v>44061.0</v>
      </c>
      <c r="C3156" s="7">
        <f t="shared" si="1"/>
        <v>44059</v>
      </c>
      <c r="D3156" s="1" t="str">
        <f t="array" ref="D3156">IF(ISBLANK(XLOOKUP(D$3,daily_items,XLOOKUP($C3156,daily_dates,big_daily_table))),NA(),XLOOKUP(D$3,daily_items,XLOOKUP($C3156,daily_dates,big_daily_table)))</f>
        <v>#N/A</v>
      </c>
      <c r="E3156" s="1" t="str">
        <f t="array" ref="E3156">IF(ISBLANK(XLOOKUP(E$3,daily_items,XLOOKUP($C3156,daily_dates,big_daily_table))),NA(),XLOOKUP(E$3,daily_items,XLOOKUP($C3156,daily_dates,big_daily_table)))</f>
        <v>#N/A</v>
      </c>
    </row>
    <row r="3157" ht="14.25" customHeight="1">
      <c r="B3157" s="7">
        <v>44062.0</v>
      </c>
      <c r="C3157" s="7">
        <f t="shared" si="1"/>
        <v>44059</v>
      </c>
      <c r="D3157" s="1" t="str">
        <f t="array" ref="D3157">IF(ISBLANK(XLOOKUP(D$3,daily_items,XLOOKUP($C3157,daily_dates,big_daily_table))),NA(),XLOOKUP(D$3,daily_items,XLOOKUP($C3157,daily_dates,big_daily_table)))</f>
        <v>#N/A</v>
      </c>
      <c r="E3157" s="1" t="str">
        <f t="array" ref="E3157">IF(ISBLANK(XLOOKUP(E$3,daily_items,XLOOKUP($C3157,daily_dates,big_daily_table))),NA(),XLOOKUP(E$3,daily_items,XLOOKUP($C3157,daily_dates,big_daily_table)))</f>
        <v>#N/A</v>
      </c>
    </row>
    <row r="3158" ht="14.25" customHeight="1">
      <c r="B3158" s="7">
        <v>44063.0</v>
      </c>
      <c r="C3158" s="7">
        <f t="shared" si="1"/>
        <v>44059</v>
      </c>
      <c r="D3158" s="1" t="str">
        <f t="array" ref="D3158">IF(ISBLANK(XLOOKUP(D$3,daily_items,XLOOKUP($C3158,daily_dates,big_daily_table))),NA(),XLOOKUP(D$3,daily_items,XLOOKUP($C3158,daily_dates,big_daily_table)))</f>
        <v>#N/A</v>
      </c>
      <c r="E3158" s="1" t="str">
        <f t="array" ref="E3158">IF(ISBLANK(XLOOKUP(E$3,daily_items,XLOOKUP($C3158,daily_dates,big_daily_table))),NA(),XLOOKUP(E$3,daily_items,XLOOKUP($C3158,daily_dates,big_daily_table)))</f>
        <v>#N/A</v>
      </c>
    </row>
    <row r="3159" ht="14.25" customHeight="1">
      <c r="B3159" s="7">
        <v>44064.0</v>
      </c>
      <c r="C3159" s="7">
        <f t="shared" si="1"/>
        <v>44059</v>
      </c>
      <c r="D3159" s="1" t="str">
        <f t="array" ref="D3159">IF(ISBLANK(XLOOKUP(D$3,daily_items,XLOOKUP($C3159,daily_dates,big_daily_table))),NA(),XLOOKUP(D$3,daily_items,XLOOKUP($C3159,daily_dates,big_daily_table)))</f>
        <v>#N/A</v>
      </c>
      <c r="E3159" s="1" t="str">
        <f t="array" ref="E3159">IF(ISBLANK(XLOOKUP(E$3,daily_items,XLOOKUP($C3159,daily_dates,big_daily_table))),NA(),XLOOKUP(E$3,daily_items,XLOOKUP($C3159,daily_dates,big_daily_table)))</f>
        <v>#N/A</v>
      </c>
    </row>
    <row r="3160" ht="14.25" customHeight="1">
      <c r="B3160" s="7">
        <v>44065.0</v>
      </c>
      <c r="C3160" s="7">
        <f t="shared" si="1"/>
        <v>44059</v>
      </c>
      <c r="D3160" s="1" t="str">
        <f t="array" ref="D3160">IF(ISBLANK(XLOOKUP(D$3,daily_items,XLOOKUP($C3160,daily_dates,big_daily_table))),NA(),XLOOKUP(D$3,daily_items,XLOOKUP($C3160,daily_dates,big_daily_table)))</f>
        <v>#N/A</v>
      </c>
      <c r="E3160" s="1" t="str">
        <f t="array" ref="E3160">IF(ISBLANK(XLOOKUP(E$3,daily_items,XLOOKUP($C3160,daily_dates,big_daily_table))),NA(),XLOOKUP(E$3,daily_items,XLOOKUP($C3160,daily_dates,big_daily_table)))</f>
        <v>#N/A</v>
      </c>
    </row>
    <row r="3161" ht="14.25" customHeight="1">
      <c r="B3161" s="7">
        <v>44066.0</v>
      </c>
      <c r="C3161" s="7">
        <f t="shared" si="1"/>
        <v>44066</v>
      </c>
      <c r="D3161" s="1" t="str">
        <f t="array" ref="D3161">IF(ISBLANK(XLOOKUP(D$3,daily_items,XLOOKUP($C3161,daily_dates,big_daily_table))),NA(),XLOOKUP(D$3,daily_items,XLOOKUP($C3161,daily_dates,big_daily_table)))</f>
        <v>#N/A</v>
      </c>
      <c r="E3161" s="1" t="str">
        <f t="array" ref="E3161">IF(ISBLANK(XLOOKUP(E$3,daily_items,XLOOKUP($C3161,daily_dates,big_daily_table))),NA(),XLOOKUP(E$3,daily_items,XLOOKUP($C3161,daily_dates,big_daily_table)))</f>
        <v>#N/A</v>
      </c>
    </row>
    <row r="3162" ht="14.25" customHeight="1">
      <c r="B3162" s="7">
        <v>44067.0</v>
      </c>
      <c r="C3162" s="7">
        <f t="shared" si="1"/>
        <v>44066</v>
      </c>
      <c r="D3162" s="1" t="str">
        <f t="array" ref="D3162">IF(ISBLANK(XLOOKUP(D$3,daily_items,XLOOKUP($C3162,daily_dates,big_daily_table))),NA(),XLOOKUP(D$3,daily_items,XLOOKUP($C3162,daily_dates,big_daily_table)))</f>
        <v>#N/A</v>
      </c>
      <c r="E3162" s="1" t="str">
        <f t="array" ref="E3162">IF(ISBLANK(XLOOKUP(E$3,daily_items,XLOOKUP($C3162,daily_dates,big_daily_table))),NA(),XLOOKUP(E$3,daily_items,XLOOKUP($C3162,daily_dates,big_daily_table)))</f>
        <v>#N/A</v>
      </c>
    </row>
    <row r="3163" ht="14.25" customHeight="1">
      <c r="B3163" s="7">
        <v>44068.0</v>
      </c>
      <c r="C3163" s="7">
        <f t="shared" si="1"/>
        <v>44066</v>
      </c>
      <c r="D3163" s="1" t="str">
        <f t="array" ref="D3163">IF(ISBLANK(XLOOKUP(D$3,daily_items,XLOOKUP($C3163,daily_dates,big_daily_table))),NA(),XLOOKUP(D$3,daily_items,XLOOKUP($C3163,daily_dates,big_daily_table)))</f>
        <v>#N/A</v>
      </c>
      <c r="E3163" s="1" t="str">
        <f t="array" ref="E3163">IF(ISBLANK(XLOOKUP(E$3,daily_items,XLOOKUP($C3163,daily_dates,big_daily_table))),NA(),XLOOKUP(E$3,daily_items,XLOOKUP($C3163,daily_dates,big_daily_table)))</f>
        <v>#N/A</v>
      </c>
    </row>
    <row r="3164" ht="14.25" customHeight="1">
      <c r="B3164" s="7">
        <v>44069.0</v>
      </c>
      <c r="C3164" s="7">
        <f t="shared" si="1"/>
        <v>44066</v>
      </c>
      <c r="D3164" s="1" t="str">
        <f t="array" ref="D3164">IF(ISBLANK(XLOOKUP(D$3,daily_items,XLOOKUP($C3164,daily_dates,big_daily_table))),NA(),XLOOKUP(D$3,daily_items,XLOOKUP($C3164,daily_dates,big_daily_table)))</f>
        <v>#N/A</v>
      </c>
      <c r="E3164" s="1" t="str">
        <f t="array" ref="E3164">IF(ISBLANK(XLOOKUP(E$3,daily_items,XLOOKUP($C3164,daily_dates,big_daily_table))),NA(),XLOOKUP(E$3,daily_items,XLOOKUP($C3164,daily_dates,big_daily_table)))</f>
        <v>#N/A</v>
      </c>
    </row>
    <row r="3165" ht="14.25" customHeight="1">
      <c r="B3165" s="7">
        <v>44070.0</v>
      </c>
      <c r="C3165" s="7">
        <f t="shared" si="1"/>
        <v>44066</v>
      </c>
      <c r="D3165" s="1" t="str">
        <f t="array" ref="D3165">IF(ISBLANK(XLOOKUP(D$3,daily_items,XLOOKUP($C3165,daily_dates,big_daily_table))),NA(),XLOOKUP(D$3,daily_items,XLOOKUP($C3165,daily_dates,big_daily_table)))</f>
        <v>#N/A</v>
      </c>
      <c r="E3165" s="1" t="str">
        <f t="array" ref="E3165">IF(ISBLANK(XLOOKUP(E$3,daily_items,XLOOKUP($C3165,daily_dates,big_daily_table))),NA(),XLOOKUP(E$3,daily_items,XLOOKUP($C3165,daily_dates,big_daily_table)))</f>
        <v>#N/A</v>
      </c>
    </row>
    <row r="3166" ht="14.25" customHeight="1">
      <c r="B3166" s="7">
        <v>44071.0</v>
      </c>
      <c r="C3166" s="7">
        <f t="shared" si="1"/>
        <v>44066</v>
      </c>
      <c r="D3166" s="1" t="str">
        <f t="array" ref="D3166">IF(ISBLANK(XLOOKUP(D$3,daily_items,XLOOKUP($C3166,daily_dates,big_daily_table))),NA(),XLOOKUP(D$3,daily_items,XLOOKUP($C3166,daily_dates,big_daily_table)))</f>
        <v>#N/A</v>
      </c>
      <c r="E3166" s="1" t="str">
        <f t="array" ref="E3166">IF(ISBLANK(XLOOKUP(E$3,daily_items,XLOOKUP($C3166,daily_dates,big_daily_table))),NA(),XLOOKUP(E$3,daily_items,XLOOKUP($C3166,daily_dates,big_daily_table)))</f>
        <v>#N/A</v>
      </c>
    </row>
    <row r="3167" ht="14.25" customHeight="1">
      <c r="B3167" s="7">
        <v>44072.0</v>
      </c>
      <c r="C3167" s="7">
        <f t="shared" si="1"/>
        <v>44066</v>
      </c>
      <c r="D3167" s="1" t="str">
        <f t="array" ref="D3167">IF(ISBLANK(XLOOKUP(D$3,daily_items,XLOOKUP($C3167,daily_dates,big_daily_table))),NA(),XLOOKUP(D$3,daily_items,XLOOKUP($C3167,daily_dates,big_daily_table)))</f>
        <v>#N/A</v>
      </c>
      <c r="E3167" s="1" t="str">
        <f t="array" ref="E3167">IF(ISBLANK(XLOOKUP(E$3,daily_items,XLOOKUP($C3167,daily_dates,big_daily_table))),NA(),XLOOKUP(E$3,daily_items,XLOOKUP($C3167,daily_dates,big_daily_table)))</f>
        <v>#N/A</v>
      </c>
    </row>
    <row r="3168" ht="14.25" customHeight="1">
      <c r="B3168" s="7">
        <v>44073.0</v>
      </c>
      <c r="C3168" s="7">
        <f t="shared" si="1"/>
        <v>44073</v>
      </c>
      <c r="D3168" s="1" t="str">
        <f t="array" ref="D3168">IF(ISBLANK(XLOOKUP(D$3,daily_items,XLOOKUP($C3168,daily_dates,big_daily_table))),NA(),XLOOKUP(D$3,daily_items,XLOOKUP($C3168,daily_dates,big_daily_table)))</f>
        <v>#N/A</v>
      </c>
      <c r="E3168" s="1" t="str">
        <f t="array" ref="E3168">IF(ISBLANK(XLOOKUP(E$3,daily_items,XLOOKUP($C3168,daily_dates,big_daily_table))),NA(),XLOOKUP(E$3,daily_items,XLOOKUP($C3168,daily_dates,big_daily_table)))</f>
        <v>#N/A</v>
      </c>
    </row>
    <row r="3169" ht="14.25" customHeight="1">
      <c r="B3169" s="7">
        <v>44074.0</v>
      </c>
      <c r="C3169" s="7">
        <f t="shared" si="1"/>
        <v>44073</v>
      </c>
      <c r="D3169" s="1" t="str">
        <f t="array" ref="D3169">IF(ISBLANK(XLOOKUP(D$3,daily_items,XLOOKUP($C3169,daily_dates,big_daily_table))),NA(),XLOOKUP(D$3,daily_items,XLOOKUP($C3169,daily_dates,big_daily_table)))</f>
        <v>#N/A</v>
      </c>
      <c r="E3169" s="1" t="str">
        <f t="array" ref="E3169">IF(ISBLANK(XLOOKUP(E$3,daily_items,XLOOKUP($C3169,daily_dates,big_daily_table))),NA(),XLOOKUP(E$3,daily_items,XLOOKUP($C3169,daily_dates,big_daily_table)))</f>
        <v>#N/A</v>
      </c>
    </row>
    <row r="3170" ht="14.25" customHeight="1">
      <c r="B3170" s="7">
        <v>44075.0</v>
      </c>
      <c r="C3170" s="7">
        <f t="shared" si="1"/>
        <v>44073</v>
      </c>
      <c r="D3170" s="1" t="str">
        <f t="array" ref="D3170">IF(ISBLANK(XLOOKUP(D$3,daily_items,XLOOKUP($C3170,daily_dates,big_daily_table))),NA(),XLOOKUP(D$3,daily_items,XLOOKUP($C3170,daily_dates,big_daily_table)))</f>
        <v>#N/A</v>
      </c>
      <c r="E3170" s="1" t="str">
        <f t="array" ref="E3170">IF(ISBLANK(XLOOKUP(E$3,daily_items,XLOOKUP($C3170,daily_dates,big_daily_table))),NA(),XLOOKUP(E$3,daily_items,XLOOKUP($C3170,daily_dates,big_daily_table)))</f>
        <v>#N/A</v>
      </c>
    </row>
    <row r="3171" ht="14.25" customHeight="1">
      <c r="B3171" s="7">
        <v>44076.0</v>
      </c>
      <c r="C3171" s="7">
        <f t="shared" si="1"/>
        <v>44073</v>
      </c>
      <c r="D3171" s="1" t="str">
        <f t="array" ref="D3171">IF(ISBLANK(XLOOKUP(D$3,daily_items,XLOOKUP($C3171,daily_dates,big_daily_table))),NA(),XLOOKUP(D$3,daily_items,XLOOKUP($C3171,daily_dates,big_daily_table)))</f>
        <v>#N/A</v>
      </c>
      <c r="E3171" s="1" t="str">
        <f t="array" ref="E3171">IF(ISBLANK(XLOOKUP(E$3,daily_items,XLOOKUP($C3171,daily_dates,big_daily_table))),NA(),XLOOKUP(E$3,daily_items,XLOOKUP($C3171,daily_dates,big_daily_table)))</f>
        <v>#N/A</v>
      </c>
    </row>
    <row r="3172" ht="14.25" customHeight="1">
      <c r="B3172" s="7">
        <v>44077.0</v>
      </c>
      <c r="C3172" s="7">
        <f t="shared" si="1"/>
        <v>44073</v>
      </c>
      <c r="D3172" s="1" t="str">
        <f t="array" ref="D3172">IF(ISBLANK(XLOOKUP(D$3,daily_items,XLOOKUP($C3172,daily_dates,big_daily_table))),NA(),XLOOKUP(D$3,daily_items,XLOOKUP($C3172,daily_dates,big_daily_table)))</f>
        <v>#N/A</v>
      </c>
      <c r="E3172" s="1" t="str">
        <f t="array" ref="E3172">IF(ISBLANK(XLOOKUP(E$3,daily_items,XLOOKUP($C3172,daily_dates,big_daily_table))),NA(),XLOOKUP(E$3,daily_items,XLOOKUP($C3172,daily_dates,big_daily_table)))</f>
        <v>#N/A</v>
      </c>
    </row>
    <row r="3173" ht="14.25" customHeight="1">
      <c r="B3173" s="7">
        <v>44078.0</v>
      </c>
      <c r="C3173" s="7">
        <f t="shared" si="1"/>
        <v>44073</v>
      </c>
      <c r="D3173" s="1" t="str">
        <f t="array" ref="D3173">IF(ISBLANK(XLOOKUP(D$3,daily_items,XLOOKUP($C3173,daily_dates,big_daily_table))),NA(),XLOOKUP(D$3,daily_items,XLOOKUP($C3173,daily_dates,big_daily_table)))</f>
        <v>#N/A</v>
      </c>
      <c r="E3173" s="1" t="str">
        <f t="array" ref="E3173">IF(ISBLANK(XLOOKUP(E$3,daily_items,XLOOKUP($C3173,daily_dates,big_daily_table))),NA(),XLOOKUP(E$3,daily_items,XLOOKUP($C3173,daily_dates,big_daily_table)))</f>
        <v>#N/A</v>
      </c>
    </row>
    <row r="3174" ht="14.25" customHeight="1">
      <c r="B3174" s="7">
        <v>44079.0</v>
      </c>
      <c r="C3174" s="7">
        <f t="shared" si="1"/>
        <v>44073</v>
      </c>
      <c r="D3174" s="1" t="str">
        <f t="array" ref="D3174">IF(ISBLANK(XLOOKUP(D$3,daily_items,XLOOKUP($C3174,daily_dates,big_daily_table))),NA(),XLOOKUP(D$3,daily_items,XLOOKUP($C3174,daily_dates,big_daily_table)))</f>
        <v>#N/A</v>
      </c>
      <c r="E3174" s="1" t="str">
        <f t="array" ref="E3174">IF(ISBLANK(XLOOKUP(E$3,daily_items,XLOOKUP($C3174,daily_dates,big_daily_table))),NA(),XLOOKUP(E$3,daily_items,XLOOKUP($C3174,daily_dates,big_daily_table)))</f>
        <v>#N/A</v>
      </c>
    </row>
    <row r="3175" ht="14.25" customHeight="1">
      <c r="B3175" s="7">
        <v>44080.0</v>
      </c>
      <c r="C3175" s="7">
        <f t="shared" si="1"/>
        <v>44080</v>
      </c>
      <c r="D3175" s="1" t="str">
        <f t="array" ref="D3175">IF(ISBLANK(XLOOKUP(D$3,daily_items,XLOOKUP($C3175,daily_dates,big_daily_table))),NA(),XLOOKUP(D$3,daily_items,XLOOKUP($C3175,daily_dates,big_daily_table)))</f>
        <v>#N/A</v>
      </c>
      <c r="E3175" s="1" t="str">
        <f t="array" ref="E3175">IF(ISBLANK(XLOOKUP(E$3,daily_items,XLOOKUP($C3175,daily_dates,big_daily_table))),NA(),XLOOKUP(E$3,daily_items,XLOOKUP($C3175,daily_dates,big_daily_table)))</f>
        <v>#N/A</v>
      </c>
    </row>
    <row r="3176" ht="14.25" customHeight="1">
      <c r="B3176" s="7">
        <v>44081.0</v>
      </c>
      <c r="C3176" s="7">
        <f t="shared" si="1"/>
        <v>44080</v>
      </c>
      <c r="D3176" s="1" t="str">
        <f t="array" ref="D3176">IF(ISBLANK(XLOOKUP(D$3,daily_items,XLOOKUP($C3176,daily_dates,big_daily_table))),NA(),XLOOKUP(D$3,daily_items,XLOOKUP($C3176,daily_dates,big_daily_table)))</f>
        <v>#N/A</v>
      </c>
      <c r="E3176" s="1" t="str">
        <f t="array" ref="E3176">IF(ISBLANK(XLOOKUP(E$3,daily_items,XLOOKUP($C3176,daily_dates,big_daily_table))),NA(),XLOOKUP(E$3,daily_items,XLOOKUP($C3176,daily_dates,big_daily_table)))</f>
        <v>#N/A</v>
      </c>
    </row>
    <row r="3177" ht="14.25" customHeight="1">
      <c r="B3177" s="7">
        <v>44082.0</v>
      </c>
      <c r="C3177" s="7">
        <f t="shared" si="1"/>
        <v>44080</v>
      </c>
      <c r="D3177" s="1" t="str">
        <f t="array" ref="D3177">IF(ISBLANK(XLOOKUP(D$3,daily_items,XLOOKUP($C3177,daily_dates,big_daily_table))),NA(),XLOOKUP(D$3,daily_items,XLOOKUP($C3177,daily_dates,big_daily_table)))</f>
        <v>#N/A</v>
      </c>
      <c r="E3177" s="1" t="str">
        <f t="array" ref="E3177">IF(ISBLANK(XLOOKUP(E$3,daily_items,XLOOKUP($C3177,daily_dates,big_daily_table))),NA(),XLOOKUP(E$3,daily_items,XLOOKUP($C3177,daily_dates,big_daily_table)))</f>
        <v>#N/A</v>
      </c>
    </row>
    <row r="3178" ht="14.25" customHeight="1">
      <c r="B3178" s="7">
        <v>44083.0</v>
      </c>
      <c r="C3178" s="7">
        <f t="shared" si="1"/>
        <v>44080</v>
      </c>
      <c r="D3178" s="1" t="str">
        <f t="array" ref="D3178">IF(ISBLANK(XLOOKUP(D$3,daily_items,XLOOKUP($C3178,daily_dates,big_daily_table))),NA(),XLOOKUP(D$3,daily_items,XLOOKUP($C3178,daily_dates,big_daily_table)))</f>
        <v>#N/A</v>
      </c>
      <c r="E3178" s="1" t="str">
        <f t="array" ref="E3178">IF(ISBLANK(XLOOKUP(E$3,daily_items,XLOOKUP($C3178,daily_dates,big_daily_table))),NA(),XLOOKUP(E$3,daily_items,XLOOKUP($C3178,daily_dates,big_daily_table)))</f>
        <v>#N/A</v>
      </c>
    </row>
    <row r="3179" ht="14.25" customHeight="1">
      <c r="B3179" s="7">
        <v>44084.0</v>
      </c>
      <c r="C3179" s="7">
        <f t="shared" si="1"/>
        <v>44080</v>
      </c>
      <c r="D3179" s="1" t="str">
        <f t="array" ref="D3179">IF(ISBLANK(XLOOKUP(D$3,daily_items,XLOOKUP($C3179,daily_dates,big_daily_table))),NA(),XLOOKUP(D$3,daily_items,XLOOKUP($C3179,daily_dates,big_daily_table)))</f>
        <v>#N/A</v>
      </c>
      <c r="E3179" s="1" t="str">
        <f t="array" ref="E3179">IF(ISBLANK(XLOOKUP(E$3,daily_items,XLOOKUP($C3179,daily_dates,big_daily_table))),NA(),XLOOKUP(E$3,daily_items,XLOOKUP($C3179,daily_dates,big_daily_table)))</f>
        <v>#N/A</v>
      </c>
    </row>
    <row r="3180" ht="14.25" customHeight="1">
      <c r="B3180" s="7">
        <v>44085.0</v>
      </c>
      <c r="C3180" s="7">
        <f t="shared" si="1"/>
        <v>44080</v>
      </c>
      <c r="D3180" s="1" t="str">
        <f t="array" ref="D3180">IF(ISBLANK(XLOOKUP(D$3,daily_items,XLOOKUP($C3180,daily_dates,big_daily_table))),NA(),XLOOKUP(D$3,daily_items,XLOOKUP($C3180,daily_dates,big_daily_table)))</f>
        <v>#N/A</v>
      </c>
      <c r="E3180" s="1" t="str">
        <f t="array" ref="E3180">IF(ISBLANK(XLOOKUP(E$3,daily_items,XLOOKUP($C3180,daily_dates,big_daily_table))),NA(),XLOOKUP(E$3,daily_items,XLOOKUP($C3180,daily_dates,big_daily_table)))</f>
        <v>#N/A</v>
      </c>
    </row>
    <row r="3181" ht="14.25" customHeight="1">
      <c r="B3181" s="7">
        <v>44086.0</v>
      </c>
      <c r="C3181" s="7">
        <f t="shared" si="1"/>
        <v>44080</v>
      </c>
      <c r="D3181" s="1" t="str">
        <f t="array" ref="D3181">IF(ISBLANK(XLOOKUP(D$3,daily_items,XLOOKUP($C3181,daily_dates,big_daily_table))),NA(),XLOOKUP(D$3,daily_items,XLOOKUP($C3181,daily_dates,big_daily_table)))</f>
        <v>#N/A</v>
      </c>
      <c r="E3181" s="1" t="str">
        <f t="array" ref="E3181">IF(ISBLANK(XLOOKUP(E$3,daily_items,XLOOKUP($C3181,daily_dates,big_daily_table))),NA(),XLOOKUP(E$3,daily_items,XLOOKUP($C3181,daily_dates,big_daily_table)))</f>
        <v>#N/A</v>
      </c>
    </row>
    <row r="3182" ht="14.25" customHeight="1">
      <c r="B3182" s="7">
        <v>44087.0</v>
      </c>
      <c r="C3182" s="7">
        <f t="shared" si="1"/>
        <v>44087</v>
      </c>
      <c r="D3182" s="1" t="str">
        <f t="array" ref="D3182">IF(ISBLANK(XLOOKUP(D$3,daily_items,XLOOKUP($C3182,daily_dates,big_daily_table))),NA(),XLOOKUP(D$3,daily_items,XLOOKUP($C3182,daily_dates,big_daily_table)))</f>
        <v>#N/A</v>
      </c>
      <c r="E3182" s="1" t="str">
        <f t="array" ref="E3182">IF(ISBLANK(XLOOKUP(E$3,daily_items,XLOOKUP($C3182,daily_dates,big_daily_table))),NA(),XLOOKUP(E$3,daily_items,XLOOKUP($C3182,daily_dates,big_daily_table)))</f>
        <v>#N/A</v>
      </c>
    </row>
    <row r="3183" ht="14.25" customHeight="1">
      <c r="B3183" s="7">
        <v>44088.0</v>
      </c>
      <c r="C3183" s="7">
        <f t="shared" si="1"/>
        <v>44087</v>
      </c>
      <c r="D3183" s="1" t="str">
        <f t="array" ref="D3183">IF(ISBLANK(XLOOKUP(D$3,daily_items,XLOOKUP($C3183,daily_dates,big_daily_table))),NA(),XLOOKUP(D$3,daily_items,XLOOKUP($C3183,daily_dates,big_daily_table)))</f>
        <v>#N/A</v>
      </c>
      <c r="E3183" s="1" t="str">
        <f t="array" ref="E3183">IF(ISBLANK(XLOOKUP(E$3,daily_items,XLOOKUP($C3183,daily_dates,big_daily_table))),NA(),XLOOKUP(E$3,daily_items,XLOOKUP($C3183,daily_dates,big_daily_table)))</f>
        <v>#N/A</v>
      </c>
    </row>
    <row r="3184" ht="14.25" customHeight="1">
      <c r="B3184" s="7">
        <v>44089.0</v>
      </c>
      <c r="C3184" s="7">
        <f t="shared" si="1"/>
        <v>44087</v>
      </c>
      <c r="D3184" s="1" t="str">
        <f t="array" ref="D3184">IF(ISBLANK(XLOOKUP(D$3,daily_items,XLOOKUP($C3184,daily_dates,big_daily_table))),NA(),XLOOKUP(D$3,daily_items,XLOOKUP($C3184,daily_dates,big_daily_table)))</f>
        <v>#N/A</v>
      </c>
      <c r="E3184" s="1" t="str">
        <f t="array" ref="E3184">IF(ISBLANK(XLOOKUP(E$3,daily_items,XLOOKUP($C3184,daily_dates,big_daily_table))),NA(),XLOOKUP(E$3,daily_items,XLOOKUP($C3184,daily_dates,big_daily_table)))</f>
        <v>#N/A</v>
      </c>
    </row>
    <row r="3185" ht="14.25" customHeight="1">
      <c r="B3185" s="7">
        <v>44090.0</v>
      </c>
      <c r="C3185" s="7">
        <f t="shared" si="1"/>
        <v>44087</v>
      </c>
      <c r="D3185" s="1" t="str">
        <f t="array" ref="D3185">IF(ISBLANK(XLOOKUP(D$3,daily_items,XLOOKUP($C3185,daily_dates,big_daily_table))),NA(),XLOOKUP(D$3,daily_items,XLOOKUP($C3185,daily_dates,big_daily_table)))</f>
        <v>#N/A</v>
      </c>
      <c r="E3185" s="1" t="str">
        <f t="array" ref="E3185">IF(ISBLANK(XLOOKUP(E$3,daily_items,XLOOKUP($C3185,daily_dates,big_daily_table))),NA(),XLOOKUP(E$3,daily_items,XLOOKUP($C3185,daily_dates,big_daily_table)))</f>
        <v>#N/A</v>
      </c>
    </row>
    <row r="3186" ht="14.25" customHeight="1">
      <c r="B3186" s="7">
        <v>44091.0</v>
      </c>
      <c r="C3186" s="7">
        <f t="shared" si="1"/>
        <v>44087</v>
      </c>
      <c r="D3186" s="1" t="str">
        <f t="array" ref="D3186">IF(ISBLANK(XLOOKUP(D$3,daily_items,XLOOKUP($C3186,daily_dates,big_daily_table))),NA(),XLOOKUP(D$3,daily_items,XLOOKUP($C3186,daily_dates,big_daily_table)))</f>
        <v>#N/A</v>
      </c>
      <c r="E3186" s="1" t="str">
        <f t="array" ref="E3186">IF(ISBLANK(XLOOKUP(E$3,daily_items,XLOOKUP($C3186,daily_dates,big_daily_table))),NA(),XLOOKUP(E$3,daily_items,XLOOKUP($C3186,daily_dates,big_daily_table)))</f>
        <v>#N/A</v>
      </c>
    </row>
    <row r="3187" ht="14.25" customHeight="1">
      <c r="B3187" s="7">
        <v>44092.0</v>
      </c>
      <c r="C3187" s="7">
        <f t="shared" si="1"/>
        <v>44087</v>
      </c>
      <c r="D3187" s="1" t="str">
        <f t="array" ref="D3187">IF(ISBLANK(XLOOKUP(D$3,daily_items,XLOOKUP($C3187,daily_dates,big_daily_table))),NA(),XLOOKUP(D$3,daily_items,XLOOKUP($C3187,daily_dates,big_daily_table)))</f>
        <v>#N/A</v>
      </c>
      <c r="E3187" s="1" t="str">
        <f t="array" ref="E3187">IF(ISBLANK(XLOOKUP(E$3,daily_items,XLOOKUP($C3187,daily_dates,big_daily_table))),NA(),XLOOKUP(E$3,daily_items,XLOOKUP($C3187,daily_dates,big_daily_table)))</f>
        <v>#N/A</v>
      </c>
    </row>
    <row r="3188" ht="14.25" customHeight="1">
      <c r="B3188" s="7">
        <v>44093.0</v>
      </c>
      <c r="C3188" s="7">
        <f t="shared" si="1"/>
        <v>44087</v>
      </c>
      <c r="D3188" s="1" t="str">
        <f t="array" ref="D3188">IF(ISBLANK(XLOOKUP(D$3,daily_items,XLOOKUP($C3188,daily_dates,big_daily_table))),NA(),XLOOKUP(D$3,daily_items,XLOOKUP($C3188,daily_dates,big_daily_table)))</f>
        <v>#N/A</v>
      </c>
      <c r="E3188" s="1" t="str">
        <f t="array" ref="E3188">IF(ISBLANK(XLOOKUP(E$3,daily_items,XLOOKUP($C3188,daily_dates,big_daily_table))),NA(),XLOOKUP(E$3,daily_items,XLOOKUP($C3188,daily_dates,big_daily_table)))</f>
        <v>#N/A</v>
      </c>
    </row>
    <row r="3189" ht="14.25" customHeight="1">
      <c r="B3189" s="7">
        <v>44094.0</v>
      </c>
      <c r="C3189" s="7">
        <f t="shared" si="1"/>
        <v>44094</v>
      </c>
      <c r="D3189" s="1" t="str">
        <f t="array" ref="D3189">IF(ISBLANK(XLOOKUP(D$3,daily_items,XLOOKUP($C3189,daily_dates,big_daily_table))),NA(),XLOOKUP(D$3,daily_items,XLOOKUP($C3189,daily_dates,big_daily_table)))</f>
        <v>#N/A</v>
      </c>
      <c r="E3189" s="1" t="str">
        <f t="array" ref="E3189">IF(ISBLANK(XLOOKUP(E$3,daily_items,XLOOKUP($C3189,daily_dates,big_daily_table))),NA(),XLOOKUP(E$3,daily_items,XLOOKUP($C3189,daily_dates,big_daily_table)))</f>
        <v>#N/A</v>
      </c>
    </row>
    <row r="3190" ht="14.25" customHeight="1">
      <c r="B3190" s="7">
        <v>44095.0</v>
      </c>
      <c r="C3190" s="7">
        <f t="shared" si="1"/>
        <v>44094</v>
      </c>
      <c r="D3190" s="1" t="str">
        <f t="array" ref="D3190">IF(ISBLANK(XLOOKUP(D$3,daily_items,XLOOKUP($C3190,daily_dates,big_daily_table))),NA(),XLOOKUP(D$3,daily_items,XLOOKUP($C3190,daily_dates,big_daily_table)))</f>
        <v>#N/A</v>
      </c>
      <c r="E3190" s="1" t="str">
        <f t="array" ref="E3190">IF(ISBLANK(XLOOKUP(E$3,daily_items,XLOOKUP($C3190,daily_dates,big_daily_table))),NA(),XLOOKUP(E$3,daily_items,XLOOKUP($C3190,daily_dates,big_daily_table)))</f>
        <v>#N/A</v>
      </c>
    </row>
    <row r="3191" ht="14.25" customHeight="1">
      <c r="B3191" s="7">
        <v>44096.0</v>
      </c>
      <c r="C3191" s="7">
        <f t="shared" si="1"/>
        <v>44094</v>
      </c>
      <c r="D3191" s="1" t="str">
        <f t="array" ref="D3191">IF(ISBLANK(XLOOKUP(D$3,daily_items,XLOOKUP($C3191,daily_dates,big_daily_table))),NA(),XLOOKUP(D$3,daily_items,XLOOKUP($C3191,daily_dates,big_daily_table)))</f>
        <v>#N/A</v>
      </c>
      <c r="E3191" s="1" t="str">
        <f t="array" ref="E3191">IF(ISBLANK(XLOOKUP(E$3,daily_items,XLOOKUP($C3191,daily_dates,big_daily_table))),NA(),XLOOKUP(E$3,daily_items,XLOOKUP($C3191,daily_dates,big_daily_table)))</f>
        <v>#N/A</v>
      </c>
    </row>
    <row r="3192" ht="14.25" customHeight="1">
      <c r="B3192" s="7">
        <v>44097.0</v>
      </c>
      <c r="C3192" s="7">
        <f t="shared" si="1"/>
        <v>44094</v>
      </c>
      <c r="D3192" s="1" t="str">
        <f t="array" ref="D3192">IF(ISBLANK(XLOOKUP(D$3,daily_items,XLOOKUP($C3192,daily_dates,big_daily_table))),NA(),XLOOKUP(D$3,daily_items,XLOOKUP($C3192,daily_dates,big_daily_table)))</f>
        <v>#N/A</v>
      </c>
      <c r="E3192" s="1" t="str">
        <f t="array" ref="E3192">IF(ISBLANK(XLOOKUP(E$3,daily_items,XLOOKUP($C3192,daily_dates,big_daily_table))),NA(),XLOOKUP(E$3,daily_items,XLOOKUP($C3192,daily_dates,big_daily_table)))</f>
        <v>#N/A</v>
      </c>
    </row>
    <row r="3193" ht="14.25" customHeight="1">
      <c r="B3193" s="7">
        <v>44098.0</v>
      </c>
      <c r="C3193" s="7">
        <f t="shared" si="1"/>
        <v>44094</v>
      </c>
      <c r="D3193" s="1" t="str">
        <f t="array" ref="D3193">IF(ISBLANK(XLOOKUP(D$3,daily_items,XLOOKUP($C3193,daily_dates,big_daily_table))),NA(),XLOOKUP(D$3,daily_items,XLOOKUP($C3193,daily_dates,big_daily_table)))</f>
        <v>#N/A</v>
      </c>
      <c r="E3193" s="1" t="str">
        <f t="array" ref="E3193">IF(ISBLANK(XLOOKUP(E$3,daily_items,XLOOKUP($C3193,daily_dates,big_daily_table))),NA(),XLOOKUP(E$3,daily_items,XLOOKUP($C3193,daily_dates,big_daily_table)))</f>
        <v>#N/A</v>
      </c>
    </row>
    <row r="3194" ht="14.25" customHeight="1">
      <c r="B3194" s="7">
        <v>44099.0</v>
      </c>
      <c r="C3194" s="7">
        <f t="shared" si="1"/>
        <v>44094</v>
      </c>
      <c r="D3194" s="1" t="str">
        <f t="array" ref="D3194">IF(ISBLANK(XLOOKUP(D$3,daily_items,XLOOKUP($C3194,daily_dates,big_daily_table))),NA(),XLOOKUP(D$3,daily_items,XLOOKUP($C3194,daily_dates,big_daily_table)))</f>
        <v>#N/A</v>
      </c>
      <c r="E3194" s="1" t="str">
        <f t="array" ref="E3194">IF(ISBLANK(XLOOKUP(E$3,daily_items,XLOOKUP($C3194,daily_dates,big_daily_table))),NA(),XLOOKUP(E$3,daily_items,XLOOKUP($C3194,daily_dates,big_daily_table)))</f>
        <v>#N/A</v>
      </c>
    </row>
    <row r="3195" ht="14.25" customHeight="1">
      <c r="B3195" s="7">
        <v>44100.0</v>
      </c>
      <c r="C3195" s="7">
        <f t="shared" si="1"/>
        <v>44094</v>
      </c>
      <c r="D3195" s="1" t="str">
        <f t="array" ref="D3195">IF(ISBLANK(XLOOKUP(D$3,daily_items,XLOOKUP($C3195,daily_dates,big_daily_table))),NA(),XLOOKUP(D$3,daily_items,XLOOKUP($C3195,daily_dates,big_daily_table)))</f>
        <v>#N/A</v>
      </c>
      <c r="E3195" s="1" t="str">
        <f t="array" ref="E3195">IF(ISBLANK(XLOOKUP(E$3,daily_items,XLOOKUP($C3195,daily_dates,big_daily_table))),NA(),XLOOKUP(E$3,daily_items,XLOOKUP($C3195,daily_dates,big_daily_table)))</f>
        <v>#N/A</v>
      </c>
    </row>
    <row r="3196" ht="14.25" customHeight="1">
      <c r="B3196" s="7">
        <v>44101.0</v>
      </c>
      <c r="C3196" s="7">
        <f t="shared" si="1"/>
        <v>44101</v>
      </c>
      <c r="D3196" s="1" t="str">
        <f t="array" ref="D3196">IF(ISBLANK(XLOOKUP(D$3,daily_items,XLOOKUP($C3196,daily_dates,big_daily_table))),NA(),XLOOKUP(D$3,daily_items,XLOOKUP($C3196,daily_dates,big_daily_table)))</f>
        <v>#N/A</v>
      </c>
      <c r="E3196" s="1" t="str">
        <f t="array" ref="E3196">IF(ISBLANK(XLOOKUP(E$3,daily_items,XLOOKUP($C3196,daily_dates,big_daily_table))),NA(),XLOOKUP(E$3,daily_items,XLOOKUP($C3196,daily_dates,big_daily_table)))</f>
        <v>#N/A</v>
      </c>
    </row>
    <row r="3197" ht="14.25" customHeight="1">
      <c r="B3197" s="7">
        <v>44102.0</v>
      </c>
      <c r="C3197" s="7">
        <f t="shared" si="1"/>
        <v>44101</v>
      </c>
      <c r="D3197" s="1" t="str">
        <f t="array" ref="D3197">IF(ISBLANK(XLOOKUP(D$3,daily_items,XLOOKUP($C3197,daily_dates,big_daily_table))),NA(),XLOOKUP(D$3,daily_items,XLOOKUP($C3197,daily_dates,big_daily_table)))</f>
        <v>#N/A</v>
      </c>
      <c r="E3197" s="1" t="str">
        <f t="array" ref="E3197">IF(ISBLANK(XLOOKUP(E$3,daily_items,XLOOKUP($C3197,daily_dates,big_daily_table))),NA(),XLOOKUP(E$3,daily_items,XLOOKUP($C3197,daily_dates,big_daily_table)))</f>
        <v>#N/A</v>
      </c>
    </row>
    <row r="3198" ht="14.25" customHeight="1">
      <c r="B3198" s="7">
        <v>44103.0</v>
      </c>
      <c r="C3198" s="7">
        <f t="shared" si="1"/>
        <v>44101</v>
      </c>
      <c r="D3198" s="1" t="str">
        <f t="array" ref="D3198">IF(ISBLANK(XLOOKUP(D$3,daily_items,XLOOKUP($C3198,daily_dates,big_daily_table))),NA(),XLOOKUP(D$3,daily_items,XLOOKUP($C3198,daily_dates,big_daily_table)))</f>
        <v>#N/A</v>
      </c>
      <c r="E3198" s="1" t="str">
        <f t="array" ref="E3198">IF(ISBLANK(XLOOKUP(E$3,daily_items,XLOOKUP($C3198,daily_dates,big_daily_table))),NA(),XLOOKUP(E$3,daily_items,XLOOKUP($C3198,daily_dates,big_daily_table)))</f>
        <v>#N/A</v>
      </c>
    </row>
    <row r="3199" ht="14.25" customHeight="1">
      <c r="B3199" s="7">
        <v>44104.0</v>
      </c>
      <c r="C3199" s="7">
        <f t="shared" si="1"/>
        <v>44101</v>
      </c>
      <c r="D3199" s="1" t="str">
        <f t="array" ref="D3199">IF(ISBLANK(XLOOKUP(D$3,daily_items,XLOOKUP($C3199,daily_dates,big_daily_table))),NA(),XLOOKUP(D$3,daily_items,XLOOKUP($C3199,daily_dates,big_daily_table)))</f>
        <v>#N/A</v>
      </c>
      <c r="E3199" s="1" t="str">
        <f t="array" ref="E3199">IF(ISBLANK(XLOOKUP(E$3,daily_items,XLOOKUP($C3199,daily_dates,big_daily_table))),NA(),XLOOKUP(E$3,daily_items,XLOOKUP($C3199,daily_dates,big_daily_table)))</f>
        <v>#N/A</v>
      </c>
    </row>
    <row r="3200" ht="14.25" customHeight="1">
      <c r="B3200" s="7">
        <v>44105.0</v>
      </c>
      <c r="C3200" s="7">
        <f t="shared" si="1"/>
        <v>44101</v>
      </c>
      <c r="D3200" s="1" t="str">
        <f t="array" ref="D3200">IF(ISBLANK(XLOOKUP(D$3,daily_items,XLOOKUP($C3200,daily_dates,big_daily_table))),NA(),XLOOKUP(D$3,daily_items,XLOOKUP($C3200,daily_dates,big_daily_table)))</f>
        <v>#N/A</v>
      </c>
      <c r="E3200" s="1" t="str">
        <f t="array" ref="E3200">IF(ISBLANK(XLOOKUP(E$3,daily_items,XLOOKUP($C3200,daily_dates,big_daily_table))),NA(),XLOOKUP(E$3,daily_items,XLOOKUP($C3200,daily_dates,big_daily_table)))</f>
        <v>#N/A</v>
      </c>
    </row>
    <row r="3201" ht="14.25" customHeight="1">
      <c r="B3201" s="7">
        <v>44106.0</v>
      </c>
      <c r="C3201" s="7">
        <f t="shared" si="1"/>
        <v>44101</v>
      </c>
      <c r="D3201" s="1" t="str">
        <f t="array" ref="D3201">IF(ISBLANK(XLOOKUP(D$3,daily_items,XLOOKUP($C3201,daily_dates,big_daily_table))),NA(),XLOOKUP(D$3,daily_items,XLOOKUP($C3201,daily_dates,big_daily_table)))</f>
        <v>#N/A</v>
      </c>
      <c r="E3201" s="1" t="str">
        <f t="array" ref="E3201">IF(ISBLANK(XLOOKUP(E$3,daily_items,XLOOKUP($C3201,daily_dates,big_daily_table))),NA(),XLOOKUP(E$3,daily_items,XLOOKUP($C3201,daily_dates,big_daily_table)))</f>
        <v>#N/A</v>
      </c>
    </row>
    <row r="3202" ht="14.25" customHeight="1">
      <c r="B3202" s="7">
        <v>44107.0</v>
      </c>
      <c r="C3202" s="7">
        <f t="shared" si="1"/>
        <v>44101</v>
      </c>
      <c r="D3202" s="1" t="str">
        <f t="array" ref="D3202">IF(ISBLANK(XLOOKUP(D$3,daily_items,XLOOKUP($C3202,daily_dates,big_daily_table))),NA(),XLOOKUP(D$3,daily_items,XLOOKUP($C3202,daily_dates,big_daily_table)))</f>
        <v>#N/A</v>
      </c>
      <c r="E3202" s="1" t="str">
        <f t="array" ref="E3202">IF(ISBLANK(XLOOKUP(E$3,daily_items,XLOOKUP($C3202,daily_dates,big_daily_table))),NA(),XLOOKUP(E$3,daily_items,XLOOKUP($C3202,daily_dates,big_daily_table)))</f>
        <v>#N/A</v>
      </c>
    </row>
    <row r="3203" ht="14.25" customHeight="1">
      <c r="B3203" s="7">
        <v>44108.0</v>
      </c>
      <c r="C3203" s="7">
        <f t="shared" si="1"/>
        <v>44108</v>
      </c>
      <c r="D3203" s="1" t="str">
        <f t="array" ref="D3203">IF(ISBLANK(XLOOKUP(D$3,daily_items,XLOOKUP($C3203,daily_dates,big_daily_table))),NA(),XLOOKUP(D$3,daily_items,XLOOKUP($C3203,daily_dates,big_daily_table)))</f>
        <v>#N/A</v>
      </c>
      <c r="E3203" s="1" t="str">
        <f t="array" ref="E3203">IF(ISBLANK(XLOOKUP(E$3,daily_items,XLOOKUP($C3203,daily_dates,big_daily_table))),NA(),XLOOKUP(E$3,daily_items,XLOOKUP($C3203,daily_dates,big_daily_table)))</f>
        <v>#N/A</v>
      </c>
    </row>
    <row r="3204" ht="14.25" customHeight="1">
      <c r="B3204" s="7">
        <v>44109.0</v>
      </c>
      <c r="C3204" s="7">
        <f t="shared" si="1"/>
        <v>44108</v>
      </c>
      <c r="D3204" s="1" t="str">
        <f t="array" ref="D3204">IF(ISBLANK(XLOOKUP(D$3,daily_items,XLOOKUP($C3204,daily_dates,big_daily_table))),NA(),XLOOKUP(D$3,daily_items,XLOOKUP($C3204,daily_dates,big_daily_table)))</f>
        <v>#N/A</v>
      </c>
      <c r="E3204" s="1" t="str">
        <f t="array" ref="E3204">IF(ISBLANK(XLOOKUP(E$3,daily_items,XLOOKUP($C3204,daily_dates,big_daily_table))),NA(),XLOOKUP(E$3,daily_items,XLOOKUP($C3204,daily_dates,big_daily_table)))</f>
        <v>#N/A</v>
      </c>
    </row>
    <row r="3205" ht="14.25" customHeight="1">
      <c r="B3205" s="7">
        <v>44110.0</v>
      </c>
      <c r="C3205" s="7">
        <f t="shared" si="1"/>
        <v>44108</v>
      </c>
      <c r="D3205" s="1" t="str">
        <f t="array" ref="D3205">IF(ISBLANK(XLOOKUP(D$3,daily_items,XLOOKUP($C3205,daily_dates,big_daily_table))),NA(),XLOOKUP(D$3,daily_items,XLOOKUP($C3205,daily_dates,big_daily_table)))</f>
        <v>#N/A</v>
      </c>
      <c r="E3205" s="1" t="str">
        <f t="array" ref="E3205">IF(ISBLANK(XLOOKUP(E$3,daily_items,XLOOKUP($C3205,daily_dates,big_daily_table))),NA(),XLOOKUP(E$3,daily_items,XLOOKUP($C3205,daily_dates,big_daily_table)))</f>
        <v>#N/A</v>
      </c>
    </row>
    <row r="3206" ht="14.25" customHeight="1">
      <c r="B3206" s="7">
        <v>44111.0</v>
      </c>
      <c r="C3206" s="7">
        <f t="shared" si="1"/>
        <v>44108</v>
      </c>
      <c r="D3206" s="1" t="str">
        <f t="array" ref="D3206">IF(ISBLANK(XLOOKUP(D$3,daily_items,XLOOKUP($C3206,daily_dates,big_daily_table))),NA(),XLOOKUP(D$3,daily_items,XLOOKUP($C3206,daily_dates,big_daily_table)))</f>
        <v>#N/A</v>
      </c>
      <c r="E3206" s="1" t="str">
        <f t="array" ref="E3206">IF(ISBLANK(XLOOKUP(E$3,daily_items,XLOOKUP($C3206,daily_dates,big_daily_table))),NA(),XLOOKUP(E$3,daily_items,XLOOKUP($C3206,daily_dates,big_daily_table)))</f>
        <v>#N/A</v>
      </c>
    </row>
    <row r="3207" ht="14.25" customHeight="1">
      <c r="B3207" s="7">
        <v>44112.0</v>
      </c>
      <c r="C3207" s="7">
        <f t="shared" si="1"/>
        <v>44108</v>
      </c>
      <c r="D3207" s="1" t="str">
        <f t="array" ref="D3207">IF(ISBLANK(XLOOKUP(D$3,daily_items,XLOOKUP($C3207,daily_dates,big_daily_table))),NA(),XLOOKUP(D$3,daily_items,XLOOKUP($C3207,daily_dates,big_daily_table)))</f>
        <v>#N/A</v>
      </c>
      <c r="E3207" s="1" t="str">
        <f t="array" ref="E3207">IF(ISBLANK(XLOOKUP(E$3,daily_items,XLOOKUP($C3207,daily_dates,big_daily_table))),NA(),XLOOKUP(E$3,daily_items,XLOOKUP($C3207,daily_dates,big_daily_table)))</f>
        <v>#N/A</v>
      </c>
    </row>
    <row r="3208" ht="14.25" customHeight="1">
      <c r="B3208" s="7">
        <v>44113.0</v>
      </c>
      <c r="C3208" s="7">
        <f t="shared" si="1"/>
        <v>44108</v>
      </c>
      <c r="D3208" s="1" t="str">
        <f t="array" ref="D3208">IF(ISBLANK(XLOOKUP(D$3,daily_items,XLOOKUP($C3208,daily_dates,big_daily_table))),NA(),XLOOKUP(D$3,daily_items,XLOOKUP($C3208,daily_dates,big_daily_table)))</f>
        <v>#N/A</v>
      </c>
      <c r="E3208" s="1" t="str">
        <f t="array" ref="E3208">IF(ISBLANK(XLOOKUP(E$3,daily_items,XLOOKUP($C3208,daily_dates,big_daily_table))),NA(),XLOOKUP(E$3,daily_items,XLOOKUP($C3208,daily_dates,big_daily_table)))</f>
        <v>#N/A</v>
      </c>
    </row>
    <row r="3209" ht="14.25" customHeight="1">
      <c r="B3209" s="7">
        <v>44114.0</v>
      </c>
      <c r="C3209" s="7">
        <f t="shared" si="1"/>
        <v>44108</v>
      </c>
      <c r="D3209" s="1" t="str">
        <f t="array" ref="D3209">IF(ISBLANK(XLOOKUP(D$3,daily_items,XLOOKUP($C3209,daily_dates,big_daily_table))),NA(),XLOOKUP(D$3,daily_items,XLOOKUP($C3209,daily_dates,big_daily_table)))</f>
        <v>#N/A</v>
      </c>
      <c r="E3209" s="1" t="str">
        <f t="array" ref="E3209">IF(ISBLANK(XLOOKUP(E$3,daily_items,XLOOKUP($C3209,daily_dates,big_daily_table))),NA(),XLOOKUP(E$3,daily_items,XLOOKUP($C3209,daily_dates,big_daily_table)))</f>
        <v>#N/A</v>
      </c>
    </row>
    <row r="3210" ht="14.25" customHeight="1">
      <c r="B3210" s="7">
        <v>44115.0</v>
      </c>
      <c r="C3210" s="7">
        <f t="shared" si="1"/>
        <v>44115</v>
      </c>
      <c r="D3210" s="1" t="str">
        <f t="array" ref="D3210">IF(ISBLANK(XLOOKUP(D$3,daily_items,XLOOKUP($C3210,daily_dates,big_daily_table))),NA(),XLOOKUP(D$3,daily_items,XLOOKUP($C3210,daily_dates,big_daily_table)))</f>
        <v>#N/A</v>
      </c>
      <c r="E3210" s="1" t="str">
        <f t="array" ref="E3210">IF(ISBLANK(XLOOKUP(E$3,daily_items,XLOOKUP($C3210,daily_dates,big_daily_table))),NA(),XLOOKUP(E$3,daily_items,XLOOKUP($C3210,daily_dates,big_daily_table)))</f>
        <v>#N/A</v>
      </c>
    </row>
    <row r="3211" ht="14.25" customHeight="1">
      <c r="B3211" s="7">
        <v>44116.0</v>
      </c>
      <c r="C3211" s="7">
        <f t="shared" si="1"/>
        <v>44115</v>
      </c>
      <c r="D3211" s="1" t="str">
        <f t="array" ref="D3211">IF(ISBLANK(XLOOKUP(D$3,daily_items,XLOOKUP($C3211,daily_dates,big_daily_table))),NA(),XLOOKUP(D$3,daily_items,XLOOKUP($C3211,daily_dates,big_daily_table)))</f>
        <v>#N/A</v>
      </c>
      <c r="E3211" s="1" t="str">
        <f t="array" ref="E3211">IF(ISBLANK(XLOOKUP(E$3,daily_items,XLOOKUP($C3211,daily_dates,big_daily_table))),NA(),XLOOKUP(E$3,daily_items,XLOOKUP($C3211,daily_dates,big_daily_table)))</f>
        <v>#N/A</v>
      </c>
    </row>
    <row r="3212" ht="14.25" customHeight="1">
      <c r="B3212" s="7">
        <v>44117.0</v>
      </c>
      <c r="C3212" s="7">
        <f t="shared" si="1"/>
        <v>44115</v>
      </c>
      <c r="D3212" s="1" t="str">
        <f t="array" ref="D3212">IF(ISBLANK(XLOOKUP(D$3,daily_items,XLOOKUP($C3212,daily_dates,big_daily_table))),NA(),XLOOKUP(D$3,daily_items,XLOOKUP($C3212,daily_dates,big_daily_table)))</f>
        <v>#N/A</v>
      </c>
      <c r="E3212" s="1" t="str">
        <f t="array" ref="E3212">IF(ISBLANK(XLOOKUP(E$3,daily_items,XLOOKUP($C3212,daily_dates,big_daily_table))),NA(),XLOOKUP(E$3,daily_items,XLOOKUP($C3212,daily_dates,big_daily_table)))</f>
        <v>#N/A</v>
      </c>
    </row>
    <row r="3213" ht="14.25" customHeight="1">
      <c r="B3213" s="7">
        <v>44118.0</v>
      </c>
      <c r="C3213" s="7">
        <f t="shared" si="1"/>
        <v>44115</v>
      </c>
      <c r="D3213" s="1" t="str">
        <f t="array" ref="D3213">IF(ISBLANK(XLOOKUP(D$3,daily_items,XLOOKUP($C3213,daily_dates,big_daily_table))),NA(),XLOOKUP(D$3,daily_items,XLOOKUP($C3213,daily_dates,big_daily_table)))</f>
        <v>#N/A</v>
      </c>
      <c r="E3213" s="1" t="str">
        <f t="array" ref="E3213">IF(ISBLANK(XLOOKUP(E$3,daily_items,XLOOKUP($C3213,daily_dates,big_daily_table))),NA(),XLOOKUP(E$3,daily_items,XLOOKUP($C3213,daily_dates,big_daily_table)))</f>
        <v>#N/A</v>
      </c>
    </row>
    <row r="3214" ht="14.25" customHeight="1">
      <c r="B3214" s="7">
        <v>44119.0</v>
      </c>
      <c r="C3214" s="7">
        <f t="shared" si="1"/>
        <v>44115</v>
      </c>
      <c r="D3214" s="1" t="str">
        <f t="array" ref="D3214">IF(ISBLANK(XLOOKUP(D$3,daily_items,XLOOKUP($C3214,daily_dates,big_daily_table))),NA(),XLOOKUP(D$3,daily_items,XLOOKUP($C3214,daily_dates,big_daily_table)))</f>
        <v>#N/A</v>
      </c>
      <c r="E3214" s="1" t="str">
        <f t="array" ref="E3214">IF(ISBLANK(XLOOKUP(E$3,daily_items,XLOOKUP($C3214,daily_dates,big_daily_table))),NA(),XLOOKUP(E$3,daily_items,XLOOKUP($C3214,daily_dates,big_daily_table)))</f>
        <v>#N/A</v>
      </c>
    </row>
    <row r="3215" ht="14.25" customHeight="1">
      <c r="B3215" s="7">
        <v>44120.0</v>
      </c>
      <c r="C3215" s="7">
        <f t="shared" si="1"/>
        <v>44115</v>
      </c>
      <c r="D3215" s="1" t="str">
        <f t="array" ref="D3215">IF(ISBLANK(XLOOKUP(D$3,daily_items,XLOOKUP($C3215,daily_dates,big_daily_table))),NA(),XLOOKUP(D$3,daily_items,XLOOKUP($C3215,daily_dates,big_daily_table)))</f>
        <v>#N/A</v>
      </c>
      <c r="E3215" s="1" t="str">
        <f t="array" ref="E3215">IF(ISBLANK(XLOOKUP(E$3,daily_items,XLOOKUP($C3215,daily_dates,big_daily_table))),NA(),XLOOKUP(E$3,daily_items,XLOOKUP($C3215,daily_dates,big_daily_table)))</f>
        <v>#N/A</v>
      </c>
    </row>
    <row r="3216" ht="14.25" customHeight="1">
      <c r="B3216" s="7">
        <v>44121.0</v>
      </c>
      <c r="C3216" s="7">
        <f t="shared" si="1"/>
        <v>44115</v>
      </c>
      <c r="D3216" s="1" t="str">
        <f t="array" ref="D3216">IF(ISBLANK(XLOOKUP(D$3,daily_items,XLOOKUP($C3216,daily_dates,big_daily_table))),NA(),XLOOKUP(D$3,daily_items,XLOOKUP($C3216,daily_dates,big_daily_table)))</f>
        <v>#N/A</v>
      </c>
      <c r="E3216" s="1" t="str">
        <f t="array" ref="E3216">IF(ISBLANK(XLOOKUP(E$3,daily_items,XLOOKUP($C3216,daily_dates,big_daily_table))),NA(),XLOOKUP(E$3,daily_items,XLOOKUP($C3216,daily_dates,big_daily_table)))</f>
        <v>#N/A</v>
      </c>
    </row>
    <row r="3217" ht="14.25" customHeight="1">
      <c r="B3217" s="7">
        <v>44122.0</v>
      </c>
      <c r="C3217" s="7">
        <f t="shared" si="1"/>
        <v>44122</v>
      </c>
      <c r="D3217" s="1" t="str">
        <f t="array" ref="D3217">IF(ISBLANK(XLOOKUP(D$3,daily_items,XLOOKUP($C3217,daily_dates,big_daily_table))),NA(),XLOOKUP(D$3,daily_items,XLOOKUP($C3217,daily_dates,big_daily_table)))</f>
        <v>#N/A</v>
      </c>
      <c r="E3217" s="1" t="str">
        <f t="array" ref="E3217">IF(ISBLANK(XLOOKUP(E$3,daily_items,XLOOKUP($C3217,daily_dates,big_daily_table))),NA(),XLOOKUP(E$3,daily_items,XLOOKUP($C3217,daily_dates,big_daily_table)))</f>
        <v>#N/A</v>
      </c>
    </row>
    <row r="3218" ht="14.25" customHeight="1">
      <c r="B3218" s="7">
        <v>44123.0</v>
      </c>
      <c r="C3218" s="7">
        <f t="shared" si="1"/>
        <v>44122</v>
      </c>
      <c r="D3218" s="1" t="str">
        <f t="array" ref="D3218">IF(ISBLANK(XLOOKUP(D$3,daily_items,XLOOKUP($C3218,daily_dates,big_daily_table))),NA(),XLOOKUP(D$3,daily_items,XLOOKUP($C3218,daily_dates,big_daily_table)))</f>
        <v>#N/A</v>
      </c>
      <c r="E3218" s="1" t="str">
        <f t="array" ref="E3218">IF(ISBLANK(XLOOKUP(E$3,daily_items,XLOOKUP($C3218,daily_dates,big_daily_table))),NA(),XLOOKUP(E$3,daily_items,XLOOKUP($C3218,daily_dates,big_daily_table)))</f>
        <v>#N/A</v>
      </c>
    </row>
    <row r="3219" ht="14.25" customHeight="1">
      <c r="B3219" s="7">
        <v>44124.0</v>
      </c>
      <c r="C3219" s="7">
        <f t="shared" si="1"/>
        <v>44122</v>
      </c>
      <c r="D3219" s="1" t="str">
        <f t="array" ref="D3219">IF(ISBLANK(XLOOKUP(D$3,daily_items,XLOOKUP($C3219,daily_dates,big_daily_table))),NA(),XLOOKUP(D$3,daily_items,XLOOKUP($C3219,daily_dates,big_daily_table)))</f>
        <v>#N/A</v>
      </c>
      <c r="E3219" s="1" t="str">
        <f t="array" ref="E3219">IF(ISBLANK(XLOOKUP(E$3,daily_items,XLOOKUP($C3219,daily_dates,big_daily_table))),NA(),XLOOKUP(E$3,daily_items,XLOOKUP($C3219,daily_dates,big_daily_table)))</f>
        <v>#N/A</v>
      </c>
    </row>
    <row r="3220" ht="14.25" customHeight="1">
      <c r="B3220" s="7">
        <v>44125.0</v>
      </c>
      <c r="C3220" s="7">
        <f t="shared" si="1"/>
        <v>44122</v>
      </c>
      <c r="D3220" s="1" t="str">
        <f t="array" ref="D3220">IF(ISBLANK(XLOOKUP(D$3,daily_items,XLOOKUP($C3220,daily_dates,big_daily_table))),NA(),XLOOKUP(D$3,daily_items,XLOOKUP($C3220,daily_dates,big_daily_table)))</f>
        <v>#N/A</v>
      </c>
      <c r="E3220" s="1" t="str">
        <f t="array" ref="E3220">IF(ISBLANK(XLOOKUP(E$3,daily_items,XLOOKUP($C3220,daily_dates,big_daily_table))),NA(),XLOOKUP(E$3,daily_items,XLOOKUP($C3220,daily_dates,big_daily_table)))</f>
        <v>#N/A</v>
      </c>
    </row>
    <row r="3221" ht="14.25" customHeight="1">
      <c r="B3221" s="7">
        <v>44126.0</v>
      </c>
      <c r="C3221" s="7">
        <f t="shared" si="1"/>
        <v>44122</v>
      </c>
      <c r="D3221" s="1" t="str">
        <f t="array" ref="D3221">IF(ISBLANK(XLOOKUP(D$3,daily_items,XLOOKUP($C3221,daily_dates,big_daily_table))),NA(),XLOOKUP(D$3,daily_items,XLOOKUP($C3221,daily_dates,big_daily_table)))</f>
        <v>#N/A</v>
      </c>
      <c r="E3221" s="1" t="str">
        <f t="array" ref="E3221">IF(ISBLANK(XLOOKUP(E$3,daily_items,XLOOKUP($C3221,daily_dates,big_daily_table))),NA(),XLOOKUP(E$3,daily_items,XLOOKUP($C3221,daily_dates,big_daily_table)))</f>
        <v>#N/A</v>
      </c>
    </row>
    <row r="3222" ht="14.25" customHeight="1">
      <c r="B3222" s="7">
        <v>44127.0</v>
      </c>
      <c r="C3222" s="7">
        <f t="shared" si="1"/>
        <v>44122</v>
      </c>
      <c r="D3222" s="1" t="str">
        <f t="array" ref="D3222">IF(ISBLANK(XLOOKUP(D$3,daily_items,XLOOKUP($C3222,daily_dates,big_daily_table))),NA(),XLOOKUP(D$3,daily_items,XLOOKUP($C3222,daily_dates,big_daily_table)))</f>
        <v>#N/A</v>
      </c>
      <c r="E3222" s="1" t="str">
        <f t="array" ref="E3222">IF(ISBLANK(XLOOKUP(E$3,daily_items,XLOOKUP($C3222,daily_dates,big_daily_table))),NA(),XLOOKUP(E$3,daily_items,XLOOKUP($C3222,daily_dates,big_daily_table)))</f>
        <v>#N/A</v>
      </c>
    </row>
    <row r="3223" ht="14.25" customHeight="1">
      <c r="B3223" s="7">
        <v>44128.0</v>
      </c>
      <c r="C3223" s="7">
        <f t="shared" si="1"/>
        <v>44122</v>
      </c>
      <c r="D3223" s="1" t="str">
        <f t="array" ref="D3223">IF(ISBLANK(XLOOKUP(D$3,daily_items,XLOOKUP($C3223,daily_dates,big_daily_table))),NA(),XLOOKUP(D$3,daily_items,XLOOKUP($C3223,daily_dates,big_daily_table)))</f>
        <v>#N/A</v>
      </c>
      <c r="E3223" s="1" t="str">
        <f t="array" ref="E3223">IF(ISBLANK(XLOOKUP(E$3,daily_items,XLOOKUP($C3223,daily_dates,big_daily_table))),NA(),XLOOKUP(E$3,daily_items,XLOOKUP($C3223,daily_dates,big_daily_table)))</f>
        <v>#N/A</v>
      </c>
    </row>
    <row r="3224" ht="14.25" customHeight="1">
      <c r="B3224" s="7">
        <v>44129.0</v>
      </c>
      <c r="C3224" s="7">
        <f t="shared" si="1"/>
        <v>44129</v>
      </c>
      <c r="D3224" s="1" t="str">
        <f t="array" ref="D3224">IF(ISBLANK(XLOOKUP(D$3,daily_items,XLOOKUP($C3224,daily_dates,big_daily_table))),NA(),XLOOKUP(D$3,daily_items,XLOOKUP($C3224,daily_dates,big_daily_table)))</f>
        <v>#N/A</v>
      </c>
      <c r="E3224" s="1" t="str">
        <f t="array" ref="E3224">IF(ISBLANK(XLOOKUP(E$3,daily_items,XLOOKUP($C3224,daily_dates,big_daily_table))),NA(),XLOOKUP(E$3,daily_items,XLOOKUP($C3224,daily_dates,big_daily_table)))</f>
        <v>#N/A</v>
      </c>
    </row>
    <row r="3225" ht="14.25" customHeight="1">
      <c r="B3225" s="7">
        <v>44130.0</v>
      </c>
      <c r="C3225" s="7">
        <f t="shared" si="1"/>
        <v>44129</v>
      </c>
      <c r="D3225" s="1" t="str">
        <f t="array" ref="D3225">IF(ISBLANK(XLOOKUP(D$3,daily_items,XLOOKUP($C3225,daily_dates,big_daily_table))),NA(),XLOOKUP(D$3,daily_items,XLOOKUP($C3225,daily_dates,big_daily_table)))</f>
        <v>#N/A</v>
      </c>
      <c r="E3225" s="1" t="str">
        <f t="array" ref="E3225">IF(ISBLANK(XLOOKUP(E$3,daily_items,XLOOKUP($C3225,daily_dates,big_daily_table))),NA(),XLOOKUP(E$3,daily_items,XLOOKUP($C3225,daily_dates,big_daily_table)))</f>
        <v>#N/A</v>
      </c>
    </row>
    <row r="3226" ht="14.25" customHeight="1">
      <c r="B3226" s="7">
        <v>44131.0</v>
      </c>
      <c r="C3226" s="7">
        <f t="shared" si="1"/>
        <v>44129</v>
      </c>
      <c r="D3226" s="1" t="str">
        <f t="array" ref="D3226">IF(ISBLANK(XLOOKUP(D$3,daily_items,XLOOKUP($C3226,daily_dates,big_daily_table))),NA(),XLOOKUP(D$3,daily_items,XLOOKUP($C3226,daily_dates,big_daily_table)))</f>
        <v>#N/A</v>
      </c>
      <c r="E3226" s="1" t="str">
        <f t="array" ref="E3226">IF(ISBLANK(XLOOKUP(E$3,daily_items,XLOOKUP($C3226,daily_dates,big_daily_table))),NA(),XLOOKUP(E$3,daily_items,XLOOKUP($C3226,daily_dates,big_daily_table)))</f>
        <v>#N/A</v>
      </c>
    </row>
    <row r="3227" ht="14.25" customHeight="1">
      <c r="B3227" s="7">
        <v>44132.0</v>
      </c>
      <c r="C3227" s="7">
        <f t="shared" si="1"/>
        <v>44129</v>
      </c>
      <c r="D3227" s="1" t="str">
        <f t="array" ref="D3227">IF(ISBLANK(XLOOKUP(D$3,daily_items,XLOOKUP($C3227,daily_dates,big_daily_table))),NA(),XLOOKUP(D$3,daily_items,XLOOKUP($C3227,daily_dates,big_daily_table)))</f>
        <v>#N/A</v>
      </c>
      <c r="E3227" s="1" t="str">
        <f t="array" ref="E3227">IF(ISBLANK(XLOOKUP(E$3,daily_items,XLOOKUP($C3227,daily_dates,big_daily_table))),NA(),XLOOKUP(E$3,daily_items,XLOOKUP($C3227,daily_dates,big_daily_table)))</f>
        <v>#N/A</v>
      </c>
    </row>
    <row r="3228" ht="14.25" customHeight="1">
      <c r="B3228" s="7">
        <v>44133.0</v>
      </c>
      <c r="C3228" s="7">
        <f t="shared" si="1"/>
        <v>44129</v>
      </c>
      <c r="D3228" s="1" t="str">
        <f t="array" ref="D3228">IF(ISBLANK(XLOOKUP(D$3,daily_items,XLOOKUP($C3228,daily_dates,big_daily_table))),NA(),XLOOKUP(D$3,daily_items,XLOOKUP($C3228,daily_dates,big_daily_table)))</f>
        <v>#N/A</v>
      </c>
      <c r="E3228" s="1" t="str">
        <f t="array" ref="E3228">IF(ISBLANK(XLOOKUP(E$3,daily_items,XLOOKUP($C3228,daily_dates,big_daily_table))),NA(),XLOOKUP(E$3,daily_items,XLOOKUP($C3228,daily_dates,big_daily_table)))</f>
        <v>#N/A</v>
      </c>
    </row>
    <row r="3229" ht="14.25" customHeight="1">
      <c r="B3229" s="7">
        <v>44134.0</v>
      </c>
      <c r="C3229" s="7">
        <f t="shared" si="1"/>
        <v>44129</v>
      </c>
      <c r="D3229" s="1" t="str">
        <f t="array" ref="D3229">IF(ISBLANK(XLOOKUP(D$3,daily_items,XLOOKUP($C3229,daily_dates,big_daily_table))),NA(),XLOOKUP(D$3,daily_items,XLOOKUP($C3229,daily_dates,big_daily_table)))</f>
        <v>#N/A</v>
      </c>
      <c r="E3229" s="1" t="str">
        <f t="array" ref="E3229">IF(ISBLANK(XLOOKUP(E$3,daily_items,XLOOKUP($C3229,daily_dates,big_daily_table))),NA(),XLOOKUP(E$3,daily_items,XLOOKUP($C3229,daily_dates,big_daily_table)))</f>
        <v>#N/A</v>
      </c>
    </row>
    <row r="3230" ht="14.25" customHeight="1">
      <c r="B3230" s="7">
        <v>44135.0</v>
      </c>
      <c r="C3230" s="7">
        <f t="shared" si="1"/>
        <v>44129</v>
      </c>
      <c r="D3230" s="1" t="str">
        <f t="array" ref="D3230">IF(ISBLANK(XLOOKUP(D$3,daily_items,XLOOKUP($C3230,daily_dates,big_daily_table))),NA(),XLOOKUP(D$3,daily_items,XLOOKUP($C3230,daily_dates,big_daily_table)))</f>
        <v>#N/A</v>
      </c>
      <c r="E3230" s="1" t="str">
        <f t="array" ref="E3230">IF(ISBLANK(XLOOKUP(E$3,daily_items,XLOOKUP($C3230,daily_dates,big_daily_table))),NA(),XLOOKUP(E$3,daily_items,XLOOKUP($C3230,daily_dates,big_daily_table)))</f>
        <v>#N/A</v>
      </c>
    </row>
    <row r="3231" ht="14.25" customHeight="1">
      <c r="B3231" s="7">
        <v>44136.0</v>
      </c>
      <c r="C3231" s="7">
        <f t="shared" si="1"/>
        <v>44136</v>
      </c>
      <c r="D3231" s="1" t="str">
        <f t="array" ref="D3231">IF(ISBLANK(XLOOKUP(D$3,daily_items,XLOOKUP($C3231,daily_dates,big_daily_table))),NA(),XLOOKUP(D$3,daily_items,XLOOKUP($C3231,daily_dates,big_daily_table)))</f>
        <v>#N/A</v>
      </c>
      <c r="E3231" s="1" t="str">
        <f t="array" ref="E3231">IF(ISBLANK(XLOOKUP(E$3,daily_items,XLOOKUP($C3231,daily_dates,big_daily_table))),NA(),XLOOKUP(E$3,daily_items,XLOOKUP($C3231,daily_dates,big_daily_table)))</f>
        <v>#N/A</v>
      </c>
    </row>
    <row r="3232" ht="14.25" customHeight="1">
      <c r="B3232" s="7">
        <v>44137.0</v>
      </c>
      <c r="C3232" s="7">
        <f t="shared" si="1"/>
        <v>44136</v>
      </c>
      <c r="D3232" s="1" t="str">
        <f t="array" ref="D3232">IF(ISBLANK(XLOOKUP(D$3,daily_items,XLOOKUP($C3232,daily_dates,big_daily_table))),NA(),XLOOKUP(D$3,daily_items,XLOOKUP($C3232,daily_dates,big_daily_table)))</f>
        <v>#N/A</v>
      </c>
      <c r="E3232" s="1" t="str">
        <f t="array" ref="E3232">IF(ISBLANK(XLOOKUP(E$3,daily_items,XLOOKUP($C3232,daily_dates,big_daily_table))),NA(),XLOOKUP(E$3,daily_items,XLOOKUP($C3232,daily_dates,big_daily_table)))</f>
        <v>#N/A</v>
      </c>
    </row>
    <row r="3233" ht="14.25" customHeight="1">
      <c r="B3233" s="7">
        <v>44138.0</v>
      </c>
      <c r="C3233" s="7">
        <f t="shared" si="1"/>
        <v>44136</v>
      </c>
      <c r="D3233" s="1" t="str">
        <f t="array" ref="D3233">IF(ISBLANK(XLOOKUP(D$3,daily_items,XLOOKUP($C3233,daily_dates,big_daily_table))),NA(),XLOOKUP(D$3,daily_items,XLOOKUP($C3233,daily_dates,big_daily_table)))</f>
        <v>#N/A</v>
      </c>
      <c r="E3233" s="1" t="str">
        <f t="array" ref="E3233">IF(ISBLANK(XLOOKUP(E$3,daily_items,XLOOKUP($C3233,daily_dates,big_daily_table))),NA(),XLOOKUP(E$3,daily_items,XLOOKUP($C3233,daily_dates,big_daily_table)))</f>
        <v>#N/A</v>
      </c>
    </row>
    <row r="3234" ht="14.25" customHeight="1">
      <c r="B3234" s="7">
        <v>44139.0</v>
      </c>
      <c r="C3234" s="7">
        <f t="shared" si="1"/>
        <v>44136</v>
      </c>
      <c r="D3234" s="1" t="str">
        <f t="array" ref="D3234">IF(ISBLANK(XLOOKUP(D$3,daily_items,XLOOKUP($C3234,daily_dates,big_daily_table))),NA(),XLOOKUP(D$3,daily_items,XLOOKUP($C3234,daily_dates,big_daily_table)))</f>
        <v>#N/A</v>
      </c>
      <c r="E3234" s="1" t="str">
        <f t="array" ref="E3234">IF(ISBLANK(XLOOKUP(E$3,daily_items,XLOOKUP($C3234,daily_dates,big_daily_table))),NA(),XLOOKUP(E$3,daily_items,XLOOKUP($C3234,daily_dates,big_daily_table)))</f>
        <v>#N/A</v>
      </c>
    </row>
    <row r="3235" ht="14.25" customHeight="1">
      <c r="B3235" s="7">
        <v>44140.0</v>
      </c>
      <c r="C3235" s="7">
        <f t="shared" si="1"/>
        <v>44136</v>
      </c>
      <c r="D3235" s="1" t="str">
        <f t="array" ref="D3235">IF(ISBLANK(XLOOKUP(D$3,daily_items,XLOOKUP($C3235,daily_dates,big_daily_table))),NA(),XLOOKUP(D$3,daily_items,XLOOKUP($C3235,daily_dates,big_daily_table)))</f>
        <v>#N/A</v>
      </c>
      <c r="E3235" s="1" t="str">
        <f t="array" ref="E3235">IF(ISBLANK(XLOOKUP(E$3,daily_items,XLOOKUP($C3235,daily_dates,big_daily_table))),NA(),XLOOKUP(E$3,daily_items,XLOOKUP($C3235,daily_dates,big_daily_table)))</f>
        <v>#N/A</v>
      </c>
    </row>
    <row r="3236" ht="14.25" customHeight="1">
      <c r="B3236" s="7">
        <v>44141.0</v>
      </c>
      <c r="C3236" s="7">
        <f t="shared" si="1"/>
        <v>44136</v>
      </c>
      <c r="D3236" s="1" t="str">
        <f t="array" ref="D3236">IF(ISBLANK(XLOOKUP(D$3,daily_items,XLOOKUP($C3236,daily_dates,big_daily_table))),NA(),XLOOKUP(D$3,daily_items,XLOOKUP($C3236,daily_dates,big_daily_table)))</f>
        <v>#N/A</v>
      </c>
      <c r="E3236" s="1" t="str">
        <f t="array" ref="E3236">IF(ISBLANK(XLOOKUP(E$3,daily_items,XLOOKUP($C3236,daily_dates,big_daily_table))),NA(),XLOOKUP(E$3,daily_items,XLOOKUP($C3236,daily_dates,big_daily_table)))</f>
        <v>#N/A</v>
      </c>
    </row>
    <row r="3237" ht="14.25" customHeight="1">
      <c r="B3237" s="7">
        <v>44142.0</v>
      </c>
      <c r="C3237" s="7">
        <f t="shared" si="1"/>
        <v>44136</v>
      </c>
      <c r="D3237" s="1" t="str">
        <f t="array" ref="D3237">IF(ISBLANK(XLOOKUP(D$3,daily_items,XLOOKUP($C3237,daily_dates,big_daily_table))),NA(),XLOOKUP(D$3,daily_items,XLOOKUP($C3237,daily_dates,big_daily_table)))</f>
        <v>#N/A</v>
      </c>
      <c r="E3237" s="1" t="str">
        <f t="array" ref="E3237">IF(ISBLANK(XLOOKUP(E$3,daily_items,XLOOKUP($C3237,daily_dates,big_daily_table))),NA(),XLOOKUP(E$3,daily_items,XLOOKUP($C3237,daily_dates,big_daily_table)))</f>
        <v>#N/A</v>
      </c>
    </row>
    <row r="3238" ht="14.25" customHeight="1">
      <c r="B3238" s="7">
        <v>44143.0</v>
      </c>
      <c r="C3238" s="7">
        <f t="shared" si="1"/>
        <v>44143</v>
      </c>
      <c r="D3238" s="1" t="str">
        <f t="array" ref="D3238">IF(ISBLANK(XLOOKUP(D$3,daily_items,XLOOKUP($C3238,daily_dates,big_daily_table))),NA(),XLOOKUP(D$3,daily_items,XLOOKUP($C3238,daily_dates,big_daily_table)))</f>
        <v>#N/A</v>
      </c>
      <c r="E3238" s="1" t="str">
        <f t="array" ref="E3238">IF(ISBLANK(XLOOKUP(E$3,daily_items,XLOOKUP($C3238,daily_dates,big_daily_table))),NA(),XLOOKUP(E$3,daily_items,XLOOKUP($C3238,daily_dates,big_daily_table)))</f>
        <v>#N/A</v>
      </c>
    </row>
    <row r="3239" ht="14.25" customHeight="1">
      <c r="B3239" s="7">
        <v>44144.0</v>
      </c>
      <c r="C3239" s="7">
        <f t="shared" si="1"/>
        <v>44143</v>
      </c>
      <c r="D3239" s="1" t="str">
        <f t="array" ref="D3239">IF(ISBLANK(XLOOKUP(D$3,daily_items,XLOOKUP($C3239,daily_dates,big_daily_table))),NA(),XLOOKUP(D$3,daily_items,XLOOKUP($C3239,daily_dates,big_daily_table)))</f>
        <v>#N/A</v>
      </c>
      <c r="E3239" s="1" t="str">
        <f t="array" ref="E3239">IF(ISBLANK(XLOOKUP(E$3,daily_items,XLOOKUP($C3239,daily_dates,big_daily_table))),NA(),XLOOKUP(E$3,daily_items,XLOOKUP($C3239,daily_dates,big_daily_table)))</f>
        <v>#N/A</v>
      </c>
    </row>
    <row r="3240" ht="14.25" customHeight="1">
      <c r="B3240" s="7">
        <v>44145.0</v>
      </c>
      <c r="C3240" s="7">
        <f t="shared" si="1"/>
        <v>44143</v>
      </c>
      <c r="D3240" s="1" t="str">
        <f t="array" ref="D3240">IF(ISBLANK(XLOOKUP(D$3,daily_items,XLOOKUP($C3240,daily_dates,big_daily_table))),NA(),XLOOKUP(D$3,daily_items,XLOOKUP($C3240,daily_dates,big_daily_table)))</f>
        <v>#N/A</v>
      </c>
      <c r="E3240" s="1" t="str">
        <f t="array" ref="E3240">IF(ISBLANK(XLOOKUP(E$3,daily_items,XLOOKUP($C3240,daily_dates,big_daily_table))),NA(),XLOOKUP(E$3,daily_items,XLOOKUP($C3240,daily_dates,big_daily_table)))</f>
        <v>#N/A</v>
      </c>
    </row>
    <row r="3241" ht="14.25" customHeight="1">
      <c r="B3241" s="7">
        <v>44146.0</v>
      </c>
      <c r="C3241" s="7">
        <f t="shared" si="1"/>
        <v>44143</v>
      </c>
      <c r="D3241" s="1" t="str">
        <f t="array" ref="D3241">IF(ISBLANK(XLOOKUP(D$3,daily_items,XLOOKUP($C3241,daily_dates,big_daily_table))),NA(),XLOOKUP(D$3,daily_items,XLOOKUP($C3241,daily_dates,big_daily_table)))</f>
        <v>#N/A</v>
      </c>
      <c r="E3241" s="1" t="str">
        <f t="array" ref="E3241">IF(ISBLANK(XLOOKUP(E$3,daily_items,XLOOKUP($C3241,daily_dates,big_daily_table))),NA(),XLOOKUP(E$3,daily_items,XLOOKUP($C3241,daily_dates,big_daily_table)))</f>
        <v>#N/A</v>
      </c>
    </row>
    <row r="3242" ht="14.25" customHeight="1">
      <c r="B3242" s="7">
        <v>44147.0</v>
      </c>
      <c r="C3242" s="7">
        <f t="shared" si="1"/>
        <v>44143</v>
      </c>
      <c r="D3242" s="1" t="str">
        <f t="array" ref="D3242">IF(ISBLANK(XLOOKUP(D$3,daily_items,XLOOKUP($C3242,daily_dates,big_daily_table))),NA(),XLOOKUP(D$3,daily_items,XLOOKUP($C3242,daily_dates,big_daily_table)))</f>
        <v>#N/A</v>
      </c>
      <c r="E3242" s="1" t="str">
        <f t="array" ref="E3242">IF(ISBLANK(XLOOKUP(E$3,daily_items,XLOOKUP($C3242,daily_dates,big_daily_table))),NA(),XLOOKUP(E$3,daily_items,XLOOKUP($C3242,daily_dates,big_daily_table)))</f>
        <v>#N/A</v>
      </c>
    </row>
    <row r="3243" ht="14.25" customHeight="1">
      <c r="B3243" s="7">
        <v>44148.0</v>
      </c>
      <c r="C3243" s="7">
        <f t="shared" si="1"/>
        <v>44143</v>
      </c>
      <c r="D3243" s="1" t="str">
        <f t="array" ref="D3243">IF(ISBLANK(XLOOKUP(D$3,daily_items,XLOOKUP($C3243,daily_dates,big_daily_table))),NA(),XLOOKUP(D$3,daily_items,XLOOKUP($C3243,daily_dates,big_daily_table)))</f>
        <v>#N/A</v>
      </c>
      <c r="E3243" s="1" t="str">
        <f t="array" ref="E3243">IF(ISBLANK(XLOOKUP(E$3,daily_items,XLOOKUP($C3243,daily_dates,big_daily_table))),NA(),XLOOKUP(E$3,daily_items,XLOOKUP($C3243,daily_dates,big_daily_table)))</f>
        <v>#N/A</v>
      </c>
    </row>
    <row r="3244" ht="14.25" customHeight="1">
      <c r="B3244" s="7">
        <v>44149.0</v>
      </c>
      <c r="C3244" s="7">
        <f t="shared" si="1"/>
        <v>44143</v>
      </c>
      <c r="D3244" s="1" t="str">
        <f t="array" ref="D3244">IF(ISBLANK(XLOOKUP(D$3,daily_items,XLOOKUP($C3244,daily_dates,big_daily_table))),NA(),XLOOKUP(D$3,daily_items,XLOOKUP($C3244,daily_dates,big_daily_table)))</f>
        <v>#N/A</v>
      </c>
      <c r="E3244" s="1" t="str">
        <f t="array" ref="E3244">IF(ISBLANK(XLOOKUP(E$3,daily_items,XLOOKUP($C3244,daily_dates,big_daily_table))),NA(),XLOOKUP(E$3,daily_items,XLOOKUP($C3244,daily_dates,big_daily_table)))</f>
        <v>#N/A</v>
      </c>
    </row>
    <row r="3245" ht="14.25" customHeight="1">
      <c r="B3245" s="7">
        <v>44150.0</v>
      </c>
      <c r="C3245" s="7">
        <f t="shared" si="1"/>
        <v>44150</v>
      </c>
      <c r="D3245" s="1" t="str">
        <f t="array" ref="D3245">IF(ISBLANK(XLOOKUP(D$3,daily_items,XLOOKUP($C3245,daily_dates,big_daily_table))),NA(),XLOOKUP(D$3,daily_items,XLOOKUP($C3245,daily_dates,big_daily_table)))</f>
        <v>#N/A</v>
      </c>
      <c r="E3245" s="1" t="str">
        <f t="array" ref="E3245">IF(ISBLANK(XLOOKUP(E$3,daily_items,XLOOKUP($C3245,daily_dates,big_daily_table))),NA(),XLOOKUP(E$3,daily_items,XLOOKUP($C3245,daily_dates,big_daily_table)))</f>
        <v>#N/A</v>
      </c>
    </row>
    <row r="3246" ht="14.25" customHeight="1">
      <c r="B3246" s="7">
        <v>44151.0</v>
      </c>
      <c r="C3246" s="7">
        <f t="shared" si="1"/>
        <v>44150</v>
      </c>
      <c r="D3246" s="1" t="str">
        <f t="array" ref="D3246">IF(ISBLANK(XLOOKUP(D$3,daily_items,XLOOKUP($C3246,daily_dates,big_daily_table))),NA(),XLOOKUP(D$3,daily_items,XLOOKUP($C3246,daily_dates,big_daily_table)))</f>
        <v>#N/A</v>
      </c>
      <c r="E3246" s="1" t="str">
        <f t="array" ref="E3246">IF(ISBLANK(XLOOKUP(E$3,daily_items,XLOOKUP($C3246,daily_dates,big_daily_table))),NA(),XLOOKUP(E$3,daily_items,XLOOKUP($C3246,daily_dates,big_daily_table)))</f>
        <v>#N/A</v>
      </c>
    </row>
    <row r="3247" ht="14.25" customHeight="1">
      <c r="B3247" s="7">
        <v>44152.0</v>
      </c>
      <c r="C3247" s="7">
        <f t="shared" si="1"/>
        <v>44150</v>
      </c>
      <c r="D3247" s="1" t="str">
        <f t="array" ref="D3247">IF(ISBLANK(XLOOKUP(D$3,daily_items,XLOOKUP($C3247,daily_dates,big_daily_table))),NA(),XLOOKUP(D$3,daily_items,XLOOKUP($C3247,daily_dates,big_daily_table)))</f>
        <v>#N/A</v>
      </c>
      <c r="E3247" s="1" t="str">
        <f t="array" ref="E3247">IF(ISBLANK(XLOOKUP(E$3,daily_items,XLOOKUP($C3247,daily_dates,big_daily_table))),NA(),XLOOKUP(E$3,daily_items,XLOOKUP($C3247,daily_dates,big_daily_table)))</f>
        <v>#N/A</v>
      </c>
    </row>
    <row r="3248" ht="14.25" customHeight="1">
      <c r="B3248" s="7">
        <v>44153.0</v>
      </c>
      <c r="C3248" s="7">
        <f t="shared" si="1"/>
        <v>44150</v>
      </c>
      <c r="D3248" s="1" t="str">
        <f t="array" ref="D3248">IF(ISBLANK(XLOOKUP(D$3,daily_items,XLOOKUP($C3248,daily_dates,big_daily_table))),NA(),XLOOKUP(D$3,daily_items,XLOOKUP($C3248,daily_dates,big_daily_table)))</f>
        <v>#N/A</v>
      </c>
      <c r="E3248" s="1" t="str">
        <f t="array" ref="E3248">IF(ISBLANK(XLOOKUP(E$3,daily_items,XLOOKUP($C3248,daily_dates,big_daily_table))),NA(),XLOOKUP(E$3,daily_items,XLOOKUP($C3248,daily_dates,big_daily_table)))</f>
        <v>#N/A</v>
      </c>
    </row>
    <row r="3249" ht="14.25" customHeight="1">
      <c r="B3249" s="7">
        <v>44154.0</v>
      </c>
      <c r="C3249" s="7">
        <f t="shared" si="1"/>
        <v>44150</v>
      </c>
      <c r="D3249" s="1" t="str">
        <f t="array" ref="D3249">IF(ISBLANK(XLOOKUP(D$3,daily_items,XLOOKUP($C3249,daily_dates,big_daily_table))),NA(),XLOOKUP(D$3,daily_items,XLOOKUP($C3249,daily_dates,big_daily_table)))</f>
        <v>#N/A</v>
      </c>
      <c r="E3249" s="1" t="str">
        <f t="array" ref="E3249">IF(ISBLANK(XLOOKUP(E$3,daily_items,XLOOKUP($C3249,daily_dates,big_daily_table))),NA(),XLOOKUP(E$3,daily_items,XLOOKUP($C3249,daily_dates,big_daily_table)))</f>
        <v>#N/A</v>
      </c>
    </row>
    <row r="3250" ht="14.25" customHeight="1">
      <c r="B3250" s="7">
        <v>44155.0</v>
      </c>
      <c r="C3250" s="7">
        <f t="shared" si="1"/>
        <v>44150</v>
      </c>
      <c r="D3250" s="1" t="str">
        <f t="array" ref="D3250">IF(ISBLANK(XLOOKUP(D$3,daily_items,XLOOKUP($C3250,daily_dates,big_daily_table))),NA(),XLOOKUP(D$3,daily_items,XLOOKUP($C3250,daily_dates,big_daily_table)))</f>
        <v>#N/A</v>
      </c>
      <c r="E3250" s="1" t="str">
        <f t="array" ref="E3250">IF(ISBLANK(XLOOKUP(E$3,daily_items,XLOOKUP($C3250,daily_dates,big_daily_table))),NA(),XLOOKUP(E$3,daily_items,XLOOKUP($C3250,daily_dates,big_daily_table)))</f>
        <v>#N/A</v>
      </c>
    </row>
    <row r="3251" ht="14.25" customHeight="1">
      <c r="B3251" s="7">
        <v>44156.0</v>
      </c>
      <c r="C3251" s="7">
        <f t="shared" si="1"/>
        <v>44150</v>
      </c>
      <c r="D3251" s="1" t="str">
        <f t="array" ref="D3251">IF(ISBLANK(XLOOKUP(D$3,daily_items,XLOOKUP($C3251,daily_dates,big_daily_table))),NA(),XLOOKUP(D$3,daily_items,XLOOKUP($C3251,daily_dates,big_daily_table)))</f>
        <v>#N/A</v>
      </c>
      <c r="E3251" s="1" t="str">
        <f t="array" ref="E3251">IF(ISBLANK(XLOOKUP(E$3,daily_items,XLOOKUP($C3251,daily_dates,big_daily_table))),NA(),XLOOKUP(E$3,daily_items,XLOOKUP($C3251,daily_dates,big_daily_table)))</f>
        <v>#N/A</v>
      </c>
    </row>
    <row r="3252" ht="14.25" customHeight="1">
      <c r="B3252" s="7">
        <v>44157.0</v>
      </c>
      <c r="C3252" s="7">
        <f t="shared" si="1"/>
        <v>44157</v>
      </c>
      <c r="D3252" s="1" t="str">
        <f t="array" ref="D3252">IF(ISBLANK(XLOOKUP(D$3,daily_items,XLOOKUP($C3252,daily_dates,big_daily_table))),NA(),XLOOKUP(D$3,daily_items,XLOOKUP($C3252,daily_dates,big_daily_table)))</f>
        <v>#N/A</v>
      </c>
      <c r="E3252" s="1" t="str">
        <f t="array" ref="E3252">IF(ISBLANK(XLOOKUP(E$3,daily_items,XLOOKUP($C3252,daily_dates,big_daily_table))),NA(),XLOOKUP(E$3,daily_items,XLOOKUP($C3252,daily_dates,big_daily_table)))</f>
        <v>#N/A</v>
      </c>
    </row>
    <row r="3253" ht="14.25" customHeight="1">
      <c r="B3253" s="7">
        <v>44158.0</v>
      </c>
      <c r="C3253" s="7">
        <f t="shared" si="1"/>
        <v>44157</v>
      </c>
      <c r="D3253" s="1" t="str">
        <f t="array" ref="D3253">IF(ISBLANK(XLOOKUP(D$3,daily_items,XLOOKUP($C3253,daily_dates,big_daily_table))),NA(),XLOOKUP(D$3,daily_items,XLOOKUP($C3253,daily_dates,big_daily_table)))</f>
        <v>#N/A</v>
      </c>
      <c r="E3253" s="1" t="str">
        <f t="array" ref="E3253">IF(ISBLANK(XLOOKUP(E$3,daily_items,XLOOKUP($C3253,daily_dates,big_daily_table))),NA(),XLOOKUP(E$3,daily_items,XLOOKUP($C3253,daily_dates,big_daily_table)))</f>
        <v>#N/A</v>
      </c>
    </row>
    <row r="3254" ht="14.25" customHeight="1">
      <c r="B3254" s="7">
        <v>44159.0</v>
      </c>
      <c r="C3254" s="7">
        <f t="shared" si="1"/>
        <v>44157</v>
      </c>
      <c r="D3254" s="1" t="str">
        <f t="array" ref="D3254">IF(ISBLANK(XLOOKUP(D$3,daily_items,XLOOKUP($C3254,daily_dates,big_daily_table))),NA(),XLOOKUP(D$3,daily_items,XLOOKUP($C3254,daily_dates,big_daily_table)))</f>
        <v>#N/A</v>
      </c>
      <c r="E3254" s="1" t="str">
        <f t="array" ref="E3254">IF(ISBLANK(XLOOKUP(E$3,daily_items,XLOOKUP($C3254,daily_dates,big_daily_table))),NA(),XLOOKUP(E$3,daily_items,XLOOKUP($C3254,daily_dates,big_daily_table)))</f>
        <v>#N/A</v>
      </c>
    </row>
    <row r="3255" ht="14.25" customHeight="1">
      <c r="B3255" s="7">
        <v>44160.0</v>
      </c>
      <c r="C3255" s="7">
        <f t="shared" si="1"/>
        <v>44157</v>
      </c>
      <c r="D3255" s="1" t="str">
        <f t="array" ref="D3255">IF(ISBLANK(XLOOKUP(D$3,daily_items,XLOOKUP($C3255,daily_dates,big_daily_table))),NA(),XLOOKUP(D$3,daily_items,XLOOKUP($C3255,daily_dates,big_daily_table)))</f>
        <v>#N/A</v>
      </c>
      <c r="E3255" s="1" t="str">
        <f t="array" ref="E3255">IF(ISBLANK(XLOOKUP(E$3,daily_items,XLOOKUP($C3255,daily_dates,big_daily_table))),NA(),XLOOKUP(E$3,daily_items,XLOOKUP($C3255,daily_dates,big_daily_table)))</f>
        <v>#N/A</v>
      </c>
    </row>
    <row r="3256" ht="14.25" customHeight="1">
      <c r="B3256" s="7">
        <v>44161.0</v>
      </c>
      <c r="C3256" s="7">
        <f t="shared" si="1"/>
        <v>44157</v>
      </c>
      <c r="D3256" s="1" t="str">
        <f t="array" ref="D3256">IF(ISBLANK(XLOOKUP(D$3,daily_items,XLOOKUP($C3256,daily_dates,big_daily_table))),NA(),XLOOKUP(D$3,daily_items,XLOOKUP($C3256,daily_dates,big_daily_table)))</f>
        <v>#N/A</v>
      </c>
      <c r="E3256" s="1" t="str">
        <f t="array" ref="E3256">IF(ISBLANK(XLOOKUP(E$3,daily_items,XLOOKUP($C3256,daily_dates,big_daily_table))),NA(),XLOOKUP(E$3,daily_items,XLOOKUP($C3256,daily_dates,big_daily_table)))</f>
        <v>#N/A</v>
      </c>
    </row>
    <row r="3257" ht="14.25" customHeight="1">
      <c r="B3257" s="7">
        <v>44162.0</v>
      </c>
      <c r="C3257" s="7">
        <f t="shared" si="1"/>
        <v>44157</v>
      </c>
      <c r="D3257" s="1" t="str">
        <f t="array" ref="D3257">IF(ISBLANK(XLOOKUP(D$3,daily_items,XLOOKUP($C3257,daily_dates,big_daily_table))),NA(),XLOOKUP(D$3,daily_items,XLOOKUP($C3257,daily_dates,big_daily_table)))</f>
        <v>#N/A</v>
      </c>
      <c r="E3257" s="1" t="str">
        <f t="array" ref="E3257">IF(ISBLANK(XLOOKUP(E$3,daily_items,XLOOKUP($C3257,daily_dates,big_daily_table))),NA(),XLOOKUP(E$3,daily_items,XLOOKUP($C3257,daily_dates,big_daily_table)))</f>
        <v>#N/A</v>
      </c>
    </row>
    <row r="3258" ht="14.25" customHeight="1">
      <c r="B3258" s="7">
        <v>44163.0</v>
      </c>
      <c r="C3258" s="7">
        <f t="shared" si="1"/>
        <v>44157</v>
      </c>
      <c r="D3258" s="1" t="str">
        <f t="array" ref="D3258">IF(ISBLANK(XLOOKUP(D$3,daily_items,XLOOKUP($C3258,daily_dates,big_daily_table))),NA(),XLOOKUP(D$3,daily_items,XLOOKUP($C3258,daily_dates,big_daily_table)))</f>
        <v>#N/A</v>
      </c>
      <c r="E3258" s="1" t="str">
        <f t="array" ref="E3258">IF(ISBLANK(XLOOKUP(E$3,daily_items,XLOOKUP($C3258,daily_dates,big_daily_table))),NA(),XLOOKUP(E$3,daily_items,XLOOKUP($C3258,daily_dates,big_daily_table)))</f>
        <v>#N/A</v>
      </c>
    </row>
    <row r="3259" ht="14.25" customHeight="1">
      <c r="B3259" s="7">
        <v>44164.0</v>
      </c>
      <c r="C3259" s="7">
        <f t="shared" si="1"/>
        <v>44164</v>
      </c>
      <c r="D3259" s="1" t="str">
        <f t="array" ref="D3259">IF(ISBLANK(XLOOKUP(D$3,daily_items,XLOOKUP($C3259,daily_dates,big_daily_table))),NA(),XLOOKUP(D$3,daily_items,XLOOKUP($C3259,daily_dates,big_daily_table)))</f>
        <v>#N/A</v>
      </c>
      <c r="E3259" s="1" t="str">
        <f t="array" ref="E3259">IF(ISBLANK(XLOOKUP(E$3,daily_items,XLOOKUP($C3259,daily_dates,big_daily_table))),NA(),XLOOKUP(E$3,daily_items,XLOOKUP($C3259,daily_dates,big_daily_table)))</f>
        <v>#N/A</v>
      </c>
    </row>
    <row r="3260" ht="14.25" customHeight="1">
      <c r="B3260" s="7">
        <v>44165.0</v>
      </c>
      <c r="C3260" s="7">
        <f t="shared" si="1"/>
        <v>44164</v>
      </c>
      <c r="D3260" s="1" t="str">
        <f t="array" ref="D3260">IF(ISBLANK(XLOOKUP(D$3,daily_items,XLOOKUP($C3260,daily_dates,big_daily_table))),NA(),XLOOKUP(D$3,daily_items,XLOOKUP($C3260,daily_dates,big_daily_table)))</f>
        <v>#N/A</v>
      </c>
      <c r="E3260" s="1" t="str">
        <f t="array" ref="E3260">IF(ISBLANK(XLOOKUP(E$3,daily_items,XLOOKUP($C3260,daily_dates,big_daily_table))),NA(),XLOOKUP(E$3,daily_items,XLOOKUP($C3260,daily_dates,big_daily_table)))</f>
        <v>#N/A</v>
      </c>
    </row>
    <row r="3261" ht="14.25" customHeight="1">
      <c r="B3261" s="7">
        <v>44166.0</v>
      </c>
      <c r="C3261" s="7">
        <f t="shared" si="1"/>
        <v>44164</v>
      </c>
      <c r="D3261" s="1" t="str">
        <f t="array" ref="D3261">IF(ISBLANK(XLOOKUP(D$3,daily_items,XLOOKUP($C3261,daily_dates,big_daily_table))),NA(),XLOOKUP(D$3,daily_items,XLOOKUP($C3261,daily_dates,big_daily_table)))</f>
        <v>#N/A</v>
      </c>
      <c r="E3261" s="1" t="str">
        <f t="array" ref="E3261">IF(ISBLANK(XLOOKUP(E$3,daily_items,XLOOKUP($C3261,daily_dates,big_daily_table))),NA(),XLOOKUP(E$3,daily_items,XLOOKUP($C3261,daily_dates,big_daily_table)))</f>
        <v>#N/A</v>
      </c>
    </row>
    <row r="3262" ht="14.25" customHeight="1">
      <c r="B3262" s="7">
        <v>44167.0</v>
      </c>
      <c r="C3262" s="7">
        <f t="shared" si="1"/>
        <v>44164</v>
      </c>
      <c r="D3262" s="1" t="str">
        <f t="array" ref="D3262">IF(ISBLANK(XLOOKUP(D$3,daily_items,XLOOKUP($C3262,daily_dates,big_daily_table))),NA(),XLOOKUP(D$3,daily_items,XLOOKUP($C3262,daily_dates,big_daily_table)))</f>
        <v>#N/A</v>
      </c>
      <c r="E3262" s="1" t="str">
        <f t="array" ref="E3262">IF(ISBLANK(XLOOKUP(E$3,daily_items,XLOOKUP($C3262,daily_dates,big_daily_table))),NA(),XLOOKUP(E$3,daily_items,XLOOKUP($C3262,daily_dates,big_daily_table)))</f>
        <v>#N/A</v>
      </c>
    </row>
    <row r="3263" ht="14.25" customHeight="1">
      <c r="B3263" s="7">
        <v>44168.0</v>
      </c>
      <c r="C3263" s="7">
        <f t="shared" si="1"/>
        <v>44164</v>
      </c>
      <c r="D3263" s="1" t="str">
        <f t="array" ref="D3263">IF(ISBLANK(XLOOKUP(D$3,daily_items,XLOOKUP($C3263,daily_dates,big_daily_table))),NA(),XLOOKUP(D$3,daily_items,XLOOKUP($C3263,daily_dates,big_daily_table)))</f>
        <v>#N/A</v>
      </c>
      <c r="E3263" s="1" t="str">
        <f t="array" ref="E3263">IF(ISBLANK(XLOOKUP(E$3,daily_items,XLOOKUP($C3263,daily_dates,big_daily_table))),NA(),XLOOKUP(E$3,daily_items,XLOOKUP($C3263,daily_dates,big_daily_table)))</f>
        <v>#N/A</v>
      </c>
    </row>
    <row r="3264" ht="14.25" customHeight="1">
      <c r="B3264" s="7">
        <v>44169.0</v>
      </c>
      <c r="C3264" s="7">
        <f t="shared" si="1"/>
        <v>44164</v>
      </c>
      <c r="D3264" s="1" t="str">
        <f t="array" ref="D3264">IF(ISBLANK(XLOOKUP(D$3,daily_items,XLOOKUP($C3264,daily_dates,big_daily_table))),NA(),XLOOKUP(D$3,daily_items,XLOOKUP($C3264,daily_dates,big_daily_table)))</f>
        <v>#N/A</v>
      </c>
      <c r="E3264" s="1" t="str">
        <f t="array" ref="E3264">IF(ISBLANK(XLOOKUP(E$3,daily_items,XLOOKUP($C3264,daily_dates,big_daily_table))),NA(),XLOOKUP(E$3,daily_items,XLOOKUP($C3264,daily_dates,big_daily_table)))</f>
        <v>#N/A</v>
      </c>
    </row>
    <row r="3265" ht="14.25" customHeight="1">
      <c r="B3265" s="7">
        <v>44170.0</v>
      </c>
      <c r="C3265" s="7">
        <f t="shared" si="1"/>
        <v>44164</v>
      </c>
      <c r="D3265" s="1" t="str">
        <f t="array" ref="D3265">IF(ISBLANK(XLOOKUP(D$3,daily_items,XLOOKUP($C3265,daily_dates,big_daily_table))),NA(),XLOOKUP(D$3,daily_items,XLOOKUP($C3265,daily_dates,big_daily_table)))</f>
        <v>#N/A</v>
      </c>
      <c r="E3265" s="1" t="str">
        <f t="array" ref="E3265">IF(ISBLANK(XLOOKUP(E$3,daily_items,XLOOKUP($C3265,daily_dates,big_daily_table))),NA(),XLOOKUP(E$3,daily_items,XLOOKUP($C3265,daily_dates,big_daily_table)))</f>
        <v>#N/A</v>
      </c>
    </row>
    <row r="3266" ht="14.25" customHeight="1">
      <c r="B3266" s="7">
        <v>44171.0</v>
      </c>
      <c r="C3266" s="7">
        <f t="shared" si="1"/>
        <v>44171</v>
      </c>
      <c r="D3266" s="1" t="str">
        <f t="array" ref="D3266">IF(ISBLANK(XLOOKUP(D$3,daily_items,XLOOKUP($C3266,daily_dates,big_daily_table))),NA(),XLOOKUP(D$3,daily_items,XLOOKUP($C3266,daily_dates,big_daily_table)))</f>
        <v>#N/A</v>
      </c>
      <c r="E3266" s="1" t="str">
        <f t="array" ref="E3266">IF(ISBLANK(XLOOKUP(E$3,daily_items,XLOOKUP($C3266,daily_dates,big_daily_table))),NA(),XLOOKUP(E$3,daily_items,XLOOKUP($C3266,daily_dates,big_daily_table)))</f>
        <v>#N/A</v>
      </c>
    </row>
    <row r="3267" ht="14.25" customHeight="1">
      <c r="B3267" s="7">
        <v>44172.0</v>
      </c>
      <c r="C3267" s="7">
        <f t="shared" si="1"/>
        <v>44171</v>
      </c>
      <c r="D3267" s="1" t="str">
        <f t="array" ref="D3267">IF(ISBLANK(XLOOKUP(D$3,daily_items,XLOOKUP($C3267,daily_dates,big_daily_table))),NA(),XLOOKUP(D$3,daily_items,XLOOKUP($C3267,daily_dates,big_daily_table)))</f>
        <v>#N/A</v>
      </c>
      <c r="E3267" s="1" t="str">
        <f t="array" ref="E3267">IF(ISBLANK(XLOOKUP(E$3,daily_items,XLOOKUP($C3267,daily_dates,big_daily_table))),NA(),XLOOKUP(E$3,daily_items,XLOOKUP($C3267,daily_dates,big_daily_table)))</f>
        <v>#N/A</v>
      </c>
    </row>
    <row r="3268" ht="14.25" customHeight="1">
      <c r="B3268" s="7">
        <v>44173.0</v>
      </c>
      <c r="C3268" s="7">
        <f t="shared" si="1"/>
        <v>44171</v>
      </c>
      <c r="D3268" s="1" t="str">
        <f t="array" ref="D3268">IF(ISBLANK(XLOOKUP(D$3,daily_items,XLOOKUP($C3268,daily_dates,big_daily_table))),NA(),XLOOKUP(D$3,daily_items,XLOOKUP($C3268,daily_dates,big_daily_table)))</f>
        <v>#N/A</v>
      </c>
      <c r="E3268" s="1" t="str">
        <f t="array" ref="E3268">IF(ISBLANK(XLOOKUP(E$3,daily_items,XLOOKUP($C3268,daily_dates,big_daily_table))),NA(),XLOOKUP(E$3,daily_items,XLOOKUP($C3268,daily_dates,big_daily_table)))</f>
        <v>#N/A</v>
      </c>
    </row>
    <row r="3269" ht="14.25" customHeight="1">
      <c r="B3269" s="7">
        <v>44174.0</v>
      </c>
      <c r="C3269" s="7">
        <f t="shared" si="1"/>
        <v>44171</v>
      </c>
      <c r="D3269" s="1" t="str">
        <f t="array" ref="D3269">IF(ISBLANK(XLOOKUP(D$3,daily_items,XLOOKUP($C3269,daily_dates,big_daily_table))),NA(),XLOOKUP(D$3,daily_items,XLOOKUP($C3269,daily_dates,big_daily_table)))</f>
        <v>#N/A</v>
      </c>
      <c r="E3269" s="1" t="str">
        <f t="array" ref="E3269">IF(ISBLANK(XLOOKUP(E$3,daily_items,XLOOKUP($C3269,daily_dates,big_daily_table))),NA(),XLOOKUP(E$3,daily_items,XLOOKUP($C3269,daily_dates,big_daily_table)))</f>
        <v>#N/A</v>
      </c>
    </row>
    <row r="3270" ht="14.25" customHeight="1">
      <c r="B3270" s="7">
        <v>44175.0</v>
      </c>
      <c r="C3270" s="7">
        <f t="shared" si="1"/>
        <v>44171</v>
      </c>
      <c r="D3270" s="1" t="str">
        <f t="array" ref="D3270">IF(ISBLANK(XLOOKUP(D$3,daily_items,XLOOKUP($C3270,daily_dates,big_daily_table))),NA(),XLOOKUP(D$3,daily_items,XLOOKUP($C3270,daily_dates,big_daily_table)))</f>
        <v>#N/A</v>
      </c>
      <c r="E3270" s="1" t="str">
        <f t="array" ref="E3270">IF(ISBLANK(XLOOKUP(E$3,daily_items,XLOOKUP($C3270,daily_dates,big_daily_table))),NA(),XLOOKUP(E$3,daily_items,XLOOKUP($C3270,daily_dates,big_daily_table)))</f>
        <v>#N/A</v>
      </c>
    </row>
    <row r="3271" ht="14.25" customHeight="1">
      <c r="B3271" s="7">
        <v>44176.0</v>
      </c>
      <c r="C3271" s="7">
        <f t="shared" si="1"/>
        <v>44171</v>
      </c>
      <c r="D3271" s="1" t="str">
        <f t="array" ref="D3271">IF(ISBLANK(XLOOKUP(D$3,daily_items,XLOOKUP($C3271,daily_dates,big_daily_table))),NA(),XLOOKUP(D$3,daily_items,XLOOKUP($C3271,daily_dates,big_daily_table)))</f>
        <v>#N/A</v>
      </c>
      <c r="E3271" s="1" t="str">
        <f t="array" ref="E3271">IF(ISBLANK(XLOOKUP(E$3,daily_items,XLOOKUP($C3271,daily_dates,big_daily_table))),NA(),XLOOKUP(E$3,daily_items,XLOOKUP($C3271,daily_dates,big_daily_table)))</f>
        <v>#N/A</v>
      </c>
    </row>
    <row r="3272" ht="14.25" customHeight="1">
      <c r="B3272" s="7">
        <v>44177.0</v>
      </c>
      <c r="C3272" s="7">
        <f t="shared" si="1"/>
        <v>44171</v>
      </c>
      <c r="D3272" s="1" t="str">
        <f t="array" ref="D3272">IF(ISBLANK(XLOOKUP(D$3,daily_items,XLOOKUP($C3272,daily_dates,big_daily_table))),NA(),XLOOKUP(D$3,daily_items,XLOOKUP($C3272,daily_dates,big_daily_table)))</f>
        <v>#N/A</v>
      </c>
      <c r="E3272" s="1" t="str">
        <f t="array" ref="E3272">IF(ISBLANK(XLOOKUP(E$3,daily_items,XLOOKUP($C3272,daily_dates,big_daily_table))),NA(),XLOOKUP(E$3,daily_items,XLOOKUP($C3272,daily_dates,big_daily_table)))</f>
        <v>#N/A</v>
      </c>
    </row>
    <row r="3273" ht="14.25" customHeight="1">
      <c r="B3273" s="7">
        <v>44178.0</v>
      </c>
      <c r="C3273" s="7">
        <f t="shared" si="1"/>
        <v>44178</v>
      </c>
      <c r="D3273" s="1" t="str">
        <f t="array" ref="D3273">IF(ISBLANK(XLOOKUP(D$3,daily_items,XLOOKUP($C3273,daily_dates,big_daily_table))),NA(),XLOOKUP(D$3,daily_items,XLOOKUP($C3273,daily_dates,big_daily_table)))</f>
        <v>#N/A</v>
      </c>
      <c r="E3273" s="1" t="str">
        <f t="array" ref="E3273">IF(ISBLANK(XLOOKUP(E$3,daily_items,XLOOKUP($C3273,daily_dates,big_daily_table))),NA(),XLOOKUP(E$3,daily_items,XLOOKUP($C3273,daily_dates,big_daily_table)))</f>
        <v>#N/A</v>
      </c>
    </row>
    <row r="3274" ht="14.25" customHeight="1">
      <c r="B3274" s="7">
        <v>44179.0</v>
      </c>
      <c r="C3274" s="7">
        <f t="shared" si="1"/>
        <v>44178</v>
      </c>
      <c r="D3274" s="1" t="str">
        <f t="array" ref="D3274">IF(ISBLANK(XLOOKUP(D$3,daily_items,XLOOKUP($C3274,daily_dates,big_daily_table))),NA(),XLOOKUP(D$3,daily_items,XLOOKUP($C3274,daily_dates,big_daily_table)))</f>
        <v>#N/A</v>
      </c>
      <c r="E3274" s="1" t="str">
        <f t="array" ref="E3274">IF(ISBLANK(XLOOKUP(E$3,daily_items,XLOOKUP($C3274,daily_dates,big_daily_table))),NA(),XLOOKUP(E$3,daily_items,XLOOKUP($C3274,daily_dates,big_daily_table)))</f>
        <v>#N/A</v>
      </c>
    </row>
    <row r="3275" ht="14.25" customHeight="1">
      <c r="B3275" s="7">
        <v>44180.0</v>
      </c>
      <c r="C3275" s="7">
        <f t="shared" si="1"/>
        <v>44178</v>
      </c>
      <c r="D3275" s="1" t="str">
        <f t="array" ref="D3275">IF(ISBLANK(XLOOKUP(D$3,daily_items,XLOOKUP($C3275,daily_dates,big_daily_table))),NA(),XLOOKUP(D$3,daily_items,XLOOKUP($C3275,daily_dates,big_daily_table)))</f>
        <v>#N/A</v>
      </c>
      <c r="E3275" s="1" t="str">
        <f t="array" ref="E3275">IF(ISBLANK(XLOOKUP(E$3,daily_items,XLOOKUP($C3275,daily_dates,big_daily_table))),NA(),XLOOKUP(E$3,daily_items,XLOOKUP($C3275,daily_dates,big_daily_table)))</f>
        <v>#N/A</v>
      </c>
    </row>
    <row r="3276" ht="14.25" customHeight="1">
      <c r="B3276" s="7">
        <v>44181.0</v>
      </c>
      <c r="C3276" s="7">
        <f t="shared" si="1"/>
        <v>44178</v>
      </c>
      <c r="D3276" s="1" t="str">
        <f t="array" ref="D3276">IF(ISBLANK(XLOOKUP(D$3,daily_items,XLOOKUP($C3276,daily_dates,big_daily_table))),NA(),XLOOKUP(D$3,daily_items,XLOOKUP($C3276,daily_dates,big_daily_table)))</f>
        <v>#N/A</v>
      </c>
      <c r="E3276" s="1" t="str">
        <f t="array" ref="E3276">IF(ISBLANK(XLOOKUP(E$3,daily_items,XLOOKUP($C3276,daily_dates,big_daily_table))),NA(),XLOOKUP(E$3,daily_items,XLOOKUP($C3276,daily_dates,big_daily_table)))</f>
        <v>#N/A</v>
      </c>
    </row>
    <row r="3277" ht="14.25" customHeight="1">
      <c r="B3277" s="7">
        <v>44182.0</v>
      </c>
      <c r="C3277" s="7">
        <f t="shared" si="1"/>
        <v>44178</v>
      </c>
      <c r="D3277" s="1" t="str">
        <f t="array" ref="D3277">IF(ISBLANK(XLOOKUP(D$3,daily_items,XLOOKUP($C3277,daily_dates,big_daily_table))),NA(),XLOOKUP(D$3,daily_items,XLOOKUP($C3277,daily_dates,big_daily_table)))</f>
        <v>#N/A</v>
      </c>
      <c r="E3277" s="1" t="str">
        <f t="array" ref="E3277">IF(ISBLANK(XLOOKUP(E$3,daily_items,XLOOKUP($C3277,daily_dates,big_daily_table))),NA(),XLOOKUP(E$3,daily_items,XLOOKUP($C3277,daily_dates,big_daily_table)))</f>
        <v>#N/A</v>
      </c>
    </row>
    <row r="3278" ht="14.25" customHeight="1">
      <c r="B3278" s="7">
        <v>44183.0</v>
      </c>
      <c r="C3278" s="7">
        <f t="shared" si="1"/>
        <v>44178</v>
      </c>
      <c r="D3278" s="1" t="str">
        <f t="array" ref="D3278">IF(ISBLANK(XLOOKUP(D$3,daily_items,XLOOKUP($C3278,daily_dates,big_daily_table))),NA(),XLOOKUP(D$3,daily_items,XLOOKUP($C3278,daily_dates,big_daily_table)))</f>
        <v>#N/A</v>
      </c>
      <c r="E3278" s="1" t="str">
        <f t="array" ref="E3278">IF(ISBLANK(XLOOKUP(E$3,daily_items,XLOOKUP($C3278,daily_dates,big_daily_table))),NA(),XLOOKUP(E$3,daily_items,XLOOKUP($C3278,daily_dates,big_daily_table)))</f>
        <v>#N/A</v>
      </c>
    </row>
    <row r="3279" ht="14.25" customHeight="1">
      <c r="B3279" s="7">
        <v>44184.0</v>
      </c>
      <c r="C3279" s="7">
        <f t="shared" si="1"/>
        <v>44178</v>
      </c>
      <c r="D3279" s="1" t="str">
        <f t="array" ref="D3279">IF(ISBLANK(XLOOKUP(D$3,daily_items,XLOOKUP($C3279,daily_dates,big_daily_table))),NA(),XLOOKUP(D$3,daily_items,XLOOKUP($C3279,daily_dates,big_daily_table)))</f>
        <v>#N/A</v>
      </c>
      <c r="E3279" s="1" t="str">
        <f t="array" ref="E3279">IF(ISBLANK(XLOOKUP(E$3,daily_items,XLOOKUP($C3279,daily_dates,big_daily_table))),NA(),XLOOKUP(E$3,daily_items,XLOOKUP($C3279,daily_dates,big_daily_table)))</f>
        <v>#N/A</v>
      </c>
    </row>
    <row r="3280" ht="14.25" customHeight="1">
      <c r="B3280" s="7">
        <v>44185.0</v>
      </c>
      <c r="C3280" s="7">
        <f t="shared" si="1"/>
        <v>44185</v>
      </c>
      <c r="D3280" s="1" t="str">
        <f t="array" ref="D3280">IF(ISBLANK(XLOOKUP(D$3,daily_items,XLOOKUP($C3280,daily_dates,big_daily_table))),NA(),XLOOKUP(D$3,daily_items,XLOOKUP($C3280,daily_dates,big_daily_table)))</f>
        <v>#N/A</v>
      </c>
      <c r="E3280" s="1" t="str">
        <f t="array" ref="E3280">IF(ISBLANK(XLOOKUP(E$3,daily_items,XLOOKUP($C3280,daily_dates,big_daily_table))),NA(),XLOOKUP(E$3,daily_items,XLOOKUP($C3280,daily_dates,big_daily_table)))</f>
        <v>#N/A</v>
      </c>
    </row>
    <row r="3281" ht="14.25" customHeight="1">
      <c r="B3281" s="7">
        <v>44186.0</v>
      </c>
      <c r="C3281" s="7">
        <f t="shared" si="1"/>
        <v>44185</v>
      </c>
      <c r="D3281" s="1" t="str">
        <f t="array" ref="D3281">IF(ISBLANK(XLOOKUP(D$3,daily_items,XLOOKUP($C3281,daily_dates,big_daily_table))),NA(),XLOOKUP(D$3,daily_items,XLOOKUP($C3281,daily_dates,big_daily_table)))</f>
        <v>#N/A</v>
      </c>
      <c r="E3281" s="1" t="str">
        <f t="array" ref="E3281">IF(ISBLANK(XLOOKUP(E$3,daily_items,XLOOKUP($C3281,daily_dates,big_daily_table))),NA(),XLOOKUP(E$3,daily_items,XLOOKUP($C3281,daily_dates,big_daily_table)))</f>
        <v>#N/A</v>
      </c>
    </row>
    <row r="3282" ht="14.25" customHeight="1">
      <c r="B3282" s="7">
        <v>44187.0</v>
      </c>
      <c r="C3282" s="7">
        <f t="shared" si="1"/>
        <v>44185</v>
      </c>
      <c r="D3282" s="1" t="str">
        <f t="array" ref="D3282">IF(ISBLANK(XLOOKUP(D$3,daily_items,XLOOKUP($C3282,daily_dates,big_daily_table))),NA(),XLOOKUP(D$3,daily_items,XLOOKUP($C3282,daily_dates,big_daily_table)))</f>
        <v>#N/A</v>
      </c>
      <c r="E3282" s="1" t="str">
        <f t="array" ref="E3282">IF(ISBLANK(XLOOKUP(E$3,daily_items,XLOOKUP($C3282,daily_dates,big_daily_table))),NA(),XLOOKUP(E$3,daily_items,XLOOKUP($C3282,daily_dates,big_daily_table)))</f>
        <v>#N/A</v>
      </c>
    </row>
    <row r="3283" ht="14.25" customHeight="1">
      <c r="B3283" s="7">
        <v>44188.0</v>
      </c>
      <c r="C3283" s="7">
        <f t="shared" si="1"/>
        <v>44185</v>
      </c>
      <c r="D3283" s="1" t="str">
        <f t="array" ref="D3283">IF(ISBLANK(XLOOKUP(D$3,daily_items,XLOOKUP($C3283,daily_dates,big_daily_table))),NA(),XLOOKUP(D$3,daily_items,XLOOKUP($C3283,daily_dates,big_daily_table)))</f>
        <v>#N/A</v>
      </c>
      <c r="E3283" s="1" t="str">
        <f t="array" ref="E3283">IF(ISBLANK(XLOOKUP(E$3,daily_items,XLOOKUP($C3283,daily_dates,big_daily_table))),NA(),XLOOKUP(E$3,daily_items,XLOOKUP($C3283,daily_dates,big_daily_table)))</f>
        <v>#N/A</v>
      </c>
    </row>
    <row r="3284" ht="14.25" customHeight="1">
      <c r="B3284" s="7">
        <v>44189.0</v>
      </c>
      <c r="C3284" s="7">
        <f t="shared" si="1"/>
        <v>44185</v>
      </c>
      <c r="D3284" s="1" t="str">
        <f t="array" ref="D3284">IF(ISBLANK(XLOOKUP(D$3,daily_items,XLOOKUP($C3284,daily_dates,big_daily_table))),NA(),XLOOKUP(D$3,daily_items,XLOOKUP($C3284,daily_dates,big_daily_table)))</f>
        <v>#N/A</v>
      </c>
      <c r="E3284" s="1" t="str">
        <f t="array" ref="E3284">IF(ISBLANK(XLOOKUP(E$3,daily_items,XLOOKUP($C3284,daily_dates,big_daily_table))),NA(),XLOOKUP(E$3,daily_items,XLOOKUP($C3284,daily_dates,big_daily_table)))</f>
        <v>#N/A</v>
      </c>
    </row>
    <row r="3285" ht="14.25" customHeight="1">
      <c r="B3285" s="7">
        <v>44190.0</v>
      </c>
      <c r="C3285" s="7">
        <f t="shared" si="1"/>
        <v>44185</v>
      </c>
      <c r="D3285" s="1" t="str">
        <f t="array" ref="D3285">IF(ISBLANK(XLOOKUP(D$3,daily_items,XLOOKUP($C3285,daily_dates,big_daily_table))),NA(),XLOOKUP(D$3,daily_items,XLOOKUP($C3285,daily_dates,big_daily_table)))</f>
        <v>#N/A</v>
      </c>
      <c r="E3285" s="1" t="str">
        <f t="array" ref="E3285">IF(ISBLANK(XLOOKUP(E$3,daily_items,XLOOKUP($C3285,daily_dates,big_daily_table))),NA(),XLOOKUP(E$3,daily_items,XLOOKUP($C3285,daily_dates,big_daily_table)))</f>
        <v>#N/A</v>
      </c>
    </row>
    <row r="3286" ht="14.25" customHeight="1">
      <c r="B3286" s="7">
        <v>44191.0</v>
      </c>
      <c r="C3286" s="7">
        <f t="shared" si="1"/>
        <v>44185</v>
      </c>
      <c r="D3286" s="1" t="str">
        <f t="array" ref="D3286">IF(ISBLANK(XLOOKUP(D$3,daily_items,XLOOKUP($C3286,daily_dates,big_daily_table))),NA(),XLOOKUP(D$3,daily_items,XLOOKUP($C3286,daily_dates,big_daily_table)))</f>
        <v>#N/A</v>
      </c>
      <c r="E3286" s="1" t="str">
        <f t="array" ref="E3286">IF(ISBLANK(XLOOKUP(E$3,daily_items,XLOOKUP($C3286,daily_dates,big_daily_table))),NA(),XLOOKUP(E$3,daily_items,XLOOKUP($C3286,daily_dates,big_daily_table)))</f>
        <v>#N/A</v>
      </c>
    </row>
    <row r="3287" ht="14.25" customHeight="1">
      <c r="B3287" s="7">
        <v>44192.0</v>
      </c>
      <c r="C3287" s="7">
        <f t="shared" si="1"/>
        <v>44192</v>
      </c>
      <c r="D3287" s="1" t="str">
        <f t="array" ref="D3287">IF(ISBLANK(XLOOKUP(D$3,daily_items,XLOOKUP($C3287,daily_dates,big_daily_table))),NA(),XLOOKUP(D$3,daily_items,XLOOKUP($C3287,daily_dates,big_daily_table)))</f>
        <v>#N/A</v>
      </c>
      <c r="E3287" s="1" t="str">
        <f t="array" ref="E3287">IF(ISBLANK(XLOOKUP(E$3,daily_items,XLOOKUP($C3287,daily_dates,big_daily_table))),NA(),XLOOKUP(E$3,daily_items,XLOOKUP($C3287,daily_dates,big_daily_table)))</f>
        <v>#N/A</v>
      </c>
    </row>
    <row r="3288" ht="14.25" customHeight="1">
      <c r="B3288" s="7">
        <v>44193.0</v>
      </c>
      <c r="C3288" s="7">
        <f t="shared" si="1"/>
        <v>44192</v>
      </c>
      <c r="D3288" s="1" t="str">
        <f t="array" ref="D3288">IF(ISBLANK(XLOOKUP(D$3,daily_items,XLOOKUP($C3288,daily_dates,big_daily_table))),NA(),XLOOKUP(D$3,daily_items,XLOOKUP($C3288,daily_dates,big_daily_table)))</f>
        <v>#N/A</v>
      </c>
      <c r="E3288" s="1" t="str">
        <f t="array" ref="E3288">IF(ISBLANK(XLOOKUP(E$3,daily_items,XLOOKUP($C3288,daily_dates,big_daily_table))),NA(),XLOOKUP(E$3,daily_items,XLOOKUP($C3288,daily_dates,big_daily_table)))</f>
        <v>#N/A</v>
      </c>
    </row>
    <row r="3289" ht="14.25" customHeight="1">
      <c r="B3289" s="7">
        <v>44194.0</v>
      </c>
      <c r="C3289" s="7">
        <f t="shared" si="1"/>
        <v>44192</v>
      </c>
      <c r="D3289" s="1" t="str">
        <f t="array" ref="D3289">IF(ISBLANK(XLOOKUP(D$3,daily_items,XLOOKUP($C3289,daily_dates,big_daily_table))),NA(),XLOOKUP(D$3,daily_items,XLOOKUP($C3289,daily_dates,big_daily_table)))</f>
        <v>#N/A</v>
      </c>
      <c r="E3289" s="1" t="str">
        <f t="array" ref="E3289">IF(ISBLANK(XLOOKUP(E$3,daily_items,XLOOKUP($C3289,daily_dates,big_daily_table))),NA(),XLOOKUP(E$3,daily_items,XLOOKUP($C3289,daily_dates,big_daily_table)))</f>
        <v>#N/A</v>
      </c>
    </row>
    <row r="3290" ht="14.25" customHeight="1">
      <c r="B3290" s="7">
        <v>44195.0</v>
      </c>
      <c r="C3290" s="7">
        <f t="shared" si="1"/>
        <v>44192</v>
      </c>
      <c r="D3290" s="1" t="str">
        <f t="array" ref="D3290">IF(ISBLANK(XLOOKUP(D$3,daily_items,XLOOKUP($C3290,daily_dates,big_daily_table))),NA(),XLOOKUP(D$3,daily_items,XLOOKUP($C3290,daily_dates,big_daily_table)))</f>
        <v>#N/A</v>
      </c>
      <c r="E3290" s="1" t="str">
        <f t="array" ref="E3290">IF(ISBLANK(XLOOKUP(E$3,daily_items,XLOOKUP($C3290,daily_dates,big_daily_table))),NA(),XLOOKUP(E$3,daily_items,XLOOKUP($C3290,daily_dates,big_daily_table)))</f>
        <v>#N/A</v>
      </c>
    </row>
    <row r="3291" ht="14.25" customHeight="1">
      <c r="B3291" s="7">
        <v>44196.0</v>
      </c>
      <c r="C3291" s="7">
        <f t="shared" si="1"/>
        <v>44192</v>
      </c>
      <c r="D3291" s="1" t="str">
        <f t="array" ref="D3291">IF(ISBLANK(XLOOKUP(D$3,daily_items,XLOOKUP($C3291,daily_dates,big_daily_table))),NA(),XLOOKUP(D$3,daily_items,XLOOKUP($C3291,daily_dates,big_daily_table)))</f>
        <v>#N/A</v>
      </c>
      <c r="E3291" s="1" t="str">
        <f t="array" ref="E3291">IF(ISBLANK(XLOOKUP(E$3,daily_items,XLOOKUP($C3291,daily_dates,big_daily_table))),NA(),XLOOKUP(E$3,daily_items,XLOOKUP($C3291,daily_dates,big_daily_table)))</f>
        <v>#N/A</v>
      </c>
    </row>
    <row r="3292" ht="14.25" customHeight="1">
      <c r="B3292" s="7">
        <v>44197.0</v>
      </c>
      <c r="C3292" s="7">
        <f t="shared" si="1"/>
        <v>44192</v>
      </c>
      <c r="D3292" s="1" t="str">
        <f t="array" ref="D3292">IF(ISBLANK(XLOOKUP(D$3,daily_items,XLOOKUP($C3292,daily_dates,big_daily_table))),NA(),XLOOKUP(D$3,daily_items,XLOOKUP($C3292,daily_dates,big_daily_table)))</f>
        <v>#N/A</v>
      </c>
      <c r="E3292" s="1" t="str">
        <f t="array" ref="E3292">IF(ISBLANK(XLOOKUP(E$3,daily_items,XLOOKUP($C3292,daily_dates,big_daily_table))),NA(),XLOOKUP(E$3,daily_items,XLOOKUP($C3292,daily_dates,big_daily_table)))</f>
        <v>#N/A</v>
      </c>
    </row>
    <row r="3293" ht="14.25" customHeight="1">
      <c r="B3293" s="7">
        <v>44198.0</v>
      </c>
      <c r="C3293" s="7">
        <f t="shared" si="1"/>
        <v>44192</v>
      </c>
      <c r="D3293" s="1" t="str">
        <f t="array" ref="D3293">IF(ISBLANK(XLOOKUP(D$3,daily_items,XLOOKUP($C3293,daily_dates,big_daily_table))),NA(),XLOOKUP(D$3,daily_items,XLOOKUP($C3293,daily_dates,big_daily_table)))</f>
        <v>#N/A</v>
      </c>
      <c r="E3293" s="1" t="str">
        <f t="array" ref="E3293">IF(ISBLANK(XLOOKUP(E$3,daily_items,XLOOKUP($C3293,daily_dates,big_daily_table))),NA(),XLOOKUP(E$3,daily_items,XLOOKUP($C3293,daily_dates,big_daily_table)))</f>
        <v>#N/A</v>
      </c>
    </row>
    <row r="3294" ht="14.25" customHeight="1">
      <c r="B3294" s="7">
        <v>44199.0</v>
      </c>
      <c r="C3294" s="7">
        <f t="shared" si="1"/>
        <v>44199</v>
      </c>
      <c r="D3294" s="1" t="str">
        <f t="array" ref="D3294">IF(ISBLANK(XLOOKUP(D$3,daily_items,XLOOKUP($C3294,daily_dates,big_daily_table))),NA(),XLOOKUP(D$3,daily_items,XLOOKUP($C3294,daily_dates,big_daily_table)))</f>
        <v>#N/A</v>
      </c>
      <c r="E3294" s="1" t="str">
        <f t="array" ref="E3294">IF(ISBLANK(XLOOKUP(E$3,daily_items,XLOOKUP($C3294,daily_dates,big_daily_table))),NA(),XLOOKUP(E$3,daily_items,XLOOKUP($C3294,daily_dates,big_daily_table)))</f>
        <v>#N/A</v>
      </c>
    </row>
    <row r="3295" ht="14.25" customHeight="1">
      <c r="B3295" s="7">
        <v>44200.0</v>
      </c>
      <c r="C3295" s="7">
        <f t="shared" si="1"/>
        <v>44199</v>
      </c>
      <c r="D3295" s="1" t="str">
        <f t="array" ref="D3295">IF(ISBLANK(XLOOKUP(D$3,daily_items,XLOOKUP($C3295,daily_dates,big_daily_table))),NA(),XLOOKUP(D$3,daily_items,XLOOKUP($C3295,daily_dates,big_daily_table)))</f>
        <v>#N/A</v>
      </c>
      <c r="E3295" s="1" t="str">
        <f t="array" ref="E3295">IF(ISBLANK(XLOOKUP(E$3,daily_items,XLOOKUP($C3295,daily_dates,big_daily_table))),NA(),XLOOKUP(E$3,daily_items,XLOOKUP($C3295,daily_dates,big_daily_table)))</f>
        <v>#N/A</v>
      </c>
    </row>
    <row r="3296" ht="14.25" customHeight="1">
      <c r="B3296" s="7">
        <v>44201.0</v>
      </c>
      <c r="C3296" s="7">
        <f t="shared" si="1"/>
        <v>44199</v>
      </c>
      <c r="D3296" s="1" t="str">
        <f t="array" ref="D3296">IF(ISBLANK(XLOOKUP(D$3,daily_items,XLOOKUP($C3296,daily_dates,big_daily_table))),NA(),XLOOKUP(D$3,daily_items,XLOOKUP($C3296,daily_dates,big_daily_table)))</f>
        <v>#N/A</v>
      </c>
      <c r="E3296" s="1" t="str">
        <f t="array" ref="E3296">IF(ISBLANK(XLOOKUP(E$3,daily_items,XLOOKUP($C3296,daily_dates,big_daily_table))),NA(),XLOOKUP(E$3,daily_items,XLOOKUP($C3296,daily_dates,big_daily_table)))</f>
        <v>#N/A</v>
      </c>
    </row>
    <row r="3297" ht="14.25" customHeight="1">
      <c r="B3297" s="7">
        <v>44202.0</v>
      </c>
      <c r="C3297" s="7">
        <f t="shared" si="1"/>
        <v>44199</v>
      </c>
      <c r="D3297" s="1" t="str">
        <f t="array" ref="D3297">IF(ISBLANK(XLOOKUP(D$3,daily_items,XLOOKUP($C3297,daily_dates,big_daily_table))),NA(),XLOOKUP(D$3,daily_items,XLOOKUP($C3297,daily_dates,big_daily_table)))</f>
        <v>#N/A</v>
      </c>
      <c r="E3297" s="1" t="str">
        <f t="array" ref="E3297">IF(ISBLANK(XLOOKUP(E$3,daily_items,XLOOKUP($C3297,daily_dates,big_daily_table))),NA(),XLOOKUP(E$3,daily_items,XLOOKUP($C3297,daily_dates,big_daily_table)))</f>
        <v>#N/A</v>
      </c>
    </row>
    <row r="3298" ht="14.25" customHeight="1">
      <c r="B3298" s="7">
        <v>44203.0</v>
      </c>
      <c r="C3298" s="7">
        <f t="shared" si="1"/>
        <v>44199</v>
      </c>
      <c r="D3298" s="1" t="str">
        <f t="array" ref="D3298">IF(ISBLANK(XLOOKUP(D$3,daily_items,XLOOKUP($C3298,daily_dates,big_daily_table))),NA(),XLOOKUP(D$3,daily_items,XLOOKUP($C3298,daily_dates,big_daily_table)))</f>
        <v>#N/A</v>
      </c>
      <c r="E3298" s="1" t="str">
        <f t="array" ref="E3298">IF(ISBLANK(XLOOKUP(E$3,daily_items,XLOOKUP($C3298,daily_dates,big_daily_table))),NA(),XLOOKUP(E$3,daily_items,XLOOKUP($C3298,daily_dates,big_daily_table)))</f>
        <v>#N/A</v>
      </c>
    </row>
    <row r="3299" ht="14.25" customHeight="1">
      <c r="B3299" s="7">
        <v>44204.0</v>
      </c>
      <c r="C3299" s="7">
        <f t="shared" si="1"/>
        <v>44199</v>
      </c>
      <c r="D3299" s="1" t="str">
        <f t="array" ref="D3299">IF(ISBLANK(XLOOKUP(D$3,daily_items,XLOOKUP($C3299,daily_dates,big_daily_table))),NA(),XLOOKUP(D$3,daily_items,XLOOKUP($C3299,daily_dates,big_daily_table)))</f>
        <v>#N/A</v>
      </c>
      <c r="E3299" s="1" t="str">
        <f t="array" ref="E3299">IF(ISBLANK(XLOOKUP(E$3,daily_items,XLOOKUP($C3299,daily_dates,big_daily_table))),NA(),XLOOKUP(E$3,daily_items,XLOOKUP($C3299,daily_dates,big_daily_table)))</f>
        <v>#N/A</v>
      </c>
    </row>
    <row r="3300" ht="14.25" customHeight="1">
      <c r="B3300" s="7">
        <v>44205.0</v>
      </c>
      <c r="C3300" s="7">
        <f t="shared" si="1"/>
        <v>44199</v>
      </c>
      <c r="D3300" s="1" t="str">
        <f t="array" ref="D3300">IF(ISBLANK(XLOOKUP(D$3,daily_items,XLOOKUP($C3300,daily_dates,big_daily_table))),NA(),XLOOKUP(D$3,daily_items,XLOOKUP($C3300,daily_dates,big_daily_table)))</f>
        <v>#N/A</v>
      </c>
      <c r="E3300" s="1" t="str">
        <f t="array" ref="E3300">IF(ISBLANK(XLOOKUP(E$3,daily_items,XLOOKUP($C3300,daily_dates,big_daily_table))),NA(),XLOOKUP(E$3,daily_items,XLOOKUP($C3300,daily_dates,big_daily_table)))</f>
        <v>#N/A</v>
      </c>
    </row>
    <row r="3301" ht="14.25" customHeight="1">
      <c r="B3301" s="7">
        <v>44206.0</v>
      </c>
      <c r="C3301" s="7">
        <f t="shared" si="1"/>
        <v>44206</v>
      </c>
      <c r="D3301" s="1" t="str">
        <f t="array" ref="D3301">IF(ISBLANK(XLOOKUP(D$3,daily_items,XLOOKUP($C3301,daily_dates,big_daily_table))),NA(),XLOOKUP(D$3,daily_items,XLOOKUP($C3301,daily_dates,big_daily_table)))</f>
        <v>#N/A</v>
      </c>
      <c r="E3301" s="1" t="str">
        <f t="array" ref="E3301">IF(ISBLANK(XLOOKUP(E$3,daily_items,XLOOKUP($C3301,daily_dates,big_daily_table))),NA(),XLOOKUP(E$3,daily_items,XLOOKUP($C3301,daily_dates,big_daily_table)))</f>
        <v>#N/A</v>
      </c>
    </row>
    <row r="3302" ht="14.25" customHeight="1">
      <c r="B3302" s="7">
        <v>44207.0</v>
      </c>
      <c r="C3302" s="7">
        <f t="shared" si="1"/>
        <v>44206</v>
      </c>
      <c r="D3302" s="1" t="str">
        <f t="array" ref="D3302">IF(ISBLANK(XLOOKUP(D$3,daily_items,XLOOKUP($C3302,daily_dates,big_daily_table))),NA(),XLOOKUP(D$3,daily_items,XLOOKUP($C3302,daily_dates,big_daily_table)))</f>
        <v>#N/A</v>
      </c>
      <c r="E3302" s="1" t="str">
        <f t="array" ref="E3302">IF(ISBLANK(XLOOKUP(E$3,daily_items,XLOOKUP($C3302,daily_dates,big_daily_table))),NA(),XLOOKUP(E$3,daily_items,XLOOKUP($C3302,daily_dates,big_daily_table)))</f>
        <v>#N/A</v>
      </c>
    </row>
    <row r="3303" ht="14.25" customHeight="1">
      <c r="B3303" s="7">
        <v>44208.0</v>
      </c>
      <c r="C3303" s="7">
        <f t="shared" si="1"/>
        <v>44206</v>
      </c>
      <c r="D3303" s="1" t="str">
        <f t="array" ref="D3303">IF(ISBLANK(XLOOKUP(D$3,daily_items,XLOOKUP($C3303,daily_dates,big_daily_table))),NA(),XLOOKUP(D$3,daily_items,XLOOKUP($C3303,daily_dates,big_daily_table)))</f>
        <v>#N/A</v>
      </c>
      <c r="E3303" s="1" t="str">
        <f t="array" ref="E3303">IF(ISBLANK(XLOOKUP(E$3,daily_items,XLOOKUP($C3303,daily_dates,big_daily_table))),NA(),XLOOKUP(E$3,daily_items,XLOOKUP($C3303,daily_dates,big_daily_table)))</f>
        <v>#N/A</v>
      </c>
    </row>
    <row r="3304" ht="14.25" customHeight="1">
      <c r="B3304" s="7">
        <v>44209.0</v>
      </c>
      <c r="C3304" s="7">
        <f t="shared" si="1"/>
        <v>44206</v>
      </c>
      <c r="D3304" s="1" t="str">
        <f t="array" ref="D3304">IF(ISBLANK(XLOOKUP(D$3,daily_items,XLOOKUP($C3304,daily_dates,big_daily_table))),NA(),XLOOKUP(D$3,daily_items,XLOOKUP($C3304,daily_dates,big_daily_table)))</f>
        <v>#N/A</v>
      </c>
      <c r="E3304" s="1" t="str">
        <f t="array" ref="E3304">IF(ISBLANK(XLOOKUP(E$3,daily_items,XLOOKUP($C3304,daily_dates,big_daily_table))),NA(),XLOOKUP(E$3,daily_items,XLOOKUP($C3304,daily_dates,big_daily_table)))</f>
        <v>#N/A</v>
      </c>
    </row>
    <row r="3305" ht="14.25" customHeight="1">
      <c r="B3305" s="7">
        <v>44210.0</v>
      </c>
      <c r="C3305" s="7">
        <f t="shared" si="1"/>
        <v>44206</v>
      </c>
      <c r="D3305" s="1" t="str">
        <f t="array" ref="D3305">IF(ISBLANK(XLOOKUP(D$3,daily_items,XLOOKUP($C3305,daily_dates,big_daily_table))),NA(),XLOOKUP(D$3,daily_items,XLOOKUP($C3305,daily_dates,big_daily_table)))</f>
        <v>#N/A</v>
      </c>
      <c r="E3305" s="1" t="str">
        <f t="array" ref="E3305">IF(ISBLANK(XLOOKUP(E$3,daily_items,XLOOKUP($C3305,daily_dates,big_daily_table))),NA(),XLOOKUP(E$3,daily_items,XLOOKUP($C3305,daily_dates,big_daily_table)))</f>
        <v>#N/A</v>
      </c>
    </row>
    <row r="3306" ht="14.25" customHeight="1">
      <c r="B3306" s="7">
        <v>44211.0</v>
      </c>
      <c r="C3306" s="7">
        <f t="shared" si="1"/>
        <v>44206</v>
      </c>
      <c r="D3306" s="1" t="str">
        <f t="array" ref="D3306">IF(ISBLANK(XLOOKUP(D$3,daily_items,XLOOKUP($C3306,daily_dates,big_daily_table))),NA(),XLOOKUP(D$3,daily_items,XLOOKUP($C3306,daily_dates,big_daily_table)))</f>
        <v>#N/A</v>
      </c>
      <c r="E3306" s="1" t="str">
        <f t="array" ref="E3306">IF(ISBLANK(XLOOKUP(E$3,daily_items,XLOOKUP($C3306,daily_dates,big_daily_table))),NA(),XLOOKUP(E$3,daily_items,XLOOKUP($C3306,daily_dates,big_daily_table)))</f>
        <v>#N/A</v>
      </c>
    </row>
    <row r="3307" ht="14.25" customHeight="1">
      <c r="B3307" s="7">
        <v>44212.0</v>
      </c>
      <c r="C3307" s="7">
        <f t="shared" si="1"/>
        <v>44206</v>
      </c>
      <c r="D3307" s="1" t="str">
        <f t="array" ref="D3307">IF(ISBLANK(XLOOKUP(D$3,daily_items,XLOOKUP($C3307,daily_dates,big_daily_table))),NA(),XLOOKUP(D$3,daily_items,XLOOKUP($C3307,daily_dates,big_daily_table)))</f>
        <v>#N/A</v>
      </c>
      <c r="E3307" s="1" t="str">
        <f t="array" ref="E3307">IF(ISBLANK(XLOOKUP(E$3,daily_items,XLOOKUP($C3307,daily_dates,big_daily_table))),NA(),XLOOKUP(E$3,daily_items,XLOOKUP($C3307,daily_dates,big_daily_table)))</f>
        <v>#N/A</v>
      </c>
    </row>
    <row r="3308" ht="14.25" customHeight="1">
      <c r="B3308" s="7">
        <v>44213.0</v>
      </c>
      <c r="C3308" s="7">
        <f t="shared" si="1"/>
        <v>44213</v>
      </c>
      <c r="D3308" s="1" t="str">
        <f t="array" ref="D3308">IF(ISBLANK(XLOOKUP(D$3,daily_items,XLOOKUP($C3308,daily_dates,big_daily_table))),NA(),XLOOKUP(D$3,daily_items,XLOOKUP($C3308,daily_dates,big_daily_table)))</f>
        <v>#N/A</v>
      </c>
      <c r="E3308" s="1" t="str">
        <f t="array" ref="E3308">IF(ISBLANK(XLOOKUP(E$3,daily_items,XLOOKUP($C3308,daily_dates,big_daily_table))),NA(),XLOOKUP(E$3,daily_items,XLOOKUP($C3308,daily_dates,big_daily_table)))</f>
        <v>#N/A</v>
      </c>
    </row>
    <row r="3309" ht="14.25" customHeight="1">
      <c r="B3309" s="7">
        <v>44214.0</v>
      </c>
      <c r="C3309" s="7">
        <f t="shared" si="1"/>
        <v>44213</v>
      </c>
      <c r="D3309" s="1" t="str">
        <f t="array" ref="D3309">IF(ISBLANK(XLOOKUP(D$3,daily_items,XLOOKUP($C3309,daily_dates,big_daily_table))),NA(),XLOOKUP(D$3,daily_items,XLOOKUP($C3309,daily_dates,big_daily_table)))</f>
        <v>#N/A</v>
      </c>
      <c r="E3309" s="1" t="str">
        <f t="array" ref="E3309">IF(ISBLANK(XLOOKUP(E$3,daily_items,XLOOKUP($C3309,daily_dates,big_daily_table))),NA(),XLOOKUP(E$3,daily_items,XLOOKUP($C3309,daily_dates,big_daily_table)))</f>
        <v>#N/A</v>
      </c>
    </row>
    <row r="3310" ht="14.25" customHeight="1">
      <c r="B3310" s="7">
        <v>44215.0</v>
      </c>
      <c r="C3310" s="7">
        <f t="shared" si="1"/>
        <v>44213</v>
      </c>
      <c r="D3310" s="1" t="str">
        <f t="array" ref="D3310">IF(ISBLANK(XLOOKUP(D$3,daily_items,XLOOKUP($C3310,daily_dates,big_daily_table))),NA(),XLOOKUP(D$3,daily_items,XLOOKUP($C3310,daily_dates,big_daily_table)))</f>
        <v>#N/A</v>
      </c>
      <c r="E3310" s="1" t="str">
        <f t="array" ref="E3310">IF(ISBLANK(XLOOKUP(E$3,daily_items,XLOOKUP($C3310,daily_dates,big_daily_table))),NA(),XLOOKUP(E$3,daily_items,XLOOKUP($C3310,daily_dates,big_daily_table)))</f>
        <v>#N/A</v>
      </c>
    </row>
    <row r="3311" ht="14.25" customHeight="1">
      <c r="B3311" s="7">
        <v>44216.0</v>
      </c>
      <c r="C3311" s="7">
        <f t="shared" si="1"/>
        <v>44213</v>
      </c>
      <c r="D3311" s="1" t="str">
        <f t="array" ref="D3311">IF(ISBLANK(XLOOKUP(D$3,daily_items,XLOOKUP($C3311,daily_dates,big_daily_table))),NA(),XLOOKUP(D$3,daily_items,XLOOKUP($C3311,daily_dates,big_daily_table)))</f>
        <v>#N/A</v>
      </c>
      <c r="E3311" s="1" t="str">
        <f t="array" ref="E3311">IF(ISBLANK(XLOOKUP(E$3,daily_items,XLOOKUP($C3311,daily_dates,big_daily_table))),NA(),XLOOKUP(E$3,daily_items,XLOOKUP($C3311,daily_dates,big_daily_table)))</f>
        <v>#N/A</v>
      </c>
    </row>
    <row r="3312" ht="14.25" customHeight="1">
      <c r="B3312" s="7">
        <v>44217.0</v>
      </c>
      <c r="C3312" s="7">
        <f t="shared" si="1"/>
        <v>44213</v>
      </c>
      <c r="D3312" s="1" t="str">
        <f t="array" ref="D3312">IF(ISBLANK(XLOOKUP(D$3,daily_items,XLOOKUP($C3312,daily_dates,big_daily_table))),NA(),XLOOKUP(D$3,daily_items,XLOOKUP($C3312,daily_dates,big_daily_table)))</f>
        <v>#N/A</v>
      </c>
      <c r="E3312" s="1" t="str">
        <f t="array" ref="E3312">IF(ISBLANK(XLOOKUP(E$3,daily_items,XLOOKUP($C3312,daily_dates,big_daily_table))),NA(),XLOOKUP(E$3,daily_items,XLOOKUP($C3312,daily_dates,big_daily_table)))</f>
        <v>#N/A</v>
      </c>
    </row>
    <row r="3313" ht="14.25" customHeight="1">
      <c r="B3313" s="7">
        <v>44218.0</v>
      </c>
      <c r="C3313" s="7">
        <f t="shared" si="1"/>
        <v>44213</v>
      </c>
      <c r="D3313" s="1" t="str">
        <f t="array" ref="D3313">IF(ISBLANK(XLOOKUP(D$3,daily_items,XLOOKUP($C3313,daily_dates,big_daily_table))),NA(),XLOOKUP(D$3,daily_items,XLOOKUP($C3313,daily_dates,big_daily_table)))</f>
        <v>#N/A</v>
      </c>
      <c r="E3313" s="1" t="str">
        <f t="array" ref="E3313">IF(ISBLANK(XLOOKUP(E$3,daily_items,XLOOKUP($C3313,daily_dates,big_daily_table))),NA(),XLOOKUP(E$3,daily_items,XLOOKUP($C3313,daily_dates,big_daily_table)))</f>
        <v>#N/A</v>
      </c>
    </row>
    <row r="3314" ht="14.25" customHeight="1">
      <c r="B3314" s="7">
        <v>44219.0</v>
      </c>
      <c r="C3314" s="7">
        <f t="shared" si="1"/>
        <v>44213</v>
      </c>
      <c r="D3314" s="1" t="str">
        <f t="array" ref="D3314">IF(ISBLANK(XLOOKUP(D$3,daily_items,XLOOKUP($C3314,daily_dates,big_daily_table))),NA(),XLOOKUP(D$3,daily_items,XLOOKUP($C3314,daily_dates,big_daily_table)))</f>
        <v>#N/A</v>
      </c>
      <c r="E3314" s="1" t="str">
        <f t="array" ref="E3314">IF(ISBLANK(XLOOKUP(E$3,daily_items,XLOOKUP($C3314,daily_dates,big_daily_table))),NA(),XLOOKUP(E$3,daily_items,XLOOKUP($C3314,daily_dates,big_daily_table)))</f>
        <v>#N/A</v>
      </c>
    </row>
    <row r="3315" ht="14.25" customHeight="1">
      <c r="B3315" s="7">
        <v>44220.0</v>
      </c>
      <c r="C3315" s="7">
        <f t="shared" si="1"/>
        <v>44220</v>
      </c>
      <c r="D3315" s="1" t="str">
        <f t="array" ref="D3315">IF(ISBLANK(XLOOKUP(D$3,daily_items,XLOOKUP($C3315,daily_dates,big_daily_table))),NA(),XLOOKUP(D$3,daily_items,XLOOKUP($C3315,daily_dates,big_daily_table)))</f>
        <v>#N/A</v>
      </c>
      <c r="E3315" s="1" t="str">
        <f t="array" ref="E3315">IF(ISBLANK(XLOOKUP(E$3,daily_items,XLOOKUP($C3315,daily_dates,big_daily_table))),NA(),XLOOKUP(E$3,daily_items,XLOOKUP($C3315,daily_dates,big_daily_table)))</f>
        <v>#N/A</v>
      </c>
    </row>
    <row r="3316" ht="14.25" customHeight="1">
      <c r="B3316" s="7">
        <v>44221.0</v>
      </c>
      <c r="C3316" s="7">
        <f t="shared" si="1"/>
        <v>44220</v>
      </c>
      <c r="D3316" s="1" t="str">
        <f t="array" ref="D3316">IF(ISBLANK(XLOOKUP(D$3,daily_items,XLOOKUP($C3316,daily_dates,big_daily_table))),NA(),XLOOKUP(D$3,daily_items,XLOOKUP($C3316,daily_dates,big_daily_table)))</f>
        <v>#N/A</v>
      </c>
      <c r="E3316" s="1" t="str">
        <f t="array" ref="E3316">IF(ISBLANK(XLOOKUP(E$3,daily_items,XLOOKUP($C3316,daily_dates,big_daily_table))),NA(),XLOOKUP(E$3,daily_items,XLOOKUP($C3316,daily_dates,big_daily_table)))</f>
        <v>#N/A</v>
      </c>
    </row>
    <row r="3317" ht="14.25" customHeight="1">
      <c r="B3317" s="7">
        <v>44222.0</v>
      </c>
      <c r="C3317" s="7">
        <f t="shared" si="1"/>
        <v>44220</v>
      </c>
      <c r="D3317" s="1" t="str">
        <f t="array" ref="D3317">IF(ISBLANK(XLOOKUP(D$3,daily_items,XLOOKUP($C3317,daily_dates,big_daily_table))),NA(),XLOOKUP(D$3,daily_items,XLOOKUP($C3317,daily_dates,big_daily_table)))</f>
        <v>#N/A</v>
      </c>
      <c r="E3317" s="1" t="str">
        <f t="array" ref="E3317">IF(ISBLANK(XLOOKUP(E$3,daily_items,XLOOKUP($C3317,daily_dates,big_daily_table))),NA(),XLOOKUP(E$3,daily_items,XLOOKUP($C3317,daily_dates,big_daily_table)))</f>
        <v>#N/A</v>
      </c>
    </row>
    <row r="3318" ht="14.25" customHeight="1">
      <c r="B3318" s="7">
        <v>44223.0</v>
      </c>
      <c r="C3318" s="7">
        <f t="shared" si="1"/>
        <v>44220</v>
      </c>
      <c r="D3318" s="1" t="str">
        <f t="array" ref="D3318">IF(ISBLANK(XLOOKUP(D$3,daily_items,XLOOKUP($C3318,daily_dates,big_daily_table))),NA(),XLOOKUP(D$3,daily_items,XLOOKUP($C3318,daily_dates,big_daily_table)))</f>
        <v>#N/A</v>
      </c>
      <c r="E3318" s="1" t="str">
        <f t="array" ref="E3318">IF(ISBLANK(XLOOKUP(E$3,daily_items,XLOOKUP($C3318,daily_dates,big_daily_table))),NA(),XLOOKUP(E$3,daily_items,XLOOKUP($C3318,daily_dates,big_daily_table)))</f>
        <v>#N/A</v>
      </c>
    </row>
    <row r="3319" ht="14.25" customHeight="1">
      <c r="B3319" s="7">
        <v>44224.0</v>
      </c>
      <c r="C3319" s="7">
        <f t="shared" si="1"/>
        <v>44220</v>
      </c>
      <c r="D3319" s="1" t="str">
        <f t="array" ref="D3319">IF(ISBLANK(XLOOKUP(D$3,daily_items,XLOOKUP($C3319,daily_dates,big_daily_table))),NA(),XLOOKUP(D$3,daily_items,XLOOKUP($C3319,daily_dates,big_daily_table)))</f>
        <v>#N/A</v>
      </c>
      <c r="E3319" s="1" t="str">
        <f t="array" ref="E3319">IF(ISBLANK(XLOOKUP(E$3,daily_items,XLOOKUP($C3319,daily_dates,big_daily_table))),NA(),XLOOKUP(E$3,daily_items,XLOOKUP($C3319,daily_dates,big_daily_table)))</f>
        <v>#N/A</v>
      </c>
    </row>
    <row r="3320" ht="14.25" customHeight="1">
      <c r="B3320" s="7">
        <v>44225.0</v>
      </c>
      <c r="C3320" s="7">
        <f t="shared" si="1"/>
        <v>44220</v>
      </c>
      <c r="D3320" s="1" t="str">
        <f t="array" ref="D3320">IF(ISBLANK(XLOOKUP(D$3,daily_items,XLOOKUP($C3320,daily_dates,big_daily_table))),NA(),XLOOKUP(D$3,daily_items,XLOOKUP($C3320,daily_dates,big_daily_table)))</f>
        <v>#N/A</v>
      </c>
      <c r="E3320" s="1" t="str">
        <f t="array" ref="E3320">IF(ISBLANK(XLOOKUP(E$3,daily_items,XLOOKUP($C3320,daily_dates,big_daily_table))),NA(),XLOOKUP(E$3,daily_items,XLOOKUP($C3320,daily_dates,big_daily_table)))</f>
        <v>#N/A</v>
      </c>
    </row>
    <row r="3321" ht="14.25" customHeight="1">
      <c r="B3321" s="7">
        <v>44226.0</v>
      </c>
      <c r="C3321" s="7">
        <f t="shared" si="1"/>
        <v>44220</v>
      </c>
      <c r="D3321" s="1" t="str">
        <f t="array" ref="D3321">IF(ISBLANK(XLOOKUP(D$3,daily_items,XLOOKUP($C3321,daily_dates,big_daily_table))),NA(),XLOOKUP(D$3,daily_items,XLOOKUP($C3321,daily_dates,big_daily_table)))</f>
        <v>#N/A</v>
      </c>
      <c r="E3321" s="1" t="str">
        <f t="array" ref="E3321">IF(ISBLANK(XLOOKUP(E$3,daily_items,XLOOKUP($C3321,daily_dates,big_daily_table))),NA(),XLOOKUP(E$3,daily_items,XLOOKUP($C3321,daily_dates,big_daily_table)))</f>
        <v>#N/A</v>
      </c>
    </row>
    <row r="3322" ht="14.25" customHeight="1">
      <c r="B3322" s="7">
        <v>44227.0</v>
      </c>
      <c r="C3322" s="7">
        <f t="shared" si="1"/>
        <v>44227</v>
      </c>
      <c r="D3322" s="1" t="str">
        <f t="array" ref="D3322">IF(ISBLANK(XLOOKUP(D$3,daily_items,XLOOKUP($C3322,daily_dates,big_daily_table))),NA(),XLOOKUP(D$3,daily_items,XLOOKUP($C3322,daily_dates,big_daily_table)))</f>
        <v>#N/A</v>
      </c>
      <c r="E3322" s="1" t="str">
        <f t="array" ref="E3322">IF(ISBLANK(XLOOKUP(E$3,daily_items,XLOOKUP($C3322,daily_dates,big_daily_table))),NA(),XLOOKUP(E$3,daily_items,XLOOKUP($C3322,daily_dates,big_daily_table)))</f>
        <v>#N/A</v>
      </c>
    </row>
    <row r="3323" ht="14.25" customHeight="1">
      <c r="B3323" s="7">
        <v>44228.0</v>
      </c>
      <c r="C3323" s="7">
        <f t="shared" si="1"/>
        <v>44227</v>
      </c>
      <c r="D3323" s="1" t="str">
        <f t="array" ref="D3323">IF(ISBLANK(XLOOKUP(D$3,daily_items,XLOOKUP($C3323,daily_dates,big_daily_table))),NA(),XLOOKUP(D$3,daily_items,XLOOKUP($C3323,daily_dates,big_daily_table)))</f>
        <v>#N/A</v>
      </c>
      <c r="E3323" s="1" t="str">
        <f t="array" ref="E3323">IF(ISBLANK(XLOOKUP(E$3,daily_items,XLOOKUP($C3323,daily_dates,big_daily_table))),NA(),XLOOKUP(E$3,daily_items,XLOOKUP($C3323,daily_dates,big_daily_table)))</f>
        <v>#N/A</v>
      </c>
    </row>
    <row r="3324" ht="14.25" customHeight="1">
      <c r="B3324" s="7">
        <v>44229.0</v>
      </c>
      <c r="C3324" s="7">
        <f t="shared" si="1"/>
        <v>44227</v>
      </c>
      <c r="D3324" s="1" t="str">
        <f t="array" ref="D3324">IF(ISBLANK(XLOOKUP(D$3,daily_items,XLOOKUP($C3324,daily_dates,big_daily_table))),NA(),XLOOKUP(D$3,daily_items,XLOOKUP($C3324,daily_dates,big_daily_table)))</f>
        <v>#N/A</v>
      </c>
      <c r="E3324" s="1" t="str">
        <f t="array" ref="E3324">IF(ISBLANK(XLOOKUP(E$3,daily_items,XLOOKUP($C3324,daily_dates,big_daily_table))),NA(),XLOOKUP(E$3,daily_items,XLOOKUP($C3324,daily_dates,big_daily_table)))</f>
        <v>#N/A</v>
      </c>
    </row>
    <row r="3325" ht="14.25" customHeight="1">
      <c r="B3325" s="7">
        <v>44230.0</v>
      </c>
      <c r="C3325" s="7">
        <f t="shared" si="1"/>
        <v>44227</v>
      </c>
      <c r="D3325" s="1" t="str">
        <f t="array" ref="D3325">IF(ISBLANK(XLOOKUP(D$3,daily_items,XLOOKUP($C3325,daily_dates,big_daily_table))),NA(),XLOOKUP(D$3,daily_items,XLOOKUP($C3325,daily_dates,big_daily_table)))</f>
        <v>#N/A</v>
      </c>
      <c r="E3325" s="1" t="str">
        <f t="array" ref="E3325">IF(ISBLANK(XLOOKUP(E$3,daily_items,XLOOKUP($C3325,daily_dates,big_daily_table))),NA(),XLOOKUP(E$3,daily_items,XLOOKUP($C3325,daily_dates,big_daily_table)))</f>
        <v>#N/A</v>
      </c>
    </row>
    <row r="3326" ht="14.25" customHeight="1">
      <c r="B3326" s="7">
        <v>44231.0</v>
      </c>
      <c r="C3326" s="7">
        <f t="shared" si="1"/>
        <v>44227</v>
      </c>
      <c r="D3326" s="1" t="str">
        <f t="array" ref="D3326">IF(ISBLANK(XLOOKUP(D$3,daily_items,XLOOKUP($C3326,daily_dates,big_daily_table))),NA(),XLOOKUP(D$3,daily_items,XLOOKUP($C3326,daily_dates,big_daily_table)))</f>
        <v>#N/A</v>
      </c>
      <c r="E3326" s="1" t="str">
        <f t="array" ref="E3326">IF(ISBLANK(XLOOKUP(E$3,daily_items,XLOOKUP($C3326,daily_dates,big_daily_table))),NA(),XLOOKUP(E$3,daily_items,XLOOKUP($C3326,daily_dates,big_daily_table)))</f>
        <v>#N/A</v>
      </c>
    </row>
    <row r="3327" ht="14.25" customHeight="1">
      <c r="B3327" s="7">
        <v>44232.0</v>
      </c>
      <c r="C3327" s="7">
        <f t="shared" si="1"/>
        <v>44227</v>
      </c>
      <c r="D3327" s="1" t="str">
        <f t="array" ref="D3327">IF(ISBLANK(XLOOKUP(D$3,daily_items,XLOOKUP($C3327,daily_dates,big_daily_table))),NA(),XLOOKUP(D$3,daily_items,XLOOKUP($C3327,daily_dates,big_daily_table)))</f>
        <v>#N/A</v>
      </c>
      <c r="E3327" s="1" t="str">
        <f t="array" ref="E3327">IF(ISBLANK(XLOOKUP(E$3,daily_items,XLOOKUP($C3327,daily_dates,big_daily_table))),NA(),XLOOKUP(E$3,daily_items,XLOOKUP($C3327,daily_dates,big_daily_table)))</f>
        <v>#N/A</v>
      </c>
    </row>
    <row r="3328" ht="14.25" customHeight="1">
      <c r="B3328" s="7">
        <v>44233.0</v>
      </c>
      <c r="C3328" s="7">
        <f t="shared" si="1"/>
        <v>44227</v>
      </c>
      <c r="D3328" s="1" t="str">
        <f t="array" ref="D3328">IF(ISBLANK(XLOOKUP(D$3,daily_items,XLOOKUP($C3328,daily_dates,big_daily_table))),NA(),XLOOKUP(D$3,daily_items,XLOOKUP($C3328,daily_dates,big_daily_table)))</f>
        <v>#N/A</v>
      </c>
      <c r="E3328" s="1" t="str">
        <f t="array" ref="E3328">IF(ISBLANK(XLOOKUP(E$3,daily_items,XLOOKUP($C3328,daily_dates,big_daily_table))),NA(),XLOOKUP(E$3,daily_items,XLOOKUP($C3328,daily_dates,big_daily_table)))</f>
        <v>#N/A</v>
      </c>
    </row>
    <row r="3329" ht="14.25" customHeight="1">
      <c r="B3329" s="7">
        <v>44234.0</v>
      </c>
      <c r="C3329" s="7">
        <f t="shared" si="1"/>
        <v>44234</v>
      </c>
      <c r="D3329" s="1" t="str">
        <f t="array" ref="D3329">IF(ISBLANK(XLOOKUP(D$3,daily_items,XLOOKUP($C3329,daily_dates,big_daily_table))),NA(),XLOOKUP(D$3,daily_items,XLOOKUP($C3329,daily_dates,big_daily_table)))</f>
        <v>#N/A</v>
      </c>
      <c r="E3329" s="1" t="str">
        <f t="array" ref="E3329">IF(ISBLANK(XLOOKUP(E$3,daily_items,XLOOKUP($C3329,daily_dates,big_daily_table))),NA(),XLOOKUP(E$3,daily_items,XLOOKUP($C3329,daily_dates,big_daily_table)))</f>
        <v>#N/A</v>
      </c>
    </row>
    <row r="3330" ht="14.25" customHeight="1">
      <c r="B3330" s="7">
        <v>44235.0</v>
      </c>
      <c r="C3330" s="7">
        <f t="shared" si="1"/>
        <v>44234</v>
      </c>
      <c r="D3330" s="1" t="str">
        <f t="array" ref="D3330">IF(ISBLANK(XLOOKUP(D$3,daily_items,XLOOKUP($C3330,daily_dates,big_daily_table))),NA(),XLOOKUP(D$3,daily_items,XLOOKUP($C3330,daily_dates,big_daily_table)))</f>
        <v>#N/A</v>
      </c>
      <c r="E3330" s="1" t="str">
        <f t="array" ref="E3330">IF(ISBLANK(XLOOKUP(E$3,daily_items,XLOOKUP($C3330,daily_dates,big_daily_table))),NA(),XLOOKUP(E$3,daily_items,XLOOKUP($C3330,daily_dates,big_daily_table)))</f>
        <v>#N/A</v>
      </c>
    </row>
    <row r="3331" ht="14.25" customHeight="1">
      <c r="B3331" s="7">
        <v>44236.0</v>
      </c>
      <c r="C3331" s="7">
        <f t="shared" si="1"/>
        <v>44234</v>
      </c>
      <c r="D3331" s="1" t="str">
        <f t="array" ref="D3331">IF(ISBLANK(XLOOKUP(D$3,daily_items,XLOOKUP($C3331,daily_dates,big_daily_table))),NA(),XLOOKUP(D$3,daily_items,XLOOKUP($C3331,daily_dates,big_daily_table)))</f>
        <v>#N/A</v>
      </c>
      <c r="E3331" s="1" t="str">
        <f t="array" ref="E3331">IF(ISBLANK(XLOOKUP(E$3,daily_items,XLOOKUP($C3331,daily_dates,big_daily_table))),NA(),XLOOKUP(E$3,daily_items,XLOOKUP($C3331,daily_dates,big_daily_table)))</f>
        <v>#N/A</v>
      </c>
    </row>
    <row r="3332" ht="14.25" customHeight="1">
      <c r="B3332" s="7">
        <v>44237.0</v>
      </c>
      <c r="C3332" s="7">
        <f t="shared" si="1"/>
        <v>44234</v>
      </c>
      <c r="D3332" s="1" t="str">
        <f t="array" ref="D3332">IF(ISBLANK(XLOOKUP(D$3,daily_items,XLOOKUP($C3332,daily_dates,big_daily_table))),NA(),XLOOKUP(D$3,daily_items,XLOOKUP($C3332,daily_dates,big_daily_table)))</f>
        <v>#N/A</v>
      </c>
      <c r="E3332" s="1" t="str">
        <f t="array" ref="E3332">IF(ISBLANK(XLOOKUP(E$3,daily_items,XLOOKUP($C3332,daily_dates,big_daily_table))),NA(),XLOOKUP(E$3,daily_items,XLOOKUP($C3332,daily_dates,big_daily_table)))</f>
        <v>#N/A</v>
      </c>
    </row>
    <row r="3333" ht="14.25" customHeight="1">
      <c r="B3333" s="7">
        <v>44238.0</v>
      </c>
      <c r="C3333" s="7">
        <f t="shared" si="1"/>
        <v>44234</v>
      </c>
      <c r="D3333" s="1" t="str">
        <f t="array" ref="D3333">IF(ISBLANK(XLOOKUP(D$3,daily_items,XLOOKUP($C3333,daily_dates,big_daily_table))),NA(),XLOOKUP(D$3,daily_items,XLOOKUP($C3333,daily_dates,big_daily_table)))</f>
        <v>#N/A</v>
      </c>
      <c r="E3333" s="1" t="str">
        <f t="array" ref="E3333">IF(ISBLANK(XLOOKUP(E$3,daily_items,XLOOKUP($C3333,daily_dates,big_daily_table))),NA(),XLOOKUP(E$3,daily_items,XLOOKUP($C3333,daily_dates,big_daily_table)))</f>
        <v>#N/A</v>
      </c>
    </row>
    <row r="3334" ht="14.25" customHeight="1">
      <c r="B3334" s="7">
        <v>44239.0</v>
      </c>
      <c r="C3334" s="7">
        <f t="shared" si="1"/>
        <v>44234</v>
      </c>
      <c r="D3334" s="1" t="str">
        <f t="array" ref="D3334">IF(ISBLANK(XLOOKUP(D$3,daily_items,XLOOKUP($C3334,daily_dates,big_daily_table))),NA(),XLOOKUP(D$3,daily_items,XLOOKUP($C3334,daily_dates,big_daily_table)))</f>
        <v>#N/A</v>
      </c>
      <c r="E3334" s="1" t="str">
        <f t="array" ref="E3334">IF(ISBLANK(XLOOKUP(E$3,daily_items,XLOOKUP($C3334,daily_dates,big_daily_table))),NA(),XLOOKUP(E$3,daily_items,XLOOKUP($C3334,daily_dates,big_daily_table)))</f>
        <v>#N/A</v>
      </c>
    </row>
    <row r="3335" ht="14.25" customHeight="1">
      <c r="B3335" s="7">
        <v>44240.0</v>
      </c>
      <c r="C3335" s="7">
        <f t="shared" si="1"/>
        <v>44234</v>
      </c>
      <c r="D3335" s="1" t="str">
        <f t="array" ref="D3335">IF(ISBLANK(XLOOKUP(D$3,daily_items,XLOOKUP($C3335,daily_dates,big_daily_table))),NA(),XLOOKUP(D$3,daily_items,XLOOKUP($C3335,daily_dates,big_daily_table)))</f>
        <v>#N/A</v>
      </c>
      <c r="E3335" s="1" t="str">
        <f t="array" ref="E3335">IF(ISBLANK(XLOOKUP(E$3,daily_items,XLOOKUP($C3335,daily_dates,big_daily_table))),NA(),XLOOKUP(E$3,daily_items,XLOOKUP($C3335,daily_dates,big_daily_table)))</f>
        <v>#N/A</v>
      </c>
    </row>
    <row r="3336" ht="14.25" customHeight="1">
      <c r="B3336" s="7">
        <v>44241.0</v>
      </c>
      <c r="C3336" s="7">
        <f t="shared" si="1"/>
        <v>44241</v>
      </c>
      <c r="D3336" s="1" t="str">
        <f t="array" ref="D3336">IF(ISBLANK(XLOOKUP(D$3,daily_items,XLOOKUP($C3336,daily_dates,big_daily_table))),NA(),XLOOKUP(D$3,daily_items,XLOOKUP($C3336,daily_dates,big_daily_table)))</f>
        <v>#N/A</v>
      </c>
      <c r="E3336" s="1" t="str">
        <f t="array" ref="E3336">IF(ISBLANK(XLOOKUP(E$3,daily_items,XLOOKUP($C3336,daily_dates,big_daily_table))),NA(),XLOOKUP(E$3,daily_items,XLOOKUP($C3336,daily_dates,big_daily_table)))</f>
        <v>#N/A</v>
      </c>
    </row>
    <row r="3337" ht="14.25" customHeight="1">
      <c r="B3337" s="7">
        <v>44242.0</v>
      </c>
      <c r="C3337" s="7">
        <f t="shared" si="1"/>
        <v>44241</v>
      </c>
      <c r="D3337" s="1" t="str">
        <f t="array" ref="D3337">IF(ISBLANK(XLOOKUP(D$3,daily_items,XLOOKUP($C3337,daily_dates,big_daily_table))),NA(),XLOOKUP(D$3,daily_items,XLOOKUP($C3337,daily_dates,big_daily_table)))</f>
        <v>#N/A</v>
      </c>
      <c r="E3337" s="1" t="str">
        <f t="array" ref="E3337">IF(ISBLANK(XLOOKUP(E$3,daily_items,XLOOKUP($C3337,daily_dates,big_daily_table))),NA(),XLOOKUP(E$3,daily_items,XLOOKUP($C3337,daily_dates,big_daily_table)))</f>
        <v>#N/A</v>
      </c>
    </row>
    <row r="3338" ht="14.25" customHeight="1">
      <c r="B3338" s="7">
        <v>44243.0</v>
      </c>
      <c r="C3338" s="7">
        <f t="shared" si="1"/>
        <v>44241</v>
      </c>
      <c r="D3338" s="1" t="str">
        <f t="array" ref="D3338">IF(ISBLANK(XLOOKUP(D$3,daily_items,XLOOKUP($C3338,daily_dates,big_daily_table))),NA(),XLOOKUP(D$3,daily_items,XLOOKUP($C3338,daily_dates,big_daily_table)))</f>
        <v>#N/A</v>
      </c>
      <c r="E3338" s="1" t="str">
        <f t="array" ref="E3338">IF(ISBLANK(XLOOKUP(E$3,daily_items,XLOOKUP($C3338,daily_dates,big_daily_table))),NA(),XLOOKUP(E$3,daily_items,XLOOKUP($C3338,daily_dates,big_daily_table)))</f>
        <v>#N/A</v>
      </c>
    </row>
    <row r="3339" ht="14.25" customHeight="1">
      <c r="B3339" s="7">
        <v>44244.0</v>
      </c>
      <c r="C3339" s="7">
        <f t="shared" si="1"/>
        <v>44241</v>
      </c>
      <c r="D3339" s="1" t="str">
        <f t="array" ref="D3339">IF(ISBLANK(XLOOKUP(D$3,daily_items,XLOOKUP($C3339,daily_dates,big_daily_table))),NA(),XLOOKUP(D$3,daily_items,XLOOKUP($C3339,daily_dates,big_daily_table)))</f>
        <v>#N/A</v>
      </c>
      <c r="E3339" s="1" t="str">
        <f t="array" ref="E3339">IF(ISBLANK(XLOOKUP(E$3,daily_items,XLOOKUP($C3339,daily_dates,big_daily_table))),NA(),XLOOKUP(E$3,daily_items,XLOOKUP($C3339,daily_dates,big_daily_table)))</f>
        <v>#N/A</v>
      </c>
    </row>
    <row r="3340" ht="14.25" customHeight="1">
      <c r="B3340" s="7">
        <v>44245.0</v>
      </c>
      <c r="C3340" s="7">
        <f t="shared" si="1"/>
        <v>44241</v>
      </c>
      <c r="D3340" s="1" t="str">
        <f t="array" ref="D3340">IF(ISBLANK(XLOOKUP(D$3,daily_items,XLOOKUP($C3340,daily_dates,big_daily_table))),NA(),XLOOKUP(D$3,daily_items,XLOOKUP($C3340,daily_dates,big_daily_table)))</f>
        <v>#N/A</v>
      </c>
      <c r="E3340" s="1" t="str">
        <f t="array" ref="E3340">IF(ISBLANK(XLOOKUP(E$3,daily_items,XLOOKUP($C3340,daily_dates,big_daily_table))),NA(),XLOOKUP(E$3,daily_items,XLOOKUP($C3340,daily_dates,big_daily_table)))</f>
        <v>#N/A</v>
      </c>
    </row>
    <row r="3341" ht="14.25" customHeight="1">
      <c r="B3341" s="7">
        <v>44246.0</v>
      </c>
      <c r="C3341" s="7">
        <f t="shared" si="1"/>
        <v>44241</v>
      </c>
      <c r="D3341" s="1" t="str">
        <f t="array" ref="D3341">IF(ISBLANK(XLOOKUP(D$3,daily_items,XLOOKUP($C3341,daily_dates,big_daily_table))),NA(),XLOOKUP(D$3,daily_items,XLOOKUP($C3341,daily_dates,big_daily_table)))</f>
        <v>#N/A</v>
      </c>
      <c r="E3341" s="1" t="str">
        <f t="array" ref="E3341">IF(ISBLANK(XLOOKUP(E$3,daily_items,XLOOKUP($C3341,daily_dates,big_daily_table))),NA(),XLOOKUP(E$3,daily_items,XLOOKUP($C3341,daily_dates,big_daily_table)))</f>
        <v>#N/A</v>
      </c>
    </row>
    <row r="3342" ht="14.25" customHeight="1">
      <c r="B3342" s="7">
        <v>44247.0</v>
      </c>
      <c r="C3342" s="7">
        <f t="shared" si="1"/>
        <v>44241</v>
      </c>
      <c r="D3342" s="1" t="str">
        <f t="array" ref="D3342">IF(ISBLANK(XLOOKUP(D$3,daily_items,XLOOKUP($C3342,daily_dates,big_daily_table))),NA(),XLOOKUP(D$3,daily_items,XLOOKUP($C3342,daily_dates,big_daily_table)))</f>
        <v>#N/A</v>
      </c>
      <c r="E3342" s="1" t="str">
        <f t="array" ref="E3342">IF(ISBLANK(XLOOKUP(E$3,daily_items,XLOOKUP($C3342,daily_dates,big_daily_table))),NA(),XLOOKUP(E$3,daily_items,XLOOKUP($C3342,daily_dates,big_daily_table)))</f>
        <v>#N/A</v>
      </c>
    </row>
    <row r="3343" ht="14.25" customHeight="1">
      <c r="B3343" s="7">
        <v>44248.0</v>
      </c>
      <c r="C3343" s="7">
        <f t="shared" si="1"/>
        <v>44248</v>
      </c>
      <c r="D3343" s="1" t="str">
        <f t="array" ref="D3343">IF(ISBLANK(XLOOKUP(D$3,daily_items,XLOOKUP($C3343,daily_dates,big_daily_table))),NA(),XLOOKUP(D$3,daily_items,XLOOKUP($C3343,daily_dates,big_daily_table)))</f>
        <v>#N/A</v>
      </c>
      <c r="E3343" s="1" t="str">
        <f t="array" ref="E3343">IF(ISBLANK(XLOOKUP(E$3,daily_items,XLOOKUP($C3343,daily_dates,big_daily_table))),NA(),XLOOKUP(E$3,daily_items,XLOOKUP($C3343,daily_dates,big_daily_table)))</f>
        <v>#N/A</v>
      </c>
    </row>
    <row r="3344" ht="14.25" customHeight="1">
      <c r="B3344" s="7">
        <v>44249.0</v>
      </c>
      <c r="C3344" s="7">
        <f t="shared" si="1"/>
        <v>44248</v>
      </c>
      <c r="D3344" s="1" t="str">
        <f t="array" ref="D3344">IF(ISBLANK(XLOOKUP(D$3,daily_items,XLOOKUP($C3344,daily_dates,big_daily_table))),NA(),XLOOKUP(D$3,daily_items,XLOOKUP($C3344,daily_dates,big_daily_table)))</f>
        <v>#N/A</v>
      </c>
      <c r="E3344" s="1" t="str">
        <f t="array" ref="E3344">IF(ISBLANK(XLOOKUP(E$3,daily_items,XLOOKUP($C3344,daily_dates,big_daily_table))),NA(),XLOOKUP(E$3,daily_items,XLOOKUP($C3344,daily_dates,big_daily_table)))</f>
        <v>#N/A</v>
      </c>
    </row>
    <row r="3345" ht="14.25" customHeight="1">
      <c r="B3345" s="7">
        <v>44250.0</v>
      </c>
      <c r="C3345" s="7">
        <f t="shared" si="1"/>
        <v>44248</v>
      </c>
      <c r="D3345" s="1" t="str">
        <f t="array" ref="D3345">IF(ISBLANK(XLOOKUP(D$3,daily_items,XLOOKUP($C3345,daily_dates,big_daily_table))),NA(),XLOOKUP(D$3,daily_items,XLOOKUP($C3345,daily_dates,big_daily_table)))</f>
        <v>#N/A</v>
      </c>
      <c r="E3345" s="1" t="str">
        <f t="array" ref="E3345">IF(ISBLANK(XLOOKUP(E$3,daily_items,XLOOKUP($C3345,daily_dates,big_daily_table))),NA(),XLOOKUP(E$3,daily_items,XLOOKUP($C3345,daily_dates,big_daily_table)))</f>
        <v>#N/A</v>
      </c>
    </row>
    <row r="3346" ht="14.25" customHeight="1">
      <c r="B3346" s="7">
        <v>44251.0</v>
      </c>
      <c r="C3346" s="7">
        <f t="shared" si="1"/>
        <v>44248</v>
      </c>
      <c r="D3346" s="1" t="str">
        <f t="array" ref="D3346">IF(ISBLANK(XLOOKUP(D$3,daily_items,XLOOKUP($C3346,daily_dates,big_daily_table))),NA(),XLOOKUP(D$3,daily_items,XLOOKUP($C3346,daily_dates,big_daily_table)))</f>
        <v>#N/A</v>
      </c>
      <c r="E3346" s="1" t="str">
        <f t="array" ref="E3346">IF(ISBLANK(XLOOKUP(E$3,daily_items,XLOOKUP($C3346,daily_dates,big_daily_table))),NA(),XLOOKUP(E$3,daily_items,XLOOKUP($C3346,daily_dates,big_daily_table)))</f>
        <v>#N/A</v>
      </c>
    </row>
    <row r="3347" ht="14.25" customHeight="1">
      <c r="B3347" s="7">
        <v>44252.0</v>
      </c>
      <c r="C3347" s="7">
        <f t="shared" si="1"/>
        <v>44248</v>
      </c>
      <c r="D3347" s="1" t="str">
        <f t="array" ref="D3347">IF(ISBLANK(XLOOKUP(D$3,daily_items,XLOOKUP($C3347,daily_dates,big_daily_table))),NA(),XLOOKUP(D$3,daily_items,XLOOKUP($C3347,daily_dates,big_daily_table)))</f>
        <v>#N/A</v>
      </c>
      <c r="E3347" s="1" t="str">
        <f t="array" ref="E3347">IF(ISBLANK(XLOOKUP(E$3,daily_items,XLOOKUP($C3347,daily_dates,big_daily_table))),NA(),XLOOKUP(E$3,daily_items,XLOOKUP($C3347,daily_dates,big_daily_table)))</f>
        <v>#N/A</v>
      </c>
    </row>
    <row r="3348" ht="14.25" customHeight="1">
      <c r="B3348" s="7">
        <v>44253.0</v>
      </c>
      <c r="C3348" s="7">
        <f t="shared" si="1"/>
        <v>44248</v>
      </c>
      <c r="D3348" s="1" t="str">
        <f t="array" ref="D3348">IF(ISBLANK(XLOOKUP(D$3,daily_items,XLOOKUP($C3348,daily_dates,big_daily_table))),NA(),XLOOKUP(D$3,daily_items,XLOOKUP($C3348,daily_dates,big_daily_table)))</f>
        <v>#N/A</v>
      </c>
      <c r="E3348" s="1" t="str">
        <f t="array" ref="E3348">IF(ISBLANK(XLOOKUP(E$3,daily_items,XLOOKUP($C3348,daily_dates,big_daily_table))),NA(),XLOOKUP(E$3,daily_items,XLOOKUP($C3348,daily_dates,big_daily_table)))</f>
        <v>#N/A</v>
      </c>
    </row>
    <row r="3349" ht="14.25" customHeight="1">
      <c r="B3349" s="7">
        <v>44254.0</v>
      </c>
      <c r="C3349" s="7">
        <f t="shared" si="1"/>
        <v>44248</v>
      </c>
      <c r="D3349" s="1" t="str">
        <f t="array" ref="D3349">IF(ISBLANK(XLOOKUP(D$3,daily_items,XLOOKUP($C3349,daily_dates,big_daily_table))),NA(),XLOOKUP(D$3,daily_items,XLOOKUP($C3349,daily_dates,big_daily_table)))</f>
        <v>#N/A</v>
      </c>
      <c r="E3349" s="1" t="str">
        <f t="array" ref="E3349">IF(ISBLANK(XLOOKUP(E$3,daily_items,XLOOKUP($C3349,daily_dates,big_daily_table))),NA(),XLOOKUP(E$3,daily_items,XLOOKUP($C3349,daily_dates,big_daily_table)))</f>
        <v>#N/A</v>
      </c>
    </row>
    <row r="3350" ht="14.25" customHeight="1">
      <c r="B3350" s="7">
        <v>44255.0</v>
      </c>
      <c r="C3350" s="7">
        <f t="shared" si="1"/>
        <v>44255</v>
      </c>
      <c r="D3350" s="1" t="str">
        <f t="array" ref="D3350">IF(ISBLANK(XLOOKUP(D$3,daily_items,XLOOKUP($C3350,daily_dates,big_daily_table))),NA(),XLOOKUP(D$3,daily_items,XLOOKUP($C3350,daily_dates,big_daily_table)))</f>
        <v>#N/A</v>
      </c>
      <c r="E3350" s="1" t="str">
        <f t="array" ref="E3350">IF(ISBLANK(XLOOKUP(E$3,daily_items,XLOOKUP($C3350,daily_dates,big_daily_table))),NA(),XLOOKUP(E$3,daily_items,XLOOKUP($C3350,daily_dates,big_daily_table)))</f>
        <v>#N/A</v>
      </c>
    </row>
    <row r="3351" ht="14.25" customHeight="1">
      <c r="B3351" s="7">
        <v>44256.0</v>
      </c>
      <c r="C3351" s="7">
        <f t="shared" si="1"/>
        <v>44255</v>
      </c>
      <c r="D3351" s="1" t="str">
        <f t="array" ref="D3351">IF(ISBLANK(XLOOKUP(D$3,daily_items,XLOOKUP($C3351,daily_dates,big_daily_table))),NA(),XLOOKUP(D$3,daily_items,XLOOKUP($C3351,daily_dates,big_daily_table)))</f>
        <v>#N/A</v>
      </c>
      <c r="E3351" s="1" t="str">
        <f t="array" ref="E3351">IF(ISBLANK(XLOOKUP(E$3,daily_items,XLOOKUP($C3351,daily_dates,big_daily_table))),NA(),XLOOKUP(E$3,daily_items,XLOOKUP($C3351,daily_dates,big_daily_table)))</f>
        <v>#N/A</v>
      </c>
    </row>
    <row r="3352" ht="14.25" customHeight="1">
      <c r="B3352" s="7">
        <v>44257.0</v>
      </c>
      <c r="C3352" s="7">
        <f t="shared" si="1"/>
        <v>44255</v>
      </c>
      <c r="D3352" s="1" t="str">
        <f t="array" ref="D3352">IF(ISBLANK(XLOOKUP(D$3,daily_items,XLOOKUP($C3352,daily_dates,big_daily_table))),NA(),XLOOKUP(D$3,daily_items,XLOOKUP($C3352,daily_dates,big_daily_table)))</f>
        <v>#N/A</v>
      </c>
      <c r="E3352" s="1" t="str">
        <f t="array" ref="E3352">IF(ISBLANK(XLOOKUP(E$3,daily_items,XLOOKUP($C3352,daily_dates,big_daily_table))),NA(),XLOOKUP(E$3,daily_items,XLOOKUP($C3352,daily_dates,big_daily_table)))</f>
        <v>#N/A</v>
      </c>
    </row>
    <row r="3353" ht="14.25" customHeight="1">
      <c r="B3353" s="7">
        <v>44258.0</v>
      </c>
      <c r="C3353" s="7">
        <f t="shared" si="1"/>
        <v>44255</v>
      </c>
      <c r="D3353" s="1" t="str">
        <f t="array" ref="D3353">IF(ISBLANK(XLOOKUP(D$3,daily_items,XLOOKUP($C3353,daily_dates,big_daily_table))),NA(),XLOOKUP(D$3,daily_items,XLOOKUP($C3353,daily_dates,big_daily_table)))</f>
        <v>#N/A</v>
      </c>
      <c r="E3353" s="1" t="str">
        <f t="array" ref="E3353">IF(ISBLANK(XLOOKUP(E$3,daily_items,XLOOKUP($C3353,daily_dates,big_daily_table))),NA(),XLOOKUP(E$3,daily_items,XLOOKUP($C3353,daily_dates,big_daily_table)))</f>
        <v>#N/A</v>
      </c>
    </row>
    <row r="3354" ht="14.25" customHeight="1">
      <c r="B3354" s="7">
        <v>44259.0</v>
      </c>
      <c r="C3354" s="7">
        <f t="shared" si="1"/>
        <v>44255</v>
      </c>
      <c r="D3354" s="1" t="str">
        <f t="array" ref="D3354">IF(ISBLANK(XLOOKUP(D$3,daily_items,XLOOKUP($C3354,daily_dates,big_daily_table))),NA(),XLOOKUP(D$3,daily_items,XLOOKUP($C3354,daily_dates,big_daily_table)))</f>
        <v>#N/A</v>
      </c>
      <c r="E3354" s="1" t="str">
        <f t="array" ref="E3354">IF(ISBLANK(XLOOKUP(E$3,daily_items,XLOOKUP($C3354,daily_dates,big_daily_table))),NA(),XLOOKUP(E$3,daily_items,XLOOKUP($C3354,daily_dates,big_daily_table)))</f>
        <v>#N/A</v>
      </c>
    </row>
    <row r="3355" ht="14.25" customHeight="1">
      <c r="B3355" s="7">
        <v>44260.0</v>
      </c>
      <c r="C3355" s="7">
        <f t="shared" si="1"/>
        <v>44255</v>
      </c>
      <c r="D3355" s="1" t="str">
        <f t="array" ref="D3355">IF(ISBLANK(XLOOKUP(D$3,daily_items,XLOOKUP($C3355,daily_dates,big_daily_table))),NA(),XLOOKUP(D$3,daily_items,XLOOKUP($C3355,daily_dates,big_daily_table)))</f>
        <v>#N/A</v>
      </c>
      <c r="E3355" s="1" t="str">
        <f t="array" ref="E3355">IF(ISBLANK(XLOOKUP(E$3,daily_items,XLOOKUP($C3355,daily_dates,big_daily_table))),NA(),XLOOKUP(E$3,daily_items,XLOOKUP($C3355,daily_dates,big_daily_table)))</f>
        <v>#N/A</v>
      </c>
    </row>
    <row r="3356" ht="14.25" customHeight="1">
      <c r="B3356" s="7">
        <v>44261.0</v>
      </c>
      <c r="C3356" s="7">
        <f t="shared" si="1"/>
        <v>44255</v>
      </c>
      <c r="D3356" s="1" t="str">
        <f t="array" ref="D3356">IF(ISBLANK(XLOOKUP(D$3,daily_items,XLOOKUP($C3356,daily_dates,big_daily_table))),NA(),XLOOKUP(D$3,daily_items,XLOOKUP($C3356,daily_dates,big_daily_table)))</f>
        <v>#N/A</v>
      </c>
      <c r="E3356" s="1" t="str">
        <f t="array" ref="E3356">IF(ISBLANK(XLOOKUP(E$3,daily_items,XLOOKUP($C3356,daily_dates,big_daily_table))),NA(),XLOOKUP(E$3,daily_items,XLOOKUP($C3356,daily_dates,big_daily_table)))</f>
        <v>#N/A</v>
      </c>
    </row>
    <row r="3357" ht="14.25" customHeight="1">
      <c r="B3357" s="7">
        <v>44262.0</v>
      </c>
      <c r="C3357" s="7">
        <f t="shared" si="1"/>
        <v>44262</v>
      </c>
      <c r="D3357" s="1" t="str">
        <f t="array" ref="D3357">IF(ISBLANK(XLOOKUP(D$3,daily_items,XLOOKUP($C3357,daily_dates,big_daily_table))),NA(),XLOOKUP(D$3,daily_items,XLOOKUP($C3357,daily_dates,big_daily_table)))</f>
        <v>#N/A</v>
      </c>
      <c r="E3357" s="1" t="str">
        <f t="array" ref="E3357">IF(ISBLANK(XLOOKUP(E$3,daily_items,XLOOKUP($C3357,daily_dates,big_daily_table))),NA(),XLOOKUP(E$3,daily_items,XLOOKUP($C3357,daily_dates,big_daily_table)))</f>
        <v>#N/A</v>
      </c>
    </row>
    <row r="3358" ht="14.25" customHeight="1">
      <c r="B3358" s="7">
        <v>44263.0</v>
      </c>
      <c r="C3358" s="7">
        <f t="shared" si="1"/>
        <v>44262</v>
      </c>
      <c r="D3358" s="1" t="str">
        <f t="array" ref="D3358">IF(ISBLANK(XLOOKUP(D$3,daily_items,XLOOKUP($C3358,daily_dates,big_daily_table))),NA(),XLOOKUP(D$3,daily_items,XLOOKUP($C3358,daily_dates,big_daily_table)))</f>
        <v>#N/A</v>
      </c>
      <c r="E3358" s="1" t="str">
        <f t="array" ref="E3358">IF(ISBLANK(XLOOKUP(E$3,daily_items,XLOOKUP($C3358,daily_dates,big_daily_table))),NA(),XLOOKUP(E$3,daily_items,XLOOKUP($C3358,daily_dates,big_daily_table)))</f>
        <v>#N/A</v>
      </c>
    </row>
    <row r="3359" ht="14.25" customHeight="1">
      <c r="B3359" s="7">
        <v>44264.0</v>
      </c>
      <c r="C3359" s="7">
        <f t="shared" si="1"/>
        <v>44262</v>
      </c>
      <c r="D3359" s="1" t="str">
        <f t="array" ref="D3359">IF(ISBLANK(XLOOKUP(D$3,daily_items,XLOOKUP($C3359,daily_dates,big_daily_table))),NA(),XLOOKUP(D$3,daily_items,XLOOKUP($C3359,daily_dates,big_daily_table)))</f>
        <v>#N/A</v>
      </c>
      <c r="E3359" s="1" t="str">
        <f t="array" ref="E3359">IF(ISBLANK(XLOOKUP(E$3,daily_items,XLOOKUP($C3359,daily_dates,big_daily_table))),NA(),XLOOKUP(E$3,daily_items,XLOOKUP($C3359,daily_dates,big_daily_table)))</f>
        <v>#N/A</v>
      </c>
    </row>
    <row r="3360" ht="14.25" customHeight="1">
      <c r="B3360" s="7">
        <v>44265.0</v>
      </c>
      <c r="C3360" s="7">
        <f t="shared" si="1"/>
        <v>44262</v>
      </c>
      <c r="D3360" s="1" t="str">
        <f t="array" ref="D3360">IF(ISBLANK(XLOOKUP(D$3,daily_items,XLOOKUP($C3360,daily_dates,big_daily_table))),NA(),XLOOKUP(D$3,daily_items,XLOOKUP($C3360,daily_dates,big_daily_table)))</f>
        <v>#N/A</v>
      </c>
      <c r="E3360" s="1" t="str">
        <f t="array" ref="E3360">IF(ISBLANK(XLOOKUP(E$3,daily_items,XLOOKUP($C3360,daily_dates,big_daily_table))),NA(),XLOOKUP(E$3,daily_items,XLOOKUP($C3360,daily_dates,big_daily_table)))</f>
        <v>#N/A</v>
      </c>
    </row>
    <row r="3361" ht="14.25" customHeight="1">
      <c r="B3361" s="7">
        <v>44266.0</v>
      </c>
      <c r="C3361" s="7">
        <f t="shared" si="1"/>
        <v>44262</v>
      </c>
      <c r="D3361" s="1" t="str">
        <f t="array" ref="D3361">IF(ISBLANK(XLOOKUP(D$3,daily_items,XLOOKUP($C3361,daily_dates,big_daily_table))),NA(),XLOOKUP(D$3,daily_items,XLOOKUP($C3361,daily_dates,big_daily_table)))</f>
        <v>#N/A</v>
      </c>
      <c r="E3361" s="1" t="str">
        <f t="array" ref="E3361">IF(ISBLANK(XLOOKUP(E$3,daily_items,XLOOKUP($C3361,daily_dates,big_daily_table))),NA(),XLOOKUP(E$3,daily_items,XLOOKUP($C3361,daily_dates,big_daily_table)))</f>
        <v>#N/A</v>
      </c>
    </row>
    <row r="3362" ht="14.25" customHeight="1">
      <c r="B3362" s="7">
        <v>44267.0</v>
      </c>
      <c r="C3362" s="7">
        <f t="shared" si="1"/>
        <v>44262</v>
      </c>
      <c r="D3362" s="1" t="str">
        <f t="array" ref="D3362">IF(ISBLANK(XLOOKUP(D$3,daily_items,XLOOKUP($C3362,daily_dates,big_daily_table))),NA(),XLOOKUP(D$3,daily_items,XLOOKUP($C3362,daily_dates,big_daily_table)))</f>
        <v>#N/A</v>
      </c>
      <c r="E3362" s="1" t="str">
        <f t="array" ref="E3362">IF(ISBLANK(XLOOKUP(E$3,daily_items,XLOOKUP($C3362,daily_dates,big_daily_table))),NA(),XLOOKUP(E$3,daily_items,XLOOKUP($C3362,daily_dates,big_daily_table)))</f>
        <v>#N/A</v>
      </c>
    </row>
    <row r="3363" ht="14.25" customHeight="1">
      <c r="B3363" s="7">
        <v>44268.0</v>
      </c>
      <c r="C3363" s="7">
        <f t="shared" si="1"/>
        <v>44262</v>
      </c>
      <c r="D3363" s="1" t="str">
        <f t="array" ref="D3363">IF(ISBLANK(XLOOKUP(D$3,daily_items,XLOOKUP($C3363,daily_dates,big_daily_table))),NA(),XLOOKUP(D$3,daily_items,XLOOKUP($C3363,daily_dates,big_daily_table)))</f>
        <v>#N/A</v>
      </c>
      <c r="E3363" s="1" t="str">
        <f t="array" ref="E3363">IF(ISBLANK(XLOOKUP(E$3,daily_items,XLOOKUP($C3363,daily_dates,big_daily_table))),NA(),XLOOKUP(E$3,daily_items,XLOOKUP($C3363,daily_dates,big_daily_table)))</f>
        <v>#N/A</v>
      </c>
    </row>
    <row r="3364" ht="14.25" customHeight="1">
      <c r="B3364" s="7">
        <v>44269.0</v>
      </c>
      <c r="C3364" s="7">
        <f t="shared" si="1"/>
        <v>44269</v>
      </c>
      <c r="D3364" s="1" t="str">
        <f t="array" ref="D3364">IF(ISBLANK(XLOOKUP(D$3,daily_items,XLOOKUP($C3364,daily_dates,big_daily_table))),NA(),XLOOKUP(D$3,daily_items,XLOOKUP($C3364,daily_dates,big_daily_table)))</f>
        <v>#N/A</v>
      </c>
      <c r="E3364" s="1" t="str">
        <f t="array" ref="E3364">IF(ISBLANK(XLOOKUP(E$3,daily_items,XLOOKUP($C3364,daily_dates,big_daily_table))),NA(),XLOOKUP(E$3,daily_items,XLOOKUP($C3364,daily_dates,big_daily_table)))</f>
        <v>#N/A</v>
      </c>
    </row>
    <row r="3365" ht="14.25" customHeight="1">
      <c r="B3365" s="7">
        <v>44270.0</v>
      </c>
      <c r="C3365" s="7">
        <f t="shared" si="1"/>
        <v>44269</v>
      </c>
      <c r="D3365" s="1" t="str">
        <f t="array" ref="D3365">IF(ISBLANK(XLOOKUP(D$3,daily_items,XLOOKUP($C3365,daily_dates,big_daily_table))),NA(),XLOOKUP(D$3,daily_items,XLOOKUP($C3365,daily_dates,big_daily_table)))</f>
        <v>#N/A</v>
      </c>
      <c r="E3365" s="1" t="str">
        <f t="array" ref="E3365">IF(ISBLANK(XLOOKUP(E$3,daily_items,XLOOKUP($C3365,daily_dates,big_daily_table))),NA(),XLOOKUP(E$3,daily_items,XLOOKUP($C3365,daily_dates,big_daily_table)))</f>
        <v>#N/A</v>
      </c>
    </row>
    <row r="3366" ht="14.25" customHeight="1">
      <c r="B3366" s="7">
        <v>44271.0</v>
      </c>
      <c r="C3366" s="7">
        <f t="shared" si="1"/>
        <v>44269</v>
      </c>
      <c r="D3366" s="1" t="str">
        <f t="array" ref="D3366">IF(ISBLANK(XLOOKUP(D$3,daily_items,XLOOKUP($C3366,daily_dates,big_daily_table))),NA(),XLOOKUP(D$3,daily_items,XLOOKUP($C3366,daily_dates,big_daily_table)))</f>
        <v>#N/A</v>
      </c>
      <c r="E3366" s="1" t="str">
        <f t="array" ref="E3366">IF(ISBLANK(XLOOKUP(E$3,daily_items,XLOOKUP($C3366,daily_dates,big_daily_table))),NA(),XLOOKUP(E$3,daily_items,XLOOKUP($C3366,daily_dates,big_daily_table)))</f>
        <v>#N/A</v>
      </c>
    </row>
    <row r="3367" ht="14.25" customHeight="1">
      <c r="B3367" s="7">
        <v>44272.0</v>
      </c>
      <c r="C3367" s="7">
        <f t="shared" si="1"/>
        <v>44269</v>
      </c>
      <c r="D3367" s="1" t="str">
        <f t="array" ref="D3367">IF(ISBLANK(XLOOKUP(D$3,daily_items,XLOOKUP($C3367,daily_dates,big_daily_table))),NA(),XLOOKUP(D$3,daily_items,XLOOKUP($C3367,daily_dates,big_daily_table)))</f>
        <v>#N/A</v>
      </c>
      <c r="E3367" s="1" t="str">
        <f t="array" ref="E3367">IF(ISBLANK(XLOOKUP(E$3,daily_items,XLOOKUP($C3367,daily_dates,big_daily_table))),NA(),XLOOKUP(E$3,daily_items,XLOOKUP($C3367,daily_dates,big_daily_table)))</f>
        <v>#N/A</v>
      </c>
    </row>
    <row r="3368" ht="14.25" customHeight="1">
      <c r="B3368" s="7">
        <v>44273.0</v>
      </c>
      <c r="C3368" s="7">
        <f t="shared" si="1"/>
        <v>44269</v>
      </c>
      <c r="D3368" s="1" t="str">
        <f t="array" ref="D3368">IF(ISBLANK(XLOOKUP(D$3,daily_items,XLOOKUP($C3368,daily_dates,big_daily_table))),NA(),XLOOKUP(D$3,daily_items,XLOOKUP($C3368,daily_dates,big_daily_table)))</f>
        <v>#N/A</v>
      </c>
      <c r="E3368" s="1" t="str">
        <f t="array" ref="E3368">IF(ISBLANK(XLOOKUP(E$3,daily_items,XLOOKUP($C3368,daily_dates,big_daily_table))),NA(),XLOOKUP(E$3,daily_items,XLOOKUP($C3368,daily_dates,big_daily_table)))</f>
        <v>#N/A</v>
      </c>
    </row>
    <row r="3369" ht="14.25" customHeight="1">
      <c r="B3369" s="7">
        <v>44274.0</v>
      </c>
      <c r="C3369" s="7">
        <f t="shared" si="1"/>
        <v>44269</v>
      </c>
      <c r="D3369" s="1" t="str">
        <f t="array" ref="D3369">IF(ISBLANK(XLOOKUP(D$3,daily_items,XLOOKUP($C3369,daily_dates,big_daily_table))),NA(),XLOOKUP(D$3,daily_items,XLOOKUP($C3369,daily_dates,big_daily_table)))</f>
        <v>#N/A</v>
      </c>
      <c r="E3369" s="1" t="str">
        <f t="array" ref="E3369">IF(ISBLANK(XLOOKUP(E$3,daily_items,XLOOKUP($C3369,daily_dates,big_daily_table))),NA(),XLOOKUP(E$3,daily_items,XLOOKUP($C3369,daily_dates,big_daily_table)))</f>
        <v>#N/A</v>
      </c>
    </row>
    <row r="3370" ht="14.25" customHeight="1">
      <c r="B3370" s="7">
        <v>44275.0</v>
      </c>
      <c r="C3370" s="7">
        <f t="shared" si="1"/>
        <v>44269</v>
      </c>
      <c r="D3370" s="1" t="str">
        <f t="array" ref="D3370">IF(ISBLANK(XLOOKUP(D$3,daily_items,XLOOKUP($C3370,daily_dates,big_daily_table))),NA(),XLOOKUP(D$3,daily_items,XLOOKUP($C3370,daily_dates,big_daily_table)))</f>
        <v>#N/A</v>
      </c>
      <c r="E3370" s="1" t="str">
        <f t="array" ref="E3370">IF(ISBLANK(XLOOKUP(E$3,daily_items,XLOOKUP($C3370,daily_dates,big_daily_table))),NA(),XLOOKUP(E$3,daily_items,XLOOKUP($C3370,daily_dates,big_daily_table)))</f>
        <v>#N/A</v>
      </c>
    </row>
    <row r="3371" ht="14.25" customHeight="1">
      <c r="B3371" s="7">
        <v>44276.0</v>
      </c>
      <c r="C3371" s="7">
        <f t="shared" si="1"/>
        <v>44276</v>
      </c>
      <c r="D3371" s="1" t="str">
        <f t="array" ref="D3371">IF(ISBLANK(XLOOKUP(D$3,daily_items,XLOOKUP($C3371,daily_dates,big_daily_table))),NA(),XLOOKUP(D$3,daily_items,XLOOKUP($C3371,daily_dates,big_daily_table)))</f>
        <v>#N/A</v>
      </c>
      <c r="E3371" s="1" t="str">
        <f t="array" ref="E3371">IF(ISBLANK(XLOOKUP(E$3,daily_items,XLOOKUP($C3371,daily_dates,big_daily_table))),NA(),XLOOKUP(E$3,daily_items,XLOOKUP($C3371,daily_dates,big_daily_table)))</f>
        <v>#N/A</v>
      </c>
    </row>
    <row r="3372" ht="14.25" customHeight="1">
      <c r="B3372" s="7">
        <v>44277.0</v>
      </c>
      <c r="C3372" s="7">
        <f t="shared" si="1"/>
        <v>44276</v>
      </c>
      <c r="D3372" s="1" t="str">
        <f t="array" ref="D3372">IF(ISBLANK(XLOOKUP(D$3,daily_items,XLOOKUP($C3372,daily_dates,big_daily_table))),NA(),XLOOKUP(D$3,daily_items,XLOOKUP($C3372,daily_dates,big_daily_table)))</f>
        <v>#N/A</v>
      </c>
      <c r="E3372" s="1" t="str">
        <f t="array" ref="E3372">IF(ISBLANK(XLOOKUP(E$3,daily_items,XLOOKUP($C3372,daily_dates,big_daily_table))),NA(),XLOOKUP(E$3,daily_items,XLOOKUP($C3372,daily_dates,big_daily_table)))</f>
        <v>#N/A</v>
      </c>
    </row>
    <row r="3373" ht="14.25" customHeight="1">
      <c r="B3373" s="7">
        <v>44278.0</v>
      </c>
      <c r="C3373" s="7">
        <f t="shared" si="1"/>
        <v>44276</v>
      </c>
      <c r="D3373" s="1" t="str">
        <f t="array" ref="D3373">IF(ISBLANK(XLOOKUP(D$3,daily_items,XLOOKUP($C3373,daily_dates,big_daily_table))),NA(),XLOOKUP(D$3,daily_items,XLOOKUP($C3373,daily_dates,big_daily_table)))</f>
        <v>#N/A</v>
      </c>
      <c r="E3373" s="1" t="str">
        <f t="array" ref="E3373">IF(ISBLANK(XLOOKUP(E$3,daily_items,XLOOKUP($C3373,daily_dates,big_daily_table))),NA(),XLOOKUP(E$3,daily_items,XLOOKUP($C3373,daily_dates,big_daily_table)))</f>
        <v>#N/A</v>
      </c>
    </row>
    <row r="3374" ht="14.25" customHeight="1">
      <c r="B3374" s="7">
        <v>44279.0</v>
      </c>
      <c r="C3374" s="7">
        <f t="shared" si="1"/>
        <v>44276</v>
      </c>
      <c r="D3374" s="1" t="str">
        <f t="array" ref="D3374">IF(ISBLANK(XLOOKUP(D$3,daily_items,XLOOKUP($C3374,daily_dates,big_daily_table))),NA(),XLOOKUP(D$3,daily_items,XLOOKUP($C3374,daily_dates,big_daily_table)))</f>
        <v>#N/A</v>
      </c>
      <c r="E3374" s="1" t="str">
        <f t="array" ref="E3374">IF(ISBLANK(XLOOKUP(E$3,daily_items,XLOOKUP($C3374,daily_dates,big_daily_table))),NA(),XLOOKUP(E$3,daily_items,XLOOKUP($C3374,daily_dates,big_daily_table)))</f>
        <v>#N/A</v>
      </c>
    </row>
    <row r="3375" ht="14.25" customHeight="1">
      <c r="B3375" s="7">
        <v>44280.0</v>
      </c>
      <c r="C3375" s="7">
        <f t="shared" si="1"/>
        <v>44276</v>
      </c>
      <c r="D3375" s="1" t="str">
        <f t="array" ref="D3375">IF(ISBLANK(XLOOKUP(D$3,daily_items,XLOOKUP($C3375,daily_dates,big_daily_table))),NA(),XLOOKUP(D$3,daily_items,XLOOKUP($C3375,daily_dates,big_daily_table)))</f>
        <v>#N/A</v>
      </c>
      <c r="E3375" s="1" t="str">
        <f t="array" ref="E3375">IF(ISBLANK(XLOOKUP(E$3,daily_items,XLOOKUP($C3375,daily_dates,big_daily_table))),NA(),XLOOKUP(E$3,daily_items,XLOOKUP($C3375,daily_dates,big_daily_table)))</f>
        <v>#N/A</v>
      </c>
    </row>
    <row r="3376" ht="14.25" customHeight="1">
      <c r="B3376" s="7">
        <v>44281.0</v>
      </c>
      <c r="C3376" s="7">
        <f t="shared" si="1"/>
        <v>44276</v>
      </c>
      <c r="D3376" s="1" t="str">
        <f t="array" ref="D3376">IF(ISBLANK(XLOOKUP(D$3,daily_items,XLOOKUP($C3376,daily_dates,big_daily_table))),NA(),XLOOKUP(D$3,daily_items,XLOOKUP($C3376,daily_dates,big_daily_table)))</f>
        <v>#N/A</v>
      </c>
      <c r="E3376" s="1" t="str">
        <f t="array" ref="E3376">IF(ISBLANK(XLOOKUP(E$3,daily_items,XLOOKUP($C3376,daily_dates,big_daily_table))),NA(),XLOOKUP(E$3,daily_items,XLOOKUP($C3376,daily_dates,big_daily_table)))</f>
        <v>#N/A</v>
      </c>
    </row>
    <row r="3377" ht="14.25" customHeight="1">
      <c r="B3377" s="7">
        <v>44282.0</v>
      </c>
      <c r="C3377" s="7">
        <f t="shared" si="1"/>
        <v>44276</v>
      </c>
      <c r="D3377" s="1" t="str">
        <f t="array" ref="D3377">IF(ISBLANK(XLOOKUP(D$3,daily_items,XLOOKUP($C3377,daily_dates,big_daily_table))),NA(),XLOOKUP(D$3,daily_items,XLOOKUP($C3377,daily_dates,big_daily_table)))</f>
        <v>#N/A</v>
      </c>
      <c r="E3377" s="1" t="str">
        <f t="array" ref="E3377">IF(ISBLANK(XLOOKUP(E$3,daily_items,XLOOKUP($C3377,daily_dates,big_daily_table))),NA(),XLOOKUP(E$3,daily_items,XLOOKUP($C3377,daily_dates,big_daily_table)))</f>
        <v>#N/A</v>
      </c>
    </row>
    <row r="3378" ht="14.25" customHeight="1">
      <c r="B3378" s="7">
        <v>44283.0</v>
      </c>
      <c r="C3378" s="7">
        <f t="shared" si="1"/>
        <v>44283</v>
      </c>
      <c r="D3378" s="1" t="str">
        <f t="array" ref="D3378">IF(ISBLANK(XLOOKUP(D$3,daily_items,XLOOKUP($C3378,daily_dates,big_daily_table))),NA(),XLOOKUP(D$3,daily_items,XLOOKUP($C3378,daily_dates,big_daily_table)))</f>
        <v>#N/A</v>
      </c>
      <c r="E3378" s="1" t="str">
        <f t="array" ref="E3378">IF(ISBLANK(XLOOKUP(E$3,daily_items,XLOOKUP($C3378,daily_dates,big_daily_table))),NA(),XLOOKUP(E$3,daily_items,XLOOKUP($C3378,daily_dates,big_daily_table)))</f>
        <v>#N/A</v>
      </c>
    </row>
    <row r="3379" ht="14.25" customHeight="1">
      <c r="B3379" s="7">
        <v>44284.0</v>
      </c>
      <c r="C3379" s="7">
        <f t="shared" si="1"/>
        <v>44283</v>
      </c>
      <c r="D3379" s="1" t="str">
        <f t="array" ref="D3379">IF(ISBLANK(XLOOKUP(D$3,daily_items,XLOOKUP($C3379,daily_dates,big_daily_table))),NA(),XLOOKUP(D$3,daily_items,XLOOKUP($C3379,daily_dates,big_daily_table)))</f>
        <v>#N/A</v>
      </c>
      <c r="E3379" s="1" t="str">
        <f t="array" ref="E3379">IF(ISBLANK(XLOOKUP(E$3,daily_items,XLOOKUP($C3379,daily_dates,big_daily_table))),NA(),XLOOKUP(E$3,daily_items,XLOOKUP($C3379,daily_dates,big_daily_table)))</f>
        <v>#N/A</v>
      </c>
    </row>
    <row r="3380" ht="14.25" customHeight="1">
      <c r="B3380" s="7">
        <v>44285.0</v>
      </c>
      <c r="C3380" s="7">
        <f t="shared" si="1"/>
        <v>44283</v>
      </c>
      <c r="D3380" s="1" t="str">
        <f t="array" ref="D3380">IF(ISBLANK(XLOOKUP(D$3,daily_items,XLOOKUP($C3380,daily_dates,big_daily_table))),NA(),XLOOKUP(D$3,daily_items,XLOOKUP($C3380,daily_dates,big_daily_table)))</f>
        <v>#N/A</v>
      </c>
      <c r="E3380" s="1" t="str">
        <f t="array" ref="E3380">IF(ISBLANK(XLOOKUP(E$3,daily_items,XLOOKUP($C3380,daily_dates,big_daily_table))),NA(),XLOOKUP(E$3,daily_items,XLOOKUP($C3380,daily_dates,big_daily_table)))</f>
        <v>#N/A</v>
      </c>
    </row>
    <row r="3381" ht="14.25" customHeight="1">
      <c r="B3381" s="7">
        <v>44286.0</v>
      </c>
      <c r="C3381" s="7">
        <f t="shared" si="1"/>
        <v>44283</v>
      </c>
      <c r="D3381" s="1" t="str">
        <f t="array" ref="D3381">IF(ISBLANK(XLOOKUP(D$3,daily_items,XLOOKUP($C3381,daily_dates,big_daily_table))),NA(),XLOOKUP(D$3,daily_items,XLOOKUP($C3381,daily_dates,big_daily_table)))</f>
        <v>#N/A</v>
      </c>
      <c r="E3381" s="1" t="str">
        <f t="array" ref="E3381">IF(ISBLANK(XLOOKUP(E$3,daily_items,XLOOKUP($C3381,daily_dates,big_daily_table))),NA(),XLOOKUP(E$3,daily_items,XLOOKUP($C3381,daily_dates,big_daily_table)))</f>
        <v>#N/A</v>
      </c>
    </row>
    <row r="3382" ht="14.25" customHeight="1">
      <c r="B3382" s="7">
        <v>44287.0</v>
      </c>
      <c r="C3382" s="7">
        <f t="shared" si="1"/>
        <v>44283</v>
      </c>
      <c r="D3382" s="1" t="str">
        <f t="array" ref="D3382">IF(ISBLANK(XLOOKUP(D$3,daily_items,XLOOKUP($C3382,daily_dates,big_daily_table))),NA(),XLOOKUP(D$3,daily_items,XLOOKUP($C3382,daily_dates,big_daily_table)))</f>
        <v>#N/A</v>
      </c>
      <c r="E3382" s="1" t="str">
        <f t="array" ref="E3382">IF(ISBLANK(XLOOKUP(E$3,daily_items,XLOOKUP($C3382,daily_dates,big_daily_table))),NA(),XLOOKUP(E$3,daily_items,XLOOKUP($C3382,daily_dates,big_daily_table)))</f>
        <v>#N/A</v>
      </c>
    </row>
    <row r="3383" ht="14.25" customHeight="1">
      <c r="B3383" s="7">
        <v>44288.0</v>
      </c>
      <c r="C3383" s="7">
        <f t="shared" si="1"/>
        <v>44283</v>
      </c>
      <c r="D3383" s="1" t="str">
        <f t="array" ref="D3383">IF(ISBLANK(XLOOKUP(D$3,daily_items,XLOOKUP($C3383,daily_dates,big_daily_table))),NA(),XLOOKUP(D$3,daily_items,XLOOKUP($C3383,daily_dates,big_daily_table)))</f>
        <v>#N/A</v>
      </c>
      <c r="E3383" s="1" t="str">
        <f t="array" ref="E3383">IF(ISBLANK(XLOOKUP(E$3,daily_items,XLOOKUP($C3383,daily_dates,big_daily_table))),NA(),XLOOKUP(E$3,daily_items,XLOOKUP($C3383,daily_dates,big_daily_table)))</f>
        <v>#N/A</v>
      </c>
    </row>
    <row r="3384" ht="14.25" customHeight="1">
      <c r="B3384" s="7">
        <v>44289.0</v>
      </c>
      <c r="C3384" s="7">
        <f t="shared" si="1"/>
        <v>44283</v>
      </c>
      <c r="D3384" s="1" t="str">
        <f t="array" ref="D3384">IF(ISBLANK(XLOOKUP(D$3,daily_items,XLOOKUP($C3384,daily_dates,big_daily_table))),NA(),XLOOKUP(D$3,daily_items,XLOOKUP($C3384,daily_dates,big_daily_table)))</f>
        <v>#N/A</v>
      </c>
      <c r="E3384" s="1" t="str">
        <f t="array" ref="E3384">IF(ISBLANK(XLOOKUP(E$3,daily_items,XLOOKUP($C3384,daily_dates,big_daily_table))),NA(),XLOOKUP(E$3,daily_items,XLOOKUP($C3384,daily_dates,big_daily_table)))</f>
        <v>#N/A</v>
      </c>
    </row>
    <row r="3385" ht="14.25" customHeight="1">
      <c r="B3385" s="7">
        <v>44290.0</v>
      </c>
      <c r="C3385" s="7">
        <f t="shared" si="1"/>
        <v>44290</v>
      </c>
      <c r="D3385" s="1" t="str">
        <f t="array" ref="D3385">IF(ISBLANK(XLOOKUP(D$3,daily_items,XLOOKUP($C3385,daily_dates,big_daily_table))),NA(),XLOOKUP(D$3,daily_items,XLOOKUP($C3385,daily_dates,big_daily_table)))</f>
        <v>#N/A</v>
      </c>
      <c r="E3385" s="1" t="str">
        <f t="array" ref="E3385">IF(ISBLANK(XLOOKUP(E$3,daily_items,XLOOKUP($C3385,daily_dates,big_daily_table))),NA(),XLOOKUP(E$3,daily_items,XLOOKUP($C3385,daily_dates,big_daily_table)))</f>
        <v>#N/A</v>
      </c>
    </row>
    <row r="3386" ht="14.25" customHeight="1">
      <c r="B3386" s="7">
        <v>44291.0</v>
      </c>
      <c r="C3386" s="7">
        <f t="shared" si="1"/>
        <v>44290</v>
      </c>
      <c r="D3386" s="1" t="str">
        <f t="array" ref="D3386">IF(ISBLANK(XLOOKUP(D$3,daily_items,XLOOKUP($C3386,daily_dates,big_daily_table))),NA(),XLOOKUP(D$3,daily_items,XLOOKUP($C3386,daily_dates,big_daily_table)))</f>
        <v>#N/A</v>
      </c>
      <c r="E3386" s="1" t="str">
        <f t="array" ref="E3386">IF(ISBLANK(XLOOKUP(E$3,daily_items,XLOOKUP($C3386,daily_dates,big_daily_table))),NA(),XLOOKUP(E$3,daily_items,XLOOKUP($C3386,daily_dates,big_daily_table)))</f>
        <v>#N/A</v>
      </c>
    </row>
    <row r="3387" ht="14.25" customHeight="1">
      <c r="B3387" s="7">
        <v>44292.0</v>
      </c>
      <c r="C3387" s="7">
        <f t="shared" si="1"/>
        <v>44290</v>
      </c>
      <c r="D3387" s="1" t="str">
        <f t="array" ref="D3387">IF(ISBLANK(XLOOKUP(D$3,daily_items,XLOOKUP($C3387,daily_dates,big_daily_table))),NA(),XLOOKUP(D$3,daily_items,XLOOKUP($C3387,daily_dates,big_daily_table)))</f>
        <v>#N/A</v>
      </c>
      <c r="E3387" s="1" t="str">
        <f t="array" ref="E3387">IF(ISBLANK(XLOOKUP(E$3,daily_items,XLOOKUP($C3387,daily_dates,big_daily_table))),NA(),XLOOKUP(E$3,daily_items,XLOOKUP($C3387,daily_dates,big_daily_table)))</f>
        <v>#N/A</v>
      </c>
    </row>
    <row r="3388" ht="14.25" customHeight="1">
      <c r="B3388" s="7">
        <v>44293.0</v>
      </c>
      <c r="C3388" s="7">
        <f t="shared" si="1"/>
        <v>44290</v>
      </c>
      <c r="D3388" s="1" t="str">
        <f t="array" ref="D3388">IF(ISBLANK(XLOOKUP(D$3,daily_items,XLOOKUP($C3388,daily_dates,big_daily_table))),NA(),XLOOKUP(D$3,daily_items,XLOOKUP($C3388,daily_dates,big_daily_table)))</f>
        <v>#N/A</v>
      </c>
      <c r="E3388" s="1" t="str">
        <f t="array" ref="E3388">IF(ISBLANK(XLOOKUP(E$3,daily_items,XLOOKUP($C3388,daily_dates,big_daily_table))),NA(),XLOOKUP(E$3,daily_items,XLOOKUP($C3388,daily_dates,big_daily_table)))</f>
        <v>#N/A</v>
      </c>
    </row>
    <row r="3389" ht="14.25" customHeight="1">
      <c r="B3389" s="7">
        <v>44294.0</v>
      </c>
      <c r="C3389" s="7">
        <f t="shared" si="1"/>
        <v>44290</v>
      </c>
      <c r="D3389" s="1" t="str">
        <f t="array" ref="D3389">IF(ISBLANK(XLOOKUP(D$3,daily_items,XLOOKUP($C3389,daily_dates,big_daily_table))),NA(),XLOOKUP(D$3,daily_items,XLOOKUP($C3389,daily_dates,big_daily_table)))</f>
        <v>#N/A</v>
      </c>
      <c r="E3389" s="1" t="str">
        <f t="array" ref="E3389">IF(ISBLANK(XLOOKUP(E$3,daily_items,XLOOKUP($C3389,daily_dates,big_daily_table))),NA(),XLOOKUP(E$3,daily_items,XLOOKUP($C3389,daily_dates,big_daily_table)))</f>
        <v>#N/A</v>
      </c>
    </row>
    <row r="3390" ht="14.25" customHeight="1">
      <c r="B3390" s="7">
        <v>44295.0</v>
      </c>
      <c r="C3390" s="7">
        <f t="shared" si="1"/>
        <v>44290</v>
      </c>
      <c r="D3390" s="1" t="str">
        <f t="array" ref="D3390">IF(ISBLANK(XLOOKUP(D$3,daily_items,XLOOKUP($C3390,daily_dates,big_daily_table))),NA(),XLOOKUP(D$3,daily_items,XLOOKUP($C3390,daily_dates,big_daily_table)))</f>
        <v>#N/A</v>
      </c>
      <c r="E3390" s="1" t="str">
        <f t="array" ref="E3390">IF(ISBLANK(XLOOKUP(E$3,daily_items,XLOOKUP($C3390,daily_dates,big_daily_table))),NA(),XLOOKUP(E$3,daily_items,XLOOKUP($C3390,daily_dates,big_daily_table)))</f>
        <v>#N/A</v>
      </c>
    </row>
    <row r="3391" ht="14.25" customHeight="1">
      <c r="B3391" s="7">
        <v>44296.0</v>
      </c>
      <c r="C3391" s="7">
        <f t="shared" si="1"/>
        <v>44290</v>
      </c>
      <c r="D3391" s="1" t="str">
        <f t="array" ref="D3391">IF(ISBLANK(XLOOKUP(D$3,daily_items,XLOOKUP($C3391,daily_dates,big_daily_table))),NA(),XLOOKUP(D$3,daily_items,XLOOKUP($C3391,daily_dates,big_daily_table)))</f>
        <v>#N/A</v>
      </c>
      <c r="E3391" s="1" t="str">
        <f t="array" ref="E3391">IF(ISBLANK(XLOOKUP(E$3,daily_items,XLOOKUP($C3391,daily_dates,big_daily_table))),NA(),XLOOKUP(E$3,daily_items,XLOOKUP($C3391,daily_dates,big_daily_table)))</f>
        <v>#N/A</v>
      </c>
    </row>
    <row r="3392" ht="14.25" customHeight="1">
      <c r="B3392" s="7">
        <v>44297.0</v>
      </c>
      <c r="C3392" s="7">
        <f t="shared" si="1"/>
        <v>44297</v>
      </c>
      <c r="D3392" s="1" t="str">
        <f t="array" ref="D3392">IF(ISBLANK(XLOOKUP(D$3,daily_items,XLOOKUP($C3392,daily_dates,big_daily_table))),NA(),XLOOKUP(D$3,daily_items,XLOOKUP($C3392,daily_dates,big_daily_table)))</f>
        <v>#N/A</v>
      </c>
      <c r="E3392" s="1" t="str">
        <f t="array" ref="E3392">IF(ISBLANK(XLOOKUP(E$3,daily_items,XLOOKUP($C3392,daily_dates,big_daily_table))),NA(),XLOOKUP(E$3,daily_items,XLOOKUP($C3392,daily_dates,big_daily_table)))</f>
        <v>#N/A</v>
      </c>
    </row>
    <row r="3393" ht="14.25" customHeight="1">
      <c r="B3393" s="7">
        <v>44298.0</v>
      </c>
      <c r="C3393" s="7">
        <f t="shared" si="1"/>
        <v>44297</v>
      </c>
      <c r="D3393" s="1" t="str">
        <f t="array" ref="D3393">IF(ISBLANK(XLOOKUP(D$3,daily_items,XLOOKUP($C3393,daily_dates,big_daily_table))),NA(),XLOOKUP(D$3,daily_items,XLOOKUP($C3393,daily_dates,big_daily_table)))</f>
        <v>#N/A</v>
      </c>
      <c r="E3393" s="1" t="str">
        <f t="array" ref="E3393">IF(ISBLANK(XLOOKUP(E$3,daily_items,XLOOKUP($C3393,daily_dates,big_daily_table))),NA(),XLOOKUP(E$3,daily_items,XLOOKUP($C3393,daily_dates,big_daily_table)))</f>
        <v>#N/A</v>
      </c>
    </row>
    <row r="3394" ht="14.25" customHeight="1">
      <c r="B3394" s="7">
        <v>44299.0</v>
      </c>
      <c r="C3394" s="7">
        <f t="shared" si="1"/>
        <v>44297</v>
      </c>
      <c r="D3394" s="1" t="str">
        <f t="array" ref="D3394">IF(ISBLANK(XLOOKUP(D$3,daily_items,XLOOKUP($C3394,daily_dates,big_daily_table))),NA(),XLOOKUP(D$3,daily_items,XLOOKUP($C3394,daily_dates,big_daily_table)))</f>
        <v>#N/A</v>
      </c>
      <c r="E3394" s="1" t="str">
        <f t="array" ref="E3394">IF(ISBLANK(XLOOKUP(E$3,daily_items,XLOOKUP($C3394,daily_dates,big_daily_table))),NA(),XLOOKUP(E$3,daily_items,XLOOKUP($C3394,daily_dates,big_daily_table)))</f>
        <v>#N/A</v>
      </c>
    </row>
    <row r="3395" ht="14.25" customHeight="1">
      <c r="B3395" s="7">
        <v>44300.0</v>
      </c>
      <c r="C3395" s="7">
        <f t="shared" si="1"/>
        <v>44297</v>
      </c>
      <c r="D3395" s="1" t="str">
        <f t="array" ref="D3395">IF(ISBLANK(XLOOKUP(D$3,daily_items,XLOOKUP($C3395,daily_dates,big_daily_table))),NA(),XLOOKUP(D$3,daily_items,XLOOKUP($C3395,daily_dates,big_daily_table)))</f>
        <v>#N/A</v>
      </c>
      <c r="E3395" s="1" t="str">
        <f t="array" ref="E3395">IF(ISBLANK(XLOOKUP(E$3,daily_items,XLOOKUP($C3395,daily_dates,big_daily_table))),NA(),XLOOKUP(E$3,daily_items,XLOOKUP($C3395,daily_dates,big_daily_table)))</f>
        <v>#N/A</v>
      </c>
    </row>
    <row r="3396" ht="14.25" customHeight="1">
      <c r="B3396" s="7">
        <v>44301.0</v>
      </c>
      <c r="C3396" s="7">
        <f t="shared" si="1"/>
        <v>44297</v>
      </c>
      <c r="D3396" s="1" t="str">
        <f t="array" ref="D3396">IF(ISBLANK(XLOOKUP(D$3,daily_items,XLOOKUP($C3396,daily_dates,big_daily_table))),NA(),XLOOKUP(D$3,daily_items,XLOOKUP($C3396,daily_dates,big_daily_table)))</f>
        <v>#N/A</v>
      </c>
      <c r="E3396" s="1" t="str">
        <f t="array" ref="E3396">IF(ISBLANK(XLOOKUP(E$3,daily_items,XLOOKUP($C3396,daily_dates,big_daily_table))),NA(),XLOOKUP(E$3,daily_items,XLOOKUP($C3396,daily_dates,big_daily_table)))</f>
        <v>#N/A</v>
      </c>
    </row>
    <row r="3397" ht="14.25" customHeight="1">
      <c r="B3397" s="7">
        <v>44302.0</v>
      </c>
      <c r="C3397" s="7">
        <f t="shared" si="1"/>
        <v>44297</v>
      </c>
      <c r="D3397" s="1" t="str">
        <f t="array" ref="D3397">IF(ISBLANK(XLOOKUP(D$3,daily_items,XLOOKUP($C3397,daily_dates,big_daily_table))),NA(),XLOOKUP(D$3,daily_items,XLOOKUP($C3397,daily_dates,big_daily_table)))</f>
        <v>#N/A</v>
      </c>
      <c r="E3397" s="1" t="str">
        <f t="array" ref="E3397">IF(ISBLANK(XLOOKUP(E$3,daily_items,XLOOKUP($C3397,daily_dates,big_daily_table))),NA(),XLOOKUP(E$3,daily_items,XLOOKUP($C3397,daily_dates,big_daily_table)))</f>
        <v>#N/A</v>
      </c>
    </row>
    <row r="3398" ht="14.25" customHeight="1">
      <c r="B3398" s="7">
        <v>44303.0</v>
      </c>
      <c r="C3398" s="7">
        <f t="shared" si="1"/>
        <v>44297</v>
      </c>
      <c r="D3398" s="1" t="str">
        <f t="array" ref="D3398">IF(ISBLANK(XLOOKUP(D$3,daily_items,XLOOKUP($C3398,daily_dates,big_daily_table))),NA(),XLOOKUP(D$3,daily_items,XLOOKUP($C3398,daily_dates,big_daily_table)))</f>
        <v>#N/A</v>
      </c>
      <c r="E3398" s="1" t="str">
        <f t="array" ref="E3398">IF(ISBLANK(XLOOKUP(E$3,daily_items,XLOOKUP($C3398,daily_dates,big_daily_table))),NA(),XLOOKUP(E$3,daily_items,XLOOKUP($C3398,daily_dates,big_daily_table)))</f>
        <v>#N/A</v>
      </c>
    </row>
    <row r="3399" ht="14.25" customHeight="1">
      <c r="B3399" s="7">
        <v>44304.0</v>
      </c>
      <c r="C3399" s="7">
        <f t="shared" si="1"/>
        <v>44304</v>
      </c>
      <c r="D3399" s="1" t="str">
        <f t="array" ref="D3399">IF(ISBLANK(XLOOKUP(D$3,daily_items,XLOOKUP($C3399,daily_dates,big_daily_table))),NA(),XLOOKUP(D$3,daily_items,XLOOKUP($C3399,daily_dates,big_daily_table)))</f>
        <v>#N/A</v>
      </c>
      <c r="E3399" s="1" t="str">
        <f t="array" ref="E3399">IF(ISBLANK(XLOOKUP(E$3,daily_items,XLOOKUP($C3399,daily_dates,big_daily_table))),NA(),XLOOKUP(E$3,daily_items,XLOOKUP($C3399,daily_dates,big_daily_table)))</f>
        <v>#N/A</v>
      </c>
    </row>
    <row r="3400" ht="14.25" customHeight="1">
      <c r="B3400" s="7">
        <v>44305.0</v>
      </c>
      <c r="C3400" s="7">
        <f t="shared" si="1"/>
        <v>44304</v>
      </c>
      <c r="D3400" s="1" t="str">
        <f t="array" ref="D3400">IF(ISBLANK(XLOOKUP(D$3,daily_items,XLOOKUP($C3400,daily_dates,big_daily_table))),NA(),XLOOKUP(D$3,daily_items,XLOOKUP($C3400,daily_dates,big_daily_table)))</f>
        <v>#N/A</v>
      </c>
      <c r="E3400" s="1" t="str">
        <f t="array" ref="E3400">IF(ISBLANK(XLOOKUP(E$3,daily_items,XLOOKUP($C3400,daily_dates,big_daily_table))),NA(),XLOOKUP(E$3,daily_items,XLOOKUP($C3400,daily_dates,big_daily_table)))</f>
        <v>#N/A</v>
      </c>
    </row>
    <row r="3401" ht="14.25" customHeight="1">
      <c r="B3401" s="7">
        <v>44306.0</v>
      </c>
      <c r="C3401" s="7">
        <f t="shared" si="1"/>
        <v>44304</v>
      </c>
      <c r="D3401" s="1" t="str">
        <f t="array" ref="D3401">IF(ISBLANK(XLOOKUP(D$3,daily_items,XLOOKUP($C3401,daily_dates,big_daily_table))),NA(),XLOOKUP(D$3,daily_items,XLOOKUP($C3401,daily_dates,big_daily_table)))</f>
        <v>#N/A</v>
      </c>
      <c r="E3401" s="1" t="str">
        <f t="array" ref="E3401">IF(ISBLANK(XLOOKUP(E$3,daily_items,XLOOKUP($C3401,daily_dates,big_daily_table))),NA(),XLOOKUP(E$3,daily_items,XLOOKUP($C3401,daily_dates,big_daily_table)))</f>
        <v>#N/A</v>
      </c>
    </row>
    <row r="3402" ht="14.25" customHeight="1">
      <c r="B3402" s="7">
        <v>44307.0</v>
      </c>
      <c r="C3402" s="7">
        <f t="shared" si="1"/>
        <v>44304</v>
      </c>
      <c r="D3402" s="1" t="str">
        <f t="array" ref="D3402">IF(ISBLANK(XLOOKUP(D$3,daily_items,XLOOKUP($C3402,daily_dates,big_daily_table))),NA(),XLOOKUP(D$3,daily_items,XLOOKUP($C3402,daily_dates,big_daily_table)))</f>
        <v>#N/A</v>
      </c>
      <c r="E3402" s="1" t="str">
        <f t="array" ref="E3402">IF(ISBLANK(XLOOKUP(E$3,daily_items,XLOOKUP($C3402,daily_dates,big_daily_table))),NA(),XLOOKUP(E$3,daily_items,XLOOKUP($C3402,daily_dates,big_daily_table)))</f>
        <v>#N/A</v>
      </c>
    </row>
    <row r="3403" ht="14.25" customHeight="1">
      <c r="B3403" s="7">
        <v>44308.0</v>
      </c>
      <c r="C3403" s="7">
        <f t="shared" si="1"/>
        <v>44304</v>
      </c>
      <c r="D3403" s="1" t="str">
        <f t="array" ref="D3403">IF(ISBLANK(XLOOKUP(D$3,daily_items,XLOOKUP($C3403,daily_dates,big_daily_table))),NA(),XLOOKUP(D$3,daily_items,XLOOKUP($C3403,daily_dates,big_daily_table)))</f>
        <v>#N/A</v>
      </c>
      <c r="E3403" s="1" t="str">
        <f t="array" ref="E3403">IF(ISBLANK(XLOOKUP(E$3,daily_items,XLOOKUP($C3403,daily_dates,big_daily_table))),NA(),XLOOKUP(E$3,daily_items,XLOOKUP($C3403,daily_dates,big_daily_table)))</f>
        <v>#N/A</v>
      </c>
    </row>
    <row r="3404" ht="14.25" customHeight="1">
      <c r="B3404" s="7">
        <v>44309.0</v>
      </c>
      <c r="C3404" s="7">
        <f t="shared" si="1"/>
        <v>44304</v>
      </c>
      <c r="D3404" s="1" t="str">
        <f t="array" ref="D3404">IF(ISBLANK(XLOOKUP(D$3,daily_items,XLOOKUP($C3404,daily_dates,big_daily_table))),NA(),XLOOKUP(D$3,daily_items,XLOOKUP($C3404,daily_dates,big_daily_table)))</f>
        <v>#N/A</v>
      </c>
      <c r="E3404" s="1" t="str">
        <f t="array" ref="E3404">IF(ISBLANK(XLOOKUP(E$3,daily_items,XLOOKUP($C3404,daily_dates,big_daily_table))),NA(),XLOOKUP(E$3,daily_items,XLOOKUP($C3404,daily_dates,big_daily_table)))</f>
        <v>#N/A</v>
      </c>
    </row>
    <row r="3405" ht="14.25" customHeight="1">
      <c r="B3405" s="7">
        <v>44310.0</v>
      </c>
      <c r="C3405" s="7">
        <f t="shared" si="1"/>
        <v>44304</v>
      </c>
      <c r="D3405" s="1" t="str">
        <f t="array" ref="D3405">IF(ISBLANK(XLOOKUP(D$3,daily_items,XLOOKUP($C3405,daily_dates,big_daily_table))),NA(),XLOOKUP(D$3,daily_items,XLOOKUP($C3405,daily_dates,big_daily_table)))</f>
        <v>#N/A</v>
      </c>
      <c r="E3405" s="1" t="str">
        <f t="array" ref="E3405">IF(ISBLANK(XLOOKUP(E$3,daily_items,XLOOKUP($C3405,daily_dates,big_daily_table))),NA(),XLOOKUP(E$3,daily_items,XLOOKUP($C3405,daily_dates,big_daily_table)))</f>
        <v>#N/A</v>
      </c>
    </row>
    <row r="3406" ht="14.25" customHeight="1">
      <c r="B3406" s="7">
        <v>44311.0</v>
      </c>
      <c r="C3406" s="7">
        <f t="shared" si="1"/>
        <v>44311</v>
      </c>
      <c r="D3406" s="1" t="str">
        <f t="array" ref="D3406">IF(ISBLANK(XLOOKUP(D$3,daily_items,XLOOKUP($C3406,daily_dates,big_daily_table))),NA(),XLOOKUP(D$3,daily_items,XLOOKUP($C3406,daily_dates,big_daily_table)))</f>
        <v>#N/A</v>
      </c>
      <c r="E3406" s="1" t="str">
        <f t="array" ref="E3406">IF(ISBLANK(XLOOKUP(E$3,daily_items,XLOOKUP($C3406,daily_dates,big_daily_table))),NA(),XLOOKUP(E$3,daily_items,XLOOKUP($C3406,daily_dates,big_daily_table)))</f>
        <v>#N/A</v>
      </c>
    </row>
    <row r="3407" ht="14.25" customHeight="1">
      <c r="B3407" s="7">
        <v>44312.0</v>
      </c>
      <c r="C3407" s="7">
        <f t="shared" si="1"/>
        <v>44311</v>
      </c>
      <c r="D3407" s="1" t="str">
        <f t="array" ref="D3407">IF(ISBLANK(XLOOKUP(D$3,daily_items,XLOOKUP($C3407,daily_dates,big_daily_table))),NA(),XLOOKUP(D$3,daily_items,XLOOKUP($C3407,daily_dates,big_daily_table)))</f>
        <v>#N/A</v>
      </c>
      <c r="E3407" s="1" t="str">
        <f t="array" ref="E3407">IF(ISBLANK(XLOOKUP(E$3,daily_items,XLOOKUP($C3407,daily_dates,big_daily_table))),NA(),XLOOKUP(E$3,daily_items,XLOOKUP($C3407,daily_dates,big_daily_table)))</f>
        <v>#N/A</v>
      </c>
    </row>
    <row r="3408" ht="14.25" customHeight="1">
      <c r="B3408" s="7">
        <v>44313.0</v>
      </c>
      <c r="C3408" s="7">
        <f t="shared" si="1"/>
        <v>44311</v>
      </c>
      <c r="D3408" s="1" t="str">
        <f t="array" ref="D3408">IF(ISBLANK(XLOOKUP(D$3,daily_items,XLOOKUP($C3408,daily_dates,big_daily_table))),NA(),XLOOKUP(D$3,daily_items,XLOOKUP($C3408,daily_dates,big_daily_table)))</f>
        <v>#N/A</v>
      </c>
      <c r="E3408" s="1" t="str">
        <f t="array" ref="E3408">IF(ISBLANK(XLOOKUP(E$3,daily_items,XLOOKUP($C3408,daily_dates,big_daily_table))),NA(),XLOOKUP(E$3,daily_items,XLOOKUP($C3408,daily_dates,big_daily_table)))</f>
        <v>#N/A</v>
      </c>
    </row>
    <row r="3409" ht="14.25" customHeight="1">
      <c r="B3409" s="7">
        <v>44314.0</v>
      </c>
      <c r="C3409" s="7">
        <f t="shared" si="1"/>
        <v>44311</v>
      </c>
      <c r="D3409" s="1" t="str">
        <f t="array" ref="D3409">IF(ISBLANK(XLOOKUP(D$3,daily_items,XLOOKUP($C3409,daily_dates,big_daily_table))),NA(),XLOOKUP(D$3,daily_items,XLOOKUP($C3409,daily_dates,big_daily_table)))</f>
        <v>#N/A</v>
      </c>
      <c r="E3409" s="1" t="str">
        <f t="array" ref="E3409">IF(ISBLANK(XLOOKUP(E$3,daily_items,XLOOKUP($C3409,daily_dates,big_daily_table))),NA(),XLOOKUP(E$3,daily_items,XLOOKUP($C3409,daily_dates,big_daily_table)))</f>
        <v>#N/A</v>
      </c>
    </row>
    <row r="3410" ht="14.25" customHeight="1">
      <c r="B3410" s="7">
        <v>44315.0</v>
      </c>
      <c r="C3410" s="7">
        <f t="shared" si="1"/>
        <v>44311</v>
      </c>
      <c r="D3410" s="1" t="str">
        <f t="array" ref="D3410">IF(ISBLANK(XLOOKUP(D$3,daily_items,XLOOKUP($C3410,daily_dates,big_daily_table))),NA(),XLOOKUP(D$3,daily_items,XLOOKUP($C3410,daily_dates,big_daily_table)))</f>
        <v>#N/A</v>
      </c>
      <c r="E3410" s="1" t="str">
        <f t="array" ref="E3410">IF(ISBLANK(XLOOKUP(E$3,daily_items,XLOOKUP($C3410,daily_dates,big_daily_table))),NA(),XLOOKUP(E$3,daily_items,XLOOKUP($C3410,daily_dates,big_daily_table)))</f>
        <v>#N/A</v>
      </c>
    </row>
    <row r="3411" ht="14.25" customHeight="1">
      <c r="B3411" s="7">
        <v>44316.0</v>
      </c>
      <c r="C3411" s="7">
        <f t="shared" si="1"/>
        <v>44311</v>
      </c>
      <c r="D3411" s="1" t="str">
        <f t="array" ref="D3411">IF(ISBLANK(XLOOKUP(D$3,daily_items,XLOOKUP($C3411,daily_dates,big_daily_table))),NA(),XLOOKUP(D$3,daily_items,XLOOKUP($C3411,daily_dates,big_daily_table)))</f>
        <v>#N/A</v>
      </c>
      <c r="E3411" s="1" t="str">
        <f t="array" ref="E3411">IF(ISBLANK(XLOOKUP(E$3,daily_items,XLOOKUP($C3411,daily_dates,big_daily_table))),NA(),XLOOKUP(E$3,daily_items,XLOOKUP($C3411,daily_dates,big_daily_table)))</f>
        <v>#N/A</v>
      </c>
    </row>
    <row r="3412" ht="14.25" customHeight="1">
      <c r="B3412" s="7">
        <v>44317.0</v>
      </c>
      <c r="C3412" s="7">
        <f t="shared" si="1"/>
        <v>44311</v>
      </c>
      <c r="D3412" s="1" t="str">
        <f t="array" ref="D3412">IF(ISBLANK(XLOOKUP(D$3,daily_items,XLOOKUP($C3412,daily_dates,big_daily_table))),NA(),XLOOKUP(D$3,daily_items,XLOOKUP($C3412,daily_dates,big_daily_table)))</f>
        <v>#N/A</v>
      </c>
      <c r="E3412" s="1" t="str">
        <f t="array" ref="E3412">IF(ISBLANK(XLOOKUP(E$3,daily_items,XLOOKUP($C3412,daily_dates,big_daily_table))),NA(),XLOOKUP(E$3,daily_items,XLOOKUP($C3412,daily_dates,big_daily_table)))</f>
        <v>#N/A</v>
      </c>
    </row>
    <row r="3413" ht="14.25" customHeight="1">
      <c r="B3413" s="7">
        <v>44318.0</v>
      </c>
      <c r="C3413" s="7">
        <f t="shared" si="1"/>
        <v>44318</v>
      </c>
      <c r="D3413" s="1" t="str">
        <f t="array" ref="D3413">IF(ISBLANK(XLOOKUP(D$3,daily_items,XLOOKUP($C3413,daily_dates,big_daily_table))),NA(),XLOOKUP(D$3,daily_items,XLOOKUP($C3413,daily_dates,big_daily_table)))</f>
        <v>#N/A</v>
      </c>
      <c r="E3413" s="1" t="str">
        <f t="array" ref="E3413">IF(ISBLANK(XLOOKUP(E$3,daily_items,XLOOKUP($C3413,daily_dates,big_daily_table))),NA(),XLOOKUP(E$3,daily_items,XLOOKUP($C3413,daily_dates,big_daily_table)))</f>
        <v>#N/A</v>
      </c>
    </row>
    <row r="3414" ht="14.25" customHeight="1">
      <c r="B3414" s="7">
        <v>44319.0</v>
      </c>
      <c r="C3414" s="7">
        <f t="shared" si="1"/>
        <v>44318</v>
      </c>
      <c r="D3414" s="1" t="str">
        <f t="array" ref="D3414">IF(ISBLANK(XLOOKUP(D$3,daily_items,XLOOKUP($C3414,daily_dates,big_daily_table))),NA(),XLOOKUP(D$3,daily_items,XLOOKUP($C3414,daily_dates,big_daily_table)))</f>
        <v>#N/A</v>
      </c>
      <c r="E3414" s="1" t="str">
        <f t="array" ref="E3414">IF(ISBLANK(XLOOKUP(E$3,daily_items,XLOOKUP($C3414,daily_dates,big_daily_table))),NA(),XLOOKUP(E$3,daily_items,XLOOKUP($C3414,daily_dates,big_daily_table)))</f>
        <v>#N/A</v>
      </c>
    </row>
    <row r="3415" ht="14.25" customHeight="1">
      <c r="B3415" s="7">
        <v>44320.0</v>
      </c>
      <c r="C3415" s="7">
        <f t="shared" si="1"/>
        <v>44318</v>
      </c>
      <c r="D3415" s="1" t="str">
        <f t="array" ref="D3415">IF(ISBLANK(XLOOKUP(D$3,daily_items,XLOOKUP($C3415,daily_dates,big_daily_table))),NA(),XLOOKUP(D$3,daily_items,XLOOKUP($C3415,daily_dates,big_daily_table)))</f>
        <v>#N/A</v>
      </c>
      <c r="E3415" s="1" t="str">
        <f t="array" ref="E3415">IF(ISBLANK(XLOOKUP(E$3,daily_items,XLOOKUP($C3415,daily_dates,big_daily_table))),NA(),XLOOKUP(E$3,daily_items,XLOOKUP($C3415,daily_dates,big_daily_table)))</f>
        <v>#N/A</v>
      </c>
    </row>
    <row r="3416" ht="14.25" customHeight="1">
      <c r="B3416" s="7">
        <v>44321.0</v>
      </c>
      <c r="C3416" s="7">
        <f t="shared" si="1"/>
        <v>44318</v>
      </c>
      <c r="D3416" s="1" t="str">
        <f t="array" ref="D3416">IF(ISBLANK(XLOOKUP(D$3,daily_items,XLOOKUP($C3416,daily_dates,big_daily_table))),NA(),XLOOKUP(D$3,daily_items,XLOOKUP($C3416,daily_dates,big_daily_table)))</f>
        <v>#N/A</v>
      </c>
      <c r="E3416" s="1" t="str">
        <f t="array" ref="E3416">IF(ISBLANK(XLOOKUP(E$3,daily_items,XLOOKUP($C3416,daily_dates,big_daily_table))),NA(),XLOOKUP(E$3,daily_items,XLOOKUP($C3416,daily_dates,big_daily_table)))</f>
        <v>#N/A</v>
      </c>
    </row>
    <row r="3417" ht="14.25" customHeight="1">
      <c r="B3417" s="7">
        <v>44322.0</v>
      </c>
      <c r="C3417" s="7">
        <f t="shared" si="1"/>
        <v>44318</v>
      </c>
      <c r="D3417" s="1" t="str">
        <f t="array" ref="D3417">IF(ISBLANK(XLOOKUP(D$3,daily_items,XLOOKUP($C3417,daily_dates,big_daily_table))),NA(),XLOOKUP(D$3,daily_items,XLOOKUP($C3417,daily_dates,big_daily_table)))</f>
        <v>#N/A</v>
      </c>
      <c r="E3417" s="1" t="str">
        <f t="array" ref="E3417">IF(ISBLANK(XLOOKUP(E$3,daily_items,XLOOKUP($C3417,daily_dates,big_daily_table))),NA(),XLOOKUP(E$3,daily_items,XLOOKUP($C3417,daily_dates,big_daily_table)))</f>
        <v>#N/A</v>
      </c>
    </row>
    <row r="3418" ht="14.25" customHeight="1">
      <c r="B3418" s="7">
        <v>44323.0</v>
      </c>
      <c r="C3418" s="7">
        <f t="shared" si="1"/>
        <v>44318</v>
      </c>
      <c r="D3418" s="1" t="str">
        <f t="array" ref="D3418">IF(ISBLANK(XLOOKUP(D$3,daily_items,XLOOKUP($C3418,daily_dates,big_daily_table))),NA(),XLOOKUP(D$3,daily_items,XLOOKUP($C3418,daily_dates,big_daily_table)))</f>
        <v>#N/A</v>
      </c>
      <c r="E3418" s="1" t="str">
        <f t="array" ref="E3418">IF(ISBLANK(XLOOKUP(E$3,daily_items,XLOOKUP($C3418,daily_dates,big_daily_table))),NA(),XLOOKUP(E$3,daily_items,XLOOKUP($C3418,daily_dates,big_daily_table)))</f>
        <v>#N/A</v>
      </c>
    </row>
    <row r="3419" ht="14.25" customHeight="1">
      <c r="B3419" s="7">
        <v>44324.0</v>
      </c>
      <c r="C3419" s="7">
        <f t="shared" si="1"/>
        <v>44318</v>
      </c>
      <c r="D3419" s="1" t="str">
        <f t="array" ref="D3419">IF(ISBLANK(XLOOKUP(D$3,daily_items,XLOOKUP($C3419,daily_dates,big_daily_table))),NA(),XLOOKUP(D$3,daily_items,XLOOKUP($C3419,daily_dates,big_daily_table)))</f>
        <v>#N/A</v>
      </c>
      <c r="E3419" s="1" t="str">
        <f t="array" ref="E3419">IF(ISBLANK(XLOOKUP(E$3,daily_items,XLOOKUP($C3419,daily_dates,big_daily_table))),NA(),XLOOKUP(E$3,daily_items,XLOOKUP($C3419,daily_dates,big_daily_table)))</f>
        <v>#N/A</v>
      </c>
    </row>
    <row r="3420" ht="14.25" customHeight="1">
      <c r="B3420" s="7">
        <v>44325.0</v>
      </c>
      <c r="C3420" s="7">
        <f t="shared" si="1"/>
        <v>44325</v>
      </c>
      <c r="D3420" s="1" t="str">
        <f t="array" ref="D3420">IF(ISBLANK(XLOOKUP(D$3,daily_items,XLOOKUP($C3420,daily_dates,big_daily_table))),NA(),XLOOKUP(D$3,daily_items,XLOOKUP($C3420,daily_dates,big_daily_table)))</f>
        <v>#N/A</v>
      </c>
      <c r="E3420" s="1" t="str">
        <f t="array" ref="E3420">IF(ISBLANK(XLOOKUP(E$3,daily_items,XLOOKUP($C3420,daily_dates,big_daily_table))),NA(),XLOOKUP(E$3,daily_items,XLOOKUP($C3420,daily_dates,big_daily_table)))</f>
        <v>#N/A</v>
      </c>
    </row>
    <row r="3421" ht="14.25" customHeight="1">
      <c r="B3421" s="7">
        <v>44326.0</v>
      </c>
      <c r="C3421" s="7">
        <f t="shared" si="1"/>
        <v>44325</v>
      </c>
      <c r="D3421" s="1" t="str">
        <f t="array" ref="D3421">IF(ISBLANK(XLOOKUP(D$3,daily_items,XLOOKUP($C3421,daily_dates,big_daily_table))),NA(),XLOOKUP(D$3,daily_items,XLOOKUP($C3421,daily_dates,big_daily_table)))</f>
        <v>#N/A</v>
      </c>
      <c r="E3421" s="1" t="str">
        <f t="array" ref="E3421">IF(ISBLANK(XLOOKUP(E$3,daily_items,XLOOKUP($C3421,daily_dates,big_daily_table))),NA(),XLOOKUP(E$3,daily_items,XLOOKUP($C3421,daily_dates,big_daily_table)))</f>
        <v>#N/A</v>
      </c>
    </row>
    <row r="3422" ht="14.25" customHeight="1">
      <c r="B3422" s="7">
        <v>44327.0</v>
      </c>
      <c r="C3422" s="7">
        <f t="shared" si="1"/>
        <v>44325</v>
      </c>
      <c r="D3422" s="1" t="str">
        <f t="array" ref="D3422">IF(ISBLANK(XLOOKUP(D$3,daily_items,XLOOKUP($C3422,daily_dates,big_daily_table))),NA(),XLOOKUP(D$3,daily_items,XLOOKUP($C3422,daily_dates,big_daily_table)))</f>
        <v>#N/A</v>
      </c>
      <c r="E3422" s="1" t="str">
        <f t="array" ref="E3422">IF(ISBLANK(XLOOKUP(E$3,daily_items,XLOOKUP($C3422,daily_dates,big_daily_table))),NA(),XLOOKUP(E$3,daily_items,XLOOKUP($C3422,daily_dates,big_daily_table)))</f>
        <v>#N/A</v>
      </c>
    </row>
    <row r="3423" ht="14.25" customHeight="1">
      <c r="B3423" s="7">
        <v>44328.0</v>
      </c>
      <c r="C3423" s="7">
        <f t="shared" si="1"/>
        <v>44325</v>
      </c>
      <c r="D3423" s="1" t="str">
        <f t="array" ref="D3423">IF(ISBLANK(XLOOKUP(D$3,daily_items,XLOOKUP($C3423,daily_dates,big_daily_table))),NA(),XLOOKUP(D$3,daily_items,XLOOKUP($C3423,daily_dates,big_daily_table)))</f>
        <v>#N/A</v>
      </c>
      <c r="E3423" s="1" t="str">
        <f t="array" ref="E3423">IF(ISBLANK(XLOOKUP(E$3,daily_items,XLOOKUP($C3423,daily_dates,big_daily_table))),NA(),XLOOKUP(E$3,daily_items,XLOOKUP($C3423,daily_dates,big_daily_table)))</f>
        <v>#N/A</v>
      </c>
    </row>
    <row r="3424" ht="14.25" customHeight="1">
      <c r="B3424" s="7">
        <v>44329.0</v>
      </c>
      <c r="C3424" s="7">
        <f t="shared" si="1"/>
        <v>44325</v>
      </c>
      <c r="D3424" s="1" t="str">
        <f t="array" ref="D3424">IF(ISBLANK(XLOOKUP(D$3,daily_items,XLOOKUP($C3424,daily_dates,big_daily_table))),NA(),XLOOKUP(D$3,daily_items,XLOOKUP($C3424,daily_dates,big_daily_table)))</f>
        <v>#N/A</v>
      </c>
      <c r="E3424" s="1" t="str">
        <f t="array" ref="E3424">IF(ISBLANK(XLOOKUP(E$3,daily_items,XLOOKUP($C3424,daily_dates,big_daily_table))),NA(),XLOOKUP(E$3,daily_items,XLOOKUP($C3424,daily_dates,big_daily_table)))</f>
        <v>#N/A</v>
      </c>
    </row>
    <row r="3425" ht="14.25" customHeight="1">
      <c r="B3425" s="7">
        <v>44330.0</v>
      </c>
      <c r="C3425" s="7">
        <f t="shared" si="1"/>
        <v>44325</v>
      </c>
      <c r="D3425" s="1" t="str">
        <f t="array" ref="D3425">IF(ISBLANK(XLOOKUP(D$3,daily_items,XLOOKUP($C3425,daily_dates,big_daily_table))),NA(),XLOOKUP(D$3,daily_items,XLOOKUP($C3425,daily_dates,big_daily_table)))</f>
        <v>#N/A</v>
      </c>
      <c r="E3425" s="1" t="str">
        <f t="array" ref="E3425">IF(ISBLANK(XLOOKUP(E$3,daily_items,XLOOKUP($C3425,daily_dates,big_daily_table))),NA(),XLOOKUP(E$3,daily_items,XLOOKUP($C3425,daily_dates,big_daily_table)))</f>
        <v>#N/A</v>
      </c>
    </row>
    <row r="3426" ht="14.25" customHeight="1">
      <c r="B3426" s="7">
        <v>44331.0</v>
      </c>
      <c r="C3426" s="7">
        <f t="shared" si="1"/>
        <v>44325</v>
      </c>
      <c r="D3426" s="1" t="str">
        <f t="array" ref="D3426">IF(ISBLANK(XLOOKUP(D$3,daily_items,XLOOKUP($C3426,daily_dates,big_daily_table))),NA(),XLOOKUP(D$3,daily_items,XLOOKUP($C3426,daily_dates,big_daily_table)))</f>
        <v>#N/A</v>
      </c>
      <c r="E3426" s="1" t="str">
        <f t="array" ref="E3426">IF(ISBLANK(XLOOKUP(E$3,daily_items,XLOOKUP($C3426,daily_dates,big_daily_table))),NA(),XLOOKUP(E$3,daily_items,XLOOKUP($C3426,daily_dates,big_daily_table)))</f>
        <v>#N/A</v>
      </c>
    </row>
    <row r="3427" ht="14.25" customHeight="1">
      <c r="B3427" s="7">
        <v>44332.0</v>
      </c>
      <c r="C3427" s="7">
        <f t="shared" si="1"/>
        <v>44332</v>
      </c>
      <c r="D3427" s="1" t="str">
        <f t="array" ref="D3427">IF(ISBLANK(XLOOKUP(D$3,daily_items,XLOOKUP($C3427,daily_dates,big_daily_table))),NA(),XLOOKUP(D$3,daily_items,XLOOKUP($C3427,daily_dates,big_daily_table)))</f>
        <v>#N/A</v>
      </c>
      <c r="E3427" s="1" t="str">
        <f t="array" ref="E3427">IF(ISBLANK(XLOOKUP(E$3,daily_items,XLOOKUP($C3427,daily_dates,big_daily_table))),NA(),XLOOKUP(E$3,daily_items,XLOOKUP($C3427,daily_dates,big_daily_table)))</f>
        <v>#N/A</v>
      </c>
    </row>
    <row r="3428" ht="14.25" customHeight="1">
      <c r="B3428" s="7">
        <v>44333.0</v>
      </c>
      <c r="C3428" s="7">
        <f t="shared" si="1"/>
        <v>44332</v>
      </c>
      <c r="D3428" s="1" t="str">
        <f t="array" ref="D3428">IF(ISBLANK(XLOOKUP(D$3,daily_items,XLOOKUP($C3428,daily_dates,big_daily_table))),NA(),XLOOKUP(D$3,daily_items,XLOOKUP($C3428,daily_dates,big_daily_table)))</f>
        <v>#N/A</v>
      </c>
      <c r="E3428" s="1" t="str">
        <f t="array" ref="E3428">IF(ISBLANK(XLOOKUP(E$3,daily_items,XLOOKUP($C3428,daily_dates,big_daily_table))),NA(),XLOOKUP(E$3,daily_items,XLOOKUP($C3428,daily_dates,big_daily_table)))</f>
        <v>#N/A</v>
      </c>
    </row>
    <row r="3429" ht="14.25" customHeight="1">
      <c r="B3429" s="7">
        <v>44334.0</v>
      </c>
      <c r="C3429" s="7">
        <f t="shared" si="1"/>
        <v>44332</v>
      </c>
      <c r="D3429" s="1" t="str">
        <f t="array" ref="D3429">IF(ISBLANK(XLOOKUP(D$3,daily_items,XLOOKUP($C3429,daily_dates,big_daily_table))),NA(),XLOOKUP(D$3,daily_items,XLOOKUP($C3429,daily_dates,big_daily_table)))</f>
        <v>#N/A</v>
      </c>
      <c r="E3429" s="1" t="str">
        <f t="array" ref="E3429">IF(ISBLANK(XLOOKUP(E$3,daily_items,XLOOKUP($C3429,daily_dates,big_daily_table))),NA(),XLOOKUP(E$3,daily_items,XLOOKUP($C3429,daily_dates,big_daily_table)))</f>
        <v>#N/A</v>
      </c>
    </row>
    <row r="3430" ht="14.25" customHeight="1">
      <c r="B3430" s="7">
        <v>44335.0</v>
      </c>
      <c r="C3430" s="7">
        <f t="shared" si="1"/>
        <v>44332</v>
      </c>
      <c r="D3430" s="1" t="str">
        <f t="array" ref="D3430">IF(ISBLANK(XLOOKUP(D$3,daily_items,XLOOKUP($C3430,daily_dates,big_daily_table))),NA(),XLOOKUP(D$3,daily_items,XLOOKUP($C3430,daily_dates,big_daily_table)))</f>
        <v>#N/A</v>
      </c>
      <c r="E3430" s="1" t="str">
        <f t="array" ref="E3430">IF(ISBLANK(XLOOKUP(E$3,daily_items,XLOOKUP($C3430,daily_dates,big_daily_table))),NA(),XLOOKUP(E$3,daily_items,XLOOKUP($C3430,daily_dates,big_daily_table)))</f>
        <v>#N/A</v>
      </c>
    </row>
    <row r="3431" ht="14.25" customHeight="1">
      <c r="B3431" s="7">
        <v>44336.0</v>
      </c>
      <c r="C3431" s="7">
        <f t="shared" si="1"/>
        <v>44332</v>
      </c>
      <c r="D3431" s="1" t="str">
        <f t="array" ref="D3431">IF(ISBLANK(XLOOKUP(D$3,daily_items,XLOOKUP($C3431,daily_dates,big_daily_table))),NA(),XLOOKUP(D$3,daily_items,XLOOKUP($C3431,daily_dates,big_daily_table)))</f>
        <v>#N/A</v>
      </c>
      <c r="E3431" s="1" t="str">
        <f t="array" ref="E3431">IF(ISBLANK(XLOOKUP(E$3,daily_items,XLOOKUP($C3431,daily_dates,big_daily_table))),NA(),XLOOKUP(E$3,daily_items,XLOOKUP($C3431,daily_dates,big_daily_table)))</f>
        <v>#N/A</v>
      </c>
    </row>
    <row r="3432" ht="14.25" customHeight="1">
      <c r="B3432" s="7">
        <v>44337.0</v>
      </c>
      <c r="C3432" s="7">
        <f t="shared" si="1"/>
        <v>44332</v>
      </c>
      <c r="D3432" s="1" t="str">
        <f t="array" ref="D3432">IF(ISBLANK(XLOOKUP(D$3,daily_items,XLOOKUP($C3432,daily_dates,big_daily_table))),NA(),XLOOKUP(D$3,daily_items,XLOOKUP($C3432,daily_dates,big_daily_table)))</f>
        <v>#N/A</v>
      </c>
      <c r="E3432" s="1" t="str">
        <f t="array" ref="E3432">IF(ISBLANK(XLOOKUP(E$3,daily_items,XLOOKUP($C3432,daily_dates,big_daily_table))),NA(),XLOOKUP(E$3,daily_items,XLOOKUP($C3432,daily_dates,big_daily_table)))</f>
        <v>#N/A</v>
      </c>
    </row>
    <row r="3433" ht="14.25" customHeight="1">
      <c r="B3433" s="7">
        <v>44338.0</v>
      </c>
      <c r="C3433" s="7">
        <f t="shared" si="1"/>
        <v>44332</v>
      </c>
      <c r="D3433" s="1" t="str">
        <f t="array" ref="D3433">IF(ISBLANK(XLOOKUP(D$3,daily_items,XLOOKUP($C3433,daily_dates,big_daily_table))),NA(),XLOOKUP(D$3,daily_items,XLOOKUP($C3433,daily_dates,big_daily_table)))</f>
        <v>#N/A</v>
      </c>
      <c r="E3433" s="1" t="str">
        <f t="array" ref="E3433">IF(ISBLANK(XLOOKUP(E$3,daily_items,XLOOKUP($C3433,daily_dates,big_daily_table))),NA(),XLOOKUP(E$3,daily_items,XLOOKUP($C3433,daily_dates,big_daily_table)))</f>
        <v>#N/A</v>
      </c>
    </row>
    <row r="3434" ht="14.25" customHeight="1">
      <c r="B3434" s="7">
        <v>44339.0</v>
      </c>
      <c r="C3434" s="7">
        <f t="shared" si="1"/>
        <v>44339</v>
      </c>
      <c r="D3434" s="1" t="str">
        <f t="array" ref="D3434">IF(ISBLANK(XLOOKUP(D$3,daily_items,XLOOKUP($C3434,daily_dates,big_daily_table))),NA(),XLOOKUP(D$3,daily_items,XLOOKUP($C3434,daily_dates,big_daily_table)))</f>
        <v>#N/A</v>
      </c>
      <c r="E3434" s="1" t="str">
        <f t="array" ref="E3434">IF(ISBLANK(XLOOKUP(E$3,daily_items,XLOOKUP($C3434,daily_dates,big_daily_table))),NA(),XLOOKUP(E$3,daily_items,XLOOKUP($C3434,daily_dates,big_daily_table)))</f>
        <v>#N/A</v>
      </c>
    </row>
    <row r="3435" ht="14.25" customHeight="1">
      <c r="B3435" s="7">
        <v>44340.0</v>
      </c>
      <c r="C3435" s="7">
        <f t="shared" si="1"/>
        <v>44339</v>
      </c>
      <c r="D3435" s="1" t="str">
        <f t="array" ref="D3435">IF(ISBLANK(XLOOKUP(D$3,daily_items,XLOOKUP($C3435,daily_dates,big_daily_table))),NA(),XLOOKUP(D$3,daily_items,XLOOKUP($C3435,daily_dates,big_daily_table)))</f>
        <v>#N/A</v>
      </c>
      <c r="E3435" s="1" t="str">
        <f t="array" ref="E3435">IF(ISBLANK(XLOOKUP(E$3,daily_items,XLOOKUP($C3435,daily_dates,big_daily_table))),NA(),XLOOKUP(E$3,daily_items,XLOOKUP($C3435,daily_dates,big_daily_table)))</f>
        <v>#N/A</v>
      </c>
    </row>
    <row r="3436" ht="14.25" customHeight="1">
      <c r="B3436" s="7">
        <v>44341.0</v>
      </c>
      <c r="C3436" s="7">
        <f t="shared" si="1"/>
        <v>44339</v>
      </c>
      <c r="D3436" s="1" t="str">
        <f t="array" ref="D3436">IF(ISBLANK(XLOOKUP(D$3,daily_items,XLOOKUP($C3436,daily_dates,big_daily_table))),NA(),XLOOKUP(D$3,daily_items,XLOOKUP($C3436,daily_dates,big_daily_table)))</f>
        <v>#N/A</v>
      </c>
      <c r="E3436" s="1" t="str">
        <f t="array" ref="E3436">IF(ISBLANK(XLOOKUP(E$3,daily_items,XLOOKUP($C3436,daily_dates,big_daily_table))),NA(),XLOOKUP(E$3,daily_items,XLOOKUP($C3436,daily_dates,big_daily_table)))</f>
        <v>#N/A</v>
      </c>
    </row>
    <row r="3437" ht="14.25" customHeight="1">
      <c r="B3437" s="7">
        <v>44342.0</v>
      </c>
      <c r="C3437" s="7">
        <f t="shared" si="1"/>
        <v>44339</v>
      </c>
      <c r="D3437" s="1" t="str">
        <f t="array" ref="D3437">IF(ISBLANK(XLOOKUP(D$3,daily_items,XLOOKUP($C3437,daily_dates,big_daily_table))),NA(),XLOOKUP(D$3,daily_items,XLOOKUP($C3437,daily_dates,big_daily_table)))</f>
        <v>#N/A</v>
      </c>
      <c r="E3437" s="1" t="str">
        <f t="array" ref="E3437">IF(ISBLANK(XLOOKUP(E$3,daily_items,XLOOKUP($C3437,daily_dates,big_daily_table))),NA(),XLOOKUP(E$3,daily_items,XLOOKUP($C3437,daily_dates,big_daily_table)))</f>
        <v>#N/A</v>
      </c>
    </row>
    <row r="3438" ht="14.25" customHeight="1">
      <c r="B3438" s="7">
        <v>44343.0</v>
      </c>
      <c r="C3438" s="7">
        <f t="shared" si="1"/>
        <v>44339</v>
      </c>
      <c r="D3438" s="1" t="str">
        <f t="array" ref="D3438">IF(ISBLANK(XLOOKUP(D$3,daily_items,XLOOKUP($C3438,daily_dates,big_daily_table))),NA(),XLOOKUP(D$3,daily_items,XLOOKUP($C3438,daily_dates,big_daily_table)))</f>
        <v>#N/A</v>
      </c>
      <c r="E3438" s="1" t="str">
        <f t="array" ref="E3438">IF(ISBLANK(XLOOKUP(E$3,daily_items,XLOOKUP($C3438,daily_dates,big_daily_table))),NA(),XLOOKUP(E$3,daily_items,XLOOKUP($C3438,daily_dates,big_daily_table)))</f>
        <v>#N/A</v>
      </c>
    </row>
    <row r="3439" ht="14.25" customHeight="1">
      <c r="B3439" s="7">
        <v>44344.0</v>
      </c>
      <c r="C3439" s="7">
        <f t="shared" si="1"/>
        <v>44339</v>
      </c>
      <c r="D3439" s="1" t="str">
        <f t="array" ref="D3439">IF(ISBLANK(XLOOKUP(D$3,daily_items,XLOOKUP($C3439,daily_dates,big_daily_table))),NA(),XLOOKUP(D$3,daily_items,XLOOKUP($C3439,daily_dates,big_daily_table)))</f>
        <v>#N/A</v>
      </c>
      <c r="E3439" s="1" t="str">
        <f t="array" ref="E3439">IF(ISBLANK(XLOOKUP(E$3,daily_items,XLOOKUP($C3439,daily_dates,big_daily_table))),NA(),XLOOKUP(E$3,daily_items,XLOOKUP($C3439,daily_dates,big_daily_table)))</f>
        <v>#N/A</v>
      </c>
    </row>
    <row r="3440" ht="14.25" customHeight="1">
      <c r="B3440" s="7">
        <v>44345.0</v>
      </c>
      <c r="C3440" s="7">
        <f t="shared" si="1"/>
        <v>44339</v>
      </c>
      <c r="D3440" s="1" t="str">
        <f t="array" ref="D3440">IF(ISBLANK(XLOOKUP(D$3,daily_items,XLOOKUP($C3440,daily_dates,big_daily_table))),NA(),XLOOKUP(D$3,daily_items,XLOOKUP($C3440,daily_dates,big_daily_table)))</f>
        <v>#N/A</v>
      </c>
      <c r="E3440" s="1" t="str">
        <f t="array" ref="E3440">IF(ISBLANK(XLOOKUP(E$3,daily_items,XLOOKUP($C3440,daily_dates,big_daily_table))),NA(),XLOOKUP(E$3,daily_items,XLOOKUP($C3440,daily_dates,big_daily_table)))</f>
        <v>#N/A</v>
      </c>
    </row>
    <row r="3441" ht="14.25" customHeight="1">
      <c r="B3441" s="7">
        <v>44346.0</v>
      </c>
      <c r="C3441" s="7">
        <f t="shared" si="1"/>
        <v>44346</v>
      </c>
      <c r="D3441" s="1" t="str">
        <f t="array" ref="D3441">IF(ISBLANK(XLOOKUP(D$3,daily_items,XLOOKUP($C3441,daily_dates,big_daily_table))),NA(),XLOOKUP(D$3,daily_items,XLOOKUP($C3441,daily_dates,big_daily_table)))</f>
        <v>#N/A</v>
      </c>
      <c r="E3441" s="1" t="str">
        <f t="array" ref="E3441">IF(ISBLANK(XLOOKUP(E$3,daily_items,XLOOKUP($C3441,daily_dates,big_daily_table))),NA(),XLOOKUP(E$3,daily_items,XLOOKUP($C3441,daily_dates,big_daily_table)))</f>
        <v>#N/A</v>
      </c>
    </row>
    <row r="3442" ht="14.25" customHeight="1">
      <c r="B3442" s="7">
        <v>44347.0</v>
      </c>
      <c r="C3442" s="7">
        <f t="shared" si="1"/>
        <v>44346</v>
      </c>
      <c r="D3442" s="1" t="str">
        <f t="array" ref="D3442">IF(ISBLANK(XLOOKUP(D$3,daily_items,XLOOKUP($C3442,daily_dates,big_daily_table))),NA(),XLOOKUP(D$3,daily_items,XLOOKUP($C3442,daily_dates,big_daily_table)))</f>
        <v>#N/A</v>
      </c>
      <c r="E3442" s="1" t="str">
        <f t="array" ref="E3442">IF(ISBLANK(XLOOKUP(E$3,daily_items,XLOOKUP($C3442,daily_dates,big_daily_table))),NA(),XLOOKUP(E$3,daily_items,XLOOKUP($C3442,daily_dates,big_daily_table)))</f>
        <v>#N/A</v>
      </c>
    </row>
    <row r="3443" ht="14.25" customHeight="1">
      <c r="B3443" s="7">
        <v>44348.0</v>
      </c>
      <c r="C3443" s="7">
        <f t="shared" si="1"/>
        <v>44346</v>
      </c>
      <c r="D3443" s="1" t="str">
        <f t="array" ref="D3443">IF(ISBLANK(XLOOKUP(D$3,daily_items,XLOOKUP($C3443,daily_dates,big_daily_table))),NA(),XLOOKUP(D$3,daily_items,XLOOKUP($C3443,daily_dates,big_daily_table)))</f>
        <v>#N/A</v>
      </c>
      <c r="E3443" s="1" t="str">
        <f t="array" ref="E3443">IF(ISBLANK(XLOOKUP(E$3,daily_items,XLOOKUP($C3443,daily_dates,big_daily_table))),NA(),XLOOKUP(E$3,daily_items,XLOOKUP($C3443,daily_dates,big_daily_table)))</f>
        <v>#N/A</v>
      </c>
    </row>
    <row r="3444" ht="14.25" customHeight="1">
      <c r="B3444" s="7">
        <v>44349.0</v>
      </c>
      <c r="C3444" s="7">
        <f t="shared" si="1"/>
        <v>44346</v>
      </c>
      <c r="D3444" s="1" t="str">
        <f t="array" ref="D3444">IF(ISBLANK(XLOOKUP(D$3,daily_items,XLOOKUP($C3444,daily_dates,big_daily_table))),NA(),XLOOKUP(D$3,daily_items,XLOOKUP($C3444,daily_dates,big_daily_table)))</f>
        <v>#N/A</v>
      </c>
      <c r="E3444" s="1" t="str">
        <f t="array" ref="E3444">IF(ISBLANK(XLOOKUP(E$3,daily_items,XLOOKUP($C3444,daily_dates,big_daily_table))),NA(),XLOOKUP(E$3,daily_items,XLOOKUP($C3444,daily_dates,big_daily_table)))</f>
        <v>#N/A</v>
      </c>
    </row>
    <row r="3445" ht="14.25" customHeight="1">
      <c r="B3445" s="7">
        <v>44350.0</v>
      </c>
      <c r="C3445" s="7">
        <f t="shared" si="1"/>
        <v>44346</v>
      </c>
      <c r="D3445" s="1" t="str">
        <f t="array" ref="D3445">IF(ISBLANK(XLOOKUP(D$3,daily_items,XLOOKUP($C3445,daily_dates,big_daily_table))),NA(),XLOOKUP(D$3,daily_items,XLOOKUP($C3445,daily_dates,big_daily_table)))</f>
        <v>#N/A</v>
      </c>
      <c r="E3445" s="1" t="str">
        <f t="array" ref="E3445">IF(ISBLANK(XLOOKUP(E$3,daily_items,XLOOKUP($C3445,daily_dates,big_daily_table))),NA(),XLOOKUP(E$3,daily_items,XLOOKUP($C3445,daily_dates,big_daily_table)))</f>
        <v>#N/A</v>
      </c>
    </row>
    <row r="3446" ht="14.25" customHeight="1">
      <c r="B3446" s="7">
        <v>44351.0</v>
      </c>
      <c r="C3446" s="7">
        <f t="shared" si="1"/>
        <v>44346</v>
      </c>
      <c r="D3446" s="1" t="str">
        <f t="array" ref="D3446">IF(ISBLANK(XLOOKUP(D$3,daily_items,XLOOKUP($C3446,daily_dates,big_daily_table))),NA(),XLOOKUP(D$3,daily_items,XLOOKUP($C3446,daily_dates,big_daily_table)))</f>
        <v>#N/A</v>
      </c>
      <c r="E3446" s="1" t="str">
        <f t="array" ref="E3446">IF(ISBLANK(XLOOKUP(E$3,daily_items,XLOOKUP($C3446,daily_dates,big_daily_table))),NA(),XLOOKUP(E$3,daily_items,XLOOKUP($C3446,daily_dates,big_daily_table)))</f>
        <v>#N/A</v>
      </c>
    </row>
    <row r="3447" ht="14.25" customHeight="1">
      <c r="B3447" s="7">
        <v>44352.0</v>
      </c>
      <c r="C3447" s="7">
        <f t="shared" si="1"/>
        <v>44346</v>
      </c>
      <c r="D3447" s="1" t="str">
        <f t="array" ref="D3447">IF(ISBLANK(XLOOKUP(D$3,daily_items,XLOOKUP($C3447,daily_dates,big_daily_table))),NA(),XLOOKUP(D$3,daily_items,XLOOKUP($C3447,daily_dates,big_daily_table)))</f>
        <v>#N/A</v>
      </c>
      <c r="E3447" s="1" t="str">
        <f t="array" ref="E3447">IF(ISBLANK(XLOOKUP(E$3,daily_items,XLOOKUP($C3447,daily_dates,big_daily_table))),NA(),XLOOKUP(E$3,daily_items,XLOOKUP($C3447,daily_dates,big_daily_table)))</f>
        <v>#N/A</v>
      </c>
    </row>
    <row r="3448" ht="14.25" customHeight="1">
      <c r="B3448" s="7">
        <v>44353.0</v>
      </c>
      <c r="C3448" s="7">
        <f t="shared" si="1"/>
        <v>44353</v>
      </c>
      <c r="D3448" s="1" t="str">
        <f t="array" ref="D3448">IF(ISBLANK(XLOOKUP(D$3,daily_items,XLOOKUP($C3448,daily_dates,big_daily_table))),NA(),XLOOKUP(D$3,daily_items,XLOOKUP($C3448,daily_dates,big_daily_table)))</f>
        <v>#N/A</v>
      </c>
      <c r="E3448" s="1" t="str">
        <f t="array" ref="E3448">IF(ISBLANK(XLOOKUP(E$3,daily_items,XLOOKUP($C3448,daily_dates,big_daily_table))),NA(),XLOOKUP(E$3,daily_items,XLOOKUP($C3448,daily_dates,big_daily_table)))</f>
        <v>#N/A</v>
      </c>
    </row>
    <row r="3449" ht="14.25" customHeight="1">
      <c r="B3449" s="7">
        <v>44354.0</v>
      </c>
      <c r="C3449" s="7">
        <f t="shared" si="1"/>
        <v>44353</v>
      </c>
      <c r="D3449" s="1" t="str">
        <f t="array" ref="D3449">IF(ISBLANK(XLOOKUP(D$3,daily_items,XLOOKUP($C3449,daily_dates,big_daily_table))),NA(),XLOOKUP(D$3,daily_items,XLOOKUP($C3449,daily_dates,big_daily_table)))</f>
        <v>#N/A</v>
      </c>
      <c r="E3449" s="1" t="str">
        <f t="array" ref="E3449">IF(ISBLANK(XLOOKUP(E$3,daily_items,XLOOKUP($C3449,daily_dates,big_daily_table))),NA(),XLOOKUP(E$3,daily_items,XLOOKUP($C3449,daily_dates,big_daily_table)))</f>
        <v>#N/A</v>
      </c>
    </row>
    <row r="3450" ht="14.25" customHeight="1">
      <c r="B3450" s="7">
        <v>44355.0</v>
      </c>
      <c r="C3450" s="7">
        <f t="shared" si="1"/>
        <v>44353</v>
      </c>
      <c r="D3450" s="1" t="str">
        <f t="array" ref="D3450">IF(ISBLANK(XLOOKUP(D$3,daily_items,XLOOKUP($C3450,daily_dates,big_daily_table))),NA(),XLOOKUP(D$3,daily_items,XLOOKUP($C3450,daily_dates,big_daily_table)))</f>
        <v>#N/A</v>
      </c>
      <c r="E3450" s="1" t="str">
        <f t="array" ref="E3450">IF(ISBLANK(XLOOKUP(E$3,daily_items,XLOOKUP($C3450,daily_dates,big_daily_table))),NA(),XLOOKUP(E$3,daily_items,XLOOKUP($C3450,daily_dates,big_daily_table)))</f>
        <v>#N/A</v>
      </c>
    </row>
    <row r="3451" ht="14.25" customHeight="1">
      <c r="B3451" s="7">
        <v>44356.0</v>
      </c>
      <c r="C3451" s="7">
        <f t="shared" si="1"/>
        <v>44353</v>
      </c>
      <c r="D3451" s="1" t="str">
        <f t="array" ref="D3451">IF(ISBLANK(XLOOKUP(D$3,daily_items,XLOOKUP($C3451,daily_dates,big_daily_table))),NA(),XLOOKUP(D$3,daily_items,XLOOKUP($C3451,daily_dates,big_daily_table)))</f>
        <v>#N/A</v>
      </c>
      <c r="E3451" s="1" t="str">
        <f t="array" ref="E3451">IF(ISBLANK(XLOOKUP(E$3,daily_items,XLOOKUP($C3451,daily_dates,big_daily_table))),NA(),XLOOKUP(E$3,daily_items,XLOOKUP($C3451,daily_dates,big_daily_table)))</f>
        <v>#N/A</v>
      </c>
    </row>
    <row r="3452" ht="14.25" customHeight="1">
      <c r="B3452" s="7">
        <v>44357.0</v>
      </c>
      <c r="C3452" s="7">
        <f t="shared" si="1"/>
        <v>44353</v>
      </c>
      <c r="D3452" s="1" t="str">
        <f t="array" ref="D3452">IF(ISBLANK(XLOOKUP(D$3,daily_items,XLOOKUP($C3452,daily_dates,big_daily_table))),NA(),XLOOKUP(D$3,daily_items,XLOOKUP($C3452,daily_dates,big_daily_table)))</f>
        <v>#N/A</v>
      </c>
      <c r="E3452" s="1" t="str">
        <f t="array" ref="E3452">IF(ISBLANK(XLOOKUP(E$3,daily_items,XLOOKUP($C3452,daily_dates,big_daily_table))),NA(),XLOOKUP(E$3,daily_items,XLOOKUP($C3452,daily_dates,big_daily_table)))</f>
        <v>#N/A</v>
      </c>
    </row>
    <row r="3453" ht="14.25" customHeight="1">
      <c r="B3453" s="7">
        <v>44358.0</v>
      </c>
      <c r="C3453" s="7">
        <f t="shared" si="1"/>
        <v>44353</v>
      </c>
      <c r="D3453" s="1" t="str">
        <f t="array" ref="D3453">IF(ISBLANK(XLOOKUP(D$3,daily_items,XLOOKUP($C3453,daily_dates,big_daily_table))),NA(),XLOOKUP(D$3,daily_items,XLOOKUP($C3453,daily_dates,big_daily_table)))</f>
        <v>#N/A</v>
      </c>
      <c r="E3453" s="1" t="str">
        <f t="array" ref="E3453">IF(ISBLANK(XLOOKUP(E$3,daily_items,XLOOKUP($C3453,daily_dates,big_daily_table))),NA(),XLOOKUP(E$3,daily_items,XLOOKUP($C3453,daily_dates,big_daily_table)))</f>
        <v>#N/A</v>
      </c>
    </row>
    <row r="3454" ht="14.25" customHeight="1">
      <c r="B3454" s="7">
        <v>44359.0</v>
      </c>
      <c r="C3454" s="7">
        <f t="shared" si="1"/>
        <v>44353</v>
      </c>
      <c r="D3454" s="1" t="str">
        <f t="array" ref="D3454">IF(ISBLANK(XLOOKUP(D$3,daily_items,XLOOKUP($C3454,daily_dates,big_daily_table))),NA(),XLOOKUP(D$3,daily_items,XLOOKUP($C3454,daily_dates,big_daily_table)))</f>
        <v>#N/A</v>
      </c>
      <c r="E3454" s="1" t="str">
        <f t="array" ref="E3454">IF(ISBLANK(XLOOKUP(E$3,daily_items,XLOOKUP($C3454,daily_dates,big_daily_table))),NA(),XLOOKUP(E$3,daily_items,XLOOKUP($C3454,daily_dates,big_daily_table)))</f>
        <v>#N/A</v>
      </c>
    </row>
    <row r="3455" ht="14.25" customHeight="1">
      <c r="B3455" s="7">
        <v>44360.0</v>
      </c>
      <c r="C3455" s="7">
        <f t="shared" si="1"/>
        <v>44360</v>
      </c>
      <c r="D3455" s="1" t="str">
        <f t="array" ref="D3455">IF(ISBLANK(XLOOKUP(D$3,daily_items,XLOOKUP($C3455,daily_dates,big_daily_table))),NA(),XLOOKUP(D$3,daily_items,XLOOKUP($C3455,daily_dates,big_daily_table)))</f>
        <v>#N/A</v>
      </c>
      <c r="E3455" s="1" t="str">
        <f t="array" ref="E3455">IF(ISBLANK(XLOOKUP(E$3,daily_items,XLOOKUP($C3455,daily_dates,big_daily_table))),NA(),XLOOKUP(E$3,daily_items,XLOOKUP($C3455,daily_dates,big_daily_table)))</f>
        <v>#N/A</v>
      </c>
    </row>
    <row r="3456" ht="14.25" customHeight="1">
      <c r="B3456" s="7">
        <v>44361.0</v>
      </c>
      <c r="C3456" s="7">
        <f t="shared" si="1"/>
        <v>44360</v>
      </c>
      <c r="D3456" s="1" t="str">
        <f t="array" ref="D3456">IF(ISBLANK(XLOOKUP(D$3,daily_items,XLOOKUP($C3456,daily_dates,big_daily_table))),NA(),XLOOKUP(D$3,daily_items,XLOOKUP($C3456,daily_dates,big_daily_table)))</f>
        <v>#N/A</v>
      </c>
      <c r="E3456" s="1" t="str">
        <f t="array" ref="E3456">IF(ISBLANK(XLOOKUP(E$3,daily_items,XLOOKUP($C3456,daily_dates,big_daily_table))),NA(),XLOOKUP(E$3,daily_items,XLOOKUP($C3456,daily_dates,big_daily_table)))</f>
        <v>#N/A</v>
      </c>
    </row>
    <row r="3457" ht="14.25" customHeight="1">
      <c r="B3457" s="7">
        <v>44362.0</v>
      </c>
      <c r="C3457" s="7">
        <f t="shared" si="1"/>
        <v>44360</v>
      </c>
      <c r="D3457" s="1" t="str">
        <f t="array" ref="D3457">IF(ISBLANK(XLOOKUP(D$3,daily_items,XLOOKUP($C3457,daily_dates,big_daily_table))),NA(),XLOOKUP(D$3,daily_items,XLOOKUP($C3457,daily_dates,big_daily_table)))</f>
        <v>#N/A</v>
      </c>
      <c r="E3457" s="1" t="str">
        <f t="array" ref="E3457">IF(ISBLANK(XLOOKUP(E$3,daily_items,XLOOKUP($C3457,daily_dates,big_daily_table))),NA(),XLOOKUP(E$3,daily_items,XLOOKUP($C3457,daily_dates,big_daily_table)))</f>
        <v>#N/A</v>
      </c>
    </row>
    <row r="3458" ht="14.25" customHeight="1">
      <c r="B3458" s="7">
        <v>44363.0</v>
      </c>
      <c r="C3458" s="7">
        <f t="shared" si="1"/>
        <v>44360</v>
      </c>
      <c r="D3458" s="1" t="str">
        <f t="array" ref="D3458">IF(ISBLANK(XLOOKUP(D$3,daily_items,XLOOKUP($C3458,daily_dates,big_daily_table))),NA(),XLOOKUP(D$3,daily_items,XLOOKUP($C3458,daily_dates,big_daily_table)))</f>
        <v>#N/A</v>
      </c>
      <c r="E3458" s="1" t="str">
        <f t="array" ref="E3458">IF(ISBLANK(XLOOKUP(E$3,daily_items,XLOOKUP($C3458,daily_dates,big_daily_table))),NA(),XLOOKUP(E$3,daily_items,XLOOKUP($C3458,daily_dates,big_daily_table)))</f>
        <v>#N/A</v>
      </c>
    </row>
    <row r="3459" ht="14.25" customHeight="1">
      <c r="B3459" s="7">
        <v>44364.0</v>
      </c>
      <c r="C3459" s="7">
        <f t="shared" si="1"/>
        <v>44360</v>
      </c>
      <c r="D3459" s="1" t="str">
        <f t="array" ref="D3459">IF(ISBLANK(XLOOKUP(D$3,daily_items,XLOOKUP($C3459,daily_dates,big_daily_table))),NA(),XLOOKUP(D$3,daily_items,XLOOKUP($C3459,daily_dates,big_daily_table)))</f>
        <v>#N/A</v>
      </c>
      <c r="E3459" s="1" t="str">
        <f t="array" ref="E3459">IF(ISBLANK(XLOOKUP(E$3,daily_items,XLOOKUP($C3459,daily_dates,big_daily_table))),NA(),XLOOKUP(E$3,daily_items,XLOOKUP($C3459,daily_dates,big_daily_table)))</f>
        <v>#N/A</v>
      </c>
    </row>
    <row r="3460" ht="14.25" customHeight="1">
      <c r="B3460" s="7">
        <v>44365.0</v>
      </c>
      <c r="C3460" s="7">
        <f t="shared" si="1"/>
        <v>44360</v>
      </c>
      <c r="D3460" s="1" t="str">
        <f t="array" ref="D3460">IF(ISBLANK(XLOOKUP(D$3,daily_items,XLOOKUP($C3460,daily_dates,big_daily_table))),NA(),XLOOKUP(D$3,daily_items,XLOOKUP($C3460,daily_dates,big_daily_table)))</f>
        <v>#N/A</v>
      </c>
      <c r="E3460" s="1" t="str">
        <f t="array" ref="E3460">IF(ISBLANK(XLOOKUP(E$3,daily_items,XLOOKUP($C3460,daily_dates,big_daily_table))),NA(),XLOOKUP(E$3,daily_items,XLOOKUP($C3460,daily_dates,big_daily_table)))</f>
        <v>#N/A</v>
      </c>
    </row>
    <row r="3461" ht="14.25" customHeight="1">
      <c r="B3461" s="7">
        <v>44366.0</v>
      </c>
      <c r="C3461" s="7">
        <f t="shared" si="1"/>
        <v>44360</v>
      </c>
      <c r="D3461" s="1" t="str">
        <f t="array" ref="D3461">IF(ISBLANK(XLOOKUP(D$3,daily_items,XLOOKUP($C3461,daily_dates,big_daily_table))),NA(),XLOOKUP(D$3,daily_items,XLOOKUP($C3461,daily_dates,big_daily_table)))</f>
        <v>#N/A</v>
      </c>
      <c r="E3461" s="1" t="str">
        <f t="array" ref="E3461">IF(ISBLANK(XLOOKUP(E$3,daily_items,XLOOKUP($C3461,daily_dates,big_daily_table))),NA(),XLOOKUP(E$3,daily_items,XLOOKUP($C3461,daily_dates,big_daily_table)))</f>
        <v>#N/A</v>
      </c>
    </row>
    <row r="3462" ht="14.25" customHeight="1">
      <c r="B3462" s="7">
        <v>44367.0</v>
      </c>
      <c r="C3462" s="7">
        <f t="shared" si="1"/>
        <v>44367</v>
      </c>
      <c r="D3462" s="1" t="str">
        <f t="array" ref="D3462">IF(ISBLANK(XLOOKUP(D$3,daily_items,XLOOKUP($C3462,daily_dates,big_daily_table))),NA(),XLOOKUP(D$3,daily_items,XLOOKUP($C3462,daily_dates,big_daily_table)))</f>
        <v>#N/A</v>
      </c>
      <c r="E3462" s="1" t="str">
        <f t="array" ref="E3462">IF(ISBLANK(XLOOKUP(E$3,daily_items,XLOOKUP($C3462,daily_dates,big_daily_table))),NA(),XLOOKUP(E$3,daily_items,XLOOKUP($C3462,daily_dates,big_daily_table)))</f>
        <v>#N/A</v>
      </c>
    </row>
    <row r="3463" ht="14.25" customHeight="1">
      <c r="B3463" s="7">
        <v>44368.0</v>
      </c>
      <c r="C3463" s="7">
        <f t="shared" si="1"/>
        <v>44367</v>
      </c>
      <c r="D3463" s="1" t="str">
        <f t="array" ref="D3463">IF(ISBLANK(XLOOKUP(D$3,daily_items,XLOOKUP($C3463,daily_dates,big_daily_table))),NA(),XLOOKUP(D$3,daily_items,XLOOKUP($C3463,daily_dates,big_daily_table)))</f>
        <v>#N/A</v>
      </c>
      <c r="E3463" s="1" t="str">
        <f t="array" ref="E3463">IF(ISBLANK(XLOOKUP(E$3,daily_items,XLOOKUP($C3463,daily_dates,big_daily_table))),NA(),XLOOKUP(E$3,daily_items,XLOOKUP($C3463,daily_dates,big_daily_table)))</f>
        <v>#N/A</v>
      </c>
    </row>
    <row r="3464" ht="14.25" customHeight="1">
      <c r="B3464" s="7">
        <v>44369.0</v>
      </c>
      <c r="C3464" s="7">
        <f t="shared" si="1"/>
        <v>44367</v>
      </c>
      <c r="D3464" s="1" t="str">
        <f t="array" ref="D3464">IF(ISBLANK(XLOOKUP(D$3,daily_items,XLOOKUP($C3464,daily_dates,big_daily_table))),NA(),XLOOKUP(D$3,daily_items,XLOOKUP($C3464,daily_dates,big_daily_table)))</f>
        <v>#N/A</v>
      </c>
      <c r="E3464" s="1" t="str">
        <f t="array" ref="E3464">IF(ISBLANK(XLOOKUP(E$3,daily_items,XLOOKUP($C3464,daily_dates,big_daily_table))),NA(),XLOOKUP(E$3,daily_items,XLOOKUP($C3464,daily_dates,big_daily_table)))</f>
        <v>#N/A</v>
      </c>
    </row>
    <row r="3465" ht="14.25" customHeight="1">
      <c r="B3465" s="7">
        <v>44370.0</v>
      </c>
      <c r="C3465" s="7">
        <f t="shared" si="1"/>
        <v>44367</v>
      </c>
      <c r="D3465" s="1" t="str">
        <f t="array" ref="D3465">IF(ISBLANK(XLOOKUP(D$3,daily_items,XLOOKUP($C3465,daily_dates,big_daily_table))),NA(),XLOOKUP(D$3,daily_items,XLOOKUP($C3465,daily_dates,big_daily_table)))</f>
        <v>#N/A</v>
      </c>
      <c r="E3465" s="1" t="str">
        <f t="array" ref="E3465">IF(ISBLANK(XLOOKUP(E$3,daily_items,XLOOKUP($C3465,daily_dates,big_daily_table))),NA(),XLOOKUP(E$3,daily_items,XLOOKUP($C3465,daily_dates,big_daily_table)))</f>
        <v>#N/A</v>
      </c>
    </row>
    <row r="3466" ht="14.25" customHeight="1">
      <c r="B3466" s="7">
        <v>44371.0</v>
      </c>
      <c r="C3466" s="7">
        <f t="shared" si="1"/>
        <v>44367</v>
      </c>
      <c r="D3466" s="1" t="str">
        <f t="array" ref="D3466">IF(ISBLANK(XLOOKUP(D$3,daily_items,XLOOKUP($C3466,daily_dates,big_daily_table))),NA(),XLOOKUP(D$3,daily_items,XLOOKUP($C3466,daily_dates,big_daily_table)))</f>
        <v>#N/A</v>
      </c>
      <c r="E3466" s="1" t="str">
        <f t="array" ref="E3466">IF(ISBLANK(XLOOKUP(E$3,daily_items,XLOOKUP($C3466,daily_dates,big_daily_table))),NA(),XLOOKUP(E$3,daily_items,XLOOKUP($C3466,daily_dates,big_daily_table)))</f>
        <v>#N/A</v>
      </c>
    </row>
    <row r="3467" ht="14.25" customHeight="1">
      <c r="B3467" s="7">
        <v>44372.0</v>
      </c>
      <c r="C3467" s="7">
        <f t="shared" si="1"/>
        <v>44367</v>
      </c>
      <c r="D3467" s="1" t="str">
        <f t="array" ref="D3467">IF(ISBLANK(XLOOKUP(D$3,daily_items,XLOOKUP($C3467,daily_dates,big_daily_table))),NA(),XLOOKUP(D$3,daily_items,XLOOKUP($C3467,daily_dates,big_daily_table)))</f>
        <v>#N/A</v>
      </c>
      <c r="E3467" s="1" t="str">
        <f t="array" ref="E3467">IF(ISBLANK(XLOOKUP(E$3,daily_items,XLOOKUP($C3467,daily_dates,big_daily_table))),NA(),XLOOKUP(E$3,daily_items,XLOOKUP($C3467,daily_dates,big_daily_table)))</f>
        <v>#N/A</v>
      </c>
    </row>
    <row r="3468" ht="14.25" customHeight="1">
      <c r="B3468" s="7">
        <v>44373.0</v>
      </c>
      <c r="C3468" s="7">
        <f t="shared" si="1"/>
        <v>44367</v>
      </c>
      <c r="D3468" s="1" t="str">
        <f t="array" ref="D3468">IF(ISBLANK(XLOOKUP(D$3,daily_items,XLOOKUP($C3468,daily_dates,big_daily_table))),NA(),XLOOKUP(D$3,daily_items,XLOOKUP($C3468,daily_dates,big_daily_table)))</f>
        <v>#N/A</v>
      </c>
      <c r="E3468" s="1" t="str">
        <f t="array" ref="E3468">IF(ISBLANK(XLOOKUP(E$3,daily_items,XLOOKUP($C3468,daily_dates,big_daily_table))),NA(),XLOOKUP(E$3,daily_items,XLOOKUP($C3468,daily_dates,big_daily_table)))</f>
        <v>#N/A</v>
      </c>
    </row>
    <row r="3469" ht="14.25" customHeight="1">
      <c r="B3469" s="7">
        <v>44374.0</v>
      </c>
      <c r="C3469" s="7">
        <f t="shared" si="1"/>
        <v>44374</v>
      </c>
      <c r="D3469" s="1" t="str">
        <f t="array" ref="D3469">IF(ISBLANK(XLOOKUP(D$3,daily_items,XLOOKUP($C3469,daily_dates,big_daily_table))),NA(),XLOOKUP(D$3,daily_items,XLOOKUP($C3469,daily_dates,big_daily_table)))</f>
        <v>#N/A</v>
      </c>
      <c r="E3469" s="1" t="str">
        <f t="array" ref="E3469">IF(ISBLANK(XLOOKUP(E$3,daily_items,XLOOKUP($C3469,daily_dates,big_daily_table))),NA(),XLOOKUP(E$3,daily_items,XLOOKUP($C3469,daily_dates,big_daily_table)))</f>
        <v>#N/A</v>
      </c>
    </row>
    <row r="3470" ht="14.25" customHeight="1">
      <c r="B3470" s="7">
        <v>44375.0</v>
      </c>
      <c r="C3470" s="7">
        <f t="shared" si="1"/>
        <v>44374</v>
      </c>
      <c r="D3470" s="1" t="str">
        <f t="array" ref="D3470">IF(ISBLANK(XLOOKUP(D$3,daily_items,XLOOKUP($C3470,daily_dates,big_daily_table))),NA(),XLOOKUP(D$3,daily_items,XLOOKUP($C3470,daily_dates,big_daily_table)))</f>
        <v>#N/A</v>
      </c>
      <c r="E3470" s="1" t="str">
        <f t="array" ref="E3470">IF(ISBLANK(XLOOKUP(E$3,daily_items,XLOOKUP($C3470,daily_dates,big_daily_table))),NA(),XLOOKUP(E$3,daily_items,XLOOKUP($C3470,daily_dates,big_daily_table)))</f>
        <v>#N/A</v>
      </c>
    </row>
    <row r="3471" ht="14.25" customHeight="1">
      <c r="B3471" s="7">
        <v>44376.0</v>
      </c>
      <c r="C3471" s="7">
        <f t="shared" si="1"/>
        <v>44374</v>
      </c>
      <c r="D3471" s="1" t="str">
        <f t="array" ref="D3471">IF(ISBLANK(XLOOKUP(D$3,daily_items,XLOOKUP($C3471,daily_dates,big_daily_table))),NA(),XLOOKUP(D$3,daily_items,XLOOKUP($C3471,daily_dates,big_daily_table)))</f>
        <v>#N/A</v>
      </c>
      <c r="E3471" s="1" t="str">
        <f t="array" ref="E3471">IF(ISBLANK(XLOOKUP(E$3,daily_items,XLOOKUP($C3471,daily_dates,big_daily_table))),NA(),XLOOKUP(E$3,daily_items,XLOOKUP($C3471,daily_dates,big_daily_table)))</f>
        <v>#N/A</v>
      </c>
    </row>
    <row r="3472" ht="14.25" customHeight="1">
      <c r="B3472" s="7">
        <v>44377.0</v>
      </c>
      <c r="C3472" s="7">
        <f t="shared" si="1"/>
        <v>44374</v>
      </c>
      <c r="D3472" s="1" t="str">
        <f t="array" ref="D3472">IF(ISBLANK(XLOOKUP(D$3,daily_items,XLOOKUP($C3472,daily_dates,big_daily_table))),NA(),XLOOKUP(D$3,daily_items,XLOOKUP($C3472,daily_dates,big_daily_table)))</f>
        <v>#N/A</v>
      </c>
      <c r="E3472" s="1" t="str">
        <f t="array" ref="E3472">IF(ISBLANK(XLOOKUP(E$3,daily_items,XLOOKUP($C3472,daily_dates,big_daily_table))),NA(),XLOOKUP(E$3,daily_items,XLOOKUP($C3472,daily_dates,big_daily_table)))</f>
        <v>#N/A</v>
      </c>
    </row>
    <row r="3473" ht="14.25" customHeight="1">
      <c r="B3473" s="7">
        <v>44378.0</v>
      </c>
      <c r="C3473" s="7">
        <f t="shared" si="1"/>
        <v>44374</v>
      </c>
      <c r="D3473" s="1" t="str">
        <f t="array" ref="D3473">IF(ISBLANK(XLOOKUP(D$3,daily_items,XLOOKUP($C3473,daily_dates,big_daily_table))),NA(),XLOOKUP(D$3,daily_items,XLOOKUP($C3473,daily_dates,big_daily_table)))</f>
        <v>#N/A</v>
      </c>
      <c r="E3473" s="1" t="str">
        <f t="array" ref="E3473">IF(ISBLANK(XLOOKUP(E$3,daily_items,XLOOKUP($C3473,daily_dates,big_daily_table))),NA(),XLOOKUP(E$3,daily_items,XLOOKUP($C3473,daily_dates,big_daily_table)))</f>
        <v>#N/A</v>
      </c>
    </row>
    <row r="3474" ht="14.25" customHeight="1">
      <c r="B3474" s="7">
        <v>44379.0</v>
      </c>
      <c r="C3474" s="7">
        <f t="shared" si="1"/>
        <v>44374</v>
      </c>
      <c r="D3474" s="1" t="str">
        <f t="array" ref="D3474">IF(ISBLANK(XLOOKUP(D$3,daily_items,XLOOKUP($C3474,daily_dates,big_daily_table))),NA(),XLOOKUP(D$3,daily_items,XLOOKUP($C3474,daily_dates,big_daily_table)))</f>
        <v>#N/A</v>
      </c>
      <c r="E3474" s="1" t="str">
        <f t="array" ref="E3474">IF(ISBLANK(XLOOKUP(E$3,daily_items,XLOOKUP($C3474,daily_dates,big_daily_table))),NA(),XLOOKUP(E$3,daily_items,XLOOKUP($C3474,daily_dates,big_daily_table)))</f>
        <v>#N/A</v>
      </c>
    </row>
    <row r="3475" ht="14.25" customHeight="1">
      <c r="B3475" s="7">
        <v>44380.0</v>
      </c>
      <c r="C3475" s="7">
        <f t="shared" si="1"/>
        <v>44374</v>
      </c>
      <c r="D3475" s="1" t="str">
        <f t="array" ref="D3475">IF(ISBLANK(XLOOKUP(D$3,daily_items,XLOOKUP($C3475,daily_dates,big_daily_table))),NA(),XLOOKUP(D$3,daily_items,XLOOKUP($C3475,daily_dates,big_daily_table)))</f>
        <v>#N/A</v>
      </c>
      <c r="E3475" s="1" t="str">
        <f t="array" ref="E3475">IF(ISBLANK(XLOOKUP(E$3,daily_items,XLOOKUP($C3475,daily_dates,big_daily_table))),NA(),XLOOKUP(E$3,daily_items,XLOOKUP($C3475,daily_dates,big_daily_table)))</f>
        <v>#N/A</v>
      </c>
    </row>
    <row r="3476" ht="14.25" customHeight="1">
      <c r="B3476" s="7">
        <v>44381.0</v>
      </c>
      <c r="C3476" s="7">
        <f t="shared" si="1"/>
        <v>44381</v>
      </c>
      <c r="D3476" s="1" t="str">
        <f t="array" ref="D3476">IF(ISBLANK(XLOOKUP(D$3,daily_items,XLOOKUP($C3476,daily_dates,big_daily_table))),NA(),XLOOKUP(D$3,daily_items,XLOOKUP($C3476,daily_dates,big_daily_table)))</f>
        <v>#N/A</v>
      </c>
      <c r="E3476" s="1" t="str">
        <f t="array" ref="E3476">IF(ISBLANK(XLOOKUP(E$3,daily_items,XLOOKUP($C3476,daily_dates,big_daily_table))),NA(),XLOOKUP(E$3,daily_items,XLOOKUP($C3476,daily_dates,big_daily_table)))</f>
        <v>#N/A</v>
      </c>
    </row>
    <row r="3477" ht="14.25" customHeight="1">
      <c r="B3477" s="7">
        <v>44382.0</v>
      </c>
      <c r="C3477" s="7">
        <f t="shared" si="1"/>
        <v>44381</v>
      </c>
      <c r="D3477" s="1" t="str">
        <f t="array" ref="D3477">IF(ISBLANK(XLOOKUP(D$3,daily_items,XLOOKUP($C3477,daily_dates,big_daily_table))),NA(),XLOOKUP(D$3,daily_items,XLOOKUP($C3477,daily_dates,big_daily_table)))</f>
        <v>#N/A</v>
      </c>
      <c r="E3477" s="1" t="str">
        <f t="array" ref="E3477">IF(ISBLANK(XLOOKUP(E$3,daily_items,XLOOKUP($C3477,daily_dates,big_daily_table))),NA(),XLOOKUP(E$3,daily_items,XLOOKUP($C3477,daily_dates,big_daily_table)))</f>
        <v>#N/A</v>
      </c>
    </row>
    <row r="3478" ht="14.25" customHeight="1">
      <c r="B3478" s="7">
        <v>44383.0</v>
      </c>
      <c r="C3478" s="7">
        <f t="shared" si="1"/>
        <v>44381</v>
      </c>
      <c r="D3478" s="1" t="str">
        <f t="array" ref="D3478">IF(ISBLANK(XLOOKUP(D$3,daily_items,XLOOKUP($C3478,daily_dates,big_daily_table))),NA(),XLOOKUP(D$3,daily_items,XLOOKUP($C3478,daily_dates,big_daily_table)))</f>
        <v>#N/A</v>
      </c>
      <c r="E3478" s="1" t="str">
        <f t="array" ref="E3478">IF(ISBLANK(XLOOKUP(E$3,daily_items,XLOOKUP($C3478,daily_dates,big_daily_table))),NA(),XLOOKUP(E$3,daily_items,XLOOKUP($C3478,daily_dates,big_daily_table)))</f>
        <v>#N/A</v>
      </c>
    </row>
    <row r="3479" ht="14.25" customHeight="1">
      <c r="B3479" s="7">
        <v>44384.0</v>
      </c>
      <c r="C3479" s="7">
        <f t="shared" si="1"/>
        <v>44381</v>
      </c>
      <c r="D3479" s="1" t="str">
        <f t="array" ref="D3479">IF(ISBLANK(XLOOKUP(D$3,daily_items,XLOOKUP($C3479,daily_dates,big_daily_table))),NA(),XLOOKUP(D$3,daily_items,XLOOKUP($C3479,daily_dates,big_daily_table)))</f>
        <v>#N/A</v>
      </c>
      <c r="E3479" s="1" t="str">
        <f t="array" ref="E3479">IF(ISBLANK(XLOOKUP(E$3,daily_items,XLOOKUP($C3479,daily_dates,big_daily_table))),NA(),XLOOKUP(E$3,daily_items,XLOOKUP($C3479,daily_dates,big_daily_table)))</f>
        <v>#N/A</v>
      </c>
    </row>
    <row r="3480" ht="14.25" customHeight="1">
      <c r="B3480" s="7">
        <v>44385.0</v>
      </c>
      <c r="C3480" s="7">
        <f t="shared" si="1"/>
        <v>44381</v>
      </c>
      <c r="D3480" s="1" t="str">
        <f t="array" ref="D3480">IF(ISBLANK(XLOOKUP(D$3,daily_items,XLOOKUP($C3480,daily_dates,big_daily_table))),NA(),XLOOKUP(D$3,daily_items,XLOOKUP($C3480,daily_dates,big_daily_table)))</f>
        <v>#N/A</v>
      </c>
      <c r="E3480" s="1" t="str">
        <f t="array" ref="E3480">IF(ISBLANK(XLOOKUP(E$3,daily_items,XLOOKUP($C3480,daily_dates,big_daily_table))),NA(),XLOOKUP(E$3,daily_items,XLOOKUP($C3480,daily_dates,big_daily_table)))</f>
        <v>#N/A</v>
      </c>
    </row>
    <row r="3481" ht="14.25" customHeight="1">
      <c r="B3481" s="7">
        <v>44386.0</v>
      </c>
      <c r="C3481" s="7">
        <f t="shared" si="1"/>
        <v>44381</v>
      </c>
      <c r="D3481" s="1" t="str">
        <f t="array" ref="D3481">IF(ISBLANK(XLOOKUP(D$3,daily_items,XLOOKUP($C3481,daily_dates,big_daily_table))),NA(),XLOOKUP(D$3,daily_items,XLOOKUP($C3481,daily_dates,big_daily_table)))</f>
        <v>#N/A</v>
      </c>
      <c r="E3481" s="1" t="str">
        <f t="array" ref="E3481">IF(ISBLANK(XLOOKUP(E$3,daily_items,XLOOKUP($C3481,daily_dates,big_daily_table))),NA(),XLOOKUP(E$3,daily_items,XLOOKUP($C3481,daily_dates,big_daily_table)))</f>
        <v>#N/A</v>
      </c>
    </row>
    <row r="3482" ht="14.25" customHeight="1">
      <c r="B3482" s="7">
        <v>44387.0</v>
      </c>
      <c r="C3482" s="7">
        <f t="shared" si="1"/>
        <v>44381</v>
      </c>
      <c r="D3482" s="1" t="str">
        <f t="array" ref="D3482">IF(ISBLANK(XLOOKUP(D$3,daily_items,XLOOKUP($C3482,daily_dates,big_daily_table))),NA(),XLOOKUP(D$3,daily_items,XLOOKUP($C3482,daily_dates,big_daily_table)))</f>
        <v>#N/A</v>
      </c>
      <c r="E3482" s="1" t="str">
        <f t="array" ref="E3482">IF(ISBLANK(XLOOKUP(E$3,daily_items,XLOOKUP($C3482,daily_dates,big_daily_table))),NA(),XLOOKUP(E$3,daily_items,XLOOKUP($C3482,daily_dates,big_daily_table)))</f>
        <v>#N/A</v>
      </c>
    </row>
    <row r="3483" ht="14.25" customHeight="1">
      <c r="B3483" s="7">
        <v>44388.0</v>
      </c>
      <c r="C3483" s="7">
        <f t="shared" si="1"/>
        <v>44388</v>
      </c>
      <c r="D3483" s="1" t="str">
        <f t="array" ref="D3483">IF(ISBLANK(XLOOKUP(D$3,daily_items,XLOOKUP($C3483,daily_dates,big_daily_table))),NA(),XLOOKUP(D$3,daily_items,XLOOKUP($C3483,daily_dates,big_daily_table)))</f>
        <v>#N/A</v>
      </c>
      <c r="E3483" s="1" t="str">
        <f t="array" ref="E3483">IF(ISBLANK(XLOOKUP(E$3,daily_items,XLOOKUP($C3483,daily_dates,big_daily_table))),NA(),XLOOKUP(E$3,daily_items,XLOOKUP($C3483,daily_dates,big_daily_table)))</f>
        <v>#N/A</v>
      </c>
    </row>
    <row r="3484" ht="14.25" customHeight="1">
      <c r="B3484" s="7">
        <v>44389.0</v>
      </c>
      <c r="C3484" s="7">
        <f t="shared" si="1"/>
        <v>44388</v>
      </c>
      <c r="D3484" s="1" t="str">
        <f t="array" ref="D3484">IF(ISBLANK(XLOOKUP(D$3,daily_items,XLOOKUP($C3484,daily_dates,big_daily_table))),NA(),XLOOKUP(D$3,daily_items,XLOOKUP($C3484,daily_dates,big_daily_table)))</f>
        <v>#N/A</v>
      </c>
      <c r="E3484" s="1" t="str">
        <f t="array" ref="E3484">IF(ISBLANK(XLOOKUP(E$3,daily_items,XLOOKUP($C3484,daily_dates,big_daily_table))),NA(),XLOOKUP(E$3,daily_items,XLOOKUP($C3484,daily_dates,big_daily_table)))</f>
        <v>#N/A</v>
      </c>
    </row>
    <row r="3485" ht="14.25" customHeight="1">
      <c r="B3485" s="7">
        <v>44390.0</v>
      </c>
      <c r="C3485" s="7">
        <f t="shared" si="1"/>
        <v>44388</v>
      </c>
      <c r="D3485" s="1" t="str">
        <f t="array" ref="D3485">IF(ISBLANK(XLOOKUP(D$3,daily_items,XLOOKUP($C3485,daily_dates,big_daily_table))),NA(),XLOOKUP(D$3,daily_items,XLOOKUP($C3485,daily_dates,big_daily_table)))</f>
        <v>#N/A</v>
      </c>
      <c r="E3485" s="1" t="str">
        <f t="array" ref="E3485">IF(ISBLANK(XLOOKUP(E$3,daily_items,XLOOKUP($C3485,daily_dates,big_daily_table))),NA(),XLOOKUP(E$3,daily_items,XLOOKUP($C3485,daily_dates,big_daily_table)))</f>
        <v>#N/A</v>
      </c>
    </row>
    <row r="3486" ht="14.25" customHeight="1">
      <c r="B3486" s="7">
        <v>44391.0</v>
      </c>
      <c r="C3486" s="7">
        <f t="shared" si="1"/>
        <v>44388</v>
      </c>
      <c r="D3486" s="1" t="str">
        <f t="array" ref="D3486">IF(ISBLANK(XLOOKUP(D$3,daily_items,XLOOKUP($C3486,daily_dates,big_daily_table))),NA(),XLOOKUP(D$3,daily_items,XLOOKUP($C3486,daily_dates,big_daily_table)))</f>
        <v>#N/A</v>
      </c>
      <c r="E3486" s="1" t="str">
        <f t="array" ref="E3486">IF(ISBLANK(XLOOKUP(E$3,daily_items,XLOOKUP($C3486,daily_dates,big_daily_table))),NA(),XLOOKUP(E$3,daily_items,XLOOKUP($C3486,daily_dates,big_daily_table)))</f>
        <v>#N/A</v>
      </c>
    </row>
    <row r="3487" ht="14.25" customHeight="1">
      <c r="B3487" s="7">
        <v>44392.0</v>
      </c>
      <c r="C3487" s="7">
        <f t="shared" si="1"/>
        <v>44388</v>
      </c>
      <c r="D3487" s="1" t="str">
        <f t="array" ref="D3487">IF(ISBLANK(XLOOKUP(D$3,daily_items,XLOOKUP($C3487,daily_dates,big_daily_table))),NA(),XLOOKUP(D$3,daily_items,XLOOKUP($C3487,daily_dates,big_daily_table)))</f>
        <v>#N/A</v>
      </c>
      <c r="E3487" s="1" t="str">
        <f t="array" ref="E3487">IF(ISBLANK(XLOOKUP(E$3,daily_items,XLOOKUP($C3487,daily_dates,big_daily_table))),NA(),XLOOKUP(E$3,daily_items,XLOOKUP($C3487,daily_dates,big_daily_table)))</f>
        <v>#N/A</v>
      </c>
    </row>
    <row r="3488" ht="14.25" customHeight="1">
      <c r="B3488" s="7">
        <v>44393.0</v>
      </c>
      <c r="C3488" s="7">
        <f t="shared" si="1"/>
        <v>44388</v>
      </c>
      <c r="D3488" s="1" t="str">
        <f t="array" ref="D3488">IF(ISBLANK(XLOOKUP(D$3,daily_items,XLOOKUP($C3488,daily_dates,big_daily_table))),NA(),XLOOKUP(D$3,daily_items,XLOOKUP($C3488,daily_dates,big_daily_table)))</f>
        <v>#N/A</v>
      </c>
      <c r="E3488" s="1" t="str">
        <f t="array" ref="E3488">IF(ISBLANK(XLOOKUP(E$3,daily_items,XLOOKUP($C3488,daily_dates,big_daily_table))),NA(),XLOOKUP(E$3,daily_items,XLOOKUP($C3488,daily_dates,big_daily_table)))</f>
        <v>#N/A</v>
      </c>
    </row>
    <row r="3489" ht="14.25" customHeight="1">
      <c r="B3489" s="7">
        <v>44394.0</v>
      </c>
      <c r="C3489" s="7">
        <f t="shared" si="1"/>
        <v>44388</v>
      </c>
      <c r="D3489" s="1" t="str">
        <f t="array" ref="D3489">IF(ISBLANK(XLOOKUP(D$3,daily_items,XLOOKUP($C3489,daily_dates,big_daily_table))),NA(),XLOOKUP(D$3,daily_items,XLOOKUP($C3489,daily_dates,big_daily_table)))</f>
        <v>#N/A</v>
      </c>
      <c r="E3489" s="1" t="str">
        <f t="array" ref="E3489">IF(ISBLANK(XLOOKUP(E$3,daily_items,XLOOKUP($C3489,daily_dates,big_daily_table))),NA(),XLOOKUP(E$3,daily_items,XLOOKUP($C3489,daily_dates,big_daily_table)))</f>
        <v>#N/A</v>
      </c>
    </row>
    <row r="3490" ht="14.25" customHeight="1">
      <c r="B3490" s="7">
        <v>44395.0</v>
      </c>
      <c r="C3490" s="7">
        <f t="shared" si="1"/>
        <v>44395</v>
      </c>
      <c r="D3490" s="1" t="str">
        <f t="array" ref="D3490">IF(ISBLANK(XLOOKUP(D$3,daily_items,XLOOKUP($C3490,daily_dates,big_daily_table))),NA(),XLOOKUP(D$3,daily_items,XLOOKUP($C3490,daily_dates,big_daily_table)))</f>
        <v>#N/A</v>
      </c>
      <c r="E3490" s="1" t="str">
        <f t="array" ref="E3490">IF(ISBLANK(XLOOKUP(E$3,daily_items,XLOOKUP($C3490,daily_dates,big_daily_table))),NA(),XLOOKUP(E$3,daily_items,XLOOKUP($C3490,daily_dates,big_daily_table)))</f>
        <v>#N/A</v>
      </c>
    </row>
    <row r="3491" ht="14.25" customHeight="1">
      <c r="B3491" s="7">
        <v>44396.0</v>
      </c>
      <c r="C3491" s="7">
        <f t="shared" si="1"/>
        <v>44395</v>
      </c>
      <c r="D3491" s="1" t="str">
        <f t="array" ref="D3491">IF(ISBLANK(XLOOKUP(D$3,daily_items,XLOOKUP($C3491,daily_dates,big_daily_table))),NA(),XLOOKUP(D$3,daily_items,XLOOKUP($C3491,daily_dates,big_daily_table)))</f>
        <v>#N/A</v>
      </c>
      <c r="E3491" s="1" t="str">
        <f t="array" ref="E3491">IF(ISBLANK(XLOOKUP(E$3,daily_items,XLOOKUP($C3491,daily_dates,big_daily_table))),NA(),XLOOKUP(E$3,daily_items,XLOOKUP($C3491,daily_dates,big_daily_table)))</f>
        <v>#N/A</v>
      </c>
    </row>
    <row r="3492" ht="14.25" customHeight="1">
      <c r="B3492" s="7">
        <v>44397.0</v>
      </c>
      <c r="C3492" s="7">
        <f t="shared" si="1"/>
        <v>44395</v>
      </c>
      <c r="D3492" s="1" t="str">
        <f t="array" ref="D3492">IF(ISBLANK(XLOOKUP(D$3,daily_items,XLOOKUP($C3492,daily_dates,big_daily_table))),NA(),XLOOKUP(D$3,daily_items,XLOOKUP($C3492,daily_dates,big_daily_table)))</f>
        <v>#N/A</v>
      </c>
      <c r="E3492" s="1" t="str">
        <f t="array" ref="E3492">IF(ISBLANK(XLOOKUP(E$3,daily_items,XLOOKUP($C3492,daily_dates,big_daily_table))),NA(),XLOOKUP(E$3,daily_items,XLOOKUP($C3492,daily_dates,big_daily_table)))</f>
        <v>#N/A</v>
      </c>
    </row>
    <row r="3493" ht="14.25" customHeight="1">
      <c r="B3493" s="7">
        <v>44398.0</v>
      </c>
      <c r="C3493" s="7">
        <f t="shared" si="1"/>
        <v>44395</v>
      </c>
      <c r="D3493" s="1" t="str">
        <f t="array" ref="D3493">IF(ISBLANK(XLOOKUP(D$3,daily_items,XLOOKUP($C3493,daily_dates,big_daily_table))),NA(),XLOOKUP(D$3,daily_items,XLOOKUP($C3493,daily_dates,big_daily_table)))</f>
        <v>#N/A</v>
      </c>
      <c r="E3493" s="1" t="str">
        <f t="array" ref="E3493">IF(ISBLANK(XLOOKUP(E$3,daily_items,XLOOKUP($C3493,daily_dates,big_daily_table))),NA(),XLOOKUP(E$3,daily_items,XLOOKUP($C3493,daily_dates,big_daily_table)))</f>
        <v>#N/A</v>
      </c>
    </row>
    <row r="3494" ht="14.25" customHeight="1">
      <c r="B3494" s="7">
        <v>44399.0</v>
      </c>
      <c r="C3494" s="7">
        <f t="shared" si="1"/>
        <v>44395</v>
      </c>
      <c r="D3494" s="1" t="str">
        <f t="array" ref="D3494">IF(ISBLANK(XLOOKUP(D$3,daily_items,XLOOKUP($C3494,daily_dates,big_daily_table))),NA(),XLOOKUP(D$3,daily_items,XLOOKUP($C3494,daily_dates,big_daily_table)))</f>
        <v>#N/A</v>
      </c>
      <c r="E3494" s="1" t="str">
        <f t="array" ref="E3494">IF(ISBLANK(XLOOKUP(E$3,daily_items,XLOOKUP($C3494,daily_dates,big_daily_table))),NA(),XLOOKUP(E$3,daily_items,XLOOKUP($C3494,daily_dates,big_daily_table)))</f>
        <v>#N/A</v>
      </c>
    </row>
    <row r="3495" ht="14.25" customHeight="1">
      <c r="B3495" s="7">
        <v>44400.0</v>
      </c>
      <c r="C3495" s="7">
        <f t="shared" si="1"/>
        <v>44395</v>
      </c>
      <c r="D3495" s="1" t="str">
        <f t="array" ref="D3495">IF(ISBLANK(XLOOKUP(D$3,daily_items,XLOOKUP($C3495,daily_dates,big_daily_table))),NA(),XLOOKUP(D$3,daily_items,XLOOKUP($C3495,daily_dates,big_daily_table)))</f>
        <v>#N/A</v>
      </c>
      <c r="E3495" s="1" t="str">
        <f t="array" ref="E3495">IF(ISBLANK(XLOOKUP(E$3,daily_items,XLOOKUP($C3495,daily_dates,big_daily_table))),NA(),XLOOKUP(E$3,daily_items,XLOOKUP($C3495,daily_dates,big_daily_table)))</f>
        <v>#N/A</v>
      </c>
    </row>
    <row r="3496" ht="14.25" customHeight="1">
      <c r="B3496" s="7">
        <v>44401.0</v>
      </c>
      <c r="C3496" s="7">
        <f t="shared" si="1"/>
        <v>44395</v>
      </c>
      <c r="D3496" s="1" t="str">
        <f t="array" ref="D3496">IF(ISBLANK(XLOOKUP(D$3,daily_items,XLOOKUP($C3496,daily_dates,big_daily_table))),NA(),XLOOKUP(D$3,daily_items,XLOOKUP($C3496,daily_dates,big_daily_table)))</f>
        <v>#N/A</v>
      </c>
      <c r="E3496" s="1" t="str">
        <f t="array" ref="E3496">IF(ISBLANK(XLOOKUP(E$3,daily_items,XLOOKUP($C3496,daily_dates,big_daily_table))),NA(),XLOOKUP(E$3,daily_items,XLOOKUP($C3496,daily_dates,big_daily_table)))</f>
        <v>#N/A</v>
      </c>
    </row>
    <row r="3497" ht="14.25" customHeight="1">
      <c r="B3497" s="7">
        <v>44402.0</v>
      </c>
      <c r="C3497" s="7">
        <f t="shared" si="1"/>
        <v>44402</v>
      </c>
      <c r="D3497" s="1" t="str">
        <f t="array" ref="D3497">IF(ISBLANK(XLOOKUP(D$3,daily_items,XLOOKUP($C3497,daily_dates,big_daily_table))),NA(),XLOOKUP(D$3,daily_items,XLOOKUP($C3497,daily_dates,big_daily_table)))</f>
        <v>#N/A</v>
      </c>
      <c r="E3497" s="1" t="str">
        <f t="array" ref="E3497">IF(ISBLANK(XLOOKUP(E$3,daily_items,XLOOKUP($C3497,daily_dates,big_daily_table))),NA(),XLOOKUP(E$3,daily_items,XLOOKUP($C3497,daily_dates,big_daily_table)))</f>
        <v>#N/A</v>
      </c>
    </row>
    <row r="3498" ht="14.25" customHeight="1">
      <c r="B3498" s="7">
        <v>44403.0</v>
      </c>
      <c r="C3498" s="7">
        <f t="shared" si="1"/>
        <v>44402</v>
      </c>
      <c r="D3498" s="1" t="str">
        <f t="array" ref="D3498">IF(ISBLANK(XLOOKUP(D$3,daily_items,XLOOKUP($C3498,daily_dates,big_daily_table))),NA(),XLOOKUP(D$3,daily_items,XLOOKUP($C3498,daily_dates,big_daily_table)))</f>
        <v>#N/A</v>
      </c>
      <c r="E3498" s="1" t="str">
        <f t="array" ref="E3498">IF(ISBLANK(XLOOKUP(E$3,daily_items,XLOOKUP($C3498,daily_dates,big_daily_table))),NA(),XLOOKUP(E$3,daily_items,XLOOKUP($C3498,daily_dates,big_daily_table)))</f>
        <v>#N/A</v>
      </c>
    </row>
    <row r="3499" ht="14.25" customHeight="1">
      <c r="B3499" s="7">
        <v>44404.0</v>
      </c>
      <c r="C3499" s="7">
        <f t="shared" si="1"/>
        <v>44402</v>
      </c>
      <c r="D3499" s="1" t="str">
        <f t="array" ref="D3499">IF(ISBLANK(XLOOKUP(D$3,daily_items,XLOOKUP($C3499,daily_dates,big_daily_table))),NA(),XLOOKUP(D$3,daily_items,XLOOKUP($C3499,daily_dates,big_daily_table)))</f>
        <v>#N/A</v>
      </c>
      <c r="E3499" s="1" t="str">
        <f t="array" ref="E3499">IF(ISBLANK(XLOOKUP(E$3,daily_items,XLOOKUP($C3499,daily_dates,big_daily_table))),NA(),XLOOKUP(E$3,daily_items,XLOOKUP($C3499,daily_dates,big_daily_table)))</f>
        <v>#N/A</v>
      </c>
    </row>
    <row r="3500" ht="14.25" customHeight="1">
      <c r="B3500" s="7">
        <v>44405.0</v>
      </c>
      <c r="C3500" s="7">
        <f t="shared" si="1"/>
        <v>44402</v>
      </c>
      <c r="D3500" s="1" t="str">
        <f t="array" ref="D3500">IF(ISBLANK(XLOOKUP(D$3,daily_items,XLOOKUP($C3500,daily_dates,big_daily_table))),NA(),XLOOKUP(D$3,daily_items,XLOOKUP($C3500,daily_dates,big_daily_table)))</f>
        <v>#N/A</v>
      </c>
      <c r="E3500" s="1" t="str">
        <f t="array" ref="E3500">IF(ISBLANK(XLOOKUP(E$3,daily_items,XLOOKUP($C3500,daily_dates,big_daily_table))),NA(),XLOOKUP(E$3,daily_items,XLOOKUP($C3500,daily_dates,big_daily_table)))</f>
        <v>#N/A</v>
      </c>
    </row>
    <row r="3501" ht="14.25" customHeight="1">
      <c r="B3501" s="7">
        <v>44406.0</v>
      </c>
      <c r="C3501" s="7">
        <f t="shared" si="1"/>
        <v>44402</v>
      </c>
      <c r="D3501" s="1" t="str">
        <f t="array" ref="D3501">IF(ISBLANK(XLOOKUP(D$3,daily_items,XLOOKUP($C3501,daily_dates,big_daily_table))),NA(),XLOOKUP(D$3,daily_items,XLOOKUP($C3501,daily_dates,big_daily_table)))</f>
        <v>#N/A</v>
      </c>
      <c r="E3501" s="1" t="str">
        <f t="array" ref="E3501">IF(ISBLANK(XLOOKUP(E$3,daily_items,XLOOKUP($C3501,daily_dates,big_daily_table))),NA(),XLOOKUP(E$3,daily_items,XLOOKUP($C3501,daily_dates,big_daily_table)))</f>
        <v>#N/A</v>
      </c>
    </row>
    <row r="3502" ht="14.25" customHeight="1">
      <c r="B3502" s="7">
        <v>44407.0</v>
      </c>
      <c r="C3502" s="7">
        <f t="shared" si="1"/>
        <v>44402</v>
      </c>
      <c r="D3502" s="1" t="str">
        <f t="array" ref="D3502">IF(ISBLANK(XLOOKUP(D$3,daily_items,XLOOKUP($C3502,daily_dates,big_daily_table))),NA(),XLOOKUP(D$3,daily_items,XLOOKUP($C3502,daily_dates,big_daily_table)))</f>
        <v>#N/A</v>
      </c>
      <c r="E3502" s="1" t="str">
        <f t="array" ref="E3502">IF(ISBLANK(XLOOKUP(E$3,daily_items,XLOOKUP($C3502,daily_dates,big_daily_table))),NA(),XLOOKUP(E$3,daily_items,XLOOKUP($C3502,daily_dates,big_daily_table)))</f>
        <v>#N/A</v>
      </c>
    </row>
    <row r="3503" ht="14.25" customHeight="1">
      <c r="B3503" s="7">
        <v>44408.0</v>
      </c>
      <c r="C3503" s="7">
        <f t="shared" si="1"/>
        <v>44402</v>
      </c>
      <c r="D3503" s="1" t="str">
        <f t="array" ref="D3503">IF(ISBLANK(XLOOKUP(D$3,daily_items,XLOOKUP($C3503,daily_dates,big_daily_table))),NA(),XLOOKUP(D$3,daily_items,XLOOKUP($C3503,daily_dates,big_daily_table)))</f>
        <v>#N/A</v>
      </c>
      <c r="E3503" s="1" t="str">
        <f t="array" ref="E3503">IF(ISBLANK(XLOOKUP(E$3,daily_items,XLOOKUP($C3503,daily_dates,big_daily_table))),NA(),XLOOKUP(E$3,daily_items,XLOOKUP($C3503,daily_dates,big_daily_table)))</f>
        <v>#N/A</v>
      </c>
    </row>
    <row r="3504" ht="14.25" customHeight="1">
      <c r="B3504" s="7">
        <v>44409.0</v>
      </c>
      <c r="C3504" s="7">
        <f t="shared" si="1"/>
        <v>44409</v>
      </c>
      <c r="D3504" s="1" t="str">
        <f t="array" ref="D3504">IF(ISBLANK(XLOOKUP(D$3,daily_items,XLOOKUP($C3504,daily_dates,big_daily_table))),NA(),XLOOKUP(D$3,daily_items,XLOOKUP($C3504,daily_dates,big_daily_table)))</f>
        <v>#N/A</v>
      </c>
      <c r="E3504" s="1" t="str">
        <f t="array" ref="E3504">IF(ISBLANK(XLOOKUP(E$3,daily_items,XLOOKUP($C3504,daily_dates,big_daily_table))),NA(),XLOOKUP(E$3,daily_items,XLOOKUP($C3504,daily_dates,big_daily_table)))</f>
        <v>#N/A</v>
      </c>
    </row>
    <row r="3505" ht="14.25" customHeight="1">
      <c r="B3505" s="7">
        <v>44410.0</v>
      </c>
      <c r="C3505" s="7">
        <f t="shared" si="1"/>
        <v>44409</v>
      </c>
      <c r="D3505" s="1" t="str">
        <f t="array" ref="D3505">IF(ISBLANK(XLOOKUP(D$3,daily_items,XLOOKUP($C3505,daily_dates,big_daily_table))),NA(),XLOOKUP(D$3,daily_items,XLOOKUP($C3505,daily_dates,big_daily_table)))</f>
        <v>#N/A</v>
      </c>
      <c r="E3505" s="1" t="str">
        <f t="array" ref="E3505">IF(ISBLANK(XLOOKUP(E$3,daily_items,XLOOKUP($C3505,daily_dates,big_daily_table))),NA(),XLOOKUP(E$3,daily_items,XLOOKUP($C3505,daily_dates,big_daily_table)))</f>
        <v>#N/A</v>
      </c>
    </row>
    <row r="3506" ht="14.25" customHeight="1">
      <c r="B3506" s="7">
        <v>44411.0</v>
      </c>
      <c r="C3506" s="7">
        <f t="shared" si="1"/>
        <v>44409</v>
      </c>
      <c r="D3506" s="1" t="str">
        <f t="array" ref="D3506">IF(ISBLANK(XLOOKUP(D$3,daily_items,XLOOKUP($C3506,daily_dates,big_daily_table))),NA(),XLOOKUP(D$3,daily_items,XLOOKUP($C3506,daily_dates,big_daily_table)))</f>
        <v>#N/A</v>
      </c>
      <c r="E3506" s="1" t="str">
        <f t="array" ref="E3506">IF(ISBLANK(XLOOKUP(E$3,daily_items,XLOOKUP($C3506,daily_dates,big_daily_table))),NA(),XLOOKUP(E$3,daily_items,XLOOKUP($C3506,daily_dates,big_daily_table)))</f>
        <v>#N/A</v>
      </c>
    </row>
    <row r="3507" ht="14.25" customHeight="1">
      <c r="B3507" s="7">
        <v>44412.0</v>
      </c>
      <c r="C3507" s="7">
        <f t="shared" si="1"/>
        <v>44409</v>
      </c>
      <c r="D3507" s="1" t="str">
        <f t="array" ref="D3507">IF(ISBLANK(XLOOKUP(D$3,daily_items,XLOOKUP($C3507,daily_dates,big_daily_table))),NA(),XLOOKUP(D$3,daily_items,XLOOKUP($C3507,daily_dates,big_daily_table)))</f>
        <v>#N/A</v>
      </c>
      <c r="E3507" s="1" t="str">
        <f t="array" ref="E3507">IF(ISBLANK(XLOOKUP(E$3,daily_items,XLOOKUP($C3507,daily_dates,big_daily_table))),NA(),XLOOKUP(E$3,daily_items,XLOOKUP($C3507,daily_dates,big_daily_table)))</f>
        <v>#N/A</v>
      </c>
    </row>
    <row r="3508" ht="14.25" customHeight="1">
      <c r="B3508" s="7">
        <v>44413.0</v>
      </c>
      <c r="C3508" s="7">
        <f t="shared" si="1"/>
        <v>44409</v>
      </c>
      <c r="D3508" s="1" t="str">
        <f t="array" ref="D3508">IF(ISBLANK(XLOOKUP(D$3,daily_items,XLOOKUP($C3508,daily_dates,big_daily_table))),NA(),XLOOKUP(D$3,daily_items,XLOOKUP($C3508,daily_dates,big_daily_table)))</f>
        <v>#N/A</v>
      </c>
      <c r="E3508" s="1" t="str">
        <f t="array" ref="E3508">IF(ISBLANK(XLOOKUP(E$3,daily_items,XLOOKUP($C3508,daily_dates,big_daily_table))),NA(),XLOOKUP(E$3,daily_items,XLOOKUP($C3508,daily_dates,big_daily_table)))</f>
        <v>#N/A</v>
      </c>
    </row>
    <row r="3509" ht="14.25" customHeight="1">
      <c r="B3509" s="7">
        <v>44414.0</v>
      </c>
      <c r="C3509" s="7">
        <f t="shared" si="1"/>
        <v>44409</v>
      </c>
      <c r="D3509" s="1" t="str">
        <f t="array" ref="D3509">IF(ISBLANK(XLOOKUP(D$3,daily_items,XLOOKUP($C3509,daily_dates,big_daily_table))),NA(),XLOOKUP(D$3,daily_items,XLOOKUP($C3509,daily_dates,big_daily_table)))</f>
        <v>#N/A</v>
      </c>
      <c r="E3509" s="1" t="str">
        <f t="array" ref="E3509">IF(ISBLANK(XLOOKUP(E$3,daily_items,XLOOKUP($C3509,daily_dates,big_daily_table))),NA(),XLOOKUP(E$3,daily_items,XLOOKUP($C3509,daily_dates,big_daily_table)))</f>
        <v>#N/A</v>
      </c>
    </row>
    <row r="3510" ht="14.25" customHeight="1">
      <c r="B3510" s="7">
        <v>44415.0</v>
      </c>
      <c r="C3510" s="7">
        <f t="shared" si="1"/>
        <v>44409</v>
      </c>
      <c r="D3510" s="1" t="str">
        <f t="array" ref="D3510">IF(ISBLANK(XLOOKUP(D$3,daily_items,XLOOKUP($C3510,daily_dates,big_daily_table))),NA(),XLOOKUP(D$3,daily_items,XLOOKUP($C3510,daily_dates,big_daily_table)))</f>
        <v>#N/A</v>
      </c>
      <c r="E3510" s="1" t="str">
        <f t="array" ref="E3510">IF(ISBLANK(XLOOKUP(E$3,daily_items,XLOOKUP($C3510,daily_dates,big_daily_table))),NA(),XLOOKUP(E$3,daily_items,XLOOKUP($C3510,daily_dates,big_daily_table)))</f>
        <v>#N/A</v>
      </c>
    </row>
    <row r="3511" ht="14.25" customHeight="1">
      <c r="B3511" s="7">
        <v>44416.0</v>
      </c>
      <c r="C3511" s="7">
        <f t="shared" si="1"/>
        <v>44416</v>
      </c>
      <c r="D3511" s="1" t="str">
        <f t="array" ref="D3511">IF(ISBLANK(XLOOKUP(D$3,daily_items,XLOOKUP($C3511,daily_dates,big_daily_table))),NA(),XLOOKUP(D$3,daily_items,XLOOKUP($C3511,daily_dates,big_daily_table)))</f>
        <v>#N/A</v>
      </c>
      <c r="E3511" s="1" t="str">
        <f t="array" ref="E3511">IF(ISBLANK(XLOOKUP(E$3,daily_items,XLOOKUP($C3511,daily_dates,big_daily_table))),NA(),XLOOKUP(E$3,daily_items,XLOOKUP($C3511,daily_dates,big_daily_table)))</f>
        <v>#N/A</v>
      </c>
    </row>
    <row r="3512" ht="14.25" customHeight="1">
      <c r="B3512" s="7">
        <v>44417.0</v>
      </c>
      <c r="C3512" s="7">
        <f t="shared" si="1"/>
        <v>44416</v>
      </c>
      <c r="D3512" s="1" t="str">
        <f t="array" ref="D3512">IF(ISBLANK(XLOOKUP(D$3,daily_items,XLOOKUP($C3512,daily_dates,big_daily_table))),NA(),XLOOKUP(D$3,daily_items,XLOOKUP($C3512,daily_dates,big_daily_table)))</f>
        <v>#N/A</v>
      </c>
      <c r="E3512" s="1" t="str">
        <f t="array" ref="E3512">IF(ISBLANK(XLOOKUP(E$3,daily_items,XLOOKUP($C3512,daily_dates,big_daily_table))),NA(),XLOOKUP(E$3,daily_items,XLOOKUP($C3512,daily_dates,big_daily_table)))</f>
        <v>#N/A</v>
      </c>
    </row>
    <row r="3513" ht="14.25" customHeight="1">
      <c r="B3513" s="7">
        <v>44418.0</v>
      </c>
      <c r="C3513" s="7">
        <f t="shared" si="1"/>
        <v>44416</v>
      </c>
      <c r="D3513" s="1" t="str">
        <f t="array" ref="D3513">IF(ISBLANK(XLOOKUP(D$3,daily_items,XLOOKUP($C3513,daily_dates,big_daily_table))),NA(),XLOOKUP(D$3,daily_items,XLOOKUP($C3513,daily_dates,big_daily_table)))</f>
        <v>#N/A</v>
      </c>
      <c r="E3513" s="1" t="str">
        <f t="array" ref="E3513">IF(ISBLANK(XLOOKUP(E$3,daily_items,XLOOKUP($C3513,daily_dates,big_daily_table))),NA(),XLOOKUP(E$3,daily_items,XLOOKUP($C3513,daily_dates,big_daily_table)))</f>
        <v>#N/A</v>
      </c>
    </row>
    <row r="3514" ht="14.25" customHeight="1">
      <c r="B3514" s="7">
        <v>44419.0</v>
      </c>
      <c r="C3514" s="7">
        <f t="shared" si="1"/>
        <v>44416</v>
      </c>
      <c r="D3514" s="1" t="str">
        <f t="array" ref="D3514">IF(ISBLANK(XLOOKUP(D$3,daily_items,XLOOKUP($C3514,daily_dates,big_daily_table))),NA(),XLOOKUP(D$3,daily_items,XLOOKUP($C3514,daily_dates,big_daily_table)))</f>
        <v>#N/A</v>
      </c>
      <c r="E3514" s="1" t="str">
        <f t="array" ref="E3514">IF(ISBLANK(XLOOKUP(E$3,daily_items,XLOOKUP($C3514,daily_dates,big_daily_table))),NA(),XLOOKUP(E$3,daily_items,XLOOKUP($C3514,daily_dates,big_daily_table)))</f>
        <v>#N/A</v>
      </c>
    </row>
    <row r="3515" ht="14.25" customHeight="1">
      <c r="B3515" s="7">
        <v>44420.0</v>
      </c>
      <c r="C3515" s="7">
        <f t="shared" si="1"/>
        <v>44416</v>
      </c>
      <c r="D3515" s="1" t="str">
        <f t="array" ref="D3515">IF(ISBLANK(XLOOKUP(D$3,daily_items,XLOOKUP($C3515,daily_dates,big_daily_table))),NA(),XLOOKUP(D$3,daily_items,XLOOKUP($C3515,daily_dates,big_daily_table)))</f>
        <v>#N/A</v>
      </c>
      <c r="E3515" s="1" t="str">
        <f t="array" ref="E3515">IF(ISBLANK(XLOOKUP(E$3,daily_items,XLOOKUP($C3515,daily_dates,big_daily_table))),NA(),XLOOKUP(E$3,daily_items,XLOOKUP($C3515,daily_dates,big_daily_table)))</f>
        <v>#N/A</v>
      </c>
    </row>
    <row r="3516" ht="14.25" customHeight="1">
      <c r="B3516" s="7">
        <v>44421.0</v>
      </c>
      <c r="C3516" s="7">
        <f t="shared" si="1"/>
        <v>44416</v>
      </c>
      <c r="D3516" s="1" t="str">
        <f t="array" ref="D3516">IF(ISBLANK(XLOOKUP(D$3,daily_items,XLOOKUP($C3516,daily_dates,big_daily_table))),NA(),XLOOKUP(D$3,daily_items,XLOOKUP($C3516,daily_dates,big_daily_table)))</f>
        <v>#N/A</v>
      </c>
      <c r="E3516" s="1" t="str">
        <f t="array" ref="E3516">IF(ISBLANK(XLOOKUP(E$3,daily_items,XLOOKUP($C3516,daily_dates,big_daily_table))),NA(),XLOOKUP(E$3,daily_items,XLOOKUP($C3516,daily_dates,big_daily_table)))</f>
        <v>#N/A</v>
      </c>
    </row>
    <row r="3517" ht="14.25" customHeight="1">
      <c r="B3517" s="7">
        <v>44422.0</v>
      </c>
      <c r="C3517" s="7">
        <f t="shared" si="1"/>
        <v>44416</v>
      </c>
      <c r="D3517" s="1" t="str">
        <f t="array" ref="D3517">IF(ISBLANK(XLOOKUP(D$3,daily_items,XLOOKUP($C3517,daily_dates,big_daily_table))),NA(),XLOOKUP(D$3,daily_items,XLOOKUP($C3517,daily_dates,big_daily_table)))</f>
        <v>#N/A</v>
      </c>
      <c r="E3517" s="1" t="str">
        <f t="array" ref="E3517">IF(ISBLANK(XLOOKUP(E$3,daily_items,XLOOKUP($C3517,daily_dates,big_daily_table))),NA(),XLOOKUP(E$3,daily_items,XLOOKUP($C3517,daily_dates,big_daily_table)))</f>
        <v>#N/A</v>
      </c>
    </row>
    <row r="3518" ht="14.25" customHeight="1">
      <c r="B3518" s="7">
        <v>44423.0</v>
      </c>
      <c r="C3518" s="7">
        <f t="shared" si="1"/>
        <v>44423</v>
      </c>
      <c r="D3518" s="1" t="str">
        <f t="array" ref="D3518">IF(ISBLANK(XLOOKUP(D$3,daily_items,XLOOKUP($C3518,daily_dates,big_daily_table))),NA(),XLOOKUP(D$3,daily_items,XLOOKUP($C3518,daily_dates,big_daily_table)))</f>
        <v>#N/A</v>
      </c>
      <c r="E3518" s="1" t="str">
        <f t="array" ref="E3518">IF(ISBLANK(XLOOKUP(E$3,daily_items,XLOOKUP($C3518,daily_dates,big_daily_table))),NA(),XLOOKUP(E$3,daily_items,XLOOKUP($C3518,daily_dates,big_daily_table)))</f>
        <v>#N/A</v>
      </c>
    </row>
    <row r="3519" ht="14.25" customHeight="1">
      <c r="B3519" s="7">
        <v>44424.0</v>
      </c>
      <c r="C3519" s="7">
        <f t="shared" si="1"/>
        <v>44423</v>
      </c>
      <c r="D3519" s="1" t="str">
        <f t="array" ref="D3519">IF(ISBLANK(XLOOKUP(D$3,daily_items,XLOOKUP($C3519,daily_dates,big_daily_table))),NA(),XLOOKUP(D$3,daily_items,XLOOKUP($C3519,daily_dates,big_daily_table)))</f>
        <v>#N/A</v>
      </c>
      <c r="E3519" s="1" t="str">
        <f t="array" ref="E3519">IF(ISBLANK(XLOOKUP(E$3,daily_items,XLOOKUP($C3519,daily_dates,big_daily_table))),NA(),XLOOKUP(E$3,daily_items,XLOOKUP($C3519,daily_dates,big_daily_table)))</f>
        <v>#N/A</v>
      </c>
    </row>
    <row r="3520" ht="14.25" customHeight="1">
      <c r="B3520" s="7">
        <v>44425.0</v>
      </c>
      <c r="C3520" s="7">
        <f t="shared" si="1"/>
        <v>44423</v>
      </c>
      <c r="D3520" s="1" t="str">
        <f t="array" ref="D3520">IF(ISBLANK(XLOOKUP(D$3,daily_items,XLOOKUP($C3520,daily_dates,big_daily_table))),NA(),XLOOKUP(D$3,daily_items,XLOOKUP($C3520,daily_dates,big_daily_table)))</f>
        <v>#N/A</v>
      </c>
      <c r="E3520" s="1" t="str">
        <f t="array" ref="E3520">IF(ISBLANK(XLOOKUP(E$3,daily_items,XLOOKUP($C3520,daily_dates,big_daily_table))),NA(),XLOOKUP(E$3,daily_items,XLOOKUP($C3520,daily_dates,big_daily_table)))</f>
        <v>#N/A</v>
      </c>
    </row>
    <row r="3521" ht="14.25" customHeight="1">
      <c r="B3521" s="7">
        <v>44426.0</v>
      </c>
      <c r="C3521" s="7">
        <f t="shared" si="1"/>
        <v>44423</v>
      </c>
      <c r="D3521" s="1" t="str">
        <f t="array" ref="D3521">IF(ISBLANK(XLOOKUP(D$3,daily_items,XLOOKUP($C3521,daily_dates,big_daily_table))),NA(),XLOOKUP(D$3,daily_items,XLOOKUP($C3521,daily_dates,big_daily_table)))</f>
        <v>#N/A</v>
      </c>
      <c r="E3521" s="1" t="str">
        <f t="array" ref="E3521">IF(ISBLANK(XLOOKUP(E$3,daily_items,XLOOKUP($C3521,daily_dates,big_daily_table))),NA(),XLOOKUP(E$3,daily_items,XLOOKUP($C3521,daily_dates,big_daily_table)))</f>
        <v>#N/A</v>
      </c>
    </row>
    <row r="3522" ht="14.25" customHeight="1">
      <c r="B3522" s="7">
        <v>44427.0</v>
      </c>
      <c r="C3522" s="7">
        <f t="shared" si="1"/>
        <v>44423</v>
      </c>
      <c r="D3522" s="1" t="str">
        <f t="array" ref="D3522">IF(ISBLANK(XLOOKUP(D$3,daily_items,XLOOKUP($C3522,daily_dates,big_daily_table))),NA(),XLOOKUP(D$3,daily_items,XLOOKUP($C3522,daily_dates,big_daily_table)))</f>
        <v>#N/A</v>
      </c>
      <c r="E3522" s="1" t="str">
        <f t="array" ref="E3522">IF(ISBLANK(XLOOKUP(E$3,daily_items,XLOOKUP($C3522,daily_dates,big_daily_table))),NA(),XLOOKUP(E$3,daily_items,XLOOKUP($C3522,daily_dates,big_daily_table)))</f>
        <v>#N/A</v>
      </c>
    </row>
    <row r="3523" ht="14.25" customHeight="1">
      <c r="B3523" s="7">
        <v>44428.0</v>
      </c>
      <c r="C3523" s="7">
        <f t="shared" si="1"/>
        <v>44423</v>
      </c>
      <c r="D3523" s="1" t="str">
        <f t="array" ref="D3523">IF(ISBLANK(XLOOKUP(D$3,daily_items,XLOOKUP($C3523,daily_dates,big_daily_table))),NA(),XLOOKUP(D$3,daily_items,XLOOKUP($C3523,daily_dates,big_daily_table)))</f>
        <v>#N/A</v>
      </c>
      <c r="E3523" s="1" t="str">
        <f t="array" ref="E3523">IF(ISBLANK(XLOOKUP(E$3,daily_items,XLOOKUP($C3523,daily_dates,big_daily_table))),NA(),XLOOKUP(E$3,daily_items,XLOOKUP($C3523,daily_dates,big_daily_table)))</f>
        <v>#N/A</v>
      </c>
    </row>
    <row r="3524" ht="14.25" customHeight="1">
      <c r="B3524" s="7">
        <v>44429.0</v>
      </c>
      <c r="C3524" s="7">
        <f t="shared" si="1"/>
        <v>44423</v>
      </c>
      <c r="D3524" s="1" t="str">
        <f t="array" ref="D3524">IF(ISBLANK(XLOOKUP(D$3,daily_items,XLOOKUP($C3524,daily_dates,big_daily_table))),NA(),XLOOKUP(D$3,daily_items,XLOOKUP($C3524,daily_dates,big_daily_table)))</f>
        <v>#N/A</v>
      </c>
      <c r="E3524" s="1" t="str">
        <f t="array" ref="E3524">IF(ISBLANK(XLOOKUP(E$3,daily_items,XLOOKUP($C3524,daily_dates,big_daily_table))),NA(),XLOOKUP(E$3,daily_items,XLOOKUP($C3524,daily_dates,big_daily_table)))</f>
        <v>#N/A</v>
      </c>
    </row>
    <row r="3525" ht="14.25" customHeight="1">
      <c r="B3525" s="7">
        <v>44430.0</v>
      </c>
      <c r="C3525" s="7">
        <f t="shared" si="1"/>
        <v>44430</v>
      </c>
      <c r="D3525" s="1" t="str">
        <f t="array" ref="D3525">IF(ISBLANK(XLOOKUP(D$3,daily_items,XLOOKUP($C3525,daily_dates,big_daily_table))),NA(),XLOOKUP(D$3,daily_items,XLOOKUP($C3525,daily_dates,big_daily_table)))</f>
        <v>#N/A</v>
      </c>
      <c r="E3525" s="1" t="str">
        <f t="array" ref="E3525">IF(ISBLANK(XLOOKUP(E$3,daily_items,XLOOKUP($C3525,daily_dates,big_daily_table))),NA(),XLOOKUP(E$3,daily_items,XLOOKUP($C3525,daily_dates,big_daily_table)))</f>
        <v>#N/A</v>
      </c>
    </row>
    <row r="3526" ht="14.25" customHeight="1">
      <c r="B3526" s="7">
        <v>44431.0</v>
      </c>
      <c r="C3526" s="7">
        <f t="shared" si="1"/>
        <v>44430</v>
      </c>
      <c r="D3526" s="1" t="str">
        <f t="array" ref="D3526">IF(ISBLANK(XLOOKUP(D$3,daily_items,XLOOKUP($C3526,daily_dates,big_daily_table))),NA(),XLOOKUP(D$3,daily_items,XLOOKUP($C3526,daily_dates,big_daily_table)))</f>
        <v>#N/A</v>
      </c>
      <c r="E3526" s="1" t="str">
        <f t="array" ref="E3526">IF(ISBLANK(XLOOKUP(E$3,daily_items,XLOOKUP($C3526,daily_dates,big_daily_table))),NA(),XLOOKUP(E$3,daily_items,XLOOKUP($C3526,daily_dates,big_daily_table)))</f>
        <v>#N/A</v>
      </c>
    </row>
    <row r="3527" ht="14.25" customHeight="1">
      <c r="B3527" s="7">
        <v>44432.0</v>
      </c>
      <c r="C3527" s="7">
        <f t="shared" si="1"/>
        <v>44430</v>
      </c>
      <c r="D3527" s="1" t="str">
        <f t="array" ref="D3527">IF(ISBLANK(XLOOKUP(D$3,daily_items,XLOOKUP($C3527,daily_dates,big_daily_table))),NA(),XLOOKUP(D$3,daily_items,XLOOKUP($C3527,daily_dates,big_daily_table)))</f>
        <v>#N/A</v>
      </c>
      <c r="E3527" s="1" t="str">
        <f t="array" ref="E3527">IF(ISBLANK(XLOOKUP(E$3,daily_items,XLOOKUP($C3527,daily_dates,big_daily_table))),NA(),XLOOKUP(E$3,daily_items,XLOOKUP($C3527,daily_dates,big_daily_table)))</f>
        <v>#N/A</v>
      </c>
    </row>
    <row r="3528" ht="14.25" customHeight="1">
      <c r="B3528" s="7">
        <v>44433.0</v>
      </c>
      <c r="C3528" s="7">
        <f t="shared" si="1"/>
        <v>44430</v>
      </c>
      <c r="D3528" s="1" t="str">
        <f t="array" ref="D3528">IF(ISBLANK(XLOOKUP(D$3,daily_items,XLOOKUP($C3528,daily_dates,big_daily_table))),NA(),XLOOKUP(D$3,daily_items,XLOOKUP($C3528,daily_dates,big_daily_table)))</f>
        <v>#N/A</v>
      </c>
      <c r="E3528" s="1" t="str">
        <f t="array" ref="E3528">IF(ISBLANK(XLOOKUP(E$3,daily_items,XLOOKUP($C3528,daily_dates,big_daily_table))),NA(),XLOOKUP(E$3,daily_items,XLOOKUP($C3528,daily_dates,big_daily_table)))</f>
        <v>#N/A</v>
      </c>
    </row>
    <row r="3529" ht="14.25" customHeight="1">
      <c r="B3529" s="7">
        <v>44434.0</v>
      </c>
      <c r="C3529" s="7">
        <f t="shared" si="1"/>
        <v>44430</v>
      </c>
      <c r="D3529" s="1" t="str">
        <f t="array" ref="D3529">IF(ISBLANK(XLOOKUP(D$3,daily_items,XLOOKUP($C3529,daily_dates,big_daily_table))),NA(),XLOOKUP(D$3,daily_items,XLOOKUP($C3529,daily_dates,big_daily_table)))</f>
        <v>#N/A</v>
      </c>
      <c r="E3529" s="1" t="str">
        <f t="array" ref="E3529">IF(ISBLANK(XLOOKUP(E$3,daily_items,XLOOKUP($C3529,daily_dates,big_daily_table))),NA(),XLOOKUP(E$3,daily_items,XLOOKUP($C3529,daily_dates,big_daily_table)))</f>
        <v>#N/A</v>
      </c>
    </row>
    <row r="3530" ht="14.25" customHeight="1">
      <c r="B3530" s="7">
        <v>44435.0</v>
      </c>
      <c r="C3530" s="7">
        <f t="shared" si="1"/>
        <v>44430</v>
      </c>
      <c r="D3530" s="1" t="str">
        <f t="array" ref="D3530">IF(ISBLANK(XLOOKUP(D$3,daily_items,XLOOKUP($C3530,daily_dates,big_daily_table))),NA(),XLOOKUP(D$3,daily_items,XLOOKUP($C3530,daily_dates,big_daily_table)))</f>
        <v>#N/A</v>
      </c>
      <c r="E3530" s="1" t="str">
        <f t="array" ref="E3530">IF(ISBLANK(XLOOKUP(E$3,daily_items,XLOOKUP($C3530,daily_dates,big_daily_table))),NA(),XLOOKUP(E$3,daily_items,XLOOKUP($C3530,daily_dates,big_daily_table)))</f>
        <v>#N/A</v>
      </c>
    </row>
    <row r="3531" ht="14.25" customHeight="1">
      <c r="B3531" s="7">
        <v>44436.0</v>
      </c>
      <c r="C3531" s="7">
        <f t="shared" si="1"/>
        <v>44430</v>
      </c>
      <c r="D3531" s="1" t="str">
        <f t="array" ref="D3531">IF(ISBLANK(XLOOKUP(D$3,daily_items,XLOOKUP($C3531,daily_dates,big_daily_table))),NA(),XLOOKUP(D$3,daily_items,XLOOKUP($C3531,daily_dates,big_daily_table)))</f>
        <v>#N/A</v>
      </c>
      <c r="E3531" s="1" t="str">
        <f t="array" ref="E3531">IF(ISBLANK(XLOOKUP(E$3,daily_items,XLOOKUP($C3531,daily_dates,big_daily_table))),NA(),XLOOKUP(E$3,daily_items,XLOOKUP($C3531,daily_dates,big_daily_table)))</f>
        <v>#N/A</v>
      </c>
    </row>
    <row r="3532" ht="14.25" customHeight="1">
      <c r="B3532" s="7">
        <v>44437.0</v>
      </c>
      <c r="C3532" s="7">
        <f t="shared" si="1"/>
        <v>44437</v>
      </c>
      <c r="D3532" s="1" t="str">
        <f t="array" ref="D3532">IF(ISBLANK(XLOOKUP(D$3,daily_items,XLOOKUP($C3532,daily_dates,big_daily_table))),NA(),XLOOKUP(D$3,daily_items,XLOOKUP($C3532,daily_dates,big_daily_table)))</f>
        <v>#N/A</v>
      </c>
      <c r="E3532" s="1" t="str">
        <f t="array" ref="E3532">IF(ISBLANK(XLOOKUP(E$3,daily_items,XLOOKUP($C3532,daily_dates,big_daily_table))),NA(),XLOOKUP(E$3,daily_items,XLOOKUP($C3532,daily_dates,big_daily_table)))</f>
        <v>#N/A</v>
      </c>
    </row>
    <row r="3533" ht="14.25" customHeight="1">
      <c r="B3533" s="7">
        <v>44438.0</v>
      </c>
      <c r="C3533" s="7">
        <f t="shared" si="1"/>
        <v>44437</v>
      </c>
      <c r="D3533" s="1" t="str">
        <f t="array" ref="D3533">IF(ISBLANK(XLOOKUP(D$3,daily_items,XLOOKUP($C3533,daily_dates,big_daily_table))),NA(),XLOOKUP(D$3,daily_items,XLOOKUP($C3533,daily_dates,big_daily_table)))</f>
        <v>#N/A</v>
      </c>
      <c r="E3533" s="1" t="str">
        <f t="array" ref="E3533">IF(ISBLANK(XLOOKUP(E$3,daily_items,XLOOKUP($C3533,daily_dates,big_daily_table))),NA(),XLOOKUP(E$3,daily_items,XLOOKUP($C3533,daily_dates,big_daily_table)))</f>
        <v>#N/A</v>
      </c>
    </row>
    <row r="3534" ht="14.25" customHeight="1">
      <c r="B3534" s="7">
        <v>44439.0</v>
      </c>
      <c r="C3534" s="7">
        <f t="shared" si="1"/>
        <v>44437</v>
      </c>
      <c r="D3534" s="1" t="str">
        <f t="array" ref="D3534">IF(ISBLANK(XLOOKUP(D$3,daily_items,XLOOKUP($C3534,daily_dates,big_daily_table))),NA(),XLOOKUP(D$3,daily_items,XLOOKUP($C3534,daily_dates,big_daily_table)))</f>
        <v>#N/A</v>
      </c>
      <c r="E3534" s="1" t="str">
        <f t="array" ref="E3534">IF(ISBLANK(XLOOKUP(E$3,daily_items,XLOOKUP($C3534,daily_dates,big_daily_table))),NA(),XLOOKUP(E$3,daily_items,XLOOKUP($C3534,daily_dates,big_daily_table)))</f>
        <v>#N/A</v>
      </c>
    </row>
    <row r="3535" ht="14.25" customHeight="1">
      <c r="B3535" s="7">
        <v>44440.0</v>
      </c>
      <c r="C3535" s="7">
        <f t="shared" si="1"/>
        <v>44437</v>
      </c>
      <c r="D3535" s="1" t="str">
        <f t="array" ref="D3535">IF(ISBLANK(XLOOKUP(D$3,daily_items,XLOOKUP($C3535,daily_dates,big_daily_table))),NA(),XLOOKUP(D$3,daily_items,XLOOKUP($C3535,daily_dates,big_daily_table)))</f>
        <v>#N/A</v>
      </c>
      <c r="E3535" s="1" t="str">
        <f t="array" ref="E3535">IF(ISBLANK(XLOOKUP(E$3,daily_items,XLOOKUP($C3535,daily_dates,big_daily_table))),NA(),XLOOKUP(E$3,daily_items,XLOOKUP($C3535,daily_dates,big_daily_table)))</f>
        <v>#N/A</v>
      </c>
    </row>
    <row r="3536" ht="14.25" customHeight="1">
      <c r="B3536" s="7">
        <v>44441.0</v>
      </c>
      <c r="C3536" s="7">
        <f t="shared" si="1"/>
        <v>44437</v>
      </c>
      <c r="D3536" s="1" t="str">
        <f t="array" ref="D3536">IF(ISBLANK(XLOOKUP(D$3,daily_items,XLOOKUP($C3536,daily_dates,big_daily_table))),NA(),XLOOKUP(D$3,daily_items,XLOOKUP($C3536,daily_dates,big_daily_table)))</f>
        <v>#N/A</v>
      </c>
      <c r="E3536" s="1" t="str">
        <f t="array" ref="E3536">IF(ISBLANK(XLOOKUP(E$3,daily_items,XLOOKUP($C3536,daily_dates,big_daily_table))),NA(),XLOOKUP(E$3,daily_items,XLOOKUP($C3536,daily_dates,big_daily_table)))</f>
        <v>#N/A</v>
      </c>
    </row>
    <row r="3537" ht="14.25" customHeight="1">
      <c r="B3537" s="7">
        <v>44442.0</v>
      </c>
      <c r="C3537" s="7">
        <f t="shared" si="1"/>
        <v>44437</v>
      </c>
      <c r="D3537" s="1" t="str">
        <f t="array" ref="D3537">IF(ISBLANK(XLOOKUP(D$3,daily_items,XLOOKUP($C3537,daily_dates,big_daily_table))),NA(),XLOOKUP(D$3,daily_items,XLOOKUP($C3537,daily_dates,big_daily_table)))</f>
        <v>#N/A</v>
      </c>
      <c r="E3537" s="1" t="str">
        <f t="array" ref="E3537">IF(ISBLANK(XLOOKUP(E$3,daily_items,XLOOKUP($C3537,daily_dates,big_daily_table))),NA(),XLOOKUP(E$3,daily_items,XLOOKUP($C3537,daily_dates,big_daily_table)))</f>
        <v>#N/A</v>
      </c>
    </row>
    <row r="3538" ht="14.25" customHeight="1">
      <c r="B3538" s="7">
        <v>44443.0</v>
      </c>
      <c r="C3538" s="7">
        <f t="shared" si="1"/>
        <v>44437</v>
      </c>
      <c r="D3538" s="1" t="str">
        <f t="array" ref="D3538">IF(ISBLANK(XLOOKUP(D$3,daily_items,XLOOKUP($C3538,daily_dates,big_daily_table))),NA(),XLOOKUP(D$3,daily_items,XLOOKUP($C3538,daily_dates,big_daily_table)))</f>
        <v>#N/A</v>
      </c>
      <c r="E3538" s="1" t="str">
        <f t="array" ref="E3538">IF(ISBLANK(XLOOKUP(E$3,daily_items,XLOOKUP($C3538,daily_dates,big_daily_table))),NA(),XLOOKUP(E$3,daily_items,XLOOKUP($C3538,daily_dates,big_daily_table)))</f>
        <v>#N/A</v>
      </c>
    </row>
    <row r="3539" ht="14.25" customHeight="1">
      <c r="B3539" s="7">
        <v>44444.0</v>
      </c>
      <c r="C3539" s="7">
        <f t="shared" si="1"/>
        <v>44444</v>
      </c>
      <c r="D3539" s="1" t="str">
        <f t="array" ref="D3539">IF(ISBLANK(XLOOKUP(D$3,daily_items,XLOOKUP($C3539,daily_dates,big_daily_table))),NA(),XLOOKUP(D$3,daily_items,XLOOKUP($C3539,daily_dates,big_daily_table)))</f>
        <v>#N/A</v>
      </c>
      <c r="E3539" s="1" t="str">
        <f t="array" ref="E3539">IF(ISBLANK(XLOOKUP(E$3,daily_items,XLOOKUP($C3539,daily_dates,big_daily_table))),NA(),XLOOKUP(E$3,daily_items,XLOOKUP($C3539,daily_dates,big_daily_table)))</f>
        <v>#N/A</v>
      </c>
    </row>
    <row r="3540" ht="14.25" customHeight="1">
      <c r="B3540" s="7">
        <v>44445.0</v>
      </c>
      <c r="C3540" s="7">
        <f t="shared" si="1"/>
        <v>44444</v>
      </c>
      <c r="D3540" s="1" t="str">
        <f t="array" ref="D3540">IF(ISBLANK(XLOOKUP(D$3,daily_items,XLOOKUP($C3540,daily_dates,big_daily_table))),NA(),XLOOKUP(D$3,daily_items,XLOOKUP($C3540,daily_dates,big_daily_table)))</f>
        <v>#N/A</v>
      </c>
      <c r="E3540" s="1" t="str">
        <f t="array" ref="E3540">IF(ISBLANK(XLOOKUP(E$3,daily_items,XLOOKUP($C3540,daily_dates,big_daily_table))),NA(),XLOOKUP(E$3,daily_items,XLOOKUP($C3540,daily_dates,big_daily_table)))</f>
        <v>#N/A</v>
      </c>
    </row>
    <row r="3541" ht="14.25" customHeight="1">
      <c r="B3541" s="7">
        <v>44446.0</v>
      </c>
      <c r="C3541" s="7">
        <f t="shared" si="1"/>
        <v>44444</v>
      </c>
      <c r="D3541" s="1" t="str">
        <f t="array" ref="D3541">IF(ISBLANK(XLOOKUP(D$3,daily_items,XLOOKUP($C3541,daily_dates,big_daily_table))),NA(),XLOOKUP(D$3,daily_items,XLOOKUP($C3541,daily_dates,big_daily_table)))</f>
        <v>#N/A</v>
      </c>
      <c r="E3541" s="1" t="str">
        <f t="array" ref="E3541">IF(ISBLANK(XLOOKUP(E$3,daily_items,XLOOKUP($C3541,daily_dates,big_daily_table))),NA(),XLOOKUP(E$3,daily_items,XLOOKUP($C3541,daily_dates,big_daily_table)))</f>
        <v>#N/A</v>
      </c>
    </row>
    <row r="3542" ht="14.25" customHeight="1">
      <c r="B3542" s="7">
        <v>44447.0</v>
      </c>
      <c r="C3542" s="7">
        <f t="shared" si="1"/>
        <v>44444</v>
      </c>
      <c r="D3542" s="1" t="str">
        <f t="array" ref="D3542">IF(ISBLANK(XLOOKUP(D$3,daily_items,XLOOKUP($C3542,daily_dates,big_daily_table))),NA(),XLOOKUP(D$3,daily_items,XLOOKUP($C3542,daily_dates,big_daily_table)))</f>
        <v>#N/A</v>
      </c>
      <c r="E3542" s="1" t="str">
        <f t="array" ref="E3542">IF(ISBLANK(XLOOKUP(E$3,daily_items,XLOOKUP($C3542,daily_dates,big_daily_table))),NA(),XLOOKUP(E$3,daily_items,XLOOKUP($C3542,daily_dates,big_daily_table)))</f>
        <v>#N/A</v>
      </c>
    </row>
    <row r="3543" ht="14.25" customHeight="1">
      <c r="B3543" s="7">
        <v>44448.0</v>
      </c>
      <c r="C3543" s="7">
        <f t="shared" si="1"/>
        <v>44444</v>
      </c>
      <c r="D3543" s="1" t="str">
        <f t="array" ref="D3543">IF(ISBLANK(XLOOKUP(D$3,daily_items,XLOOKUP($C3543,daily_dates,big_daily_table))),NA(),XLOOKUP(D$3,daily_items,XLOOKUP($C3543,daily_dates,big_daily_table)))</f>
        <v>#N/A</v>
      </c>
      <c r="E3543" s="1" t="str">
        <f t="array" ref="E3543">IF(ISBLANK(XLOOKUP(E$3,daily_items,XLOOKUP($C3543,daily_dates,big_daily_table))),NA(),XLOOKUP(E$3,daily_items,XLOOKUP($C3543,daily_dates,big_daily_table)))</f>
        <v>#N/A</v>
      </c>
    </row>
    <row r="3544" ht="14.25" customHeight="1">
      <c r="B3544" s="7">
        <v>44449.0</v>
      </c>
      <c r="C3544" s="7">
        <f t="shared" si="1"/>
        <v>44444</v>
      </c>
      <c r="D3544" s="1" t="str">
        <f t="array" ref="D3544">IF(ISBLANK(XLOOKUP(D$3,daily_items,XLOOKUP($C3544,daily_dates,big_daily_table))),NA(),XLOOKUP(D$3,daily_items,XLOOKUP($C3544,daily_dates,big_daily_table)))</f>
        <v>#N/A</v>
      </c>
      <c r="E3544" s="1" t="str">
        <f t="array" ref="E3544">IF(ISBLANK(XLOOKUP(E$3,daily_items,XLOOKUP($C3544,daily_dates,big_daily_table))),NA(),XLOOKUP(E$3,daily_items,XLOOKUP($C3544,daily_dates,big_daily_table)))</f>
        <v>#N/A</v>
      </c>
    </row>
    <row r="3545" ht="14.25" customHeight="1">
      <c r="B3545" s="7">
        <v>44450.0</v>
      </c>
      <c r="C3545" s="7">
        <f t="shared" si="1"/>
        <v>44444</v>
      </c>
      <c r="D3545" s="1" t="str">
        <f t="array" ref="D3545">IF(ISBLANK(XLOOKUP(D$3,daily_items,XLOOKUP($C3545,daily_dates,big_daily_table))),NA(),XLOOKUP(D$3,daily_items,XLOOKUP($C3545,daily_dates,big_daily_table)))</f>
        <v>#N/A</v>
      </c>
      <c r="E3545" s="1" t="str">
        <f t="array" ref="E3545">IF(ISBLANK(XLOOKUP(E$3,daily_items,XLOOKUP($C3545,daily_dates,big_daily_table))),NA(),XLOOKUP(E$3,daily_items,XLOOKUP($C3545,daily_dates,big_daily_table)))</f>
        <v>#N/A</v>
      </c>
    </row>
    <row r="3546" ht="14.25" customHeight="1">
      <c r="B3546" s="7">
        <v>44451.0</v>
      </c>
      <c r="C3546" s="7">
        <f t="shared" si="1"/>
        <v>44451</v>
      </c>
      <c r="D3546" s="1" t="str">
        <f t="array" ref="D3546">IF(ISBLANK(XLOOKUP(D$3,daily_items,XLOOKUP($C3546,daily_dates,big_daily_table))),NA(),XLOOKUP(D$3,daily_items,XLOOKUP($C3546,daily_dates,big_daily_table)))</f>
        <v>#N/A</v>
      </c>
      <c r="E3546" s="1" t="str">
        <f t="array" ref="E3546">IF(ISBLANK(XLOOKUP(E$3,daily_items,XLOOKUP($C3546,daily_dates,big_daily_table))),NA(),XLOOKUP(E$3,daily_items,XLOOKUP($C3546,daily_dates,big_daily_table)))</f>
        <v>#N/A</v>
      </c>
    </row>
    <row r="3547" ht="14.25" customHeight="1">
      <c r="B3547" s="7">
        <v>44452.0</v>
      </c>
      <c r="C3547" s="7">
        <f t="shared" si="1"/>
        <v>44451</v>
      </c>
      <c r="D3547" s="1" t="str">
        <f t="array" ref="D3547">IF(ISBLANK(XLOOKUP(D$3,daily_items,XLOOKUP($C3547,daily_dates,big_daily_table))),NA(),XLOOKUP(D$3,daily_items,XLOOKUP($C3547,daily_dates,big_daily_table)))</f>
        <v>#N/A</v>
      </c>
      <c r="E3547" s="1" t="str">
        <f t="array" ref="E3547">IF(ISBLANK(XLOOKUP(E$3,daily_items,XLOOKUP($C3547,daily_dates,big_daily_table))),NA(),XLOOKUP(E$3,daily_items,XLOOKUP($C3547,daily_dates,big_daily_table)))</f>
        <v>#N/A</v>
      </c>
    </row>
    <row r="3548" ht="14.25" customHeight="1">
      <c r="B3548" s="7">
        <v>44453.0</v>
      </c>
      <c r="C3548" s="7">
        <f t="shared" si="1"/>
        <v>44451</v>
      </c>
      <c r="D3548" s="1" t="str">
        <f t="array" ref="D3548">IF(ISBLANK(XLOOKUP(D$3,daily_items,XLOOKUP($C3548,daily_dates,big_daily_table))),NA(),XLOOKUP(D$3,daily_items,XLOOKUP($C3548,daily_dates,big_daily_table)))</f>
        <v>#N/A</v>
      </c>
      <c r="E3548" s="1" t="str">
        <f t="array" ref="E3548">IF(ISBLANK(XLOOKUP(E$3,daily_items,XLOOKUP($C3548,daily_dates,big_daily_table))),NA(),XLOOKUP(E$3,daily_items,XLOOKUP($C3548,daily_dates,big_daily_table)))</f>
        <v>#N/A</v>
      </c>
    </row>
    <row r="3549" ht="14.25" customHeight="1">
      <c r="B3549" s="7">
        <v>44454.0</v>
      </c>
      <c r="C3549" s="7">
        <f t="shared" si="1"/>
        <v>44451</v>
      </c>
      <c r="D3549" s="1" t="str">
        <f t="array" ref="D3549">IF(ISBLANK(XLOOKUP(D$3,daily_items,XLOOKUP($C3549,daily_dates,big_daily_table))),NA(),XLOOKUP(D$3,daily_items,XLOOKUP($C3549,daily_dates,big_daily_table)))</f>
        <v>#N/A</v>
      </c>
      <c r="E3549" s="1" t="str">
        <f t="array" ref="E3549">IF(ISBLANK(XLOOKUP(E$3,daily_items,XLOOKUP($C3549,daily_dates,big_daily_table))),NA(),XLOOKUP(E$3,daily_items,XLOOKUP($C3549,daily_dates,big_daily_table)))</f>
        <v>#N/A</v>
      </c>
    </row>
    <row r="3550" ht="14.25" customHeight="1">
      <c r="B3550" s="7">
        <v>44455.0</v>
      </c>
      <c r="C3550" s="7">
        <f t="shared" si="1"/>
        <v>44451</v>
      </c>
      <c r="D3550" s="1" t="str">
        <f t="array" ref="D3550">IF(ISBLANK(XLOOKUP(D$3,daily_items,XLOOKUP($C3550,daily_dates,big_daily_table))),NA(),XLOOKUP(D$3,daily_items,XLOOKUP($C3550,daily_dates,big_daily_table)))</f>
        <v>#N/A</v>
      </c>
      <c r="E3550" s="1" t="str">
        <f t="array" ref="E3550">IF(ISBLANK(XLOOKUP(E$3,daily_items,XLOOKUP($C3550,daily_dates,big_daily_table))),NA(),XLOOKUP(E$3,daily_items,XLOOKUP($C3550,daily_dates,big_daily_table)))</f>
        <v>#N/A</v>
      </c>
    </row>
    <row r="3551" ht="14.25" customHeight="1">
      <c r="B3551" s="7">
        <v>44456.0</v>
      </c>
      <c r="C3551" s="7">
        <f t="shared" si="1"/>
        <v>44451</v>
      </c>
      <c r="D3551" s="1" t="str">
        <f t="array" ref="D3551">IF(ISBLANK(XLOOKUP(D$3,daily_items,XLOOKUP($C3551,daily_dates,big_daily_table))),NA(),XLOOKUP(D$3,daily_items,XLOOKUP($C3551,daily_dates,big_daily_table)))</f>
        <v>#N/A</v>
      </c>
      <c r="E3551" s="1" t="str">
        <f t="array" ref="E3551">IF(ISBLANK(XLOOKUP(E$3,daily_items,XLOOKUP($C3551,daily_dates,big_daily_table))),NA(),XLOOKUP(E$3,daily_items,XLOOKUP($C3551,daily_dates,big_daily_table)))</f>
        <v>#N/A</v>
      </c>
    </row>
    <row r="3552" ht="14.25" customHeight="1">
      <c r="B3552" s="7">
        <v>44457.0</v>
      </c>
      <c r="C3552" s="7">
        <f t="shared" si="1"/>
        <v>44451</v>
      </c>
      <c r="D3552" s="1" t="str">
        <f t="array" ref="D3552">IF(ISBLANK(XLOOKUP(D$3,daily_items,XLOOKUP($C3552,daily_dates,big_daily_table))),NA(),XLOOKUP(D$3,daily_items,XLOOKUP($C3552,daily_dates,big_daily_table)))</f>
        <v>#N/A</v>
      </c>
      <c r="E3552" s="1" t="str">
        <f t="array" ref="E3552">IF(ISBLANK(XLOOKUP(E$3,daily_items,XLOOKUP($C3552,daily_dates,big_daily_table))),NA(),XLOOKUP(E$3,daily_items,XLOOKUP($C3552,daily_dates,big_daily_table)))</f>
        <v>#N/A</v>
      </c>
    </row>
    <row r="3553" ht="14.25" customHeight="1">
      <c r="B3553" s="7">
        <v>44458.0</v>
      </c>
      <c r="C3553" s="7">
        <f t="shared" si="1"/>
        <v>44458</v>
      </c>
      <c r="D3553" s="1" t="str">
        <f t="array" ref="D3553">IF(ISBLANK(XLOOKUP(D$3,daily_items,XLOOKUP($C3553,daily_dates,big_daily_table))),NA(),XLOOKUP(D$3,daily_items,XLOOKUP($C3553,daily_dates,big_daily_table)))</f>
        <v>#N/A</v>
      </c>
      <c r="E3553" s="1" t="str">
        <f t="array" ref="E3553">IF(ISBLANK(XLOOKUP(E$3,daily_items,XLOOKUP($C3553,daily_dates,big_daily_table))),NA(),XLOOKUP(E$3,daily_items,XLOOKUP($C3553,daily_dates,big_daily_table)))</f>
        <v>#N/A</v>
      </c>
    </row>
    <row r="3554" ht="14.25" customHeight="1">
      <c r="B3554" s="7">
        <v>44459.0</v>
      </c>
      <c r="C3554" s="7">
        <f t="shared" si="1"/>
        <v>44458</v>
      </c>
      <c r="D3554" s="1" t="str">
        <f t="array" ref="D3554">IF(ISBLANK(XLOOKUP(D$3,daily_items,XLOOKUP($C3554,daily_dates,big_daily_table))),NA(),XLOOKUP(D$3,daily_items,XLOOKUP($C3554,daily_dates,big_daily_table)))</f>
        <v>#N/A</v>
      </c>
      <c r="E3554" s="1" t="str">
        <f t="array" ref="E3554">IF(ISBLANK(XLOOKUP(E$3,daily_items,XLOOKUP($C3554,daily_dates,big_daily_table))),NA(),XLOOKUP(E$3,daily_items,XLOOKUP($C3554,daily_dates,big_daily_table)))</f>
        <v>#N/A</v>
      </c>
    </row>
    <row r="3555" ht="14.25" customHeight="1">
      <c r="B3555" s="7">
        <v>44460.0</v>
      </c>
      <c r="C3555" s="7">
        <f t="shared" si="1"/>
        <v>44458</v>
      </c>
      <c r="D3555" s="1" t="str">
        <f t="array" ref="D3555">IF(ISBLANK(XLOOKUP(D$3,daily_items,XLOOKUP($C3555,daily_dates,big_daily_table))),NA(),XLOOKUP(D$3,daily_items,XLOOKUP($C3555,daily_dates,big_daily_table)))</f>
        <v>#N/A</v>
      </c>
      <c r="E3555" s="1" t="str">
        <f t="array" ref="E3555">IF(ISBLANK(XLOOKUP(E$3,daily_items,XLOOKUP($C3555,daily_dates,big_daily_table))),NA(),XLOOKUP(E$3,daily_items,XLOOKUP($C3555,daily_dates,big_daily_table)))</f>
        <v>#N/A</v>
      </c>
    </row>
    <row r="3556" ht="14.25" customHeight="1">
      <c r="B3556" s="7">
        <v>44461.0</v>
      </c>
      <c r="C3556" s="7">
        <f t="shared" si="1"/>
        <v>44458</v>
      </c>
      <c r="D3556" s="1" t="str">
        <f t="array" ref="D3556">IF(ISBLANK(XLOOKUP(D$3,daily_items,XLOOKUP($C3556,daily_dates,big_daily_table))),NA(),XLOOKUP(D$3,daily_items,XLOOKUP($C3556,daily_dates,big_daily_table)))</f>
        <v>#N/A</v>
      </c>
      <c r="E3556" s="1" t="str">
        <f t="array" ref="E3556">IF(ISBLANK(XLOOKUP(E$3,daily_items,XLOOKUP($C3556,daily_dates,big_daily_table))),NA(),XLOOKUP(E$3,daily_items,XLOOKUP($C3556,daily_dates,big_daily_table)))</f>
        <v>#N/A</v>
      </c>
    </row>
    <row r="3557" ht="14.25" customHeight="1">
      <c r="B3557" s="7">
        <v>44462.0</v>
      </c>
      <c r="C3557" s="7">
        <f t="shared" si="1"/>
        <v>44458</v>
      </c>
      <c r="D3557" s="1" t="str">
        <f t="array" ref="D3557">IF(ISBLANK(XLOOKUP(D$3,daily_items,XLOOKUP($C3557,daily_dates,big_daily_table))),NA(),XLOOKUP(D$3,daily_items,XLOOKUP($C3557,daily_dates,big_daily_table)))</f>
        <v>#N/A</v>
      </c>
      <c r="E3557" s="1" t="str">
        <f t="array" ref="E3557">IF(ISBLANK(XLOOKUP(E$3,daily_items,XLOOKUP($C3557,daily_dates,big_daily_table))),NA(),XLOOKUP(E$3,daily_items,XLOOKUP($C3557,daily_dates,big_daily_table)))</f>
        <v>#N/A</v>
      </c>
    </row>
    <row r="3558" ht="14.25" customHeight="1">
      <c r="B3558" s="7">
        <v>44463.0</v>
      </c>
      <c r="C3558" s="7">
        <f t="shared" si="1"/>
        <v>44458</v>
      </c>
      <c r="D3558" s="1" t="str">
        <f t="array" ref="D3558">IF(ISBLANK(XLOOKUP(D$3,daily_items,XLOOKUP($C3558,daily_dates,big_daily_table))),NA(),XLOOKUP(D$3,daily_items,XLOOKUP($C3558,daily_dates,big_daily_table)))</f>
        <v>#N/A</v>
      </c>
      <c r="E3558" s="1" t="str">
        <f t="array" ref="E3558">IF(ISBLANK(XLOOKUP(E$3,daily_items,XLOOKUP($C3558,daily_dates,big_daily_table))),NA(),XLOOKUP(E$3,daily_items,XLOOKUP($C3558,daily_dates,big_daily_table)))</f>
        <v>#N/A</v>
      </c>
    </row>
    <row r="3559" ht="14.25" customHeight="1">
      <c r="B3559" s="7">
        <v>44464.0</v>
      </c>
      <c r="C3559" s="7">
        <f t="shared" si="1"/>
        <v>44458</v>
      </c>
      <c r="D3559" s="1" t="str">
        <f t="array" ref="D3559">IF(ISBLANK(XLOOKUP(D$3,daily_items,XLOOKUP($C3559,daily_dates,big_daily_table))),NA(),XLOOKUP(D$3,daily_items,XLOOKUP($C3559,daily_dates,big_daily_table)))</f>
        <v>#N/A</v>
      </c>
      <c r="E3559" s="1" t="str">
        <f t="array" ref="E3559">IF(ISBLANK(XLOOKUP(E$3,daily_items,XLOOKUP($C3559,daily_dates,big_daily_table))),NA(),XLOOKUP(E$3,daily_items,XLOOKUP($C3559,daily_dates,big_daily_table)))</f>
        <v>#N/A</v>
      </c>
    </row>
    <row r="3560" ht="14.25" customHeight="1">
      <c r="B3560" s="7">
        <v>44465.0</v>
      </c>
      <c r="C3560" s="7">
        <f t="shared" si="1"/>
        <v>44465</v>
      </c>
      <c r="D3560" s="1" t="str">
        <f t="array" ref="D3560">IF(ISBLANK(XLOOKUP(D$3,daily_items,XLOOKUP($C3560,daily_dates,big_daily_table))),NA(),XLOOKUP(D$3,daily_items,XLOOKUP($C3560,daily_dates,big_daily_table)))</f>
        <v>#N/A</v>
      </c>
      <c r="E3560" s="1" t="str">
        <f t="array" ref="E3560">IF(ISBLANK(XLOOKUP(E$3,daily_items,XLOOKUP($C3560,daily_dates,big_daily_table))),NA(),XLOOKUP(E$3,daily_items,XLOOKUP($C3560,daily_dates,big_daily_table)))</f>
        <v>#N/A</v>
      </c>
    </row>
    <row r="3561" ht="14.25" customHeight="1">
      <c r="B3561" s="7">
        <v>44466.0</v>
      </c>
      <c r="C3561" s="7">
        <f t="shared" si="1"/>
        <v>44465</v>
      </c>
      <c r="D3561" s="1" t="str">
        <f t="array" ref="D3561">IF(ISBLANK(XLOOKUP(D$3,daily_items,XLOOKUP($C3561,daily_dates,big_daily_table))),NA(),XLOOKUP(D$3,daily_items,XLOOKUP($C3561,daily_dates,big_daily_table)))</f>
        <v>#N/A</v>
      </c>
      <c r="E3561" s="1" t="str">
        <f t="array" ref="E3561">IF(ISBLANK(XLOOKUP(E$3,daily_items,XLOOKUP($C3561,daily_dates,big_daily_table))),NA(),XLOOKUP(E$3,daily_items,XLOOKUP($C3561,daily_dates,big_daily_table)))</f>
        <v>#N/A</v>
      </c>
    </row>
    <row r="3562" ht="14.25" customHeight="1">
      <c r="B3562" s="7">
        <v>44467.0</v>
      </c>
      <c r="C3562" s="7">
        <f t="shared" si="1"/>
        <v>44465</v>
      </c>
      <c r="D3562" s="1" t="str">
        <f t="array" ref="D3562">IF(ISBLANK(XLOOKUP(D$3,daily_items,XLOOKUP($C3562,daily_dates,big_daily_table))),NA(),XLOOKUP(D$3,daily_items,XLOOKUP($C3562,daily_dates,big_daily_table)))</f>
        <v>#N/A</v>
      </c>
      <c r="E3562" s="1" t="str">
        <f t="array" ref="E3562">IF(ISBLANK(XLOOKUP(E$3,daily_items,XLOOKUP($C3562,daily_dates,big_daily_table))),NA(),XLOOKUP(E$3,daily_items,XLOOKUP($C3562,daily_dates,big_daily_table)))</f>
        <v>#N/A</v>
      </c>
    </row>
    <row r="3563" ht="14.25" customHeight="1">
      <c r="B3563" s="7">
        <v>44468.0</v>
      </c>
      <c r="C3563" s="7">
        <f t="shared" si="1"/>
        <v>44465</v>
      </c>
      <c r="D3563" s="1" t="str">
        <f t="array" ref="D3563">IF(ISBLANK(XLOOKUP(D$3,daily_items,XLOOKUP($C3563,daily_dates,big_daily_table))),NA(),XLOOKUP(D$3,daily_items,XLOOKUP($C3563,daily_dates,big_daily_table)))</f>
        <v>#N/A</v>
      </c>
      <c r="E3563" s="1" t="str">
        <f t="array" ref="E3563">IF(ISBLANK(XLOOKUP(E$3,daily_items,XLOOKUP($C3563,daily_dates,big_daily_table))),NA(),XLOOKUP(E$3,daily_items,XLOOKUP($C3563,daily_dates,big_daily_table)))</f>
        <v>#N/A</v>
      </c>
    </row>
    <row r="3564" ht="14.25" customHeight="1">
      <c r="B3564" s="7">
        <v>44469.0</v>
      </c>
      <c r="C3564" s="7">
        <f t="shared" si="1"/>
        <v>44465</v>
      </c>
      <c r="D3564" s="1" t="str">
        <f t="array" ref="D3564">IF(ISBLANK(XLOOKUP(D$3,daily_items,XLOOKUP($C3564,daily_dates,big_daily_table))),NA(),XLOOKUP(D$3,daily_items,XLOOKUP($C3564,daily_dates,big_daily_table)))</f>
        <v>#N/A</v>
      </c>
      <c r="E3564" s="1" t="str">
        <f t="array" ref="E3564">IF(ISBLANK(XLOOKUP(E$3,daily_items,XLOOKUP($C3564,daily_dates,big_daily_table))),NA(),XLOOKUP(E$3,daily_items,XLOOKUP($C3564,daily_dates,big_daily_table)))</f>
        <v>#N/A</v>
      </c>
    </row>
    <row r="3565" ht="14.25" customHeight="1">
      <c r="B3565" s="7">
        <v>44470.0</v>
      </c>
      <c r="C3565" s="7">
        <f t="shared" si="1"/>
        <v>44465</v>
      </c>
      <c r="D3565" s="1" t="str">
        <f t="array" ref="D3565">IF(ISBLANK(XLOOKUP(D$3,daily_items,XLOOKUP($C3565,daily_dates,big_daily_table))),NA(),XLOOKUP(D$3,daily_items,XLOOKUP($C3565,daily_dates,big_daily_table)))</f>
        <v>#N/A</v>
      </c>
      <c r="E3565" s="1" t="str">
        <f t="array" ref="E3565">IF(ISBLANK(XLOOKUP(E$3,daily_items,XLOOKUP($C3565,daily_dates,big_daily_table))),NA(),XLOOKUP(E$3,daily_items,XLOOKUP($C3565,daily_dates,big_daily_table)))</f>
        <v>#N/A</v>
      </c>
    </row>
    <row r="3566" ht="14.25" customHeight="1">
      <c r="B3566" s="7">
        <v>44471.0</v>
      </c>
      <c r="C3566" s="7">
        <f t="shared" si="1"/>
        <v>44465</v>
      </c>
      <c r="D3566" s="1" t="str">
        <f t="array" ref="D3566">IF(ISBLANK(XLOOKUP(D$3,daily_items,XLOOKUP($C3566,daily_dates,big_daily_table))),NA(),XLOOKUP(D$3,daily_items,XLOOKUP($C3566,daily_dates,big_daily_table)))</f>
        <v>#N/A</v>
      </c>
      <c r="E3566" s="1" t="str">
        <f t="array" ref="E3566">IF(ISBLANK(XLOOKUP(E$3,daily_items,XLOOKUP($C3566,daily_dates,big_daily_table))),NA(),XLOOKUP(E$3,daily_items,XLOOKUP($C3566,daily_dates,big_daily_table)))</f>
        <v>#N/A</v>
      </c>
    </row>
    <row r="3567" ht="14.25" customHeight="1">
      <c r="B3567" s="7">
        <v>44472.0</v>
      </c>
      <c r="C3567" s="7">
        <f t="shared" si="1"/>
        <v>44472</v>
      </c>
      <c r="D3567" s="1" t="str">
        <f t="array" ref="D3567">IF(ISBLANK(XLOOKUP(D$3,daily_items,XLOOKUP($C3567,daily_dates,big_daily_table))),NA(),XLOOKUP(D$3,daily_items,XLOOKUP($C3567,daily_dates,big_daily_table)))</f>
        <v>#N/A</v>
      </c>
      <c r="E3567" s="1" t="str">
        <f t="array" ref="E3567">IF(ISBLANK(XLOOKUP(E$3,daily_items,XLOOKUP($C3567,daily_dates,big_daily_table))),NA(),XLOOKUP(E$3,daily_items,XLOOKUP($C3567,daily_dates,big_daily_table)))</f>
        <v>#N/A</v>
      </c>
    </row>
    <row r="3568" ht="14.25" customHeight="1">
      <c r="B3568" s="7">
        <v>44473.0</v>
      </c>
      <c r="C3568" s="7">
        <f t="shared" si="1"/>
        <v>44472</v>
      </c>
      <c r="D3568" s="1" t="str">
        <f t="array" ref="D3568">IF(ISBLANK(XLOOKUP(D$3,daily_items,XLOOKUP($C3568,daily_dates,big_daily_table))),NA(),XLOOKUP(D$3,daily_items,XLOOKUP($C3568,daily_dates,big_daily_table)))</f>
        <v>#N/A</v>
      </c>
      <c r="E3568" s="1" t="str">
        <f t="array" ref="E3568">IF(ISBLANK(XLOOKUP(E$3,daily_items,XLOOKUP($C3568,daily_dates,big_daily_table))),NA(),XLOOKUP(E$3,daily_items,XLOOKUP($C3568,daily_dates,big_daily_table)))</f>
        <v>#N/A</v>
      </c>
    </row>
    <row r="3569" ht="14.25" customHeight="1">
      <c r="B3569" s="7">
        <v>44474.0</v>
      </c>
      <c r="C3569" s="7">
        <f t="shared" si="1"/>
        <v>44472</v>
      </c>
      <c r="D3569" s="1" t="str">
        <f t="array" ref="D3569">IF(ISBLANK(XLOOKUP(D$3,daily_items,XLOOKUP($C3569,daily_dates,big_daily_table))),NA(),XLOOKUP(D$3,daily_items,XLOOKUP($C3569,daily_dates,big_daily_table)))</f>
        <v>#N/A</v>
      </c>
      <c r="E3569" s="1" t="str">
        <f t="array" ref="E3569">IF(ISBLANK(XLOOKUP(E$3,daily_items,XLOOKUP($C3569,daily_dates,big_daily_table))),NA(),XLOOKUP(E$3,daily_items,XLOOKUP($C3569,daily_dates,big_daily_table)))</f>
        <v>#N/A</v>
      </c>
    </row>
    <row r="3570" ht="14.25" customHeight="1">
      <c r="B3570" s="7">
        <v>44475.0</v>
      </c>
      <c r="C3570" s="7">
        <f t="shared" si="1"/>
        <v>44472</v>
      </c>
      <c r="D3570" s="1" t="str">
        <f t="array" ref="D3570">IF(ISBLANK(XLOOKUP(D$3,daily_items,XLOOKUP($C3570,daily_dates,big_daily_table))),NA(),XLOOKUP(D$3,daily_items,XLOOKUP($C3570,daily_dates,big_daily_table)))</f>
        <v>#N/A</v>
      </c>
      <c r="E3570" s="1" t="str">
        <f t="array" ref="E3570">IF(ISBLANK(XLOOKUP(E$3,daily_items,XLOOKUP($C3570,daily_dates,big_daily_table))),NA(),XLOOKUP(E$3,daily_items,XLOOKUP($C3570,daily_dates,big_daily_table)))</f>
        <v>#N/A</v>
      </c>
    </row>
    <row r="3571" ht="14.25" customHeight="1">
      <c r="B3571" s="7">
        <v>44476.0</v>
      </c>
      <c r="C3571" s="7">
        <f t="shared" si="1"/>
        <v>44472</v>
      </c>
      <c r="D3571" s="1" t="str">
        <f t="array" ref="D3571">IF(ISBLANK(XLOOKUP(D$3,daily_items,XLOOKUP($C3571,daily_dates,big_daily_table))),NA(),XLOOKUP(D$3,daily_items,XLOOKUP($C3571,daily_dates,big_daily_table)))</f>
        <v>#N/A</v>
      </c>
      <c r="E3571" s="1" t="str">
        <f t="array" ref="E3571">IF(ISBLANK(XLOOKUP(E$3,daily_items,XLOOKUP($C3571,daily_dates,big_daily_table))),NA(),XLOOKUP(E$3,daily_items,XLOOKUP($C3571,daily_dates,big_daily_table)))</f>
        <v>#N/A</v>
      </c>
    </row>
    <row r="3572" ht="14.25" customHeight="1">
      <c r="B3572" s="7">
        <v>44477.0</v>
      </c>
      <c r="C3572" s="7">
        <f t="shared" si="1"/>
        <v>44472</v>
      </c>
      <c r="D3572" s="1" t="str">
        <f t="array" ref="D3572">IF(ISBLANK(XLOOKUP(D$3,daily_items,XLOOKUP($C3572,daily_dates,big_daily_table))),NA(),XLOOKUP(D$3,daily_items,XLOOKUP($C3572,daily_dates,big_daily_table)))</f>
        <v>#N/A</v>
      </c>
      <c r="E3572" s="1" t="str">
        <f t="array" ref="E3572">IF(ISBLANK(XLOOKUP(E$3,daily_items,XLOOKUP($C3572,daily_dates,big_daily_table))),NA(),XLOOKUP(E$3,daily_items,XLOOKUP($C3572,daily_dates,big_daily_table)))</f>
        <v>#N/A</v>
      </c>
    </row>
    <row r="3573" ht="14.25" customHeight="1">
      <c r="B3573" s="7">
        <v>44478.0</v>
      </c>
      <c r="C3573" s="7">
        <f t="shared" si="1"/>
        <v>44472</v>
      </c>
      <c r="D3573" s="1" t="str">
        <f t="array" ref="D3573">IF(ISBLANK(XLOOKUP(D$3,daily_items,XLOOKUP($C3573,daily_dates,big_daily_table))),NA(),XLOOKUP(D$3,daily_items,XLOOKUP($C3573,daily_dates,big_daily_table)))</f>
        <v>#N/A</v>
      </c>
      <c r="E3573" s="1" t="str">
        <f t="array" ref="E3573">IF(ISBLANK(XLOOKUP(E$3,daily_items,XLOOKUP($C3573,daily_dates,big_daily_table))),NA(),XLOOKUP(E$3,daily_items,XLOOKUP($C3573,daily_dates,big_daily_table)))</f>
        <v>#N/A</v>
      </c>
    </row>
    <row r="3574" ht="14.25" customHeight="1">
      <c r="B3574" s="7">
        <v>44479.0</v>
      </c>
      <c r="C3574" s="7">
        <f t="shared" si="1"/>
        <v>44479</v>
      </c>
      <c r="D3574" s="1" t="str">
        <f t="array" ref="D3574">IF(ISBLANK(XLOOKUP(D$3,daily_items,XLOOKUP($C3574,daily_dates,big_daily_table))),NA(),XLOOKUP(D$3,daily_items,XLOOKUP($C3574,daily_dates,big_daily_table)))</f>
        <v>#N/A</v>
      </c>
      <c r="E3574" s="1" t="str">
        <f t="array" ref="E3574">IF(ISBLANK(XLOOKUP(E$3,daily_items,XLOOKUP($C3574,daily_dates,big_daily_table))),NA(),XLOOKUP(E$3,daily_items,XLOOKUP($C3574,daily_dates,big_daily_table)))</f>
        <v>#N/A</v>
      </c>
    </row>
    <row r="3575" ht="14.25" customHeight="1">
      <c r="B3575" s="7">
        <v>44480.0</v>
      </c>
      <c r="C3575" s="7">
        <f t="shared" si="1"/>
        <v>44479</v>
      </c>
      <c r="D3575" s="1" t="str">
        <f t="array" ref="D3575">IF(ISBLANK(XLOOKUP(D$3,daily_items,XLOOKUP($C3575,daily_dates,big_daily_table))),NA(),XLOOKUP(D$3,daily_items,XLOOKUP($C3575,daily_dates,big_daily_table)))</f>
        <v>#N/A</v>
      </c>
      <c r="E3575" s="1" t="str">
        <f t="array" ref="E3575">IF(ISBLANK(XLOOKUP(E$3,daily_items,XLOOKUP($C3575,daily_dates,big_daily_table))),NA(),XLOOKUP(E$3,daily_items,XLOOKUP($C3575,daily_dates,big_daily_table)))</f>
        <v>#N/A</v>
      </c>
    </row>
    <row r="3576" ht="14.25" customHeight="1">
      <c r="B3576" s="7">
        <v>44481.0</v>
      </c>
      <c r="C3576" s="7">
        <f t="shared" si="1"/>
        <v>44479</v>
      </c>
      <c r="D3576" s="1" t="str">
        <f t="array" ref="D3576">IF(ISBLANK(XLOOKUP(D$3,daily_items,XLOOKUP($C3576,daily_dates,big_daily_table))),NA(),XLOOKUP(D$3,daily_items,XLOOKUP($C3576,daily_dates,big_daily_table)))</f>
        <v>#N/A</v>
      </c>
      <c r="E3576" s="1" t="str">
        <f t="array" ref="E3576">IF(ISBLANK(XLOOKUP(E$3,daily_items,XLOOKUP($C3576,daily_dates,big_daily_table))),NA(),XLOOKUP(E$3,daily_items,XLOOKUP($C3576,daily_dates,big_daily_table)))</f>
        <v>#N/A</v>
      </c>
    </row>
    <row r="3577" ht="14.25" customHeight="1">
      <c r="B3577" s="7">
        <v>44482.0</v>
      </c>
      <c r="C3577" s="7">
        <f t="shared" si="1"/>
        <v>44479</v>
      </c>
      <c r="D3577" s="1" t="str">
        <f t="array" ref="D3577">IF(ISBLANK(XLOOKUP(D$3,daily_items,XLOOKUP($C3577,daily_dates,big_daily_table))),NA(),XLOOKUP(D$3,daily_items,XLOOKUP($C3577,daily_dates,big_daily_table)))</f>
        <v>#N/A</v>
      </c>
      <c r="E3577" s="1" t="str">
        <f t="array" ref="E3577">IF(ISBLANK(XLOOKUP(E$3,daily_items,XLOOKUP($C3577,daily_dates,big_daily_table))),NA(),XLOOKUP(E$3,daily_items,XLOOKUP($C3577,daily_dates,big_daily_table)))</f>
        <v>#N/A</v>
      </c>
    </row>
    <row r="3578" ht="14.25" customHeight="1">
      <c r="B3578" s="7">
        <v>44483.0</v>
      </c>
      <c r="C3578" s="7">
        <f t="shared" si="1"/>
        <v>44479</v>
      </c>
      <c r="D3578" s="1" t="str">
        <f t="array" ref="D3578">IF(ISBLANK(XLOOKUP(D$3,daily_items,XLOOKUP($C3578,daily_dates,big_daily_table))),NA(),XLOOKUP(D$3,daily_items,XLOOKUP($C3578,daily_dates,big_daily_table)))</f>
        <v>#N/A</v>
      </c>
      <c r="E3578" s="1" t="str">
        <f t="array" ref="E3578">IF(ISBLANK(XLOOKUP(E$3,daily_items,XLOOKUP($C3578,daily_dates,big_daily_table))),NA(),XLOOKUP(E$3,daily_items,XLOOKUP($C3578,daily_dates,big_daily_table)))</f>
        <v>#N/A</v>
      </c>
    </row>
    <row r="3579" ht="14.25" customHeight="1">
      <c r="B3579" s="7">
        <v>44484.0</v>
      </c>
      <c r="C3579" s="7">
        <f t="shared" si="1"/>
        <v>44479</v>
      </c>
      <c r="D3579" s="1" t="str">
        <f t="array" ref="D3579">IF(ISBLANK(XLOOKUP(D$3,daily_items,XLOOKUP($C3579,daily_dates,big_daily_table))),NA(),XLOOKUP(D$3,daily_items,XLOOKUP($C3579,daily_dates,big_daily_table)))</f>
        <v>#N/A</v>
      </c>
      <c r="E3579" s="1" t="str">
        <f t="array" ref="E3579">IF(ISBLANK(XLOOKUP(E$3,daily_items,XLOOKUP($C3579,daily_dates,big_daily_table))),NA(),XLOOKUP(E$3,daily_items,XLOOKUP($C3579,daily_dates,big_daily_table)))</f>
        <v>#N/A</v>
      </c>
    </row>
    <row r="3580" ht="14.25" customHeight="1">
      <c r="B3580" s="7">
        <v>44485.0</v>
      </c>
      <c r="C3580" s="7">
        <f t="shared" si="1"/>
        <v>44479</v>
      </c>
      <c r="D3580" s="1" t="str">
        <f t="array" ref="D3580">IF(ISBLANK(XLOOKUP(D$3,daily_items,XLOOKUP($C3580,daily_dates,big_daily_table))),NA(),XLOOKUP(D$3,daily_items,XLOOKUP($C3580,daily_dates,big_daily_table)))</f>
        <v>#N/A</v>
      </c>
      <c r="E3580" s="1" t="str">
        <f t="array" ref="E3580">IF(ISBLANK(XLOOKUP(E$3,daily_items,XLOOKUP($C3580,daily_dates,big_daily_table))),NA(),XLOOKUP(E$3,daily_items,XLOOKUP($C3580,daily_dates,big_daily_table)))</f>
        <v>#N/A</v>
      </c>
    </row>
    <row r="3581" ht="14.25" customHeight="1">
      <c r="B3581" s="7">
        <v>44486.0</v>
      </c>
      <c r="C3581" s="7">
        <f t="shared" si="1"/>
        <v>44486</v>
      </c>
      <c r="D3581" s="1" t="str">
        <f t="array" ref="D3581">IF(ISBLANK(XLOOKUP(D$3,daily_items,XLOOKUP($C3581,daily_dates,big_daily_table))),NA(),XLOOKUP(D$3,daily_items,XLOOKUP($C3581,daily_dates,big_daily_table)))</f>
        <v>#N/A</v>
      </c>
      <c r="E3581" s="1" t="str">
        <f t="array" ref="E3581">IF(ISBLANK(XLOOKUP(E$3,daily_items,XLOOKUP($C3581,daily_dates,big_daily_table))),NA(),XLOOKUP(E$3,daily_items,XLOOKUP($C3581,daily_dates,big_daily_table)))</f>
        <v>#N/A</v>
      </c>
    </row>
    <row r="3582" ht="14.25" customHeight="1">
      <c r="B3582" s="7">
        <v>44487.0</v>
      </c>
      <c r="C3582" s="7">
        <f t="shared" si="1"/>
        <v>44486</v>
      </c>
      <c r="D3582" s="1" t="str">
        <f t="array" ref="D3582">IF(ISBLANK(XLOOKUP(D$3,daily_items,XLOOKUP($C3582,daily_dates,big_daily_table))),NA(),XLOOKUP(D$3,daily_items,XLOOKUP($C3582,daily_dates,big_daily_table)))</f>
        <v>#N/A</v>
      </c>
      <c r="E3582" s="1" t="str">
        <f t="array" ref="E3582">IF(ISBLANK(XLOOKUP(E$3,daily_items,XLOOKUP($C3582,daily_dates,big_daily_table))),NA(),XLOOKUP(E$3,daily_items,XLOOKUP($C3582,daily_dates,big_daily_table)))</f>
        <v>#N/A</v>
      </c>
    </row>
    <row r="3583" ht="14.25" customHeight="1">
      <c r="B3583" s="7">
        <v>44488.0</v>
      </c>
      <c r="C3583" s="7">
        <f t="shared" si="1"/>
        <v>44486</v>
      </c>
      <c r="D3583" s="1" t="str">
        <f t="array" ref="D3583">IF(ISBLANK(XLOOKUP(D$3,daily_items,XLOOKUP($C3583,daily_dates,big_daily_table))),NA(),XLOOKUP(D$3,daily_items,XLOOKUP($C3583,daily_dates,big_daily_table)))</f>
        <v>#N/A</v>
      </c>
      <c r="E3583" s="1" t="str">
        <f t="array" ref="E3583">IF(ISBLANK(XLOOKUP(E$3,daily_items,XLOOKUP($C3583,daily_dates,big_daily_table))),NA(),XLOOKUP(E$3,daily_items,XLOOKUP($C3583,daily_dates,big_daily_table)))</f>
        <v>#N/A</v>
      </c>
    </row>
    <row r="3584" ht="14.25" customHeight="1">
      <c r="B3584" s="7">
        <v>44489.0</v>
      </c>
      <c r="C3584" s="7">
        <f t="shared" si="1"/>
        <v>44486</v>
      </c>
      <c r="D3584" s="1" t="str">
        <f t="array" ref="D3584">IF(ISBLANK(XLOOKUP(D$3,daily_items,XLOOKUP($C3584,daily_dates,big_daily_table))),NA(),XLOOKUP(D$3,daily_items,XLOOKUP($C3584,daily_dates,big_daily_table)))</f>
        <v>#N/A</v>
      </c>
      <c r="E3584" s="1" t="str">
        <f t="array" ref="E3584">IF(ISBLANK(XLOOKUP(E$3,daily_items,XLOOKUP($C3584,daily_dates,big_daily_table))),NA(),XLOOKUP(E$3,daily_items,XLOOKUP($C3584,daily_dates,big_daily_table)))</f>
        <v>#N/A</v>
      </c>
    </row>
    <row r="3585" ht="14.25" customHeight="1">
      <c r="B3585" s="7">
        <v>44490.0</v>
      </c>
      <c r="C3585" s="7">
        <f t="shared" si="1"/>
        <v>44486</v>
      </c>
      <c r="D3585" s="1" t="str">
        <f t="array" ref="D3585">IF(ISBLANK(XLOOKUP(D$3,daily_items,XLOOKUP($C3585,daily_dates,big_daily_table))),NA(),XLOOKUP(D$3,daily_items,XLOOKUP($C3585,daily_dates,big_daily_table)))</f>
        <v>#N/A</v>
      </c>
      <c r="E3585" s="1" t="str">
        <f t="array" ref="E3585">IF(ISBLANK(XLOOKUP(E$3,daily_items,XLOOKUP($C3585,daily_dates,big_daily_table))),NA(),XLOOKUP(E$3,daily_items,XLOOKUP($C3585,daily_dates,big_daily_table)))</f>
        <v>#N/A</v>
      </c>
    </row>
    <row r="3586" ht="14.25" customHeight="1">
      <c r="B3586" s="7">
        <v>44491.0</v>
      </c>
      <c r="C3586" s="7">
        <f t="shared" si="1"/>
        <v>44486</v>
      </c>
      <c r="D3586" s="1" t="str">
        <f t="array" ref="D3586">IF(ISBLANK(XLOOKUP(D$3,daily_items,XLOOKUP($C3586,daily_dates,big_daily_table))),NA(),XLOOKUP(D$3,daily_items,XLOOKUP($C3586,daily_dates,big_daily_table)))</f>
        <v>#N/A</v>
      </c>
      <c r="E3586" s="1" t="str">
        <f t="array" ref="E3586">IF(ISBLANK(XLOOKUP(E$3,daily_items,XLOOKUP($C3586,daily_dates,big_daily_table))),NA(),XLOOKUP(E$3,daily_items,XLOOKUP($C3586,daily_dates,big_daily_table)))</f>
        <v>#N/A</v>
      </c>
    </row>
    <row r="3587" ht="14.25" customHeight="1">
      <c r="B3587" s="7">
        <v>44492.0</v>
      </c>
      <c r="C3587" s="7">
        <f t="shared" si="1"/>
        <v>44486</v>
      </c>
      <c r="D3587" s="1" t="str">
        <f t="array" ref="D3587">IF(ISBLANK(XLOOKUP(D$3,daily_items,XLOOKUP($C3587,daily_dates,big_daily_table))),NA(),XLOOKUP(D$3,daily_items,XLOOKUP($C3587,daily_dates,big_daily_table)))</f>
        <v>#N/A</v>
      </c>
      <c r="E3587" s="1" t="str">
        <f t="array" ref="E3587">IF(ISBLANK(XLOOKUP(E$3,daily_items,XLOOKUP($C3587,daily_dates,big_daily_table))),NA(),XLOOKUP(E$3,daily_items,XLOOKUP($C3587,daily_dates,big_daily_table)))</f>
        <v>#N/A</v>
      </c>
    </row>
    <row r="3588" ht="14.25" customHeight="1">
      <c r="B3588" s="7">
        <v>44493.0</v>
      </c>
      <c r="C3588" s="7">
        <f t="shared" si="1"/>
        <v>44493</v>
      </c>
      <c r="D3588" s="1" t="str">
        <f t="array" ref="D3588">IF(ISBLANK(XLOOKUP(D$3,daily_items,XLOOKUP($C3588,daily_dates,big_daily_table))),NA(),XLOOKUP(D$3,daily_items,XLOOKUP($C3588,daily_dates,big_daily_table)))</f>
        <v>#N/A</v>
      </c>
      <c r="E3588" s="1" t="str">
        <f t="array" ref="E3588">IF(ISBLANK(XLOOKUP(E$3,daily_items,XLOOKUP($C3588,daily_dates,big_daily_table))),NA(),XLOOKUP(E$3,daily_items,XLOOKUP($C3588,daily_dates,big_daily_table)))</f>
        <v>#N/A</v>
      </c>
    </row>
    <row r="3589" ht="14.25" customHeight="1">
      <c r="B3589" s="7">
        <v>44494.0</v>
      </c>
      <c r="C3589" s="7">
        <f t="shared" si="1"/>
        <v>44493</v>
      </c>
      <c r="D3589" s="1" t="str">
        <f t="array" ref="D3589">IF(ISBLANK(XLOOKUP(D$3,daily_items,XLOOKUP($C3589,daily_dates,big_daily_table))),NA(),XLOOKUP(D$3,daily_items,XLOOKUP($C3589,daily_dates,big_daily_table)))</f>
        <v>#N/A</v>
      </c>
      <c r="E3589" s="1" t="str">
        <f t="array" ref="E3589">IF(ISBLANK(XLOOKUP(E$3,daily_items,XLOOKUP($C3589,daily_dates,big_daily_table))),NA(),XLOOKUP(E$3,daily_items,XLOOKUP($C3589,daily_dates,big_daily_table)))</f>
        <v>#N/A</v>
      </c>
    </row>
    <row r="3590" ht="14.25" customHeight="1">
      <c r="B3590" s="7">
        <v>44495.0</v>
      </c>
      <c r="C3590" s="7">
        <f t="shared" si="1"/>
        <v>44493</v>
      </c>
      <c r="D3590" s="1" t="str">
        <f t="array" ref="D3590">IF(ISBLANK(XLOOKUP(D$3,daily_items,XLOOKUP($C3590,daily_dates,big_daily_table))),NA(),XLOOKUP(D$3,daily_items,XLOOKUP($C3590,daily_dates,big_daily_table)))</f>
        <v>#N/A</v>
      </c>
      <c r="E3590" s="1" t="str">
        <f t="array" ref="E3590">IF(ISBLANK(XLOOKUP(E$3,daily_items,XLOOKUP($C3590,daily_dates,big_daily_table))),NA(),XLOOKUP(E$3,daily_items,XLOOKUP($C3590,daily_dates,big_daily_table)))</f>
        <v>#N/A</v>
      </c>
    </row>
    <row r="3591" ht="14.25" customHeight="1">
      <c r="B3591" s="7">
        <v>44496.0</v>
      </c>
      <c r="C3591" s="7">
        <f t="shared" si="1"/>
        <v>44493</v>
      </c>
      <c r="D3591" s="1" t="str">
        <f t="array" ref="D3591">IF(ISBLANK(XLOOKUP(D$3,daily_items,XLOOKUP($C3591,daily_dates,big_daily_table))),NA(),XLOOKUP(D$3,daily_items,XLOOKUP($C3591,daily_dates,big_daily_table)))</f>
        <v>#N/A</v>
      </c>
      <c r="E3591" s="1" t="str">
        <f t="array" ref="E3591">IF(ISBLANK(XLOOKUP(E$3,daily_items,XLOOKUP($C3591,daily_dates,big_daily_table))),NA(),XLOOKUP(E$3,daily_items,XLOOKUP($C3591,daily_dates,big_daily_table)))</f>
        <v>#N/A</v>
      </c>
    </row>
    <row r="3592" ht="14.25" customHeight="1">
      <c r="B3592" s="7">
        <v>44497.0</v>
      </c>
      <c r="C3592" s="7">
        <f t="shared" si="1"/>
        <v>44493</v>
      </c>
      <c r="D3592" s="1" t="str">
        <f t="array" ref="D3592">IF(ISBLANK(XLOOKUP(D$3,daily_items,XLOOKUP($C3592,daily_dates,big_daily_table))),NA(),XLOOKUP(D$3,daily_items,XLOOKUP($C3592,daily_dates,big_daily_table)))</f>
        <v>#N/A</v>
      </c>
      <c r="E3592" s="1" t="str">
        <f t="array" ref="E3592">IF(ISBLANK(XLOOKUP(E$3,daily_items,XLOOKUP($C3592,daily_dates,big_daily_table))),NA(),XLOOKUP(E$3,daily_items,XLOOKUP($C3592,daily_dates,big_daily_table)))</f>
        <v>#N/A</v>
      </c>
    </row>
    <row r="3593" ht="14.25" customHeight="1">
      <c r="B3593" s="7">
        <v>44498.0</v>
      </c>
      <c r="C3593" s="7">
        <f t="shared" si="1"/>
        <v>44493</v>
      </c>
      <c r="D3593" s="1" t="str">
        <f t="array" ref="D3593">IF(ISBLANK(XLOOKUP(D$3,daily_items,XLOOKUP($C3593,daily_dates,big_daily_table))),NA(),XLOOKUP(D$3,daily_items,XLOOKUP($C3593,daily_dates,big_daily_table)))</f>
        <v>#N/A</v>
      </c>
      <c r="E3593" s="1" t="str">
        <f t="array" ref="E3593">IF(ISBLANK(XLOOKUP(E$3,daily_items,XLOOKUP($C3593,daily_dates,big_daily_table))),NA(),XLOOKUP(E$3,daily_items,XLOOKUP($C3593,daily_dates,big_daily_table)))</f>
        <v>#N/A</v>
      </c>
    </row>
    <row r="3594" ht="14.25" customHeight="1">
      <c r="B3594" s="7">
        <v>44499.0</v>
      </c>
      <c r="C3594" s="7">
        <f t="shared" si="1"/>
        <v>44493</v>
      </c>
      <c r="D3594" s="1" t="str">
        <f t="array" ref="D3594">IF(ISBLANK(XLOOKUP(D$3,daily_items,XLOOKUP($C3594,daily_dates,big_daily_table))),NA(),XLOOKUP(D$3,daily_items,XLOOKUP($C3594,daily_dates,big_daily_table)))</f>
        <v>#N/A</v>
      </c>
      <c r="E3594" s="1" t="str">
        <f t="array" ref="E3594">IF(ISBLANK(XLOOKUP(E$3,daily_items,XLOOKUP($C3594,daily_dates,big_daily_table))),NA(),XLOOKUP(E$3,daily_items,XLOOKUP($C3594,daily_dates,big_daily_table)))</f>
        <v>#N/A</v>
      </c>
    </row>
    <row r="3595" ht="14.25" customHeight="1">
      <c r="B3595" s="7">
        <v>44500.0</v>
      </c>
      <c r="C3595" s="7">
        <f t="shared" si="1"/>
        <v>44500</v>
      </c>
      <c r="D3595" s="1" t="str">
        <f t="array" ref="D3595">IF(ISBLANK(XLOOKUP(D$3,daily_items,XLOOKUP($C3595,daily_dates,big_daily_table))),NA(),XLOOKUP(D$3,daily_items,XLOOKUP($C3595,daily_dates,big_daily_table)))</f>
        <v>#N/A</v>
      </c>
      <c r="E3595" s="1" t="str">
        <f t="array" ref="E3595">IF(ISBLANK(XLOOKUP(E$3,daily_items,XLOOKUP($C3595,daily_dates,big_daily_table))),NA(),XLOOKUP(E$3,daily_items,XLOOKUP($C3595,daily_dates,big_daily_table)))</f>
        <v>#N/A</v>
      </c>
    </row>
    <row r="3596" ht="14.25" customHeight="1">
      <c r="B3596" s="7">
        <v>44501.0</v>
      </c>
      <c r="C3596" s="7">
        <f t="shared" si="1"/>
        <v>44500</v>
      </c>
      <c r="D3596" s="1" t="str">
        <f t="array" ref="D3596">IF(ISBLANK(XLOOKUP(D$3,daily_items,XLOOKUP($C3596,daily_dates,big_daily_table))),NA(),XLOOKUP(D$3,daily_items,XLOOKUP($C3596,daily_dates,big_daily_table)))</f>
        <v>#N/A</v>
      </c>
      <c r="E3596" s="1" t="str">
        <f t="array" ref="E3596">IF(ISBLANK(XLOOKUP(E$3,daily_items,XLOOKUP($C3596,daily_dates,big_daily_table))),NA(),XLOOKUP(E$3,daily_items,XLOOKUP($C3596,daily_dates,big_daily_table)))</f>
        <v>#N/A</v>
      </c>
    </row>
    <row r="3597" ht="14.25" customHeight="1">
      <c r="B3597" s="7">
        <v>44502.0</v>
      </c>
      <c r="C3597" s="7">
        <f t="shared" si="1"/>
        <v>44500</v>
      </c>
      <c r="D3597" s="1" t="str">
        <f t="array" ref="D3597">IF(ISBLANK(XLOOKUP(D$3,daily_items,XLOOKUP($C3597,daily_dates,big_daily_table))),NA(),XLOOKUP(D$3,daily_items,XLOOKUP($C3597,daily_dates,big_daily_table)))</f>
        <v>#N/A</v>
      </c>
      <c r="E3597" s="1" t="str">
        <f t="array" ref="E3597">IF(ISBLANK(XLOOKUP(E$3,daily_items,XLOOKUP($C3597,daily_dates,big_daily_table))),NA(),XLOOKUP(E$3,daily_items,XLOOKUP($C3597,daily_dates,big_daily_table)))</f>
        <v>#N/A</v>
      </c>
    </row>
    <row r="3598" ht="14.25" customHeight="1">
      <c r="B3598" s="7">
        <v>44503.0</v>
      </c>
      <c r="C3598" s="7">
        <f t="shared" si="1"/>
        <v>44500</v>
      </c>
      <c r="D3598" s="1" t="str">
        <f t="array" ref="D3598">IF(ISBLANK(XLOOKUP(D$3,daily_items,XLOOKUP($C3598,daily_dates,big_daily_table))),NA(),XLOOKUP(D$3,daily_items,XLOOKUP($C3598,daily_dates,big_daily_table)))</f>
        <v>#N/A</v>
      </c>
      <c r="E3598" s="1" t="str">
        <f t="array" ref="E3598">IF(ISBLANK(XLOOKUP(E$3,daily_items,XLOOKUP($C3598,daily_dates,big_daily_table))),NA(),XLOOKUP(E$3,daily_items,XLOOKUP($C3598,daily_dates,big_daily_table)))</f>
        <v>#N/A</v>
      </c>
    </row>
    <row r="3599" ht="14.25" customHeight="1">
      <c r="B3599" s="7">
        <v>44504.0</v>
      </c>
      <c r="C3599" s="7">
        <f t="shared" si="1"/>
        <v>44500</v>
      </c>
      <c r="D3599" s="1" t="str">
        <f t="array" ref="D3599">IF(ISBLANK(XLOOKUP(D$3,daily_items,XLOOKUP($C3599,daily_dates,big_daily_table))),NA(),XLOOKUP(D$3,daily_items,XLOOKUP($C3599,daily_dates,big_daily_table)))</f>
        <v>#N/A</v>
      </c>
      <c r="E3599" s="1" t="str">
        <f t="array" ref="E3599">IF(ISBLANK(XLOOKUP(E$3,daily_items,XLOOKUP($C3599,daily_dates,big_daily_table))),NA(),XLOOKUP(E$3,daily_items,XLOOKUP($C3599,daily_dates,big_daily_table)))</f>
        <v>#N/A</v>
      </c>
    </row>
    <row r="3600" ht="14.25" customHeight="1">
      <c r="B3600" s="7">
        <v>44505.0</v>
      </c>
      <c r="C3600" s="7">
        <f t="shared" si="1"/>
        <v>44500</v>
      </c>
      <c r="D3600" s="1" t="str">
        <f t="array" ref="D3600">IF(ISBLANK(XLOOKUP(D$3,daily_items,XLOOKUP($C3600,daily_dates,big_daily_table))),NA(),XLOOKUP(D$3,daily_items,XLOOKUP($C3600,daily_dates,big_daily_table)))</f>
        <v>#N/A</v>
      </c>
      <c r="E3600" s="1" t="str">
        <f t="array" ref="E3600">IF(ISBLANK(XLOOKUP(E$3,daily_items,XLOOKUP($C3600,daily_dates,big_daily_table))),NA(),XLOOKUP(E$3,daily_items,XLOOKUP($C3600,daily_dates,big_daily_table)))</f>
        <v>#N/A</v>
      </c>
    </row>
    <row r="3601" ht="14.25" customHeight="1">
      <c r="B3601" s="7">
        <v>44506.0</v>
      </c>
      <c r="C3601" s="7">
        <f t="shared" si="1"/>
        <v>44500</v>
      </c>
      <c r="D3601" s="1" t="str">
        <f t="array" ref="D3601">IF(ISBLANK(XLOOKUP(D$3,daily_items,XLOOKUP($C3601,daily_dates,big_daily_table))),NA(),XLOOKUP(D$3,daily_items,XLOOKUP($C3601,daily_dates,big_daily_table)))</f>
        <v>#N/A</v>
      </c>
      <c r="E3601" s="1" t="str">
        <f t="array" ref="E3601">IF(ISBLANK(XLOOKUP(E$3,daily_items,XLOOKUP($C3601,daily_dates,big_daily_table))),NA(),XLOOKUP(E$3,daily_items,XLOOKUP($C3601,daily_dates,big_daily_table)))</f>
        <v>#N/A</v>
      </c>
    </row>
    <row r="3602" ht="14.25" customHeight="1">
      <c r="B3602" s="7">
        <v>44507.0</v>
      </c>
      <c r="C3602" s="7">
        <f t="shared" si="1"/>
        <v>44507</v>
      </c>
      <c r="D3602" s="1" t="str">
        <f t="array" ref="D3602">IF(ISBLANK(XLOOKUP(D$3,daily_items,XLOOKUP($C3602,daily_dates,big_daily_table))),NA(),XLOOKUP(D$3,daily_items,XLOOKUP($C3602,daily_dates,big_daily_table)))</f>
        <v>#N/A</v>
      </c>
      <c r="E3602" s="1" t="str">
        <f t="array" ref="E3602">IF(ISBLANK(XLOOKUP(E$3,daily_items,XLOOKUP($C3602,daily_dates,big_daily_table))),NA(),XLOOKUP(E$3,daily_items,XLOOKUP($C3602,daily_dates,big_daily_table)))</f>
        <v>#N/A</v>
      </c>
    </row>
    <row r="3603" ht="14.25" customHeight="1">
      <c r="B3603" s="7">
        <v>44508.0</v>
      </c>
      <c r="C3603" s="7">
        <f t="shared" si="1"/>
        <v>44507</v>
      </c>
      <c r="D3603" s="1" t="str">
        <f t="array" ref="D3603">IF(ISBLANK(XLOOKUP(D$3,daily_items,XLOOKUP($C3603,daily_dates,big_daily_table))),NA(),XLOOKUP(D$3,daily_items,XLOOKUP($C3603,daily_dates,big_daily_table)))</f>
        <v>#N/A</v>
      </c>
      <c r="E3603" s="1" t="str">
        <f t="array" ref="E3603">IF(ISBLANK(XLOOKUP(E$3,daily_items,XLOOKUP($C3603,daily_dates,big_daily_table))),NA(),XLOOKUP(E$3,daily_items,XLOOKUP($C3603,daily_dates,big_daily_table)))</f>
        <v>#N/A</v>
      </c>
    </row>
    <row r="3604" ht="14.25" customHeight="1">
      <c r="B3604" s="7">
        <v>44509.0</v>
      </c>
      <c r="C3604" s="7">
        <f t="shared" si="1"/>
        <v>44507</v>
      </c>
      <c r="D3604" s="1" t="str">
        <f t="array" ref="D3604">IF(ISBLANK(XLOOKUP(D$3,daily_items,XLOOKUP($C3604,daily_dates,big_daily_table))),NA(),XLOOKUP(D$3,daily_items,XLOOKUP($C3604,daily_dates,big_daily_table)))</f>
        <v>#N/A</v>
      </c>
      <c r="E3604" s="1" t="str">
        <f t="array" ref="E3604">IF(ISBLANK(XLOOKUP(E$3,daily_items,XLOOKUP($C3604,daily_dates,big_daily_table))),NA(),XLOOKUP(E$3,daily_items,XLOOKUP($C3604,daily_dates,big_daily_table)))</f>
        <v>#N/A</v>
      </c>
    </row>
    <row r="3605" ht="14.25" customHeight="1">
      <c r="B3605" s="7">
        <v>44510.0</v>
      </c>
      <c r="C3605" s="7">
        <f t="shared" si="1"/>
        <v>44507</v>
      </c>
      <c r="D3605" s="1" t="str">
        <f t="array" ref="D3605">IF(ISBLANK(XLOOKUP(D$3,daily_items,XLOOKUP($C3605,daily_dates,big_daily_table))),NA(),XLOOKUP(D$3,daily_items,XLOOKUP($C3605,daily_dates,big_daily_table)))</f>
        <v>#N/A</v>
      </c>
      <c r="E3605" s="1" t="str">
        <f t="array" ref="E3605">IF(ISBLANK(XLOOKUP(E$3,daily_items,XLOOKUP($C3605,daily_dates,big_daily_table))),NA(),XLOOKUP(E$3,daily_items,XLOOKUP($C3605,daily_dates,big_daily_table)))</f>
        <v>#N/A</v>
      </c>
    </row>
    <row r="3606" ht="14.25" customHeight="1">
      <c r="B3606" s="7">
        <v>44511.0</v>
      </c>
      <c r="C3606" s="7">
        <f t="shared" si="1"/>
        <v>44507</v>
      </c>
      <c r="D3606" s="1" t="str">
        <f t="array" ref="D3606">IF(ISBLANK(XLOOKUP(D$3,daily_items,XLOOKUP($C3606,daily_dates,big_daily_table))),NA(),XLOOKUP(D$3,daily_items,XLOOKUP($C3606,daily_dates,big_daily_table)))</f>
        <v>#N/A</v>
      </c>
      <c r="E3606" s="1" t="str">
        <f t="array" ref="E3606">IF(ISBLANK(XLOOKUP(E$3,daily_items,XLOOKUP($C3606,daily_dates,big_daily_table))),NA(),XLOOKUP(E$3,daily_items,XLOOKUP($C3606,daily_dates,big_daily_table)))</f>
        <v>#N/A</v>
      </c>
    </row>
    <row r="3607" ht="14.25" customHeight="1">
      <c r="B3607" s="7">
        <v>44512.0</v>
      </c>
      <c r="C3607" s="7">
        <f t="shared" si="1"/>
        <v>44507</v>
      </c>
      <c r="D3607" s="1" t="str">
        <f t="array" ref="D3607">IF(ISBLANK(XLOOKUP(D$3,daily_items,XLOOKUP($C3607,daily_dates,big_daily_table))),NA(),XLOOKUP(D$3,daily_items,XLOOKUP($C3607,daily_dates,big_daily_table)))</f>
        <v>#N/A</v>
      </c>
      <c r="E3607" s="1" t="str">
        <f t="array" ref="E3607">IF(ISBLANK(XLOOKUP(E$3,daily_items,XLOOKUP($C3607,daily_dates,big_daily_table))),NA(),XLOOKUP(E$3,daily_items,XLOOKUP($C3607,daily_dates,big_daily_table)))</f>
        <v>#N/A</v>
      </c>
    </row>
    <row r="3608" ht="14.25" customHeight="1">
      <c r="B3608" s="7">
        <v>44513.0</v>
      </c>
      <c r="C3608" s="7">
        <f t="shared" si="1"/>
        <v>44507</v>
      </c>
      <c r="D3608" s="1" t="str">
        <f t="array" ref="D3608">IF(ISBLANK(XLOOKUP(D$3,daily_items,XLOOKUP($C3608,daily_dates,big_daily_table))),NA(),XLOOKUP(D$3,daily_items,XLOOKUP($C3608,daily_dates,big_daily_table)))</f>
        <v>#N/A</v>
      </c>
      <c r="E3608" s="1" t="str">
        <f t="array" ref="E3608">IF(ISBLANK(XLOOKUP(E$3,daily_items,XLOOKUP($C3608,daily_dates,big_daily_table))),NA(),XLOOKUP(E$3,daily_items,XLOOKUP($C3608,daily_dates,big_daily_table)))</f>
        <v>#N/A</v>
      </c>
    </row>
    <row r="3609" ht="14.25" customHeight="1">
      <c r="B3609" s="7">
        <v>44514.0</v>
      </c>
      <c r="C3609" s="7">
        <f t="shared" si="1"/>
        <v>44514</v>
      </c>
      <c r="D3609" s="1" t="str">
        <f t="array" ref="D3609">IF(ISBLANK(XLOOKUP(D$3,daily_items,XLOOKUP($C3609,daily_dates,big_daily_table))),NA(),XLOOKUP(D$3,daily_items,XLOOKUP($C3609,daily_dates,big_daily_table)))</f>
        <v>#N/A</v>
      </c>
      <c r="E3609" s="1" t="str">
        <f t="array" ref="E3609">IF(ISBLANK(XLOOKUP(E$3,daily_items,XLOOKUP($C3609,daily_dates,big_daily_table))),NA(),XLOOKUP(E$3,daily_items,XLOOKUP($C3609,daily_dates,big_daily_table)))</f>
        <v>#N/A</v>
      </c>
    </row>
    <row r="3610" ht="14.25" customHeight="1">
      <c r="B3610" s="7">
        <v>44515.0</v>
      </c>
      <c r="C3610" s="7">
        <f t="shared" si="1"/>
        <v>44514</v>
      </c>
      <c r="D3610" s="1" t="str">
        <f t="array" ref="D3610">IF(ISBLANK(XLOOKUP(D$3,daily_items,XLOOKUP($C3610,daily_dates,big_daily_table))),NA(),XLOOKUP(D$3,daily_items,XLOOKUP($C3610,daily_dates,big_daily_table)))</f>
        <v>#N/A</v>
      </c>
      <c r="E3610" s="1" t="str">
        <f t="array" ref="E3610">IF(ISBLANK(XLOOKUP(E$3,daily_items,XLOOKUP($C3610,daily_dates,big_daily_table))),NA(),XLOOKUP(E$3,daily_items,XLOOKUP($C3610,daily_dates,big_daily_table)))</f>
        <v>#N/A</v>
      </c>
    </row>
    <row r="3611" ht="14.25" customHeight="1">
      <c r="B3611" s="7">
        <v>44516.0</v>
      </c>
      <c r="C3611" s="7">
        <f t="shared" si="1"/>
        <v>44514</v>
      </c>
      <c r="D3611" s="1" t="str">
        <f t="array" ref="D3611">IF(ISBLANK(XLOOKUP(D$3,daily_items,XLOOKUP($C3611,daily_dates,big_daily_table))),NA(),XLOOKUP(D$3,daily_items,XLOOKUP($C3611,daily_dates,big_daily_table)))</f>
        <v>#N/A</v>
      </c>
      <c r="E3611" s="1" t="str">
        <f t="array" ref="E3611">IF(ISBLANK(XLOOKUP(E$3,daily_items,XLOOKUP($C3611,daily_dates,big_daily_table))),NA(),XLOOKUP(E$3,daily_items,XLOOKUP($C3611,daily_dates,big_daily_table)))</f>
        <v>#N/A</v>
      </c>
    </row>
    <row r="3612" ht="14.25" customHeight="1">
      <c r="B3612" s="7">
        <v>44517.0</v>
      </c>
      <c r="C3612" s="7">
        <f t="shared" si="1"/>
        <v>44514</v>
      </c>
      <c r="D3612" s="1" t="str">
        <f t="array" ref="D3612">IF(ISBLANK(XLOOKUP(D$3,daily_items,XLOOKUP($C3612,daily_dates,big_daily_table))),NA(),XLOOKUP(D$3,daily_items,XLOOKUP($C3612,daily_dates,big_daily_table)))</f>
        <v>#N/A</v>
      </c>
      <c r="E3612" s="1" t="str">
        <f t="array" ref="E3612">IF(ISBLANK(XLOOKUP(E$3,daily_items,XLOOKUP($C3612,daily_dates,big_daily_table))),NA(),XLOOKUP(E$3,daily_items,XLOOKUP($C3612,daily_dates,big_daily_table)))</f>
        <v>#N/A</v>
      </c>
    </row>
    <row r="3613" ht="14.25" customHeight="1">
      <c r="B3613" s="7">
        <v>44518.0</v>
      </c>
      <c r="C3613" s="7">
        <f t="shared" si="1"/>
        <v>44514</v>
      </c>
      <c r="D3613" s="1" t="str">
        <f t="array" ref="D3613">IF(ISBLANK(XLOOKUP(D$3,daily_items,XLOOKUP($C3613,daily_dates,big_daily_table))),NA(),XLOOKUP(D$3,daily_items,XLOOKUP($C3613,daily_dates,big_daily_table)))</f>
        <v>#N/A</v>
      </c>
      <c r="E3613" s="1" t="str">
        <f t="array" ref="E3613">IF(ISBLANK(XLOOKUP(E$3,daily_items,XLOOKUP($C3613,daily_dates,big_daily_table))),NA(),XLOOKUP(E$3,daily_items,XLOOKUP($C3613,daily_dates,big_daily_table)))</f>
        <v>#N/A</v>
      </c>
    </row>
    <row r="3614" ht="14.25" customHeight="1">
      <c r="B3614" s="7">
        <v>44519.0</v>
      </c>
      <c r="C3614" s="7">
        <f t="shared" si="1"/>
        <v>44514</v>
      </c>
      <c r="D3614" s="1" t="str">
        <f t="array" ref="D3614">IF(ISBLANK(XLOOKUP(D$3,daily_items,XLOOKUP($C3614,daily_dates,big_daily_table))),NA(),XLOOKUP(D$3,daily_items,XLOOKUP($C3614,daily_dates,big_daily_table)))</f>
        <v>#N/A</v>
      </c>
      <c r="E3614" s="1" t="str">
        <f t="array" ref="E3614">IF(ISBLANK(XLOOKUP(E$3,daily_items,XLOOKUP($C3614,daily_dates,big_daily_table))),NA(),XLOOKUP(E$3,daily_items,XLOOKUP($C3614,daily_dates,big_daily_table)))</f>
        <v>#N/A</v>
      </c>
    </row>
    <row r="3615" ht="14.25" customHeight="1">
      <c r="B3615" s="7">
        <v>44520.0</v>
      </c>
      <c r="C3615" s="7">
        <f t="shared" si="1"/>
        <v>44514</v>
      </c>
      <c r="D3615" s="1" t="str">
        <f t="array" ref="D3615">IF(ISBLANK(XLOOKUP(D$3,daily_items,XLOOKUP($C3615,daily_dates,big_daily_table))),NA(),XLOOKUP(D$3,daily_items,XLOOKUP($C3615,daily_dates,big_daily_table)))</f>
        <v>#N/A</v>
      </c>
      <c r="E3615" s="1" t="str">
        <f t="array" ref="E3615">IF(ISBLANK(XLOOKUP(E$3,daily_items,XLOOKUP($C3615,daily_dates,big_daily_table))),NA(),XLOOKUP(E$3,daily_items,XLOOKUP($C3615,daily_dates,big_daily_table)))</f>
        <v>#N/A</v>
      </c>
    </row>
    <row r="3616" ht="14.25" customHeight="1">
      <c r="B3616" s="7">
        <v>44521.0</v>
      </c>
      <c r="C3616" s="7">
        <f t="shared" si="1"/>
        <v>44521</v>
      </c>
      <c r="D3616" s="1" t="str">
        <f t="array" ref="D3616">IF(ISBLANK(XLOOKUP(D$3,daily_items,XLOOKUP($C3616,daily_dates,big_daily_table))),NA(),XLOOKUP(D$3,daily_items,XLOOKUP($C3616,daily_dates,big_daily_table)))</f>
        <v>#N/A</v>
      </c>
      <c r="E3616" s="1" t="str">
        <f t="array" ref="E3616">IF(ISBLANK(XLOOKUP(E$3,daily_items,XLOOKUP($C3616,daily_dates,big_daily_table))),NA(),XLOOKUP(E$3,daily_items,XLOOKUP($C3616,daily_dates,big_daily_table)))</f>
        <v>#N/A</v>
      </c>
    </row>
    <row r="3617" ht="14.25" customHeight="1">
      <c r="B3617" s="7">
        <v>44522.0</v>
      </c>
      <c r="C3617" s="7">
        <f t="shared" si="1"/>
        <v>44521</v>
      </c>
      <c r="D3617" s="1" t="str">
        <f t="array" ref="D3617">IF(ISBLANK(XLOOKUP(D$3,daily_items,XLOOKUP($C3617,daily_dates,big_daily_table))),NA(),XLOOKUP(D$3,daily_items,XLOOKUP($C3617,daily_dates,big_daily_table)))</f>
        <v>#N/A</v>
      </c>
      <c r="E3617" s="1" t="str">
        <f t="array" ref="E3617">IF(ISBLANK(XLOOKUP(E$3,daily_items,XLOOKUP($C3617,daily_dates,big_daily_table))),NA(),XLOOKUP(E$3,daily_items,XLOOKUP($C3617,daily_dates,big_daily_table)))</f>
        <v>#N/A</v>
      </c>
    </row>
    <row r="3618" ht="14.25" customHeight="1">
      <c r="B3618" s="7">
        <v>44523.0</v>
      </c>
      <c r="C3618" s="7">
        <f t="shared" si="1"/>
        <v>44521</v>
      </c>
      <c r="D3618" s="1" t="str">
        <f t="array" ref="D3618">IF(ISBLANK(XLOOKUP(D$3,daily_items,XLOOKUP($C3618,daily_dates,big_daily_table))),NA(),XLOOKUP(D$3,daily_items,XLOOKUP($C3618,daily_dates,big_daily_table)))</f>
        <v>#N/A</v>
      </c>
      <c r="E3618" s="1" t="str">
        <f t="array" ref="E3618">IF(ISBLANK(XLOOKUP(E$3,daily_items,XLOOKUP($C3618,daily_dates,big_daily_table))),NA(),XLOOKUP(E$3,daily_items,XLOOKUP($C3618,daily_dates,big_daily_table)))</f>
        <v>#N/A</v>
      </c>
    </row>
    <row r="3619" ht="14.25" customHeight="1">
      <c r="B3619" s="7">
        <v>44524.0</v>
      </c>
      <c r="C3619" s="7">
        <f t="shared" si="1"/>
        <v>44521</v>
      </c>
      <c r="D3619" s="1" t="str">
        <f t="array" ref="D3619">IF(ISBLANK(XLOOKUP(D$3,daily_items,XLOOKUP($C3619,daily_dates,big_daily_table))),NA(),XLOOKUP(D$3,daily_items,XLOOKUP($C3619,daily_dates,big_daily_table)))</f>
        <v>#N/A</v>
      </c>
      <c r="E3619" s="1" t="str">
        <f t="array" ref="E3619">IF(ISBLANK(XLOOKUP(E$3,daily_items,XLOOKUP($C3619,daily_dates,big_daily_table))),NA(),XLOOKUP(E$3,daily_items,XLOOKUP($C3619,daily_dates,big_daily_table)))</f>
        <v>#N/A</v>
      </c>
    </row>
    <row r="3620" ht="14.25" customHeight="1">
      <c r="B3620" s="7">
        <v>44525.0</v>
      </c>
      <c r="C3620" s="7">
        <f t="shared" si="1"/>
        <v>44521</v>
      </c>
      <c r="D3620" s="1" t="str">
        <f t="array" ref="D3620">IF(ISBLANK(XLOOKUP(D$3,daily_items,XLOOKUP($C3620,daily_dates,big_daily_table))),NA(),XLOOKUP(D$3,daily_items,XLOOKUP($C3620,daily_dates,big_daily_table)))</f>
        <v>#N/A</v>
      </c>
      <c r="E3620" s="1" t="str">
        <f t="array" ref="E3620">IF(ISBLANK(XLOOKUP(E$3,daily_items,XLOOKUP($C3620,daily_dates,big_daily_table))),NA(),XLOOKUP(E$3,daily_items,XLOOKUP($C3620,daily_dates,big_daily_table)))</f>
        <v>#N/A</v>
      </c>
    </row>
    <row r="3621" ht="14.25" customHeight="1">
      <c r="B3621" s="7">
        <v>44526.0</v>
      </c>
      <c r="C3621" s="7">
        <f t="shared" si="1"/>
        <v>44521</v>
      </c>
      <c r="D3621" s="1" t="str">
        <f t="array" ref="D3621">IF(ISBLANK(XLOOKUP(D$3,daily_items,XLOOKUP($C3621,daily_dates,big_daily_table))),NA(),XLOOKUP(D$3,daily_items,XLOOKUP($C3621,daily_dates,big_daily_table)))</f>
        <v>#N/A</v>
      </c>
      <c r="E3621" s="1" t="str">
        <f t="array" ref="E3621">IF(ISBLANK(XLOOKUP(E$3,daily_items,XLOOKUP($C3621,daily_dates,big_daily_table))),NA(),XLOOKUP(E$3,daily_items,XLOOKUP($C3621,daily_dates,big_daily_table)))</f>
        <v>#N/A</v>
      </c>
    </row>
    <row r="3622" ht="14.25" customHeight="1">
      <c r="B3622" s="7">
        <v>44527.0</v>
      </c>
      <c r="C3622" s="7">
        <f t="shared" si="1"/>
        <v>44521</v>
      </c>
      <c r="D3622" s="1" t="str">
        <f t="array" ref="D3622">IF(ISBLANK(XLOOKUP(D$3,daily_items,XLOOKUP($C3622,daily_dates,big_daily_table))),NA(),XLOOKUP(D$3,daily_items,XLOOKUP($C3622,daily_dates,big_daily_table)))</f>
        <v>#N/A</v>
      </c>
      <c r="E3622" s="1" t="str">
        <f t="array" ref="E3622">IF(ISBLANK(XLOOKUP(E$3,daily_items,XLOOKUP($C3622,daily_dates,big_daily_table))),NA(),XLOOKUP(E$3,daily_items,XLOOKUP($C3622,daily_dates,big_daily_table)))</f>
        <v>#N/A</v>
      </c>
    </row>
    <row r="3623" ht="14.25" customHeight="1">
      <c r="B3623" s="7">
        <v>44528.0</v>
      </c>
      <c r="C3623" s="7">
        <f t="shared" si="1"/>
        <v>44528</v>
      </c>
      <c r="D3623" s="1" t="str">
        <f t="array" ref="D3623">IF(ISBLANK(XLOOKUP(D$3,daily_items,XLOOKUP($C3623,daily_dates,big_daily_table))),NA(),XLOOKUP(D$3,daily_items,XLOOKUP($C3623,daily_dates,big_daily_table)))</f>
        <v>#N/A</v>
      </c>
      <c r="E3623" s="1" t="str">
        <f t="array" ref="E3623">IF(ISBLANK(XLOOKUP(E$3,daily_items,XLOOKUP($C3623,daily_dates,big_daily_table))),NA(),XLOOKUP(E$3,daily_items,XLOOKUP($C3623,daily_dates,big_daily_table)))</f>
        <v>#N/A</v>
      </c>
    </row>
    <row r="3624" ht="14.25" customHeight="1">
      <c r="B3624" s="7">
        <v>44529.0</v>
      </c>
      <c r="C3624" s="7">
        <f t="shared" si="1"/>
        <v>44528</v>
      </c>
      <c r="D3624" s="1" t="str">
        <f t="array" ref="D3624">IF(ISBLANK(XLOOKUP(D$3,daily_items,XLOOKUP($C3624,daily_dates,big_daily_table))),NA(),XLOOKUP(D$3,daily_items,XLOOKUP($C3624,daily_dates,big_daily_table)))</f>
        <v>#N/A</v>
      </c>
      <c r="E3624" s="1" t="str">
        <f t="array" ref="E3624">IF(ISBLANK(XLOOKUP(E$3,daily_items,XLOOKUP($C3624,daily_dates,big_daily_table))),NA(),XLOOKUP(E$3,daily_items,XLOOKUP($C3624,daily_dates,big_daily_table)))</f>
        <v>#N/A</v>
      </c>
    </row>
    <row r="3625" ht="14.25" customHeight="1">
      <c r="B3625" s="7">
        <v>44530.0</v>
      </c>
      <c r="C3625" s="7">
        <f t="shared" si="1"/>
        <v>44528</v>
      </c>
      <c r="D3625" s="1" t="str">
        <f t="array" ref="D3625">IF(ISBLANK(XLOOKUP(D$3,daily_items,XLOOKUP($C3625,daily_dates,big_daily_table))),NA(),XLOOKUP(D$3,daily_items,XLOOKUP($C3625,daily_dates,big_daily_table)))</f>
        <v>#N/A</v>
      </c>
      <c r="E3625" s="1" t="str">
        <f t="array" ref="E3625">IF(ISBLANK(XLOOKUP(E$3,daily_items,XLOOKUP($C3625,daily_dates,big_daily_table))),NA(),XLOOKUP(E$3,daily_items,XLOOKUP($C3625,daily_dates,big_daily_table)))</f>
        <v>#N/A</v>
      </c>
    </row>
    <row r="3626" ht="14.25" customHeight="1">
      <c r="B3626" s="7">
        <v>44531.0</v>
      </c>
      <c r="C3626" s="7">
        <f t="shared" si="1"/>
        <v>44528</v>
      </c>
      <c r="D3626" s="1" t="str">
        <f t="array" ref="D3626">IF(ISBLANK(XLOOKUP(D$3,daily_items,XLOOKUP($C3626,daily_dates,big_daily_table))),NA(),XLOOKUP(D$3,daily_items,XLOOKUP($C3626,daily_dates,big_daily_table)))</f>
        <v>#N/A</v>
      </c>
      <c r="E3626" s="1" t="str">
        <f t="array" ref="E3626">IF(ISBLANK(XLOOKUP(E$3,daily_items,XLOOKUP($C3626,daily_dates,big_daily_table))),NA(),XLOOKUP(E$3,daily_items,XLOOKUP($C3626,daily_dates,big_daily_table)))</f>
        <v>#N/A</v>
      </c>
    </row>
    <row r="3627" ht="14.25" customHeight="1">
      <c r="B3627" s="7">
        <v>44532.0</v>
      </c>
      <c r="C3627" s="7">
        <f t="shared" si="1"/>
        <v>44528</v>
      </c>
      <c r="D3627" s="1" t="str">
        <f t="array" ref="D3627">IF(ISBLANK(XLOOKUP(D$3,daily_items,XLOOKUP($C3627,daily_dates,big_daily_table))),NA(),XLOOKUP(D$3,daily_items,XLOOKUP($C3627,daily_dates,big_daily_table)))</f>
        <v>#N/A</v>
      </c>
      <c r="E3627" s="1" t="str">
        <f t="array" ref="E3627">IF(ISBLANK(XLOOKUP(E$3,daily_items,XLOOKUP($C3627,daily_dates,big_daily_table))),NA(),XLOOKUP(E$3,daily_items,XLOOKUP($C3627,daily_dates,big_daily_table)))</f>
        <v>#N/A</v>
      </c>
    </row>
    <row r="3628" ht="14.25" customHeight="1">
      <c r="B3628" s="7">
        <v>44533.0</v>
      </c>
      <c r="C3628" s="7">
        <f t="shared" si="1"/>
        <v>44528</v>
      </c>
      <c r="D3628" s="1" t="str">
        <f t="array" ref="D3628">IF(ISBLANK(XLOOKUP(D$3,daily_items,XLOOKUP($C3628,daily_dates,big_daily_table))),NA(),XLOOKUP(D$3,daily_items,XLOOKUP($C3628,daily_dates,big_daily_table)))</f>
        <v>#N/A</v>
      </c>
      <c r="E3628" s="1" t="str">
        <f t="array" ref="E3628">IF(ISBLANK(XLOOKUP(E$3,daily_items,XLOOKUP($C3628,daily_dates,big_daily_table))),NA(),XLOOKUP(E$3,daily_items,XLOOKUP($C3628,daily_dates,big_daily_table)))</f>
        <v>#N/A</v>
      </c>
    </row>
    <row r="3629" ht="14.25" customHeight="1">
      <c r="B3629" s="7">
        <v>44534.0</v>
      </c>
      <c r="C3629" s="7">
        <f t="shared" si="1"/>
        <v>44528</v>
      </c>
      <c r="D3629" s="1" t="str">
        <f t="array" ref="D3629">IF(ISBLANK(XLOOKUP(D$3,daily_items,XLOOKUP($C3629,daily_dates,big_daily_table))),NA(),XLOOKUP(D$3,daily_items,XLOOKUP($C3629,daily_dates,big_daily_table)))</f>
        <v>#N/A</v>
      </c>
      <c r="E3629" s="1" t="str">
        <f t="array" ref="E3629">IF(ISBLANK(XLOOKUP(E$3,daily_items,XLOOKUP($C3629,daily_dates,big_daily_table))),NA(),XLOOKUP(E$3,daily_items,XLOOKUP($C3629,daily_dates,big_daily_table)))</f>
        <v>#N/A</v>
      </c>
    </row>
    <row r="3630" ht="14.25" customHeight="1">
      <c r="B3630" s="7">
        <v>44535.0</v>
      </c>
      <c r="C3630" s="7">
        <f t="shared" si="1"/>
        <v>44535</v>
      </c>
      <c r="D3630" s="1" t="str">
        <f t="array" ref="D3630">IF(ISBLANK(XLOOKUP(D$3,daily_items,XLOOKUP($C3630,daily_dates,big_daily_table))),NA(),XLOOKUP(D$3,daily_items,XLOOKUP($C3630,daily_dates,big_daily_table)))</f>
        <v>#N/A</v>
      </c>
      <c r="E3630" s="1" t="str">
        <f t="array" ref="E3630">IF(ISBLANK(XLOOKUP(E$3,daily_items,XLOOKUP($C3630,daily_dates,big_daily_table))),NA(),XLOOKUP(E$3,daily_items,XLOOKUP($C3630,daily_dates,big_daily_table)))</f>
        <v>#N/A</v>
      </c>
    </row>
    <row r="3631" ht="14.25" customHeight="1">
      <c r="B3631" s="7">
        <v>44536.0</v>
      </c>
      <c r="C3631" s="7">
        <f t="shared" si="1"/>
        <v>44535</v>
      </c>
      <c r="D3631" s="1" t="str">
        <f t="array" ref="D3631">IF(ISBLANK(XLOOKUP(D$3,daily_items,XLOOKUP($C3631,daily_dates,big_daily_table))),NA(),XLOOKUP(D$3,daily_items,XLOOKUP($C3631,daily_dates,big_daily_table)))</f>
        <v>#N/A</v>
      </c>
      <c r="E3631" s="1" t="str">
        <f t="array" ref="E3631">IF(ISBLANK(XLOOKUP(E$3,daily_items,XLOOKUP($C3631,daily_dates,big_daily_table))),NA(),XLOOKUP(E$3,daily_items,XLOOKUP($C3631,daily_dates,big_daily_table)))</f>
        <v>#N/A</v>
      </c>
    </row>
    <row r="3632" ht="14.25" customHeight="1">
      <c r="B3632" s="7">
        <v>44537.0</v>
      </c>
      <c r="C3632" s="7">
        <f t="shared" si="1"/>
        <v>44535</v>
      </c>
      <c r="D3632" s="1" t="str">
        <f t="array" ref="D3632">IF(ISBLANK(XLOOKUP(D$3,daily_items,XLOOKUP($C3632,daily_dates,big_daily_table))),NA(),XLOOKUP(D$3,daily_items,XLOOKUP($C3632,daily_dates,big_daily_table)))</f>
        <v>#N/A</v>
      </c>
      <c r="E3632" s="1" t="str">
        <f t="array" ref="E3632">IF(ISBLANK(XLOOKUP(E$3,daily_items,XLOOKUP($C3632,daily_dates,big_daily_table))),NA(),XLOOKUP(E$3,daily_items,XLOOKUP($C3632,daily_dates,big_daily_table)))</f>
        <v>#N/A</v>
      </c>
    </row>
    <row r="3633" ht="14.25" customHeight="1">
      <c r="B3633" s="7">
        <v>44538.0</v>
      </c>
      <c r="C3633" s="7">
        <f t="shared" si="1"/>
        <v>44535</v>
      </c>
      <c r="D3633" s="1" t="str">
        <f t="array" ref="D3633">IF(ISBLANK(XLOOKUP(D$3,daily_items,XLOOKUP($C3633,daily_dates,big_daily_table))),NA(),XLOOKUP(D$3,daily_items,XLOOKUP($C3633,daily_dates,big_daily_table)))</f>
        <v>#N/A</v>
      </c>
      <c r="E3633" s="1" t="str">
        <f t="array" ref="E3633">IF(ISBLANK(XLOOKUP(E$3,daily_items,XLOOKUP($C3633,daily_dates,big_daily_table))),NA(),XLOOKUP(E$3,daily_items,XLOOKUP($C3633,daily_dates,big_daily_table)))</f>
        <v>#N/A</v>
      </c>
    </row>
    <row r="3634" ht="14.25" customHeight="1">
      <c r="B3634" s="7">
        <v>44539.0</v>
      </c>
      <c r="C3634" s="7">
        <f t="shared" si="1"/>
        <v>44535</v>
      </c>
      <c r="D3634" s="1" t="str">
        <f t="array" ref="D3634">IF(ISBLANK(XLOOKUP(D$3,daily_items,XLOOKUP($C3634,daily_dates,big_daily_table))),NA(),XLOOKUP(D$3,daily_items,XLOOKUP($C3634,daily_dates,big_daily_table)))</f>
        <v>#N/A</v>
      </c>
      <c r="E3634" s="1" t="str">
        <f t="array" ref="E3634">IF(ISBLANK(XLOOKUP(E$3,daily_items,XLOOKUP($C3634,daily_dates,big_daily_table))),NA(),XLOOKUP(E$3,daily_items,XLOOKUP($C3634,daily_dates,big_daily_table)))</f>
        <v>#N/A</v>
      </c>
    </row>
    <row r="3635" ht="14.25" customHeight="1">
      <c r="B3635" s="7">
        <v>44540.0</v>
      </c>
      <c r="C3635" s="7">
        <f t="shared" si="1"/>
        <v>44535</v>
      </c>
      <c r="D3635" s="1" t="str">
        <f t="array" ref="D3635">IF(ISBLANK(XLOOKUP(D$3,daily_items,XLOOKUP($C3635,daily_dates,big_daily_table))),NA(),XLOOKUP(D$3,daily_items,XLOOKUP($C3635,daily_dates,big_daily_table)))</f>
        <v>#N/A</v>
      </c>
      <c r="E3635" s="1" t="str">
        <f t="array" ref="E3635">IF(ISBLANK(XLOOKUP(E$3,daily_items,XLOOKUP($C3635,daily_dates,big_daily_table))),NA(),XLOOKUP(E$3,daily_items,XLOOKUP($C3635,daily_dates,big_daily_table)))</f>
        <v>#N/A</v>
      </c>
    </row>
    <row r="3636" ht="14.25" customHeight="1">
      <c r="B3636" s="7">
        <v>44541.0</v>
      </c>
      <c r="C3636" s="7">
        <f t="shared" si="1"/>
        <v>44535</v>
      </c>
      <c r="D3636" s="1" t="str">
        <f t="array" ref="D3636">IF(ISBLANK(XLOOKUP(D$3,daily_items,XLOOKUP($C3636,daily_dates,big_daily_table))),NA(),XLOOKUP(D$3,daily_items,XLOOKUP($C3636,daily_dates,big_daily_table)))</f>
        <v>#N/A</v>
      </c>
      <c r="E3636" s="1" t="str">
        <f t="array" ref="E3636">IF(ISBLANK(XLOOKUP(E$3,daily_items,XLOOKUP($C3636,daily_dates,big_daily_table))),NA(),XLOOKUP(E$3,daily_items,XLOOKUP($C3636,daily_dates,big_daily_table)))</f>
        <v>#N/A</v>
      </c>
    </row>
    <row r="3637" ht="14.25" customHeight="1">
      <c r="B3637" s="7">
        <v>44542.0</v>
      </c>
      <c r="C3637" s="7">
        <f t="shared" si="1"/>
        <v>44542</v>
      </c>
      <c r="D3637" s="1" t="str">
        <f t="array" ref="D3637">IF(ISBLANK(XLOOKUP(D$3,daily_items,XLOOKUP($C3637,daily_dates,big_daily_table))),NA(),XLOOKUP(D$3,daily_items,XLOOKUP($C3637,daily_dates,big_daily_table)))</f>
        <v>#N/A</v>
      </c>
      <c r="E3637" s="1" t="str">
        <f t="array" ref="E3637">IF(ISBLANK(XLOOKUP(E$3,daily_items,XLOOKUP($C3637,daily_dates,big_daily_table))),NA(),XLOOKUP(E$3,daily_items,XLOOKUP($C3637,daily_dates,big_daily_table)))</f>
        <v>#N/A</v>
      </c>
    </row>
    <row r="3638" ht="14.25" customHeight="1">
      <c r="B3638" s="7">
        <v>44543.0</v>
      </c>
      <c r="C3638" s="7">
        <f t="shared" si="1"/>
        <v>44542</v>
      </c>
      <c r="D3638" s="1" t="str">
        <f t="array" ref="D3638">IF(ISBLANK(XLOOKUP(D$3,daily_items,XLOOKUP($C3638,daily_dates,big_daily_table))),NA(),XLOOKUP(D$3,daily_items,XLOOKUP($C3638,daily_dates,big_daily_table)))</f>
        <v>#N/A</v>
      </c>
      <c r="E3638" s="1" t="str">
        <f t="array" ref="E3638">IF(ISBLANK(XLOOKUP(E$3,daily_items,XLOOKUP($C3638,daily_dates,big_daily_table))),NA(),XLOOKUP(E$3,daily_items,XLOOKUP($C3638,daily_dates,big_daily_table)))</f>
        <v>#N/A</v>
      </c>
    </row>
    <row r="3639" ht="14.25" customHeight="1">
      <c r="B3639" s="7">
        <v>44544.0</v>
      </c>
      <c r="C3639" s="7">
        <f t="shared" si="1"/>
        <v>44542</v>
      </c>
      <c r="D3639" s="1" t="str">
        <f t="array" ref="D3639">IF(ISBLANK(XLOOKUP(D$3,daily_items,XLOOKUP($C3639,daily_dates,big_daily_table))),NA(),XLOOKUP(D$3,daily_items,XLOOKUP($C3639,daily_dates,big_daily_table)))</f>
        <v>#N/A</v>
      </c>
      <c r="E3639" s="1" t="str">
        <f t="array" ref="E3639">IF(ISBLANK(XLOOKUP(E$3,daily_items,XLOOKUP($C3639,daily_dates,big_daily_table))),NA(),XLOOKUP(E$3,daily_items,XLOOKUP($C3639,daily_dates,big_daily_table)))</f>
        <v>#N/A</v>
      </c>
    </row>
    <row r="3640" ht="14.25" customHeight="1">
      <c r="B3640" s="7">
        <v>44545.0</v>
      </c>
      <c r="C3640" s="7">
        <f t="shared" si="1"/>
        <v>44542</v>
      </c>
      <c r="D3640" s="1" t="str">
        <f t="array" ref="D3640">IF(ISBLANK(XLOOKUP(D$3,daily_items,XLOOKUP($C3640,daily_dates,big_daily_table))),NA(),XLOOKUP(D$3,daily_items,XLOOKUP($C3640,daily_dates,big_daily_table)))</f>
        <v>#N/A</v>
      </c>
      <c r="E3640" s="1" t="str">
        <f t="array" ref="E3640">IF(ISBLANK(XLOOKUP(E$3,daily_items,XLOOKUP($C3640,daily_dates,big_daily_table))),NA(),XLOOKUP(E$3,daily_items,XLOOKUP($C3640,daily_dates,big_daily_table)))</f>
        <v>#N/A</v>
      </c>
    </row>
    <row r="3641" ht="14.25" customHeight="1">
      <c r="B3641" s="7">
        <v>44546.0</v>
      </c>
      <c r="C3641" s="7">
        <f t="shared" si="1"/>
        <v>44542</v>
      </c>
      <c r="D3641" s="1" t="str">
        <f t="array" ref="D3641">IF(ISBLANK(XLOOKUP(D$3,daily_items,XLOOKUP($C3641,daily_dates,big_daily_table))),NA(),XLOOKUP(D$3,daily_items,XLOOKUP($C3641,daily_dates,big_daily_table)))</f>
        <v>#N/A</v>
      </c>
      <c r="E3641" s="1" t="str">
        <f t="array" ref="E3641">IF(ISBLANK(XLOOKUP(E$3,daily_items,XLOOKUP($C3641,daily_dates,big_daily_table))),NA(),XLOOKUP(E$3,daily_items,XLOOKUP($C3641,daily_dates,big_daily_table)))</f>
        <v>#N/A</v>
      </c>
    </row>
    <row r="3642" ht="14.25" customHeight="1">
      <c r="B3642" s="7">
        <v>44547.0</v>
      </c>
      <c r="C3642" s="7">
        <f t="shared" si="1"/>
        <v>44542</v>
      </c>
      <c r="D3642" s="1" t="str">
        <f t="array" ref="D3642">IF(ISBLANK(XLOOKUP(D$3,daily_items,XLOOKUP($C3642,daily_dates,big_daily_table))),NA(),XLOOKUP(D$3,daily_items,XLOOKUP($C3642,daily_dates,big_daily_table)))</f>
        <v>#N/A</v>
      </c>
      <c r="E3642" s="1" t="str">
        <f t="array" ref="E3642">IF(ISBLANK(XLOOKUP(E$3,daily_items,XLOOKUP($C3642,daily_dates,big_daily_table))),NA(),XLOOKUP(E$3,daily_items,XLOOKUP($C3642,daily_dates,big_daily_table)))</f>
        <v>#N/A</v>
      </c>
    </row>
    <row r="3643" ht="14.25" customHeight="1">
      <c r="B3643" s="7">
        <v>44548.0</v>
      </c>
      <c r="C3643" s="7">
        <f t="shared" si="1"/>
        <v>44542</v>
      </c>
      <c r="D3643" s="1" t="str">
        <f t="array" ref="D3643">IF(ISBLANK(XLOOKUP(D$3,daily_items,XLOOKUP($C3643,daily_dates,big_daily_table))),NA(),XLOOKUP(D$3,daily_items,XLOOKUP($C3643,daily_dates,big_daily_table)))</f>
        <v>#N/A</v>
      </c>
      <c r="E3643" s="1" t="str">
        <f t="array" ref="E3643">IF(ISBLANK(XLOOKUP(E$3,daily_items,XLOOKUP($C3643,daily_dates,big_daily_table))),NA(),XLOOKUP(E$3,daily_items,XLOOKUP($C3643,daily_dates,big_daily_table)))</f>
        <v>#N/A</v>
      </c>
    </row>
    <row r="3644" ht="14.25" customHeight="1">
      <c r="B3644" s="7">
        <v>44549.0</v>
      </c>
      <c r="C3644" s="7">
        <f t="shared" si="1"/>
        <v>44549</v>
      </c>
      <c r="D3644" s="1" t="str">
        <f t="array" ref="D3644">IF(ISBLANK(XLOOKUP(D$3,daily_items,XLOOKUP($C3644,daily_dates,big_daily_table))),NA(),XLOOKUP(D$3,daily_items,XLOOKUP($C3644,daily_dates,big_daily_table)))</f>
        <v>#N/A</v>
      </c>
      <c r="E3644" s="1" t="str">
        <f t="array" ref="E3644">IF(ISBLANK(XLOOKUP(E$3,daily_items,XLOOKUP($C3644,daily_dates,big_daily_table))),NA(),XLOOKUP(E$3,daily_items,XLOOKUP($C3644,daily_dates,big_daily_table)))</f>
        <v>#N/A</v>
      </c>
    </row>
    <row r="3645" ht="14.25" customHeight="1">
      <c r="B3645" s="7">
        <v>44550.0</v>
      </c>
      <c r="C3645" s="7">
        <f t="shared" si="1"/>
        <v>44549</v>
      </c>
      <c r="D3645" s="1" t="str">
        <f t="array" ref="D3645">IF(ISBLANK(XLOOKUP(D$3,daily_items,XLOOKUP($C3645,daily_dates,big_daily_table))),NA(),XLOOKUP(D$3,daily_items,XLOOKUP($C3645,daily_dates,big_daily_table)))</f>
        <v>#N/A</v>
      </c>
      <c r="E3645" s="1" t="str">
        <f t="array" ref="E3645">IF(ISBLANK(XLOOKUP(E$3,daily_items,XLOOKUP($C3645,daily_dates,big_daily_table))),NA(),XLOOKUP(E$3,daily_items,XLOOKUP($C3645,daily_dates,big_daily_table)))</f>
        <v>#N/A</v>
      </c>
    </row>
    <row r="3646" ht="14.25" customHeight="1">
      <c r="B3646" s="7">
        <v>44551.0</v>
      </c>
      <c r="C3646" s="7">
        <f t="shared" si="1"/>
        <v>44549</v>
      </c>
      <c r="D3646" s="1" t="str">
        <f t="array" ref="D3646">IF(ISBLANK(XLOOKUP(D$3,daily_items,XLOOKUP($C3646,daily_dates,big_daily_table))),NA(),XLOOKUP(D$3,daily_items,XLOOKUP($C3646,daily_dates,big_daily_table)))</f>
        <v>#N/A</v>
      </c>
      <c r="E3646" s="1" t="str">
        <f t="array" ref="E3646">IF(ISBLANK(XLOOKUP(E$3,daily_items,XLOOKUP($C3646,daily_dates,big_daily_table))),NA(),XLOOKUP(E$3,daily_items,XLOOKUP($C3646,daily_dates,big_daily_table)))</f>
        <v>#N/A</v>
      </c>
    </row>
    <row r="3647" ht="14.25" customHeight="1">
      <c r="B3647" s="7">
        <v>44552.0</v>
      </c>
      <c r="C3647" s="7">
        <f t="shared" si="1"/>
        <v>44549</v>
      </c>
      <c r="D3647" s="1" t="str">
        <f t="array" ref="D3647">IF(ISBLANK(XLOOKUP(D$3,daily_items,XLOOKUP($C3647,daily_dates,big_daily_table))),NA(),XLOOKUP(D$3,daily_items,XLOOKUP($C3647,daily_dates,big_daily_table)))</f>
        <v>#N/A</v>
      </c>
      <c r="E3647" s="1" t="str">
        <f t="array" ref="E3647">IF(ISBLANK(XLOOKUP(E$3,daily_items,XLOOKUP($C3647,daily_dates,big_daily_table))),NA(),XLOOKUP(E$3,daily_items,XLOOKUP($C3647,daily_dates,big_daily_table)))</f>
        <v>#N/A</v>
      </c>
    </row>
    <row r="3648" ht="14.25" customHeight="1">
      <c r="B3648" s="7">
        <v>44553.0</v>
      </c>
      <c r="C3648" s="7">
        <f t="shared" si="1"/>
        <v>44549</v>
      </c>
      <c r="D3648" s="1" t="str">
        <f t="array" ref="D3648">IF(ISBLANK(XLOOKUP(D$3,daily_items,XLOOKUP($C3648,daily_dates,big_daily_table))),NA(),XLOOKUP(D$3,daily_items,XLOOKUP($C3648,daily_dates,big_daily_table)))</f>
        <v>#N/A</v>
      </c>
      <c r="E3648" s="1" t="str">
        <f t="array" ref="E3648">IF(ISBLANK(XLOOKUP(E$3,daily_items,XLOOKUP($C3648,daily_dates,big_daily_table))),NA(),XLOOKUP(E$3,daily_items,XLOOKUP($C3648,daily_dates,big_daily_table)))</f>
        <v>#N/A</v>
      </c>
    </row>
    <row r="3649" ht="14.25" customHeight="1">
      <c r="B3649" s="7">
        <v>44554.0</v>
      </c>
      <c r="C3649" s="7">
        <f t="shared" si="1"/>
        <v>44549</v>
      </c>
      <c r="D3649" s="1" t="str">
        <f t="array" ref="D3649">IF(ISBLANK(XLOOKUP(D$3,daily_items,XLOOKUP($C3649,daily_dates,big_daily_table))),NA(),XLOOKUP(D$3,daily_items,XLOOKUP($C3649,daily_dates,big_daily_table)))</f>
        <v>#N/A</v>
      </c>
      <c r="E3649" s="1" t="str">
        <f t="array" ref="E3649">IF(ISBLANK(XLOOKUP(E$3,daily_items,XLOOKUP($C3649,daily_dates,big_daily_table))),NA(),XLOOKUP(E$3,daily_items,XLOOKUP($C3649,daily_dates,big_daily_table)))</f>
        <v>#N/A</v>
      </c>
    </row>
    <row r="3650" ht="14.25" customHeight="1">
      <c r="B3650" s="7">
        <v>44555.0</v>
      </c>
      <c r="C3650" s="7">
        <f t="shared" si="1"/>
        <v>44549</v>
      </c>
      <c r="D3650" s="1" t="str">
        <f t="array" ref="D3650">IF(ISBLANK(XLOOKUP(D$3,daily_items,XLOOKUP($C3650,daily_dates,big_daily_table))),NA(),XLOOKUP(D$3,daily_items,XLOOKUP($C3650,daily_dates,big_daily_table)))</f>
        <v>#N/A</v>
      </c>
      <c r="E3650" s="1" t="str">
        <f t="array" ref="E3650">IF(ISBLANK(XLOOKUP(E$3,daily_items,XLOOKUP($C3650,daily_dates,big_daily_table))),NA(),XLOOKUP(E$3,daily_items,XLOOKUP($C3650,daily_dates,big_daily_table)))</f>
        <v>#N/A</v>
      </c>
    </row>
    <row r="3651" ht="14.25" customHeight="1">
      <c r="B3651" s="7">
        <v>44556.0</v>
      </c>
      <c r="C3651" s="7">
        <f t="shared" si="1"/>
        <v>44556</v>
      </c>
      <c r="D3651" s="1" t="str">
        <f t="array" ref="D3651">IF(ISBLANK(XLOOKUP(D$3,daily_items,XLOOKUP($C3651,daily_dates,big_daily_table))),NA(),XLOOKUP(D$3,daily_items,XLOOKUP($C3651,daily_dates,big_daily_table)))</f>
        <v>#N/A</v>
      </c>
      <c r="E3651" s="1" t="str">
        <f t="array" ref="E3651">IF(ISBLANK(XLOOKUP(E$3,daily_items,XLOOKUP($C3651,daily_dates,big_daily_table))),NA(),XLOOKUP(E$3,daily_items,XLOOKUP($C3651,daily_dates,big_daily_table)))</f>
        <v>#N/A</v>
      </c>
    </row>
    <row r="3652" ht="14.25" customHeight="1">
      <c r="B3652" s="7">
        <v>44557.0</v>
      </c>
      <c r="C3652" s="7">
        <f t="shared" si="1"/>
        <v>44556</v>
      </c>
      <c r="D3652" s="1" t="str">
        <f t="array" ref="D3652">IF(ISBLANK(XLOOKUP(D$3,daily_items,XLOOKUP($C3652,daily_dates,big_daily_table))),NA(),XLOOKUP(D$3,daily_items,XLOOKUP($C3652,daily_dates,big_daily_table)))</f>
        <v>#N/A</v>
      </c>
      <c r="E3652" s="1" t="str">
        <f t="array" ref="E3652">IF(ISBLANK(XLOOKUP(E$3,daily_items,XLOOKUP($C3652,daily_dates,big_daily_table))),NA(),XLOOKUP(E$3,daily_items,XLOOKUP($C3652,daily_dates,big_daily_table)))</f>
        <v>#N/A</v>
      </c>
    </row>
    <row r="3653" ht="14.25" customHeight="1">
      <c r="B3653" s="7">
        <v>44558.0</v>
      </c>
      <c r="C3653" s="7">
        <f t="shared" si="1"/>
        <v>44556</v>
      </c>
      <c r="D3653" s="1" t="str">
        <f t="array" ref="D3653">IF(ISBLANK(XLOOKUP(D$3,daily_items,XLOOKUP($C3653,daily_dates,big_daily_table))),NA(),XLOOKUP(D$3,daily_items,XLOOKUP($C3653,daily_dates,big_daily_table)))</f>
        <v>#N/A</v>
      </c>
      <c r="E3653" s="1" t="str">
        <f t="array" ref="E3653">IF(ISBLANK(XLOOKUP(E$3,daily_items,XLOOKUP($C3653,daily_dates,big_daily_table))),NA(),XLOOKUP(E$3,daily_items,XLOOKUP($C3653,daily_dates,big_daily_table)))</f>
        <v>#N/A</v>
      </c>
    </row>
    <row r="3654" ht="14.25" customHeight="1">
      <c r="B3654" s="7">
        <v>44559.0</v>
      </c>
      <c r="C3654" s="7">
        <f t="shared" si="1"/>
        <v>44556</v>
      </c>
      <c r="D3654" s="1" t="str">
        <f t="array" ref="D3654">IF(ISBLANK(XLOOKUP(D$3,daily_items,XLOOKUP($C3654,daily_dates,big_daily_table))),NA(),XLOOKUP(D$3,daily_items,XLOOKUP($C3654,daily_dates,big_daily_table)))</f>
        <v>#N/A</v>
      </c>
      <c r="E3654" s="1" t="str">
        <f t="array" ref="E3654">IF(ISBLANK(XLOOKUP(E$3,daily_items,XLOOKUP($C3654,daily_dates,big_daily_table))),NA(),XLOOKUP(E$3,daily_items,XLOOKUP($C3654,daily_dates,big_daily_table)))</f>
        <v>#N/A</v>
      </c>
    </row>
    <row r="3655" ht="14.25" customHeight="1">
      <c r="B3655" s="7">
        <v>44560.0</v>
      </c>
      <c r="C3655" s="7">
        <f t="shared" si="1"/>
        <v>44556</v>
      </c>
      <c r="D3655" s="1" t="str">
        <f t="array" ref="D3655">IF(ISBLANK(XLOOKUP(D$3,daily_items,XLOOKUP($C3655,daily_dates,big_daily_table))),NA(),XLOOKUP(D$3,daily_items,XLOOKUP($C3655,daily_dates,big_daily_table)))</f>
        <v>#N/A</v>
      </c>
      <c r="E3655" s="1" t="str">
        <f t="array" ref="E3655">IF(ISBLANK(XLOOKUP(E$3,daily_items,XLOOKUP($C3655,daily_dates,big_daily_table))),NA(),XLOOKUP(E$3,daily_items,XLOOKUP($C3655,daily_dates,big_daily_table)))</f>
        <v>#N/A</v>
      </c>
    </row>
    <row r="3656" ht="14.25" customHeight="1">
      <c r="B3656" s="7">
        <v>44561.0</v>
      </c>
      <c r="C3656" s="7">
        <f t="shared" si="1"/>
        <v>44556</v>
      </c>
      <c r="D3656" s="1" t="str">
        <f t="array" ref="D3656">IF(ISBLANK(XLOOKUP(D$3,daily_items,XLOOKUP($C3656,daily_dates,big_daily_table))),NA(),XLOOKUP(D$3,daily_items,XLOOKUP($C3656,daily_dates,big_daily_table)))</f>
        <v>#N/A</v>
      </c>
      <c r="E3656" s="1" t="str">
        <f t="array" ref="E3656">IF(ISBLANK(XLOOKUP(E$3,daily_items,XLOOKUP($C3656,daily_dates,big_daily_table))),NA(),XLOOKUP(E$3,daily_items,XLOOKUP($C3656,daily_dates,big_daily_table)))</f>
        <v>#N/A</v>
      </c>
    </row>
    <row r="3657" ht="14.25" customHeight="1">
      <c r="B3657" s="7">
        <v>44562.0</v>
      </c>
      <c r="C3657" s="7">
        <f t="shared" si="1"/>
        <v>44556</v>
      </c>
      <c r="D3657" s="1" t="str">
        <f t="array" ref="D3657">IF(ISBLANK(XLOOKUP(D$3,daily_items,XLOOKUP($C3657,daily_dates,big_daily_table))),NA(),XLOOKUP(D$3,daily_items,XLOOKUP($C3657,daily_dates,big_daily_table)))</f>
        <v>#N/A</v>
      </c>
      <c r="E3657" s="1" t="str">
        <f t="array" ref="E3657">IF(ISBLANK(XLOOKUP(E$3,daily_items,XLOOKUP($C3657,daily_dates,big_daily_table))),NA(),XLOOKUP(E$3,daily_items,XLOOKUP($C3657,daily_dates,big_daily_table)))</f>
        <v>#N/A</v>
      </c>
    </row>
    <row r="3658" ht="14.25" customHeight="1">
      <c r="B3658" s="7">
        <v>44563.0</v>
      </c>
      <c r="C3658" s="7">
        <f t="shared" si="1"/>
        <v>44563</v>
      </c>
      <c r="D3658" s="1" t="str">
        <f t="array" ref="D3658">IF(ISBLANK(XLOOKUP(D$3,daily_items,XLOOKUP($C3658,daily_dates,big_daily_table))),NA(),XLOOKUP(D$3,daily_items,XLOOKUP($C3658,daily_dates,big_daily_table)))</f>
        <v>#N/A</v>
      </c>
      <c r="E3658" s="1" t="str">
        <f t="array" ref="E3658">IF(ISBLANK(XLOOKUP(E$3,daily_items,XLOOKUP($C3658,daily_dates,big_daily_table))),NA(),XLOOKUP(E$3,daily_items,XLOOKUP($C3658,daily_dates,big_daily_table)))</f>
        <v>#N/A</v>
      </c>
    </row>
    <row r="3659" ht="14.25" customHeight="1">
      <c r="B3659" s="7">
        <v>44564.0</v>
      </c>
      <c r="C3659" s="7">
        <f t="shared" si="1"/>
        <v>44563</v>
      </c>
      <c r="D3659" s="1" t="str">
        <f t="array" ref="D3659">IF(ISBLANK(XLOOKUP(D$3,daily_items,XLOOKUP($C3659,daily_dates,big_daily_table))),NA(),XLOOKUP(D$3,daily_items,XLOOKUP($C3659,daily_dates,big_daily_table)))</f>
        <v>#N/A</v>
      </c>
      <c r="E3659" s="1" t="str">
        <f t="array" ref="E3659">IF(ISBLANK(XLOOKUP(E$3,daily_items,XLOOKUP($C3659,daily_dates,big_daily_table))),NA(),XLOOKUP(E$3,daily_items,XLOOKUP($C3659,daily_dates,big_daily_table)))</f>
        <v>#N/A</v>
      </c>
    </row>
    <row r="3660" ht="14.25" customHeight="1">
      <c r="B3660" s="7">
        <v>44565.0</v>
      </c>
      <c r="C3660" s="7">
        <f t="shared" si="1"/>
        <v>44563</v>
      </c>
      <c r="D3660" s="1" t="str">
        <f t="array" ref="D3660">IF(ISBLANK(XLOOKUP(D$3,daily_items,XLOOKUP($C3660,daily_dates,big_daily_table))),NA(),XLOOKUP(D$3,daily_items,XLOOKUP($C3660,daily_dates,big_daily_table)))</f>
        <v>#N/A</v>
      </c>
      <c r="E3660" s="1" t="str">
        <f t="array" ref="E3660">IF(ISBLANK(XLOOKUP(E$3,daily_items,XLOOKUP($C3660,daily_dates,big_daily_table))),NA(),XLOOKUP(E$3,daily_items,XLOOKUP($C3660,daily_dates,big_daily_table)))</f>
        <v>#N/A</v>
      </c>
    </row>
    <row r="3661" ht="14.25" customHeight="1">
      <c r="B3661" s="7">
        <v>44566.0</v>
      </c>
      <c r="C3661" s="7">
        <f t="shared" si="1"/>
        <v>44563</v>
      </c>
      <c r="D3661" s="1" t="str">
        <f t="array" ref="D3661">IF(ISBLANK(XLOOKUP(D$3,daily_items,XLOOKUP($C3661,daily_dates,big_daily_table))),NA(),XLOOKUP(D$3,daily_items,XLOOKUP($C3661,daily_dates,big_daily_table)))</f>
        <v>#N/A</v>
      </c>
      <c r="E3661" s="1" t="str">
        <f t="array" ref="E3661">IF(ISBLANK(XLOOKUP(E$3,daily_items,XLOOKUP($C3661,daily_dates,big_daily_table))),NA(),XLOOKUP(E$3,daily_items,XLOOKUP($C3661,daily_dates,big_daily_table)))</f>
        <v>#N/A</v>
      </c>
    </row>
    <row r="3662" ht="14.25" customHeight="1">
      <c r="B3662" s="7">
        <v>44567.0</v>
      </c>
      <c r="C3662" s="7">
        <f t="shared" si="1"/>
        <v>44563</v>
      </c>
      <c r="D3662" s="1" t="str">
        <f t="array" ref="D3662">IF(ISBLANK(XLOOKUP(D$3,daily_items,XLOOKUP($C3662,daily_dates,big_daily_table))),NA(),XLOOKUP(D$3,daily_items,XLOOKUP($C3662,daily_dates,big_daily_table)))</f>
        <v>#N/A</v>
      </c>
      <c r="E3662" s="1" t="str">
        <f t="array" ref="E3662">IF(ISBLANK(XLOOKUP(E$3,daily_items,XLOOKUP($C3662,daily_dates,big_daily_table))),NA(),XLOOKUP(E$3,daily_items,XLOOKUP($C3662,daily_dates,big_daily_table)))</f>
        <v>#N/A</v>
      </c>
    </row>
    <row r="3663" ht="14.25" customHeight="1">
      <c r="B3663" s="7">
        <v>44568.0</v>
      </c>
      <c r="C3663" s="7">
        <f t="shared" si="1"/>
        <v>44563</v>
      </c>
      <c r="D3663" s="1" t="str">
        <f t="array" ref="D3663">IF(ISBLANK(XLOOKUP(D$3,daily_items,XLOOKUP($C3663,daily_dates,big_daily_table))),NA(),XLOOKUP(D$3,daily_items,XLOOKUP($C3663,daily_dates,big_daily_table)))</f>
        <v>#N/A</v>
      </c>
      <c r="E3663" s="1" t="str">
        <f t="array" ref="E3663">IF(ISBLANK(XLOOKUP(E$3,daily_items,XLOOKUP($C3663,daily_dates,big_daily_table))),NA(),XLOOKUP(E$3,daily_items,XLOOKUP($C3663,daily_dates,big_daily_table)))</f>
        <v>#N/A</v>
      </c>
    </row>
    <row r="3664" ht="14.25" customHeight="1">
      <c r="B3664" s="7">
        <v>44569.0</v>
      </c>
      <c r="C3664" s="7">
        <f t="shared" si="1"/>
        <v>44563</v>
      </c>
      <c r="D3664" s="1" t="str">
        <f t="array" ref="D3664">IF(ISBLANK(XLOOKUP(D$3,daily_items,XLOOKUP($C3664,daily_dates,big_daily_table))),NA(),XLOOKUP(D$3,daily_items,XLOOKUP($C3664,daily_dates,big_daily_table)))</f>
        <v>#N/A</v>
      </c>
      <c r="E3664" s="1" t="str">
        <f t="array" ref="E3664">IF(ISBLANK(XLOOKUP(E$3,daily_items,XLOOKUP($C3664,daily_dates,big_daily_table))),NA(),XLOOKUP(E$3,daily_items,XLOOKUP($C3664,daily_dates,big_daily_table)))</f>
        <v>#N/A</v>
      </c>
    </row>
    <row r="3665" ht="14.25" customHeight="1">
      <c r="B3665" s="7">
        <v>44570.0</v>
      </c>
      <c r="C3665" s="7">
        <f t="shared" si="1"/>
        <v>44570</v>
      </c>
      <c r="D3665" s="1" t="str">
        <f t="array" ref="D3665">IF(ISBLANK(XLOOKUP(D$3,daily_items,XLOOKUP($C3665,daily_dates,big_daily_table))),NA(),XLOOKUP(D$3,daily_items,XLOOKUP($C3665,daily_dates,big_daily_table)))</f>
        <v>#N/A</v>
      </c>
      <c r="E3665" s="1" t="str">
        <f t="array" ref="E3665">IF(ISBLANK(XLOOKUP(E$3,daily_items,XLOOKUP($C3665,daily_dates,big_daily_table))),NA(),XLOOKUP(E$3,daily_items,XLOOKUP($C3665,daily_dates,big_daily_table)))</f>
        <v>#N/A</v>
      </c>
    </row>
    <row r="3666" ht="14.25" customHeight="1">
      <c r="B3666" s="7">
        <v>44571.0</v>
      </c>
      <c r="C3666" s="7">
        <f t="shared" si="1"/>
        <v>44570</v>
      </c>
      <c r="D3666" s="1" t="str">
        <f t="array" ref="D3666">IF(ISBLANK(XLOOKUP(D$3,daily_items,XLOOKUP($C3666,daily_dates,big_daily_table))),NA(),XLOOKUP(D$3,daily_items,XLOOKUP($C3666,daily_dates,big_daily_table)))</f>
        <v>#N/A</v>
      </c>
      <c r="E3666" s="1" t="str">
        <f t="array" ref="E3666">IF(ISBLANK(XLOOKUP(E$3,daily_items,XLOOKUP($C3666,daily_dates,big_daily_table))),NA(),XLOOKUP(E$3,daily_items,XLOOKUP($C3666,daily_dates,big_daily_table)))</f>
        <v>#N/A</v>
      </c>
    </row>
    <row r="3667" ht="14.25" customHeight="1">
      <c r="B3667" s="7">
        <v>44572.0</v>
      </c>
      <c r="C3667" s="7">
        <f t="shared" si="1"/>
        <v>44570</v>
      </c>
      <c r="D3667" s="1" t="str">
        <f t="array" ref="D3667">IF(ISBLANK(XLOOKUP(D$3,daily_items,XLOOKUP($C3667,daily_dates,big_daily_table))),NA(),XLOOKUP(D$3,daily_items,XLOOKUP($C3667,daily_dates,big_daily_table)))</f>
        <v>#N/A</v>
      </c>
      <c r="E3667" s="1" t="str">
        <f t="array" ref="E3667">IF(ISBLANK(XLOOKUP(E$3,daily_items,XLOOKUP($C3667,daily_dates,big_daily_table))),NA(),XLOOKUP(E$3,daily_items,XLOOKUP($C3667,daily_dates,big_daily_table)))</f>
        <v>#N/A</v>
      </c>
    </row>
    <row r="3668" ht="14.25" customHeight="1">
      <c r="B3668" s="7">
        <v>44573.0</v>
      </c>
      <c r="C3668" s="7">
        <f t="shared" si="1"/>
        <v>44570</v>
      </c>
      <c r="D3668" s="1" t="str">
        <f t="array" ref="D3668">IF(ISBLANK(XLOOKUP(D$3,daily_items,XLOOKUP($C3668,daily_dates,big_daily_table))),NA(),XLOOKUP(D$3,daily_items,XLOOKUP($C3668,daily_dates,big_daily_table)))</f>
        <v>#N/A</v>
      </c>
      <c r="E3668" s="1" t="str">
        <f t="array" ref="E3668">IF(ISBLANK(XLOOKUP(E$3,daily_items,XLOOKUP($C3668,daily_dates,big_daily_table))),NA(),XLOOKUP(E$3,daily_items,XLOOKUP($C3668,daily_dates,big_daily_table)))</f>
        <v>#N/A</v>
      </c>
    </row>
    <row r="3669" ht="14.25" customHeight="1">
      <c r="B3669" s="7">
        <v>44574.0</v>
      </c>
      <c r="C3669" s="7">
        <f t="shared" si="1"/>
        <v>44570</v>
      </c>
      <c r="D3669" s="1" t="str">
        <f t="array" ref="D3669">IF(ISBLANK(XLOOKUP(D$3,daily_items,XLOOKUP($C3669,daily_dates,big_daily_table))),NA(),XLOOKUP(D$3,daily_items,XLOOKUP($C3669,daily_dates,big_daily_table)))</f>
        <v>#N/A</v>
      </c>
      <c r="E3669" s="1" t="str">
        <f t="array" ref="E3669">IF(ISBLANK(XLOOKUP(E$3,daily_items,XLOOKUP($C3669,daily_dates,big_daily_table))),NA(),XLOOKUP(E$3,daily_items,XLOOKUP($C3669,daily_dates,big_daily_table)))</f>
        <v>#N/A</v>
      </c>
    </row>
    <row r="3670" ht="14.25" customHeight="1">
      <c r="B3670" s="7">
        <v>44575.0</v>
      </c>
      <c r="C3670" s="7">
        <f t="shared" si="1"/>
        <v>44570</v>
      </c>
      <c r="D3670" s="1" t="str">
        <f t="array" ref="D3670">IF(ISBLANK(XLOOKUP(D$3,daily_items,XLOOKUP($C3670,daily_dates,big_daily_table))),NA(),XLOOKUP(D$3,daily_items,XLOOKUP($C3670,daily_dates,big_daily_table)))</f>
        <v>#N/A</v>
      </c>
      <c r="E3670" s="1" t="str">
        <f t="array" ref="E3670">IF(ISBLANK(XLOOKUP(E$3,daily_items,XLOOKUP($C3670,daily_dates,big_daily_table))),NA(),XLOOKUP(E$3,daily_items,XLOOKUP($C3670,daily_dates,big_daily_table)))</f>
        <v>#N/A</v>
      </c>
    </row>
    <row r="3671" ht="14.25" customHeight="1">
      <c r="B3671" s="7">
        <v>44576.0</v>
      </c>
      <c r="C3671" s="7">
        <f t="shared" si="1"/>
        <v>44570</v>
      </c>
      <c r="D3671" s="1" t="str">
        <f t="array" ref="D3671">IF(ISBLANK(XLOOKUP(D$3,daily_items,XLOOKUP($C3671,daily_dates,big_daily_table))),NA(),XLOOKUP(D$3,daily_items,XLOOKUP($C3671,daily_dates,big_daily_table)))</f>
        <v>#N/A</v>
      </c>
      <c r="E3671" s="1" t="str">
        <f t="array" ref="E3671">IF(ISBLANK(XLOOKUP(E$3,daily_items,XLOOKUP($C3671,daily_dates,big_daily_table))),NA(),XLOOKUP(E$3,daily_items,XLOOKUP($C3671,daily_dates,big_daily_table)))</f>
        <v>#N/A</v>
      </c>
    </row>
    <row r="3672" ht="14.25" customHeight="1">
      <c r="B3672" s="7">
        <v>44577.0</v>
      </c>
      <c r="C3672" s="7">
        <f t="shared" si="1"/>
        <v>44577</v>
      </c>
      <c r="D3672" s="1" t="str">
        <f t="array" ref="D3672">IF(ISBLANK(XLOOKUP(D$3,daily_items,XLOOKUP($C3672,daily_dates,big_daily_table))),NA(),XLOOKUP(D$3,daily_items,XLOOKUP($C3672,daily_dates,big_daily_table)))</f>
        <v>#N/A</v>
      </c>
      <c r="E3672" s="1" t="str">
        <f t="array" ref="E3672">IF(ISBLANK(XLOOKUP(E$3,daily_items,XLOOKUP($C3672,daily_dates,big_daily_table))),NA(),XLOOKUP(E$3,daily_items,XLOOKUP($C3672,daily_dates,big_daily_table)))</f>
        <v>#N/A</v>
      </c>
    </row>
    <row r="3673" ht="14.25" customHeight="1">
      <c r="B3673" s="7">
        <v>44578.0</v>
      </c>
      <c r="C3673" s="7">
        <f t="shared" si="1"/>
        <v>44577</v>
      </c>
      <c r="D3673" s="1" t="str">
        <f t="array" ref="D3673">IF(ISBLANK(XLOOKUP(D$3,daily_items,XLOOKUP($C3673,daily_dates,big_daily_table))),NA(),XLOOKUP(D$3,daily_items,XLOOKUP($C3673,daily_dates,big_daily_table)))</f>
        <v>#N/A</v>
      </c>
      <c r="E3673" s="1" t="str">
        <f t="array" ref="E3673">IF(ISBLANK(XLOOKUP(E$3,daily_items,XLOOKUP($C3673,daily_dates,big_daily_table))),NA(),XLOOKUP(E$3,daily_items,XLOOKUP($C3673,daily_dates,big_daily_table)))</f>
        <v>#N/A</v>
      </c>
    </row>
    <row r="3674" ht="14.25" customHeight="1">
      <c r="B3674" s="7">
        <v>44579.0</v>
      </c>
      <c r="C3674" s="7">
        <f t="shared" si="1"/>
        <v>44577</v>
      </c>
      <c r="D3674" s="1" t="str">
        <f t="array" ref="D3674">IF(ISBLANK(XLOOKUP(D$3,daily_items,XLOOKUP($C3674,daily_dates,big_daily_table))),NA(),XLOOKUP(D$3,daily_items,XLOOKUP($C3674,daily_dates,big_daily_table)))</f>
        <v>#N/A</v>
      </c>
      <c r="E3674" s="1" t="str">
        <f t="array" ref="E3674">IF(ISBLANK(XLOOKUP(E$3,daily_items,XLOOKUP($C3674,daily_dates,big_daily_table))),NA(),XLOOKUP(E$3,daily_items,XLOOKUP($C3674,daily_dates,big_daily_table)))</f>
        <v>#N/A</v>
      </c>
    </row>
    <row r="3675" ht="14.25" customHeight="1">
      <c r="B3675" s="7">
        <v>44580.0</v>
      </c>
      <c r="C3675" s="7">
        <f t="shared" si="1"/>
        <v>44577</v>
      </c>
      <c r="D3675" s="1" t="str">
        <f t="array" ref="D3675">IF(ISBLANK(XLOOKUP(D$3,daily_items,XLOOKUP($C3675,daily_dates,big_daily_table))),NA(),XLOOKUP(D$3,daily_items,XLOOKUP($C3675,daily_dates,big_daily_table)))</f>
        <v>#N/A</v>
      </c>
      <c r="E3675" s="1" t="str">
        <f t="array" ref="E3675">IF(ISBLANK(XLOOKUP(E$3,daily_items,XLOOKUP($C3675,daily_dates,big_daily_table))),NA(),XLOOKUP(E$3,daily_items,XLOOKUP($C3675,daily_dates,big_daily_table)))</f>
        <v>#N/A</v>
      </c>
    </row>
    <row r="3676" ht="14.25" customHeight="1">
      <c r="B3676" s="7">
        <v>44581.0</v>
      </c>
      <c r="C3676" s="7">
        <f t="shared" si="1"/>
        <v>44577</v>
      </c>
      <c r="D3676" s="1" t="str">
        <f t="array" ref="D3676">IF(ISBLANK(XLOOKUP(D$3,daily_items,XLOOKUP($C3676,daily_dates,big_daily_table))),NA(),XLOOKUP(D$3,daily_items,XLOOKUP($C3676,daily_dates,big_daily_table)))</f>
        <v>#N/A</v>
      </c>
      <c r="E3676" s="1" t="str">
        <f t="array" ref="E3676">IF(ISBLANK(XLOOKUP(E$3,daily_items,XLOOKUP($C3676,daily_dates,big_daily_table))),NA(),XLOOKUP(E$3,daily_items,XLOOKUP($C3676,daily_dates,big_daily_table)))</f>
        <v>#N/A</v>
      </c>
    </row>
    <row r="3677" ht="14.25" customHeight="1">
      <c r="B3677" s="7">
        <v>44582.0</v>
      </c>
      <c r="C3677" s="7">
        <f t="shared" si="1"/>
        <v>44577</v>
      </c>
      <c r="D3677" s="1" t="str">
        <f t="array" ref="D3677">IF(ISBLANK(XLOOKUP(D$3,daily_items,XLOOKUP($C3677,daily_dates,big_daily_table))),NA(),XLOOKUP(D$3,daily_items,XLOOKUP($C3677,daily_dates,big_daily_table)))</f>
        <v>#N/A</v>
      </c>
      <c r="E3677" s="1" t="str">
        <f t="array" ref="E3677">IF(ISBLANK(XLOOKUP(E$3,daily_items,XLOOKUP($C3677,daily_dates,big_daily_table))),NA(),XLOOKUP(E$3,daily_items,XLOOKUP($C3677,daily_dates,big_daily_table)))</f>
        <v>#N/A</v>
      </c>
    </row>
    <row r="3678" ht="14.25" customHeight="1">
      <c r="B3678" s="7">
        <v>44583.0</v>
      </c>
      <c r="C3678" s="7">
        <f t="shared" si="1"/>
        <v>44577</v>
      </c>
      <c r="D3678" s="1" t="str">
        <f t="array" ref="D3678">IF(ISBLANK(XLOOKUP(D$3,daily_items,XLOOKUP($C3678,daily_dates,big_daily_table))),NA(),XLOOKUP(D$3,daily_items,XLOOKUP($C3678,daily_dates,big_daily_table)))</f>
        <v>#N/A</v>
      </c>
      <c r="E3678" s="1" t="str">
        <f t="array" ref="E3678">IF(ISBLANK(XLOOKUP(E$3,daily_items,XLOOKUP($C3678,daily_dates,big_daily_table))),NA(),XLOOKUP(E$3,daily_items,XLOOKUP($C3678,daily_dates,big_daily_table)))</f>
        <v>#N/A</v>
      </c>
    </row>
    <row r="3679" ht="14.25" customHeight="1">
      <c r="B3679" s="7">
        <v>44584.0</v>
      </c>
      <c r="C3679" s="7">
        <f t="shared" si="1"/>
        <v>44584</v>
      </c>
      <c r="D3679" s="1" t="str">
        <f t="array" ref="D3679">IF(ISBLANK(XLOOKUP(D$3,daily_items,XLOOKUP($C3679,daily_dates,big_daily_table))),NA(),XLOOKUP(D$3,daily_items,XLOOKUP($C3679,daily_dates,big_daily_table)))</f>
        <v>#N/A</v>
      </c>
      <c r="E3679" s="1" t="str">
        <f t="array" ref="E3679">IF(ISBLANK(XLOOKUP(E$3,daily_items,XLOOKUP($C3679,daily_dates,big_daily_table))),NA(),XLOOKUP(E$3,daily_items,XLOOKUP($C3679,daily_dates,big_daily_table)))</f>
        <v>#N/A</v>
      </c>
    </row>
    <row r="3680" ht="14.25" customHeight="1">
      <c r="B3680" s="7">
        <v>44585.0</v>
      </c>
      <c r="C3680" s="7">
        <f t="shared" si="1"/>
        <v>44584</v>
      </c>
      <c r="D3680" s="1" t="str">
        <f t="array" ref="D3680">IF(ISBLANK(XLOOKUP(D$3,daily_items,XLOOKUP($C3680,daily_dates,big_daily_table))),NA(),XLOOKUP(D$3,daily_items,XLOOKUP($C3680,daily_dates,big_daily_table)))</f>
        <v>#N/A</v>
      </c>
      <c r="E3680" s="1" t="str">
        <f t="array" ref="E3680">IF(ISBLANK(XLOOKUP(E$3,daily_items,XLOOKUP($C3680,daily_dates,big_daily_table))),NA(),XLOOKUP(E$3,daily_items,XLOOKUP($C3680,daily_dates,big_daily_table)))</f>
        <v>#N/A</v>
      </c>
    </row>
    <row r="3681" ht="14.25" customHeight="1">
      <c r="B3681" s="7">
        <v>44586.0</v>
      </c>
      <c r="C3681" s="7">
        <f t="shared" si="1"/>
        <v>44584</v>
      </c>
      <c r="D3681" s="1" t="str">
        <f t="array" ref="D3681">IF(ISBLANK(XLOOKUP(D$3,daily_items,XLOOKUP($C3681,daily_dates,big_daily_table))),NA(),XLOOKUP(D$3,daily_items,XLOOKUP($C3681,daily_dates,big_daily_table)))</f>
        <v>#N/A</v>
      </c>
      <c r="E3681" s="1" t="str">
        <f t="array" ref="E3681">IF(ISBLANK(XLOOKUP(E$3,daily_items,XLOOKUP($C3681,daily_dates,big_daily_table))),NA(),XLOOKUP(E$3,daily_items,XLOOKUP($C3681,daily_dates,big_daily_table)))</f>
        <v>#N/A</v>
      </c>
    </row>
    <row r="3682" ht="14.25" customHeight="1">
      <c r="B3682" s="7">
        <v>44587.0</v>
      </c>
      <c r="C3682" s="7">
        <f t="shared" si="1"/>
        <v>44584</v>
      </c>
      <c r="D3682" s="1" t="str">
        <f t="array" ref="D3682">IF(ISBLANK(XLOOKUP(D$3,daily_items,XLOOKUP($C3682,daily_dates,big_daily_table))),NA(),XLOOKUP(D$3,daily_items,XLOOKUP($C3682,daily_dates,big_daily_table)))</f>
        <v>#N/A</v>
      </c>
      <c r="E3682" s="1" t="str">
        <f t="array" ref="E3682">IF(ISBLANK(XLOOKUP(E$3,daily_items,XLOOKUP($C3682,daily_dates,big_daily_table))),NA(),XLOOKUP(E$3,daily_items,XLOOKUP($C3682,daily_dates,big_daily_table)))</f>
        <v>#N/A</v>
      </c>
    </row>
    <row r="3683" ht="14.25" customHeight="1">
      <c r="B3683" s="7">
        <v>44588.0</v>
      </c>
      <c r="C3683" s="7">
        <f t="shared" si="1"/>
        <v>44584</v>
      </c>
      <c r="D3683" s="1" t="str">
        <f t="array" ref="D3683">IF(ISBLANK(XLOOKUP(D$3,daily_items,XLOOKUP($C3683,daily_dates,big_daily_table))),NA(),XLOOKUP(D$3,daily_items,XLOOKUP($C3683,daily_dates,big_daily_table)))</f>
        <v>#N/A</v>
      </c>
      <c r="E3683" s="1" t="str">
        <f t="array" ref="E3683">IF(ISBLANK(XLOOKUP(E$3,daily_items,XLOOKUP($C3683,daily_dates,big_daily_table))),NA(),XLOOKUP(E$3,daily_items,XLOOKUP($C3683,daily_dates,big_daily_table)))</f>
        <v>#N/A</v>
      </c>
    </row>
    <row r="3684" ht="14.25" customHeight="1">
      <c r="B3684" s="7">
        <v>44589.0</v>
      </c>
      <c r="C3684" s="7">
        <f t="shared" si="1"/>
        <v>44584</v>
      </c>
      <c r="D3684" s="1" t="str">
        <f t="array" ref="D3684">IF(ISBLANK(XLOOKUP(D$3,daily_items,XLOOKUP($C3684,daily_dates,big_daily_table))),NA(),XLOOKUP(D$3,daily_items,XLOOKUP($C3684,daily_dates,big_daily_table)))</f>
        <v>#N/A</v>
      </c>
      <c r="E3684" s="1" t="str">
        <f t="array" ref="E3684">IF(ISBLANK(XLOOKUP(E$3,daily_items,XLOOKUP($C3684,daily_dates,big_daily_table))),NA(),XLOOKUP(E$3,daily_items,XLOOKUP($C3684,daily_dates,big_daily_table)))</f>
        <v>#N/A</v>
      </c>
    </row>
    <row r="3685" ht="14.25" customHeight="1">
      <c r="B3685" s="7">
        <v>44590.0</v>
      </c>
      <c r="C3685" s="7">
        <f t="shared" si="1"/>
        <v>44584</v>
      </c>
      <c r="D3685" s="1" t="str">
        <f t="array" ref="D3685">IF(ISBLANK(XLOOKUP(D$3,daily_items,XLOOKUP($C3685,daily_dates,big_daily_table))),NA(),XLOOKUP(D$3,daily_items,XLOOKUP($C3685,daily_dates,big_daily_table)))</f>
        <v>#N/A</v>
      </c>
      <c r="E3685" s="1" t="str">
        <f t="array" ref="E3685">IF(ISBLANK(XLOOKUP(E$3,daily_items,XLOOKUP($C3685,daily_dates,big_daily_table))),NA(),XLOOKUP(E$3,daily_items,XLOOKUP($C3685,daily_dates,big_daily_table)))</f>
        <v>#N/A</v>
      </c>
    </row>
    <row r="3686" ht="14.25" customHeight="1">
      <c r="B3686" s="7">
        <v>44591.0</v>
      </c>
      <c r="C3686" s="7">
        <f t="shared" si="1"/>
        <v>44591</v>
      </c>
      <c r="D3686" s="1" t="str">
        <f t="array" ref="D3686">IF(ISBLANK(XLOOKUP(D$3,daily_items,XLOOKUP($C3686,daily_dates,big_daily_table))),NA(),XLOOKUP(D$3,daily_items,XLOOKUP($C3686,daily_dates,big_daily_table)))</f>
        <v>#N/A</v>
      </c>
      <c r="E3686" s="1" t="str">
        <f t="array" ref="E3686">IF(ISBLANK(XLOOKUP(E$3,daily_items,XLOOKUP($C3686,daily_dates,big_daily_table))),NA(),XLOOKUP(E$3,daily_items,XLOOKUP($C3686,daily_dates,big_daily_table)))</f>
        <v>#N/A</v>
      </c>
    </row>
    <row r="3687" ht="14.25" customHeight="1">
      <c r="B3687" s="7">
        <v>44592.0</v>
      </c>
      <c r="C3687" s="7">
        <f t="shared" si="1"/>
        <v>44591</v>
      </c>
      <c r="D3687" s="1" t="str">
        <f t="array" ref="D3687">IF(ISBLANK(XLOOKUP(D$3,daily_items,XLOOKUP($C3687,daily_dates,big_daily_table))),NA(),XLOOKUP(D$3,daily_items,XLOOKUP($C3687,daily_dates,big_daily_table)))</f>
        <v>#N/A</v>
      </c>
      <c r="E3687" s="1" t="str">
        <f t="array" ref="E3687">IF(ISBLANK(XLOOKUP(E$3,daily_items,XLOOKUP($C3687,daily_dates,big_daily_table))),NA(),XLOOKUP(E$3,daily_items,XLOOKUP($C3687,daily_dates,big_daily_table)))</f>
        <v>#N/A</v>
      </c>
    </row>
    <row r="3688" ht="14.25" customHeight="1">
      <c r="B3688" s="7">
        <v>44593.0</v>
      </c>
      <c r="C3688" s="7">
        <f t="shared" si="1"/>
        <v>44591</v>
      </c>
      <c r="D3688" s="1" t="str">
        <f t="array" ref="D3688">IF(ISBLANK(XLOOKUP(D$3,daily_items,XLOOKUP($C3688,daily_dates,big_daily_table))),NA(),XLOOKUP(D$3,daily_items,XLOOKUP($C3688,daily_dates,big_daily_table)))</f>
        <v>#N/A</v>
      </c>
      <c r="E3688" s="1" t="str">
        <f t="array" ref="E3688">IF(ISBLANK(XLOOKUP(E$3,daily_items,XLOOKUP($C3688,daily_dates,big_daily_table))),NA(),XLOOKUP(E$3,daily_items,XLOOKUP($C3688,daily_dates,big_daily_table)))</f>
        <v>#N/A</v>
      </c>
    </row>
    <row r="3689" ht="14.25" customHeight="1">
      <c r="B3689" s="7">
        <v>44594.0</v>
      </c>
      <c r="C3689" s="7">
        <f t="shared" si="1"/>
        <v>44591</v>
      </c>
      <c r="D3689" s="1" t="str">
        <f t="array" ref="D3689">IF(ISBLANK(XLOOKUP(D$3,daily_items,XLOOKUP($C3689,daily_dates,big_daily_table))),NA(),XLOOKUP(D$3,daily_items,XLOOKUP($C3689,daily_dates,big_daily_table)))</f>
        <v>#N/A</v>
      </c>
      <c r="E3689" s="1" t="str">
        <f t="array" ref="E3689">IF(ISBLANK(XLOOKUP(E$3,daily_items,XLOOKUP($C3689,daily_dates,big_daily_table))),NA(),XLOOKUP(E$3,daily_items,XLOOKUP($C3689,daily_dates,big_daily_table)))</f>
        <v>#N/A</v>
      </c>
    </row>
    <row r="3690" ht="14.25" customHeight="1">
      <c r="B3690" s="7">
        <v>44595.0</v>
      </c>
      <c r="C3690" s="7">
        <f t="shared" si="1"/>
        <v>44591</v>
      </c>
      <c r="D3690" s="1" t="str">
        <f t="array" ref="D3690">IF(ISBLANK(XLOOKUP(D$3,daily_items,XLOOKUP($C3690,daily_dates,big_daily_table))),NA(),XLOOKUP(D$3,daily_items,XLOOKUP($C3690,daily_dates,big_daily_table)))</f>
        <v>#N/A</v>
      </c>
      <c r="E3690" s="1" t="str">
        <f t="array" ref="E3690">IF(ISBLANK(XLOOKUP(E$3,daily_items,XLOOKUP($C3690,daily_dates,big_daily_table))),NA(),XLOOKUP(E$3,daily_items,XLOOKUP($C3690,daily_dates,big_daily_table)))</f>
        <v>#N/A</v>
      </c>
    </row>
    <row r="3691" ht="14.25" customHeight="1">
      <c r="B3691" s="7">
        <v>44596.0</v>
      </c>
      <c r="C3691" s="7">
        <f t="shared" si="1"/>
        <v>44591</v>
      </c>
      <c r="D3691" s="1" t="str">
        <f t="array" ref="D3691">IF(ISBLANK(XLOOKUP(D$3,daily_items,XLOOKUP($C3691,daily_dates,big_daily_table))),NA(),XLOOKUP(D$3,daily_items,XLOOKUP($C3691,daily_dates,big_daily_table)))</f>
        <v>#N/A</v>
      </c>
      <c r="E3691" s="1" t="str">
        <f t="array" ref="E3691">IF(ISBLANK(XLOOKUP(E$3,daily_items,XLOOKUP($C3691,daily_dates,big_daily_table))),NA(),XLOOKUP(E$3,daily_items,XLOOKUP($C3691,daily_dates,big_daily_table)))</f>
        <v>#N/A</v>
      </c>
    </row>
    <row r="3692" ht="14.25" customHeight="1">
      <c r="B3692" s="7">
        <v>44597.0</v>
      </c>
      <c r="C3692" s="7">
        <f t="shared" si="1"/>
        <v>44591</v>
      </c>
      <c r="D3692" s="1" t="str">
        <f t="array" ref="D3692">IF(ISBLANK(XLOOKUP(D$3,daily_items,XLOOKUP($C3692,daily_dates,big_daily_table))),NA(),XLOOKUP(D$3,daily_items,XLOOKUP($C3692,daily_dates,big_daily_table)))</f>
        <v>#N/A</v>
      </c>
      <c r="E3692" s="1" t="str">
        <f t="array" ref="E3692">IF(ISBLANK(XLOOKUP(E$3,daily_items,XLOOKUP($C3692,daily_dates,big_daily_table))),NA(),XLOOKUP(E$3,daily_items,XLOOKUP($C3692,daily_dates,big_daily_table)))</f>
        <v>#N/A</v>
      </c>
    </row>
    <row r="3693" ht="14.25" customHeight="1">
      <c r="B3693" s="7">
        <v>44598.0</v>
      </c>
      <c r="C3693" s="7">
        <f t="shared" si="1"/>
        <v>44598</v>
      </c>
      <c r="D3693" s="1" t="str">
        <f t="array" ref="D3693">IF(ISBLANK(XLOOKUP(D$3,daily_items,XLOOKUP($C3693,daily_dates,big_daily_table))),NA(),XLOOKUP(D$3,daily_items,XLOOKUP($C3693,daily_dates,big_daily_table)))</f>
        <v>#N/A</v>
      </c>
      <c r="E3693" s="1" t="str">
        <f t="array" ref="E3693">IF(ISBLANK(XLOOKUP(E$3,daily_items,XLOOKUP($C3693,daily_dates,big_daily_table))),NA(),XLOOKUP(E$3,daily_items,XLOOKUP($C3693,daily_dates,big_daily_table)))</f>
        <v>#N/A</v>
      </c>
    </row>
    <row r="3694" ht="14.25" customHeight="1">
      <c r="B3694" s="7">
        <v>44599.0</v>
      </c>
      <c r="C3694" s="7">
        <f t="shared" si="1"/>
        <v>44598</v>
      </c>
      <c r="D3694" s="1" t="str">
        <f t="array" ref="D3694">IF(ISBLANK(XLOOKUP(D$3,daily_items,XLOOKUP($C3694,daily_dates,big_daily_table))),NA(),XLOOKUP(D$3,daily_items,XLOOKUP($C3694,daily_dates,big_daily_table)))</f>
        <v>#N/A</v>
      </c>
      <c r="E3694" s="1" t="str">
        <f t="array" ref="E3694">IF(ISBLANK(XLOOKUP(E$3,daily_items,XLOOKUP($C3694,daily_dates,big_daily_table))),NA(),XLOOKUP(E$3,daily_items,XLOOKUP($C3694,daily_dates,big_daily_table)))</f>
        <v>#N/A</v>
      </c>
    </row>
    <row r="3695" ht="14.25" customHeight="1">
      <c r="B3695" s="7">
        <v>44600.0</v>
      </c>
      <c r="C3695" s="7">
        <f t="shared" si="1"/>
        <v>44598</v>
      </c>
      <c r="D3695" s="1" t="str">
        <f t="array" ref="D3695">IF(ISBLANK(XLOOKUP(D$3,daily_items,XLOOKUP($C3695,daily_dates,big_daily_table))),NA(),XLOOKUP(D$3,daily_items,XLOOKUP($C3695,daily_dates,big_daily_table)))</f>
        <v>#N/A</v>
      </c>
      <c r="E3695" s="1" t="str">
        <f t="array" ref="E3695">IF(ISBLANK(XLOOKUP(E$3,daily_items,XLOOKUP($C3695,daily_dates,big_daily_table))),NA(),XLOOKUP(E$3,daily_items,XLOOKUP($C3695,daily_dates,big_daily_table)))</f>
        <v>#N/A</v>
      </c>
    </row>
    <row r="3696" ht="14.25" customHeight="1">
      <c r="B3696" s="7">
        <v>44601.0</v>
      </c>
      <c r="C3696" s="7">
        <f t="shared" si="1"/>
        <v>44598</v>
      </c>
      <c r="D3696" s="1" t="str">
        <f t="array" ref="D3696">IF(ISBLANK(XLOOKUP(D$3,daily_items,XLOOKUP($C3696,daily_dates,big_daily_table))),NA(),XLOOKUP(D$3,daily_items,XLOOKUP($C3696,daily_dates,big_daily_table)))</f>
        <v>#N/A</v>
      </c>
      <c r="E3696" s="1" t="str">
        <f t="array" ref="E3696">IF(ISBLANK(XLOOKUP(E$3,daily_items,XLOOKUP($C3696,daily_dates,big_daily_table))),NA(),XLOOKUP(E$3,daily_items,XLOOKUP($C3696,daily_dates,big_daily_table)))</f>
        <v>#N/A</v>
      </c>
    </row>
    <row r="3697" ht="14.25" customHeight="1">
      <c r="B3697" s="7">
        <v>44602.0</v>
      </c>
      <c r="C3697" s="7">
        <f t="shared" si="1"/>
        <v>44598</v>
      </c>
      <c r="D3697" s="1" t="str">
        <f t="array" ref="D3697">IF(ISBLANK(XLOOKUP(D$3,daily_items,XLOOKUP($C3697,daily_dates,big_daily_table))),NA(),XLOOKUP(D$3,daily_items,XLOOKUP($C3697,daily_dates,big_daily_table)))</f>
        <v>#N/A</v>
      </c>
      <c r="E3697" s="1" t="str">
        <f t="array" ref="E3697">IF(ISBLANK(XLOOKUP(E$3,daily_items,XLOOKUP($C3697,daily_dates,big_daily_table))),NA(),XLOOKUP(E$3,daily_items,XLOOKUP($C3697,daily_dates,big_daily_table)))</f>
        <v>#N/A</v>
      </c>
    </row>
    <row r="3698" ht="14.25" customHeight="1">
      <c r="B3698" s="7">
        <v>44603.0</v>
      </c>
      <c r="C3698" s="7">
        <f t="shared" si="1"/>
        <v>44598</v>
      </c>
      <c r="D3698" s="1" t="str">
        <f t="array" ref="D3698">IF(ISBLANK(XLOOKUP(D$3,daily_items,XLOOKUP($C3698,daily_dates,big_daily_table))),NA(),XLOOKUP(D$3,daily_items,XLOOKUP($C3698,daily_dates,big_daily_table)))</f>
        <v>#N/A</v>
      </c>
      <c r="E3698" s="1" t="str">
        <f t="array" ref="E3698">IF(ISBLANK(XLOOKUP(E$3,daily_items,XLOOKUP($C3698,daily_dates,big_daily_table))),NA(),XLOOKUP(E$3,daily_items,XLOOKUP($C3698,daily_dates,big_daily_table)))</f>
        <v>#N/A</v>
      </c>
    </row>
    <row r="3699" ht="14.25" customHeight="1">
      <c r="B3699" s="7">
        <v>44604.0</v>
      </c>
      <c r="C3699" s="7">
        <f t="shared" si="1"/>
        <v>44598</v>
      </c>
      <c r="D3699" s="1" t="str">
        <f t="array" ref="D3699">IF(ISBLANK(XLOOKUP(D$3,daily_items,XLOOKUP($C3699,daily_dates,big_daily_table))),NA(),XLOOKUP(D$3,daily_items,XLOOKUP($C3699,daily_dates,big_daily_table)))</f>
        <v>#N/A</v>
      </c>
      <c r="E3699" s="1" t="str">
        <f t="array" ref="E3699">IF(ISBLANK(XLOOKUP(E$3,daily_items,XLOOKUP($C3699,daily_dates,big_daily_table))),NA(),XLOOKUP(E$3,daily_items,XLOOKUP($C3699,daily_dates,big_daily_table)))</f>
        <v>#N/A</v>
      </c>
    </row>
    <row r="3700" ht="14.25" customHeight="1">
      <c r="B3700" s="7">
        <v>44605.0</v>
      </c>
      <c r="C3700" s="7">
        <f t="shared" si="1"/>
        <v>44605</v>
      </c>
      <c r="D3700" s="1" t="str">
        <f t="array" ref="D3700">IF(ISBLANK(XLOOKUP(D$3,daily_items,XLOOKUP($C3700,daily_dates,big_daily_table))),NA(),XLOOKUP(D$3,daily_items,XLOOKUP($C3700,daily_dates,big_daily_table)))</f>
        <v>#N/A</v>
      </c>
      <c r="E3700" s="1" t="str">
        <f t="array" ref="E3700">IF(ISBLANK(XLOOKUP(E$3,daily_items,XLOOKUP($C3700,daily_dates,big_daily_table))),NA(),XLOOKUP(E$3,daily_items,XLOOKUP($C3700,daily_dates,big_daily_table)))</f>
        <v>#N/A</v>
      </c>
    </row>
    <row r="3701" ht="14.25" customHeight="1">
      <c r="B3701" s="7">
        <v>44606.0</v>
      </c>
      <c r="C3701" s="7">
        <f t="shared" si="1"/>
        <v>44605</v>
      </c>
      <c r="D3701" s="1" t="str">
        <f t="array" ref="D3701">IF(ISBLANK(XLOOKUP(D$3,daily_items,XLOOKUP($C3701,daily_dates,big_daily_table))),NA(),XLOOKUP(D$3,daily_items,XLOOKUP($C3701,daily_dates,big_daily_table)))</f>
        <v>#N/A</v>
      </c>
      <c r="E3701" s="1" t="str">
        <f t="array" ref="E3701">IF(ISBLANK(XLOOKUP(E$3,daily_items,XLOOKUP($C3701,daily_dates,big_daily_table))),NA(),XLOOKUP(E$3,daily_items,XLOOKUP($C3701,daily_dates,big_daily_table)))</f>
        <v>#N/A</v>
      </c>
    </row>
    <row r="3702" ht="14.25" customHeight="1">
      <c r="B3702" s="7">
        <v>44607.0</v>
      </c>
      <c r="C3702" s="7">
        <f t="shared" si="1"/>
        <v>44605</v>
      </c>
      <c r="D3702" s="1" t="str">
        <f t="array" ref="D3702">IF(ISBLANK(XLOOKUP(D$3,daily_items,XLOOKUP($C3702,daily_dates,big_daily_table))),NA(),XLOOKUP(D$3,daily_items,XLOOKUP($C3702,daily_dates,big_daily_table)))</f>
        <v>#N/A</v>
      </c>
      <c r="E3702" s="1" t="str">
        <f t="array" ref="E3702">IF(ISBLANK(XLOOKUP(E$3,daily_items,XLOOKUP($C3702,daily_dates,big_daily_table))),NA(),XLOOKUP(E$3,daily_items,XLOOKUP($C3702,daily_dates,big_daily_table)))</f>
        <v>#N/A</v>
      </c>
    </row>
    <row r="3703" ht="14.25" customHeight="1">
      <c r="B3703" s="7">
        <v>44608.0</v>
      </c>
      <c r="C3703" s="7">
        <f t="shared" si="1"/>
        <v>44605</v>
      </c>
      <c r="D3703" s="1" t="str">
        <f t="array" ref="D3703">IF(ISBLANK(XLOOKUP(D$3,daily_items,XLOOKUP($C3703,daily_dates,big_daily_table))),NA(),XLOOKUP(D$3,daily_items,XLOOKUP($C3703,daily_dates,big_daily_table)))</f>
        <v>#N/A</v>
      </c>
      <c r="E3703" s="1" t="str">
        <f t="array" ref="E3703">IF(ISBLANK(XLOOKUP(E$3,daily_items,XLOOKUP($C3703,daily_dates,big_daily_table))),NA(),XLOOKUP(E$3,daily_items,XLOOKUP($C3703,daily_dates,big_daily_table)))</f>
        <v>#N/A</v>
      </c>
    </row>
    <row r="3704" ht="14.25" customHeight="1">
      <c r="B3704" s="7">
        <v>44609.0</v>
      </c>
      <c r="C3704" s="7">
        <f t="shared" si="1"/>
        <v>44605</v>
      </c>
      <c r="D3704" s="1" t="str">
        <f t="array" ref="D3704">IF(ISBLANK(XLOOKUP(D$3,daily_items,XLOOKUP($C3704,daily_dates,big_daily_table))),NA(),XLOOKUP(D$3,daily_items,XLOOKUP($C3704,daily_dates,big_daily_table)))</f>
        <v>#N/A</v>
      </c>
      <c r="E3704" s="1" t="str">
        <f t="array" ref="E3704">IF(ISBLANK(XLOOKUP(E$3,daily_items,XLOOKUP($C3704,daily_dates,big_daily_table))),NA(),XLOOKUP(E$3,daily_items,XLOOKUP($C3704,daily_dates,big_daily_table)))</f>
        <v>#N/A</v>
      </c>
    </row>
    <row r="3705" ht="14.25" customHeight="1">
      <c r="B3705" s="7">
        <v>44610.0</v>
      </c>
      <c r="C3705" s="7">
        <f t="shared" si="1"/>
        <v>44605</v>
      </c>
      <c r="D3705" s="1" t="str">
        <f t="array" ref="D3705">IF(ISBLANK(XLOOKUP(D$3,daily_items,XLOOKUP($C3705,daily_dates,big_daily_table))),NA(),XLOOKUP(D$3,daily_items,XLOOKUP($C3705,daily_dates,big_daily_table)))</f>
        <v>#N/A</v>
      </c>
      <c r="E3705" s="1" t="str">
        <f t="array" ref="E3705">IF(ISBLANK(XLOOKUP(E$3,daily_items,XLOOKUP($C3705,daily_dates,big_daily_table))),NA(),XLOOKUP(E$3,daily_items,XLOOKUP($C3705,daily_dates,big_daily_table)))</f>
        <v>#N/A</v>
      </c>
    </row>
    <row r="3706" ht="14.25" customHeight="1">
      <c r="B3706" s="7">
        <v>44611.0</v>
      </c>
      <c r="C3706" s="7">
        <f t="shared" si="1"/>
        <v>44605</v>
      </c>
      <c r="D3706" s="1" t="str">
        <f t="array" ref="D3706">IF(ISBLANK(XLOOKUP(D$3,daily_items,XLOOKUP($C3706,daily_dates,big_daily_table))),NA(),XLOOKUP(D$3,daily_items,XLOOKUP($C3706,daily_dates,big_daily_table)))</f>
        <v>#N/A</v>
      </c>
      <c r="E3706" s="1" t="str">
        <f t="array" ref="E3706">IF(ISBLANK(XLOOKUP(E$3,daily_items,XLOOKUP($C3706,daily_dates,big_daily_table))),NA(),XLOOKUP(E$3,daily_items,XLOOKUP($C3706,daily_dates,big_daily_table)))</f>
        <v>#N/A</v>
      </c>
    </row>
    <row r="3707" ht="14.25" customHeight="1">
      <c r="B3707" s="7">
        <v>44612.0</v>
      </c>
      <c r="C3707" s="7">
        <f t="shared" si="1"/>
        <v>44612</v>
      </c>
      <c r="D3707" s="1" t="str">
        <f t="array" ref="D3707">IF(ISBLANK(XLOOKUP(D$3,daily_items,XLOOKUP($C3707,daily_dates,big_daily_table))),NA(),XLOOKUP(D$3,daily_items,XLOOKUP($C3707,daily_dates,big_daily_table)))</f>
        <v>#N/A</v>
      </c>
      <c r="E3707" s="1" t="str">
        <f t="array" ref="E3707">IF(ISBLANK(XLOOKUP(E$3,daily_items,XLOOKUP($C3707,daily_dates,big_daily_table))),NA(),XLOOKUP(E$3,daily_items,XLOOKUP($C3707,daily_dates,big_daily_table)))</f>
        <v>#N/A</v>
      </c>
    </row>
    <row r="3708" ht="14.25" customHeight="1">
      <c r="B3708" s="7">
        <v>44613.0</v>
      </c>
      <c r="C3708" s="7">
        <f t="shared" si="1"/>
        <v>44612</v>
      </c>
      <c r="D3708" s="1" t="str">
        <f t="array" ref="D3708">IF(ISBLANK(XLOOKUP(D$3,daily_items,XLOOKUP($C3708,daily_dates,big_daily_table))),NA(),XLOOKUP(D$3,daily_items,XLOOKUP($C3708,daily_dates,big_daily_table)))</f>
        <v>#N/A</v>
      </c>
      <c r="E3708" s="1" t="str">
        <f t="array" ref="E3708">IF(ISBLANK(XLOOKUP(E$3,daily_items,XLOOKUP($C3708,daily_dates,big_daily_table))),NA(),XLOOKUP(E$3,daily_items,XLOOKUP($C3708,daily_dates,big_daily_table)))</f>
        <v>#N/A</v>
      </c>
    </row>
    <row r="3709" ht="14.25" customHeight="1">
      <c r="B3709" s="7">
        <v>44614.0</v>
      </c>
      <c r="C3709" s="7">
        <f t="shared" si="1"/>
        <v>44612</v>
      </c>
      <c r="D3709" s="1" t="str">
        <f t="array" ref="D3709">IF(ISBLANK(XLOOKUP(D$3,daily_items,XLOOKUP($C3709,daily_dates,big_daily_table))),NA(),XLOOKUP(D$3,daily_items,XLOOKUP($C3709,daily_dates,big_daily_table)))</f>
        <v>#N/A</v>
      </c>
      <c r="E3709" s="1" t="str">
        <f t="array" ref="E3709">IF(ISBLANK(XLOOKUP(E$3,daily_items,XLOOKUP($C3709,daily_dates,big_daily_table))),NA(),XLOOKUP(E$3,daily_items,XLOOKUP($C3709,daily_dates,big_daily_table)))</f>
        <v>#N/A</v>
      </c>
    </row>
    <row r="3710" ht="14.25" customHeight="1">
      <c r="B3710" s="7">
        <v>44615.0</v>
      </c>
      <c r="C3710" s="7">
        <f t="shared" si="1"/>
        <v>44612</v>
      </c>
      <c r="D3710" s="1" t="str">
        <f t="array" ref="D3710">IF(ISBLANK(XLOOKUP(D$3,daily_items,XLOOKUP($C3710,daily_dates,big_daily_table))),NA(),XLOOKUP(D$3,daily_items,XLOOKUP($C3710,daily_dates,big_daily_table)))</f>
        <v>#N/A</v>
      </c>
      <c r="E3710" s="1" t="str">
        <f t="array" ref="E3710">IF(ISBLANK(XLOOKUP(E$3,daily_items,XLOOKUP($C3710,daily_dates,big_daily_table))),NA(),XLOOKUP(E$3,daily_items,XLOOKUP($C3710,daily_dates,big_daily_table)))</f>
        <v>#N/A</v>
      </c>
    </row>
    <row r="3711" ht="14.25" customHeight="1">
      <c r="B3711" s="7">
        <v>44616.0</v>
      </c>
      <c r="C3711" s="7">
        <f t="shared" si="1"/>
        <v>44612</v>
      </c>
      <c r="D3711" s="1" t="str">
        <f t="array" ref="D3711">IF(ISBLANK(XLOOKUP(D$3,daily_items,XLOOKUP($C3711,daily_dates,big_daily_table))),NA(),XLOOKUP(D$3,daily_items,XLOOKUP($C3711,daily_dates,big_daily_table)))</f>
        <v>#N/A</v>
      </c>
      <c r="E3711" s="1" t="str">
        <f t="array" ref="E3711">IF(ISBLANK(XLOOKUP(E$3,daily_items,XLOOKUP($C3711,daily_dates,big_daily_table))),NA(),XLOOKUP(E$3,daily_items,XLOOKUP($C3711,daily_dates,big_daily_table)))</f>
        <v>#N/A</v>
      </c>
    </row>
    <row r="3712" ht="14.25" customHeight="1">
      <c r="B3712" s="7">
        <v>44617.0</v>
      </c>
      <c r="C3712" s="7">
        <f t="shared" si="1"/>
        <v>44612</v>
      </c>
      <c r="D3712" s="1" t="str">
        <f t="array" ref="D3712">IF(ISBLANK(XLOOKUP(D$3,daily_items,XLOOKUP($C3712,daily_dates,big_daily_table))),NA(),XLOOKUP(D$3,daily_items,XLOOKUP($C3712,daily_dates,big_daily_table)))</f>
        <v>#N/A</v>
      </c>
      <c r="E3712" s="1" t="str">
        <f t="array" ref="E3712">IF(ISBLANK(XLOOKUP(E$3,daily_items,XLOOKUP($C3712,daily_dates,big_daily_table))),NA(),XLOOKUP(E$3,daily_items,XLOOKUP($C3712,daily_dates,big_daily_table)))</f>
        <v>#N/A</v>
      </c>
    </row>
    <row r="3713" ht="14.25" customHeight="1">
      <c r="B3713" s="7">
        <v>44618.0</v>
      </c>
      <c r="C3713" s="7">
        <f t="shared" si="1"/>
        <v>44612</v>
      </c>
      <c r="D3713" s="1" t="str">
        <f t="array" ref="D3713">IF(ISBLANK(XLOOKUP(D$3,daily_items,XLOOKUP($C3713,daily_dates,big_daily_table))),NA(),XLOOKUP(D$3,daily_items,XLOOKUP($C3713,daily_dates,big_daily_table)))</f>
        <v>#N/A</v>
      </c>
      <c r="E3713" s="1" t="str">
        <f t="array" ref="E3713">IF(ISBLANK(XLOOKUP(E$3,daily_items,XLOOKUP($C3713,daily_dates,big_daily_table))),NA(),XLOOKUP(E$3,daily_items,XLOOKUP($C3713,daily_dates,big_daily_table)))</f>
        <v>#N/A</v>
      </c>
    </row>
    <row r="3714" ht="14.25" customHeight="1">
      <c r="B3714" s="7">
        <v>44619.0</v>
      </c>
      <c r="C3714" s="7">
        <f t="shared" si="1"/>
        <v>44619</v>
      </c>
      <c r="D3714" s="1" t="str">
        <f t="array" ref="D3714">IF(ISBLANK(XLOOKUP(D$3,daily_items,XLOOKUP($C3714,daily_dates,big_daily_table))),NA(),XLOOKUP(D$3,daily_items,XLOOKUP($C3714,daily_dates,big_daily_table)))</f>
        <v>#N/A</v>
      </c>
      <c r="E3714" s="1" t="str">
        <f t="array" ref="E3714">IF(ISBLANK(XLOOKUP(E$3,daily_items,XLOOKUP($C3714,daily_dates,big_daily_table))),NA(),XLOOKUP(E$3,daily_items,XLOOKUP($C3714,daily_dates,big_daily_table)))</f>
        <v>#N/A</v>
      </c>
    </row>
    <row r="3715" ht="14.25" customHeight="1">
      <c r="B3715" s="7">
        <v>44620.0</v>
      </c>
      <c r="C3715" s="7">
        <f t="shared" si="1"/>
        <v>44619</v>
      </c>
      <c r="D3715" s="1" t="str">
        <f t="array" ref="D3715">IF(ISBLANK(XLOOKUP(D$3,daily_items,XLOOKUP($C3715,daily_dates,big_daily_table))),NA(),XLOOKUP(D$3,daily_items,XLOOKUP($C3715,daily_dates,big_daily_table)))</f>
        <v>#N/A</v>
      </c>
      <c r="E3715" s="1" t="str">
        <f t="array" ref="E3715">IF(ISBLANK(XLOOKUP(E$3,daily_items,XLOOKUP($C3715,daily_dates,big_daily_table))),NA(),XLOOKUP(E$3,daily_items,XLOOKUP($C3715,daily_dates,big_daily_table)))</f>
        <v>#N/A</v>
      </c>
    </row>
    <row r="3716" ht="14.25" customHeight="1">
      <c r="B3716" s="7">
        <v>44621.0</v>
      </c>
      <c r="C3716" s="7">
        <f t="shared" si="1"/>
        <v>44619</v>
      </c>
      <c r="D3716" s="1" t="str">
        <f t="array" ref="D3716">IF(ISBLANK(XLOOKUP(D$3,daily_items,XLOOKUP($C3716,daily_dates,big_daily_table))),NA(),XLOOKUP(D$3,daily_items,XLOOKUP($C3716,daily_dates,big_daily_table)))</f>
        <v>#N/A</v>
      </c>
      <c r="E3716" s="1" t="str">
        <f t="array" ref="E3716">IF(ISBLANK(XLOOKUP(E$3,daily_items,XLOOKUP($C3716,daily_dates,big_daily_table))),NA(),XLOOKUP(E$3,daily_items,XLOOKUP($C3716,daily_dates,big_daily_table)))</f>
        <v>#N/A</v>
      </c>
    </row>
    <row r="3717" ht="14.25" customHeight="1">
      <c r="B3717" s="7">
        <v>44622.0</v>
      </c>
      <c r="C3717" s="7">
        <f t="shared" si="1"/>
        <v>44619</v>
      </c>
      <c r="D3717" s="1" t="str">
        <f t="array" ref="D3717">IF(ISBLANK(XLOOKUP(D$3,daily_items,XLOOKUP($C3717,daily_dates,big_daily_table))),NA(),XLOOKUP(D$3,daily_items,XLOOKUP($C3717,daily_dates,big_daily_table)))</f>
        <v>#N/A</v>
      </c>
      <c r="E3717" s="1" t="str">
        <f t="array" ref="E3717">IF(ISBLANK(XLOOKUP(E$3,daily_items,XLOOKUP($C3717,daily_dates,big_daily_table))),NA(),XLOOKUP(E$3,daily_items,XLOOKUP($C3717,daily_dates,big_daily_table)))</f>
        <v>#N/A</v>
      </c>
    </row>
    <row r="3718" ht="14.25" customHeight="1">
      <c r="B3718" s="7">
        <v>44623.0</v>
      </c>
      <c r="C3718" s="7">
        <f t="shared" si="1"/>
        <v>44619</v>
      </c>
      <c r="D3718" s="1" t="str">
        <f t="array" ref="D3718">IF(ISBLANK(XLOOKUP(D$3,daily_items,XLOOKUP($C3718,daily_dates,big_daily_table))),NA(),XLOOKUP(D$3,daily_items,XLOOKUP($C3718,daily_dates,big_daily_table)))</f>
        <v>#N/A</v>
      </c>
      <c r="E3718" s="1" t="str">
        <f t="array" ref="E3718">IF(ISBLANK(XLOOKUP(E$3,daily_items,XLOOKUP($C3718,daily_dates,big_daily_table))),NA(),XLOOKUP(E$3,daily_items,XLOOKUP($C3718,daily_dates,big_daily_table)))</f>
        <v>#N/A</v>
      </c>
    </row>
    <row r="3719" ht="14.25" customHeight="1">
      <c r="B3719" s="7">
        <v>44624.0</v>
      </c>
      <c r="C3719" s="7">
        <f t="shared" si="1"/>
        <v>44619</v>
      </c>
      <c r="D3719" s="1" t="str">
        <f t="array" ref="D3719">IF(ISBLANK(XLOOKUP(D$3,daily_items,XLOOKUP($C3719,daily_dates,big_daily_table))),NA(),XLOOKUP(D$3,daily_items,XLOOKUP($C3719,daily_dates,big_daily_table)))</f>
        <v>#N/A</v>
      </c>
      <c r="E3719" s="1" t="str">
        <f t="array" ref="E3719">IF(ISBLANK(XLOOKUP(E$3,daily_items,XLOOKUP($C3719,daily_dates,big_daily_table))),NA(),XLOOKUP(E$3,daily_items,XLOOKUP($C3719,daily_dates,big_daily_table)))</f>
        <v>#N/A</v>
      </c>
    </row>
    <row r="3720" ht="14.25" customHeight="1">
      <c r="B3720" s="7">
        <v>44625.0</v>
      </c>
      <c r="C3720" s="7">
        <f t="shared" si="1"/>
        <v>44619</v>
      </c>
      <c r="D3720" s="1" t="str">
        <f t="array" ref="D3720">IF(ISBLANK(XLOOKUP(D$3,daily_items,XLOOKUP($C3720,daily_dates,big_daily_table))),NA(),XLOOKUP(D$3,daily_items,XLOOKUP($C3720,daily_dates,big_daily_table)))</f>
        <v>#N/A</v>
      </c>
      <c r="E3720" s="1" t="str">
        <f t="array" ref="E3720">IF(ISBLANK(XLOOKUP(E$3,daily_items,XLOOKUP($C3720,daily_dates,big_daily_table))),NA(),XLOOKUP(E$3,daily_items,XLOOKUP($C3720,daily_dates,big_daily_table)))</f>
        <v>#N/A</v>
      </c>
    </row>
    <row r="3721" ht="14.25" customHeight="1">
      <c r="B3721" s="7">
        <v>44626.0</v>
      </c>
      <c r="C3721" s="7">
        <f t="shared" si="1"/>
        <v>44626</v>
      </c>
      <c r="D3721" s="1" t="str">
        <f t="array" ref="D3721">IF(ISBLANK(XLOOKUP(D$3,daily_items,XLOOKUP($C3721,daily_dates,big_daily_table))),NA(),XLOOKUP(D$3,daily_items,XLOOKUP($C3721,daily_dates,big_daily_table)))</f>
        <v>#N/A</v>
      </c>
      <c r="E3721" s="1" t="str">
        <f t="array" ref="E3721">IF(ISBLANK(XLOOKUP(E$3,daily_items,XLOOKUP($C3721,daily_dates,big_daily_table))),NA(),XLOOKUP(E$3,daily_items,XLOOKUP($C3721,daily_dates,big_daily_table)))</f>
        <v>#N/A</v>
      </c>
    </row>
    <row r="3722" ht="14.25" customHeight="1">
      <c r="B3722" s="7">
        <v>44627.0</v>
      </c>
      <c r="C3722" s="7">
        <f t="shared" si="1"/>
        <v>44626</v>
      </c>
      <c r="D3722" s="1" t="str">
        <f t="array" ref="D3722">IF(ISBLANK(XLOOKUP(D$3,daily_items,XLOOKUP($C3722,daily_dates,big_daily_table))),NA(),XLOOKUP(D$3,daily_items,XLOOKUP($C3722,daily_dates,big_daily_table)))</f>
        <v>#N/A</v>
      </c>
      <c r="E3722" s="1" t="str">
        <f t="array" ref="E3722">IF(ISBLANK(XLOOKUP(E$3,daily_items,XLOOKUP($C3722,daily_dates,big_daily_table))),NA(),XLOOKUP(E$3,daily_items,XLOOKUP($C3722,daily_dates,big_daily_table)))</f>
        <v>#N/A</v>
      </c>
    </row>
    <row r="3723" ht="14.25" customHeight="1">
      <c r="B3723" s="7">
        <v>44628.0</v>
      </c>
      <c r="C3723" s="7">
        <f t="shared" si="1"/>
        <v>44626</v>
      </c>
      <c r="D3723" s="1" t="str">
        <f t="array" ref="D3723">IF(ISBLANK(XLOOKUP(D$3,daily_items,XLOOKUP($C3723,daily_dates,big_daily_table))),NA(),XLOOKUP(D$3,daily_items,XLOOKUP($C3723,daily_dates,big_daily_table)))</f>
        <v>#N/A</v>
      </c>
      <c r="E3723" s="1" t="str">
        <f t="array" ref="E3723">IF(ISBLANK(XLOOKUP(E$3,daily_items,XLOOKUP($C3723,daily_dates,big_daily_table))),NA(),XLOOKUP(E$3,daily_items,XLOOKUP($C3723,daily_dates,big_daily_table)))</f>
        <v>#N/A</v>
      </c>
    </row>
    <row r="3724" ht="14.25" customHeight="1">
      <c r="B3724" s="7">
        <v>44629.0</v>
      </c>
      <c r="C3724" s="7">
        <f t="shared" si="1"/>
        <v>44626</v>
      </c>
      <c r="D3724" s="1" t="str">
        <f t="array" ref="D3724">IF(ISBLANK(XLOOKUP(D$3,daily_items,XLOOKUP($C3724,daily_dates,big_daily_table))),NA(),XLOOKUP(D$3,daily_items,XLOOKUP($C3724,daily_dates,big_daily_table)))</f>
        <v>#N/A</v>
      </c>
      <c r="E3724" s="1" t="str">
        <f t="array" ref="E3724">IF(ISBLANK(XLOOKUP(E$3,daily_items,XLOOKUP($C3724,daily_dates,big_daily_table))),NA(),XLOOKUP(E$3,daily_items,XLOOKUP($C3724,daily_dates,big_daily_table)))</f>
        <v>#N/A</v>
      </c>
    </row>
    <row r="3725" ht="14.25" customHeight="1">
      <c r="B3725" s="7">
        <v>44630.0</v>
      </c>
      <c r="C3725" s="7">
        <f t="shared" si="1"/>
        <v>44626</v>
      </c>
      <c r="D3725" s="1" t="str">
        <f t="array" ref="D3725">IF(ISBLANK(XLOOKUP(D$3,daily_items,XLOOKUP($C3725,daily_dates,big_daily_table))),NA(),XLOOKUP(D$3,daily_items,XLOOKUP($C3725,daily_dates,big_daily_table)))</f>
        <v>#N/A</v>
      </c>
      <c r="E3725" s="1" t="str">
        <f t="array" ref="E3725">IF(ISBLANK(XLOOKUP(E$3,daily_items,XLOOKUP($C3725,daily_dates,big_daily_table))),NA(),XLOOKUP(E$3,daily_items,XLOOKUP($C3725,daily_dates,big_daily_table)))</f>
        <v>#N/A</v>
      </c>
    </row>
    <row r="3726" ht="14.25" customHeight="1">
      <c r="B3726" s="7">
        <v>44631.0</v>
      </c>
      <c r="C3726" s="7">
        <f t="shared" si="1"/>
        <v>44626</v>
      </c>
      <c r="D3726" s="1" t="str">
        <f t="array" ref="D3726">IF(ISBLANK(XLOOKUP(D$3,daily_items,XLOOKUP($C3726,daily_dates,big_daily_table))),NA(),XLOOKUP(D$3,daily_items,XLOOKUP($C3726,daily_dates,big_daily_table)))</f>
        <v>#N/A</v>
      </c>
      <c r="E3726" s="1" t="str">
        <f t="array" ref="E3726">IF(ISBLANK(XLOOKUP(E$3,daily_items,XLOOKUP($C3726,daily_dates,big_daily_table))),NA(),XLOOKUP(E$3,daily_items,XLOOKUP($C3726,daily_dates,big_daily_table)))</f>
        <v>#N/A</v>
      </c>
    </row>
    <row r="3727" ht="14.25" customHeight="1">
      <c r="B3727" s="7">
        <v>44632.0</v>
      </c>
      <c r="C3727" s="7">
        <f t="shared" si="1"/>
        <v>44626</v>
      </c>
      <c r="D3727" s="1" t="str">
        <f t="array" ref="D3727">IF(ISBLANK(XLOOKUP(D$3,daily_items,XLOOKUP($C3727,daily_dates,big_daily_table))),NA(),XLOOKUP(D$3,daily_items,XLOOKUP($C3727,daily_dates,big_daily_table)))</f>
        <v>#N/A</v>
      </c>
      <c r="E3727" s="1" t="str">
        <f t="array" ref="E3727">IF(ISBLANK(XLOOKUP(E$3,daily_items,XLOOKUP($C3727,daily_dates,big_daily_table))),NA(),XLOOKUP(E$3,daily_items,XLOOKUP($C3727,daily_dates,big_daily_table)))</f>
        <v>#N/A</v>
      </c>
    </row>
    <row r="3728" ht="14.25" customHeight="1">
      <c r="B3728" s="7">
        <v>44633.0</v>
      </c>
      <c r="C3728" s="7">
        <f t="shared" si="1"/>
        <v>44633</v>
      </c>
      <c r="D3728" s="1" t="str">
        <f t="array" ref="D3728">IF(ISBLANK(XLOOKUP(D$3,daily_items,XLOOKUP($C3728,daily_dates,big_daily_table))),NA(),XLOOKUP(D$3,daily_items,XLOOKUP($C3728,daily_dates,big_daily_table)))</f>
        <v>#N/A</v>
      </c>
      <c r="E3728" s="1" t="str">
        <f t="array" ref="E3728">IF(ISBLANK(XLOOKUP(E$3,daily_items,XLOOKUP($C3728,daily_dates,big_daily_table))),NA(),XLOOKUP(E$3,daily_items,XLOOKUP($C3728,daily_dates,big_daily_table)))</f>
        <v>#N/A</v>
      </c>
    </row>
    <row r="3729" ht="14.25" customHeight="1">
      <c r="B3729" s="7">
        <v>44634.0</v>
      </c>
      <c r="C3729" s="7">
        <f t="shared" si="1"/>
        <v>44633</v>
      </c>
      <c r="D3729" s="1" t="str">
        <f t="array" ref="D3729">IF(ISBLANK(XLOOKUP(D$3,daily_items,XLOOKUP($C3729,daily_dates,big_daily_table))),NA(),XLOOKUP(D$3,daily_items,XLOOKUP($C3729,daily_dates,big_daily_table)))</f>
        <v>#N/A</v>
      </c>
      <c r="E3729" s="1" t="str">
        <f t="array" ref="E3729">IF(ISBLANK(XLOOKUP(E$3,daily_items,XLOOKUP($C3729,daily_dates,big_daily_table))),NA(),XLOOKUP(E$3,daily_items,XLOOKUP($C3729,daily_dates,big_daily_table)))</f>
        <v>#N/A</v>
      </c>
    </row>
    <row r="3730" ht="14.25" customHeight="1">
      <c r="B3730" s="7">
        <v>44635.0</v>
      </c>
      <c r="C3730" s="7">
        <f t="shared" si="1"/>
        <v>44633</v>
      </c>
      <c r="D3730" s="1" t="str">
        <f t="array" ref="D3730">IF(ISBLANK(XLOOKUP(D$3,daily_items,XLOOKUP($C3730,daily_dates,big_daily_table))),NA(),XLOOKUP(D$3,daily_items,XLOOKUP($C3730,daily_dates,big_daily_table)))</f>
        <v>#N/A</v>
      </c>
      <c r="E3730" s="1" t="str">
        <f t="array" ref="E3730">IF(ISBLANK(XLOOKUP(E$3,daily_items,XLOOKUP($C3730,daily_dates,big_daily_table))),NA(),XLOOKUP(E$3,daily_items,XLOOKUP($C3730,daily_dates,big_daily_table)))</f>
        <v>#N/A</v>
      </c>
    </row>
    <row r="3731" ht="14.25" customHeight="1">
      <c r="B3731" s="7">
        <v>44636.0</v>
      </c>
      <c r="C3731" s="7">
        <f t="shared" si="1"/>
        <v>44633</v>
      </c>
      <c r="D3731" s="1" t="str">
        <f t="array" ref="D3731">IF(ISBLANK(XLOOKUP(D$3,daily_items,XLOOKUP($C3731,daily_dates,big_daily_table))),NA(),XLOOKUP(D$3,daily_items,XLOOKUP($C3731,daily_dates,big_daily_table)))</f>
        <v>#N/A</v>
      </c>
      <c r="E3731" s="1" t="str">
        <f t="array" ref="E3731">IF(ISBLANK(XLOOKUP(E$3,daily_items,XLOOKUP($C3731,daily_dates,big_daily_table))),NA(),XLOOKUP(E$3,daily_items,XLOOKUP($C3731,daily_dates,big_daily_table)))</f>
        <v>#N/A</v>
      </c>
    </row>
    <row r="3732" ht="14.25" customHeight="1">
      <c r="B3732" s="7">
        <v>44637.0</v>
      </c>
      <c r="C3732" s="7">
        <f t="shared" si="1"/>
        <v>44633</v>
      </c>
      <c r="D3732" s="1" t="str">
        <f t="array" ref="D3732">IF(ISBLANK(XLOOKUP(D$3,daily_items,XLOOKUP($C3732,daily_dates,big_daily_table))),NA(),XLOOKUP(D$3,daily_items,XLOOKUP($C3732,daily_dates,big_daily_table)))</f>
        <v>#N/A</v>
      </c>
      <c r="E3732" s="1" t="str">
        <f t="array" ref="E3732">IF(ISBLANK(XLOOKUP(E$3,daily_items,XLOOKUP($C3732,daily_dates,big_daily_table))),NA(),XLOOKUP(E$3,daily_items,XLOOKUP($C3732,daily_dates,big_daily_table)))</f>
        <v>#N/A</v>
      </c>
    </row>
    <row r="3733" ht="14.25" customHeight="1">
      <c r="B3733" s="7">
        <v>44638.0</v>
      </c>
      <c r="C3733" s="7">
        <f t="shared" si="1"/>
        <v>44633</v>
      </c>
      <c r="D3733" s="1" t="str">
        <f t="array" ref="D3733">IF(ISBLANK(XLOOKUP(D$3,daily_items,XLOOKUP($C3733,daily_dates,big_daily_table))),NA(),XLOOKUP(D$3,daily_items,XLOOKUP($C3733,daily_dates,big_daily_table)))</f>
        <v>#N/A</v>
      </c>
      <c r="E3733" s="1" t="str">
        <f t="array" ref="E3733">IF(ISBLANK(XLOOKUP(E$3,daily_items,XLOOKUP($C3733,daily_dates,big_daily_table))),NA(),XLOOKUP(E$3,daily_items,XLOOKUP($C3733,daily_dates,big_daily_table)))</f>
        <v>#N/A</v>
      </c>
    </row>
    <row r="3734" ht="14.25" customHeight="1">
      <c r="B3734" s="7">
        <v>44639.0</v>
      </c>
      <c r="C3734" s="7">
        <f t="shared" si="1"/>
        <v>44633</v>
      </c>
      <c r="D3734" s="1" t="str">
        <f t="array" ref="D3734">IF(ISBLANK(XLOOKUP(D$3,daily_items,XLOOKUP($C3734,daily_dates,big_daily_table))),NA(),XLOOKUP(D$3,daily_items,XLOOKUP($C3734,daily_dates,big_daily_table)))</f>
        <v>#N/A</v>
      </c>
      <c r="E3734" s="1" t="str">
        <f t="array" ref="E3734">IF(ISBLANK(XLOOKUP(E$3,daily_items,XLOOKUP($C3734,daily_dates,big_daily_table))),NA(),XLOOKUP(E$3,daily_items,XLOOKUP($C3734,daily_dates,big_daily_table)))</f>
        <v>#N/A</v>
      </c>
    </row>
    <row r="3735" ht="14.25" customHeight="1">
      <c r="B3735" s="7">
        <v>44640.0</v>
      </c>
      <c r="C3735" s="7">
        <f t="shared" si="1"/>
        <v>44640</v>
      </c>
      <c r="D3735" s="1" t="str">
        <f t="array" ref="D3735">IF(ISBLANK(XLOOKUP(D$3,daily_items,XLOOKUP($C3735,daily_dates,big_daily_table))),NA(),XLOOKUP(D$3,daily_items,XLOOKUP($C3735,daily_dates,big_daily_table)))</f>
        <v>#N/A</v>
      </c>
      <c r="E3735" s="1" t="str">
        <f t="array" ref="E3735">IF(ISBLANK(XLOOKUP(E$3,daily_items,XLOOKUP($C3735,daily_dates,big_daily_table))),NA(),XLOOKUP(E$3,daily_items,XLOOKUP($C3735,daily_dates,big_daily_table)))</f>
        <v>#N/A</v>
      </c>
    </row>
    <row r="3736" ht="14.25" customHeight="1">
      <c r="B3736" s="7">
        <v>44641.0</v>
      </c>
      <c r="C3736" s="7">
        <f t="shared" si="1"/>
        <v>44640</v>
      </c>
      <c r="D3736" s="1" t="str">
        <f t="array" ref="D3736">IF(ISBLANK(XLOOKUP(D$3,daily_items,XLOOKUP($C3736,daily_dates,big_daily_table))),NA(),XLOOKUP(D$3,daily_items,XLOOKUP($C3736,daily_dates,big_daily_table)))</f>
        <v>#N/A</v>
      </c>
      <c r="E3736" s="1" t="str">
        <f t="array" ref="E3736">IF(ISBLANK(XLOOKUP(E$3,daily_items,XLOOKUP($C3736,daily_dates,big_daily_table))),NA(),XLOOKUP(E$3,daily_items,XLOOKUP($C3736,daily_dates,big_daily_table)))</f>
        <v>#N/A</v>
      </c>
    </row>
    <row r="3737" ht="14.25" customHeight="1">
      <c r="B3737" s="7">
        <v>44642.0</v>
      </c>
      <c r="C3737" s="7">
        <f t="shared" si="1"/>
        <v>44640</v>
      </c>
      <c r="D3737" s="1" t="str">
        <f t="array" ref="D3737">IF(ISBLANK(XLOOKUP(D$3,daily_items,XLOOKUP($C3737,daily_dates,big_daily_table))),NA(),XLOOKUP(D$3,daily_items,XLOOKUP($C3737,daily_dates,big_daily_table)))</f>
        <v>#N/A</v>
      </c>
      <c r="E3737" s="1" t="str">
        <f t="array" ref="E3737">IF(ISBLANK(XLOOKUP(E$3,daily_items,XLOOKUP($C3737,daily_dates,big_daily_table))),NA(),XLOOKUP(E$3,daily_items,XLOOKUP($C3737,daily_dates,big_daily_table)))</f>
        <v>#N/A</v>
      </c>
    </row>
    <row r="3738" ht="14.25" customHeight="1">
      <c r="B3738" s="7">
        <v>44643.0</v>
      </c>
      <c r="C3738" s="7">
        <f t="shared" si="1"/>
        <v>44640</v>
      </c>
      <c r="D3738" s="1" t="str">
        <f t="array" ref="D3738">IF(ISBLANK(XLOOKUP(D$3,daily_items,XLOOKUP($C3738,daily_dates,big_daily_table))),NA(),XLOOKUP(D$3,daily_items,XLOOKUP($C3738,daily_dates,big_daily_table)))</f>
        <v>#N/A</v>
      </c>
      <c r="E3738" s="1" t="str">
        <f t="array" ref="E3738">IF(ISBLANK(XLOOKUP(E$3,daily_items,XLOOKUP($C3738,daily_dates,big_daily_table))),NA(),XLOOKUP(E$3,daily_items,XLOOKUP($C3738,daily_dates,big_daily_table)))</f>
        <v>#N/A</v>
      </c>
    </row>
    <row r="3739" ht="14.25" customHeight="1">
      <c r="B3739" s="7">
        <v>44644.0</v>
      </c>
      <c r="C3739" s="7">
        <f t="shared" si="1"/>
        <v>44640</v>
      </c>
      <c r="D3739" s="1" t="str">
        <f t="array" ref="D3739">IF(ISBLANK(XLOOKUP(D$3,daily_items,XLOOKUP($C3739,daily_dates,big_daily_table))),NA(),XLOOKUP(D$3,daily_items,XLOOKUP($C3739,daily_dates,big_daily_table)))</f>
        <v>#N/A</v>
      </c>
      <c r="E3739" s="1" t="str">
        <f t="array" ref="E3739">IF(ISBLANK(XLOOKUP(E$3,daily_items,XLOOKUP($C3739,daily_dates,big_daily_table))),NA(),XLOOKUP(E$3,daily_items,XLOOKUP($C3739,daily_dates,big_daily_table)))</f>
        <v>#N/A</v>
      </c>
    </row>
    <row r="3740" ht="14.25" customHeight="1">
      <c r="B3740" s="7">
        <v>44645.0</v>
      </c>
      <c r="C3740" s="7">
        <f t="shared" si="1"/>
        <v>44640</v>
      </c>
      <c r="D3740" s="1" t="str">
        <f t="array" ref="D3740">IF(ISBLANK(XLOOKUP(D$3,daily_items,XLOOKUP($C3740,daily_dates,big_daily_table))),NA(),XLOOKUP(D$3,daily_items,XLOOKUP($C3740,daily_dates,big_daily_table)))</f>
        <v>#N/A</v>
      </c>
      <c r="E3740" s="1" t="str">
        <f t="array" ref="E3740">IF(ISBLANK(XLOOKUP(E$3,daily_items,XLOOKUP($C3740,daily_dates,big_daily_table))),NA(),XLOOKUP(E$3,daily_items,XLOOKUP($C3740,daily_dates,big_daily_table)))</f>
        <v>#N/A</v>
      </c>
    </row>
    <row r="3741" ht="14.25" customHeight="1">
      <c r="B3741" s="7">
        <v>44646.0</v>
      </c>
      <c r="C3741" s="7">
        <f t="shared" si="1"/>
        <v>44640</v>
      </c>
      <c r="D3741" s="1" t="str">
        <f t="array" ref="D3741">IF(ISBLANK(XLOOKUP(D$3,daily_items,XLOOKUP($C3741,daily_dates,big_daily_table))),NA(),XLOOKUP(D$3,daily_items,XLOOKUP($C3741,daily_dates,big_daily_table)))</f>
        <v>#N/A</v>
      </c>
      <c r="E3741" s="1" t="str">
        <f t="array" ref="E3741">IF(ISBLANK(XLOOKUP(E$3,daily_items,XLOOKUP($C3741,daily_dates,big_daily_table))),NA(),XLOOKUP(E$3,daily_items,XLOOKUP($C3741,daily_dates,big_daily_table)))</f>
        <v>#N/A</v>
      </c>
    </row>
    <row r="3742" ht="14.25" customHeight="1">
      <c r="B3742" s="7">
        <v>44647.0</v>
      </c>
      <c r="C3742" s="7">
        <f t="shared" si="1"/>
        <v>44647</v>
      </c>
      <c r="D3742" s="1" t="str">
        <f t="array" ref="D3742">IF(ISBLANK(XLOOKUP(D$3,daily_items,XLOOKUP($C3742,daily_dates,big_daily_table))),NA(),XLOOKUP(D$3,daily_items,XLOOKUP($C3742,daily_dates,big_daily_table)))</f>
        <v>#N/A</v>
      </c>
      <c r="E3742" s="1" t="str">
        <f t="array" ref="E3742">IF(ISBLANK(XLOOKUP(E$3,daily_items,XLOOKUP($C3742,daily_dates,big_daily_table))),NA(),XLOOKUP(E$3,daily_items,XLOOKUP($C3742,daily_dates,big_daily_table)))</f>
        <v>#N/A</v>
      </c>
    </row>
    <row r="3743" ht="14.25" customHeight="1">
      <c r="B3743" s="7">
        <v>44648.0</v>
      </c>
      <c r="C3743" s="7">
        <f t="shared" si="1"/>
        <v>44647</v>
      </c>
      <c r="D3743" s="1" t="str">
        <f t="array" ref="D3743">IF(ISBLANK(XLOOKUP(D$3,daily_items,XLOOKUP($C3743,daily_dates,big_daily_table))),NA(),XLOOKUP(D$3,daily_items,XLOOKUP($C3743,daily_dates,big_daily_table)))</f>
        <v>#N/A</v>
      </c>
      <c r="E3743" s="1" t="str">
        <f t="array" ref="E3743">IF(ISBLANK(XLOOKUP(E$3,daily_items,XLOOKUP($C3743,daily_dates,big_daily_table))),NA(),XLOOKUP(E$3,daily_items,XLOOKUP($C3743,daily_dates,big_daily_table)))</f>
        <v>#N/A</v>
      </c>
    </row>
    <row r="3744" ht="14.25" customHeight="1">
      <c r="B3744" s="7">
        <v>44649.0</v>
      </c>
      <c r="C3744" s="7">
        <f t="shared" si="1"/>
        <v>44647</v>
      </c>
      <c r="D3744" s="1" t="str">
        <f t="array" ref="D3744">IF(ISBLANK(XLOOKUP(D$3,daily_items,XLOOKUP($C3744,daily_dates,big_daily_table))),NA(),XLOOKUP(D$3,daily_items,XLOOKUP($C3744,daily_dates,big_daily_table)))</f>
        <v>#N/A</v>
      </c>
      <c r="E3744" s="1" t="str">
        <f t="array" ref="E3744">IF(ISBLANK(XLOOKUP(E$3,daily_items,XLOOKUP($C3744,daily_dates,big_daily_table))),NA(),XLOOKUP(E$3,daily_items,XLOOKUP($C3744,daily_dates,big_daily_table)))</f>
        <v>#N/A</v>
      </c>
    </row>
    <row r="3745" ht="14.25" customHeight="1">
      <c r="B3745" s="7">
        <v>44650.0</v>
      </c>
      <c r="C3745" s="7">
        <f t="shared" si="1"/>
        <v>44647</v>
      </c>
      <c r="D3745" s="1" t="str">
        <f t="array" ref="D3745">IF(ISBLANK(XLOOKUP(D$3,daily_items,XLOOKUP($C3745,daily_dates,big_daily_table))),NA(),XLOOKUP(D$3,daily_items,XLOOKUP($C3745,daily_dates,big_daily_table)))</f>
        <v>#N/A</v>
      </c>
      <c r="E3745" s="1" t="str">
        <f t="array" ref="E3745">IF(ISBLANK(XLOOKUP(E$3,daily_items,XLOOKUP($C3745,daily_dates,big_daily_table))),NA(),XLOOKUP(E$3,daily_items,XLOOKUP($C3745,daily_dates,big_daily_table)))</f>
        <v>#N/A</v>
      </c>
    </row>
    <row r="3746" ht="14.25" customHeight="1">
      <c r="B3746" s="7">
        <v>44651.0</v>
      </c>
      <c r="C3746" s="7">
        <f t="shared" si="1"/>
        <v>44647</v>
      </c>
      <c r="D3746" s="1" t="str">
        <f t="array" ref="D3746">IF(ISBLANK(XLOOKUP(D$3,daily_items,XLOOKUP($C3746,daily_dates,big_daily_table))),NA(),XLOOKUP(D$3,daily_items,XLOOKUP($C3746,daily_dates,big_daily_table)))</f>
        <v>#N/A</v>
      </c>
      <c r="E3746" s="1" t="str">
        <f t="array" ref="E3746">IF(ISBLANK(XLOOKUP(E$3,daily_items,XLOOKUP($C3746,daily_dates,big_daily_table))),NA(),XLOOKUP(E$3,daily_items,XLOOKUP($C3746,daily_dates,big_daily_table)))</f>
        <v>#N/A</v>
      </c>
    </row>
    <row r="3747" ht="14.25" customHeight="1">
      <c r="B3747" s="7">
        <v>44652.0</v>
      </c>
      <c r="C3747" s="7">
        <f t="shared" si="1"/>
        <v>44647</v>
      </c>
      <c r="D3747" s="1" t="str">
        <f t="array" ref="D3747">IF(ISBLANK(XLOOKUP(D$3,daily_items,XLOOKUP($C3747,daily_dates,big_daily_table))),NA(),XLOOKUP(D$3,daily_items,XLOOKUP($C3747,daily_dates,big_daily_table)))</f>
        <v>#N/A</v>
      </c>
      <c r="E3747" s="1" t="str">
        <f t="array" ref="E3747">IF(ISBLANK(XLOOKUP(E$3,daily_items,XLOOKUP($C3747,daily_dates,big_daily_table))),NA(),XLOOKUP(E$3,daily_items,XLOOKUP($C3747,daily_dates,big_daily_table)))</f>
        <v>#N/A</v>
      </c>
    </row>
    <row r="3748" ht="14.25" customHeight="1">
      <c r="B3748" s="7">
        <v>44653.0</v>
      </c>
      <c r="C3748" s="7">
        <f t="shared" si="1"/>
        <v>44647</v>
      </c>
      <c r="D3748" s="1" t="str">
        <f t="array" ref="D3748">IF(ISBLANK(XLOOKUP(D$3,daily_items,XLOOKUP($C3748,daily_dates,big_daily_table))),NA(),XLOOKUP(D$3,daily_items,XLOOKUP($C3748,daily_dates,big_daily_table)))</f>
        <v>#N/A</v>
      </c>
      <c r="E3748" s="1" t="str">
        <f t="array" ref="E3748">IF(ISBLANK(XLOOKUP(E$3,daily_items,XLOOKUP($C3748,daily_dates,big_daily_table))),NA(),XLOOKUP(E$3,daily_items,XLOOKUP($C3748,daily_dates,big_daily_table)))</f>
        <v>#N/A</v>
      </c>
    </row>
    <row r="3749" ht="14.25" customHeight="1">
      <c r="B3749" s="7">
        <v>44654.0</v>
      </c>
      <c r="C3749" s="7">
        <f t="shared" si="1"/>
        <v>44654</v>
      </c>
      <c r="D3749" s="1" t="str">
        <f t="array" ref="D3749">IF(ISBLANK(XLOOKUP(D$3,daily_items,XLOOKUP($C3749,daily_dates,big_daily_table))),NA(),XLOOKUP(D$3,daily_items,XLOOKUP($C3749,daily_dates,big_daily_table)))</f>
        <v>#N/A</v>
      </c>
      <c r="E3749" s="1" t="str">
        <f t="array" ref="E3749">IF(ISBLANK(XLOOKUP(E$3,daily_items,XLOOKUP($C3749,daily_dates,big_daily_table))),NA(),XLOOKUP(E$3,daily_items,XLOOKUP($C3749,daily_dates,big_daily_table)))</f>
        <v>#N/A</v>
      </c>
    </row>
    <row r="3750" ht="14.25" customHeight="1">
      <c r="B3750" s="7">
        <v>44655.0</v>
      </c>
      <c r="C3750" s="7">
        <f t="shared" si="1"/>
        <v>44654</v>
      </c>
      <c r="D3750" s="1" t="str">
        <f t="array" ref="D3750">IF(ISBLANK(XLOOKUP(D$3,daily_items,XLOOKUP($C3750,daily_dates,big_daily_table))),NA(),XLOOKUP(D$3,daily_items,XLOOKUP($C3750,daily_dates,big_daily_table)))</f>
        <v>#N/A</v>
      </c>
      <c r="E3750" s="1" t="str">
        <f t="array" ref="E3750">IF(ISBLANK(XLOOKUP(E$3,daily_items,XLOOKUP($C3750,daily_dates,big_daily_table))),NA(),XLOOKUP(E$3,daily_items,XLOOKUP($C3750,daily_dates,big_daily_table)))</f>
        <v>#N/A</v>
      </c>
    </row>
    <row r="3751" ht="14.25" customHeight="1">
      <c r="B3751" s="7">
        <v>44656.0</v>
      </c>
      <c r="C3751" s="7">
        <f t="shared" si="1"/>
        <v>44654</v>
      </c>
      <c r="D3751" s="1" t="str">
        <f t="array" ref="D3751">IF(ISBLANK(XLOOKUP(D$3,daily_items,XLOOKUP($C3751,daily_dates,big_daily_table))),NA(),XLOOKUP(D$3,daily_items,XLOOKUP($C3751,daily_dates,big_daily_table)))</f>
        <v>#N/A</v>
      </c>
      <c r="E3751" s="1" t="str">
        <f t="array" ref="E3751">IF(ISBLANK(XLOOKUP(E$3,daily_items,XLOOKUP($C3751,daily_dates,big_daily_table))),NA(),XLOOKUP(E$3,daily_items,XLOOKUP($C3751,daily_dates,big_daily_table)))</f>
        <v>#N/A</v>
      </c>
    </row>
    <row r="3752" ht="14.25" customHeight="1">
      <c r="B3752" s="7">
        <v>44657.0</v>
      </c>
      <c r="C3752" s="7">
        <f t="shared" si="1"/>
        <v>44654</v>
      </c>
      <c r="D3752" s="1" t="str">
        <f t="array" ref="D3752">IF(ISBLANK(XLOOKUP(D$3,daily_items,XLOOKUP($C3752,daily_dates,big_daily_table))),NA(),XLOOKUP(D$3,daily_items,XLOOKUP($C3752,daily_dates,big_daily_table)))</f>
        <v>#N/A</v>
      </c>
      <c r="E3752" s="1" t="str">
        <f t="array" ref="E3752">IF(ISBLANK(XLOOKUP(E$3,daily_items,XLOOKUP($C3752,daily_dates,big_daily_table))),NA(),XLOOKUP(E$3,daily_items,XLOOKUP($C3752,daily_dates,big_daily_table)))</f>
        <v>#N/A</v>
      </c>
    </row>
    <row r="3753" ht="14.25" customHeight="1">
      <c r="B3753" s="7">
        <v>44658.0</v>
      </c>
      <c r="C3753" s="7">
        <f t="shared" si="1"/>
        <v>44654</v>
      </c>
      <c r="D3753" s="1" t="str">
        <f t="array" ref="D3753">IF(ISBLANK(XLOOKUP(D$3,daily_items,XLOOKUP($C3753,daily_dates,big_daily_table))),NA(),XLOOKUP(D$3,daily_items,XLOOKUP($C3753,daily_dates,big_daily_table)))</f>
        <v>#N/A</v>
      </c>
      <c r="E3753" s="1" t="str">
        <f t="array" ref="E3753">IF(ISBLANK(XLOOKUP(E$3,daily_items,XLOOKUP($C3753,daily_dates,big_daily_table))),NA(),XLOOKUP(E$3,daily_items,XLOOKUP($C3753,daily_dates,big_daily_table)))</f>
        <v>#N/A</v>
      </c>
    </row>
    <row r="3754" ht="14.25" customHeight="1">
      <c r="B3754" s="7">
        <v>44659.0</v>
      </c>
      <c r="C3754" s="7">
        <f t="shared" si="1"/>
        <v>44654</v>
      </c>
      <c r="D3754" s="1" t="str">
        <f t="array" ref="D3754">IF(ISBLANK(XLOOKUP(D$3,daily_items,XLOOKUP($C3754,daily_dates,big_daily_table))),NA(),XLOOKUP(D$3,daily_items,XLOOKUP($C3754,daily_dates,big_daily_table)))</f>
        <v>#N/A</v>
      </c>
      <c r="E3754" s="1" t="str">
        <f t="array" ref="E3754">IF(ISBLANK(XLOOKUP(E$3,daily_items,XLOOKUP($C3754,daily_dates,big_daily_table))),NA(),XLOOKUP(E$3,daily_items,XLOOKUP($C3754,daily_dates,big_daily_table)))</f>
        <v>#N/A</v>
      </c>
    </row>
    <row r="3755" ht="14.25" customHeight="1">
      <c r="B3755" s="7">
        <v>44660.0</v>
      </c>
      <c r="C3755" s="7">
        <f t="shared" si="1"/>
        <v>44654</v>
      </c>
      <c r="D3755" s="1" t="str">
        <f t="array" ref="D3755">IF(ISBLANK(XLOOKUP(D$3,daily_items,XLOOKUP($C3755,daily_dates,big_daily_table))),NA(),XLOOKUP(D$3,daily_items,XLOOKUP($C3755,daily_dates,big_daily_table)))</f>
        <v>#N/A</v>
      </c>
      <c r="E3755" s="1" t="str">
        <f t="array" ref="E3755">IF(ISBLANK(XLOOKUP(E$3,daily_items,XLOOKUP($C3755,daily_dates,big_daily_table))),NA(),XLOOKUP(E$3,daily_items,XLOOKUP($C3755,daily_dates,big_daily_table)))</f>
        <v>#N/A</v>
      </c>
    </row>
    <row r="3756" ht="14.25" customHeight="1">
      <c r="B3756" s="7">
        <v>44661.0</v>
      </c>
      <c r="C3756" s="7">
        <f t="shared" si="1"/>
        <v>44661</v>
      </c>
      <c r="D3756" s="1" t="str">
        <f t="array" ref="D3756">IF(ISBLANK(XLOOKUP(D$3,daily_items,XLOOKUP($C3756,daily_dates,big_daily_table))),NA(),XLOOKUP(D$3,daily_items,XLOOKUP($C3756,daily_dates,big_daily_table)))</f>
        <v>#N/A</v>
      </c>
      <c r="E3756" s="1" t="str">
        <f t="array" ref="E3756">IF(ISBLANK(XLOOKUP(E$3,daily_items,XLOOKUP($C3756,daily_dates,big_daily_table))),NA(),XLOOKUP(E$3,daily_items,XLOOKUP($C3756,daily_dates,big_daily_table)))</f>
        <v>#N/A</v>
      </c>
    </row>
    <row r="3757" ht="14.25" customHeight="1">
      <c r="B3757" s="7">
        <v>44662.0</v>
      </c>
      <c r="C3757" s="7">
        <f t="shared" si="1"/>
        <v>44661</v>
      </c>
      <c r="D3757" s="1" t="str">
        <f t="array" ref="D3757">IF(ISBLANK(XLOOKUP(D$3,daily_items,XLOOKUP($C3757,daily_dates,big_daily_table))),NA(),XLOOKUP(D$3,daily_items,XLOOKUP($C3757,daily_dates,big_daily_table)))</f>
        <v>#N/A</v>
      </c>
      <c r="E3757" s="1" t="str">
        <f t="array" ref="E3757">IF(ISBLANK(XLOOKUP(E$3,daily_items,XLOOKUP($C3757,daily_dates,big_daily_table))),NA(),XLOOKUP(E$3,daily_items,XLOOKUP($C3757,daily_dates,big_daily_table)))</f>
        <v>#N/A</v>
      </c>
    </row>
    <row r="3758" ht="14.25" customHeight="1">
      <c r="B3758" s="7">
        <v>44663.0</v>
      </c>
      <c r="C3758" s="7">
        <f t="shared" si="1"/>
        <v>44661</v>
      </c>
      <c r="D3758" s="1" t="str">
        <f t="array" ref="D3758">IF(ISBLANK(XLOOKUP(D$3,daily_items,XLOOKUP($C3758,daily_dates,big_daily_table))),NA(),XLOOKUP(D$3,daily_items,XLOOKUP($C3758,daily_dates,big_daily_table)))</f>
        <v>#N/A</v>
      </c>
      <c r="E3758" s="1" t="str">
        <f t="array" ref="E3758">IF(ISBLANK(XLOOKUP(E$3,daily_items,XLOOKUP($C3758,daily_dates,big_daily_table))),NA(),XLOOKUP(E$3,daily_items,XLOOKUP($C3758,daily_dates,big_daily_table)))</f>
        <v>#N/A</v>
      </c>
    </row>
    <row r="3759" ht="14.25" customHeight="1">
      <c r="B3759" s="7">
        <v>44664.0</v>
      </c>
      <c r="C3759" s="7">
        <f t="shared" si="1"/>
        <v>44661</v>
      </c>
      <c r="D3759" s="1" t="str">
        <f t="array" ref="D3759">IF(ISBLANK(XLOOKUP(D$3,daily_items,XLOOKUP($C3759,daily_dates,big_daily_table))),NA(),XLOOKUP(D$3,daily_items,XLOOKUP($C3759,daily_dates,big_daily_table)))</f>
        <v>#N/A</v>
      </c>
      <c r="E3759" s="1" t="str">
        <f t="array" ref="E3759">IF(ISBLANK(XLOOKUP(E$3,daily_items,XLOOKUP($C3759,daily_dates,big_daily_table))),NA(),XLOOKUP(E$3,daily_items,XLOOKUP($C3759,daily_dates,big_daily_table)))</f>
        <v>#N/A</v>
      </c>
    </row>
    <row r="3760" ht="14.25" customHeight="1">
      <c r="B3760" s="7">
        <v>44665.0</v>
      </c>
      <c r="C3760" s="7">
        <f t="shared" si="1"/>
        <v>44661</v>
      </c>
      <c r="D3760" s="1" t="str">
        <f t="array" ref="D3760">IF(ISBLANK(XLOOKUP(D$3,daily_items,XLOOKUP($C3760,daily_dates,big_daily_table))),NA(),XLOOKUP(D$3,daily_items,XLOOKUP($C3760,daily_dates,big_daily_table)))</f>
        <v>#N/A</v>
      </c>
      <c r="E3760" s="1" t="str">
        <f t="array" ref="E3760">IF(ISBLANK(XLOOKUP(E$3,daily_items,XLOOKUP($C3760,daily_dates,big_daily_table))),NA(),XLOOKUP(E$3,daily_items,XLOOKUP($C3760,daily_dates,big_daily_table)))</f>
        <v>#N/A</v>
      </c>
    </row>
    <row r="3761" ht="14.25" customHeight="1">
      <c r="B3761" s="7">
        <v>44666.0</v>
      </c>
      <c r="C3761" s="7">
        <f t="shared" si="1"/>
        <v>44661</v>
      </c>
      <c r="D3761" s="1" t="str">
        <f t="array" ref="D3761">IF(ISBLANK(XLOOKUP(D$3,daily_items,XLOOKUP($C3761,daily_dates,big_daily_table))),NA(),XLOOKUP(D$3,daily_items,XLOOKUP($C3761,daily_dates,big_daily_table)))</f>
        <v>#N/A</v>
      </c>
      <c r="E3761" s="1" t="str">
        <f t="array" ref="E3761">IF(ISBLANK(XLOOKUP(E$3,daily_items,XLOOKUP($C3761,daily_dates,big_daily_table))),NA(),XLOOKUP(E$3,daily_items,XLOOKUP($C3761,daily_dates,big_daily_table)))</f>
        <v>#N/A</v>
      </c>
    </row>
    <row r="3762" ht="14.25" customHeight="1">
      <c r="B3762" s="7">
        <v>44667.0</v>
      </c>
      <c r="C3762" s="7">
        <f t="shared" si="1"/>
        <v>44661</v>
      </c>
      <c r="D3762" s="1" t="str">
        <f t="array" ref="D3762">IF(ISBLANK(XLOOKUP(D$3,daily_items,XLOOKUP($C3762,daily_dates,big_daily_table))),NA(),XLOOKUP(D$3,daily_items,XLOOKUP($C3762,daily_dates,big_daily_table)))</f>
        <v>#N/A</v>
      </c>
      <c r="E3762" s="1" t="str">
        <f t="array" ref="E3762">IF(ISBLANK(XLOOKUP(E$3,daily_items,XLOOKUP($C3762,daily_dates,big_daily_table))),NA(),XLOOKUP(E$3,daily_items,XLOOKUP($C3762,daily_dates,big_daily_table)))</f>
        <v>#N/A</v>
      </c>
    </row>
    <row r="3763" ht="14.25" customHeight="1">
      <c r="B3763" s="7">
        <v>44668.0</v>
      </c>
      <c r="C3763" s="7">
        <f t="shared" si="1"/>
        <v>44668</v>
      </c>
      <c r="D3763" s="1" t="str">
        <f t="array" ref="D3763">IF(ISBLANK(XLOOKUP(D$3,daily_items,XLOOKUP($C3763,daily_dates,big_daily_table))),NA(),XLOOKUP(D$3,daily_items,XLOOKUP($C3763,daily_dates,big_daily_table)))</f>
        <v>#N/A</v>
      </c>
      <c r="E3763" s="1" t="str">
        <f t="array" ref="E3763">IF(ISBLANK(XLOOKUP(E$3,daily_items,XLOOKUP($C3763,daily_dates,big_daily_table))),NA(),XLOOKUP(E$3,daily_items,XLOOKUP($C3763,daily_dates,big_daily_table)))</f>
        <v>#N/A</v>
      </c>
    </row>
    <row r="3764" ht="14.25" customHeight="1">
      <c r="B3764" s="7">
        <v>44669.0</v>
      </c>
      <c r="C3764" s="7">
        <f t="shared" si="1"/>
        <v>44668</v>
      </c>
      <c r="D3764" s="1" t="str">
        <f t="array" ref="D3764">IF(ISBLANK(XLOOKUP(D$3,daily_items,XLOOKUP($C3764,daily_dates,big_daily_table))),NA(),XLOOKUP(D$3,daily_items,XLOOKUP($C3764,daily_dates,big_daily_table)))</f>
        <v>#N/A</v>
      </c>
      <c r="E3764" s="1" t="str">
        <f t="array" ref="E3764">IF(ISBLANK(XLOOKUP(E$3,daily_items,XLOOKUP($C3764,daily_dates,big_daily_table))),NA(),XLOOKUP(E$3,daily_items,XLOOKUP($C3764,daily_dates,big_daily_table)))</f>
        <v>#N/A</v>
      </c>
    </row>
    <row r="3765" ht="14.25" customHeight="1">
      <c r="B3765" s="7">
        <v>44670.0</v>
      </c>
      <c r="C3765" s="7">
        <f t="shared" si="1"/>
        <v>44668</v>
      </c>
      <c r="D3765" s="1" t="str">
        <f t="array" ref="D3765">IF(ISBLANK(XLOOKUP(D$3,daily_items,XLOOKUP($C3765,daily_dates,big_daily_table))),NA(),XLOOKUP(D$3,daily_items,XLOOKUP($C3765,daily_dates,big_daily_table)))</f>
        <v>#N/A</v>
      </c>
      <c r="E3765" s="1" t="str">
        <f t="array" ref="E3765">IF(ISBLANK(XLOOKUP(E$3,daily_items,XLOOKUP($C3765,daily_dates,big_daily_table))),NA(),XLOOKUP(E$3,daily_items,XLOOKUP($C3765,daily_dates,big_daily_table)))</f>
        <v>#N/A</v>
      </c>
    </row>
    <row r="3766" ht="14.25" customHeight="1">
      <c r="B3766" s="7">
        <v>44671.0</v>
      </c>
      <c r="C3766" s="7">
        <f t="shared" si="1"/>
        <v>44668</v>
      </c>
      <c r="D3766" s="1" t="str">
        <f t="array" ref="D3766">IF(ISBLANK(XLOOKUP(D$3,daily_items,XLOOKUP($C3766,daily_dates,big_daily_table))),NA(),XLOOKUP(D$3,daily_items,XLOOKUP($C3766,daily_dates,big_daily_table)))</f>
        <v>#N/A</v>
      </c>
      <c r="E3766" s="1" t="str">
        <f t="array" ref="E3766">IF(ISBLANK(XLOOKUP(E$3,daily_items,XLOOKUP($C3766,daily_dates,big_daily_table))),NA(),XLOOKUP(E$3,daily_items,XLOOKUP($C3766,daily_dates,big_daily_table)))</f>
        <v>#N/A</v>
      </c>
    </row>
    <row r="3767" ht="14.25" customHeight="1">
      <c r="B3767" s="7">
        <v>44672.0</v>
      </c>
      <c r="C3767" s="7">
        <f t="shared" si="1"/>
        <v>44668</v>
      </c>
      <c r="D3767" s="1" t="str">
        <f t="array" ref="D3767">IF(ISBLANK(XLOOKUP(D$3,daily_items,XLOOKUP($C3767,daily_dates,big_daily_table))),NA(),XLOOKUP(D$3,daily_items,XLOOKUP($C3767,daily_dates,big_daily_table)))</f>
        <v>#N/A</v>
      </c>
      <c r="E3767" s="1" t="str">
        <f t="array" ref="E3767">IF(ISBLANK(XLOOKUP(E$3,daily_items,XLOOKUP($C3767,daily_dates,big_daily_table))),NA(),XLOOKUP(E$3,daily_items,XLOOKUP($C3767,daily_dates,big_daily_table)))</f>
        <v>#N/A</v>
      </c>
    </row>
    <row r="3768" ht="14.25" customHeight="1">
      <c r="B3768" s="7">
        <v>44673.0</v>
      </c>
      <c r="C3768" s="7">
        <f t="shared" si="1"/>
        <v>44668</v>
      </c>
      <c r="D3768" s="1" t="str">
        <f t="array" ref="D3768">IF(ISBLANK(XLOOKUP(D$3,daily_items,XLOOKUP($C3768,daily_dates,big_daily_table))),NA(),XLOOKUP(D$3,daily_items,XLOOKUP($C3768,daily_dates,big_daily_table)))</f>
        <v>#N/A</v>
      </c>
      <c r="E3768" s="1" t="str">
        <f t="array" ref="E3768">IF(ISBLANK(XLOOKUP(E$3,daily_items,XLOOKUP($C3768,daily_dates,big_daily_table))),NA(),XLOOKUP(E$3,daily_items,XLOOKUP($C3768,daily_dates,big_daily_table)))</f>
        <v>#N/A</v>
      </c>
    </row>
    <row r="3769" ht="14.25" customHeight="1">
      <c r="B3769" s="7">
        <v>44674.0</v>
      </c>
      <c r="C3769" s="7">
        <f t="shared" si="1"/>
        <v>44668</v>
      </c>
      <c r="D3769" s="1" t="str">
        <f t="array" ref="D3769">IF(ISBLANK(XLOOKUP(D$3,daily_items,XLOOKUP($C3769,daily_dates,big_daily_table))),NA(),XLOOKUP(D$3,daily_items,XLOOKUP($C3769,daily_dates,big_daily_table)))</f>
        <v>#N/A</v>
      </c>
      <c r="E3769" s="1" t="str">
        <f t="array" ref="E3769">IF(ISBLANK(XLOOKUP(E$3,daily_items,XLOOKUP($C3769,daily_dates,big_daily_table))),NA(),XLOOKUP(E$3,daily_items,XLOOKUP($C3769,daily_dates,big_daily_table)))</f>
        <v>#N/A</v>
      </c>
    </row>
    <row r="3770" ht="14.25" customHeight="1">
      <c r="B3770" s="7">
        <v>44675.0</v>
      </c>
      <c r="C3770" s="7">
        <f t="shared" si="1"/>
        <v>44675</v>
      </c>
      <c r="D3770" s="1" t="str">
        <f t="array" ref="D3770">IF(ISBLANK(XLOOKUP(D$3,daily_items,XLOOKUP($C3770,daily_dates,big_daily_table))),NA(),XLOOKUP(D$3,daily_items,XLOOKUP($C3770,daily_dates,big_daily_table)))</f>
        <v>#N/A</v>
      </c>
      <c r="E3770" s="1" t="str">
        <f t="array" ref="E3770">IF(ISBLANK(XLOOKUP(E$3,daily_items,XLOOKUP($C3770,daily_dates,big_daily_table))),NA(),XLOOKUP(E$3,daily_items,XLOOKUP($C3770,daily_dates,big_daily_table)))</f>
        <v>#N/A</v>
      </c>
    </row>
    <row r="3771" ht="14.25" customHeight="1">
      <c r="B3771" s="7">
        <v>44676.0</v>
      </c>
      <c r="C3771" s="7">
        <f t="shared" si="1"/>
        <v>44675</v>
      </c>
      <c r="D3771" s="1" t="str">
        <f t="array" ref="D3771">IF(ISBLANK(XLOOKUP(D$3,daily_items,XLOOKUP($C3771,daily_dates,big_daily_table))),NA(),XLOOKUP(D$3,daily_items,XLOOKUP($C3771,daily_dates,big_daily_table)))</f>
        <v>#N/A</v>
      </c>
      <c r="E3771" s="1" t="str">
        <f t="array" ref="E3771">IF(ISBLANK(XLOOKUP(E$3,daily_items,XLOOKUP($C3771,daily_dates,big_daily_table))),NA(),XLOOKUP(E$3,daily_items,XLOOKUP($C3771,daily_dates,big_daily_table)))</f>
        <v>#N/A</v>
      </c>
    </row>
    <row r="3772" ht="14.25" customHeight="1">
      <c r="B3772" s="7">
        <v>44677.0</v>
      </c>
      <c r="C3772" s="7">
        <f t="shared" si="1"/>
        <v>44675</v>
      </c>
      <c r="D3772" s="1" t="str">
        <f t="array" ref="D3772">IF(ISBLANK(XLOOKUP(D$3,daily_items,XLOOKUP($C3772,daily_dates,big_daily_table))),NA(),XLOOKUP(D$3,daily_items,XLOOKUP($C3772,daily_dates,big_daily_table)))</f>
        <v>#N/A</v>
      </c>
      <c r="E3772" s="1" t="str">
        <f t="array" ref="E3772">IF(ISBLANK(XLOOKUP(E$3,daily_items,XLOOKUP($C3772,daily_dates,big_daily_table))),NA(),XLOOKUP(E$3,daily_items,XLOOKUP($C3772,daily_dates,big_daily_table)))</f>
        <v>#N/A</v>
      </c>
    </row>
    <row r="3773" ht="14.25" customHeight="1">
      <c r="B3773" s="7">
        <v>44678.0</v>
      </c>
      <c r="C3773" s="7">
        <f t="shared" si="1"/>
        <v>44675</v>
      </c>
      <c r="D3773" s="1" t="str">
        <f t="array" ref="D3773">IF(ISBLANK(XLOOKUP(D$3,daily_items,XLOOKUP($C3773,daily_dates,big_daily_table))),NA(),XLOOKUP(D$3,daily_items,XLOOKUP($C3773,daily_dates,big_daily_table)))</f>
        <v>#N/A</v>
      </c>
      <c r="E3773" s="1" t="str">
        <f t="array" ref="E3773">IF(ISBLANK(XLOOKUP(E$3,daily_items,XLOOKUP($C3773,daily_dates,big_daily_table))),NA(),XLOOKUP(E$3,daily_items,XLOOKUP($C3773,daily_dates,big_daily_table)))</f>
        <v>#N/A</v>
      </c>
    </row>
    <row r="3774" ht="14.25" customHeight="1">
      <c r="B3774" s="7">
        <v>44679.0</v>
      </c>
      <c r="C3774" s="7">
        <f t="shared" si="1"/>
        <v>44675</v>
      </c>
      <c r="D3774" s="1" t="str">
        <f t="array" ref="D3774">IF(ISBLANK(XLOOKUP(D$3,daily_items,XLOOKUP($C3774,daily_dates,big_daily_table))),NA(),XLOOKUP(D$3,daily_items,XLOOKUP($C3774,daily_dates,big_daily_table)))</f>
        <v>#N/A</v>
      </c>
      <c r="E3774" s="1" t="str">
        <f t="array" ref="E3774">IF(ISBLANK(XLOOKUP(E$3,daily_items,XLOOKUP($C3774,daily_dates,big_daily_table))),NA(),XLOOKUP(E$3,daily_items,XLOOKUP($C3774,daily_dates,big_daily_table)))</f>
        <v>#N/A</v>
      </c>
    </row>
    <row r="3775" ht="14.25" customHeight="1">
      <c r="B3775" s="7">
        <v>44680.0</v>
      </c>
      <c r="C3775" s="7">
        <f t="shared" si="1"/>
        <v>44675</v>
      </c>
      <c r="D3775" s="1" t="str">
        <f t="array" ref="D3775">IF(ISBLANK(XLOOKUP(D$3,daily_items,XLOOKUP($C3775,daily_dates,big_daily_table))),NA(),XLOOKUP(D$3,daily_items,XLOOKUP($C3775,daily_dates,big_daily_table)))</f>
        <v>#N/A</v>
      </c>
      <c r="E3775" s="1" t="str">
        <f t="array" ref="E3775">IF(ISBLANK(XLOOKUP(E$3,daily_items,XLOOKUP($C3775,daily_dates,big_daily_table))),NA(),XLOOKUP(E$3,daily_items,XLOOKUP($C3775,daily_dates,big_daily_table)))</f>
        <v>#N/A</v>
      </c>
    </row>
    <row r="3776" ht="14.25" customHeight="1">
      <c r="B3776" s="7">
        <v>44681.0</v>
      </c>
      <c r="C3776" s="7">
        <f t="shared" si="1"/>
        <v>44675</v>
      </c>
      <c r="D3776" s="1" t="str">
        <f t="array" ref="D3776">IF(ISBLANK(XLOOKUP(D$3,daily_items,XLOOKUP($C3776,daily_dates,big_daily_table))),NA(),XLOOKUP(D$3,daily_items,XLOOKUP($C3776,daily_dates,big_daily_table)))</f>
        <v>#N/A</v>
      </c>
      <c r="E3776" s="1" t="str">
        <f t="array" ref="E3776">IF(ISBLANK(XLOOKUP(E$3,daily_items,XLOOKUP($C3776,daily_dates,big_daily_table))),NA(),XLOOKUP(E$3,daily_items,XLOOKUP($C3776,daily_dates,big_daily_table)))</f>
        <v>#N/A</v>
      </c>
    </row>
    <row r="3777" ht="14.25" customHeight="1">
      <c r="B3777" s="7">
        <v>44682.0</v>
      </c>
      <c r="C3777" s="7">
        <f t="shared" si="1"/>
        <v>44682</v>
      </c>
      <c r="D3777" s="1" t="str">
        <f t="array" ref="D3777">IF(ISBLANK(XLOOKUP(D$3,daily_items,XLOOKUP($C3777,daily_dates,big_daily_table))),NA(),XLOOKUP(D$3,daily_items,XLOOKUP($C3777,daily_dates,big_daily_table)))</f>
        <v>#N/A</v>
      </c>
      <c r="E3777" s="1" t="str">
        <f t="array" ref="E3777">IF(ISBLANK(XLOOKUP(E$3,daily_items,XLOOKUP($C3777,daily_dates,big_daily_table))),NA(),XLOOKUP(E$3,daily_items,XLOOKUP($C3777,daily_dates,big_daily_table)))</f>
        <v>#N/A</v>
      </c>
    </row>
    <row r="3778" ht="14.25" customHeight="1">
      <c r="B3778" s="7">
        <v>44683.0</v>
      </c>
      <c r="C3778" s="7">
        <f t="shared" si="1"/>
        <v>44682</v>
      </c>
      <c r="D3778" s="1" t="str">
        <f t="array" ref="D3778">IF(ISBLANK(XLOOKUP(D$3,daily_items,XLOOKUP($C3778,daily_dates,big_daily_table))),NA(),XLOOKUP(D$3,daily_items,XLOOKUP($C3778,daily_dates,big_daily_table)))</f>
        <v>#N/A</v>
      </c>
      <c r="E3778" s="1" t="str">
        <f t="array" ref="E3778">IF(ISBLANK(XLOOKUP(E$3,daily_items,XLOOKUP($C3778,daily_dates,big_daily_table))),NA(),XLOOKUP(E$3,daily_items,XLOOKUP($C3778,daily_dates,big_daily_table)))</f>
        <v>#N/A</v>
      </c>
    </row>
    <row r="3779" ht="14.25" customHeight="1">
      <c r="B3779" s="7">
        <v>44684.0</v>
      </c>
      <c r="C3779" s="7">
        <f t="shared" si="1"/>
        <v>44682</v>
      </c>
      <c r="D3779" s="1" t="str">
        <f t="array" ref="D3779">IF(ISBLANK(XLOOKUP(D$3,daily_items,XLOOKUP($C3779,daily_dates,big_daily_table))),NA(),XLOOKUP(D$3,daily_items,XLOOKUP($C3779,daily_dates,big_daily_table)))</f>
        <v>#N/A</v>
      </c>
      <c r="E3779" s="1" t="str">
        <f t="array" ref="E3779">IF(ISBLANK(XLOOKUP(E$3,daily_items,XLOOKUP($C3779,daily_dates,big_daily_table))),NA(),XLOOKUP(E$3,daily_items,XLOOKUP($C3779,daily_dates,big_daily_table)))</f>
        <v>#N/A</v>
      </c>
    </row>
    <row r="3780" ht="14.25" customHeight="1">
      <c r="B3780" s="7">
        <v>44685.0</v>
      </c>
      <c r="C3780" s="7">
        <f t="shared" si="1"/>
        <v>44682</v>
      </c>
      <c r="D3780" s="1" t="str">
        <f t="array" ref="D3780">IF(ISBLANK(XLOOKUP(D$3,daily_items,XLOOKUP($C3780,daily_dates,big_daily_table))),NA(),XLOOKUP(D$3,daily_items,XLOOKUP($C3780,daily_dates,big_daily_table)))</f>
        <v>#N/A</v>
      </c>
      <c r="E3780" s="1" t="str">
        <f t="array" ref="E3780">IF(ISBLANK(XLOOKUP(E$3,daily_items,XLOOKUP($C3780,daily_dates,big_daily_table))),NA(),XLOOKUP(E$3,daily_items,XLOOKUP($C3780,daily_dates,big_daily_table)))</f>
        <v>#N/A</v>
      </c>
    </row>
    <row r="3781" ht="14.25" customHeight="1">
      <c r="B3781" s="7">
        <v>44686.0</v>
      </c>
      <c r="C3781" s="7">
        <f t="shared" si="1"/>
        <v>44682</v>
      </c>
      <c r="D3781" s="1" t="str">
        <f t="array" ref="D3781">IF(ISBLANK(XLOOKUP(D$3,daily_items,XLOOKUP($C3781,daily_dates,big_daily_table))),NA(),XLOOKUP(D$3,daily_items,XLOOKUP($C3781,daily_dates,big_daily_table)))</f>
        <v>#N/A</v>
      </c>
      <c r="E3781" s="1" t="str">
        <f t="array" ref="E3781">IF(ISBLANK(XLOOKUP(E$3,daily_items,XLOOKUP($C3781,daily_dates,big_daily_table))),NA(),XLOOKUP(E$3,daily_items,XLOOKUP($C3781,daily_dates,big_daily_table)))</f>
        <v>#N/A</v>
      </c>
    </row>
    <row r="3782" ht="14.25" customHeight="1">
      <c r="B3782" s="7">
        <v>44687.0</v>
      </c>
      <c r="C3782" s="7">
        <f t="shared" si="1"/>
        <v>44682</v>
      </c>
      <c r="D3782" s="1" t="str">
        <f t="array" ref="D3782">IF(ISBLANK(XLOOKUP(D$3,daily_items,XLOOKUP($C3782,daily_dates,big_daily_table))),NA(),XLOOKUP(D$3,daily_items,XLOOKUP($C3782,daily_dates,big_daily_table)))</f>
        <v>#N/A</v>
      </c>
      <c r="E3782" s="1" t="str">
        <f t="array" ref="E3782">IF(ISBLANK(XLOOKUP(E$3,daily_items,XLOOKUP($C3782,daily_dates,big_daily_table))),NA(),XLOOKUP(E$3,daily_items,XLOOKUP($C3782,daily_dates,big_daily_table)))</f>
        <v>#N/A</v>
      </c>
    </row>
    <row r="3783" ht="14.25" customHeight="1">
      <c r="B3783" s="7">
        <v>44688.0</v>
      </c>
      <c r="C3783" s="7">
        <f t="shared" si="1"/>
        <v>44682</v>
      </c>
      <c r="D3783" s="1" t="str">
        <f t="array" ref="D3783">IF(ISBLANK(XLOOKUP(D$3,daily_items,XLOOKUP($C3783,daily_dates,big_daily_table))),NA(),XLOOKUP(D$3,daily_items,XLOOKUP($C3783,daily_dates,big_daily_table)))</f>
        <v>#N/A</v>
      </c>
      <c r="E3783" s="1" t="str">
        <f t="array" ref="E3783">IF(ISBLANK(XLOOKUP(E$3,daily_items,XLOOKUP($C3783,daily_dates,big_daily_table))),NA(),XLOOKUP(E$3,daily_items,XLOOKUP($C3783,daily_dates,big_daily_table)))</f>
        <v>#N/A</v>
      </c>
    </row>
    <row r="3784" ht="14.25" customHeight="1">
      <c r="B3784" s="7">
        <v>44689.0</v>
      </c>
      <c r="C3784" s="7">
        <f t="shared" si="1"/>
        <v>44689</v>
      </c>
      <c r="D3784" s="1" t="str">
        <f t="array" ref="D3784">IF(ISBLANK(XLOOKUP(D$3,daily_items,XLOOKUP($C3784,daily_dates,big_daily_table))),NA(),XLOOKUP(D$3,daily_items,XLOOKUP($C3784,daily_dates,big_daily_table)))</f>
        <v>#N/A</v>
      </c>
      <c r="E3784" s="1" t="str">
        <f t="array" ref="E3784">IF(ISBLANK(XLOOKUP(E$3,daily_items,XLOOKUP($C3784,daily_dates,big_daily_table))),NA(),XLOOKUP(E$3,daily_items,XLOOKUP($C3784,daily_dates,big_daily_table)))</f>
        <v>#N/A</v>
      </c>
    </row>
    <row r="3785" ht="14.25" customHeight="1">
      <c r="B3785" s="7">
        <v>44690.0</v>
      </c>
      <c r="C3785" s="7">
        <f t="shared" si="1"/>
        <v>44689</v>
      </c>
      <c r="D3785" s="1" t="str">
        <f t="array" ref="D3785">IF(ISBLANK(XLOOKUP(D$3,daily_items,XLOOKUP($C3785,daily_dates,big_daily_table))),NA(),XLOOKUP(D$3,daily_items,XLOOKUP($C3785,daily_dates,big_daily_table)))</f>
        <v>#N/A</v>
      </c>
      <c r="E3785" s="1" t="str">
        <f t="array" ref="E3785">IF(ISBLANK(XLOOKUP(E$3,daily_items,XLOOKUP($C3785,daily_dates,big_daily_table))),NA(),XLOOKUP(E$3,daily_items,XLOOKUP($C3785,daily_dates,big_daily_table)))</f>
        <v>#N/A</v>
      </c>
    </row>
    <row r="3786" ht="14.25" customHeight="1">
      <c r="B3786" s="7">
        <v>44691.0</v>
      </c>
      <c r="C3786" s="7">
        <f t="shared" si="1"/>
        <v>44689</v>
      </c>
      <c r="D3786" s="1" t="str">
        <f t="array" ref="D3786">IF(ISBLANK(XLOOKUP(D$3,daily_items,XLOOKUP($C3786,daily_dates,big_daily_table))),NA(),XLOOKUP(D$3,daily_items,XLOOKUP($C3786,daily_dates,big_daily_table)))</f>
        <v>#N/A</v>
      </c>
      <c r="E3786" s="1" t="str">
        <f t="array" ref="E3786">IF(ISBLANK(XLOOKUP(E$3,daily_items,XLOOKUP($C3786,daily_dates,big_daily_table))),NA(),XLOOKUP(E$3,daily_items,XLOOKUP($C3786,daily_dates,big_daily_table)))</f>
        <v>#N/A</v>
      </c>
    </row>
    <row r="3787" ht="14.25" customHeight="1">
      <c r="B3787" s="7">
        <v>44692.0</v>
      </c>
      <c r="C3787" s="7">
        <f t="shared" si="1"/>
        <v>44689</v>
      </c>
      <c r="D3787" s="1" t="str">
        <f t="array" ref="D3787">IF(ISBLANK(XLOOKUP(D$3,daily_items,XLOOKUP($C3787,daily_dates,big_daily_table))),NA(),XLOOKUP(D$3,daily_items,XLOOKUP($C3787,daily_dates,big_daily_table)))</f>
        <v>#N/A</v>
      </c>
      <c r="E3787" s="1" t="str">
        <f t="array" ref="E3787">IF(ISBLANK(XLOOKUP(E$3,daily_items,XLOOKUP($C3787,daily_dates,big_daily_table))),NA(),XLOOKUP(E$3,daily_items,XLOOKUP($C3787,daily_dates,big_daily_table)))</f>
        <v>#N/A</v>
      </c>
    </row>
    <row r="3788" ht="14.25" customHeight="1">
      <c r="B3788" s="7">
        <v>44693.0</v>
      </c>
      <c r="C3788" s="7">
        <f t="shared" si="1"/>
        <v>44689</v>
      </c>
      <c r="D3788" s="1" t="str">
        <f t="array" ref="D3788">IF(ISBLANK(XLOOKUP(D$3,daily_items,XLOOKUP($C3788,daily_dates,big_daily_table))),NA(),XLOOKUP(D$3,daily_items,XLOOKUP($C3788,daily_dates,big_daily_table)))</f>
        <v>#N/A</v>
      </c>
      <c r="E3788" s="1" t="str">
        <f t="array" ref="E3788">IF(ISBLANK(XLOOKUP(E$3,daily_items,XLOOKUP($C3788,daily_dates,big_daily_table))),NA(),XLOOKUP(E$3,daily_items,XLOOKUP($C3788,daily_dates,big_daily_table)))</f>
        <v>#N/A</v>
      </c>
    </row>
    <row r="3789" ht="14.25" customHeight="1">
      <c r="B3789" s="7">
        <v>44694.0</v>
      </c>
      <c r="C3789" s="7">
        <f t="shared" si="1"/>
        <v>44689</v>
      </c>
      <c r="D3789" s="1" t="str">
        <f t="array" ref="D3789">IF(ISBLANK(XLOOKUP(D$3,daily_items,XLOOKUP($C3789,daily_dates,big_daily_table))),NA(),XLOOKUP(D$3,daily_items,XLOOKUP($C3789,daily_dates,big_daily_table)))</f>
        <v>#N/A</v>
      </c>
      <c r="E3789" s="1" t="str">
        <f t="array" ref="E3789">IF(ISBLANK(XLOOKUP(E$3,daily_items,XLOOKUP($C3789,daily_dates,big_daily_table))),NA(),XLOOKUP(E$3,daily_items,XLOOKUP($C3789,daily_dates,big_daily_table)))</f>
        <v>#N/A</v>
      </c>
    </row>
    <row r="3790" ht="14.25" customHeight="1">
      <c r="B3790" s="7">
        <v>44695.0</v>
      </c>
      <c r="C3790" s="7">
        <f t="shared" si="1"/>
        <v>44689</v>
      </c>
      <c r="D3790" s="1" t="str">
        <f t="array" ref="D3790">IF(ISBLANK(XLOOKUP(D$3,daily_items,XLOOKUP($C3790,daily_dates,big_daily_table))),NA(),XLOOKUP(D$3,daily_items,XLOOKUP($C3790,daily_dates,big_daily_table)))</f>
        <v>#N/A</v>
      </c>
      <c r="E3790" s="1" t="str">
        <f t="array" ref="E3790">IF(ISBLANK(XLOOKUP(E$3,daily_items,XLOOKUP($C3790,daily_dates,big_daily_table))),NA(),XLOOKUP(E$3,daily_items,XLOOKUP($C3790,daily_dates,big_daily_table)))</f>
        <v>#N/A</v>
      </c>
    </row>
    <row r="3791" ht="14.25" customHeight="1">
      <c r="B3791" s="7">
        <v>44696.0</v>
      </c>
      <c r="C3791" s="7">
        <f t="shared" si="1"/>
        <v>44696</v>
      </c>
      <c r="D3791" s="1" t="str">
        <f t="array" ref="D3791">IF(ISBLANK(XLOOKUP(D$3,daily_items,XLOOKUP($C3791,daily_dates,big_daily_table))),NA(),XLOOKUP(D$3,daily_items,XLOOKUP($C3791,daily_dates,big_daily_table)))</f>
        <v>#N/A</v>
      </c>
      <c r="E3791" s="1" t="str">
        <f t="array" ref="E3791">IF(ISBLANK(XLOOKUP(E$3,daily_items,XLOOKUP($C3791,daily_dates,big_daily_table))),NA(),XLOOKUP(E$3,daily_items,XLOOKUP($C3791,daily_dates,big_daily_table)))</f>
        <v>#N/A</v>
      </c>
    </row>
    <row r="3792" ht="14.25" customHeight="1">
      <c r="B3792" s="7">
        <v>44697.0</v>
      </c>
      <c r="C3792" s="7">
        <f t="shared" si="1"/>
        <v>44696</v>
      </c>
      <c r="D3792" s="1" t="str">
        <f t="array" ref="D3792">IF(ISBLANK(XLOOKUP(D$3,daily_items,XLOOKUP($C3792,daily_dates,big_daily_table))),NA(),XLOOKUP(D$3,daily_items,XLOOKUP($C3792,daily_dates,big_daily_table)))</f>
        <v>#N/A</v>
      </c>
      <c r="E3792" s="1" t="str">
        <f t="array" ref="E3792">IF(ISBLANK(XLOOKUP(E$3,daily_items,XLOOKUP($C3792,daily_dates,big_daily_table))),NA(),XLOOKUP(E$3,daily_items,XLOOKUP($C3792,daily_dates,big_daily_table)))</f>
        <v>#N/A</v>
      </c>
    </row>
    <row r="3793" ht="14.25" customHeight="1">
      <c r="B3793" s="7">
        <v>44698.0</v>
      </c>
      <c r="C3793" s="7">
        <f t="shared" si="1"/>
        <v>44696</v>
      </c>
      <c r="D3793" s="1" t="str">
        <f t="array" ref="D3793">IF(ISBLANK(XLOOKUP(D$3,daily_items,XLOOKUP($C3793,daily_dates,big_daily_table))),NA(),XLOOKUP(D$3,daily_items,XLOOKUP($C3793,daily_dates,big_daily_table)))</f>
        <v>#N/A</v>
      </c>
      <c r="E3793" s="1" t="str">
        <f t="array" ref="E3793">IF(ISBLANK(XLOOKUP(E$3,daily_items,XLOOKUP($C3793,daily_dates,big_daily_table))),NA(),XLOOKUP(E$3,daily_items,XLOOKUP($C3793,daily_dates,big_daily_table)))</f>
        <v>#N/A</v>
      </c>
    </row>
    <row r="3794" ht="14.25" customHeight="1">
      <c r="B3794" s="7">
        <v>44699.0</v>
      </c>
      <c r="C3794" s="7">
        <f t="shared" si="1"/>
        <v>44696</v>
      </c>
      <c r="D3794" s="1" t="str">
        <f t="array" ref="D3794">IF(ISBLANK(XLOOKUP(D$3,daily_items,XLOOKUP($C3794,daily_dates,big_daily_table))),NA(),XLOOKUP(D$3,daily_items,XLOOKUP($C3794,daily_dates,big_daily_table)))</f>
        <v>#N/A</v>
      </c>
      <c r="E3794" s="1" t="str">
        <f t="array" ref="E3794">IF(ISBLANK(XLOOKUP(E$3,daily_items,XLOOKUP($C3794,daily_dates,big_daily_table))),NA(),XLOOKUP(E$3,daily_items,XLOOKUP($C3794,daily_dates,big_daily_table)))</f>
        <v>#N/A</v>
      </c>
    </row>
    <row r="3795" ht="14.25" customHeight="1">
      <c r="B3795" s="7">
        <v>44700.0</v>
      </c>
      <c r="C3795" s="7">
        <f t="shared" si="1"/>
        <v>44696</v>
      </c>
      <c r="D3795" s="1" t="str">
        <f t="array" ref="D3795">IF(ISBLANK(XLOOKUP(D$3,daily_items,XLOOKUP($C3795,daily_dates,big_daily_table))),NA(),XLOOKUP(D$3,daily_items,XLOOKUP($C3795,daily_dates,big_daily_table)))</f>
        <v>#N/A</v>
      </c>
      <c r="E3795" s="1" t="str">
        <f t="array" ref="E3795">IF(ISBLANK(XLOOKUP(E$3,daily_items,XLOOKUP($C3795,daily_dates,big_daily_table))),NA(),XLOOKUP(E$3,daily_items,XLOOKUP($C3795,daily_dates,big_daily_table)))</f>
        <v>#N/A</v>
      </c>
    </row>
    <row r="3796" ht="14.25" customHeight="1">
      <c r="B3796" s="7">
        <v>44701.0</v>
      </c>
      <c r="C3796" s="7">
        <f t="shared" si="1"/>
        <v>44696</v>
      </c>
      <c r="D3796" s="1" t="str">
        <f t="array" ref="D3796">IF(ISBLANK(XLOOKUP(D$3,daily_items,XLOOKUP($C3796,daily_dates,big_daily_table))),NA(),XLOOKUP(D$3,daily_items,XLOOKUP($C3796,daily_dates,big_daily_table)))</f>
        <v>#N/A</v>
      </c>
      <c r="E3796" s="1" t="str">
        <f t="array" ref="E3796">IF(ISBLANK(XLOOKUP(E$3,daily_items,XLOOKUP($C3796,daily_dates,big_daily_table))),NA(),XLOOKUP(E$3,daily_items,XLOOKUP($C3796,daily_dates,big_daily_table)))</f>
        <v>#N/A</v>
      </c>
    </row>
    <row r="3797" ht="14.25" customHeight="1">
      <c r="B3797" s="7">
        <v>44702.0</v>
      </c>
      <c r="C3797" s="7">
        <f t="shared" si="1"/>
        <v>44696</v>
      </c>
      <c r="D3797" s="1" t="str">
        <f t="array" ref="D3797">IF(ISBLANK(XLOOKUP(D$3,daily_items,XLOOKUP($C3797,daily_dates,big_daily_table))),NA(),XLOOKUP(D$3,daily_items,XLOOKUP($C3797,daily_dates,big_daily_table)))</f>
        <v>#N/A</v>
      </c>
      <c r="E3797" s="1" t="str">
        <f t="array" ref="E3797">IF(ISBLANK(XLOOKUP(E$3,daily_items,XLOOKUP($C3797,daily_dates,big_daily_table))),NA(),XLOOKUP(E$3,daily_items,XLOOKUP($C3797,daily_dates,big_daily_table)))</f>
        <v>#N/A</v>
      </c>
    </row>
    <row r="3798" ht="14.25" customHeight="1">
      <c r="B3798" s="7">
        <v>44703.0</v>
      </c>
      <c r="C3798" s="7">
        <f t="shared" si="1"/>
        <v>44703</v>
      </c>
      <c r="D3798" s="1" t="str">
        <f t="array" ref="D3798">IF(ISBLANK(XLOOKUP(D$3,daily_items,XLOOKUP($C3798,daily_dates,big_daily_table))),NA(),XLOOKUP(D$3,daily_items,XLOOKUP($C3798,daily_dates,big_daily_table)))</f>
        <v>#N/A</v>
      </c>
      <c r="E3798" s="1" t="str">
        <f t="array" ref="E3798">IF(ISBLANK(XLOOKUP(E$3,daily_items,XLOOKUP($C3798,daily_dates,big_daily_table))),NA(),XLOOKUP(E$3,daily_items,XLOOKUP($C3798,daily_dates,big_daily_table)))</f>
        <v>#N/A</v>
      </c>
    </row>
    <row r="3799" ht="14.25" customHeight="1">
      <c r="B3799" s="7">
        <v>44704.0</v>
      </c>
      <c r="C3799" s="7">
        <f t="shared" si="1"/>
        <v>44703</v>
      </c>
      <c r="D3799" s="1" t="str">
        <f t="array" ref="D3799">IF(ISBLANK(XLOOKUP(D$3,daily_items,XLOOKUP($C3799,daily_dates,big_daily_table))),NA(),XLOOKUP(D$3,daily_items,XLOOKUP($C3799,daily_dates,big_daily_table)))</f>
        <v>#N/A</v>
      </c>
      <c r="E3799" s="1" t="str">
        <f t="array" ref="E3799">IF(ISBLANK(XLOOKUP(E$3,daily_items,XLOOKUP($C3799,daily_dates,big_daily_table))),NA(),XLOOKUP(E$3,daily_items,XLOOKUP($C3799,daily_dates,big_daily_table)))</f>
        <v>#N/A</v>
      </c>
    </row>
    <row r="3800" ht="14.25" customHeight="1">
      <c r="B3800" s="7">
        <v>44705.0</v>
      </c>
      <c r="C3800" s="7">
        <f t="shared" si="1"/>
        <v>44703</v>
      </c>
      <c r="D3800" s="1" t="str">
        <f t="array" ref="D3800">IF(ISBLANK(XLOOKUP(D$3,daily_items,XLOOKUP($C3800,daily_dates,big_daily_table))),NA(),XLOOKUP(D$3,daily_items,XLOOKUP($C3800,daily_dates,big_daily_table)))</f>
        <v>#N/A</v>
      </c>
      <c r="E3800" s="1" t="str">
        <f t="array" ref="E3800">IF(ISBLANK(XLOOKUP(E$3,daily_items,XLOOKUP($C3800,daily_dates,big_daily_table))),NA(),XLOOKUP(E$3,daily_items,XLOOKUP($C3800,daily_dates,big_daily_table)))</f>
        <v>#N/A</v>
      </c>
    </row>
    <row r="3801" ht="14.25" customHeight="1">
      <c r="B3801" s="7">
        <v>44706.0</v>
      </c>
      <c r="C3801" s="7">
        <f t="shared" si="1"/>
        <v>44703</v>
      </c>
      <c r="D3801" s="1" t="str">
        <f t="array" ref="D3801">IF(ISBLANK(XLOOKUP(D$3,daily_items,XLOOKUP($C3801,daily_dates,big_daily_table))),NA(),XLOOKUP(D$3,daily_items,XLOOKUP($C3801,daily_dates,big_daily_table)))</f>
        <v>#N/A</v>
      </c>
      <c r="E3801" s="1" t="str">
        <f t="array" ref="E3801">IF(ISBLANK(XLOOKUP(E$3,daily_items,XLOOKUP($C3801,daily_dates,big_daily_table))),NA(),XLOOKUP(E$3,daily_items,XLOOKUP($C3801,daily_dates,big_daily_table)))</f>
        <v>#N/A</v>
      </c>
    </row>
    <row r="3802" ht="14.25" customHeight="1">
      <c r="B3802" s="7">
        <v>44707.0</v>
      </c>
      <c r="C3802" s="7">
        <f t="shared" si="1"/>
        <v>44703</v>
      </c>
      <c r="D3802" s="1" t="str">
        <f t="array" ref="D3802">IF(ISBLANK(XLOOKUP(D$3,daily_items,XLOOKUP($C3802,daily_dates,big_daily_table))),NA(),XLOOKUP(D$3,daily_items,XLOOKUP($C3802,daily_dates,big_daily_table)))</f>
        <v>#N/A</v>
      </c>
      <c r="E3802" s="1" t="str">
        <f t="array" ref="E3802">IF(ISBLANK(XLOOKUP(E$3,daily_items,XLOOKUP($C3802,daily_dates,big_daily_table))),NA(),XLOOKUP(E$3,daily_items,XLOOKUP($C3802,daily_dates,big_daily_table)))</f>
        <v>#N/A</v>
      </c>
    </row>
    <row r="3803" ht="14.25" customHeight="1">
      <c r="B3803" s="7">
        <v>44708.0</v>
      </c>
      <c r="C3803" s="7">
        <f t="shared" si="1"/>
        <v>44703</v>
      </c>
      <c r="D3803" s="1" t="str">
        <f t="array" ref="D3803">IF(ISBLANK(XLOOKUP(D$3,daily_items,XLOOKUP($C3803,daily_dates,big_daily_table))),NA(),XLOOKUP(D$3,daily_items,XLOOKUP($C3803,daily_dates,big_daily_table)))</f>
        <v>#N/A</v>
      </c>
      <c r="E3803" s="1" t="str">
        <f t="array" ref="E3803">IF(ISBLANK(XLOOKUP(E$3,daily_items,XLOOKUP($C3803,daily_dates,big_daily_table))),NA(),XLOOKUP(E$3,daily_items,XLOOKUP($C3803,daily_dates,big_daily_table)))</f>
        <v>#N/A</v>
      </c>
    </row>
    <row r="3804" ht="14.25" customHeight="1">
      <c r="B3804" s="7">
        <v>44709.0</v>
      </c>
      <c r="C3804" s="7">
        <f t="shared" si="1"/>
        <v>44703</v>
      </c>
      <c r="D3804" s="1" t="str">
        <f t="array" ref="D3804">IF(ISBLANK(XLOOKUP(D$3,daily_items,XLOOKUP($C3804,daily_dates,big_daily_table))),NA(),XLOOKUP(D$3,daily_items,XLOOKUP($C3804,daily_dates,big_daily_table)))</f>
        <v>#N/A</v>
      </c>
      <c r="E3804" s="1" t="str">
        <f t="array" ref="E3804">IF(ISBLANK(XLOOKUP(E$3,daily_items,XLOOKUP($C3804,daily_dates,big_daily_table))),NA(),XLOOKUP(E$3,daily_items,XLOOKUP($C3804,daily_dates,big_daily_table)))</f>
        <v>#N/A</v>
      </c>
    </row>
    <row r="3805" ht="14.25" customHeight="1">
      <c r="B3805" s="7">
        <v>44710.0</v>
      </c>
      <c r="C3805" s="7">
        <f t="shared" si="1"/>
        <v>44710</v>
      </c>
      <c r="D3805" s="1" t="str">
        <f t="array" ref="D3805">IF(ISBLANK(XLOOKUP(D$3,daily_items,XLOOKUP($C3805,daily_dates,big_daily_table))),NA(),XLOOKUP(D$3,daily_items,XLOOKUP($C3805,daily_dates,big_daily_table)))</f>
        <v>#N/A</v>
      </c>
      <c r="E3805" s="1" t="str">
        <f t="array" ref="E3805">IF(ISBLANK(XLOOKUP(E$3,daily_items,XLOOKUP($C3805,daily_dates,big_daily_table))),NA(),XLOOKUP(E$3,daily_items,XLOOKUP($C3805,daily_dates,big_daily_table)))</f>
        <v>#N/A</v>
      </c>
    </row>
    <row r="3806" ht="14.25" customHeight="1">
      <c r="B3806" s="7">
        <v>44711.0</v>
      </c>
      <c r="C3806" s="7">
        <f t="shared" si="1"/>
        <v>44710</v>
      </c>
      <c r="D3806" s="1" t="str">
        <f t="array" ref="D3806">IF(ISBLANK(XLOOKUP(D$3,daily_items,XLOOKUP($C3806,daily_dates,big_daily_table))),NA(),XLOOKUP(D$3,daily_items,XLOOKUP($C3806,daily_dates,big_daily_table)))</f>
        <v>#N/A</v>
      </c>
      <c r="E3806" s="1" t="str">
        <f t="array" ref="E3806">IF(ISBLANK(XLOOKUP(E$3,daily_items,XLOOKUP($C3806,daily_dates,big_daily_table))),NA(),XLOOKUP(E$3,daily_items,XLOOKUP($C3806,daily_dates,big_daily_table)))</f>
        <v>#N/A</v>
      </c>
    </row>
    <row r="3807" ht="14.25" customHeight="1">
      <c r="B3807" s="7">
        <v>44712.0</v>
      </c>
      <c r="C3807" s="7">
        <f t="shared" si="1"/>
        <v>44710</v>
      </c>
      <c r="D3807" s="1" t="str">
        <f t="array" ref="D3807">IF(ISBLANK(XLOOKUP(D$3,daily_items,XLOOKUP($C3807,daily_dates,big_daily_table))),NA(),XLOOKUP(D$3,daily_items,XLOOKUP($C3807,daily_dates,big_daily_table)))</f>
        <v>#N/A</v>
      </c>
      <c r="E3807" s="1" t="str">
        <f t="array" ref="E3807">IF(ISBLANK(XLOOKUP(E$3,daily_items,XLOOKUP($C3807,daily_dates,big_daily_table))),NA(),XLOOKUP(E$3,daily_items,XLOOKUP($C3807,daily_dates,big_daily_table)))</f>
        <v>#N/A</v>
      </c>
    </row>
    <row r="3808" ht="14.25" customHeight="1">
      <c r="B3808" s="7">
        <v>44713.0</v>
      </c>
      <c r="C3808" s="7">
        <f t="shared" si="1"/>
        <v>44710</v>
      </c>
      <c r="D3808" s="1" t="str">
        <f t="array" ref="D3808">IF(ISBLANK(XLOOKUP(D$3,daily_items,XLOOKUP($C3808,daily_dates,big_daily_table))),NA(),XLOOKUP(D$3,daily_items,XLOOKUP($C3808,daily_dates,big_daily_table)))</f>
        <v>#N/A</v>
      </c>
      <c r="E3808" s="1" t="str">
        <f t="array" ref="E3808">IF(ISBLANK(XLOOKUP(E$3,daily_items,XLOOKUP($C3808,daily_dates,big_daily_table))),NA(),XLOOKUP(E$3,daily_items,XLOOKUP($C3808,daily_dates,big_daily_table)))</f>
        <v>#N/A</v>
      </c>
    </row>
    <row r="3809" ht="14.25" customHeight="1">
      <c r="B3809" s="7">
        <v>44714.0</v>
      </c>
      <c r="C3809" s="7">
        <f t="shared" si="1"/>
        <v>44710</v>
      </c>
      <c r="D3809" s="1" t="str">
        <f t="array" ref="D3809">IF(ISBLANK(XLOOKUP(D$3,daily_items,XLOOKUP($C3809,daily_dates,big_daily_table))),NA(),XLOOKUP(D$3,daily_items,XLOOKUP($C3809,daily_dates,big_daily_table)))</f>
        <v>#N/A</v>
      </c>
      <c r="E3809" s="1" t="str">
        <f t="array" ref="E3809">IF(ISBLANK(XLOOKUP(E$3,daily_items,XLOOKUP($C3809,daily_dates,big_daily_table))),NA(),XLOOKUP(E$3,daily_items,XLOOKUP($C3809,daily_dates,big_daily_table)))</f>
        <v>#N/A</v>
      </c>
    </row>
    <row r="3810" ht="14.25" customHeight="1">
      <c r="B3810" s="7">
        <v>44715.0</v>
      </c>
      <c r="C3810" s="7">
        <f t="shared" si="1"/>
        <v>44710</v>
      </c>
      <c r="D3810" s="1" t="str">
        <f t="array" ref="D3810">IF(ISBLANK(XLOOKUP(D$3,daily_items,XLOOKUP($C3810,daily_dates,big_daily_table))),NA(),XLOOKUP(D$3,daily_items,XLOOKUP($C3810,daily_dates,big_daily_table)))</f>
        <v>#N/A</v>
      </c>
      <c r="E3810" s="1" t="str">
        <f t="array" ref="E3810">IF(ISBLANK(XLOOKUP(E$3,daily_items,XLOOKUP($C3810,daily_dates,big_daily_table))),NA(),XLOOKUP(E$3,daily_items,XLOOKUP($C3810,daily_dates,big_daily_table)))</f>
        <v>#N/A</v>
      </c>
    </row>
    <row r="3811" ht="14.25" customHeight="1">
      <c r="B3811" s="7">
        <v>44716.0</v>
      </c>
      <c r="C3811" s="7">
        <f t="shared" si="1"/>
        <v>44710</v>
      </c>
      <c r="D3811" s="1" t="str">
        <f t="array" ref="D3811">IF(ISBLANK(XLOOKUP(D$3,daily_items,XLOOKUP($C3811,daily_dates,big_daily_table))),NA(),XLOOKUP(D$3,daily_items,XLOOKUP($C3811,daily_dates,big_daily_table)))</f>
        <v>#N/A</v>
      </c>
      <c r="E3811" s="1" t="str">
        <f t="array" ref="E3811">IF(ISBLANK(XLOOKUP(E$3,daily_items,XLOOKUP($C3811,daily_dates,big_daily_table))),NA(),XLOOKUP(E$3,daily_items,XLOOKUP($C3811,daily_dates,big_daily_table)))</f>
        <v>#N/A</v>
      </c>
    </row>
    <row r="3812" ht="14.25" customHeight="1">
      <c r="B3812" s="7">
        <v>44717.0</v>
      </c>
      <c r="C3812" s="7">
        <f t="shared" si="1"/>
        <v>44717</v>
      </c>
      <c r="D3812" s="1" t="str">
        <f t="array" ref="D3812">IF(ISBLANK(XLOOKUP(D$3,daily_items,XLOOKUP($C3812,daily_dates,big_daily_table))),NA(),XLOOKUP(D$3,daily_items,XLOOKUP($C3812,daily_dates,big_daily_table)))</f>
        <v>#N/A</v>
      </c>
      <c r="E3812" s="1" t="str">
        <f t="array" ref="E3812">IF(ISBLANK(XLOOKUP(E$3,daily_items,XLOOKUP($C3812,daily_dates,big_daily_table))),NA(),XLOOKUP(E$3,daily_items,XLOOKUP($C3812,daily_dates,big_daily_table)))</f>
        <v>#N/A</v>
      </c>
    </row>
    <row r="3813" ht="14.25" customHeight="1">
      <c r="B3813" s="7">
        <v>44718.0</v>
      </c>
      <c r="C3813" s="7">
        <f t="shared" si="1"/>
        <v>44717</v>
      </c>
      <c r="D3813" s="1" t="str">
        <f t="array" ref="D3813">IF(ISBLANK(XLOOKUP(D$3,daily_items,XLOOKUP($C3813,daily_dates,big_daily_table))),NA(),XLOOKUP(D$3,daily_items,XLOOKUP($C3813,daily_dates,big_daily_table)))</f>
        <v>#N/A</v>
      </c>
      <c r="E3813" s="1" t="str">
        <f t="array" ref="E3813">IF(ISBLANK(XLOOKUP(E$3,daily_items,XLOOKUP($C3813,daily_dates,big_daily_table))),NA(),XLOOKUP(E$3,daily_items,XLOOKUP($C3813,daily_dates,big_daily_table)))</f>
        <v>#N/A</v>
      </c>
    </row>
    <row r="3814" ht="14.25" customHeight="1">
      <c r="B3814" s="7">
        <v>44719.0</v>
      </c>
      <c r="C3814" s="7">
        <f t="shared" si="1"/>
        <v>44717</v>
      </c>
      <c r="D3814" s="1" t="str">
        <f t="array" ref="D3814">IF(ISBLANK(XLOOKUP(D$3,daily_items,XLOOKUP($C3814,daily_dates,big_daily_table))),NA(),XLOOKUP(D$3,daily_items,XLOOKUP($C3814,daily_dates,big_daily_table)))</f>
        <v>#N/A</v>
      </c>
      <c r="E3814" s="1" t="str">
        <f t="array" ref="E3814">IF(ISBLANK(XLOOKUP(E$3,daily_items,XLOOKUP($C3814,daily_dates,big_daily_table))),NA(),XLOOKUP(E$3,daily_items,XLOOKUP($C3814,daily_dates,big_daily_table)))</f>
        <v>#N/A</v>
      </c>
    </row>
    <row r="3815" ht="14.25" customHeight="1">
      <c r="B3815" s="7">
        <v>44720.0</v>
      </c>
      <c r="C3815" s="7">
        <f t="shared" si="1"/>
        <v>44717</v>
      </c>
      <c r="D3815" s="1" t="str">
        <f t="array" ref="D3815">IF(ISBLANK(XLOOKUP(D$3,daily_items,XLOOKUP($C3815,daily_dates,big_daily_table))),NA(),XLOOKUP(D$3,daily_items,XLOOKUP($C3815,daily_dates,big_daily_table)))</f>
        <v>#N/A</v>
      </c>
      <c r="E3815" s="1" t="str">
        <f t="array" ref="E3815">IF(ISBLANK(XLOOKUP(E$3,daily_items,XLOOKUP($C3815,daily_dates,big_daily_table))),NA(),XLOOKUP(E$3,daily_items,XLOOKUP($C3815,daily_dates,big_daily_table)))</f>
        <v>#N/A</v>
      </c>
    </row>
    <row r="3816" ht="14.25" customHeight="1">
      <c r="B3816" s="7">
        <v>44721.0</v>
      </c>
      <c r="C3816" s="7">
        <f t="shared" si="1"/>
        <v>44717</v>
      </c>
      <c r="D3816" s="1" t="str">
        <f t="array" ref="D3816">IF(ISBLANK(XLOOKUP(D$3,daily_items,XLOOKUP($C3816,daily_dates,big_daily_table))),NA(),XLOOKUP(D$3,daily_items,XLOOKUP($C3816,daily_dates,big_daily_table)))</f>
        <v>#N/A</v>
      </c>
      <c r="E3816" s="1" t="str">
        <f t="array" ref="E3816">IF(ISBLANK(XLOOKUP(E$3,daily_items,XLOOKUP($C3816,daily_dates,big_daily_table))),NA(),XLOOKUP(E$3,daily_items,XLOOKUP($C3816,daily_dates,big_daily_table)))</f>
        <v>#N/A</v>
      </c>
    </row>
    <row r="3817" ht="14.25" customHeight="1">
      <c r="B3817" s="7">
        <v>44722.0</v>
      </c>
      <c r="C3817" s="7">
        <f t="shared" si="1"/>
        <v>44717</v>
      </c>
      <c r="D3817" s="1" t="str">
        <f t="array" ref="D3817">IF(ISBLANK(XLOOKUP(D$3,daily_items,XLOOKUP($C3817,daily_dates,big_daily_table))),NA(),XLOOKUP(D$3,daily_items,XLOOKUP($C3817,daily_dates,big_daily_table)))</f>
        <v>#N/A</v>
      </c>
      <c r="E3817" s="1" t="str">
        <f t="array" ref="E3817">IF(ISBLANK(XLOOKUP(E$3,daily_items,XLOOKUP($C3817,daily_dates,big_daily_table))),NA(),XLOOKUP(E$3,daily_items,XLOOKUP($C3817,daily_dates,big_daily_table)))</f>
        <v>#N/A</v>
      </c>
    </row>
    <row r="3818" ht="14.25" customHeight="1">
      <c r="B3818" s="7">
        <v>44723.0</v>
      </c>
      <c r="C3818" s="7">
        <f t="shared" si="1"/>
        <v>44717</v>
      </c>
      <c r="D3818" s="1" t="str">
        <f t="array" ref="D3818">IF(ISBLANK(XLOOKUP(D$3,daily_items,XLOOKUP($C3818,daily_dates,big_daily_table))),NA(),XLOOKUP(D$3,daily_items,XLOOKUP($C3818,daily_dates,big_daily_table)))</f>
        <v>#N/A</v>
      </c>
      <c r="E3818" s="1" t="str">
        <f t="array" ref="E3818">IF(ISBLANK(XLOOKUP(E$3,daily_items,XLOOKUP($C3818,daily_dates,big_daily_table))),NA(),XLOOKUP(E$3,daily_items,XLOOKUP($C3818,daily_dates,big_daily_table)))</f>
        <v>#N/A</v>
      </c>
    </row>
    <row r="3819" ht="14.25" customHeight="1">
      <c r="B3819" s="7">
        <v>44724.0</v>
      </c>
      <c r="C3819" s="7">
        <f t="shared" si="1"/>
        <v>44724</v>
      </c>
      <c r="D3819" s="1" t="str">
        <f t="array" ref="D3819">IF(ISBLANK(XLOOKUP(D$3,daily_items,XLOOKUP($C3819,daily_dates,big_daily_table))),NA(),XLOOKUP(D$3,daily_items,XLOOKUP($C3819,daily_dates,big_daily_table)))</f>
        <v>#N/A</v>
      </c>
      <c r="E3819" s="1" t="str">
        <f t="array" ref="E3819">IF(ISBLANK(XLOOKUP(E$3,daily_items,XLOOKUP($C3819,daily_dates,big_daily_table))),NA(),XLOOKUP(E$3,daily_items,XLOOKUP($C3819,daily_dates,big_daily_table)))</f>
        <v>#N/A</v>
      </c>
    </row>
    <row r="3820" ht="14.25" customHeight="1">
      <c r="B3820" s="7">
        <v>44725.0</v>
      </c>
      <c r="C3820" s="7">
        <f t="shared" si="1"/>
        <v>44724</v>
      </c>
      <c r="D3820" s="1" t="str">
        <f t="array" ref="D3820">IF(ISBLANK(XLOOKUP(D$3,daily_items,XLOOKUP($C3820,daily_dates,big_daily_table))),NA(),XLOOKUP(D$3,daily_items,XLOOKUP($C3820,daily_dates,big_daily_table)))</f>
        <v>#N/A</v>
      </c>
      <c r="E3820" s="1" t="str">
        <f t="array" ref="E3820">IF(ISBLANK(XLOOKUP(E$3,daily_items,XLOOKUP($C3820,daily_dates,big_daily_table))),NA(),XLOOKUP(E$3,daily_items,XLOOKUP($C3820,daily_dates,big_daily_table)))</f>
        <v>#N/A</v>
      </c>
    </row>
    <row r="3821" ht="14.25" customHeight="1">
      <c r="B3821" s="7">
        <v>44726.0</v>
      </c>
      <c r="C3821" s="7">
        <f t="shared" si="1"/>
        <v>44724</v>
      </c>
      <c r="D3821" s="1" t="str">
        <f t="array" ref="D3821">IF(ISBLANK(XLOOKUP(D$3,daily_items,XLOOKUP($C3821,daily_dates,big_daily_table))),NA(),XLOOKUP(D$3,daily_items,XLOOKUP($C3821,daily_dates,big_daily_table)))</f>
        <v>#N/A</v>
      </c>
      <c r="E3821" s="1" t="str">
        <f t="array" ref="E3821">IF(ISBLANK(XLOOKUP(E$3,daily_items,XLOOKUP($C3821,daily_dates,big_daily_table))),NA(),XLOOKUP(E$3,daily_items,XLOOKUP($C3821,daily_dates,big_daily_table)))</f>
        <v>#N/A</v>
      </c>
    </row>
    <row r="3822" ht="14.25" customHeight="1">
      <c r="B3822" s="7">
        <v>44727.0</v>
      </c>
      <c r="C3822" s="7">
        <f t="shared" si="1"/>
        <v>44724</v>
      </c>
      <c r="D3822" s="1" t="str">
        <f t="array" ref="D3822">IF(ISBLANK(XLOOKUP(D$3,daily_items,XLOOKUP($C3822,daily_dates,big_daily_table))),NA(),XLOOKUP(D$3,daily_items,XLOOKUP($C3822,daily_dates,big_daily_table)))</f>
        <v>#N/A</v>
      </c>
      <c r="E3822" s="1" t="str">
        <f t="array" ref="E3822">IF(ISBLANK(XLOOKUP(E$3,daily_items,XLOOKUP($C3822,daily_dates,big_daily_table))),NA(),XLOOKUP(E$3,daily_items,XLOOKUP($C3822,daily_dates,big_daily_table)))</f>
        <v>#N/A</v>
      </c>
    </row>
    <row r="3823" ht="14.25" customHeight="1">
      <c r="B3823" s="7">
        <v>44728.0</v>
      </c>
      <c r="C3823" s="7">
        <f t="shared" si="1"/>
        <v>44724</v>
      </c>
      <c r="D3823" s="1" t="str">
        <f t="array" ref="D3823">IF(ISBLANK(XLOOKUP(D$3,daily_items,XLOOKUP($C3823,daily_dates,big_daily_table))),NA(),XLOOKUP(D$3,daily_items,XLOOKUP($C3823,daily_dates,big_daily_table)))</f>
        <v>#N/A</v>
      </c>
      <c r="E3823" s="1" t="str">
        <f t="array" ref="E3823">IF(ISBLANK(XLOOKUP(E$3,daily_items,XLOOKUP($C3823,daily_dates,big_daily_table))),NA(),XLOOKUP(E$3,daily_items,XLOOKUP($C3823,daily_dates,big_daily_table)))</f>
        <v>#N/A</v>
      </c>
    </row>
    <row r="3824" ht="14.25" customHeight="1">
      <c r="B3824" s="7">
        <v>44729.0</v>
      </c>
      <c r="C3824" s="7">
        <f t="shared" si="1"/>
        <v>44724</v>
      </c>
      <c r="D3824" s="1" t="str">
        <f t="array" ref="D3824">IF(ISBLANK(XLOOKUP(D$3,daily_items,XLOOKUP($C3824,daily_dates,big_daily_table))),NA(),XLOOKUP(D$3,daily_items,XLOOKUP($C3824,daily_dates,big_daily_table)))</f>
        <v>#N/A</v>
      </c>
      <c r="E3824" s="1" t="str">
        <f t="array" ref="E3824">IF(ISBLANK(XLOOKUP(E$3,daily_items,XLOOKUP($C3824,daily_dates,big_daily_table))),NA(),XLOOKUP(E$3,daily_items,XLOOKUP($C3824,daily_dates,big_daily_table)))</f>
        <v>#N/A</v>
      </c>
    </row>
    <row r="3825" ht="14.25" customHeight="1">
      <c r="B3825" s="7">
        <v>44730.0</v>
      </c>
      <c r="C3825" s="7">
        <f t="shared" si="1"/>
        <v>44724</v>
      </c>
      <c r="D3825" s="1" t="str">
        <f t="array" ref="D3825">IF(ISBLANK(XLOOKUP(D$3,daily_items,XLOOKUP($C3825,daily_dates,big_daily_table))),NA(),XLOOKUP(D$3,daily_items,XLOOKUP($C3825,daily_dates,big_daily_table)))</f>
        <v>#N/A</v>
      </c>
      <c r="E3825" s="1" t="str">
        <f t="array" ref="E3825">IF(ISBLANK(XLOOKUP(E$3,daily_items,XLOOKUP($C3825,daily_dates,big_daily_table))),NA(),XLOOKUP(E$3,daily_items,XLOOKUP($C3825,daily_dates,big_daily_table)))</f>
        <v>#N/A</v>
      </c>
    </row>
    <row r="3826" ht="14.25" customHeight="1">
      <c r="B3826" s="7">
        <v>44731.0</v>
      </c>
      <c r="C3826" s="7">
        <f t="shared" si="1"/>
        <v>44731</v>
      </c>
      <c r="D3826" s="1" t="str">
        <f t="array" ref="D3826">IF(ISBLANK(XLOOKUP(D$3,daily_items,XLOOKUP($C3826,daily_dates,big_daily_table))),NA(),XLOOKUP(D$3,daily_items,XLOOKUP($C3826,daily_dates,big_daily_table)))</f>
        <v>#N/A</v>
      </c>
      <c r="E3826" s="1" t="str">
        <f t="array" ref="E3826">IF(ISBLANK(XLOOKUP(E$3,daily_items,XLOOKUP($C3826,daily_dates,big_daily_table))),NA(),XLOOKUP(E$3,daily_items,XLOOKUP($C3826,daily_dates,big_daily_table)))</f>
        <v>#N/A</v>
      </c>
    </row>
    <row r="3827" ht="14.25" customHeight="1">
      <c r="B3827" s="7">
        <v>44732.0</v>
      </c>
      <c r="C3827" s="7">
        <f t="shared" si="1"/>
        <v>44731</v>
      </c>
      <c r="D3827" s="1" t="str">
        <f t="array" ref="D3827">IF(ISBLANK(XLOOKUP(D$3,daily_items,XLOOKUP($C3827,daily_dates,big_daily_table))),NA(),XLOOKUP(D$3,daily_items,XLOOKUP($C3827,daily_dates,big_daily_table)))</f>
        <v>#N/A</v>
      </c>
      <c r="E3827" s="1" t="str">
        <f t="array" ref="E3827">IF(ISBLANK(XLOOKUP(E$3,daily_items,XLOOKUP($C3827,daily_dates,big_daily_table))),NA(),XLOOKUP(E$3,daily_items,XLOOKUP($C3827,daily_dates,big_daily_table)))</f>
        <v>#N/A</v>
      </c>
    </row>
    <row r="3828" ht="14.25" customHeight="1">
      <c r="B3828" s="7">
        <v>44733.0</v>
      </c>
      <c r="C3828" s="7">
        <f t="shared" si="1"/>
        <v>44731</v>
      </c>
      <c r="D3828" s="1" t="str">
        <f t="array" ref="D3828">IF(ISBLANK(XLOOKUP(D$3,daily_items,XLOOKUP($C3828,daily_dates,big_daily_table))),NA(),XLOOKUP(D$3,daily_items,XLOOKUP($C3828,daily_dates,big_daily_table)))</f>
        <v>#N/A</v>
      </c>
      <c r="E3828" s="1" t="str">
        <f t="array" ref="E3828">IF(ISBLANK(XLOOKUP(E$3,daily_items,XLOOKUP($C3828,daily_dates,big_daily_table))),NA(),XLOOKUP(E$3,daily_items,XLOOKUP($C3828,daily_dates,big_daily_table)))</f>
        <v>#N/A</v>
      </c>
    </row>
    <row r="3829" ht="14.25" customHeight="1">
      <c r="B3829" s="7">
        <v>44734.0</v>
      </c>
      <c r="C3829" s="7">
        <f t="shared" si="1"/>
        <v>44731</v>
      </c>
      <c r="D3829" s="1" t="str">
        <f t="array" ref="D3829">IF(ISBLANK(XLOOKUP(D$3,daily_items,XLOOKUP($C3829,daily_dates,big_daily_table))),NA(),XLOOKUP(D$3,daily_items,XLOOKUP($C3829,daily_dates,big_daily_table)))</f>
        <v>#N/A</v>
      </c>
      <c r="E3829" s="1" t="str">
        <f t="array" ref="E3829">IF(ISBLANK(XLOOKUP(E$3,daily_items,XLOOKUP($C3829,daily_dates,big_daily_table))),NA(),XLOOKUP(E$3,daily_items,XLOOKUP($C3829,daily_dates,big_daily_table)))</f>
        <v>#N/A</v>
      </c>
    </row>
    <row r="3830" ht="14.25" customHeight="1">
      <c r="B3830" s="7">
        <v>44735.0</v>
      </c>
      <c r="C3830" s="7">
        <f t="shared" si="1"/>
        <v>44731</v>
      </c>
      <c r="D3830" s="1" t="str">
        <f t="array" ref="D3830">IF(ISBLANK(XLOOKUP(D$3,daily_items,XLOOKUP($C3830,daily_dates,big_daily_table))),NA(),XLOOKUP(D$3,daily_items,XLOOKUP($C3830,daily_dates,big_daily_table)))</f>
        <v>#N/A</v>
      </c>
      <c r="E3830" s="1" t="str">
        <f t="array" ref="E3830">IF(ISBLANK(XLOOKUP(E$3,daily_items,XLOOKUP($C3830,daily_dates,big_daily_table))),NA(),XLOOKUP(E$3,daily_items,XLOOKUP($C3830,daily_dates,big_daily_table)))</f>
        <v>#N/A</v>
      </c>
    </row>
    <row r="3831" ht="14.25" customHeight="1">
      <c r="B3831" s="7">
        <v>44736.0</v>
      </c>
      <c r="C3831" s="7">
        <f t="shared" si="1"/>
        <v>44731</v>
      </c>
      <c r="D3831" s="1" t="str">
        <f t="array" ref="D3831">IF(ISBLANK(XLOOKUP(D$3,daily_items,XLOOKUP($C3831,daily_dates,big_daily_table))),NA(),XLOOKUP(D$3,daily_items,XLOOKUP($C3831,daily_dates,big_daily_table)))</f>
        <v>#N/A</v>
      </c>
      <c r="E3831" s="1" t="str">
        <f t="array" ref="E3831">IF(ISBLANK(XLOOKUP(E$3,daily_items,XLOOKUP($C3831,daily_dates,big_daily_table))),NA(),XLOOKUP(E$3,daily_items,XLOOKUP($C3831,daily_dates,big_daily_table)))</f>
        <v>#N/A</v>
      </c>
    </row>
    <row r="3832" ht="14.25" customHeight="1">
      <c r="B3832" s="7">
        <v>44737.0</v>
      </c>
      <c r="C3832" s="7">
        <f t="shared" si="1"/>
        <v>44731</v>
      </c>
      <c r="D3832" s="1" t="str">
        <f t="array" ref="D3832">IF(ISBLANK(XLOOKUP(D$3,daily_items,XLOOKUP($C3832,daily_dates,big_daily_table))),NA(),XLOOKUP(D$3,daily_items,XLOOKUP($C3832,daily_dates,big_daily_table)))</f>
        <v>#N/A</v>
      </c>
      <c r="E3832" s="1" t="str">
        <f t="array" ref="E3832">IF(ISBLANK(XLOOKUP(E$3,daily_items,XLOOKUP($C3832,daily_dates,big_daily_table))),NA(),XLOOKUP(E$3,daily_items,XLOOKUP($C3832,daily_dates,big_daily_table)))</f>
        <v>#N/A</v>
      </c>
    </row>
    <row r="3833" ht="14.25" customHeight="1">
      <c r="B3833" s="7">
        <v>44738.0</v>
      </c>
      <c r="C3833" s="7">
        <f t="shared" si="1"/>
        <v>44738</v>
      </c>
      <c r="D3833" s="1" t="str">
        <f t="array" ref="D3833">IF(ISBLANK(XLOOKUP(D$3,daily_items,XLOOKUP($C3833,daily_dates,big_daily_table))),NA(),XLOOKUP(D$3,daily_items,XLOOKUP($C3833,daily_dates,big_daily_table)))</f>
        <v>#N/A</v>
      </c>
      <c r="E3833" s="1" t="str">
        <f t="array" ref="E3833">IF(ISBLANK(XLOOKUP(E$3,daily_items,XLOOKUP($C3833,daily_dates,big_daily_table))),NA(),XLOOKUP(E$3,daily_items,XLOOKUP($C3833,daily_dates,big_daily_table)))</f>
        <v>#N/A</v>
      </c>
    </row>
    <row r="3834" ht="14.25" customHeight="1">
      <c r="B3834" s="7">
        <v>44739.0</v>
      </c>
      <c r="C3834" s="7">
        <f t="shared" si="1"/>
        <v>44738</v>
      </c>
      <c r="D3834" s="1" t="str">
        <f t="array" ref="D3834">IF(ISBLANK(XLOOKUP(D$3,daily_items,XLOOKUP($C3834,daily_dates,big_daily_table))),NA(),XLOOKUP(D$3,daily_items,XLOOKUP($C3834,daily_dates,big_daily_table)))</f>
        <v>#N/A</v>
      </c>
      <c r="E3834" s="1" t="str">
        <f t="array" ref="E3834">IF(ISBLANK(XLOOKUP(E$3,daily_items,XLOOKUP($C3834,daily_dates,big_daily_table))),NA(),XLOOKUP(E$3,daily_items,XLOOKUP($C3834,daily_dates,big_daily_table)))</f>
        <v>#N/A</v>
      </c>
    </row>
    <row r="3835" ht="14.25" customHeight="1">
      <c r="B3835" s="7">
        <v>44740.0</v>
      </c>
      <c r="C3835" s="7">
        <f t="shared" si="1"/>
        <v>44738</v>
      </c>
      <c r="D3835" s="1" t="str">
        <f t="array" ref="D3835">IF(ISBLANK(XLOOKUP(D$3,daily_items,XLOOKUP($C3835,daily_dates,big_daily_table))),NA(),XLOOKUP(D$3,daily_items,XLOOKUP($C3835,daily_dates,big_daily_table)))</f>
        <v>#N/A</v>
      </c>
      <c r="E3835" s="1" t="str">
        <f t="array" ref="E3835">IF(ISBLANK(XLOOKUP(E$3,daily_items,XLOOKUP($C3835,daily_dates,big_daily_table))),NA(),XLOOKUP(E$3,daily_items,XLOOKUP($C3835,daily_dates,big_daily_table)))</f>
        <v>#N/A</v>
      </c>
    </row>
    <row r="3836" ht="14.25" customHeight="1">
      <c r="B3836" s="7">
        <v>44741.0</v>
      </c>
      <c r="C3836" s="7">
        <f t="shared" si="1"/>
        <v>44738</v>
      </c>
      <c r="D3836" s="1" t="str">
        <f t="array" ref="D3836">IF(ISBLANK(XLOOKUP(D$3,daily_items,XLOOKUP($C3836,daily_dates,big_daily_table))),NA(),XLOOKUP(D$3,daily_items,XLOOKUP($C3836,daily_dates,big_daily_table)))</f>
        <v>#N/A</v>
      </c>
      <c r="E3836" s="1" t="str">
        <f t="array" ref="E3836">IF(ISBLANK(XLOOKUP(E$3,daily_items,XLOOKUP($C3836,daily_dates,big_daily_table))),NA(),XLOOKUP(E$3,daily_items,XLOOKUP($C3836,daily_dates,big_daily_table)))</f>
        <v>#N/A</v>
      </c>
    </row>
    <row r="3837" ht="14.25" customHeight="1">
      <c r="B3837" s="7">
        <v>44742.0</v>
      </c>
      <c r="C3837" s="7">
        <f t="shared" si="1"/>
        <v>44738</v>
      </c>
      <c r="D3837" s="1" t="str">
        <f t="array" ref="D3837">IF(ISBLANK(XLOOKUP(D$3,daily_items,XLOOKUP($C3837,daily_dates,big_daily_table))),NA(),XLOOKUP(D$3,daily_items,XLOOKUP($C3837,daily_dates,big_daily_table)))</f>
        <v>#N/A</v>
      </c>
      <c r="E3837" s="1" t="str">
        <f t="array" ref="E3837">IF(ISBLANK(XLOOKUP(E$3,daily_items,XLOOKUP($C3837,daily_dates,big_daily_table))),NA(),XLOOKUP(E$3,daily_items,XLOOKUP($C3837,daily_dates,big_daily_table)))</f>
        <v>#N/A</v>
      </c>
    </row>
    <row r="3838" ht="14.25" customHeight="1">
      <c r="B3838" s="7">
        <v>44743.0</v>
      </c>
      <c r="C3838" s="7">
        <f t="shared" si="1"/>
        <v>44738</v>
      </c>
      <c r="D3838" s="1" t="str">
        <f t="array" ref="D3838">IF(ISBLANK(XLOOKUP(D$3,daily_items,XLOOKUP($C3838,daily_dates,big_daily_table))),NA(),XLOOKUP(D$3,daily_items,XLOOKUP($C3838,daily_dates,big_daily_table)))</f>
        <v>#N/A</v>
      </c>
      <c r="E3838" s="1" t="str">
        <f t="array" ref="E3838">IF(ISBLANK(XLOOKUP(E$3,daily_items,XLOOKUP($C3838,daily_dates,big_daily_table))),NA(),XLOOKUP(E$3,daily_items,XLOOKUP($C3838,daily_dates,big_daily_table)))</f>
        <v>#N/A</v>
      </c>
    </row>
    <row r="3839" ht="14.25" customHeight="1">
      <c r="B3839" s="7">
        <v>44744.0</v>
      </c>
      <c r="C3839" s="7">
        <f t="shared" si="1"/>
        <v>44738</v>
      </c>
      <c r="D3839" s="1" t="str">
        <f t="array" ref="D3839">IF(ISBLANK(XLOOKUP(D$3,daily_items,XLOOKUP($C3839,daily_dates,big_daily_table))),NA(),XLOOKUP(D$3,daily_items,XLOOKUP($C3839,daily_dates,big_daily_table)))</f>
        <v>#N/A</v>
      </c>
      <c r="E3839" s="1" t="str">
        <f t="array" ref="E3839">IF(ISBLANK(XLOOKUP(E$3,daily_items,XLOOKUP($C3839,daily_dates,big_daily_table))),NA(),XLOOKUP(E$3,daily_items,XLOOKUP($C3839,daily_dates,big_daily_table)))</f>
        <v>#N/A</v>
      </c>
    </row>
    <row r="3840" ht="14.25" customHeight="1">
      <c r="B3840" s="7">
        <v>44745.0</v>
      </c>
      <c r="C3840" s="7">
        <f t="shared" si="1"/>
        <v>44745</v>
      </c>
      <c r="D3840" s="1" t="str">
        <f t="array" ref="D3840">IF(ISBLANK(XLOOKUP(D$3,daily_items,XLOOKUP($C3840,daily_dates,big_daily_table))),NA(),XLOOKUP(D$3,daily_items,XLOOKUP($C3840,daily_dates,big_daily_table)))</f>
        <v>#N/A</v>
      </c>
      <c r="E3840" s="1" t="str">
        <f t="array" ref="E3840">IF(ISBLANK(XLOOKUP(E$3,daily_items,XLOOKUP($C3840,daily_dates,big_daily_table))),NA(),XLOOKUP(E$3,daily_items,XLOOKUP($C3840,daily_dates,big_daily_table)))</f>
        <v>#N/A</v>
      </c>
    </row>
    <row r="3841" ht="14.25" customHeight="1">
      <c r="B3841" s="7">
        <v>44746.0</v>
      </c>
      <c r="C3841" s="7">
        <f t="shared" si="1"/>
        <v>44745</v>
      </c>
      <c r="D3841" s="1" t="str">
        <f t="array" ref="D3841">IF(ISBLANK(XLOOKUP(D$3,daily_items,XLOOKUP($C3841,daily_dates,big_daily_table))),NA(),XLOOKUP(D$3,daily_items,XLOOKUP($C3841,daily_dates,big_daily_table)))</f>
        <v>#N/A</v>
      </c>
      <c r="E3841" s="1" t="str">
        <f t="array" ref="E3841">IF(ISBLANK(XLOOKUP(E$3,daily_items,XLOOKUP($C3841,daily_dates,big_daily_table))),NA(),XLOOKUP(E$3,daily_items,XLOOKUP($C3841,daily_dates,big_daily_table)))</f>
        <v>#N/A</v>
      </c>
    </row>
    <row r="3842" ht="14.25" customHeight="1">
      <c r="B3842" s="7">
        <v>44747.0</v>
      </c>
      <c r="C3842" s="7">
        <f t="shared" si="1"/>
        <v>44745</v>
      </c>
      <c r="D3842" s="1" t="str">
        <f t="array" ref="D3842">IF(ISBLANK(XLOOKUP(D$3,daily_items,XLOOKUP($C3842,daily_dates,big_daily_table))),NA(),XLOOKUP(D$3,daily_items,XLOOKUP($C3842,daily_dates,big_daily_table)))</f>
        <v>#N/A</v>
      </c>
      <c r="E3842" s="1" t="str">
        <f t="array" ref="E3842">IF(ISBLANK(XLOOKUP(E$3,daily_items,XLOOKUP($C3842,daily_dates,big_daily_table))),NA(),XLOOKUP(E$3,daily_items,XLOOKUP($C3842,daily_dates,big_daily_table)))</f>
        <v>#N/A</v>
      </c>
    </row>
    <row r="3843" ht="14.25" customHeight="1">
      <c r="B3843" s="7">
        <v>44748.0</v>
      </c>
      <c r="C3843" s="7">
        <f t="shared" si="1"/>
        <v>44745</v>
      </c>
      <c r="D3843" s="1" t="str">
        <f t="array" ref="D3843">IF(ISBLANK(XLOOKUP(D$3,daily_items,XLOOKUP($C3843,daily_dates,big_daily_table))),NA(),XLOOKUP(D$3,daily_items,XLOOKUP($C3843,daily_dates,big_daily_table)))</f>
        <v>#N/A</v>
      </c>
      <c r="E3843" s="1" t="str">
        <f t="array" ref="E3843">IF(ISBLANK(XLOOKUP(E$3,daily_items,XLOOKUP($C3843,daily_dates,big_daily_table))),NA(),XLOOKUP(E$3,daily_items,XLOOKUP($C3843,daily_dates,big_daily_table)))</f>
        <v>#N/A</v>
      </c>
    </row>
    <row r="3844" ht="14.25" customHeight="1">
      <c r="B3844" s="7">
        <v>44749.0</v>
      </c>
      <c r="C3844" s="7">
        <f t="shared" si="1"/>
        <v>44745</v>
      </c>
      <c r="D3844" s="1" t="str">
        <f t="array" ref="D3844">IF(ISBLANK(XLOOKUP(D$3,daily_items,XLOOKUP($C3844,daily_dates,big_daily_table))),NA(),XLOOKUP(D$3,daily_items,XLOOKUP($C3844,daily_dates,big_daily_table)))</f>
        <v>#N/A</v>
      </c>
      <c r="E3844" s="1" t="str">
        <f t="array" ref="E3844">IF(ISBLANK(XLOOKUP(E$3,daily_items,XLOOKUP($C3844,daily_dates,big_daily_table))),NA(),XLOOKUP(E$3,daily_items,XLOOKUP($C3844,daily_dates,big_daily_table)))</f>
        <v>#N/A</v>
      </c>
    </row>
    <row r="3845" ht="14.25" customHeight="1">
      <c r="B3845" s="7">
        <v>44750.0</v>
      </c>
      <c r="C3845" s="7">
        <f t="shared" si="1"/>
        <v>44745</v>
      </c>
      <c r="D3845" s="1" t="str">
        <f t="array" ref="D3845">IF(ISBLANK(XLOOKUP(D$3,daily_items,XLOOKUP($C3845,daily_dates,big_daily_table))),NA(),XLOOKUP(D$3,daily_items,XLOOKUP($C3845,daily_dates,big_daily_table)))</f>
        <v>#N/A</v>
      </c>
      <c r="E3845" s="1" t="str">
        <f t="array" ref="E3845">IF(ISBLANK(XLOOKUP(E$3,daily_items,XLOOKUP($C3845,daily_dates,big_daily_table))),NA(),XLOOKUP(E$3,daily_items,XLOOKUP($C3845,daily_dates,big_daily_table)))</f>
        <v>#N/A</v>
      </c>
    </row>
    <row r="3846" ht="14.25" customHeight="1">
      <c r="B3846" s="7">
        <v>44751.0</v>
      </c>
      <c r="C3846" s="7">
        <f t="shared" si="1"/>
        <v>44745</v>
      </c>
      <c r="D3846" s="1" t="str">
        <f t="array" ref="D3846">IF(ISBLANK(XLOOKUP(D$3,daily_items,XLOOKUP($C3846,daily_dates,big_daily_table))),NA(),XLOOKUP(D$3,daily_items,XLOOKUP($C3846,daily_dates,big_daily_table)))</f>
        <v>#N/A</v>
      </c>
      <c r="E3846" s="1" t="str">
        <f t="array" ref="E3846">IF(ISBLANK(XLOOKUP(E$3,daily_items,XLOOKUP($C3846,daily_dates,big_daily_table))),NA(),XLOOKUP(E$3,daily_items,XLOOKUP($C3846,daily_dates,big_daily_table)))</f>
        <v>#N/A</v>
      </c>
    </row>
    <row r="3847" ht="14.25" customHeight="1">
      <c r="B3847" s="7">
        <v>44752.0</v>
      </c>
      <c r="C3847" s="7">
        <f t="shared" si="1"/>
        <v>44752</v>
      </c>
      <c r="D3847" s="1" t="str">
        <f t="array" ref="D3847">IF(ISBLANK(XLOOKUP(D$3,daily_items,XLOOKUP($C3847,daily_dates,big_daily_table))),NA(),XLOOKUP(D$3,daily_items,XLOOKUP($C3847,daily_dates,big_daily_table)))</f>
        <v>#N/A</v>
      </c>
      <c r="E3847" s="1" t="str">
        <f t="array" ref="E3847">IF(ISBLANK(XLOOKUP(E$3,daily_items,XLOOKUP($C3847,daily_dates,big_daily_table))),NA(),XLOOKUP(E$3,daily_items,XLOOKUP($C3847,daily_dates,big_daily_table)))</f>
        <v>#N/A</v>
      </c>
    </row>
    <row r="3848" ht="14.25" customHeight="1">
      <c r="B3848" s="7">
        <v>44753.0</v>
      </c>
      <c r="C3848" s="7">
        <f t="shared" si="1"/>
        <v>44752</v>
      </c>
      <c r="D3848" s="1" t="str">
        <f t="array" ref="D3848">IF(ISBLANK(XLOOKUP(D$3,daily_items,XLOOKUP($C3848,daily_dates,big_daily_table))),NA(),XLOOKUP(D$3,daily_items,XLOOKUP($C3848,daily_dates,big_daily_table)))</f>
        <v>#N/A</v>
      </c>
      <c r="E3848" s="1" t="str">
        <f t="array" ref="E3848">IF(ISBLANK(XLOOKUP(E$3,daily_items,XLOOKUP($C3848,daily_dates,big_daily_table))),NA(),XLOOKUP(E$3,daily_items,XLOOKUP($C3848,daily_dates,big_daily_table)))</f>
        <v>#N/A</v>
      </c>
    </row>
    <row r="3849" ht="14.25" customHeight="1">
      <c r="B3849" s="7">
        <v>44754.0</v>
      </c>
      <c r="C3849" s="7">
        <f t="shared" si="1"/>
        <v>44752</v>
      </c>
      <c r="D3849" s="1" t="str">
        <f t="array" ref="D3849">IF(ISBLANK(XLOOKUP(D$3,daily_items,XLOOKUP($C3849,daily_dates,big_daily_table))),NA(),XLOOKUP(D$3,daily_items,XLOOKUP($C3849,daily_dates,big_daily_table)))</f>
        <v>#N/A</v>
      </c>
      <c r="E3849" s="1" t="str">
        <f t="array" ref="E3849">IF(ISBLANK(XLOOKUP(E$3,daily_items,XLOOKUP($C3849,daily_dates,big_daily_table))),NA(),XLOOKUP(E$3,daily_items,XLOOKUP($C3849,daily_dates,big_daily_table)))</f>
        <v>#N/A</v>
      </c>
    </row>
    <row r="3850" ht="14.25" customHeight="1">
      <c r="B3850" s="7">
        <v>44755.0</v>
      </c>
      <c r="C3850" s="7">
        <f t="shared" si="1"/>
        <v>44752</v>
      </c>
      <c r="D3850" s="1" t="str">
        <f t="array" ref="D3850">IF(ISBLANK(XLOOKUP(D$3,daily_items,XLOOKUP($C3850,daily_dates,big_daily_table))),NA(),XLOOKUP(D$3,daily_items,XLOOKUP($C3850,daily_dates,big_daily_table)))</f>
        <v>#N/A</v>
      </c>
      <c r="E3850" s="1" t="str">
        <f t="array" ref="E3850">IF(ISBLANK(XLOOKUP(E$3,daily_items,XLOOKUP($C3850,daily_dates,big_daily_table))),NA(),XLOOKUP(E$3,daily_items,XLOOKUP($C3850,daily_dates,big_daily_table)))</f>
        <v>#N/A</v>
      </c>
    </row>
    <row r="3851" ht="14.25" customHeight="1">
      <c r="B3851" s="7">
        <v>44756.0</v>
      </c>
      <c r="C3851" s="7">
        <f t="shared" si="1"/>
        <v>44752</v>
      </c>
      <c r="D3851" s="1" t="str">
        <f t="array" ref="D3851">IF(ISBLANK(XLOOKUP(D$3,daily_items,XLOOKUP($C3851,daily_dates,big_daily_table))),NA(),XLOOKUP(D$3,daily_items,XLOOKUP($C3851,daily_dates,big_daily_table)))</f>
        <v>#N/A</v>
      </c>
      <c r="E3851" s="1" t="str">
        <f t="array" ref="E3851">IF(ISBLANK(XLOOKUP(E$3,daily_items,XLOOKUP($C3851,daily_dates,big_daily_table))),NA(),XLOOKUP(E$3,daily_items,XLOOKUP($C3851,daily_dates,big_daily_table)))</f>
        <v>#N/A</v>
      </c>
    </row>
    <row r="3852" ht="14.25" customHeight="1">
      <c r="B3852" s="7">
        <v>44757.0</v>
      </c>
      <c r="C3852" s="7">
        <f t="shared" si="1"/>
        <v>44752</v>
      </c>
      <c r="D3852" s="1" t="str">
        <f t="array" ref="D3852">IF(ISBLANK(XLOOKUP(D$3,daily_items,XLOOKUP($C3852,daily_dates,big_daily_table))),NA(),XLOOKUP(D$3,daily_items,XLOOKUP($C3852,daily_dates,big_daily_table)))</f>
        <v>#N/A</v>
      </c>
      <c r="E3852" s="1" t="str">
        <f t="array" ref="E3852">IF(ISBLANK(XLOOKUP(E$3,daily_items,XLOOKUP($C3852,daily_dates,big_daily_table))),NA(),XLOOKUP(E$3,daily_items,XLOOKUP($C3852,daily_dates,big_daily_table)))</f>
        <v>#N/A</v>
      </c>
    </row>
    <row r="3853" ht="14.25" customHeight="1">
      <c r="B3853" s="7">
        <v>44758.0</v>
      </c>
      <c r="C3853" s="7">
        <f t="shared" si="1"/>
        <v>44752</v>
      </c>
      <c r="D3853" s="1" t="str">
        <f t="array" ref="D3853">IF(ISBLANK(XLOOKUP(D$3,daily_items,XLOOKUP($C3853,daily_dates,big_daily_table))),NA(),XLOOKUP(D$3,daily_items,XLOOKUP($C3853,daily_dates,big_daily_table)))</f>
        <v>#N/A</v>
      </c>
      <c r="E3853" s="1" t="str">
        <f t="array" ref="E3853">IF(ISBLANK(XLOOKUP(E$3,daily_items,XLOOKUP($C3853,daily_dates,big_daily_table))),NA(),XLOOKUP(E$3,daily_items,XLOOKUP($C3853,daily_dates,big_daily_table)))</f>
        <v>#N/A</v>
      </c>
    </row>
    <row r="3854" ht="14.25" customHeight="1">
      <c r="B3854" s="7">
        <v>44759.0</v>
      </c>
      <c r="C3854" s="7">
        <f t="shared" si="1"/>
        <v>44759</v>
      </c>
      <c r="D3854" s="1" t="str">
        <f t="array" ref="D3854">IF(ISBLANK(XLOOKUP(D$3,daily_items,XLOOKUP($C3854,daily_dates,big_daily_table))),NA(),XLOOKUP(D$3,daily_items,XLOOKUP($C3854,daily_dates,big_daily_table)))</f>
        <v>#N/A</v>
      </c>
      <c r="E3854" s="1" t="str">
        <f t="array" ref="E3854">IF(ISBLANK(XLOOKUP(E$3,daily_items,XLOOKUP($C3854,daily_dates,big_daily_table))),NA(),XLOOKUP(E$3,daily_items,XLOOKUP($C3854,daily_dates,big_daily_table)))</f>
        <v>#N/A</v>
      </c>
    </row>
    <row r="3855" ht="14.25" customHeight="1">
      <c r="B3855" s="7">
        <v>44760.0</v>
      </c>
      <c r="C3855" s="7">
        <f t="shared" si="1"/>
        <v>44759</v>
      </c>
      <c r="D3855" s="1" t="str">
        <f t="array" ref="D3855">IF(ISBLANK(XLOOKUP(D$3,daily_items,XLOOKUP($C3855,daily_dates,big_daily_table))),NA(),XLOOKUP(D$3,daily_items,XLOOKUP($C3855,daily_dates,big_daily_table)))</f>
        <v>#N/A</v>
      </c>
      <c r="E3855" s="1" t="str">
        <f t="array" ref="E3855">IF(ISBLANK(XLOOKUP(E$3,daily_items,XLOOKUP($C3855,daily_dates,big_daily_table))),NA(),XLOOKUP(E$3,daily_items,XLOOKUP($C3855,daily_dates,big_daily_table)))</f>
        <v>#N/A</v>
      </c>
    </row>
    <row r="3856" ht="14.25" customHeight="1">
      <c r="B3856" s="7">
        <v>44761.0</v>
      </c>
      <c r="C3856" s="7">
        <f t="shared" si="1"/>
        <v>44759</v>
      </c>
      <c r="D3856" s="1" t="str">
        <f t="array" ref="D3856">IF(ISBLANK(XLOOKUP(D$3,daily_items,XLOOKUP($C3856,daily_dates,big_daily_table))),NA(),XLOOKUP(D$3,daily_items,XLOOKUP($C3856,daily_dates,big_daily_table)))</f>
        <v>#N/A</v>
      </c>
      <c r="E3856" s="1" t="str">
        <f t="array" ref="E3856">IF(ISBLANK(XLOOKUP(E$3,daily_items,XLOOKUP($C3856,daily_dates,big_daily_table))),NA(),XLOOKUP(E$3,daily_items,XLOOKUP($C3856,daily_dates,big_daily_table)))</f>
        <v>#N/A</v>
      </c>
    </row>
    <row r="3857" ht="14.25" customHeight="1">
      <c r="B3857" s="7">
        <v>44762.0</v>
      </c>
      <c r="C3857" s="7">
        <f t="shared" si="1"/>
        <v>44759</v>
      </c>
      <c r="D3857" s="1" t="str">
        <f t="array" ref="D3857">IF(ISBLANK(XLOOKUP(D$3,daily_items,XLOOKUP($C3857,daily_dates,big_daily_table))),NA(),XLOOKUP(D$3,daily_items,XLOOKUP($C3857,daily_dates,big_daily_table)))</f>
        <v>#N/A</v>
      </c>
      <c r="E3857" s="1" t="str">
        <f t="array" ref="E3857">IF(ISBLANK(XLOOKUP(E$3,daily_items,XLOOKUP($C3857,daily_dates,big_daily_table))),NA(),XLOOKUP(E$3,daily_items,XLOOKUP($C3857,daily_dates,big_daily_table)))</f>
        <v>#N/A</v>
      </c>
    </row>
    <row r="3858" ht="14.25" customHeight="1">
      <c r="B3858" s="7">
        <v>44763.0</v>
      </c>
      <c r="C3858" s="7">
        <f t="shared" si="1"/>
        <v>44759</v>
      </c>
      <c r="D3858" s="1" t="str">
        <f t="array" ref="D3858">IF(ISBLANK(XLOOKUP(D$3,daily_items,XLOOKUP($C3858,daily_dates,big_daily_table))),NA(),XLOOKUP(D$3,daily_items,XLOOKUP($C3858,daily_dates,big_daily_table)))</f>
        <v>#N/A</v>
      </c>
      <c r="E3858" s="1" t="str">
        <f t="array" ref="E3858">IF(ISBLANK(XLOOKUP(E$3,daily_items,XLOOKUP($C3858,daily_dates,big_daily_table))),NA(),XLOOKUP(E$3,daily_items,XLOOKUP($C3858,daily_dates,big_daily_table)))</f>
        <v>#N/A</v>
      </c>
    </row>
    <row r="3859" ht="14.25" customHeight="1">
      <c r="B3859" s="7">
        <v>44764.0</v>
      </c>
      <c r="C3859" s="7">
        <f t="shared" si="1"/>
        <v>44759</v>
      </c>
      <c r="D3859" s="1" t="str">
        <f t="array" ref="D3859">IF(ISBLANK(XLOOKUP(D$3,daily_items,XLOOKUP($C3859,daily_dates,big_daily_table))),NA(),XLOOKUP(D$3,daily_items,XLOOKUP($C3859,daily_dates,big_daily_table)))</f>
        <v>#N/A</v>
      </c>
      <c r="E3859" s="1" t="str">
        <f t="array" ref="E3859">IF(ISBLANK(XLOOKUP(E$3,daily_items,XLOOKUP($C3859,daily_dates,big_daily_table))),NA(),XLOOKUP(E$3,daily_items,XLOOKUP($C3859,daily_dates,big_daily_table)))</f>
        <v>#N/A</v>
      </c>
    </row>
    <row r="3860" ht="14.25" customHeight="1">
      <c r="B3860" s="7">
        <v>44765.0</v>
      </c>
      <c r="C3860" s="7">
        <f t="shared" si="1"/>
        <v>44759</v>
      </c>
      <c r="D3860" s="1" t="str">
        <f t="array" ref="D3860">IF(ISBLANK(XLOOKUP(D$3,daily_items,XLOOKUP($C3860,daily_dates,big_daily_table))),NA(),XLOOKUP(D$3,daily_items,XLOOKUP($C3860,daily_dates,big_daily_table)))</f>
        <v>#N/A</v>
      </c>
      <c r="E3860" s="1" t="str">
        <f t="array" ref="E3860">IF(ISBLANK(XLOOKUP(E$3,daily_items,XLOOKUP($C3860,daily_dates,big_daily_table))),NA(),XLOOKUP(E$3,daily_items,XLOOKUP($C3860,daily_dates,big_daily_table)))</f>
        <v>#N/A</v>
      </c>
    </row>
    <row r="3861" ht="14.25" customHeight="1">
      <c r="B3861" s="7">
        <v>44766.0</v>
      </c>
      <c r="C3861" s="7">
        <f t="shared" si="1"/>
        <v>44766</v>
      </c>
      <c r="D3861" s="1" t="str">
        <f t="array" ref="D3861">IF(ISBLANK(XLOOKUP(D$3,daily_items,XLOOKUP($C3861,daily_dates,big_daily_table))),NA(),XLOOKUP(D$3,daily_items,XLOOKUP($C3861,daily_dates,big_daily_table)))</f>
        <v>#N/A</v>
      </c>
      <c r="E3861" s="1" t="str">
        <f t="array" ref="E3861">IF(ISBLANK(XLOOKUP(E$3,daily_items,XLOOKUP($C3861,daily_dates,big_daily_table))),NA(),XLOOKUP(E$3,daily_items,XLOOKUP($C3861,daily_dates,big_daily_table)))</f>
        <v>#N/A</v>
      </c>
    </row>
    <row r="3862" ht="14.25" customHeight="1">
      <c r="B3862" s="7">
        <v>44767.0</v>
      </c>
      <c r="C3862" s="7">
        <f t="shared" si="1"/>
        <v>44766</v>
      </c>
      <c r="D3862" s="1" t="str">
        <f t="array" ref="D3862">IF(ISBLANK(XLOOKUP(D$3,daily_items,XLOOKUP($C3862,daily_dates,big_daily_table))),NA(),XLOOKUP(D$3,daily_items,XLOOKUP($C3862,daily_dates,big_daily_table)))</f>
        <v>#N/A</v>
      </c>
      <c r="E3862" s="1" t="str">
        <f t="array" ref="E3862">IF(ISBLANK(XLOOKUP(E$3,daily_items,XLOOKUP($C3862,daily_dates,big_daily_table))),NA(),XLOOKUP(E$3,daily_items,XLOOKUP($C3862,daily_dates,big_daily_table)))</f>
        <v>#N/A</v>
      </c>
    </row>
    <row r="3863" ht="14.25" customHeight="1">
      <c r="B3863" s="7">
        <v>44768.0</v>
      </c>
      <c r="C3863" s="7">
        <f t="shared" si="1"/>
        <v>44766</v>
      </c>
      <c r="D3863" s="1" t="str">
        <f t="array" ref="D3863">IF(ISBLANK(XLOOKUP(D$3,daily_items,XLOOKUP($C3863,daily_dates,big_daily_table))),NA(),XLOOKUP(D$3,daily_items,XLOOKUP($C3863,daily_dates,big_daily_table)))</f>
        <v>#N/A</v>
      </c>
      <c r="E3863" s="1" t="str">
        <f t="array" ref="E3863">IF(ISBLANK(XLOOKUP(E$3,daily_items,XLOOKUP($C3863,daily_dates,big_daily_table))),NA(),XLOOKUP(E$3,daily_items,XLOOKUP($C3863,daily_dates,big_daily_table)))</f>
        <v>#N/A</v>
      </c>
    </row>
    <row r="3864" ht="14.25" customHeight="1">
      <c r="B3864" s="7">
        <v>44769.0</v>
      </c>
      <c r="C3864" s="7">
        <f t="shared" si="1"/>
        <v>44766</v>
      </c>
      <c r="D3864" s="1" t="str">
        <f t="array" ref="D3864">IF(ISBLANK(XLOOKUP(D$3,daily_items,XLOOKUP($C3864,daily_dates,big_daily_table))),NA(),XLOOKUP(D$3,daily_items,XLOOKUP($C3864,daily_dates,big_daily_table)))</f>
        <v>#N/A</v>
      </c>
      <c r="E3864" s="1" t="str">
        <f t="array" ref="E3864">IF(ISBLANK(XLOOKUP(E$3,daily_items,XLOOKUP($C3864,daily_dates,big_daily_table))),NA(),XLOOKUP(E$3,daily_items,XLOOKUP($C3864,daily_dates,big_daily_table)))</f>
        <v>#N/A</v>
      </c>
    </row>
    <row r="3865" ht="14.25" customHeight="1">
      <c r="B3865" s="7">
        <v>44770.0</v>
      </c>
      <c r="C3865" s="7">
        <f t="shared" si="1"/>
        <v>44766</v>
      </c>
      <c r="D3865" s="1" t="str">
        <f t="array" ref="D3865">IF(ISBLANK(XLOOKUP(D$3,daily_items,XLOOKUP($C3865,daily_dates,big_daily_table))),NA(),XLOOKUP(D$3,daily_items,XLOOKUP($C3865,daily_dates,big_daily_table)))</f>
        <v>#N/A</v>
      </c>
      <c r="E3865" s="1" t="str">
        <f t="array" ref="E3865">IF(ISBLANK(XLOOKUP(E$3,daily_items,XLOOKUP($C3865,daily_dates,big_daily_table))),NA(),XLOOKUP(E$3,daily_items,XLOOKUP($C3865,daily_dates,big_daily_table)))</f>
        <v>#N/A</v>
      </c>
    </row>
    <row r="3866" ht="14.25" customHeight="1">
      <c r="B3866" s="7">
        <v>44771.0</v>
      </c>
      <c r="C3866" s="7">
        <f t="shared" si="1"/>
        <v>44766</v>
      </c>
      <c r="D3866" s="1" t="str">
        <f t="array" ref="D3866">IF(ISBLANK(XLOOKUP(D$3,daily_items,XLOOKUP($C3866,daily_dates,big_daily_table))),NA(),XLOOKUP(D$3,daily_items,XLOOKUP($C3866,daily_dates,big_daily_table)))</f>
        <v>#N/A</v>
      </c>
      <c r="E3866" s="1" t="str">
        <f t="array" ref="E3866">IF(ISBLANK(XLOOKUP(E$3,daily_items,XLOOKUP($C3866,daily_dates,big_daily_table))),NA(),XLOOKUP(E$3,daily_items,XLOOKUP($C3866,daily_dates,big_daily_table)))</f>
        <v>#N/A</v>
      </c>
    </row>
    <row r="3867" ht="14.25" customHeight="1">
      <c r="B3867" s="7">
        <v>44772.0</v>
      </c>
      <c r="C3867" s="7">
        <f t="shared" si="1"/>
        <v>44766</v>
      </c>
      <c r="D3867" s="1" t="str">
        <f t="array" ref="D3867">IF(ISBLANK(XLOOKUP(D$3,daily_items,XLOOKUP($C3867,daily_dates,big_daily_table))),NA(),XLOOKUP(D$3,daily_items,XLOOKUP($C3867,daily_dates,big_daily_table)))</f>
        <v>#N/A</v>
      </c>
      <c r="E3867" s="1" t="str">
        <f t="array" ref="E3867">IF(ISBLANK(XLOOKUP(E$3,daily_items,XLOOKUP($C3867,daily_dates,big_daily_table))),NA(),XLOOKUP(E$3,daily_items,XLOOKUP($C3867,daily_dates,big_daily_table)))</f>
        <v>#N/A</v>
      </c>
    </row>
    <row r="3868" ht="14.25" customHeight="1">
      <c r="B3868" s="7">
        <v>44773.0</v>
      </c>
      <c r="C3868" s="7">
        <f t="shared" si="1"/>
        <v>44773</v>
      </c>
      <c r="D3868" s="1" t="str">
        <f t="array" ref="D3868">IF(ISBLANK(XLOOKUP(D$3,daily_items,XLOOKUP($C3868,daily_dates,big_daily_table))),NA(),XLOOKUP(D$3,daily_items,XLOOKUP($C3868,daily_dates,big_daily_table)))</f>
        <v>#N/A</v>
      </c>
      <c r="E3868" s="1" t="str">
        <f t="array" ref="E3868">IF(ISBLANK(XLOOKUP(E$3,daily_items,XLOOKUP($C3868,daily_dates,big_daily_table))),NA(),XLOOKUP(E$3,daily_items,XLOOKUP($C3868,daily_dates,big_daily_table)))</f>
        <v>#N/A</v>
      </c>
    </row>
    <row r="3869" ht="14.25" customHeight="1">
      <c r="B3869" s="7">
        <v>44774.0</v>
      </c>
      <c r="C3869" s="7">
        <f t="shared" si="1"/>
        <v>44773</v>
      </c>
      <c r="D3869" s="1" t="str">
        <f t="array" ref="D3869">IF(ISBLANK(XLOOKUP(D$3,daily_items,XLOOKUP($C3869,daily_dates,big_daily_table))),NA(),XLOOKUP(D$3,daily_items,XLOOKUP($C3869,daily_dates,big_daily_table)))</f>
        <v>#N/A</v>
      </c>
      <c r="E3869" s="1" t="str">
        <f t="array" ref="E3869">IF(ISBLANK(XLOOKUP(E$3,daily_items,XLOOKUP($C3869,daily_dates,big_daily_table))),NA(),XLOOKUP(E$3,daily_items,XLOOKUP($C3869,daily_dates,big_daily_table)))</f>
        <v>#N/A</v>
      </c>
    </row>
    <row r="3870" ht="14.25" customHeight="1">
      <c r="B3870" s="7">
        <v>44775.0</v>
      </c>
      <c r="C3870" s="7">
        <f t="shared" si="1"/>
        <v>44773</v>
      </c>
      <c r="D3870" s="1" t="str">
        <f t="array" ref="D3870">IF(ISBLANK(XLOOKUP(D$3,daily_items,XLOOKUP($C3870,daily_dates,big_daily_table))),NA(),XLOOKUP(D$3,daily_items,XLOOKUP($C3870,daily_dates,big_daily_table)))</f>
        <v>#N/A</v>
      </c>
      <c r="E3870" s="1" t="str">
        <f t="array" ref="E3870">IF(ISBLANK(XLOOKUP(E$3,daily_items,XLOOKUP($C3870,daily_dates,big_daily_table))),NA(),XLOOKUP(E$3,daily_items,XLOOKUP($C3870,daily_dates,big_daily_table)))</f>
        <v>#N/A</v>
      </c>
    </row>
    <row r="3871" ht="14.25" customHeight="1">
      <c r="B3871" s="7">
        <v>44776.0</v>
      </c>
      <c r="C3871" s="7">
        <f t="shared" si="1"/>
        <v>44773</v>
      </c>
      <c r="D3871" s="1" t="str">
        <f t="array" ref="D3871">IF(ISBLANK(XLOOKUP(D$3,daily_items,XLOOKUP($C3871,daily_dates,big_daily_table))),NA(),XLOOKUP(D$3,daily_items,XLOOKUP($C3871,daily_dates,big_daily_table)))</f>
        <v>#N/A</v>
      </c>
      <c r="E3871" s="1" t="str">
        <f t="array" ref="E3871">IF(ISBLANK(XLOOKUP(E$3,daily_items,XLOOKUP($C3871,daily_dates,big_daily_table))),NA(),XLOOKUP(E$3,daily_items,XLOOKUP($C3871,daily_dates,big_daily_table)))</f>
        <v>#N/A</v>
      </c>
    </row>
    <row r="3872" ht="14.25" customHeight="1">
      <c r="B3872" s="7">
        <v>44777.0</v>
      </c>
      <c r="C3872" s="7">
        <f t="shared" si="1"/>
        <v>44773</v>
      </c>
      <c r="D3872" s="1" t="str">
        <f t="array" ref="D3872">IF(ISBLANK(XLOOKUP(D$3,daily_items,XLOOKUP($C3872,daily_dates,big_daily_table))),NA(),XLOOKUP(D$3,daily_items,XLOOKUP($C3872,daily_dates,big_daily_table)))</f>
        <v>#N/A</v>
      </c>
      <c r="E3872" s="1" t="str">
        <f t="array" ref="E3872">IF(ISBLANK(XLOOKUP(E$3,daily_items,XLOOKUP($C3872,daily_dates,big_daily_table))),NA(),XLOOKUP(E$3,daily_items,XLOOKUP($C3872,daily_dates,big_daily_table)))</f>
        <v>#N/A</v>
      </c>
    </row>
    <row r="3873" ht="14.25" customHeight="1">
      <c r="B3873" s="7">
        <v>44778.0</v>
      </c>
      <c r="C3873" s="7">
        <f t="shared" si="1"/>
        <v>44773</v>
      </c>
      <c r="D3873" s="1" t="str">
        <f t="array" ref="D3873">IF(ISBLANK(XLOOKUP(D$3,daily_items,XLOOKUP($C3873,daily_dates,big_daily_table))),NA(),XLOOKUP(D$3,daily_items,XLOOKUP($C3873,daily_dates,big_daily_table)))</f>
        <v>#N/A</v>
      </c>
      <c r="E3873" s="1" t="str">
        <f t="array" ref="E3873">IF(ISBLANK(XLOOKUP(E$3,daily_items,XLOOKUP($C3873,daily_dates,big_daily_table))),NA(),XLOOKUP(E$3,daily_items,XLOOKUP($C3873,daily_dates,big_daily_table)))</f>
        <v>#N/A</v>
      </c>
    </row>
    <row r="3874" ht="14.25" customHeight="1">
      <c r="B3874" s="7">
        <v>44779.0</v>
      </c>
      <c r="C3874" s="7">
        <f t="shared" si="1"/>
        <v>44773</v>
      </c>
      <c r="D3874" s="1" t="str">
        <f t="array" ref="D3874">IF(ISBLANK(XLOOKUP(D$3,daily_items,XLOOKUP($C3874,daily_dates,big_daily_table))),NA(),XLOOKUP(D$3,daily_items,XLOOKUP($C3874,daily_dates,big_daily_table)))</f>
        <v>#N/A</v>
      </c>
      <c r="E3874" s="1" t="str">
        <f t="array" ref="E3874">IF(ISBLANK(XLOOKUP(E$3,daily_items,XLOOKUP($C3874,daily_dates,big_daily_table))),NA(),XLOOKUP(E$3,daily_items,XLOOKUP($C3874,daily_dates,big_daily_table)))</f>
        <v>#N/A</v>
      </c>
    </row>
    <row r="3875" ht="14.25" customHeight="1">
      <c r="B3875" s="7">
        <v>44780.0</v>
      </c>
      <c r="C3875" s="7">
        <f t="shared" si="1"/>
        <v>44780</v>
      </c>
      <c r="D3875" s="1" t="str">
        <f t="array" ref="D3875">IF(ISBLANK(XLOOKUP(D$3,daily_items,XLOOKUP($C3875,daily_dates,big_daily_table))),NA(),XLOOKUP(D$3,daily_items,XLOOKUP($C3875,daily_dates,big_daily_table)))</f>
        <v>#N/A</v>
      </c>
      <c r="E3875" s="1" t="str">
        <f t="array" ref="E3875">IF(ISBLANK(XLOOKUP(E$3,daily_items,XLOOKUP($C3875,daily_dates,big_daily_table))),NA(),XLOOKUP(E$3,daily_items,XLOOKUP($C3875,daily_dates,big_daily_table)))</f>
        <v>#N/A</v>
      </c>
    </row>
    <row r="3876" ht="14.25" customHeight="1">
      <c r="B3876" s="7">
        <v>44781.0</v>
      </c>
      <c r="C3876" s="7">
        <f t="shared" si="1"/>
        <v>44780</v>
      </c>
      <c r="D3876" s="1" t="str">
        <f t="array" ref="D3876">IF(ISBLANK(XLOOKUP(D$3,daily_items,XLOOKUP($C3876,daily_dates,big_daily_table))),NA(),XLOOKUP(D$3,daily_items,XLOOKUP($C3876,daily_dates,big_daily_table)))</f>
        <v>#N/A</v>
      </c>
      <c r="E3876" s="1" t="str">
        <f t="array" ref="E3876">IF(ISBLANK(XLOOKUP(E$3,daily_items,XLOOKUP($C3876,daily_dates,big_daily_table))),NA(),XLOOKUP(E$3,daily_items,XLOOKUP($C3876,daily_dates,big_daily_table)))</f>
        <v>#N/A</v>
      </c>
    </row>
    <row r="3877" ht="14.25" customHeight="1">
      <c r="B3877" s="7">
        <v>44782.0</v>
      </c>
      <c r="C3877" s="7">
        <f t="shared" si="1"/>
        <v>44780</v>
      </c>
      <c r="D3877" s="1" t="str">
        <f t="array" ref="D3877">IF(ISBLANK(XLOOKUP(D$3,daily_items,XLOOKUP($C3877,daily_dates,big_daily_table))),NA(),XLOOKUP(D$3,daily_items,XLOOKUP($C3877,daily_dates,big_daily_table)))</f>
        <v>#N/A</v>
      </c>
      <c r="E3877" s="1" t="str">
        <f t="array" ref="E3877">IF(ISBLANK(XLOOKUP(E$3,daily_items,XLOOKUP($C3877,daily_dates,big_daily_table))),NA(),XLOOKUP(E$3,daily_items,XLOOKUP($C3877,daily_dates,big_daily_table)))</f>
        <v>#N/A</v>
      </c>
    </row>
    <row r="3878" ht="14.25" customHeight="1">
      <c r="B3878" s="7">
        <v>44783.0</v>
      </c>
      <c r="C3878" s="7">
        <f t="shared" si="1"/>
        <v>44780</v>
      </c>
      <c r="D3878" s="1" t="str">
        <f t="array" ref="D3878">IF(ISBLANK(XLOOKUP(D$3,daily_items,XLOOKUP($C3878,daily_dates,big_daily_table))),NA(),XLOOKUP(D$3,daily_items,XLOOKUP($C3878,daily_dates,big_daily_table)))</f>
        <v>#N/A</v>
      </c>
      <c r="E3878" s="1" t="str">
        <f t="array" ref="E3878">IF(ISBLANK(XLOOKUP(E$3,daily_items,XLOOKUP($C3878,daily_dates,big_daily_table))),NA(),XLOOKUP(E$3,daily_items,XLOOKUP($C3878,daily_dates,big_daily_table)))</f>
        <v>#N/A</v>
      </c>
    </row>
    <row r="3879" ht="14.25" customHeight="1">
      <c r="B3879" s="7">
        <v>44784.0</v>
      </c>
      <c r="C3879" s="7">
        <f t="shared" si="1"/>
        <v>44780</v>
      </c>
      <c r="D3879" s="1" t="str">
        <f t="array" ref="D3879">IF(ISBLANK(XLOOKUP(D$3,daily_items,XLOOKUP($C3879,daily_dates,big_daily_table))),NA(),XLOOKUP(D$3,daily_items,XLOOKUP($C3879,daily_dates,big_daily_table)))</f>
        <v>#N/A</v>
      </c>
      <c r="E3879" s="1" t="str">
        <f t="array" ref="E3879">IF(ISBLANK(XLOOKUP(E$3,daily_items,XLOOKUP($C3879,daily_dates,big_daily_table))),NA(),XLOOKUP(E$3,daily_items,XLOOKUP($C3879,daily_dates,big_daily_table)))</f>
        <v>#N/A</v>
      </c>
    </row>
    <row r="3880" ht="14.25" customHeight="1">
      <c r="B3880" s="7">
        <v>44785.0</v>
      </c>
      <c r="C3880" s="7">
        <f t="shared" si="1"/>
        <v>44780</v>
      </c>
      <c r="D3880" s="1" t="str">
        <f t="array" ref="D3880">IF(ISBLANK(XLOOKUP(D$3,daily_items,XLOOKUP($C3880,daily_dates,big_daily_table))),NA(),XLOOKUP(D$3,daily_items,XLOOKUP($C3880,daily_dates,big_daily_table)))</f>
        <v>#N/A</v>
      </c>
      <c r="E3880" s="1" t="str">
        <f t="array" ref="E3880">IF(ISBLANK(XLOOKUP(E$3,daily_items,XLOOKUP($C3880,daily_dates,big_daily_table))),NA(),XLOOKUP(E$3,daily_items,XLOOKUP($C3880,daily_dates,big_daily_table)))</f>
        <v>#N/A</v>
      </c>
    </row>
    <row r="3881" ht="14.25" customHeight="1">
      <c r="B3881" s="7">
        <v>44786.0</v>
      </c>
      <c r="C3881" s="7">
        <f t="shared" si="1"/>
        <v>44780</v>
      </c>
      <c r="D3881" s="1" t="str">
        <f t="array" ref="D3881">IF(ISBLANK(XLOOKUP(D$3,daily_items,XLOOKUP($C3881,daily_dates,big_daily_table))),NA(),XLOOKUP(D$3,daily_items,XLOOKUP($C3881,daily_dates,big_daily_table)))</f>
        <v>#N/A</v>
      </c>
      <c r="E3881" s="1" t="str">
        <f t="array" ref="E3881">IF(ISBLANK(XLOOKUP(E$3,daily_items,XLOOKUP($C3881,daily_dates,big_daily_table))),NA(),XLOOKUP(E$3,daily_items,XLOOKUP($C3881,daily_dates,big_daily_table)))</f>
        <v>#N/A</v>
      </c>
    </row>
    <row r="3882" ht="14.25" customHeight="1">
      <c r="B3882" s="7">
        <v>44787.0</v>
      </c>
      <c r="C3882" s="7">
        <f t="shared" si="1"/>
        <v>44787</v>
      </c>
      <c r="D3882" s="1" t="str">
        <f t="array" ref="D3882">IF(ISBLANK(XLOOKUP(D$3,daily_items,XLOOKUP($C3882,daily_dates,big_daily_table))),NA(),XLOOKUP(D$3,daily_items,XLOOKUP($C3882,daily_dates,big_daily_table)))</f>
        <v>#N/A</v>
      </c>
      <c r="E3882" s="1" t="str">
        <f t="array" ref="E3882">IF(ISBLANK(XLOOKUP(E$3,daily_items,XLOOKUP($C3882,daily_dates,big_daily_table))),NA(),XLOOKUP(E$3,daily_items,XLOOKUP($C3882,daily_dates,big_daily_table)))</f>
        <v>#N/A</v>
      </c>
    </row>
    <row r="3883" ht="14.25" customHeight="1">
      <c r="B3883" s="7">
        <v>44788.0</v>
      </c>
      <c r="C3883" s="7">
        <f t="shared" si="1"/>
        <v>44787</v>
      </c>
      <c r="D3883" s="1" t="str">
        <f t="array" ref="D3883">IF(ISBLANK(XLOOKUP(D$3,daily_items,XLOOKUP($C3883,daily_dates,big_daily_table))),NA(),XLOOKUP(D$3,daily_items,XLOOKUP($C3883,daily_dates,big_daily_table)))</f>
        <v>#N/A</v>
      </c>
      <c r="E3883" s="1" t="str">
        <f t="array" ref="E3883">IF(ISBLANK(XLOOKUP(E$3,daily_items,XLOOKUP($C3883,daily_dates,big_daily_table))),NA(),XLOOKUP(E$3,daily_items,XLOOKUP($C3883,daily_dates,big_daily_table)))</f>
        <v>#N/A</v>
      </c>
    </row>
    <row r="3884" ht="14.25" customHeight="1">
      <c r="B3884" s="7">
        <v>44789.0</v>
      </c>
      <c r="C3884" s="7">
        <f t="shared" si="1"/>
        <v>44787</v>
      </c>
      <c r="D3884" s="1" t="str">
        <f t="array" ref="D3884">IF(ISBLANK(XLOOKUP(D$3,daily_items,XLOOKUP($C3884,daily_dates,big_daily_table))),NA(),XLOOKUP(D$3,daily_items,XLOOKUP($C3884,daily_dates,big_daily_table)))</f>
        <v>#N/A</v>
      </c>
      <c r="E3884" s="1" t="str">
        <f t="array" ref="E3884">IF(ISBLANK(XLOOKUP(E$3,daily_items,XLOOKUP($C3884,daily_dates,big_daily_table))),NA(),XLOOKUP(E$3,daily_items,XLOOKUP($C3884,daily_dates,big_daily_table)))</f>
        <v>#N/A</v>
      </c>
    </row>
    <row r="3885" ht="14.25" customHeight="1">
      <c r="B3885" s="7">
        <v>44790.0</v>
      </c>
      <c r="C3885" s="7">
        <f t="shared" si="1"/>
        <v>44787</v>
      </c>
      <c r="D3885" s="1" t="str">
        <f t="array" ref="D3885">IF(ISBLANK(XLOOKUP(D$3,daily_items,XLOOKUP($C3885,daily_dates,big_daily_table))),NA(),XLOOKUP(D$3,daily_items,XLOOKUP($C3885,daily_dates,big_daily_table)))</f>
        <v>#N/A</v>
      </c>
      <c r="E3885" s="1" t="str">
        <f t="array" ref="E3885">IF(ISBLANK(XLOOKUP(E$3,daily_items,XLOOKUP($C3885,daily_dates,big_daily_table))),NA(),XLOOKUP(E$3,daily_items,XLOOKUP($C3885,daily_dates,big_daily_table)))</f>
        <v>#N/A</v>
      </c>
    </row>
    <row r="3886" ht="14.25" customHeight="1">
      <c r="B3886" s="7">
        <v>44791.0</v>
      </c>
      <c r="C3886" s="7">
        <f t="shared" si="1"/>
        <v>44787</v>
      </c>
      <c r="D3886" s="1" t="str">
        <f t="array" ref="D3886">IF(ISBLANK(XLOOKUP(D$3,daily_items,XLOOKUP($C3886,daily_dates,big_daily_table))),NA(),XLOOKUP(D$3,daily_items,XLOOKUP($C3886,daily_dates,big_daily_table)))</f>
        <v>#N/A</v>
      </c>
      <c r="E3886" s="1" t="str">
        <f t="array" ref="E3886">IF(ISBLANK(XLOOKUP(E$3,daily_items,XLOOKUP($C3886,daily_dates,big_daily_table))),NA(),XLOOKUP(E$3,daily_items,XLOOKUP($C3886,daily_dates,big_daily_table)))</f>
        <v>#N/A</v>
      </c>
    </row>
    <row r="3887" ht="14.25" customHeight="1">
      <c r="B3887" s="7">
        <v>44792.0</v>
      </c>
      <c r="C3887" s="7">
        <f t="shared" si="1"/>
        <v>44787</v>
      </c>
      <c r="D3887" s="1" t="str">
        <f t="array" ref="D3887">IF(ISBLANK(XLOOKUP(D$3,daily_items,XLOOKUP($C3887,daily_dates,big_daily_table))),NA(),XLOOKUP(D$3,daily_items,XLOOKUP($C3887,daily_dates,big_daily_table)))</f>
        <v>#N/A</v>
      </c>
      <c r="E3887" s="1" t="str">
        <f t="array" ref="E3887">IF(ISBLANK(XLOOKUP(E$3,daily_items,XLOOKUP($C3887,daily_dates,big_daily_table))),NA(),XLOOKUP(E$3,daily_items,XLOOKUP($C3887,daily_dates,big_daily_table)))</f>
        <v>#N/A</v>
      </c>
    </row>
    <row r="3888" ht="14.25" customHeight="1">
      <c r="B3888" s="7">
        <v>44793.0</v>
      </c>
      <c r="C3888" s="7">
        <f t="shared" si="1"/>
        <v>44787</v>
      </c>
      <c r="D3888" s="1" t="str">
        <f t="array" ref="D3888">IF(ISBLANK(XLOOKUP(D$3,daily_items,XLOOKUP($C3888,daily_dates,big_daily_table))),NA(),XLOOKUP(D$3,daily_items,XLOOKUP($C3888,daily_dates,big_daily_table)))</f>
        <v>#N/A</v>
      </c>
      <c r="E3888" s="1" t="str">
        <f t="array" ref="E3888">IF(ISBLANK(XLOOKUP(E$3,daily_items,XLOOKUP($C3888,daily_dates,big_daily_table))),NA(),XLOOKUP(E$3,daily_items,XLOOKUP($C3888,daily_dates,big_daily_table)))</f>
        <v>#N/A</v>
      </c>
    </row>
    <row r="3889" ht="14.25" customHeight="1">
      <c r="B3889" s="7">
        <v>44794.0</v>
      </c>
      <c r="C3889" s="7">
        <f t="shared" si="1"/>
        <v>44794</v>
      </c>
      <c r="D3889" s="1" t="str">
        <f t="array" ref="D3889">IF(ISBLANK(XLOOKUP(D$3,daily_items,XLOOKUP($C3889,daily_dates,big_daily_table))),NA(),XLOOKUP(D$3,daily_items,XLOOKUP($C3889,daily_dates,big_daily_table)))</f>
        <v>#N/A</v>
      </c>
      <c r="E3889" s="1" t="str">
        <f t="array" ref="E3889">IF(ISBLANK(XLOOKUP(E$3,daily_items,XLOOKUP($C3889,daily_dates,big_daily_table))),NA(),XLOOKUP(E$3,daily_items,XLOOKUP($C3889,daily_dates,big_daily_table)))</f>
        <v>#N/A</v>
      </c>
    </row>
    <row r="3890" ht="14.25" customHeight="1">
      <c r="B3890" s="7">
        <v>44795.0</v>
      </c>
      <c r="C3890" s="7">
        <f t="shared" si="1"/>
        <v>44794</v>
      </c>
      <c r="D3890" s="1" t="str">
        <f t="array" ref="D3890">IF(ISBLANK(XLOOKUP(D$3,daily_items,XLOOKUP($C3890,daily_dates,big_daily_table))),NA(),XLOOKUP(D$3,daily_items,XLOOKUP($C3890,daily_dates,big_daily_table)))</f>
        <v>#N/A</v>
      </c>
      <c r="E3890" s="1" t="str">
        <f t="array" ref="E3890">IF(ISBLANK(XLOOKUP(E$3,daily_items,XLOOKUP($C3890,daily_dates,big_daily_table))),NA(),XLOOKUP(E$3,daily_items,XLOOKUP($C3890,daily_dates,big_daily_table)))</f>
        <v>#N/A</v>
      </c>
    </row>
    <row r="3891" ht="14.25" customHeight="1">
      <c r="B3891" s="7">
        <v>44796.0</v>
      </c>
      <c r="C3891" s="7">
        <f t="shared" si="1"/>
        <v>44794</v>
      </c>
      <c r="D3891" s="1" t="str">
        <f t="array" ref="D3891">IF(ISBLANK(XLOOKUP(D$3,daily_items,XLOOKUP($C3891,daily_dates,big_daily_table))),NA(),XLOOKUP(D$3,daily_items,XLOOKUP($C3891,daily_dates,big_daily_table)))</f>
        <v>#N/A</v>
      </c>
      <c r="E3891" s="1" t="str">
        <f t="array" ref="E3891">IF(ISBLANK(XLOOKUP(E$3,daily_items,XLOOKUP($C3891,daily_dates,big_daily_table))),NA(),XLOOKUP(E$3,daily_items,XLOOKUP($C3891,daily_dates,big_daily_table)))</f>
        <v>#N/A</v>
      </c>
    </row>
    <row r="3892" ht="14.25" customHeight="1">
      <c r="B3892" s="7">
        <v>44797.0</v>
      </c>
      <c r="C3892" s="7">
        <f t="shared" si="1"/>
        <v>44794</v>
      </c>
      <c r="D3892" s="1" t="str">
        <f t="array" ref="D3892">IF(ISBLANK(XLOOKUP(D$3,daily_items,XLOOKUP($C3892,daily_dates,big_daily_table))),NA(),XLOOKUP(D$3,daily_items,XLOOKUP($C3892,daily_dates,big_daily_table)))</f>
        <v>#N/A</v>
      </c>
      <c r="E3892" s="1" t="str">
        <f t="array" ref="E3892">IF(ISBLANK(XLOOKUP(E$3,daily_items,XLOOKUP($C3892,daily_dates,big_daily_table))),NA(),XLOOKUP(E$3,daily_items,XLOOKUP($C3892,daily_dates,big_daily_table)))</f>
        <v>#N/A</v>
      </c>
    </row>
    <row r="3893" ht="14.25" customHeight="1">
      <c r="B3893" s="7">
        <v>44798.0</v>
      </c>
      <c r="C3893" s="7">
        <f t="shared" si="1"/>
        <v>44794</v>
      </c>
      <c r="D3893" s="1" t="str">
        <f t="array" ref="D3893">IF(ISBLANK(XLOOKUP(D$3,daily_items,XLOOKUP($C3893,daily_dates,big_daily_table))),NA(),XLOOKUP(D$3,daily_items,XLOOKUP($C3893,daily_dates,big_daily_table)))</f>
        <v>#N/A</v>
      </c>
      <c r="E3893" s="1" t="str">
        <f t="array" ref="E3893">IF(ISBLANK(XLOOKUP(E$3,daily_items,XLOOKUP($C3893,daily_dates,big_daily_table))),NA(),XLOOKUP(E$3,daily_items,XLOOKUP($C3893,daily_dates,big_daily_table)))</f>
        <v>#N/A</v>
      </c>
    </row>
    <row r="3894" ht="14.25" customHeight="1">
      <c r="B3894" s="7">
        <v>44799.0</v>
      </c>
      <c r="C3894" s="7">
        <f t="shared" si="1"/>
        <v>44794</v>
      </c>
      <c r="D3894" s="1" t="str">
        <f t="array" ref="D3894">IF(ISBLANK(XLOOKUP(D$3,daily_items,XLOOKUP($C3894,daily_dates,big_daily_table))),NA(),XLOOKUP(D$3,daily_items,XLOOKUP($C3894,daily_dates,big_daily_table)))</f>
        <v>#N/A</v>
      </c>
      <c r="E3894" s="1" t="str">
        <f t="array" ref="E3894">IF(ISBLANK(XLOOKUP(E$3,daily_items,XLOOKUP($C3894,daily_dates,big_daily_table))),NA(),XLOOKUP(E$3,daily_items,XLOOKUP($C3894,daily_dates,big_daily_table)))</f>
        <v>#N/A</v>
      </c>
    </row>
    <row r="3895" ht="14.25" customHeight="1">
      <c r="B3895" s="7">
        <v>44800.0</v>
      </c>
      <c r="C3895" s="7">
        <f t="shared" si="1"/>
        <v>44794</v>
      </c>
      <c r="D3895" s="1" t="str">
        <f t="array" ref="D3895">IF(ISBLANK(XLOOKUP(D$3,daily_items,XLOOKUP($C3895,daily_dates,big_daily_table))),NA(),XLOOKUP(D$3,daily_items,XLOOKUP($C3895,daily_dates,big_daily_table)))</f>
        <v>#N/A</v>
      </c>
      <c r="E3895" s="1" t="str">
        <f t="array" ref="E3895">IF(ISBLANK(XLOOKUP(E$3,daily_items,XLOOKUP($C3895,daily_dates,big_daily_table))),NA(),XLOOKUP(E$3,daily_items,XLOOKUP($C3895,daily_dates,big_daily_table)))</f>
        <v>#N/A</v>
      </c>
    </row>
    <row r="3896" ht="14.25" customHeight="1">
      <c r="B3896" s="7">
        <v>44801.0</v>
      </c>
      <c r="C3896" s="7">
        <f t="shared" si="1"/>
        <v>44801</v>
      </c>
      <c r="D3896" s="1" t="str">
        <f t="array" ref="D3896">IF(ISBLANK(XLOOKUP(D$3,daily_items,XLOOKUP($C3896,daily_dates,big_daily_table))),NA(),XLOOKUP(D$3,daily_items,XLOOKUP($C3896,daily_dates,big_daily_table)))</f>
        <v>#N/A</v>
      </c>
      <c r="E3896" s="1" t="str">
        <f t="array" ref="E3896">IF(ISBLANK(XLOOKUP(E$3,daily_items,XLOOKUP($C3896,daily_dates,big_daily_table))),NA(),XLOOKUP(E$3,daily_items,XLOOKUP($C3896,daily_dates,big_daily_table)))</f>
        <v>#N/A</v>
      </c>
    </row>
    <row r="3897" ht="14.25" customHeight="1">
      <c r="B3897" s="7">
        <v>44802.0</v>
      </c>
      <c r="C3897" s="7">
        <f t="shared" si="1"/>
        <v>44801</v>
      </c>
      <c r="D3897" s="1" t="str">
        <f t="array" ref="D3897">IF(ISBLANK(XLOOKUP(D$3,daily_items,XLOOKUP($C3897,daily_dates,big_daily_table))),NA(),XLOOKUP(D$3,daily_items,XLOOKUP($C3897,daily_dates,big_daily_table)))</f>
        <v>#N/A</v>
      </c>
      <c r="E3897" s="1" t="str">
        <f t="array" ref="E3897">IF(ISBLANK(XLOOKUP(E$3,daily_items,XLOOKUP($C3897,daily_dates,big_daily_table))),NA(),XLOOKUP(E$3,daily_items,XLOOKUP($C3897,daily_dates,big_daily_table)))</f>
        <v>#N/A</v>
      </c>
    </row>
    <row r="3898" ht="14.25" customHeight="1">
      <c r="B3898" s="7">
        <v>44803.0</v>
      </c>
      <c r="C3898" s="7">
        <f t="shared" si="1"/>
        <v>44801</v>
      </c>
      <c r="D3898" s="1" t="str">
        <f t="array" ref="D3898">IF(ISBLANK(XLOOKUP(D$3,daily_items,XLOOKUP($C3898,daily_dates,big_daily_table))),NA(),XLOOKUP(D$3,daily_items,XLOOKUP($C3898,daily_dates,big_daily_table)))</f>
        <v>#N/A</v>
      </c>
      <c r="E3898" s="1" t="str">
        <f t="array" ref="E3898">IF(ISBLANK(XLOOKUP(E$3,daily_items,XLOOKUP($C3898,daily_dates,big_daily_table))),NA(),XLOOKUP(E$3,daily_items,XLOOKUP($C3898,daily_dates,big_daily_table)))</f>
        <v>#N/A</v>
      </c>
    </row>
    <row r="3899" ht="14.25" customHeight="1">
      <c r="B3899" s="7">
        <v>44804.0</v>
      </c>
      <c r="C3899" s="7">
        <f t="shared" si="1"/>
        <v>44801</v>
      </c>
      <c r="D3899" s="1" t="str">
        <f t="array" ref="D3899">IF(ISBLANK(XLOOKUP(D$3,daily_items,XLOOKUP($C3899,daily_dates,big_daily_table))),NA(),XLOOKUP(D$3,daily_items,XLOOKUP($C3899,daily_dates,big_daily_table)))</f>
        <v>#N/A</v>
      </c>
      <c r="E3899" s="1" t="str">
        <f t="array" ref="E3899">IF(ISBLANK(XLOOKUP(E$3,daily_items,XLOOKUP($C3899,daily_dates,big_daily_table))),NA(),XLOOKUP(E$3,daily_items,XLOOKUP($C3899,daily_dates,big_daily_table)))</f>
        <v>#N/A</v>
      </c>
    </row>
    <row r="3900" ht="14.25" customHeight="1">
      <c r="B3900" s="7">
        <v>44805.0</v>
      </c>
      <c r="C3900" s="7">
        <f t="shared" si="1"/>
        <v>44801</v>
      </c>
      <c r="D3900" s="1" t="str">
        <f t="array" ref="D3900">IF(ISBLANK(XLOOKUP(D$3,daily_items,XLOOKUP($C3900,daily_dates,big_daily_table))),NA(),XLOOKUP(D$3,daily_items,XLOOKUP($C3900,daily_dates,big_daily_table)))</f>
        <v>#N/A</v>
      </c>
      <c r="E3900" s="1" t="str">
        <f t="array" ref="E3900">IF(ISBLANK(XLOOKUP(E$3,daily_items,XLOOKUP($C3900,daily_dates,big_daily_table))),NA(),XLOOKUP(E$3,daily_items,XLOOKUP($C3900,daily_dates,big_daily_table)))</f>
        <v>#N/A</v>
      </c>
    </row>
    <row r="3901" ht="14.25" customHeight="1">
      <c r="B3901" s="7">
        <v>44806.0</v>
      </c>
      <c r="C3901" s="7">
        <f t="shared" si="1"/>
        <v>44801</v>
      </c>
      <c r="D3901" s="1" t="str">
        <f t="array" ref="D3901">IF(ISBLANK(XLOOKUP(D$3,daily_items,XLOOKUP($C3901,daily_dates,big_daily_table))),NA(),XLOOKUP(D$3,daily_items,XLOOKUP($C3901,daily_dates,big_daily_table)))</f>
        <v>#N/A</v>
      </c>
      <c r="E3901" s="1" t="str">
        <f t="array" ref="E3901">IF(ISBLANK(XLOOKUP(E$3,daily_items,XLOOKUP($C3901,daily_dates,big_daily_table))),NA(),XLOOKUP(E$3,daily_items,XLOOKUP($C3901,daily_dates,big_daily_table)))</f>
        <v>#N/A</v>
      </c>
    </row>
    <row r="3902" ht="14.25" customHeight="1">
      <c r="B3902" s="7">
        <v>44807.0</v>
      </c>
      <c r="C3902" s="7">
        <f t="shared" si="1"/>
        <v>44801</v>
      </c>
      <c r="D3902" s="1" t="str">
        <f t="array" ref="D3902">IF(ISBLANK(XLOOKUP(D$3,daily_items,XLOOKUP($C3902,daily_dates,big_daily_table))),NA(),XLOOKUP(D$3,daily_items,XLOOKUP($C3902,daily_dates,big_daily_table)))</f>
        <v>#N/A</v>
      </c>
      <c r="E3902" s="1" t="str">
        <f t="array" ref="E3902">IF(ISBLANK(XLOOKUP(E$3,daily_items,XLOOKUP($C3902,daily_dates,big_daily_table))),NA(),XLOOKUP(E$3,daily_items,XLOOKUP($C3902,daily_dates,big_daily_table)))</f>
        <v>#N/A</v>
      </c>
    </row>
    <row r="3903" ht="14.25" customHeight="1">
      <c r="B3903" s="7">
        <v>44808.0</v>
      </c>
      <c r="C3903" s="7">
        <f t="shared" si="1"/>
        <v>44808</v>
      </c>
      <c r="D3903" s="1" t="str">
        <f t="array" ref="D3903">IF(ISBLANK(XLOOKUP(D$3,daily_items,XLOOKUP($C3903,daily_dates,big_daily_table))),NA(),XLOOKUP(D$3,daily_items,XLOOKUP($C3903,daily_dates,big_daily_table)))</f>
        <v>#N/A</v>
      </c>
      <c r="E3903" s="1" t="str">
        <f t="array" ref="E3903">IF(ISBLANK(XLOOKUP(E$3,daily_items,XLOOKUP($C3903,daily_dates,big_daily_table))),NA(),XLOOKUP(E$3,daily_items,XLOOKUP($C3903,daily_dates,big_daily_table)))</f>
        <v>#N/A</v>
      </c>
    </row>
    <row r="3904" ht="14.25" customHeight="1">
      <c r="B3904" s="7">
        <v>44809.0</v>
      </c>
      <c r="C3904" s="7">
        <f t="shared" si="1"/>
        <v>44808</v>
      </c>
      <c r="D3904" s="1" t="str">
        <f t="array" ref="D3904">IF(ISBLANK(XLOOKUP(D$3,daily_items,XLOOKUP($C3904,daily_dates,big_daily_table))),NA(),XLOOKUP(D$3,daily_items,XLOOKUP($C3904,daily_dates,big_daily_table)))</f>
        <v>#N/A</v>
      </c>
      <c r="E3904" s="1" t="str">
        <f t="array" ref="E3904">IF(ISBLANK(XLOOKUP(E$3,daily_items,XLOOKUP($C3904,daily_dates,big_daily_table))),NA(),XLOOKUP(E$3,daily_items,XLOOKUP($C3904,daily_dates,big_daily_table)))</f>
        <v>#N/A</v>
      </c>
    </row>
    <row r="3905" ht="14.25" customHeight="1">
      <c r="B3905" s="7">
        <v>44810.0</v>
      </c>
      <c r="C3905" s="7">
        <f t="shared" si="1"/>
        <v>44808</v>
      </c>
      <c r="D3905" s="1" t="str">
        <f t="array" ref="D3905">IF(ISBLANK(XLOOKUP(D$3,daily_items,XLOOKUP($C3905,daily_dates,big_daily_table))),NA(),XLOOKUP(D$3,daily_items,XLOOKUP($C3905,daily_dates,big_daily_table)))</f>
        <v>#N/A</v>
      </c>
      <c r="E3905" s="1" t="str">
        <f t="array" ref="E3905">IF(ISBLANK(XLOOKUP(E$3,daily_items,XLOOKUP($C3905,daily_dates,big_daily_table))),NA(),XLOOKUP(E$3,daily_items,XLOOKUP($C3905,daily_dates,big_daily_table)))</f>
        <v>#N/A</v>
      </c>
    </row>
    <row r="3906" ht="14.25" customHeight="1">
      <c r="B3906" s="7">
        <v>44811.0</v>
      </c>
      <c r="C3906" s="7">
        <f t="shared" si="1"/>
        <v>44808</v>
      </c>
      <c r="D3906" s="1" t="str">
        <f t="array" ref="D3906">IF(ISBLANK(XLOOKUP(D$3,daily_items,XLOOKUP($C3906,daily_dates,big_daily_table))),NA(),XLOOKUP(D$3,daily_items,XLOOKUP($C3906,daily_dates,big_daily_table)))</f>
        <v>#N/A</v>
      </c>
      <c r="E3906" s="1" t="str">
        <f t="array" ref="E3906">IF(ISBLANK(XLOOKUP(E$3,daily_items,XLOOKUP($C3906,daily_dates,big_daily_table))),NA(),XLOOKUP(E$3,daily_items,XLOOKUP($C3906,daily_dates,big_daily_table)))</f>
        <v>#N/A</v>
      </c>
    </row>
    <row r="3907" ht="14.25" customHeight="1">
      <c r="B3907" s="7">
        <v>44812.0</v>
      </c>
      <c r="C3907" s="7">
        <f t="shared" si="1"/>
        <v>44808</v>
      </c>
      <c r="D3907" s="1" t="str">
        <f t="array" ref="D3907">IF(ISBLANK(XLOOKUP(D$3,daily_items,XLOOKUP($C3907,daily_dates,big_daily_table))),NA(),XLOOKUP(D$3,daily_items,XLOOKUP($C3907,daily_dates,big_daily_table)))</f>
        <v>#N/A</v>
      </c>
      <c r="E3907" s="1" t="str">
        <f t="array" ref="E3907">IF(ISBLANK(XLOOKUP(E$3,daily_items,XLOOKUP($C3907,daily_dates,big_daily_table))),NA(),XLOOKUP(E$3,daily_items,XLOOKUP($C3907,daily_dates,big_daily_table)))</f>
        <v>#N/A</v>
      </c>
    </row>
    <row r="3908" ht="14.25" customHeight="1">
      <c r="B3908" s="7">
        <v>44813.0</v>
      </c>
      <c r="C3908" s="7">
        <f t="shared" si="1"/>
        <v>44808</v>
      </c>
      <c r="D3908" s="1" t="str">
        <f t="array" ref="D3908">IF(ISBLANK(XLOOKUP(D$3,daily_items,XLOOKUP($C3908,daily_dates,big_daily_table))),NA(),XLOOKUP(D$3,daily_items,XLOOKUP($C3908,daily_dates,big_daily_table)))</f>
        <v>#N/A</v>
      </c>
      <c r="E3908" s="1" t="str">
        <f t="array" ref="E3908">IF(ISBLANK(XLOOKUP(E$3,daily_items,XLOOKUP($C3908,daily_dates,big_daily_table))),NA(),XLOOKUP(E$3,daily_items,XLOOKUP($C3908,daily_dates,big_daily_table)))</f>
        <v>#N/A</v>
      </c>
    </row>
    <row r="3909" ht="14.25" customHeight="1">
      <c r="B3909" s="7">
        <v>44814.0</v>
      </c>
      <c r="C3909" s="7">
        <f t="shared" si="1"/>
        <v>44808</v>
      </c>
      <c r="D3909" s="1" t="str">
        <f t="array" ref="D3909">IF(ISBLANK(XLOOKUP(D$3,daily_items,XLOOKUP($C3909,daily_dates,big_daily_table))),NA(),XLOOKUP(D$3,daily_items,XLOOKUP($C3909,daily_dates,big_daily_table)))</f>
        <v>#N/A</v>
      </c>
      <c r="E3909" s="1" t="str">
        <f t="array" ref="E3909">IF(ISBLANK(XLOOKUP(E$3,daily_items,XLOOKUP($C3909,daily_dates,big_daily_table))),NA(),XLOOKUP(E$3,daily_items,XLOOKUP($C3909,daily_dates,big_daily_table)))</f>
        <v>#N/A</v>
      </c>
    </row>
    <row r="3910" ht="14.25" customHeight="1">
      <c r="B3910" s="7">
        <v>44815.0</v>
      </c>
      <c r="C3910" s="7">
        <f t="shared" si="1"/>
        <v>44815</v>
      </c>
      <c r="D3910" s="1" t="str">
        <f t="array" ref="D3910">IF(ISBLANK(XLOOKUP(D$3,daily_items,XLOOKUP($C3910,daily_dates,big_daily_table))),NA(),XLOOKUP(D$3,daily_items,XLOOKUP($C3910,daily_dates,big_daily_table)))</f>
        <v>#N/A</v>
      </c>
      <c r="E3910" s="1" t="str">
        <f t="array" ref="E3910">IF(ISBLANK(XLOOKUP(E$3,daily_items,XLOOKUP($C3910,daily_dates,big_daily_table))),NA(),XLOOKUP(E$3,daily_items,XLOOKUP($C3910,daily_dates,big_daily_table)))</f>
        <v>#N/A</v>
      </c>
    </row>
    <row r="3911" ht="14.25" customHeight="1">
      <c r="B3911" s="7">
        <v>44816.0</v>
      </c>
      <c r="C3911" s="7">
        <f t="shared" si="1"/>
        <v>44815</v>
      </c>
      <c r="D3911" s="1" t="str">
        <f t="array" ref="D3911">IF(ISBLANK(XLOOKUP(D$3,daily_items,XLOOKUP($C3911,daily_dates,big_daily_table))),NA(),XLOOKUP(D$3,daily_items,XLOOKUP($C3911,daily_dates,big_daily_table)))</f>
        <v>#N/A</v>
      </c>
      <c r="E3911" s="1" t="str">
        <f t="array" ref="E3911">IF(ISBLANK(XLOOKUP(E$3,daily_items,XLOOKUP($C3911,daily_dates,big_daily_table))),NA(),XLOOKUP(E$3,daily_items,XLOOKUP($C3911,daily_dates,big_daily_table)))</f>
        <v>#N/A</v>
      </c>
    </row>
    <row r="3912" ht="14.25" customHeight="1">
      <c r="B3912" s="7">
        <v>44817.0</v>
      </c>
      <c r="C3912" s="7">
        <f t="shared" si="1"/>
        <v>44815</v>
      </c>
      <c r="D3912" s="1" t="str">
        <f t="array" ref="D3912">IF(ISBLANK(XLOOKUP(D$3,daily_items,XLOOKUP($C3912,daily_dates,big_daily_table))),NA(),XLOOKUP(D$3,daily_items,XLOOKUP($C3912,daily_dates,big_daily_table)))</f>
        <v>#N/A</v>
      </c>
      <c r="E3912" s="1" t="str">
        <f t="array" ref="E3912">IF(ISBLANK(XLOOKUP(E$3,daily_items,XLOOKUP($C3912,daily_dates,big_daily_table))),NA(),XLOOKUP(E$3,daily_items,XLOOKUP($C3912,daily_dates,big_daily_table)))</f>
        <v>#N/A</v>
      </c>
    </row>
    <row r="3913" ht="14.25" customHeight="1">
      <c r="B3913" s="7">
        <v>44818.0</v>
      </c>
      <c r="C3913" s="7">
        <f t="shared" si="1"/>
        <v>44815</v>
      </c>
      <c r="D3913" s="1" t="str">
        <f t="array" ref="D3913">IF(ISBLANK(XLOOKUP(D$3,daily_items,XLOOKUP($C3913,daily_dates,big_daily_table))),NA(),XLOOKUP(D$3,daily_items,XLOOKUP($C3913,daily_dates,big_daily_table)))</f>
        <v>#N/A</v>
      </c>
      <c r="E3913" s="1" t="str">
        <f t="array" ref="E3913">IF(ISBLANK(XLOOKUP(E$3,daily_items,XLOOKUP($C3913,daily_dates,big_daily_table))),NA(),XLOOKUP(E$3,daily_items,XLOOKUP($C3913,daily_dates,big_daily_table)))</f>
        <v>#N/A</v>
      </c>
    </row>
    <row r="3914" ht="14.25" customHeight="1">
      <c r="B3914" s="7">
        <v>44819.0</v>
      </c>
      <c r="C3914" s="7">
        <f t="shared" si="1"/>
        <v>44815</v>
      </c>
      <c r="D3914" s="1" t="str">
        <f t="array" ref="D3914">IF(ISBLANK(XLOOKUP(D$3,daily_items,XLOOKUP($C3914,daily_dates,big_daily_table))),NA(),XLOOKUP(D$3,daily_items,XLOOKUP($C3914,daily_dates,big_daily_table)))</f>
        <v>#N/A</v>
      </c>
      <c r="E3914" s="1" t="str">
        <f t="array" ref="E3914">IF(ISBLANK(XLOOKUP(E$3,daily_items,XLOOKUP($C3914,daily_dates,big_daily_table))),NA(),XLOOKUP(E$3,daily_items,XLOOKUP($C3914,daily_dates,big_daily_table)))</f>
        <v>#N/A</v>
      </c>
    </row>
    <row r="3915" ht="14.25" customHeight="1">
      <c r="B3915" s="7">
        <v>44820.0</v>
      </c>
      <c r="C3915" s="7">
        <f t="shared" si="1"/>
        <v>44815</v>
      </c>
      <c r="D3915" s="1" t="str">
        <f t="array" ref="D3915">IF(ISBLANK(XLOOKUP(D$3,daily_items,XLOOKUP($C3915,daily_dates,big_daily_table))),NA(),XLOOKUP(D$3,daily_items,XLOOKUP($C3915,daily_dates,big_daily_table)))</f>
        <v>#N/A</v>
      </c>
      <c r="E3915" s="1" t="str">
        <f t="array" ref="E3915">IF(ISBLANK(XLOOKUP(E$3,daily_items,XLOOKUP($C3915,daily_dates,big_daily_table))),NA(),XLOOKUP(E$3,daily_items,XLOOKUP($C3915,daily_dates,big_daily_table)))</f>
        <v>#N/A</v>
      </c>
    </row>
    <row r="3916" ht="14.25" customHeight="1">
      <c r="B3916" s="7">
        <v>44821.0</v>
      </c>
      <c r="C3916" s="7">
        <f t="shared" si="1"/>
        <v>44815</v>
      </c>
      <c r="D3916" s="1" t="str">
        <f t="array" ref="D3916">IF(ISBLANK(XLOOKUP(D$3,daily_items,XLOOKUP($C3916,daily_dates,big_daily_table))),NA(),XLOOKUP(D$3,daily_items,XLOOKUP($C3916,daily_dates,big_daily_table)))</f>
        <v>#N/A</v>
      </c>
      <c r="E3916" s="1" t="str">
        <f t="array" ref="E3916">IF(ISBLANK(XLOOKUP(E$3,daily_items,XLOOKUP($C3916,daily_dates,big_daily_table))),NA(),XLOOKUP(E$3,daily_items,XLOOKUP($C3916,daily_dates,big_daily_table)))</f>
        <v>#N/A</v>
      </c>
    </row>
    <row r="3917" ht="14.25" customHeight="1">
      <c r="B3917" s="7">
        <v>44822.0</v>
      </c>
      <c r="C3917" s="7">
        <f t="shared" si="1"/>
        <v>44822</v>
      </c>
      <c r="D3917" s="1" t="str">
        <f t="array" ref="D3917">IF(ISBLANK(XLOOKUP(D$3,daily_items,XLOOKUP($C3917,daily_dates,big_daily_table))),NA(),XLOOKUP(D$3,daily_items,XLOOKUP($C3917,daily_dates,big_daily_table)))</f>
        <v>#N/A</v>
      </c>
      <c r="E3917" s="1" t="str">
        <f t="array" ref="E3917">IF(ISBLANK(XLOOKUP(E$3,daily_items,XLOOKUP($C3917,daily_dates,big_daily_table))),NA(),XLOOKUP(E$3,daily_items,XLOOKUP($C3917,daily_dates,big_daily_table)))</f>
        <v>#N/A</v>
      </c>
    </row>
    <row r="3918" ht="14.25" customHeight="1">
      <c r="B3918" s="7">
        <v>44823.0</v>
      </c>
      <c r="C3918" s="7">
        <f t="shared" si="1"/>
        <v>44822</v>
      </c>
      <c r="D3918" s="1" t="str">
        <f t="array" ref="D3918">IF(ISBLANK(XLOOKUP(D$3,daily_items,XLOOKUP($C3918,daily_dates,big_daily_table))),NA(),XLOOKUP(D$3,daily_items,XLOOKUP($C3918,daily_dates,big_daily_table)))</f>
        <v>#N/A</v>
      </c>
      <c r="E3918" s="1" t="str">
        <f t="array" ref="E3918">IF(ISBLANK(XLOOKUP(E$3,daily_items,XLOOKUP($C3918,daily_dates,big_daily_table))),NA(),XLOOKUP(E$3,daily_items,XLOOKUP($C3918,daily_dates,big_daily_table)))</f>
        <v>#N/A</v>
      </c>
    </row>
    <row r="3919" ht="14.25" customHeight="1">
      <c r="B3919" s="7">
        <v>44824.0</v>
      </c>
      <c r="C3919" s="7">
        <f t="shared" si="1"/>
        <v>44822</v>
      </c>
      <c r="D3919" s="1" t="str">
        <f t="array" ref="D3919">IF(ISBLANK(XLOOKUP(D$3,daily_items,XLOOKUP($C3919,daily_dates,big_daily_table))),NA(),XLOOKUP(D$3,daily_items,XLOOKUP($C3919,daily_dates,big_daily_table)))</f>
        <v>#N/A</v>
      </c>
      <c r="E3919" s="1" t="str">
        <f t="array" ref="E3919">IF(ISBLANK(XLOOKUP(E$3,daily_items,XLOOKUP($C3919,daily_dates,big_daily_table))),NA(),XLOOKUP(E$3,daily_items,XLOOKUP($C3919,daily_dates,big_daily_table)))</f>
        <v>#N/A</v>
      </c>
    </row>
    <row r="3920" ht="14.25" customHeight="1">
      <c r="B3920" s="7">
        <v>44825.0</v>
      </c>
      <c r="C3920" s="7">
        <f t="shared" si="1"/>
        <v>44822</v>
      </c>
      <c r="D3920" s="1" t="str">
        <f t="array" ref="D3920">IF(ISBLANK(XLOOKUP(D$3,daily_items,XLOOKUP($C3920,daily_dates,big_daily_table))),NA(),XLOOKUP(D$3,daily_items,XLOOKUP($C3920,daily_dates,big_daily_table)))</f>
        <v>#N/A</v>
      </c>
      <c r="E3920" s="1" t="str">
        <f t="array" ref="E3920">IF(ISBLANK(XLOOKUP(E$3,daily_items,XLOOKUP($C3920,daily_dates,big_daily_table))),NA(),XLOOKUP(E$3,daily_items,XLOOKUP($C3920,daily_dates,big_daily_table)))</f>
        <v>#N/A</v>
      </c>
    </row>
    <row r="3921" ht="14.25" customHeight="1">
      <c r="B3921" s="7">
        <v>44826.0</v>
      </c>
      <c r="C3921" s="7">
        <f t="shared" si="1"/>
        <v>44822</v>
      </c>
      <c r="D3921" s="1" t="str">
        <f t="array" ref="D3921">IF(ISBLANK(XLOOKUP(D$3,daily_items,XLOOKUP($C3921,daily_dates,big_daily_table))),NA(),XLOOKUP(D$3,daily_items,XLOOKUP($C3921,daily_dates,big_daily_table)))</f>
        <v>#N/A</v>
      </c>
      <c r="E3921" s="1" t="str">
        <f t="array" ref="E3921">IF(ISBLANK(XLOOKUP(E$3,daily_items,XLOOKUP($C3921,daily_dates,big_daily_table))),NA(),XLOOKUP(E$3,daily_items,XLOOKUP($C3921,daily_dates,big_daily_table)))</f>
        <v>#N/A</v>
      </c>
    </row>
    <row r="3922" ht="14.25" customHeight="1">
      <c r="B3922" s="7">
        <v>44827.0</v>
      </c>
      <c r="C3922" s="7">
        <f t="shared" si="1"/>
        <v>44822</v>
      </c>
      <c r="D3922" s="1" t="str">
        <f t="array" ref="D3922">IF(ISBLANK(XLOOKUP(D$3,daily_items,XLOOKUP($C3922,daily_dates,big_daily_table))),NA(),XLOOKUP(D$3,daily_items,XLOOKUP($C3922,daily_dates,big_daily_table)))</f>
        <v>#N/A</v>
      </c>
      <c r="E3922" s="1" t="str">
        <f t="array" ref="E3922">IF(ISBLANK(XLOOKUP(E$3,daily_items,XLOOKUP($C3922,daily_dates,big_daily_table))),NA(),XLOOKUP(E$3,daily_items,XLOOKUP($C3922,daily_dates,big_daily_table)))</f>
        <v>#N/A</v>
      </c>
    </row>
    <row r="3923" ht="14.25" customHeight="1">
      <c r="B3923" s="7">
        <v>44828.0</v>
      </c>
      <c r="C3923" s="7">
        <f t="shared" si="1"/>
        <v>44822</v>
      </c>
      <c r="D3923" s="1" t="str">
        <f t="array" ref="D3923">IF(ISBLANK(XLOOKUP(D$3,daily_items,XLOOKUP($C3923,daily_dates,big_daily_table))),NA(),XLOOKUP(D$3,daily_items,XLOOKUP($C3923,daily_dates,big_daily_table)))</f>
        <v>#N/A</v>
      </c>
      <c r="E3923" s="1" t="str">
        <f t="array" ref="E3923">IF(ISBLANK(XLOOKUP(E$3,daily_items,XLOOKUP($C3923,daily_dates,big_daily_table))),NA(),XLOOKUP(E$3,daily_items,XLOOKUP($C3923,daily_dates,big_daily_table)))</f>
        <v>#N/A</v>
      </c>
    </row>
    <row r="3924" ht="14.25" customHeight="1">
      <c r="B3924" s="7">
        <v>44829.0</v>
      </c>
      <c r="C3924" s="7">
        <f t="shared" si="1"/>
        <v>44829</v>
      </c>
      <c r="D3924" s="1" t="str">
        <f t="array" ref="D3924">IF(ISBLANK(XLOOKUP(D$3,daily_items,XLOOKUP($C3924,daily_dates,big_daily_table))),NA(),XLOOKUP(D$3,daily_items,XLOOKUP($C3924,daily_dates,big_daily_table)))</f>
        <v>#N/A</v>
      </c>
      <c r="E3924" s="1" t="str">
        <f t="array" ref="E3924">IF(ISBLANK(XLOOKUP(E$3,daily_items,XLOOKUP($C3924,daily_dates,big_daily_table))),NA(),XLOOKUP(E$3,daily_items,XLOOKUP($C3924,daily_dates,big_daily_table)))</f>
        <v>#N/A</v>
      </c>
    </row>
    <row r="3925" ht="14.25" customHeight="1">
      <c r="B3925" s="7">
        <v>44830.0</v>
      </c>
      <c r="C3925" s="7">
        <f t="shared" si="1"/>
        <v>44829</v>
      </c>
      <c r="D3925" s="1" t="str">
        <f t="array" ref="D3925">IF(ISBLANK(XLOOKUP(D$3,daily_items,XLOOKUP($C3925,daily_dates,big_daily_table))),NA(),XLOOKUP(D$3,daily_items,XLOOKUP($C3925,daily_dates,big_daily_table)))</f>
        <v>#N/A</v>
      </c>
      <c r="E3925" s="1" t="str">
        <f t="array" ref="E3925">IF(ISBLANK(XLOOKUP(E$3,daily_items,XLOOKUP($C3925,daily_dates,big_daily_table))),NA(),XLOOKUP(E$3,daily_items,XLOOKUP($C3925,daily_dates,big_daily_table)))</f>
        <v>#N/A</v>
      </c>
    </row>
    <row r="3926" ht="14.25" customHeight="1">
      <c r="B3926" s="7">
        <v>44831.0</v>
      </c>
      <c r="C3926" s="7">
        <f t="shared" si="1"/>
        <v>44829</v>
      </c>
      <c r="D3926" s="1" t="str">
        <f t="array" ref="D3926">IF(ISBLANK(XLOOKUP(D$3,daily_items,XLOOKUP($C3926,daily_dates,big_daily_table))),NA(),XLOOKUP(D$3,daily_items,XLOOKUP($C3926,daily_dates,big_daily_table)))</f>
        <v>#N/A</v>
      </c>
      <c r="E3926" s="1" t="str">
        <f t="array" ref="E3926">IF(ISBLANK(XLOOKUP(E$3,daily_items,XLOOKUP($C3926,daily_dates,big_daily_table))),NA(),XLOOKUP(E$3,daily_items,XLOOKUP($C3926,daily_dates,big_daily_table)))</f>
        <v>#N/A</v>
      </c>
    </row>
    <row r="3927" ht="14.25" customHeight="1">
      <c r="B3927" s="7">
        <v>44832.0</v>
      </c>
      <c r="C3927" s="7">
        <f t="shared" si="1"/>
        <v>44829</v>
      </c>
      <c r="D3927" s="1" t="str">
        <f t="array" ref="D3927">IF(ISBLANK(XLOOKUP(D$3,daily_items,XLOOKUP($C3927,daily_dates,big_daily_table))),NA(),XLOOKUP(D$3,daily_items,XLOOKUP($C3927,daily_dates,big_daily_table)))</f>
        <v>#N/A</v>
      </c>
      <c r="E3927" s="1" t="str">
        <f t="array" ref="E3927">IF(ISBLANK(XLOOKUP(E$3,daily_items,XLOOKUP($C3927,daily_dates,big_daily_table))),NA(),XLOOKUP(E$3,daily_items,XLOOKUP($C3927,daily_dates,big_daily_table)))</f>
        <v>#N/A</v>
      </c>
    </row>
    <row r="3928" ht="14.25" customHeight="1">
      <c r="B3928" s="7">
        <v>44833.0</v>
      </c>
      <c r="C3928" s="7">
        <f t="shared" si="1"/>
        <v>44829</v>
      </c>
      <c r="D3928" s="1" t="str">
        <f t="array" ref="D3928">IF(ISBLANK(XLOOKUP(D$3,daily_items,XLOOKUP($C3928,daily_dates,big_daily_table))),NA(),XLOOKUP(D$3,daily_items,XLOOKUP($C3928,daily_dates,big_daily_table)))</f>
        <v>#N/A</v>
      </c>
      <c r="E3928" s="1" t="str">
        <f t="array" ref="E3928">IF(ISBLANK(XLOOKUP(E$3,daily_items,XLOOKUP($C3928,daily_dates,big_daily_table))),NA(),XLOOKUP(E$3,daily_items,XLOOKUP($C3928,daily_dates,big_daily_table)))</f>
        <v>#N/A</v>
      </c>
    </row>
    <row r="3929" ht="14.25" customHeight="1">
      <c r="B3929" s="7">
        <v>44834.0</v>
      </c>
      <c r="C3929" s="7">
        <f t="shared" si="1"/>
        <v>44829</v>
      </c>
      <c r="D3929" s="1" t="str">
        <f t="array" ref="D3929">IF(ISBLANK(XLOOKUP(D$3,daily_items,XLOOKUP($C3929,daily_dates,big_daily_table))),NA(),XLOOKUP(D$3,daily_items,XLOOKUP($C3929,daily_dates,big_daily_table)))</f>
        <v>#N/A</v>
      </c>
      <c r="E3929" s="1" t="str">
        <f t="array" ref="E3929">IF(ISBLANK(XLOOKUP(E$3,daily_items,XLOOKUP($C3929,daily_dates,big_daily_table))),NA(),XLOOKUP(E$3,daily_items,XLOOKUP($C3929,daily_dates,big_daily_table)))</f>
        <v>#N/A</v>
      </c>
    </row>
    <row r="3930" ht="14.25" customHeight="1">
      <c r="B3930" s="7">
        <v>44835.0</v>
      </c>
      <c r="C3930" s="7">
        <f t="shared" si="1"/>
        <v>44829</v>
      </c>
      <c r="D3930" s="1" t="str">
        <f t="array" ref="D3930">IF(ISBLANK(XLOOKUP(D$3,daily_items,XLOOKUP($C3930,daily_dates,big_daily_table))),NA(),XLOOKUP(D$3,daily_items,XLOOKUP($C3930,daily_dates,big_daily_table)))</f>
        <v>#N/A</v>
      </c>
      <c r="E3930" s="1" t="str">
        <f t="array" ref="E3930">IF(ISBLANK(XLOOKUP(E$3,daily_items,XLOOKUP($C3930,daily_dates,big_daily_table))),NA(),XLOOKUP(E$3,daily_items,XLOOKUP($C3930,daily_dates,big_daily_table)))</f>
        <v>#N/A</v>
      </c>
    </row>
    <row r="3931" ht="14.25" customHeight="1">
      <c r="B3931" s="7">
        <v>44836.0</v>
      </c>
      <c r="C3931" s="7">
        <f t="shared" si="1"/>
        <v>44836</v>
      </c>
      <c r="D3931" s="1" t="str">
        <f t="array" ref="D3931">IF(ISBLANK(XLOOKUP(D$3,daily_items,XLOOKUP($C3931,daily_dates,big_daily_table))),NA(),XLOOKUP(D$3,daily_items,XLOOKUP($C3931,daily_dates,big_daily_table)))</f>
        <v>#N/A</v>
      </c>
      <c r="E3931" s="1" t="str">
        <f t="array" ref="E3931">IF(ISBLANK(XLOOKUP(E$3,daily_items,XLOOKUP($C3931,daily_dates,big_daily_table))),NA(),XLOOKUP(E$3,daily_items,XLOOKUP($C3931,daily_dates,big_daily_table)))</f>
        <v>#N/A</v>
      </c>
    </row>
    <row r="3932" ht="14.25" customHeight="1">
      <c r="B3932" s="7">
        <v>44837.0</v>
      </c>
      <c r="C3932" s="7">
        <f t="shared" si="1"/>
        <v>44836</v>
      </c>
      <c r="D3932" s="1" t="str">
        <f t="array" ref="D3932">IF(ISBLANK(XLOOKUP(D$3,daily_items,XLOOKUP($C3932,daily_dates,big_daily_table))),NA(),XLOOKUP(D$3,daily_items,XLOOKUP($C3932,daily_dates,big_daily_table)))</f>
        <v>#N/A</v>
      </c>
      <c r="E3932" s="1" t="str">
        <f t="array" ref="E3932">IF(ISBLANK(XLOOKUP(E$3,daily_items,XLOOKUP($C3932,daily_dates,big_daily_table))),NA(),XLOOKUP(E$3,daily_items,XLOOKUP($C3932,daily_dates,big_daily_table)))</f>
        <v>#N/A</v>
      </c>
    </row>
    <row r="3933" ht="14.25" customHeight="1">
      <c r="B3933" s="7">
        <v>44838.0</v>
      </c>
      <c r="C3933" s="7">
        <f t="shared" si="1"/>
        <v>44836</v>
      </c>
      <c r="D3933" s="1" t="str">
        <f t="array" ref="D3933">IF(ISBLANK(XLOOKUP(D$3,daily_items,XLOOKUP($C3933,daily_dates,big_daily_table))),NA(),XLOOKUP(D$3,daily_items,XLOOKUP($C3933,daily_dates,big_daily_table)))</f>
        <v>#N/A</v>
      </c>
      <c r="E3933" s="1" t="str">
        <f t="array" ref="E3933">IF(ISBLANK(XLOOKUP(E$3,daily_items,XLOOKUP($C3933,daily_dates,big_daily_table))),NA(),XLOOKUP(E$3,daily_items,XLOOKUP($C3933,daily_dates,big_daily_table)))</f>
        <v>#N/A</v>
      </c>
    </row>
    <row r="3934" ht="14.25" customHeight="1">
      <c r="B3934" s="7">
        <v>44839.0</v>
      </c>
      <c r="C3934" s="7">
        <f t="shared" si="1"/>
        <v>44836</v>
      </c>
      <c r="D3934" s="1" t="str">
        <f t="array" ref="D3934">IF(ISBLANK(XLOOKUP(D$3,daily_items,XLOOKUP($C3934,daily_dates,big_daily_table))),NA(),XLOOKUP(D$3,daily_items,XLOOKUP($C3934,daily_dates,big_daily_table)))</f>
        <v>#N/A</v>
      </c>
      <c r="E3934" s="1" t="str">
        <f t="array" ref="E3934">IF(ISBLANK(XLOOKUP(E$3,daily_items,XLOOKUP($C3934,daily_dates,big_daily_table))),NA(),XLOOKUP(E$3,daily_items,XLOOKUP($C3934,daily_dates,big_daily_table)))</f>
        <v>#N/A</v>
      </c>
    </row>
    <row r="3935" ht="14.25" customHeight="1">
      <c r="B3935" s="7">
        <v>44840.0</v>
      </c>
      <c r="C3935" s="7">
        <f t="shared" si="1"/>
        <v>44836</v>
      </c>
      <c r="D3935" s="1" t="str">
        <f t="array" ref="D3935">IF(ISBLANK(XLOOKUP(D$3,daily_items,XLOOKUP($C3935,daily_dates,big_daily_table))),NA(),XLOOKUP(D$3,daily_items,XLOOKUP($C3935,daily_dates,big_daily_table)))</f>
        <v>#N/A</v>
      </c>
      <c r="E3935" s="1" t="str">
        <f t="array" ref="E3935">IF(ISBLANK(XLOOKUP(E$3,daily_items,XLOOKUP($C3935,daily_dates,big_daily_table))),NA(),XLOOKUP(E$3,daily_items,XLOOKUP($C3935,daily_dates,big_daily_table)))</f>
        <v>#N/A</v>
      </c>
    </row>
    <row r="3936" ht="14.25" customHeight="1">
      <c r="B3936" s="7">
        <v>44841.0</v>
      </c>
      <c r="C3936" s="7">
        <f t="shared" si="1"/>
        <v>44836</v>
      </c>
      <c r="D3936" s="1" t="str">
        <f t="array" ref="D3936">IF(ISBLANK(XLOOKUP(D$3,daily_items,XLOOKUP($C3936,daily_dates,big_daily_table))),NA(),XLOOKUP(D$3,daily_items,XLOOKUP($C3936,daily_dates,big_daily_table)))</f>
        <v>#N/A</v>
      </c>
      <c r="E3936" s="1" t="str">
        <f t="array" ref="E3936">IF(ISBLANK(XLOOKUP(E$3,daily_items,XLOOKUP($C3936,daily_dates,big_daily_table))),NA(),XLOOKUP(E$3,daily_items,XLOOKUP($C3936,daily_dates,big_daily_table)))</f>
        <v>#N/A</v>
      </c>
    </row>
    <row r="3937" ht="14.25" customHeight="1">
      <c r="B3937" s="7">
        <v>44842.0</v>
      </c>
      <c r="C3937" s="7">
        <f t="shared" si="1"/>
        <v>44836</v>
      </c>
      <c r="D3937" s="1" t="str">
        <f t="array" ref="D3937">IF(ISBLANK(XLOOKUP(D$3,daily_items,XLOOKUP($C3937,daily_dates,big_daily_table))),NA(),XLOOKUP(D$3,daily_items,XLOOKUP($C3937,daily_dates,big_daily_table)))</f>
        <v>#N/A</v>
      </c>
      <c r="E3937" s="1" t="str">
        <f t="array" ref="E3937">IF(ISBLANK(XLOOKUP(E$3,daily_items,XLOOKUP($C3937,daily_dates,big_daily_table))),NA(),XLOOKUP(E$3,daily_items,XLOOKUP($C3937,daily_dates,big_daily_table)))</f>
        <v>#N/A</v>
      </c>
    </row>
    <row r="3938" ht="14.25" customHeight="1">
      <c r="B3938" s="7">
        <v>44843.0</v>
      </c>
      <c r="C3938" s="7">
        <f t="shared" si="1"/>
        <v>44843</v>
      </c>
      <c r="D3938" s="1" t="str">
        <f t="array" ref="D3938">IF(ISBLANK(XLOOKUP(D$3,daily_items,XLOOKUP($C3938,daily_dates,big_daily_table))),NA(),XLOOKUP(D$3,daily_items,XLOOKUP($C3938,daily_dates,big_daily_table)))</f>
        <v>#N/A</v>
      </c>
      <c r="E3938" s="1" t="str">
        <f t="array" ref="E3938">IF(ISBLANK(XLOOKUP(E$3,daily_items,XLOOKUP($C3938,daily_dates,big_daily_table))),NA(),XLOOKUP(E$3,daily_items,XLOOKUP($C3938,daily_dates,big_daily_table)))</f>
        <v>#N/A</v>
      </c>
    </row>
    <row r="3939" ht="14.25" customHeight="1">
      <c r="B3939" s="7">
        <v>44844.0</v>
      </c>
      <c r="C3939" s="7">
        <f t="shared" si="1"/>
        <v>44843</v>
      </c>
      <c r="D3939" s="1" t="str">
        <f t="array" ref="D3939">IF(ISBLANK(XLOOKUP(D$3,daily_items,XLOOKUP($C3939,daily_dates,big_daily_table))),NA(),XLOOKUP(D$3,daily_items,XLOOKUP($C3939,daily_dates,big_daily_table)))</f>
        <v>#N/A</v>
      </c>
      <c r="E3939" s="1" t="str">
        <f t="array" ref="E3939">IF(ISBLANK(XLOOKUP(E$3,daily_items,XLOOKUP($C3939,daily_dates,big_daily_table))),NA(),XLOOKUP(E$3,daily_items,XLOOKUP($C3939,daily_dates,big_daily_table)))</f>
        <v>#N/A</v>
      </c>
    </row>
    <row r="3940" ht="14.25" customHeight="1">
      <c r="B3940" s="7">
        <v>44845.0</v>
      </c>
      <c r="C3940" s="7">
        <f t="shared" si="1"/>
        <v>44843</v>
      </c>
      <c r="D3940" s="1" t="str">
        <f t="array" ref="D3940">IF(ISBLANK(XLOOKUP(D$3,daily_items,XLOOKUP($C3940,daily_dates,big_daily_table))),NA(),XLOOKUP(D$3,daily_items,XLOOKUP($C3940,daily_dates,big_daily_table)))</f>
        <v>#N/A</v>
      </c>
      <c r="E3940" s="1" t="str">
        <f t="array" ref="E3940">IF(ISBLANK(XLOOKUP(E$3,daily_items,XLOOKUP($C3940,daily_dates,big_daily_table))),NA(),XLOOKUP(E$3,daily_items,XLOOKUP($C3940,daily_dates,big_daily_table)))</f>
        <v>#N/A</v>
      </c>
    </row>
    <row r="3941" ht="14.25" customHeight="1">
      <c r="B3941" s="7">
        <v>44846.0</v>
      </c>
      <c r="C3941" s="7">
        <f t="shared" si="1"/>
        <v>44843</v>
      </c>
      <c r="D3941" s="1" t="str">
        <f t="array" ref="D3941">IF(ISBLANK(XLOOKUP(D$3,daily_items,XLOOKUP($C3941,daily_dates,big_daily_table))),NA(),XLOOKUP(D$3,daily_items,XLOOKUP($C3941,daily_dates,big_daily_table)))</f>
        <v>#N/A</v>
      </c>
      <c r="E3941" s="1" t="str">
        <f t="array" ref="E3941">IF(ISBLANK(XLOOKUP(E$3,daily_items,XLOOKUP($C3941,daily_dates,big_daily_table))),NA(),XLOOKUP(E$3,daily_items,XLOOKUP($C3941,daily_dates,big_daily_table)))</f>
        <v>#N/A</v>
      </c>
    </row>
    <row r="3942" ht="14.25" customHeight="1">
      <c r="B3942" s="7">
        <v>44847.0</v>
      </c>
      <c r="C3942" s="7">
        <f t="shared" si="1"/>
        <v>44843</v>
      </c>
      <c r="D3942" s="1" t="str">
        <f t="array" ref="D3942">IF(ISBLANK(XLOOKUP(D$3,daily_items,XLOOKUP($C3942,daily_dates,big_daily_table))),NA(),XLOOKUP(D$3,daily_items,XLOOKUP($C3942,daily_dates,big_daily_table)))</f>
        <v>#N/A</v>
      </c>
      <c r="E3942" s="1" t="str">
        <f t="array" ref="E3942">IF(ISBLANK(XLOOKUP(E$3,daily_items,XLOOKUP($C3942,daily_dates,big_daily_table))),NA(),XLOOKUP(E$3,daily_items,XLOOKUP($C3942,daily_dates,big_daily_table)))</f>
        <v>#N/A</v>
      </c>
    </row>
    <row r="3943" ht="14.25" customHeight="1">
      <c r="B3943" s="7">
        <v>44848.0</v>
      </c>
      <c r="C3943" s="7">
        <f t="shared" si="1"/>
        <v>44843</v>
      </c>
      <c r="D3943" s="1" t="str">
        <f t="array" ref="D3943">IF(ISBLANK(XLOOKUP(D$3,daily_items,XLOOKUP($C3943,daily_dates,big_daily_table))),NA(),XLOOKUP(D$3,daily_items,XLOOKUP($C3943,daily_dates,big_daily_table)))</f>
        <v>#N/A</v>
      </c>
      <c r="E3943" s="1" t="str">
        <f t="array" ref="E3943">IF(ISBLANK(XLOOKUP(E$3,daily_items,XLOOKUP($C3943,daily_dates,big_daily_table))),NA(),XLOOKUP(E$3,daily_items,XLOOKUP($C3943,daily_dates,big_daily_table)))</f>
        <v>#N/A</v>
      </c>
    </row>
    <row r="3944" ht="14.25" customHeight="1">
      <c r="B3944" s="7">
        <v>44849.0</v>
      </c>
      <c r="C3944" s="7">
        <f t="shared" si="1"/>
        <v>44843</v>
      </c>
      <c r="D3944" s="1" t="str">
        <f t="array" ref="D3944">IF(ISBLANK(XLOOKUP(D$3,daily_items,XLOOKUP($C3944,daily_dates,big_daily_table))),NA(),XLOOKUP(D$3,daily_items,XLOOKUP($C3944,daily_dates,big_daily_table)))</f>
        <v>#N/A</v>
      </c>
      <c r="E3944" s="1" t="str">
        <f t="array" ref="E3944">IF(ISBLANK(XLOOKUP(E$3,daily_items,XLOOKUP($C3944,daily_dates,big_daily_table))),NA(),XLOOKUP(E$3,daily_items,XLOOKUP($C3944,daily_dates,big_daily_table)))</f>
        <v>#N/A</v>
      </c>
    </row>
    <row r="3945" ht="14.25" customHeight="1">
      <c r="B3945" s="7">
        <v>44850.0</v>
      </c>
      <c r="C3945" s="7">
        <f t="shared" si="1"/>
        <v>44850</v>
      </c>
      <c r="D3945" s="1" t="str">
        <f t="array" ref="D3945">IF(ISBLANK(XLOOKUP(D$3,daily_items,XLOOKUP($C3945,daily_dates,big_daily_table))),NA(),XLOOKUP(D$3,daily_items,XLOOKUP($C3945,daily_dates,big_daily_table)))</f>
        <v>#N/A</v>
      </c>
      <c r="E3945" s="1" t="str">
        <f t="array" ref="E3945">IF(ISBLANK(XLOOKUP(E$3,daily_items,XLOOKUP($C3945,daily_dates,big_daily_table))),NA(),XLOOKUP(E$3,daily_items,XLOOKUP($C3945,daily_dates,big_daily_table)))</f>
        <v>#N/A</v>
      </c>
    </row>
    <row r="3946" ht="14.25" customHeight="1">
      <c r="B3946" s="7">
        <v>44851.0</v>
      </c>
      <c r="C3946" s="7">
        <f t="shared" si="1"/>
        <v>44850</v>
      </c>
      <c r="D3946" s="1" t="str">
        <f t="array" ref="D3946">IF(ISBLANK(XLOOKUP(D$3,daily_items,XLOOKUP($C3946,daily_dates,big_daily_table))),NA(),XLOOKUP(D$3,daily_items,XLOOKUP($C3946,daily_dates,big_daily_table)))</f>
        <v>#N/A</v>
      </c>
      <c r="E3946" s="1" t="str">
        <f t="array" ref="E3946">IF(ISBLANK(XLOOKUP(E$3,daily_items,XLOOKUP($C3946,daily_dates,big_daily_table))),NA(),XLOOKUP(E$3,daily_items,XLOOKUP($C3946,daily_dates,big_daily_table)))</f>
        <v>#N/A</v>
      </c>
    </row>
    <row r="3947" ht="14.25" customHeight="1">
      <c r="B3947" s="7">
        <v>44852.0</v>
      </c>
      <c r="C3947" s="7">
        <f t="shared" si="1"/>
        <v>44850</v>
      </c>
      <c r="D3947" s="1" t="str">
        <f t="array" ref="D3947">IF(ISBLANK(XLOOKUP(D$3,daily_items,XLOOKUP($C3947,daily_dates,big_daily_table))),NA(),XLOOKUP(D$3,daily_items,XLOOKUP($C3947,daily_dates,big_daily_table)))</f>
        <v>#N/A</v>
      </c>
      <c r="E3947" s="1" t="str">
        <f t="array" ref="E3947">IF(ISBLANK(XLOOKUP(E$3,daily_items,XLOOKUP($C3947,daily_dates,big_daily_table))),NA(),XLOOKUP(E$3,daily_items,XLOOKUP($C3947,daily_dates,big_daily_table)))</f>
        <v>#N/A</v>
      </c>
    </row>
    <row r="3948" ht="14.25" customHeight="1">
      <c r="B3948" s="7">
        <v>44853.0</v>
      </c>
      <c r="C3948" s="7">
        <f t="shared" si="1"/>
        <v>44850</v>
      </c>
      <c r="D3948" s="1" t="str">
        <f t="array" ref="D3948">IF(ISBLANK(XLOOKUP(D$3,daily_items,XLOOKUP($C3948,daily_dates,big_daily_table))),NA(),XLOOKUP(D$3,daily_items,XLOOKUP($C3948,daily_dates,big_daily_table)))</f>
        <v>#N/A</v>
      </c>
      <c r="E3948" s="1" t="str">
        <f t="array" ref="E3948">IF(ISBLANK(XLOOKUP(E$3,daily_items,XLOOKUP($C3948,daily_dates,big_daily_table))),NA(),XLOOKUP(E$3,daily_items,XLOOKUP($C3948,daily_dates,big_daily_table)))</f>
        <v>#N/A</v>
      </c>
    </row>
    <row r="3949" ht="14.25" customHeight="1">
      <c r="B3949" s="7">
        <v>44854.0</v>
      </c>
      <c r="C3949" s="7">
        <f t="shared" si="1"/>
        <v>44850</v>
      </c>
      <c r="D3949" s="1" t="str">
        <f t="array" ref="D3949">IF(ISBLANK(XLOOKUP(D$3,daily_items,XLOOKUP($C3949,daily_dates,big_daily_table))),NA(),XLOOKUP(D$3,daily_items,XLOOKUP($C3949,daily_dates,big_daily_table)))</f>
        <v>#N/A</v>
      </c>
      <c r="E3949" s="1" t="str">
        <f t="array" ref="E3949">IF(ISBLANK(XLOOKUP(E$3,daily_items,XLOOKUP($C3949,daily_dates,big_daily_table))),NA(),XLOOKUP(E$3,daily_items,XLOOKUP($C3949,daily_dates,big_daily_table)))</f>
        <v>#N/A</v>
      </c>
    </row>
    <row r="3950" ht="14.25" customHeight="1">
      <c r="B3950" s="7">
        <v>44855.0</v>
      </c>
      <c r="C3950" s="7">
        <f t="shared" si="1"/>
        <v>44850</v>
      </c>
      <c r="D3950" s="1" t="str">
        <f t="array" ref="D3950">IF(ISBLANK(XLOOKUP(D$3,daily_items,XLOOKUP($C3950,daily_dates,big_daily_table))),NA(),XLOOKUP(D$3,daily_items,XLOOKUP($C3950,daily_dates,big_daily_table)))</f>
        <v>#N/A</v>
      </c>
      <c r="E3950" s="1" t="str">
        <f t="array" ref="E3950">IF(ISBLANK(XLOOKUP(E$3,daily_items,XLOOKUP($C3950,daily_dates,big_daily_table))),NA(),XLOOKUP(E$3,daily_items,XLOOKUP($C3950,daily_dates,big_daily_table)))</f>
        <v>#N/A</v>
      </c>
    </row>
    <row r="3951" ht="14.25" customHeight="1">
      <c r="B3951" s="7">
        <v>44856.0</v>
      </c>
      <c r="C3951" s="7">
        <f t="shared" si="1"/>
        <v>44850</v>
      </c>
      <c r="D3951" s="1" t="str">
        <f t="array" ref="D3951">IF(ISBLANK(XLOOKUP(D$3,daily_items,XLOOKUP($C3951,daily_dates,big_daily_table))),NA(),XLOOKUP(D$3,daily_items,XLOOKUP($C3951,daily_dates,big_daily_table)))</f>
        <v>#N/A</v>
      </c>
      <c r="E3951" s="1" t="str">
        <f t="array" ref="E3951">IF(ISBLANK(XLOOKUP(E$3,daily_items,XLOOKUP($C3951,daily_dates,big_daily_table))),NA(),XLOOKUP(E$3,daily_items,XLOOKUP($C3951,daily_dates,big_daily_table)))</f>
        <v>#N/A</v>
      </c>
    </row>
    <row r="3952" ht="14.25" customHeight="1">
      <c r="B3952" s="7">
        <v>44857.0</v>
      </c>
      <c r="C3952" s="7">
        <f t="shared" si="1"/>
        <v>44857</v>
      </c>
      <c r="D3952" s="1" t="str">
        <f t="array" ref="D3952">IF(ISBLANK(XLOOKUP(D$3,daily_items,XLOOKUP($C3952,daily_dates,big_daily_table))),NA(),XLOOKUP(D$3,daily_items,XLOOKUP($C3952,daily_dates,big_daily_table)))</f>
        <v>#N/A</v>
      </c>
      <c r="E3952" s="1" t="str">
        <f t="array" ref="E3952">IF(ISBLANK(XLOOKUP(E$3,daily_items,XLOOKUP($C3952,daily_dates,big_daily_table))),NA(),XLOOKUP(E$3,daily_items,XLOOKUP($C3952,daily_dates,big_daily_table)))</f>
        <v>#N/A</v>
      </c>
    </row>
    <row r="3953" ht="14.25" customHeight="1">
      <c r="B3953" s="7">
        <v>44858.0</v>
      </c>
      <c r="C3953" s="7">
        <f t="shared" si="1"/>
        <v>44857</v>
      </c>
      <c r="D3953" s="1" t="str">
        <f t="array" ref="D3953">IF(ISBLANK(XLOOKUP(D$3,daily_items,XLOOKUP($C3953,daily_dates,big_daily_table))),NA(),XLOOKUP(D$3,daily_items,XLOOKUP($C3953,daily_dates,big_daily_table)))</f>
        <v>#N/A</v>
      </c>
      <c r="E3953" s="1" t="str">
        <f t="array" ref="E3953">IF(ISBLANK(XLOOKUP(E$3,daily_items,XLOOKUP($C3953,daily_dates,big_daily_table))),NA(),XLOOKUP(E$3,daily_items,XLOOKUP($C3953,daily_dates,big_daily_table)))</f>
        <v>#N/A</v>
      </c>
    </row>
    <row r="3954" ht="14.25" customHeight="1">
      <c r="B3954" s="7">
        <v>44859.0</v>
      </c>
      <c r="C3954" s="7">
        <f t="shared" si="1"/>
        <v>44857</v>
      </c>
      <c r="D3954" s="1" t="str">
        <f t="array" ref="D3954">IF(ISBLANK(XLOOKUP(D$3,daily_items,XLOOKUP($C3954,daily_dates,big_daily_table))),NA(),XLOOKUP(D$3,daily_items,XLOOKUP($C3954,daily_dates,big_daily_table)))</f>
        <v>#N/A</v>
      </c>
      <c r="E3954" s="1" t="str">
        <f t="array" ref="E3954">IF(ISBLANK(XLOOKUP(E$3,daily_items,XLOOKUP($C3954,daily_dates,big_daily_table))),NA(),XLOOKUP(E$3,daily_items,XLOOKUP($C3954,daily_dates,big_daily_table)))</f>
        <v>#N/A</v>
      </c>
    </row>
    <row r="3955" ht="14.25" customHeight="1">
      <c r="B3955" s="7">
        <v>44860.0</v>
      </c>
      <c r="C3955" s="7">
        <f t="shared" si="1"/>
        <v>44857</v>
      </c>
      <c r="D3955" s="1" t="str">
        <f t="array" ref="D3955">IF(ISBLANK(XLOOKUP(D$3,daily_items,XLOOKUP($C3955,daily_dates,big_daily_table))),NA(),XLOOKUP(D$3,daily_items,XLOOKUP($C3955,daily_dates,big_daily_table)))</f>
        <v>#N/A</v>
      </c>
      <c r="E3955" s="1" t="str">
        <f t="array" ref="E3955">IF(ISBLANK(XLOOKUP(E$3,daily_items,XLOOKUP($C3955,daily_dates,big_daily_table))),NA(),XLOOKUP(E$3,daily_items,XLOOKUP($C3955,daily_dates,big_daily_table)))</f>
        <v>#N/A</v>
      </c>
    </row>
    <row r="3956" ht="14.25" customHeight="1">
      <c r="B3956" s="7">
        <v>44861.0</v>
      </c>
      <c r="C3956" s="7">
        <f t="shared" si="1"/>
        <v>44857</v>
      </c>
      <c r="D3956" s="1" t="str">
        <f t="array" ref="D3956">IF(ISBLANK(XLOOKUP(D$3,daily_items,XLOOKUP($C3956,daily_dates,big_daily_table))),NA(),XLOOKUP(D$3,daily_items,XLOOKUP($C3956,daily_dates,big_daily_table)))</f>
        <v>#N/A</v>
      </c>
      <c r="E3956" s="1" t="str">
        <f t="array" ref="E3956">IF(ISBLANK(XLOOKUP(E$3,daily_items,XLOOKUP($C3956,daily_dates,big_daily_table))),NA(),XLOOKUP(E$3,daily_items,XLOOKUP($C3956,daily_dates,big_daily_table)))</f>
        <v>#N/A</v>
      </c>
    </row>
    <row r="3957" ht="14.25" customHeight="1">
      <c r="B3957" s="7">
        <v>44862.0</v>
      </c>
      <c r="C3957" s="7">
        <f t="shared" si="1"/>
        <v>44857</v>
      </c>
      <c r="D3957" s="1" t="str">
        <f t="array" ref="D3957">IF(ISBLANK(XLOOKUP(D$3,daily_items,XLOOKUP($C3957,daily_dates,big_daily_table))),NA(),XLOOKUP(D$3,daily_items,XLOOKUP($C3957,daily_dates,big_daily_table)))</f>
        <v>#N/A</v>
      </c>
      <c r="E3957" s="1" t="str">
        <f t="array" ref="E3957">IF(ISBLANK(XLOOKUP(E$3,daily_items,XLOOKUP($C3957,daily_dates,big_daily_table))),NA(),XLOOKUP(E$3,daily_items,XLOOKUP($C3957,daily_dates,big_daily_table)))</f>
        <v>#N/A</v>
      </c>
    </row>
    <row r="3958" ht="14.25" customHeight="1">
      <c r="B3958" s="7">
        <v>44863.0</v>
      </c>
      <c r="C3958" s="7">
        <f t="shared" si="1"/>
        <v>44857</v>
      </c>
      <c r="D3958" s="1" t="str">
        <f t="array" ref="D3958">IF(ISBLANK(XLOOKUP(D$3,daily_items,XLOOKUP($C3958,daily_dates,big_daily_table))),NA(),XLOOKUP(D$3,daily_items,XLOOKUP($C3958,daily_dates,big_daily_table)))</f>
        <v>#N/A</v>
      </c>
      <c r="E3958" s="1" t="str">
        <f t="array" ref="E3958">IF(ISBLANK(XLOOKUP(E$3,daily_items,XLOOKUP($C3958,daily_dates,big_daily_table))),NA(),XLOOKUP(E$3,daily_items,XLOOKUP($C3958,daily_dates,big_daily_table)))</f>
        <v>#N/A</v>
      </c>
    </row>
    <row r="3959" ht="14.25" customHeight="1">
      <c r="B3959" s="7">
        <v>44864.0</v>
      </c>
      <c r="C3959" s="7">
        <f t="shared" si="1"/>
        <v>44864</v>
      </c>
      <c r="D3959" s="1" t="str">
        <f t="array" ref="D3959">IF(ISBLANK(XLOOKUP(D$3,daily_items,XLOOKUP($C3959,daily_dates,big_daily_table))),NA(),XLOOKUP(D$3,daily_items,XLOOKUP($C3959,daily_dates,big_daily_table)))</f>
        <v>#N/A</v>
      </c>
      <c r="E3959" s="1" t="str">
        <f t="array" ref="E3959">IF(ISBLANK(XLOOKUP(E$3,daily_items,XLOOKUP($C3959,daily_dates,big_daily_table))),NA(),XLOOKUP(E$3,daily_items,XLOOKUP($C3959,daily_dates,big_daily_table)))</f>
        <v>#N/A</v>
      </c>
    </row>
    <row r="3960" ht="14.25" customHeight="1">
      <c r="B3960" s="7">
        <v>44865.0</v>
      </c>
      <c r="C3960" s="7">
        <f t="shared" si="1"/>
        <v>44864</v>
      </c>
      <c r="D3960" s="1" t="str">
        <f t="array" ref="D3960">IF(ISBLANK(XLOOKUP(D$3,daily_items,XLOOKUP($C3960,daily_dates,big_daily_table))),NA(),XLOOKUP(D$3,daily_items,XLOOKUP($C3960,daily_dates,big_daily_table)))</f>
        <v>#N/A</v>
      </c>
      <c r="E3960" s="1" t="str">
        <f t="array" ref="E3960">IF(ISBLANK(XLOOKUP(E$3,daily_items,XLOOKUP($C3960,daily_dates,big_daily_table))),NA(),XLOOKUP(E$3,daily_items,XLOOKUP($C3960,daily_dates,big_daily_table)))</f>
        <v>#N/A</v>
      </c>
    </row>
    <row r="3961" ht="14.25" customHeight="1">
      <c r="B3961" s="7">
        <v>44866.0</v>
      </c>
      <c r="C3961" s="7">
        <f t="shared" si="1"/>
        <v>44864</v>
      </c>
      <c r="D3961" s="1" t="str">
        <f t="array" ref="D3961">IF(ISBLANK(XLOOKUP(D$3,daily_items,XLOOKUP($C3961,daily_dates,big_daily_table))),NA(),XLOOKUP(D$3,daily_items,XLOOKUP($C3961,daily_dates,big_daily_table)))</f>
        <v>#N/A</v>
      </c>
      <c r="E3961" s="1" t="str">
        <f t="array" ref="E3961">IF(ISBLANK(XLOOKUP(E$3,daily_items,XLOOKUP($C3961,daily_dates,big_daily_table))),NA(),XLOOKUP(E$3,daily_items,XLOOKUP($C3961,daily_dates,big_daily_table)))</f>
        <v>#N/A</v>
      </c>
    </row>
    <row r="3962" ht="14.25" customHeight="1">
      <c r="B3962" s="7">
        <v>44867.0</v>
      </c>
      <c r="C3962" s="7">
        <f t="shared" si="1"/>
        <v>44864</v>
      </c>
      <c r="D3962" s="1" t="str">
        <f t="array" ref="D3962">IF(ISBLANK(XLOOKUP(D$3,daily_items,XLOOKUP($C3962,daily_dates,big_daily_table))),NA(),XLOOKUP(D$3,daily_items,XLOOKUP($C3962,daily_dates,big_daily_table)))</f>
        <v>#N/A</v>
      </c>
      <c r="E3962" s="1" t="str">
        <f t="array" ref="E3962">IF(ISBLANK(XLOOKUP(E$3,daily_items,XLOOKUP($C3962,daily_dates,big_daily_table))),NA(),XLOOKUP(E$3,daily_items,XLOOKUP($C3962,daily_dates,big_daily_table)))</f>
        <v>#N/A</v>
      </c>
    </row>
    <row r="3963" ht="14.25" customHeight="1">
      <c r="B3963" s="7">
        <v>44868.0</v>
      </c>
      <c r="C3963" s="7">
        <f t="shared" si="1"/>
        <v>44864</v>
      </c>
      <c r="D3963" s="1" t="str">
        <f t="array" ref="D3963">IF(ISBLANK(XLOOKUP(D$3,daily_items,XLOOKUP($C3963,daily_dates,big_daily_table))),NA(),XLOOKUP(D$3,daily_items,XLOOKUP($C3963,daily_dates,big_daily_table)))</f>
        <v>#N/A</v>
      </c>
      <c r="E3963" s="1" t="str">
        <f t="array" ref="E3963">IF(ISBLANK(XLOOKUP(E$3,daily_items,XLOOKUP($C3963,daily_dates,big_daily_table))),NA(),XLOOKUP(E$3,daily_items,XLOOKUP($C3963,daily_dates,big_daily_table)))</f>
        <v>#N/A</v>
      </c>
    </row>
    <row r="3964" ht="14.25" customHeight="1">
      <c r="B3964" s="7">
        <v>44869.0</v>
      </c>
      <c r="C3964" s="7">
        <f t="shared" si="1"/>
        <v>44864</v>
      </c>
      <c r="D3964" s="1" t="str">
        <f t="array" ref="D3964">IF(ISBLANK(XLOOKUP(D$3,daily_items,XLOOKUP($C3964,daily_dates,big_daily_table))),NA(),XLOOKUP(D$3,daily_items,XLOOKUP($C3964,daily_dates,big_daily_table)))</f>
        <v>#N/A</v>
      </c>
      <c r="E3964" s="1" t="str">
        <f t="array" ref="E3964">IF(ISBLANK(XLOOKUP(E$3,daily_items,XLOOKUP($C3964,daily_dates,big_daily_table))),NA(),XLOOKUP(E$3,daily_items,XLOOKUP($C3964,daily_dates,big_daily_table)))</f>
        <v>#N/A</v>
      </c>
    </row>
    <row r="3965" ht="14.25" customHeight="1">
      <c r="B3965" s="7">
        <v>44870.0</v>
      </c>
      <c r="C3965" s="7">
        <f t="shared" si="1"/>
        <v>44864</v>
      </c>
      <c r="D3965" s="1" t="str">
        <f t="array" ref="D3965">IF(ISBLANK(XLOOKUP(D$3,daily_items,XLOOKUP($C3965,daily_dates,big_daily_table))),NA(),XLOOKUP(D$3,daily_items,XLOOKUP($C3965,daily_dates,big_daily_table)))</f>
        <v>#N/A</v>
      </c>
      <c r="E3965" s="1" t="str">
        <f t="array" ref="E3965">IF(ISBLANK(XLOOKUP(E$3,daily_items,XLOOKUP($C3965,daily_dates,big_daily_table))),NA(),XLOOKUP(E$3,daily_items,XLOOKUP($C3965,daily_dates,big_daily_table)))</f>
        <v>#N/A</v>
      </c>
    </row>
    <row r="3966" ht="14.25" customHeight="1">
      <c r="B3966" s="7">
        <v>44871.0</v>
      </c>
      <c r="C3966" s="7">
        <f t="shared" si="1"/>
        <v>44871</v>
      </c>
      <c r="D3966" s="1" t="str">
        <f t="array" ref="D3966">IF(ISBLANK(XLOOKUP(D$3,daily_items,XLOOKUP($C3966,daily_dates,big_daily_table))),NA(),XLOOKUP(D$3,daily_items,XLOOKUP($C3966,daily_dates,big_daily_table)))</f>
        <v>#N/A</v>
      </c>
      <c r="E3966" s="1" t="str">
        <f t="array" ref="E3966">IF(ISBLANK(XLOOKUP(E$3,daily_items,XLOOKUP($C3966,daily_dates,big_daily_table))),NA(),XLOOKUP(E$3,daily_items,XLOOKUP($C3966,daily_dates,big_daily_table)))</f>
        <v>#N/A</v>
      </c>
    </row>
    <row r="3967" ht="14.25" customHeight="1">
      <c r="B3967" s="7">
        <v>44872.0</v>
      </c>
      <c r="C3967" s="7">
        <f t="shared" si="1"/>
        <v>44871</v>
      </c>
      <c r="D3967" s="1" t="str">
        <f t="array" ref="D3967">IF(ISBLANK(XLOOKUP(D$3,daily_items,XLOOKUP($C3967,daily_dates,big_daily_table))),NA(),XLOOKUP(D$3,daily_items,XLOOKUP($C3967,daily_dates,big_daily_table)))</f>
        <v>#N/A</v>
      </c>
      <c r="E3967" s="1" t="str">
        <f t="array" ref="E3967">IF(ISBLANK(XLOOKUP(E$3,daily_items,XLOOKUP($C3967,daily_dates,big_daily_table))),NA(),XLOOKUP(E$3,daily_items,XLOOKUP($C3967,daily_dates,big_daily_table)))</f>
        <v>#N/A</v>
      </c>
    </row>
    <row r="3968" ht="14.25" customHeight="1">
      <c r="B3968" s="7">
        <v>44873.0</v>
      </c>
      <c r="C3968" s="7">
        <f t="shared" si="1"/>
        <v>44871</v>
      </c>
      <c r="D3968" s="1" t="str">
        <f t="array" ref="D3968">IF(ISBLANK(XLOOKUP(D$3,daily_items,XLOOKUP($C3968,daily_dates,big_daily_table))),NA(),XLOOKUP(D$3,daily_items,XLOOKUP($C3968,daily_dates,big_daily_table)))</f>
        <v>#N/A</v>
      </c>
      <c r="E3968" s="1" t="str">
        <f t="array" ref="E3968">IF(ISBLANK(XLOOKUP(E$3,daily_items,XLOOKUP($C3968,daily_dates,big_daily_table))),NA(),XLOOKUP(E$3,daily_items,XLOOKUP($C3968,daily_dates,big_daily_table)))</f>
        <v>#N/A</v>
      </c>
    </row>
    <row r="3969" ht="14.25" customHeight="1">
      <c r="B3969" s="7">
        <v>44874.0</v>
      </c>
      <c r="C3969" s="7">
        <f t="shared" si="1"/>
        <v>44871</v>
      </c>
      <c r="D3969" s="1" t="str">
        <f t="array" ref="D3969">IF(ISBLANK(XLOOKUP(D$3,daily_items,XLOOKUP($C3969,daily_dates,big_daily_table))),NA(),XLOOKUP(D$3,daily_items,XLOOKUP($C3969,daily_dates,big_daily_table)))</f>
        <v>#N/A</v>
      </c>
      <c r="E3969" s="1" t="str">
        <f t="array" ref="E3969">IF(ISBLANK(XLOOKUP(E$3,daily_items,XLOOKUP($C3969,daily_dates,big_daily_table))),NA(),XLOOKUP(E$3,daily_items,XLOOKUP($C3969,daily_dates,big_daily_table)))</f>
        <v>#N/A</v>
      </c>
    </row>
    <row r="3970" ht="14.25" customHeight="1">
      <c r="B3970" s="7">
        <v>44875.0</v>
      </c>
      <c r="C3970" s="7">
        <f t="shared" si="1"/>
        <v>44871</v>
      </c>
      <c r="D3970" s="1" t="str">
        <f t="array" ref="D3970">IF(ISBLANK(XLOOKUP(D$3,daily_items,XLOOKUP($C3970,daily_dates,big_daily_table))),NA(),XLOOKUP(D$3,daily_items,XLOOKUP($C3970,daily_dates,big_daily_table)))</f>
        <v>#N/A</v>
      </c>
      <c r="E3970" s="1" t="str">
        <f t="array" ref="E3970">IF(ISBLANK(XLOOKUP(E$3,daily_items,XLOOKUP($C3970,daily_dates,big_daily_table))),NA(),XLOOKUP(E$3,daily_items,XLOOKUP($C3970,daily_dates,big_daily_table)))</f>
        <v>#N/A</v>
      </c>
    </row>
    <row r="3971" ht="14.25" customHeight="1">
      <c r="B3971" s="7">
        <v>44876.0</v>
      </c>
      <c r="C3971" s="7">
        <f t="shared" si="1"/>
        <v>44871</v>
      </c>
      <c r="D3971" s="1" t="str">
        <f t="array" ref="D3971">IF(ISBLANK(XLOOKUP(D$3,daily_items,XLOOKUP($C3971,daily_dates,big_daily_table))),NA(),XLOOKUP(D$3,daily_items,XLOOKUP($C3971,daily_dates,big_daily_table)))</f>
        <v>#N/A</v>
      </c>
      <c r="E3971" s="1" t="str">
        <f t="array" ref="E3971">IF(ISBLANK(XLOOKUP(E$3,daily_items,XLOOKUP($C3971,daily_dates,big_daily_table))),NA(),XLOOKUP(E$3,daily_items,XLOOKUP($C3971,daily_dates,big_daily_table)))</f>
        <v>#N/A</v>
      </c>
    </row>
    <row r="3972" ht="14.25" customHeight="1">
      <c r="B3972" s="7">
        <v>44877.0</v>
      </c>
      <c r="C3972" s="7">
        <f t="shared" si="1"/>
        <v>44871</v>
      </c>
      <c r="D3972" s="1" t="str">
        <f t="array" ref="D3972">IF(ISBLANK(XLOOKUP(D$3,daily_items,XLOOKUP($C3972,daily_dates,big_daily_table))),NA(),XLOOKUP(D$3,daily_items,XLOOKUP($C3972,daily_dates,big_daily_table)))</f>
        <v>#N/A</v>
      </c>
      <c r="E3972" s="1" t="str">
        <f t="array" ref="E3972">IF(ISBLANK(XLOOKUP(E$3,daily_items,XLOOKUP($C3972,daily_dates,big_daily_table))),NA(),XLOOKUP(E$3,daily_items,XLOOKUP($C3972,daily_dates,big_daily_table)))</f>
        <v>#N/A</v>
      </c>
    </row>
    <row r="3973" ht="14.25" customHeight="1">
      <c r="B3973" s="7">
        <v>44878.0</v>
      </c>
      <c r="C3973" s="7">
        <f t="shared" si="1"/>
        <v>44878</v>
      </c>
      <c r="D3973" s="1" t="str">
        <f t="array" ref="D3973">IF(ISBLANK(XLOOKUP(D$3,daily_items,XLOOKUP($C3973,daily_dates,big_daily_table))),NA(),XLOOKUP(D$3,daily_items,XLOOKUP($C3973,daily_dates,big_daily_table)))</f>
        <v>#N/A</v>
      </c>
      <c r="E3973" s="1" t="str">
        <f t="array" ref="E3973">IF(ISBLANK(XLOOKUP(E$3,daily_items,XLOOKUP($C3973,daily_dates,big_daily_table))),NA(),XLOOKUP(E$3,daily_items,XLOOKUP($C3973,daily_dates,big_daily_table)))</f>
        <v>#N/A</v>
      </c>
    </row>
    <row r="3974" ht="14.25" customHeight="1">
      <c r="B3974" s="7">
        <v>44879.0</v>
      </c>
      <c r="C3974" s="7">
        <f t="shared" si="1"/>
        <v>44878</v>
      </c>
      <c r="D3974" s="1" t="str">
        <f t="array" ref="D3974">IF(ISBLANK(XLOOKUP(D$3,daily_items,XLOOKUP($C3974,daily_dates,big_daily_table))),NA(),XLOOKUP(D$3,daily_items,XLOOKUP($C3974,daily_dates,big_daily_table)))</f>
        <v>#N/A</v>
      </c>
      <c r="E3974" s="1" t="str">
        <f t="array" ref="E3974">IF(ISBLANK(XLOOKUP(E$3,daily_items,XLOOKUP($C3974,daily_dates,big_daily_table))),NA(),XLOOKUP(E$3,daily_items,XLOOKUP($C3974,daily_dates,big_daily_table)))</f>
        <v>#N/A</v>
      </c>
    </row>
    <row r="3975" ht="14.25" customHeight="1">
      <c r="B3975" s="7">
        <v>44880.0</v>
      </c>
      <c r="C3975" s="7">
        <f t="shared" si="1"/>
        <v>44878</v>
      </c>
      <c r="D3975" s="1" t="str">
        <f t="array" ref="D3975">IF(ISBLANK(XLOOKUP(D$3,daily_items,XLOOKUP($C3975,daily_dates,big_daily_table))),NA(),XLOOKUP(D$3,daily_items,XLOOKUP($C3975,daily_dates,big_daily_table)))</f>
        <v>#N/A</v>
      </c>
      <c r="E3975" s="1" t="str">
        <f t="array" ref="E3975">IF(ISBLANK(XLOOKUP(E$3,daily_items,XLOOKUP($C3975,daily_dates,big_daily_table))),NA(),XLOOKUP(E$3,daily_items,XLOOKUP($C3975,daily_dates,big_daily_table)))</f>
        <v>#N/A</v>
      </c>
    </row>
    <row r="3976" ht="14.25" customHeight="1">
      <c r="B3976" s="7">
        <v>44881.0</v>
      </c>
      <c r="C3976" s="7">
        <f t="shared" si="1"/>
        <v>44878</v>
      </c>
      <c r="D3976" s="1" t="str">
        <f t="array" ref="D3976">IF(ISBLANK(XLOOKUP(D$3,daily_items,XLOOKUP($C3976,daily_dates,big_daily_table))),NA(),XLOOKUP(D$3,daily_items,XLOOKUP($C3976,daily_dates,big_daily_table)))</f>
        <v>#N/A</v>
      </c>
      <c r="E3976" s="1" t="str">
        <f t="array" ref="E3976">IF(ISBLANK(XLOOKUP(E$3,daily_items,XLOOKUP($C3976,daily_dates,big_daily_table))),NA(),XLOOKUP(E$3,daily_items,XLOOKUP($C3976,daily_dates,big_daily_table)))</f>
        <v>#N/A</v>
      </c>
    </row>
    <row r="3977" ht="14.25" customHeight="1">
      <c r="B3977" s="7">
        <v>44882.0</v>
      </c>
      <c r="C3977" s="7">
        <f t="shared" si="1"/>
        <v>44878</v>
      </c>
      <c r="D3977" s="1" t="str">
        <f t="array" ref="D3977">IF(ISBLANK(XLOOKUP(D$3,daily_items,XLOOKUP($C3977,daily_dates,big_daily_table))),NA(),XLOOKUP(D$3,daily_items,XLOOKUP($C3977,daily_dates,big_daily_table)))</f>
        <v>#N/A</v>
      </c>
      <c r="E3977" s="1" t="str">
        <f t="array" ref="E3977">IF(ISBLANK(XLOOKUP(E$3,daily_items,XLOOKUP($C3977,daily_dates,big_daily_table))),NA(),XLOOKUP(E$3,daily_items,XLOOKUP($C3977,daily_dates,big_daily_table)))</f>
        <v>#N/A</v>
      </c>
    </row>
    <row r="3978" ht="14.25" customHeight="1">
      <c r="B3978" s="7">
        <v>44883.0</v>
      </c>
      <c r="C3978" s="7">
        <f t="shared" si="1"/>
        <v>44878</v>
      </c>
      <c r="D3978" s="1" t="str">
        <f t="array" ref="D3978">IF(ISBLANK(XLOOKUP(D$3,daily_items,XLOOKUP($C3978,daily_dates,big_daily_table))),NA(),XLOOKUP(D$3,daily_items,XLOOKUP($C3978,daily_dates,big_daily_table)))</f>
        <v>#N/A</v>
      </c>
      <c r="E3978" s="1" t="str">
        <f t="array" ref="E3978">IF(ISBLANK(XLOOKUP(E$3,daily_items,XLOOKUP($C3978,daily_dates,big_daily_table))),NA(),XLOOKUP(E$3,daily_items,XLOOKUP($C3978,daily_dates,big_daily_table)))</f>
        <v>#N/A</v>
      </c>
    </row>
    <row r="3979" ht="14.25" customHeight="1">
      <c r="B3979" s="7">
        <v>44884.0</v>
      </c>
      <c r="C3979" s="7">
        <f t="shared" si="1"/>
        <v>44878</v>
      </c>
      <c r="D3979" s="1" t="str">
        <f t="array" ref="D3979">IF(ISBLANK(XLOOKUP(D$3,daily_items,XLOOKUP($C3979,daily_dates,big_daily_table))),NA(),XLOOKUP(D$3,daily_items,XLOOKUP($C3979,daily_dates,big_daily_table)))</f>
        <v>#N/A</v>
      </c>
      <c r="E3979" s="1" t="str">
        <f t="array" ref="E3979">IF(ISBLANK(XLOOKUP(E$3,daily_items,XLOOKUP($C3979,daily_dates,big_daily_table))),NA(),XLOOKUP(E$3,daily_items,XLOOKUP($C3979,daily_dates,big_daily_table)))</f>
        <v>#N/A</v>
      </c>
    </row>
    <row r="3980" ht="14.25" customHeight="1">
      <c r="B3980" s="7">
        <v>44885.0</v>
      </c>
      <c r="C3980" s="7">
        <f t="shared" si="1"/>
        <v>44885</v>
      </c>
      <c r="D3980" s="1" t="str">
        <f t="array" ref="D3980">IF(ISBLANK(XLOOKUP(D$3,daily_items,XLOOKUP($C3980,daily_dates,big_daily_table))),NA(),XLOOKUP(D$3,daily_items,XLOOKUP($C3980,daily_dates,big_daily_table)))</f>
        <v>#N/A</v>
      </c>
      <c r="E3980" s="1" t="str">
        <f t="array" ref="E3980">IF(ISBLANK(XLOOKUP(E$3,daily_items,XLOOKUP($C3980,daily_dates,big_daily_table))),NA(),XLOOKUP(E$3,daily_items,XLOOKUP($C3980,daily_dates,big_daily_table)))</f>
        <v>#N/A</v>
      </c>
    </row>
    <row r="3981" ht="14.25" customHeight="1">
      <c r="B3981" s="7">
        <v>44886.0</v>
      </c>
      <c r="C3981" s="7">
        <f t="shared" si="1"/>
        <v>44885</v>
      </c>
      <c r="D3981" s="1" t="str">
        <f t="array" ref="D3981">IF(ISBLANK(XLOOKUP(D$3,daily_items,XLOOKUP($C3981,daily_dates,big_daily_table))),NA(),XLOOKUP(D$3,daily_items,XLOOKUP($C3981,daily_dates,big_daily_table)))</f>
        <v>#N/A</v>
      </c>
      <c r="E3981" s="1" t="str">
        <f t="array" ref="E3981">IF(ISBLANK(XLOOKUP(E$3,daily_items,XLOOKUP($C3981,daily_dates,big_daily_table))),NA(),XLOOKUP(E$3,daily_items,XLOOKUP($C3981,daily_dates,big_daily_table)))</f>
        <v>#N/A</v>
      </c>
    </row>
    <row r="3982" ht="14.25" customHeight="1">
      <c r="B3982" s="7">
        <v>44887.0</v>
      </c>
      <c r="C3982" s="7">
        <f t="shared" si="1"/>
        <v>44885</v>
      </c>
      <c r="D3982" s="1" t="str">
        <f t="array" ref="D3982">IF(ISBLANK(XLOOKUP(D$3,daily_items,XLOOKUP($C3982,daily_dates,big_daily_table))),NA(),XLOOKUP(D$3,daily_items,XLOOKUP($C3982,daily_dates,big_daily_table)))</f>
        <v>#N/A</v>
      </c>
      <c r="E3982" s="1" t="str">
        <f t="array" ref="E3982">IF(ISBLANK(XLOOKUP(E$3,daily_items,XLOOKUP($C3982,daily_dates,big_daily_table))),NA(),XLOOKUP(E$3,daily_items,XLOOKUP($C3982,daily_dates,big_daily_table)))</f>
        <v>#N/A</v>
      </c>
    </row>
    <row r="3983" ht="14.25" customHeight="1">
      <c r="B3983" s="7">
        <v>44888.0</v>
      </c>
      <c r="C3983" s="7">
        <f t="shared" si="1"/>
        <v>44885</v>
      </c>
      <c r="D3983" s="1" t="str">
        <f t="array" ref="D3983">IF(ISBLANK(XLOOKUP(D$3,daily_items,XLOOKUP($C3983,daily_dates,big_daily_table))),NA(),XLOOKUP(D$3,daily_items,XLOOKUP($C3983,daily_dates,big_daily_table)))</f>
        <v>#N/A</v>
      </c>
      <c r="E3983" s="1" t="str">
        <f t="array" ref="E3983">IF(ISBLANK(XLOOKUP(E$3,daily_items,XLOOKUP($C3983,daily_dates,big_daily_table))),NA(),XLOOKUP(E$3,daily_items,XLOOKUP($C3983,daily_dates,big_daily_table)))</f>
        <v>#N/A</v>
      </c>
    </row>
    <row r="3984" ht="14.25" customHeight="1">
      <c r="B3984" s="7">
        <v>44889.0</v>
      </c>
      <c r="C3984" s="7">
        <f t="shared" si="1"/>
        <v>44885</v>
      </c>
      <c r="D3984" s="1" t="str">
        <f t="array" ref="D3984">IF(ISBLANK(XLOOKUP(D$3,daily_items,XLOOKUP($C3984,daily_dates,big_daily_table))),NA(),XLOOKUP(D$3,daily_items,XLOOKUP($C3984,daily_dates,big_daily_table)))</f>
        <v>#N/A</v>
      </c>
      <c r="E3984" s="1" t="str">
        <f t="array" ref="E3984">IF(ISBLANK(XLOOKUP(E$3,daily_items,XLOOKUP($C3984,daily_dates,big_daily_table))),NA(),XLOOKUP(E$3,daily_items,XLOOKUP($C3984,daily_dates,big_daily_table)))</f>
        <v>#N/A</v>
      </c>
    </row>
    <row r="3985" ht="14.25" customHeight="1">
      <c r="B3985" s="7">
        <v>44890.0</v>
      </c>
      <c r="C3985" s="7">
        <f t="shared" si="1"/>
        <v>44885</v>
      </c>
      <c r="D3985" s="1" t="str">
        <f t="array" ref="D3985">IF(ISBLANK(XLOOKUP(D$3,daily_items,XLOOKUP($C3985,daily_dates,big_daily_table))),NA(),XLOOKUP(D$3,daily_items,XLOOKUP($C3985,daily_dates,big_daily_table)))</f>
        <v>#N/A</v>
      </c>
      <c r="E3985" s="1" t="str">
        <f t="array" ref="E3985">IF(ISBLANK(XLOOKUP(E$3,daily_items,XLOOKUP($C3985,daily_dates,big_daily_table))),NA(),XLOOKUP(E$3,daily_items,XLOOKUP($C3985,daily_dates,big_daily_table)))</f>
        <v>#N/A</v>
      </c>
    </row>
    <row r="3986" ht="14.25" customHeight="1">
      <c r="B3986" s="7">
        <v>44891.0</v>
      </c>
      <c r="C3986" s="7">
        <f t="shared" si="1"/>
        <v>44885</v>
      </c>
      <c r="D3986" s="1" t="str">
        <f t="array" ref="D3986">IF(ISBLANK(XLOOKUP(D$3,daily_items,XLOOKUP($C3986,daily_dates,big_daily_table))),NA(),XLOOKUP(D$3,daily_items,XLOOKUP($C3986,daily_dates,big_daily_table)))</f>
        <v>#N/A</v>
      </c>
      <c r="E3986" s="1" t="str">
        <f t="array" ref="E3986">IF(ISBLANK(XLOOKUP(E$3,daily_items,XLOOKUP($C3986,daily_dates,big_daily_table))),NA(),XLOOKUP(E$3,daily_items,XLOOKUP($C3986,daily_dates,big_daily_table)))</f>
        <v>#N/A</v>
      </c>
    </row>
    <row r="3987" ht="14.25" customHeight="1">
      <c r="B3987" s="7">
        <v>44892.0</v>
      </c>
      <c r="C3987" s="7">
        <f t="shared" si="1"/>
        <v>44892</v>
      </c>
      <c r="D3987" s="1" t="str">
        <f t="array" ref="D3987">IF(ISBLANK(XLOOKUP(D$3,daily_items,XLOOKUP($C3987,daily_dates,big_daily_table))),NA(),XLOOKUP(D$3,daily_items,XLOOKUP($C3987,daily_dates,big_daily_table)))</f>
        <v>#N/A</v>
      </c>
      <c r="E3987" s="1" t="str">
        <f t="array" ref="E3987">IF(ISBLANK(XLOOKUP(E$3,daily_items,XLOOKUP($C3987,daily_dates,big_daily_table))),NA(),XLOOKUP(E$3,daily_items,XLOOKUP($C3987,daily_dates,big_daily_table)))</f>
        <v>#N/A</v>
      </c>
    </row>
    <row r="3988" ht="14.25" customHeight="1">
      <c r="B3988" s="7">
        <v>44893.0</v>
      </c>
      <c r="C3988" s="7">
        <f t="shared" si="1"/>
        <v>44892</v>
      </c>
      <c r="D3988" s="1" t="str">
        <f t="array" ref="D3988">IF(ISBLANK(XLOOKUP(D$3,daily_items,XLOOKUP($C3988,daily_dates,big_daily_table))),NA(),XLOOKUP(D$3,daily_items,XLOOKUP($C3988,daily_dates,big_daily_table)))</f>
        <v>#N/A</v>
      </c>
      <c r="E3988" s="1" t="str">
        <f t="array" ref="E3988">IF(ISBLANK(XLOOKUP(E$3,daily_items,XLOOKUP($C3988,daily_dates,big_daily_table))),NA(),XLOOKUP(E$3,daily_items,XLOOKUP($C3988,daily_dates,big_daily_table)))</f>
        <v>#N/A</v>
      </c>
    </row>
    <row r="3989" ht="14.25" customHeight="1">
      <c r="B3989" s="7">
        <v>44894.0</v>
      </c>
      <c r="C3989" s="7">
        <f t="shared" si="1"/>
        <v>44892</v>
      </c>
      <c r="D3989" s="1" t="str">
        <f t="array" ref="D3989">IF(ISBLANK(XLOOKUP(D$3,daily_items,XLOOKUP($C3989,daily_dates,big_daily_table))),NA(),XLOOKUP(D$3,daily_items,XLOOKUP($C3989,daily_dates,big_daily_table)))</f>
        <v>#N/A</v>
      </c>
      <c r="E3989" s="1" t="str">
        <f t="array" ref="E3989">IF(ISBLANK(XLOOKUP(E$3,daily_items,XLOOKUP($C3989,daily_dates,big_daily_table))),NA(),XLOOKUP(E$3,daily_items,XLOOKUP($C3989,daily_dates,big_daily_table)))</f>
        <v>#N/A</v>
      </c>
    </row>
    <row r="3990" ht="14.25" customHeight="1">
      <c r="B3990" s="7">
        <v>44895.0</v>
      </c>
      <c r="C3990" s="7">
        <f t="shared" si="1"/>
        <v>44892</v>
      </c>
      <c r="D3990" s="1" t="str">
        <f t="array" ref="D3990">IF(ISBLANK(XLOOKUP(D$3,daily_items,XLOOKUP($C3990,daily_dates,big_daily_table))),NA(),XLOOKUP(D$3,daily_items,XLOOKUP($C3990,daily_dates,big_daily_table)))</f>
        <v>#N/A</v>
      </c>
      <c r="E3990" s="1" t="str">
        <f t="array" ref="E3990">IF(ISBLANK(XLOOKUP(E$3,daily_items,XLOOKUP($C3990,daily_dates,big_daily_table))),NA(),XLOOKUP(E$3,daily_items,XLOOKUP($C3990,daily_dates,big_daily_table)))</f>
        <v>#N/A</v>
      </c>
    </row>
    <row r="3991" ht="14.25" customHeight="1">
      <c r="B3991" s="7">
        <v>44896.0</v>
      </c>
      <c r="C3991" s="7">
        <f t="shared" si="1"/>
        <v>44892</v>
      </c>
      <c r="D3991" s="1" t="str">
        <f t="array" ref="D3991">IF(ISBLANK(XLOOKUP(D$3,daily_items,XLOOKUP($C3991,daily_dates,big_daily_table))),NA(),XLOOKUP(D$3,daily_items,XLOOKUP($C3991,daily_dates,big_daily_table)))</f>
        <v>#N/A</v>
      </c>
      <c r="E3991" s="1" t="str">
        <f t="array" ref="E3991">IF(ISBLANK(XLOOKUP(E$3,daily_items,XLOOKUP($C3991,daily_dates,big_daily_table))),NA(),XLOOKUP(E$3,daily_items,XLOOKUP($C3991,daily_dates,big_daily_table)))</f>
        <v>#N/A</v>
      </c>
    </row>
    <row r="3992" ht="14.25" customHeight="1">
      <c r="B3992" s="7">
        <v>44897.0</v>
      </c>
      <c r="C3992" s="7">
        <f t="shared" si="1"/>
        <v>44892</v>
      </c>
      <c r="D3992" s="1" t="str">
        <f t="array" ref="D3992">IF(ISBLANK(XLOOKUP(D$3,daily_items,XLOOKUP($C3992,daily_dates,big_daily_table))),NA(),XLOOKUP(D$3,daily_items,XLOOKUP($C3992,daily_dates,big_daily_table)))</f>
        <v>#N/A</v>
      </c>
      <c r="E3992" s="1" t="str">
        <f t="array" ref="E3992">IF(ISBLANK(XLOOKUP(E$3,daily_items,XLOOKUP($C3992,daily_dates,big_daily_table))),NA(),XLOOKUP(E$3,daily_items,XLOOKUP($C3992,daily_dates,big_daily_table)))</f>
        <v>#N/A</v>
      </c>
    </row>
    <row r="3993" ht="14.25" customHeight="1">
      <c r="B3993" s="7">
        <v>44898.0</v>
      </c>
      <c r="C3993" s="7">
        <f t="shared" si="1"/>
        <v>44892</v>
      </c>
      <c r="D3993" s="1" t="str">
        <f t="array" ref="D3993">IF(ISBLANK(XLOOKUP(D$3,daily_items,XLOOKUP($C3993,daily_dates,big_daily_table))),NA(),XLOOKUP(D$3,daily_items,XLOOKUP($C3993,daily_dates,big_daily_table)))</f>
        <v>#N/A</v>
      </c>
      <c r="E3993" s="1" t="str">
        <f t="array" ref="E3993">IF(ISBLANK(XLOOKUP(E$3,daily_items,XLOOKUP($C3993,daily_dates,big_daily_table))),NA(),XLOOKUP(E$3,daily_items,XLOOKUP($C3993,daily_dates,big_daily_table)))</f>
        <v>#N/A</v>
      </c>
    </row>
    <row r="3994" ht="14.25" customHeight="1">
      <c r="B3994" s="7">
        <v>44899.0</v>
      </c>
      <c r="C3994" s="7">
        <f t="shared" si="1"/>
        <v>44899</v>
      </c>
      <c r="D3994" s="1" t="str">
        <f t="array" ref="D3994">IF(ISBLANK(XLOOKUP(D$3,daily_items,XLOOKUP($C3994,daily_dates,big_daily_table))),NA(),XLOOKUP(D$3,daily_items,XLOOKUP($C3994,daily_dates,big_daily_table)))</f>
        <v>#N/A</v>
      </c>
      <c r="E3994" s="1" t="str">
        <f t="array" ref="E3994">IF(ISBLANK(XLOOKUP(E$3,daily_items,XLOOKUP($C3994,daily_dates,big_daily_table))),NA(),XLOOKUP(E$3,daily_items,XLOOKUP($C3994,daily_dates,big_daily_table)))</f>
        <v>#N/A</v>
      </c>
    </row>
    <row r="3995" ht="14.25" customHeight="1">
      <c r="B3995" s="7">
        <v>44900.0</v>
      </c>
      <c r="C3995" s="7">
        <f t="shared" si="1"/>
        <v>44899</v>
      </c>
      <c r="D3995" s="1" t="str">
        <f t="array" ref="D3995">IF(ISBLANK(XLOOKUP(D$3,daily_items,XLOOKUP($C3995,daily_dates,big_daily_table))),NA(),XLOOKUP(D$3,daily_items,XLOOKUP($C3995,daily_dates,big_daily_table)))</f>
        <v>#N/A</v>
      </c>
      <c r="E3995" s="1" t="str">
        <f t="array" ref="E3995">IF(ISBLANK(XLOOKUP(E$3,daily_items,XLOOKUP($C3995,daily_dates,big_daily_table))),NA(),XLOOKUP(E$3,daily_items,XLOOKUP($C3995,daily_dates,big_daily_table)))</f>
        <v>#N/A</v>
      </c>
    </row>
    <row r="3996" ht="14.25" customHeight="1">
      <c r="B3996" s="7">
        <v>44901.0</v>
      </c>
      <c r="C3996" s="7">
        <f t="shared" si="1"/>
        <v>44899</v>
      </c>
      <c r="D3996" s="1" t="str">
        <f t="array" ref="D3996">IF(ISBLANK(XLOOKUP(D$3,daily_items,XLOOKUP($C3996,daily_dates,big_daily_table))),NA(),XLOOKUP(D$3,daily_items,XLOOKUP($C3996,daily_dates,big_daily_table)))</f>
        <v>#N/A</v>
      </c>
      <c r="E3996" s="1" t="str">
        <f t="array" ref="E3996">IF(ISBLANK(XLOOKUP(E$3,daily_items,XLOOKUP($C3996,daily_dates,big_daily_table))),NA(),XLOOKUP(E$3,daily_items,XLOOKUP($C3996,daily_dates,big_daily_table)))</f>
        <v>#N/A</v>
      </c>
    </row>
    <row r="3997" ht="14.25" customHeight="1">
      <c r="B3997" s="7">
        <v>44902.0</v>
      </c>
      <c r="C3997" s="7">
        <f t="shared" si="1"/>
        <v>44899</v>
      </c>
      <c r="D3997" s="1" t="str">
        <f t="array" ref="D3997">IF(ISBLANK(XLOOKUP(D$3,daily_items,XLOOKUP($C3997,daily_dates,big_daily_table))),NA(),XLOOKUP(D$3,daily_items,XLOOKUP($C3997,daily_dates,big_daily_table)))</f>
        <v>#N/A</v>
      </c>
      <c r="E3997" s="1" t="str">
        <f t="array" ref="E3997">IF(ISBLANK(XLOOKUP(E$3,daily_items,XLOOKUP($C3997,daily_dates,big_daily_table))),NA(),XLOOKUP(E$3,daily_items,XLOOKUP($C3997,daily_dates,big_daily_table)))</f>
        <v>#N/A</v>
      </c>
    </row>
    <row r="3998" ht="14.25" customHeight="1">
      <c r="B3998" s="7">
        <v>44903.0</v>
      </c>
      <c r="C3998" s="7">
        <f t="shared" si="1"/>
        <v>44899</v>
      </c>
      <c r="D3998" s="1" t="str">
        <f t="array" ref="D3998">IF(ISBLANK(XLOOKUP(D$3,daily_items,XLOOKUP($C3998,daily_dates,big_daily_table))),NA(),XLOOKUP(D$3,daily_items,XLOOKUP($C3998,daily_dates,big_daily_table)))</f>
        <v>#N/A</v>
      </c>
      <c r="E3998" s="1" t="str">
        <f t="array" ref="E3998">IF(ISBLANK(XLOOKUP(E$3,daily_items,XLOOKUP($C3998,daily_dates,big_daily_table))),NA(),XLOOKUP(E$3,daily_items,XLOOKUP($C3998,daily_dates,big_daily_table)))</f>
        <v>#N/A</v>
      </c>
    </row>
    <row r="3999" ht="14.25" customHeight="1">
      <c r="B3999" s="7">
        <v>44904.0</v>
      </c>
      <c r="C3999" s="7">
        <f t="shared" si="1"/>
        <v>44899</v>
      </c>
      <c r="D3999" s="1" t="str">
        <f t="array" ref="D3999">IF(ISBLANK(XLOOKUP(D$3,daily_items,XLOOKUP($C3999,daily_dates,big_daily_table))),NA(),XLOOKUP(D$3,daily_items,XLOOKUP($C3999,daily_dates,big_daily_table)))</f>
        <v>#N/A</v>
      </c>
      <c r="E3999" s="1" t="str">
        <f t="array" ref="E3999">IF(ISBLANK(XLOOKUP(E$3,daily_items,XLOOKUP($C3999,daily_dates,big_daily_table))),NA(),XLOOKUP(E$3,daily_items,XLOOKUP($C3999,daily_dates,big_daily_table)))</f>
        <v>#N/A</v>
      </c>
    </row>
    <row r="4000" ht="14.25" customHeight="1">
      <c r="B4000" s="7">
        <v>44905.0</v>
      </c>
      <c r="C4000" s="7">
        <f t="shared" si="1"/>
        <v>44899</v>
      </c>
      <c r="D4000" s="1" t="str">
        <f t="array" ref="D4000">IF(ISBLANK(XLOOKUP(D$3,daily_items,XLOOKUP($C4000,daily_dates,big_daily_table))),NA(),XLOOKUP(D$3,daily_items,XLOOKUP($C4000,daily_dates,big_daily_table)))</f>
        <v>#N/A</v>
      </c>
      <c r="E4000" s="1" t="str">
        <f t="array" ref="E4000">IF(ISBLANK(XLOOKUP(E$3,daily_items,XLOOKUP($C4000,daily_dates,big_daily_table))),NA(),XLOOKUP(E$3,daily_items,XLOOKUP($C4000,daily_dates,big_daily_table)))</f>
        <v>#N/A</v>
      </c>
    </row>
    <row r="4001" ht="14.25" customHeight="1">
      <c r="B4001" s="7">
        <v>44906.0</v>
      </c>
      <c r="C4001" s="7">
        <f t="shared" si="1"/>
        <v>44906</v>
      </c>
      <c r="D4001" s="1" t="str">
        <f t="array" ref="D4001">IF(ISBLANK(XLOOKUP(D$3,daily_items,XLOOKUP($C4001,daily_dates,big_daily_table))),NA(),XLOOKUP(D$3,daily_items,XLOOKUP($C4001,daily_dates,big_daily_table)))</f>
        <v>#N/A</v>
      </c>
      <c r="E4001" s="1" t="str">
        <f t="array" ref="E4001">IF(ISBLANK(XLOOKUP(E$3,daily_items,XLOOKUP($C4001,daily_dates,big_daily_table))),NA(),XLOOKUP(E$3,daily_items,XLOOKUP($C4001,daily_dates,big_daily_table)))</f>
        <v>#N/A</v>
      </c>
    </row>
    <row r="4002" ht="14.25" customHeight="1">
      <c r="B4002" s="7">
        <v>44907.0</v>
      </c>
      <c r="C4002" s="7">
        <f t="shared" si="1"/>
        <v>44906</v>
      </c>
      <c r="D4002" s="1" t="str">
        <f t="array" ref="D4002">IF(ISBLANK(XLOOKUP(D$3,daily_items,XLOOKUP($C4002,daily_dates,big_daily_table))),NA(),XLOOKUP(D$3,daily_items,XLOOKUP($C4002,daily_dates,big_daily_table)))</f>
        <v>#N/A</v>
      </c>
      <c r="E4002" s="1" t="str">
        <f t="array" ref="E4002">IF(ISBLANK(XLOOKUP(E$3,daily_items,XLOOKUP($C4002,daily_dates,big_daily_table))),NA(),XLOOKUP(E$3,daily_items,XLOOKUP($C4002,daily_dates,big_daily_table)))</f>
        <v>#N/A</v>
      </c>
    </row>
    <row r="4003" ht="14.25" customHeight="1">
      <c r="B4003" s="7">
        <v>44908.0</v>
      </c>
      <c r="C4003" s="7">
        <f t="shared" si="1"/>
        <v>44906</v>
      </c>
      <c r="D4003" s="1" t="str">
        <f t="array" ref="D4003">IF(ISBLANK(XLOOKUP(D$3,daily_items,XLOOKUP($C4003,daily_dates,big_daily_table))),NA(),XLOOKUP(D$3,daily_items,XLOOKUP($C4003,daily_dates,big_daily_table)))</f>
        <v>#N/A</v>
      </c>
      <c r="E4003" s="1" t="str">
        <f t="array" ref="E4003">IF(ISBLANK(XLOOKUP(E$3,daily_items,XLOOKUP($C4003,daily_dates,big_daily_table))),NA(),XLOOKUP(E$3,daily_items,XLOOKUP($C4003,daily_dates,big_daily_table)))</f>
        <v>#N/A</v>
      </c>
    </row>
    <row r="4004" ht="14.25" customHeight="1">
      <c r="B4004" s="7">
        <v>44909.0</v>
      </c>
      <c r="C4004" s="7">
        <f t="shared" si="1"/>
        <v>44906</v>
      </c>
      <c r="D4004" s="1" t="str">
        <f t="array" ref="D4004">IF(ISBLANK(XLOOKUP(D$3,daily_items,XLOOKUP($C4004,daily_dates,big_daily_table))),NA(),XLOOKUP(D$3,daily_items,XLOOKUP($C4004,daily_dates,big_daily_table)))</f>
        <v>#N/A</v>
      </c>
      <c r="E4004" s="1" t="str">
        <f t="array" ref="E4004">IF(ISBLANK(XLOOKUP(E$3,daily_items,XLOOKUP($C4004,daily_dates,big_daily_table))),NA(),XLOOKUP(E$3,daily_items,XLOOKUP($C4004,daily_dates,big_daily_table)))</f>
        <v>#N/A</v>
      </c>
    </row>
    <row r="4005" ht="14.25" customHeight="1">
      <c r="B4005" s="7">
        <v>44910.0</v>
      </c>
      <c r="C4005" s="7">
        <f t="shared" si="1"/>
        <v>44906</v>
      </c>
      <c r="D4005" s="1" t="str">
        <f t="array" ref="D4005">IF(ISBLANK(XLOOKUP(D$3,daily_items,XLOOKUP($C4005,daily_dates,big_daily_table))),NA(),XLOOKUP(D$3,daily_items,XLOOKUP($C4005,daily_dates,big_daily_table)))</f>
        <v>#N/A</v>
      </c>
      <c r="E4005" s="1" t="str">
        <f t="array" ref="E4005">IF(ISBLANK(XLOOKUP(E$3,daily_items,XLOOKUP($C4005,daily_dates,big_daily_table))),NA(),XLOOKUP(E$3,daily_items,XLOOKUP($C4005,daily_dates,big_daily_table)))</f>
        <v>#N/A</v>
      </c>
    </row>
    <row r="4006" ht="14.25" customHeight="1">
      <c r="B4006" s="7">
        <v>44911.0</v>
      </c>
      <c r="C4006" s="7">
        <f t="shared" si="1"/>
        <v>44906</v>
      </c>
      <c r="D4006" s="1" t="str">
        <f t="array" ref="D4006">IF(ISBLANK(XLOOKUP(D$3,daily_items,XLOOKUP($C4006,daily_dates,big_daily_table))),NA(),XLOOKUP(D$3,daily_items,XLOOKUP($C4006,daily_dates,big_daily_table)))</f>
        <v>#N/A</v>
      </c>
      <c r="E4006" s="1" t="str">
        <f t="array" ref="E4006">IF(ISBLANK(XLOOKUP(E$3,daily_items,XLOOKUP($C4006,daily_dates,big_daily_table))),NA(),XLOOKUP(E$3,daily_items,XLOOKUP($C4006,daily_dates,big_daily_table)))</f>
        <v>#N/A</v>
      </c>
    </row>
    <row r="4007" ht="14.25" customHeight="1">
      <c r="B4007" s="7">
        <v>44912.0</v>
      </c>
      <c r="C4007" s="7">
        <f t="shared" si="1"/>
        <v>44906</v>
      </c>
      <c r="D4007" s="1" t="str">
        <f t="array" ref="D4007">IF(ISBLANK(XLOOKUP(D$3,daily_items,XLOOKUP($C4007,daily_dates,big_daily_table))),NA(),XLOOKUP(D$3,daily_items,XLOOKUP($C4007,daily_dates,big_daily_table)))</f>
        <v>#N/A</v>
      </c>
      <c r="E4007" s="1" t="str">
        <f t="array" ref="E4007">IF(ISBLANK(XLOOKUP(E$3,daily_items,XLOOKUP($C4007,daily_dates,big_daily_table))),NA(),XLOOKUP(E$3,daily_items,XLOOKUP($C4007,daily_dates,big_daily_table)))</f>
        <v>#N/A</v>
      </c>
    </row>
    <row r="4008" ht="14.25" customHeight="1">
      <c r="B4008" s="7">
        <v>44913.0</v>
      </c>
      <c r="C4008" s="7">
        <f t="shared" si="1"/>
        <v>44913</v>
      </c>
      <c r="D4008" s="1" t="str">
        <f t="array" ref="D4008">IF(ISBLANK(XLOOKUP(D$3,daily_items,XLOOKUP($C4008,daily_dates,big_daily_table))),NA(),XLOOKUP(D$3,daily_items,XLOOKUP($C4008,daily_dates,big_daily_table)))</f>
        <v>#N/A</v>
      </c>
      <c r="E4008" s="1" t="str">
        <f t="array" ref="E4008">IF(ISBLANK(XLOOKUP(E$3,daily_items,XLOOKUP($C4008,daily_dates,big_daily_table))),NA(),XLOOKUP(E$3,daily_items,XLOOKUP($C4008,daily_dates,big_daily_table)))</f>
        <v>#N/A</v>
      </c>
    </row>
    <row r="4009" ht="14.25" customHeight="1">
      <c r="B4009" s="7">
        <v>44914.0</v>
      </c>
      <c r="C4009" s="7">
        <f t="shared" si="1"/>
        <v>44913</v>
      </c>
      <c r="D4009" s="1" t="str">
        <f t="array" ref="D4009">IF(ISBLANK(XLOOKUP(D$3,daily_items,XLOOKUP($C4009,daily_dates,big_daily_table))),NA(),XLOOKUP(D$3,daily_items,XLOOKUP($C4009,daily_dates,big_daily_table)))</f>
        <v>#N/A</v>
      </c>
      <c r="E4009" s="1" t="str">
        <f t="array" ref="E4009">IF(ISBLANK(XLOOKUP(E$3,daily_items,XLOOKUP($C4009,daily_dates,big_daily_table))),NA(),XLOOKUP(E$3,daily_items,XLOOKUP($C4009,daily_dates,big_daily_table)))</f>
        <v>#N/A</v>
      </c>
    </row>
    <row r="4010" ht="14.25" customHeight="1">
      <c r="B4010" s="7">
        <v>44915.0</v>
      </c>
      <c r="C4010" s="7">
        <f t="shared" si="1"/>
        <v>44913</v>
      </c>
      <c r="D4010" s="1" t="str">
        <f t="array" ref="D4010">IF(ISBLANK(XLOOKUP(D$3,daily_items,XLOOKUP($C4010,daily_dates,big_daily_table))),NA(),XLOOKUP(D$3,daily_items,XLOOKUP($C4010,daily_dates,big_daily_table)))</f>
        <v>#N/A</v>
      </c>
      <c r="E4010" s="1" t="str">
        <f t="array" ref="E4010">IF(ISBLANK(XLOOKUP(E$3,daily_items,XLOOKUP($C4010,daily_dates,big_daily_table))),NA(),XLOOKUP(E$3,daily_items,XLOOKUP($C4010,daily_dates,big_daily_table)))</f>
        <v>#N/A</v>
      </c>
    </row>
    <row r="4011" ht="14.25" customHeight="1">
      <c r="B4011" s="7">
        <v>44916.0</v>
      </c>
      <c r="C4011" s="7">
        <f t="shared" si="1"/>
        <v>44913</v>
      </c>
      <c r="D4011" s="1" t="str">
        <f t="array" ref="D4011">IF(ISBLANK(XLOOKUP(D$3,daily_items,XLOOKUP($C4011,daily_dates,big_daily_table))),NA(),XLOOKUP(D$3,daily_items,XLOOKUP($C4011,daily_dates,big_daily_table)))</f>
        <v>#N/A</v>
      </c>
      <c r="E4011" s="1" t="str">
        <f t="array" ref="E4011">IF(ISBLANK(XLOOKUP(E$3,daily_items,XLOOKUP($C4011,daily_dates,big_daily_table))),NA(),XLOOKUP(E$3,daily_items,XLOOKUP($C4011,daily_dates,big_daily_table)))</f>
        <v>#N/A</v>
      </c>
    </row>
    <row r="4012" ht="14.25" customHeight="1">
      <c r="B4012" s="7">
        <v>44917.0</v>
      </c>
      <c r="C4012" s="7">
        <f t="shared" si="1"/>
        <v>44913</v>
      </c>
      <c r="D4012" s="1" t="str">
        <f t="array" ref="D4012">IF(ISBLANK(XLOOKUP(D$3,daily_items,XLOOKUP($C4012,daily_dates,big_daily_table))),NA(),XLOOKUP(D$3,daily_items,XLOOKUP($C4012,daily_dates,big_daily_table)))</f>
        <v>#N/A</v>
      </c>
      <c r="E4012" s="1" t="str">
        <f t="array" ref="E4012">IF(ISBLANK(XLOOKUP(E$3,daily_items,XLOOKUP($C4012,daily_dates,big_daily_table))),NA(),XLOOKUP(E$3,daily_items,XLOOKUP($C4012,daily_dates,big_daily_table)))</f>
        <v>#N/A</v>
      </c>
    </row>
    <row r="4013" ht="14.25" customHeight="1">
      <c r="B4013" s="7">
        <v>44918.0</v>
      </c>
      <c r="C4013" s="7">
        <f t="shared" si="1"/>
        <v>44913</v>
      </c>
      <c r="D4013" s="1" t="str">
        <f t="array" ref="D4013">IF(ISBLANK(XLOOKUP(D$3,daily_items,XLOOKUP($C4013,daily_dates,big_daily_table))),NA(),XLOOKUP(D$3,daily_items,XLOOKUP($C4013,daily_dates,big_daily_table)))</f>
        <v>#N/A</v>
      </c>
      <c r="E4013" s="1" t="str">
        <f t="array" ref="E4013">IF(ISBLANK(XLOOKUP(E$3,daily_items,XLOOKUP($C4013,daily_dates,big_daily_table))),NA(),XLOOKUP(E$3,daily_items,XLOOKUP($C4013,daily_dates,big_daily_table)))</f>
        <v>#N/A</v>
      </c>
    </row>
    <row r="4014" ht="14.25" customHeight="1">
      <c r="B4014" s="7">
        <v>44919.0</v>
      </c>
      <c r="C4014" s="7">
        <f t="shared" si="1"/>
        <v>44913</v>
      </c>
      <c r="D4014" s="1" t="str">
        <f t="array" ref="D4014">IF(ISBLANK(XLOOKUP(D$3,daily_items,XLOOKUP($C4014,daily_dates,big_daily_table))),NA(),XLOOKUP(D$3,daily_items,XLOOKUP($C4014,daily_dates,big_daily_table)))</f>
        <v>#N/A</v>
      </c>
      <c r="E4014" s="1" t="str">
        <f t="array" ref="E4014">IF(ISBLANK(XLOOKUP(E$3,daily_items,XLOOKUP($C4014,daily_dates,big_daily_table))),NA(),XLOOKUP(E$3,daily_items,XLOOKUP($C4014,daily_dates,big_daily_table)))</f>
        <v>#N/A</v>
      </c>
    </row>
    <row r="4015" ht="14.25" customHeight="1">
      <c r="B4015" s="7">
        <v>44920.0</v>
      </c>
      <c r="C4015" s="7">
        <f t="shared" si="1"/>
        <v>44920</v>
      </c>
      <c r="D4015" s="1" t="str">
        <f t="array" ref="D4015">IF(ISBLANK(XLOOKUP(D$3,daily_items,XLOOKUP($C4015,daily_dates,big_daily_table))),NA(),XLOOKUP(D$3,daily_items,XLOOKUP($C4015,daily_dates,big_daily_table)))</f>
        <v>#N/A</v>
      </c>
      <c r="E4015" s="1" t="str">
        <f t="array" ref="E4015">IF(ISBLANK(XLOOKUP(E$3,daily_items,XLOOKUP($C4015,daily_dates,big_daily_table))),NA(),XLOOKUP(E$3,daily_items,XLOOKUP($C4015,daily_dates,big_daily_table)))</f>
        <v>#N/A</v>
      </c>
    </row>
    <row r="4016" ht="14.25" customHeight="1">
      <c r="B4016" s="7">
        <v>44921.0</v>
      </c>
      <c r="C4016" s="7">
        <f t="shared" si="1"/>
        <v>44920</v>
      </c>
      <c r="D4016" s="1" t="str">
        <f t="array" ref="D4016">IF(ISBLANK(XLOOKUP(D$3,daily_items,XLOOKUP($C4016,daily_dates,big_daily_table))),NA(),XLOOKUP(D$3,daily_items,XLOOKUP($C4016,daily_dates,big_daily_table)))</f>
        <v>#N/A</v>
      </c>
      <c r="E4016" s="1" t="str">
        <f t="array" ref="E4016">IF(ISBLANK(XLOOKUP(E$3,daily_items,XLOOKUP($C4016,daily_dates,big_daily_table))),NA(),XLOOKUP(E$3,daily_items,XLOOKUP($C4016,daily_dates,big_daily_table)))</f>
        <v>#N/A</v>
      </c>
    </row>
    <row r="4017" ht="14.25" customHeight="1">
      <c r="B4017" s="7">
        <v>44922.0</v>
      </c>
      <c r="C4017" s="7">
        <f t="shared" si="1"/>
        <v>44920</v>
      </c>
      <c r="D4017" s="1" t="str">
        <f t="array" ref="D4017">IF(ISBLANK(XLOOKUP(D$3,daily_items,XLOOKUP($C4017,daily_dates,big_daily_table))),NA(),XLOOKUP(D$3,daily_items,XLOOKUP($C4017,daily_dates,big_daily_table)))</f>
        <v>#N/A</v>
      </c>
      <c r="E4017" s="1" t="str">
        <f t="array" ref="E4017">IF(ISBLANK(XLOOKUP(E$3,daily_items,XLOOKUP($C4017,daily_dates,big_daily_table))),NA(),XLOOKUP(E$3,daily_items,XLOOKUP($C4017,daily_dates,big_daily_table)))</f>
        <v>#N/A</v>
      </c>
    </row>
    <row r="4018" ht="14.25" customHeight="1">
      <c r="B4018" s="7">
        <v>44923.0</v>
      </c>
      <c r="C4018" s="7">
        <f t="shared" si="1"/>
        <v>44920</v>
      </c>
      <c r="D4018" s="1" t="str">
        <f t="array" ref="D4018">IF(ISBLANK(XLOOKUP(D$3,daily_items,XLOOKUP($C4018,daily_dates,big_daily_table))),NA(),XLOOKUP(D$3,daily_items,XLOOKUP($C4018,daily_dates,big_daily_table)))</f>
        <v>#N/A</v>
      </c>
      <c r="E4018" s="1" t="str">
        <f t="array" ref="E4018">IF(ISBLANK(XLOOKUP(E$3,daily_items,XLOOKUP($C4018,daily_dates,big_daily_table))),NA(),XLOOKUP(E$3,daily_items,XLOOKUP($C4018,daily_dates,big_daily_table)))</f>
        <v>#N/A</v>
      </c>
    </row>
    <row r="4019" ht="14.25" customHeight="1">
      <c r="B4019" s="7">
        <v>44924.0</v>
      </c>
      <c r="C4019" s="7">
        <f t="shared" si="1"/>
        <v>44920</v>
      </c>
      <c r="D4019" s="1" t="str">
        <f t="array" ref="D4019">IF(ISBLANK(XLOOKUP(D$3,daily_items,XLOOKUP($C4019,daily_dates,big_daily_table))),NA(),XLOOKUP(D$3,daily_items,XLOOKUP($C4019,daily_dates,big_daily_table)))</f>
        <v>#N/A</v>
      </c>
      <c r="E4019" s="1" t="str">
        <f t="array" ref="E4019">IF(ISBLANK(XLOOKUP(E$3,daily_items,XLOOKUP($C4019,daily_dates,big_daily_table))),NA(),XLOOKUP(E$3,daily_items,XLOOKUP($C4019,daily_dates,big_daily_table)))</f>
        <v>#N/A</v>
      </c>
    </row>
    <row r="4020" ht="14.25" customHeight="1">
      <c r="B4020" s="7">
        <v>44925.0</v>
      </c>
      <c r="C4020" s="7">
        <f t="shared" si="1"/>
        <v>44920</v>
      </c>
      <c r="D4020" s="1" t="str">
        <f t="array" ref="D4020">IF(ISBLANK(XLOOKUP(D$3,daily_items,XLOOKUP($C4020,daily_dates,big_daily_table))),NA(),XLOOKUP(D$3,daily_items,XLOOKUP($C4020,daily_dates,big_daily_table)))</f>
        <v>#N/A</v>
      </c>
      <c r="E4020" s="1" t="str">
        <f t="array" ref="E4020">IF(ISBLANK(XLOOKUP(E$3,daily_items,XLOOKUP($C4020,daily_dates,big_daily_table))),NA(),XLOOKUP(E$3,daily_items,XLOOKUP($C4020,daily_dates,big_daily_table)))</f>
        <v>#N/A</v>
      </c>
    </row>
    <row r="4021" ht="14.25" customHeight="1">
      <c r="B4021" s="7">
        <v>44926.0</v>
      </c>
      <c r="C4021" s="7">
        <f t="shared" si="1"/>
        <v>44920</v>
      </c>
      <c r="D4021" s="1" t="str">
        <f t="array" ref="D4021">IF(ISBLANK(XLOOKUP(D$3,daily_items,XLOOKUP($C4021,daily_dates,big_daily_table))),NA(),XLOOKUP(D$3,daily_items,XLOOKUP($C4021,daily_dates,big_daily_table)))</f>
        <v>#N/A</v>
      </c>
      <c r="E4021" s="1" t="str">
        <f t="array" ref="E4021">IF(ISBLANK(XLOOKUP(E$3,daily_items,XLOOKUP($C4021,daily_dates,big_daily_table))),NA(),XLOOKUP(E$3,daily_items,XLOOKUP($C4021,daily_dates,big_daily_table)))</f>
        <v>#N/A</v>
      </c>
    </row>
    <row r="4022" ht="14.25" customHeight="1">
      <c r="B4022" s="7">
        <v>44927.0</v>
      </c>
      <c r="C4022" s="7">
        <f t="shared" si="1"/>
        <v>44927</v>
      </c>
      <c r="D4022" s="1" t="str">
        <f t="array" ref="D4022">IF(ISBLANK(XLOOKUP(D$3,daily_items,XLOOKUP($C4022,daily_dates,big_daily_table))),NA(),XLOOKUP(D$3,daily_items,XLOOKUP($C4022,daily_dates,big_daily_table)))</f>
        <v>#N/A</v>
      </c>
      <c r="E4022" s="1" t="str">
        <f t="array" ref="E4022">IF(ISBLANK(XLOOKUP(E$3,daily_items,XLOOKUP($C4022,daily_dates,big_daily_table))),NA(),XLOOKUP(E$3,daily_items,XLOOKUP($C4022,daily_dates,big_daily_table)))</f>
        <v>#N/A</v>
      </c>
    </row>
    <row r="4023" ht="14.25" customHeight="1">
      <c r="B4023" s="7">
        <v>44928.0</v>
      </c>
      <c r="C4023" s="7">
        <f t="shared" si="1"/>
        <v>44927</v>
      </c>
      <c r="D4023" s="1" t="str">
        <f t="array" ref="D4023">IF(ISBLANK(XLOOKUP(D$3,daily_items,XLOOKUP($C4023,daily_dates,big_daily_table))),NA(),XLOOKUP(D$3,daily_items,XLOOKUP($C4023,daily_dates,big_daily_table)))</f>
        <v>#N/A</v>
      </c>
      <c r="E4023" s="1" t="str">
        <f t="array" ref="E4023">IF(ISBLANK(XLOOKUP(E$3,daily_items,XLOOKUP($C4023,daily_dates,big_daily_table))),NA(),XLOOKUP(E$3,daily_items,XLOOKUP($C4023,daily_dates,big_daily_table)))</f>
        <v>#N/A</v>
      </c>
    </row>
    <row r="4024" ht="14.25" customHeight="1">
      <c r="B4024" s="7">
        <v>44929.0</v>
      </c>
      <c r="C4024" s="7">
        <f t="shared" si="1"/>
        <v>44927</v>
      </c>
      <c r="D4024" s="1" t="str">
        <f t="array" ref="D4024">IF(ISBLANK(XLOOKUP(D$3,daily_items,XLOOKUP($C4024,daily_dates,big_daily_table))),NA(),XLOOKUP(D$3,daily_items,XLOOKUP($C4024,daily_dates,big_daily_table)))</f>
        <v>#N/A</v>
      </c>
      <c r="E4024" s="1" t="str">
        <f t="array" ref="E4024">IF(ISBLANK(XLOOKUP(E$3,daily_items,XLOOKUP($C4024,daily_dates,big_daily_table))),NA(),XLOOKUP(E$3,daily_items,XLOOKUP($C4024,daily_dates,big_daily_table)))</f>
        <v>#N/A</v>
      </c>
    </row>
    <row r="4025" ht="14.25" customHeight="1">
      <c r="B4025" s="7">
        <v>44930.0</v>
      </c>
      <c r="C4025" s="7">
        <f t="shared" si="1"/>
        <v>44927</v>
      </c>
      <c r="D4025" s="1" t="str">
        <f t="array" ref="D4025">IF(ISBLANK(XLOOKUP(D$3,daily_items,XLOOKUP($C4025,daily_dates,big_daily_table))),NA(),XLOOKUP(D$3,daily_items,XLOOKUP($C4025,daily_dates,big_daily_table)))</f>
        <v>#N/A</v>
      </c>
      <c r="E4025" s="1" t="str">
        <f t="array" ref="E4025">IF(ISBLANK(XLOOKUP(E$3,daily_items,XLOOKUP($C4025,daily_dates,big_daily_table))),NA(),XLOOKUP(E$3,daily_items,XLOOKUP($C4025,daily_dates,big_daily_table)))</f>
        <v>#N/A</v>
      </c>
    </row>
    <row r="4026" ht="14.25" customHeight="1">
      <c r="B4026" s="7">
        <v>44931.0</v>
      </c>
      <c r="C4026" s="7">
        <f t="shared" si="1"/>
        <v>44927</v>
      </c>
      <c r="D4026" s="1" t="str">
        <f t="array" ref="D4026">IF(ISBLANK(XLOOKUP(D$3,daily_items,XLOOKUP($C4026,daily_dates,big_daily_table))),NA(),XLOOKUP(D$3,daily_items,XLOOKUP($C4026,daily_dates,big_daily_table)))</f>
        <v>#N/A</v>
      </c>
      <c r="E4026" s="1" t="str">
        <f t="array" ref="E4026">IF(ISBLANK(XLOOKUP(E$3,daily_items,XLOOKUP($C4026,daily_dates,big_daily_table))),NA(),XLOOKUP(E$3,daily_items,XLOOKUP($C4026,daily_dates,big_daily_table)))</f>
        <v>#N/A</v>
      </c>
    </row>
    <row r="4027" ht="14.25" customHeight="1">
      <c r="B4027" s="7">
        <v>44932.0</v>
      </c>
      <c r="C4027" s="7">
        <f t="shared" si="1"/>
        <v>44927</v>
      </c>
      <c r="D4027" s="1" t="str">
        <f t="array" ref="D4027">IF(ISBLANK(XLOOKUP(D$3,daily_items,XLOOKUP($C4027,daily_dates,big_daily_table))),NA(),XLOOKUP(D$3,daily_items,XLOOKUP($C4027,daily_dates,big_daily_table)))</f>
        <v>#N/A</v>
      </c>
      <c r="E4027" s="1" t="str">
        <f t="array" ref="E4027">IF(ISBLANK(XLOOKUP(E$3,daily_items,XLOOKUP($C4027,daily_dates,big_daily_table))),NA(),XLOOKUP(E$3,daily_items,XLOOKUP($C4027,daily_dates,big_daily_table)))</f>
        <v>#N/A</v>
      </c>
    </row>
    <row r="4028" ht="14.25" customHeight="1">
      <c r="B4028" s="7">
        <v>44933.0</v>
      </c>
      <c r="C4028" s="7">
        <f t="shared" si="1"/>
        <v>44927</v>
      </c>
      <c r="D4028" s="1" t="str">
        <f t="array" ref="D4028">IF(ISBLANK(XLOOKUP(D$3,daily_items,XLOOKUP($C4028,daily_dates,big_daily_table))),NA(),XLOOKUP(D$3,daily_items,XLOOKUP($C4028,daily_dates,big_daily_table)))</f>
        <v>#N/A</v>
      </c>
      <c r="E4028" s="1" t="str">
        <f t="array" ref="E4028">IF(ISBLANK(XLOOKUP(E$3,daily_items,XLOOKUP($C4028,daily_dates,big_daily_table))),NA(),XLOOKUP(E$3,daily_items,XLOOKUP($C4028,daily_dates,big_daily_table)))</f>
        <v>#N/A</v>
      </c>
    </row>
    <row r="4029" ht="14.25" customHeight="1">
      <c r="B4029" s="7">
        <v>44934.0</v>
      </c>
      <c r="C4029" s="7">
        <f t="shared" si="1"/>
        <v>44934</v>
      </c>
      <c r="D4029" s="1" t="str">
        <f t="array" ref="D4029">IF(ISBLANK(XLOOKUP(D$3,daily_items,XLOOKUP($C4029,daily_dates,big_daily_table))),NA(),XLOOKUP(D$3,daily_items,XLOOKUP($C4029,daily_dates,big_daily_table)))</f>
        <v>#N/A</v>
      </c>
      <c r="E4029" s="1" t="str">
        <f t="array" ref="E4029">IF(ISBLANK(XLOOKUP(E$3,daily_items,XLOOKUP($C4029,daily_dates,big_daily_table))),NA(),XLOOKUP(E$3,daily_items,XLOOKUP($C4029,daily_dates,big_daily_table)))</f>
        <v>#N/A</v>
      </c>
    </row>
    <row r="4030" ht="14.25" customHeight="1">
      <c r="B4030" s="7">
        <v>44935.0</v>
      </c>
      <c r="C4030" s="7">
        <f t="shared" si="1"/>
        <v>44934</v>
      </c>
      <c r="D4030" s="1" t="str">
        <f t="array" ref="D4030">IF(ISBLANK(XLOOKUP(D$3,daily_items,XLOOKUP($C4030,daily_dates,big_daily_table))),NA(),XLOOKUP(D$3,daily_items,XLOOKUP($C4030,daily_dates,big_daily_table)))</f>
        <v>#N/A</v>
      </c>
      <c r="E4030" s="1" t="str">
        <f t="array" ref="E4030">IF(ISBLANK(XLOOKUP(E$3,daily_items,XLOOKUP($C4030,daily_dates,big_daily_table))),NA(),XLOOKUP(E$3,daily_items,XLOOKUP($C4030,daily_dates,big_daily_table)))</f>
        <v>#N/A</v>
      </c>
    </row>
    <row r="4031" ht="14.25" customHeight="1">
      <c r="B4031" s="7">
        <v>44936.0</v>
      </c>
      <c r="C4031" s="7">
        <f t="shared" si="1"/>
        <v>44934</v>
      </c>
      <c r="D4031" s="1" t="str">
        <f t="array" ref="D4031">IF(ISBLANK(XLOOKUP(D$3,daily_items,XLOOKUP($C4031,daily_dates,big_daily_table))),NA(),XLOOKUP(D$3,daily_items,XLOOKUP($C4031,daily_dates,big_daily_table)))</f>
        <v>#N/A</v>
      </c>
      <c r="E4031" s="1" t="str">
        <f t="array" ref="E4031">IF(ISBLANK(XLOOKUP(E$3,daily_items,XLOOKUP($C4031,daily_dates,big_daily_table))),NA(),XLOOKUP(E$3,daily_items,XLOOKUP($C4031,daily_dates,big_daily_table)))</f>
        <v>#N/A</v>
      </c>
    </row>
    <row r="4032" ht="14.25" customHeight="1">
      <c r="B4032" s="7">
        <v>44937.0</v>
      </c>
      <c r="C4032" s="7">
        <f t="shared" si="1"/>
        <v>44934</v>
      </c>
      <c r="D4032" s="1" t="str">
        <f t="array" ref="D4032">IF(ISBLANK(XLOOKUP(D$3,daily_items,XLOOKUP($C4032,daily_dates,big_daily_table))),NA(),XLOOKUP(D$3,daily_items,XLOOKUP($C4032,daily_dates,big_daily_table)))</f>
        <v>#N/A</v>
      </c>
      <c r="E4032" s="1" t="str">
        <f t="array" ref="E4032">IF(ISBLANK(XLOOKUP(E$3,daily_items,XLOOKUP($C4032,daily_dates,big_daily_table))),NA(),XLOOKUP(E$3,daily_items,XLOOKUP($C4032,daily_dates,big_daily_table)))</f>
        <v>#N/A</v>
      </c>
    </row>
    <row r="4033" ht="14.25" customHeight="1">
      <c r="B4033" s="7">
        <v>44938.0</v>
      </c>
      <c r="C4033" s="7">
        <f t="shared" si="1"/>
        <v>44934</v>
      </c>
      <c r="D4033" s="1" t="str">
        <f t="array" ref="D4033">IF(ISBLANK(XLOOKUP(D$3,daily_items,XLOOKUP($C4033,daily_dates,big_daily_table))),NA(),XLOOKUP(D$3,daily_items,XLOOKUP($C4033,daily_dates,big_daily_table)))</f>
        <v>#N/A</v>
      </c>
      <c r="E4033" s="1" t="str">
        <f t="array" ref="E4033">IF(ISBLANK(XLOOKUP(E$3,daily_items,XLOOKUP($C4033,daily_dates,big_daily_table))),NA(),XLOOKUP(E$3,daily_items,XLOOKUP($C4033,daily_dates,big_daily_table)))</f>
        <v>#N/A</v>
      </c>
    </row>
    <row r="4034" ht="14.25" customHeight="1">
      <c r="B4034" s="7">
        <v>44939.0</v>
      </c>
      <c r="C4034" s="7">
        <f t="shared" si="1"/>
        <v>44934</v>
      </c>
      <c r="D4034" s="1" t="str">
        <f t="array" ref="D4034">IF(ISBLANK(XLOOKUP(D$3,daily_items,XLOOKUP($C4034,daily_dates,big_daily_table))),NA(),XLOOKUP(D$3,daily_items,XLOOKUP($C4034,daily_dates,big_daily_table)))</f>
        <v>#N/A</v>
      </c>
      <c r="E4034" s="1" t="str">
        <f t="array" ref="E4034">IF(ISBLANK(XLOOKUP(E$3,daily_items,XLOOKUP($C4034,daily_dates,big_daily_table))),NA(),XLOOKUP(E$3,daily_items,XLOOKUP($C4034,daily_dates,big_daily_table)))</f>
        <v>#N/A</v>
      </c>
    </row>
    <row r="4035" ht="14.25" customHeight="1">
      <c r="B4035" s="7">
        <v>44940.0</v>
      </c>
      <c r="C4035" s="7">
        <f t="shared" si="1"/>
        <v>44934</v>
      </c>
      <c r="D4035" s="1" t="str">
        <f t="array" ref="D4035">IF(ISBLANK(XLOOKUP(D$3,daily_items,XLOOKUP($C4035,daily_dates,big_daily_table))),NA(),XLOOKUP(D$3,daily_items,XLOOKUP($C4035,daily_dates,big_daily_table)))</f>
        <v>#N/A</v>
      </c>
      <c r="E4035" s="1" t="str">
        <f t="array" ref="E4035">IF(ISBLANK(XLOOKUP(E$3,daily_items,XLOOKUP($C4035,daily_dates,big_daily_table))),NA(),XLOOKUP(E$3,daily_items,XLOOKUP($C4035,daily_dates,big_daily_table)))</f>
        <v>#N/A</v>
      </c>
    </row>
    <row r="4036" ht="14.25" customHeight="1">
      <c r="B4036" s="7">
        <v>44941.0</v>
      </c>
      <c r="C4036" s="7">
        <f t="shared" si="1"/>
        <v>44941</v>
      </c>
      <c r="D4036" s="1" t="str">
        <f t="array" ref="D4036">IF(ISBLANK(XLOOKUP(D$3,daily_items,XLOOKUP($C4036,daily_dates,big_daily_table))),NA(),XLOOKUP(D$3,daily_items,XLOOKUP($C4036,daily_dates,big_daily_table)))</f>
        <v>#N/A</v>
      </c>
      <c r="E4036" s="1" t="str">
        <f t="array" ref="E4036">IF(ISBLANK(XLOOKUP(E$3,daily_items,XLOOKUP($C4036,daily_dates,big_daily_table))),NA(),XLOOKUP(E$3,daily_items,XLOOKUP($C4036,daily_dates,big_daily_table)))</f>
        <v>#N/A</v>
      </c>
    </row>
    <row r="4037" ht="14.25" customHeight="1">
      <c r="B4037" s="7">
        <v>44942.0</v>
      </c>
      <c r="C4037" s="7">
        <f t="shared" si="1"/>
        <v>44941</v>
      </c>
      <c r="D4037" s="1" t="str">
        <f t="array" ref="D4037">IF(ISBLANK(XLOOKUP(D$3,daily_items,XLOOKUP($C4037,daily_dates,big_daily_table))),NA(),XLOOKUP(D$3,daily_items,XLOOKUP($C4037,daily_dates,big_daily_table)))</f>
        <v>#N/A</v>
      </c>
      <c r="E4037" s="1" t="str">
        <f t="array" ref="E4037">IF(ISBLANK(XLOOKUP(E$3,daily_items,XLOOKUP($C4037,daily_dates,big_daily_table))),NA(),XLOOKUP(E$3,daily_items,XLOOKUP($C4037,daily_dates,big_daily_table)))</f>
        <v>#N/A</v>
      </c>
    </row>
    <row r="4038" ht="14.25" customHeight="1">
      <c r="B4038" s="7">
        <v>44943.0</v>
      </c>
      <c r="C4038" s="7">
        <f t="shared" si="1"/>
        <v>44941</v>
      </c>
      <c r="D4038" s="1" t="str">
        <f t="array" ref="D4038">IF(ISBLANK(XLOOKUP(D$3,daily_items,XLOOKUP($C4038,daily_dates,big_daily_table))),NA(),XLOOKUP(D$3,daily_items,XLOOKUP($C4038,daily_dates,big_daily_table)))</f>
        <v>#N/A</v>
      </c>
      <c r="E4038" s="1" t="str">
        <f t="array" ref="E4038">IF(ISBLANK(XLOOKUP(E$3,daily_items,XLOOKUP($C4038,daily_dates,big_daily_table))),NA(),XLOOKUP(E$3,daily_items,XLOOKUP($C4038,daily_dates,big_daily_table)))</f>
        <v>#N/A</v>
      </c>
    </row>
    <row r="4039" ht="14.25" customHeight="1">
      <c r="B4039" s="7">
        <v>44944.0</v>
      </c>
      <c r="C4039" s="7">
        <f t="shared" si="1"/>
        <v>44941</v>
      </c>
      <c r="D4039" s="1" t="str">
        <f t="array" ref="D4039">IF(ISBLANK(XLOOKUP(D$3,daily_items,XLOOKUP($C4039,daily_dates,big_daily_table))),NA(),XLOOKUP(D$3,daily_items,XLOOKUP($C4039,daily_dates,big_daily_table)))</f>
        <v>#N/A</v>
      </c>
      <c r="E4039" s="1" t="str">
        <f t="array" ref="E4039">IF(ISBLANK(XLOOKUP(E$3,daily_items,XLOOKUP($C4039,daily_dates,big_daily_table))),NA(),XLOOKUP(E$3,daily_items,XLOOKUP($C4039,daily_dates,big_daily_table)))</f>
        <v>#N/A</v>
      </c>
    </row>
    <row r="4040" ht="14.25" customHeight="1">
      <c r="B4040" s="7">
        <v>44945.0</v>
      </c>
      <c r="C4040" s="7">
        <f t="shared" si="1"/>
        <v>44941</v>
      </c>
      <c r="D4040" s="1" t="str">
        <f t="array" ref="D4040">IF(ISBLANK(XLOOKUP(D$3,daily_items,XLOOKUP($C4040,daily_dates,big_daily_table))),NA(),XLOOKUP(D$3,daily_items,XLOOKUP($C4040,daily_dates,big_daily_table)))</f>
        <v>#N/A</v>
      </c>
      <c r="E4040" s="1" t="str">
        <f t="array" ref="E4040">IF(ISBLANK(XLOOKUP(E$3,daily_items,XLOOKUP($C4040,daily_dates,big_daily_table))),NA(),XLOOKUP(E$3,daily_items,XLOOKUP($C4040,daily_dates,big_daily_table)))</f>
        <v>#N/A</v>
      </c>
    </row>
    <row r="4041" ht="14.25" customHeight="1">
      <c r="B4041" s="7">
        <v>44946.0</v>
      </c>
      <c r="C4041" s="7">
        <f t="shared" si="1"/>
        <v>44941</v>
      </c>
      <c r="D4041" s="1" t="str">
        <f t="array" ref="D4041">IF(ISBLANK(XLOOKUP(D$3,daily_items,XLOOKUP($C4041,daily_dates,big_daily_table))),NA(),XLOOKUP(D$3,daily_items,XLOOKUP($C4041,daily_dates,big_daily_table)))</f>
        <v>#N/A</v>
      </c>
      <c r="E4041" s="1" t="str">
        <f t="array" ref="E4041">IF(ISBLANK(XLOOKUP(E$3,daily_items,XLOOKUP($C4041,daily_dates,big_daily_table))),NA(),XLOOKUP(E$3,daily_items,XLOOKUP($C4041,daily_dates,big_daily_table)))</f>
        <v>#N/A</v>
      </c>
    </row>
    <row r="4042" ht="14.25" customHeight="1">
      <c r="B4042" s="7">
        <v>44947.0</v>
      </c>
      <c r="C4042" s="7">
        <f t="shared" si="1"/>
        <v>44941</v>
      </c>
      <c r="D4042" s="1" t="str">
        <f t="array" ref="D4042">IF(ISBLANK(XLOOKUP(D$3,daily_items,XLOOKUP($C4042,daily_dates,big_daily_table))),NA(),XLOOKUP(D$3,daily_items,XLOOKUP($C4042,daily_dates,big_daily_table)))</f>
        <v>#N/A</v>
      </c>
      <c r="E4042" s="1" t="str">
        <f t="array" ref="E4042">IF(ISBLANK(XLOOKUP(E$3,daily_items,XLOOKUP($C4042,daily_dates,big_daily_table))),NA(),XLOOKUP(E$3,daily_items,XLOOKUP($C4042,daily_dates,big_daily_table)))</f>
        <v>#N/A</v>
      </c>
    </row>
    <row r="4043" ht="14.25" customHeight="1">
      <c r="B4043" s="7">
        <v>44948.0</v>
      </c>
      <c r="C4043" s="7">
        <f t="shared" si="1"/>
        <v>44948</v>
      </c>
      <c r="D4043" s="1" t="str">
        <f t="array" ref="D4043">IF(ISBLANK(XLOOKUP(D$3,daily_items,XLOOKUP($C4043,daily_dates,big_daily_table))),NA(),XLOOKUP(D$3,daily_items,XLOOKUP($C4043,daily_dates,big_daily_table)))</f>
        <v>#N/A</v>
      </c>
      <c r="E4043" s="1" t="str">
        <f t="array" ref="E4043">IF(ISBLANK(XLOOKUP(E$3,daily_items,XLOOKUP($C4043,daily_dates,big_daily_table))),NA(),XLOOKUP(E$3,daily_items,XLOOKUP($C4043,daily_dates,big_daily_table)))</f>
        <v>#N/A</v>
      </c>
    </row>
    <row r="4044" ht="14.25" customHeight="1">
      <c r="B4044" s="7">
        <v>44949.0</v>
      </c>
      <c r="C4044" s="7">
        <f t="shared" si="1"/>
        <v>44948</v>
      </c>
      <c r="D4044" s="1" t="str">
        <f t="array" ref="D4044">IF(ISBLANK(XLOOKUP(D$3,daily_items,XLOOKUP($C4044,daily_dates,big_daily_table))),NA(),XLOOKUP(D$3,daily_items,XLOOKUP($C4044,daily_dates,big_daily_table)))</f>
        <v>#N/A</v>
      </c>
      <c r="E4044" s="1" t="str">
        <f t="array" ref="E4044">IF(ISBLANK(XLOOKUP(E$3,daily_items,XLOOKUP($C4044,daily_dates,big_daily_table))),NA(),XLOOKUP(E$3,daily_items,XLOOKUP($C4044,daily_dates,big_daily_table)))</f>
        <v>#N/A</v>
      </c>
    </row>
    <row r="4045" ht="14.25" customHeight="1">
      <c r="B4045" s="7">
        <v>44950.0</v>
      </c>
      <c r="C4045" s="7">
        <f t="shared" si="1"/>
        <v>44948</v>
      </c>
      <c r="D4045" s="1" t="str">
        <f t="array" ref="D4045">IF(ISBLANK(XLOOKUP(D$3,daily_items,XLOOKUP($C4045,daily_dates,big_daily_table))),NA(),XLOOKUP(D$3,daily_items,XLOOKUP($C4045,daily_dates,big_daily_table)))</f>
        <v>#N/A</v>
      </c>
      <c r="E4045" s="1" t="str">
        <f t="array" ref="E4045">IF(ISBLANK(XLOOKUP(E$3,daily_items,XLOOKUP($C4045,daily_dates,big_daily_table))),NA(),XLOOKUP(E$3,daily_items,XLOOKUP($C4045,daily_dates,big_daily_table)))</f>
        <v>#N/A</v>
      </c>
    </row>
    <row r="4046" ht="14.25" customHeight="1">
      <c r="B4046" s="7">
        <v>44951.0</v>
      </c>
      <c r="C4046" s="7">
        <f t="shared" si="1"/>
        <v>44948</v>
      </c>
      <c r="D4046" s="1" t="str">
        <f t="array" ref="D4046">IF(ISBLANK(XLOOKUP(D$3,daily_items,XLOOKUP($C4046,daily_dates,big_daily_table))),NA(),XLOOKUP(D$3,daily_items,XLOOKUP($C4046,daily_dates,big_daily_table)))</f>
        <v>#N/A</v>
      </c>
      <c r="E4046" s="1" t="str">
        <f t="array" ref="E4046">IF(ISBLANK(XLOOKUP(E$3,daily_items,XLOOKUP($C4046,daily_dates,big_daily_table))),NA(),XLOOKUP(E$3,daily_items,XLOOKUP($C4046,daily_dates,big_daily_table)))</f>
        <v>#N/A</v>
      </c>
    </row>
    <row r="4047" ht="14.25" customHeight="1">
      <c r="B4047" s="7">
        <v>44952.0</v>
      </c>
      <c r="C4047" s="7">
        <f t="shared" si="1"/>
        <v>44948</v>
      </c>
      <c r="D4047" s="1" t="str">
        <f t="array" ref="D4047">IF(ISBLANK(XLOOKUP(D$3,daily_items,XLOOKUP($C4047,daily_dates,big_daily_table))),NA(),XLOOKUP(D$3,daily_items,XLOOKUP($C4047,daily_dates,big_daily_table)))</f>
        <v>#N/A</v>
      </c>
      <c r="E4047" s="1" t="str">
        <f t="array" ref="E4047">IF(ISBLANK(XLOOKUP(E$3,daily_items,XLOOKUP($C4047,daily_dates,big_daily_table))),NA(),XLOOKUP(E$3,daily_items,XLOOKUP($C4047,daily_dates,big_daily_table)))</f>
        <v>#N/A</v>
      </c>
    </row>
    <row r="4048" ht="14.25" customHeight="1">
      <c r="B4048" s="7">
        <v>44953.0</v>
      </c>
      <c r="C4048" s="7">
        <f t="shared" si="1"/>
        <v>44948</v>
      </c>
      <c r="D4048" s="1" t="str">
        <f t="array" ref="D4048">IF(ISBLANK(XLOOKUP(D$3,daily_items,XLOOKUP($C4048,daily_dates,big_daily_table))),NA(),XLOOKUP(D$3,daily_items,XLOOKUP($C4048,daily_dates,big_daily_table)))</f>
        <v>#N/A</v>
      </c>
      <c r="E4048" s="1" t="str">
        <f t="array" ref="E4048">IF(ISBLANK(XLOOKUP(E$3,daily_items,XLOOKUP($C4048,daily_dates,big_daily_table))),NA(),XLOOKUP(E$3,daily_items,XLOOKUP($C4048,daily_dates,big_daily_table)))</f>
        <v>#N/A</v>
      </c>
    </row>
    <row r="4049" ht="14.25" customHeight="1">
      <c r="B4049" s="7">
        <v>44954.0</v>
      </c>
      <c r="C4049" s="7">
        <f t="shared" si="1"/>
        <v>44948</v>
      </c>
      <c r="D4049" s="1" t="str">
        <f t="array" ref="D4049">IF(ISBLANK(XLOOKUP(D$3,daily_items,XLOOKUP($C4049,daily_dates,big_daily_table))),NA(),XLOOKUP(D$3,daily_items,XLOOKUP($C4049,daily_dates,big_daily_table)))</f>
        <v>#N/A</v>
      </c>
      <c r="E4049" s="1" t="str">
        <f t="array" ref="E4049">IF(ISBLANK(XLOOKUP(E$3,daily_items,XLOOKUP($C4049,daily_dates,big_daily_table))),NA(),XLOOKUP(E$3,daily_items,XLOOKUP($C4049,daily_dates,big_daily_table)))</f>
        <v>#N/A</v>
      </c>
    </row>
    <row r="4050" ht="14.25" customHeight="1">
      <c r="B4050" s="7">
        <v>44955.0</v>
      </c>
      <c r="C4050" s="7">
        <f t="shared" si="1"/>
        <v>44955</v>
      </c>
      <c r="D4050" s="1" t="str">
        <f t="array" ref="D4050">IF(ISBLANK(XLOOKUP(D$3,daily_items,XLOOKUP($C4050,daily_dates,big_daily_table))),NA(),XLOOKUP(D$3,daily_items,XLOOKUP($C4050,daily_dates,big_daily_table)))</f>
        <v>#N/A</v>
      </c>
      <c r="E4050" s="1" t="str">
        <f t="array" ref="E4050">IF(ISBLANK(XLOOKUP(E$3,daily_items,XLOOKUP($C4050,daily_dates,big_daily_table))),NA(),XLOOKUP(E$3,daily_items,XLOOKUP($C4050,daily_dates,big_daily_table)))</f>
        <v>#N/A</v>
      </c>
    </row>
    <row r="4051" ht="14.25" customHeight="1">
      <c r="B4051" s="7">
        <v>44956.0</v>
      </c>
      <c r="C4051" s="7">
        <f t="shared" si="1"/>
        <v>44955</v>
      </c>
      <c r="D4051" s="1" t="str">
        <f t="array" ref="D4051">IF(ISBLANK(XLOOKUP(D$3,daily_items,XLOOKUP($C4051,daily_dates,big_daily_table))),NA(),XLOOKUP(D$3,daily_items,XLOOKUP($C4051,daily_dates,big_daily_table)))</f>
        <v>#N/A</v>
      </c>
      <c r="E4051" s="1" t="str">
        <f t="array" ref="E4051">IF(ISBLANK(XLOOKUP(E$3,daily_items,XLOOKUP($C4051,daily_dates,big_daily_table))),NA(),XLOOKUP(E$3,daily_items,XLOOKUP($C4051,daily_dates,big_daily_table)))</f>
        <v>#N/A</v>
      </c>
    </row>
    <row r="4052" ht="14.25" customHeight="1">
      <c r="B4052" s="7">
        <v>44957.0</v>
      </c>
      <c r="C4052" s="7">
        <f t="shared" si="1"/>
        <v>44955</v>
      </c>
      <c r="D4052" s="1" t="str">
        <f t="array" ref="D4052">IF(ISBLANK(XLOOKUP(D$3,daily_items,XLOOKUP($C4052,daily_dates,big_daily_table))),NA(),XLOOKUP(D$3,daily_items,XLOOKUP($C4052,daily_dates,big_daily_table)))</f>
        <v>#N/A</v>
      </c>
      <c r="E4052" s="1" t="str">
        <f t="array" ref="E4052">IF(ISBLANK(XLOOKUP(E$3,daily_items,XLOOKUP($C4052,daily_dates,big_daily_table))),NA(),XLOOKUP(E$3,daily_items,XLOOKUP($C4052,daily_dates,big_daily_table)))</f>
        <v>#N/A</v>
      </c>
    </row>
    <row r="4053" ht="14.25" customHeight="1">
      <c r="B4053" s="7">
        <v>44958.0</v>
      </c>
      <c r="C4053" s="7">
        <f t="shared" si="1"/>
        <v>44955</v>
      </c>
      <c r="D4053" s="1" t="str">
        <f t="array" ref="D4053">IF(ISBLANK(XLOOKUP(D$3,daily_items,XLOOKUP($C4053,daily_dates,big_daily_table))),NA(),XLOOKUP(D$3,daily_items,XLOOKUP($C4053,daily_dates,big_daily_table)))</f>
        <v>#N/A</v>
      </c>
      <c r="E4053" s="1" t="str">
        <f t="array" ref="E4053">IF(ISBLANK(XLOOKUP(E$3,daily_items,XLOOKUP($C4053,daily_dates,big_daily_table))),NA(),XLOOKUP(E$3,daily_items,XLOOKUP($C4053,daily_dates,big_daily_table)))</f>
        <v>#N/A</v>
      </c>
    </row>
    <row r="4054" ht="14.25" customHeight="1">
      <c r="B4054" s="7">
        <v>44959.0</v>
      </c>
      <c r="C4054" s="7">
        <f t="shared" si="1"/>
        <v>44955</v>
      </c>
      <c r="D4054" s="1" t="str">
        <f t="array" ref="D4054">IF(ISBLANK(XLOOKUP(D$3,daily_items,XLOOKUP($C4054,daily_dates,big_daily_table))),NA(),XLOOKUP(D$3,daily_items,XLOOKUP($C4054,daily_dates,big_daily_table)))</f>
        <v>#N/A</v>
      </c>
      <c r="E4054" s="1" t="str">
        <f t="array" ref="E4054">IF(ISBLANK(XLOOKUP(E$3,daily_items,XLOOKUP($C4054,daily_dates,big_daily_table))),NA(),XLOOKUP(E$3,daily_items,XLOOKUP($C4054,daily_dates,big_daily_table)))</f>
        <v>#N/A</v>
      </c>
    </row>
    <row r="4055" ht="14.25" customHeight="1">
      <c r="B4055" s="7">
        <v>44960.0</v>
      </c>
      <c r="C4055" s="7">
        <f t="shared" si="1"/>
        <v>44955</v>
      </c>
      <c r="D4055" s="1" t="str">
        <f t="array" ref="D4055">IF(ISBLANK(XLOOKUP(D$3,daily_items,XLOOKUP($C4055,daily_dates,big_daily_table))),NA(),XLOOKUP(D$3,daily_items,XLOOKUP($C4055,daily_dates,big_daily_table)))</f>
        <v>#N/A</v>
      </c>
      <c r="E4055" s="1" t="str">
        <f t="array" ref="E4055">IF(ISBLANK(XLOOKUP(E$3,daily_items,XLOOKUP($C4055,daily_dates,big_daily_table))),NA(),XLOOKUP(E$3,daily_items,XLOOKUP($C4055,daily_dates,big_daily_table)))</f>
        <v>#N/A</v>
      </c>
    </row>
    <row r="4056" ht="14.25" customHeight="1">
      <c r="B4056" s="7">
        <v>44961.0</v>
      </c>
      <c r="C4056" s="7">
        <f t="shared" si="1"/>
        <v>44955</v>
      </c>
      <c r="D4056" s="1" t="str">
        <f t="array" ref="D4056">IF(ISBLANK(XLOOKUP(D$3,daily_items,XLOOKUP($C4056,daily_dates,big_daily_table))),NA(),XLOOKUP(D$3,daily_items,XLOOKUP($C4056,daily_dates,big_daily_table)))</f>
        <v>#N/A</v>
      </c>
      <c r="E4056" s="1" t="str">
        <f t="array" ref="E4056">IF(ISBLANK(XLOOKUP(E$3,daily_items,XLOOKUP($C4056,daily_dates,big_daily_table))),NA(),XLOOKUP(E$3,daily_items,XLOOKUP($C4056,daily_dates,big_daily_table)))</f>
        <v>#N/A</v>
      </c>
    </row>
    <row r="4057" ht="14.25" customHeight="1">
      <c r="B4057" s="7">
        <v>44962.0</v>
      </c>
      <c r="C4057" s="7">
        <f t="shared" si="1"/>
        <v>44962</v>
      </c>
      <c r="D4057" s="1" t="str">
        <f t="array" ref="D4057">IF(ISBLANK(XLOOKUP(D$3,daily_items,XLOOKUP($C4057,daily_dates,big_daily_table))),NA(),XLOOKUP(D$3,daily_items,XLOOKUP($C4057,daily_dates,big_daily_table)))</f>
        <v>#N/A</v>
      </c>
      <c r="E4057" s="1" t="str">
        <f t="array" ref="E4057">IF(ISBLANK(XLOOKUP(E$3,daily_items,XLOOKUP($C4057,daily_dates,big_daily_table))),NA(),XLOOKUP(E$3,daily_items,XLOOKUP($C4057,daily_dates,big_daily_table)))</f>
        <v>#N/A</v>
      </c>
    </row>
    <row r="4058" ht="14.25" customHeight="1">
      <c r="B4058" s="7">
        <v>44963.0</v>
      </c>
      <c r="C4058" s="7">
        <f t="shared" si="1"/>
        <v>44962</v>
      </c>
      <c r="D4058" s="1" t="str">
        <f t="array" ref="D4058">IF(ISBLANK(XLOOKUP(D$3,daily_items,XLOOKUP($C4058,daily_dates,big_daily_table))),NA(),XLOOKUP(D$3,daily_items,XLOOKUP($C4058,daily_dates,big_daily_table)))</f>
        <v>#N/A</v>
      </c>
      <c r="E4058" s="1" t="str">
        <f t="array" ref="E4058">IF(ISBLANK(XLOOKUP(E$3,daily_items,XLOOKUP($C4058,daily_dates,big_daily_table))),NA(),XLOOKUP(E$3,daily_items,XLOOKUP($C4058,daily_dates,big_daily_table)))</f>
        <v>#N/A</v>
      </c>
    </row>
    <row r="4059" ht="14.25" customHeight="1">
      <c r="B4059" s="7">
        <v>44964.0</v>
      </c>
      <c r="C4059" s="7">
        <f t="shared" si="1"/>
        <v>44962</v>
      </c>
      <c r="D4059" s="1" t="str">
        <f t="array" ref="D4059">IF(ISBLANK(XLOOKUP(D$3,daily_items,XLOOKUP($C4059,daily_dates,big_daily_table))),NA(),XLOOKUP(D$3,daily_items,XLOOKUP($C4059,daily_dates,big_daily_table)))</f>
        <v>#N/A</v>
      </c>
      <c r="E4059" s="1" t="str">
        <f t="array" ref="E4059">IF(ISBLANK(XLOOKUP(E$3,daily_items,XLOOKUP($C4059,daily_dates,big_daily_table))),NA(),XLOOKUP(E$3,daily_items,XLOOKUP($C4059,daily_dates,big_daily_table)))</f>
        <v>#N/A</v>
      </c>
    </row>
    <row r="4060" ht="14.25" customHeight="1">
      <c r="B4060" s="7">
        <v>44965.0</v>
      </c>
      <c r="C4060" s="7">
        <f t="shared" si="1"/>
        <v>44962</v>
      </c>
      <c r="D4060" s="1" t="str">
        <f t="array" ref="D4060">IF(ISBLANK(XLOOKUP(D$3,daily_items,XLOOKUP($C4060,daily_dates,big_daily_table))),NA(),XLOOKUP(D$3,daily_items,XLOOKUP($C4060,daily_dates,big_daily_table)))</f>
        <v>#N/A</v>
      </c>
      <c r="E4060" s="1" t="str">
        <f t="array" ref="E4060">IF(ISBLANK(XLOOKUP(E$3,daily_items,XLOOKUP($C4060,daily_dates,big_daily_table))),NA(),XLOOKUP(E$3,daily_items,XLOOKUP($C4060,daily_dates,big_daily_table)))</f>
        <v>#N/A</v>
      </c>
    </row>
    <row r="4061" ht="14.25" customHeight="1">
      <c r="B4061" s="7">
        <v>44966.0</v>
      </c>
      <c r="C4061" s="7">
        <f t="shared" si="1"/>
        <v>44962</v>
      </c>
      <c r="D4061" s="1" t="str">
        <f t="array" ref="D4061">IF(ISBLANK(XLOOKUP(D$3,daily_items,XLOOKUP($C4061,daily_dates,big_daily_table))),NA(),XLOOKUP(D$3,daily_items,XLOOKUP($C4061,daily_dates,big_daily_table)))</f>
        <v>#N/A</v>
      </c>
      <c r="E4061" s="1" t="str">
        <f t="array" ref="E4061">IF(ISBLANK(XLOOKUP(E$3,daily_items,XLOOKUP($C4061,daily_dates,big_daily_table))),NA(),XLOOKUP(E$3,daily_items,XLOOKUP($C4061,daily_dates,big_daily_table)))</f>
        <v>#N/A</v>
      </c>
    </row>
    <row r="4062" ht="14.25" customHeight="1">
      <c r="B4062" s="7">
        <v>44967.0</v>
      </c>
      <c r="C4062" s="7">
        <f t="shared" si="1"/>
        <v>44962</v>
      </c>
      <c r="D4062" s="1" t="str">
        <f t="array" ref="D4062">IF(ISBLANK(XLOOKUP(D$3,daily_items,XLOOKUP($C4062,daily_dates,big_daily_table))),NA(),XLOOKUP(D$3,daily_items,XLOOKUP($C4062,daily_dates,big_daily_table)))</f>
        <v>#N/A</v>
      </c>
      <c r="E4062" s="1" t="str">
        <f t="array" ref="E4062">IF(ISBLANK(XLOOKUP(E$3,daily_items,XLOOKUP($C4062,daily_dates,big_daily_table))),NA(),XLOOKUP(E$3,daily_items,XLOOKUP($C4062,daily_dates,big_daily_table)))</f>
        <v>#N/A</v>
      </c>
    </row>
    <row r="4063" ht="14.25" customHeight="1">
      <c r="B4063" s="7">
        <v>44968.0</v>
      </c>
      <c r="C4063" s="7">
        <f t="shared" si="1"/>
        <v>44962</v>
      </c>
      <c r="D4063" s="1" t="str">
        <f t="array" ref="D4063">IF(ISBLANK(XLOOKUP(D$3,daily_items,XLOOKUP($C4063,daily_dates,big_daily_table))),NA(),XLOOKUP(D$3,daily_items,XLOOKUP($C4063,daily_dates,big_daily_table)))</f>
        <v>#N/A</v>
      </c>
      <c r="E4063" s="1" t="str">
        <f t="array" ref="E4063">IF(ISBLANK(XLOOKUP(E$3,daily_items,XLOOKUP($C4063,daily_dates,big_daily_table))),NA(),XLOOKUP(E$3,daily_items,XLOOKUP($C4063,daily_dates,big_daily_table)))</f>
        <v>#N/A</v>
      </c>
    </row>
    <row r="4064" ht="14.25" customHeight="1">
      <c r="B4064" s="7">
        <v>44969.0</v>
      </c>
      <c r="C4064" s="7">
        <f t="shared" si="1"/>
        <v>44969</v>
      </c>
      <c r="D4064" s="1" t="str">
        <f t="array" ref="D4064">IF(ISBLANK(XLOOKUP(D$3,daily_items,XLOOKUP($C4064,daily_dates,big_daily_table))),NA(),XLOOKUP(D$3,daily_items,XLOOKUP($C4064,daily_dates,big_daily_table)))</f>
        <v>#N/A</v>
      </c>
      <c r="E4064" s="1" t="str">
        <f t="array" ref="E4064">IF(ISBLANK(XLOOKUP(E$3,daily_items,XLOOKUP($C4064,daily_dates,big_daily_table))),NA(),XLOOKUP(E$3,daily_items,XLOOKUP($C4064,daily_dates,big_daily_table)))</f>
        <v>#N/A</v>
      </c>
    </row>
    <row r="4065" ht="14.25" customHeight="1">
      <c r="B4065" s="7">
        <v>44970.0</v>
      </c>
      <c r="C4065" s="7">
        <f t="shared" si="1"/>
        <v>44969</v>
      </c>
      <c r="D4065" s="1" t="str">
        <f t="array" ref="D4065">IF(ISBLANK(XLOOKUP(D$3,daily_items,XLOOKUP($C4065,daily_dates,big_daily_table))),NA(),XLOOKUP(D$3,daily_items,XLOOKUP($C4065,daily_dates,big_daily_table)))</f>
        <v>#N/A</v>
      </c>
      <c r="E4065" s="1" t="str">
        <f t="array" ref="E4065">IF(ISBLANK(XLOOKUP(E$3,daily_items,XLOOKUP($C4065,daily_dates,big_daily_table))),NA(),XLOOKUP(E$3,daily_items,XLOOKUP($C4065,daily_dates,big_daily_table)))</f>
        <v>#N/A</v>
      </c>
    </row>
    <row r="4066" ht="14.25" customHeight="1">
      <c r="B4066" s="7">
        <v>44971.0</v>
      </c>
      <c r="C4066" s="7">
        <f t="shared" si="1"/>
        <v>44969</v>
      </c>
      <c r="D4066" s="1" t="str">
        <f t="array" ref="D4066">IF(ISBLANK(XLOOKUP(D$3,daily_items,XLOOKUP($C4066,daily_dates,big_daily_table))),NA(),XLOOKUP(D$3,daily_items,XLOOKUP($C4066,daily_dates,big_daily_table)))</f>
        <v>#N/A</v>
      </c>
      <c r="E4066" s="1" t="str">
        <f t="array" ref="E4066">IF(ISBLANK(XLOOKUP(E$3,daily_items,XLOOKUP($C4066,daily_dates,big_daily_table))),NA(),XLOOKUP(E$3,daily_items,XLOOKUP($C4066,daily_dates,big_daily_table)))</f>
        <v>#N/A</v>
      </c>
    </row>
    <row r="4067" ht="14.25" customHeight="1">
      <c r="B4067" s="7">
        <v>44972.0</v>
      </c>
      <c r="C4067" s="7">
        <f t="shared" si="1"/>
        <v>44969</v>
      </c>
      <c r="D4067" s="1" t="str">
        <f t="array" ref="D4067">IF(ISBLANK(XLOOKUP(D$3,daily_items,XLOOKUP($C4067,daily_dates,big_daily_table))),NA(),XLOOKUP(D$3,daily_items,XLOOKUP($C4067,daily_dates,big_daily_table)))</f>
        <v>#N/A</v>
      </c>
      <c r="E4067" s="1" t="str">
        <f t="array" ref="E4067">IF(ISBLANK(XLOOKUP(E$3,daily_items,XLOOKUP($C4067,daily_dates,big_daily_table))),NA(),XLOOKUP(E$3,daily_items,XLOOKUP($C4067,daily_dates,big_daily_table)))</f>
        <v>#N/A</v>
      </c>
    </row>
    <row r="4068" ht="14.25" customHeight="1">
      <c r="B4068" s="7">
        <v>44973.0</v>
      </c>
      <c r="C4068" s="7">
        <f t="shared" si="1"/>
        <v>44969</v>
      </c>
      <c r="D4068" s="1" t="str">
        <f t="array" ref="D4068">IF(ISBLANK(XLOOKUP(D$3,daily_items,XLOOKUP($C4068,daily_dates,big_daily_table))),NA(),XLOOKUP(D$3,daily_items,XLOOKUP($C4068,daily_dates,big_daily_table)))</f>
        <v>#N/A</v>
      </c>
      <c r="E4068" s="1" t="str">
        <f t="array" ref="E4068">IF(ISBLANK(XLOOKUP(E$3,daily_items,XLOOKUP($C4068,daily_dates,big_daily_table))),NA(),XLOOKUP(E$3,daily_items,XLOOKUP($C4068,daily_dates,big_daily_table)))</f>
        <v>#N/A</v>
      </c>
    </row>
    <row r="4069" ht="14.25" customHeight="1">
      <c r="B4069" s="7">
        <v>44974.0</v>
      </c>
      <c r="C4069" s="7">
        <f t="shared" si="1"/>
        <v>44969</v>
      </c>
      <c r="D4069" s="1" t="str">
        <f t="array" ref="D4069">IF(ISBLANK(XLOOKUP(D$3,daily_items,XLOOKUP($C4069,daily_dates,big_daily_table))),NA(),XLOOKUP(D$3,daily_items,XLOOKUP($C4069,daily_dates,big_daily_table)))</f>
        <v>#N/A</v>
      </c>
      <c r="E4069" s="1" t="str">
        <f t="array" ref="E4069">IF(ISBLANK(XLOOKUP(E$3,daily_items,XLOOKUP($C4069,daily_dates,big_daily_table))),NA(),XLOOKUP(E$3,daily_items,XLOOKUP($C4069,daily_dates,big_daily_table)))</f>
        <v>#N/A</v>
      </c>
    </row>
    <row r="4070" ht="14.25" customHeight="1">
      <c r="B4070" s="7">
        <v>44975.0</v>
      </c>
      <c r="C4070" s="7">
        <f t="shared" si="1"/>
        <v>44969</v>
      </c>
      <c r="D4070" s="1" t="str">
        <f t="array" ref="D4070">IF(ISBLANK(XLOOKUP(D$3,daily_items,XLOOKUP($C4070,daily_dates,big_daily_table))),NA(),XLOOKUP(D$3,daily_items,XLOOKUP($C4070,daily_dates,big_daily_table)))</f>
        <v>#N/A</v>
      </c>
      <c r="E4070" s="1" t="str">
        <f t="array" ref="E4070">IF(ISBLANK(XLOOKUP(E$3,daily_items,XLOOKUP($C4070,daily_dates,big_daily_table))),NA(),XLOOKUP(E$3,daily_items,XLOOKUP($C4070,daily_dates,big_daily_table)))</f>
        <v>#N/A</v>
      </c>
    </row>
    <row r="4071" ht="14.25" customHeight="1">
      <c r="B4071" s="7">
        <v>44976.0</v>
      </c>
      <c r="C4071" s="7">
        <f t="shared" si="1"/>
        <v>44976</v>
      </c>
      <c r="D4071" s="1" t="str">
        <f t="array" ref="D4071">IF(ISBLANK(XLOOKUP(D$3,daily_items,XLOOKUP($C4071,daily_dates,big_daily_table))),NA(),XLOOKUP(D$3,daily_items,XLOOKUP($C4071,daily_dates,big_daily_table)))</f>
        <v>#N/A</v>
      </c>
      <c r="E4071" s="1" t="str">
        <f t="array" ref="E4071">IF(ISBLANK(XLOOKUP(E$3,daily_items,XLOOKUP($C4071,daily_dates,big_daily_table))),NA(),XLOOKUP(E$3,daily_items,XLOOKUP($C4071,daily_dates,big_daily_table)))</f>
        <v>#N/A</v>
      </c>
    </row>
    <row r="4072" ht="14.25" customHeight="1">
      <c r="B4072" s="7">
        <v>44977.0</v>
      </c>
      <c r="C4072" s="7">
        <f t="shared" si="1"/>
        <v>44976</v>
      </c>
      <c r="D4072" s="1" t="str">
        <f t="array" ref="D4072">IF(ISBLANK(XLOOKUP(D$3,daily_items,XLOOKUP($C4072,daily_dates,big_daily_table))),NA(),XLOOKUP(D$3,daily_items,XLOOKUP($C4072,daily_dates,big_daily_table)))</f>
        <v>#N/A</v>
      </c>
      <c r="E4072" s="1" t="str">
        <f t="array" ref="E4072">IF(ISBLANK(XLOOKUP(E$3,daily_items,XLOOKUP($C4072,daily_dates,big_daily_table))),NA(),XLOOKUP(E$3,daily_items,XLOOKUP($C4072,daily_dates,big_daily_table)))</f>
        <v>#N/A</v>
      </c>
    </row>
    <row r="4073" ht="14.25" customHeight="1">
      <c r="B4073" s="7">
        <v>44978.0</v>
      </c>
      <c r="C4073" s="7">
        <f t="shared" si="1"/>
        <v>44976</v>
      </c>
      <c r="D4073" s="1" t="str">
        <f t="array" ref="D4073">IF(ISBLANK(XLOOKUP(D$3,daily_items,XLOOKUP($C4073,daily_dates,big_daily_table))),NA(),XLOOKUP(D$3,daily_items,XLOOKUP($C4073,daily_dates,big_daily_table)))</f>
        <v>#N/A</v>
      </c>
      <c r="E4073" s="1" t="str">
        <f t="array" ref="E4073">IF(ISBLANK(XLOOKUP(E$3,daily_items,XLOOKUP($C4073,daily_dates,big_daily_table))),NA(),XLOOKUP(E$3,daily_items,XLOOKUP($C4073,daily_dates,big_daily_table)))</f>
        <v>#N/A</v>
      </c>
    </row>
    <row r="4074" ht="14.25" customHeight="1">
      <c r="B4074" s="7">
        <v>44979.0</v>
      </c>
      <c r="C4074" s="7">
        <f t="shared" si="1"/>
        <v>44976</v>
      </c>
      <c r="D4074" s="1" t="str">
        <f t="array" ref="D4074">IF(ISBLANK(XLOOKUP(D$3,daily_items,XLOOKUP($C4074,daily_dates,big_daily_table))),NA(),XLOOKUP(D$3,daily_items,XLOOKUP($C4074,daily_dates,big_daily_table)))</f>
        <v>#N/A</v>
      </c>
      <c r="E4074" s="1" t="str">
        <f t="array" ref="E4074">IF(ISBLANK(XLOOKUP(E$3,daily_items,XLOOKUP($C4074,daily_dates,big_daily_table))),NA(),XLOOKUP(E$3,daily_items,XLOOKUP($C4074,daily_dates,big_daily_table)))</f>
        <v>#N/A</v>
      </c>
    </row>
    <row r="4075" ht="14.25" customHeight="1">
      <c r="B4075" s="7">
        <v>44980.0</v>
      </c>
      <c r="C4075" s="7">
        <f t="shared" si="1"/>
        <v>44976</v>
      </c>
      <c r="D4075" s="1" t="str">
        <f t="array" ref="D4075">IF(ISBLANK(XLOOKUP(D$3,daily_items,XLOOKUP($C4075,daily_dates,big_daily_table))),NA(),XLOOKUP(D$3,daily_items,XLOOKUP($C4075,daily_dates,big_daily_table)))</f>
        <v>#N/A</v>
      </c>
      <c r="E4075" s="1" t="str">
        <f t="array" ref="E4075">IF(ISBLANK(XLOOKUP(E$3,daily_items,XLOOKUP($C4075,daily_dates,big_daily_table))),NA(),XLOOKUP(E$3,daily_items,XLOOKUP($C4075,daily_dates,big_daily_table)))</f>
        <v>#N/A</v>
      </c>
    </row>
    <row r="4076" ht="14.25" customHeight="1">
      <c r="B4076" s="7">
        <v>44981.0</v>
      </c>
      <c r="C4076" s="7">
        <f t="shared" si="1"/>
        <v>44976</v>
      </c>
      <c r="D4076" s="1" t="str">
        <f t="array" ref="D4076">IF(ISBLANK(XLOOKUP(D$3,daily_items,XLOOKUP($C4076,daily_dates,big_daily_table))),NA(),XLOOKUP(D$3,daily_items,XLOOKUP($C4076,daily_dates,big_daily_table)))</f>
        <v>#N/A</v>
      </c>
      <c r="E4076" s="1" t="str">
        <f t="array" ref="E4076">IF(ISBLANK(XLOOKUP(E$3,daily_items,XLOOKUP($C4076,daily_dates,big_daily_table))),NA(),XLOOKUP(E$3,daily_items,XLOOKUP($C4076,daily_dates,big_daily_table)))</f>
        <v>#N/A</v>
      </c>
    </row>
    <row r="4077" ht="14.25" customHeight="1">
      <c r="B4077" s="7">
        <v>44982.0</v>
      </c>
      <c r="C4077" s="7">
        <f t="shared" si="1"/>
        <v>44976</v>
      </c>
      <c r="D4077" s="1" t="str">
        <f t="array" ref="D4077">IF(ISBLANK(XLOOKUP(D$3,daily_items,XLOOKUP($C4077,daily_dates,big_daily_table))),NA(),XLOOKUP(D$3,daily_items,XLOOKUP($C4077,daily_dates,big_daily_table)))</f>
        <v>#N/A</v>
      </c>
      <c r="E4077" s="1" t="str">
        <f t="array" ref="E4077">IF(ISBLANK(XLOOKUP(E$3,daily_items,XLOOKUP($C4077,daily_dates,big_daily_table))),NA(),XLOOKUP(E$3,daily_items,XLOOKUP($C4077,daily_dates,big_daily_table)))</f>
        <v>#N/A</v>
      </c>
    </row>
    <row r="4078" ht="14.25" customHeight="1">
      <c r="B4078" s="7">
        <v>44983.0</v>
      </c>
      <c r="C4078" s="7">
        <f t="shared" si="1"/>
        <v>44983</v>
      </c>
      <c r="D4078" s="1" t="str">
        <f t="array" ref="D4078">IF(ISBLANK(XLOOKUP(D$3,daily_items,XLOOKUP($C4078,daily_dates,big_daily_table))),NA(),XLOOKUP(D$3,daily_items,XLOOKUP($C4078,daily_dates,big_daily_table)))</f>
        <v>#N/A</v>
      </c>
      <c r="E4078" s="1" t="str">
        <f t="array" ref="E4078">IF(ISBLANK(XLOOKUP(E$3,daily_items,XLOOKUP($C4078,daily_dates,big_daily_table))),NA(),XLOOKUP(E$3,daily_items,XLOOKUP($C4078,daily_dates,big_daily_table)))</f>
        <v>#N/A</v>
      </c>
    </row>
    <row r="4079" ht="14.25" customHeight="1">
      <c r="B4079" s="7">
        <v>44984.0</v>
      </c>
      <c r="C4079" s="7">
        <f t="shared" si="1"/>
        <v>44983</v>
      </c>
      <c r="D4079" s="1" t="str">
        <f t="array" ref="D4079">IF(ISBLANK(XLOOKUP(D$3,daily_items,XLOOKUP($C4079,daily_dates,big_daily_table))),NA(),XLOOKUP(D$3,daily_items,XLOOKUP($C4079,daily_dates,big_daily_table)))</f>
        <v>#N/A</v>
      </c>
      <c r="E4079" s="1" t="str">
        <f t="array" ref="E4079">IF(ISBLANK(XLOOKUP(E$3,daily_items,XLOOKUP($C4079,daily_dates,big_daily_table))),NA(),XLOOKUP(E$3,daily_items,XLOOKUP($C4079,daily_dates,big_daily_table)))</f>
        <v>#N/A</v>
      </c>
    </row>
    <row r="4080" ht="14.25" customHeight="1">
      <c r="B4080" s="7">
        <v>44985.0</v>
      </c>
      <c r="C4080" s="7">
        <f t="shared" si="1"/>
        <v>44983</v>
      </c>
      <c r="D4080" s="1" t="str">
        <f t="array" ref="D4080">IF(ISBLANK(XLOOKUP(D$3,daily_items,XLOOKUP($C4080,daily_dates,big_daily_table))),NA(),XLOOKUP(D$3,daily_items,XLOOKUP($C4080,daily_dates,big_daily_table)))</f>
        <v>#N/A</v>
      </c>
      <c r="E4080" s="1" t="str">
        <f t="array" ref="E4080">IF(ISBLANK(XLOOKUP(E$3,daily_items,XLOOKUP($C4080,daily_dates,big_daily_table))),NA(),XLOOKUP(E$3,daily_items,XLOOKUP($C4080,daily_dates,big_daily_table)))</f>
        <v>#N/A</v>
      </c>
    </row>
    <row r="4081" ht="14.25" customHeight="1">
      <c r="B4081" s="7">
        <v>44986.0</v>
      </c>
      <c r="C4081" s="7">
        <f t="shared" si="1"/>
        <v>44983</v>
      </c>
      <c r="D4081" s="1" t="str">
        <f t="array" ref="D4081">IF(ISBLANK(XLOOKUP(D$3,daily_items,XLOOKUP($C4081,daily_dates,big_daily_table))),NA(),XLOOKUP(D$3,daily_items,XLOOKUP($C4081,daily_dates,big_daily_table)))</f>
        <v>#N/A</v>
      </c>
      <c r="E4081" s="1" t="str">
        <f t="array" ref="E4081">IF(ISBLANK(XLOOKUP(E$3,daily_items,XLOOKUP($C4081,daily_dates,big_daily_table))),NA(),XLOOKUP(E$3,daily_items,XLOOKUP($C4081,daily_dates,big_daily_table)))</f>
        <v>#N/A</v>
      </c>
    </row>
    <row r="4082" ht="14.25" customHeight="1">
      <c r="B4082" s="7">
        <v>44987.0</v>
      </c>
      <c r="C4082" s="7">
        <f t="shared" si="1"/>
        <v>44983</v>
      </c>
      <c r="D4082" s="1" t="str">
        <f t="array" ref="D4082">IF(ISBLANK(XLOOKUP(D$3,daily_items,XLOOKUP($C4082,daily_dates,big_daily_table))),NA(),XLOOKUP(D$3,daily_items,XLOOKUP($C4082,daily_dates,big_daily_table)))</f>
        <v>#N/A</v>
      </c>
      <c r="E4082" s="1" t="str">
        <f t="array" ref="E4082">IF(ISBLANK(XLOOKUP(E$3,daily_items,XLOOKUP($C4082,daily_dates,big_daily_table))),NA(),XLOOKUP(E$3,daily_items,XLOOKUP($C4082,daily_dates,big_daily_table)))</f>
        <v>#N/A</v>
      </c>
    </row>
    <row r="4083" ht="14.25" customHeight="1">
      <c r="B4083" s="7">
        <v>44988.0</v>
      </c>
      <c r="C4083" s="7">
        <f t="shared" si="1"/>
        <v>44983</v>
      </c>
      <c r="D4083" s="1" t="str">
        <f t="array" ref="D4083">IF(ISBLANK(XLOOKUP(D$3,daily_items,XLOOKUP($C4083,daily_dates,big_daily_table))),NA(),XLOOKUP(D$3,daily_items,XLOOKUP($C4083,daily_dates,big_daily_table)))</f>
        <v>#N/A</v>
      </c>
      <c r="E4083" s="1" t="str">
        <f t="array" ref="E4083">IF(ISBLANK(XLOOKUP(E$3,daily_items,XLOOKUP($C4083,daily_dates,big_daily_table))),NA(),XLOOKUP(E$3,daily_items,XLOOKUP($C4083,daily_dates,big_daily_table)))</f>
        <v>#N/A</v>
      </c>
    </row>
    <row r="4084" ht="14.25" customHeight="1">
      <c r="B4084" s="7">
        <v>44989.0</v>
      </c>
      <c r="C4084" s="7">
        <f t="shared" si="1"/>
        <v>44983</v>
      </c>
      <c r="D4084" s="1" t="str">
        <f t="array" ref="D4084">IF(ISBLANK(XLOOKUP(D$3,daily_items,XLOOKUP($C4084,daily_dates,big_daily_table))),NA(),XLOOKUP(D$3,daily_items,XLOOKUP($C4084,daily_dates,big_daily_table)))</f>
        <v>#N/A</v>
      </c>
      <c r="E4084" s="1" t="str">
        <f t="array" ref="E4084">IF(ISBLANK(XLOOKUP(E$3,daily_items,XLOOKUP($C4084,daily_dates,big_daily_table))),NA(),XLOOKUP(E$3,daily_items,XLOOKUP($C4084,daily_dates,big_daily_table)))</f>
        <v>#N/A</v>
      </c>
    </row>
    <row r="4085" ht="14.25" customHeight="1">
      <c r="B4085" s="7">
        <v>44990.0</v>
      </c>
      <c r="C4085" s="7">
        <f t="shared" si="1"/>
        <v>44990</v>
      </c>
      <c r="D4085" s="1" t="str">
        <f t="array" ref="D4085">IF(ISBLANK(XLOOKUP(D$3,daily_items,XLOOKUP($C4085,daily_dates,big_daily_table))),NA(),XLOOKUP(D$3,daily_items,XLOOKUP($C4085,daily_dates,big_daily_table)))</f>
        <v>#N/A</v>
      </c>
      <c r="E4085" s="1" t="str">
        <f t="array" ref="E4085">IF(ISBLANK(XLOOKUP(E$3,daily_items,XLOOKUP($C4085,daily_dates,big_daily_table))),NA(),XLOOKUP(E$3,daily_items,XLOOKUP($C4085,daily_dates,big_daily_table)))</f>
        <v>#N/A</v>
      </c>
    </row>
    <row r="4086" ht="14.25" customHeight="1">
      <c r="B4086" s="7">
        <v>44991.0</v>
      </c>
      <c r="C4086" s="7">
        <f t="shared" si="1"/>
        <v>44990</v>
      </c>
      <c r="D4086" s="1" t="str">
        <f t="array" ref="D4086">IF(ISBLANK(XLOOKUP(D$3,daily_items,XLOOKUP($C4086,daily_dates,big_daily_table))),NA(),XLOOKUP(D$3,daily_items,XLOOKUP($C4086,daily_dates,big_daily_table)))</f>
        <v>#N/A</v>
      </c>
      <c r="E4086" s="1" t="str">
        <f t="array" ref="E4086">IF(ISBLANK(XLOOKUP(E$3,daily_items,XLOOKUP($C4086,daily_dates,big_daily_table))),NA(),XLOOKUP(E$3,daily_items,XLOOKUP($C4086,daily_dates,big_daily_table)))</f>
        <v>#N/A</v>
      </c>
    </row>
    <row r="4087" ht="14.25" customHeight="1">
      <c r="B4087" s="7">
        <v>44992.0</v>
      </c>
      <c r="C4087" s="7">
        <f t="shared" si="1"/>
        <v>44990</v>
      </c>
      <c r="D4087" s="1" t="str">
        <f t="array" ref="D4087">IF(ISBLANK(XLOOKUP(D$3,daily_items,XLOOKUP($C4087,daily_dates,big_daily_table))),NA(),XLOOKUP(D$3,daily_items,XLOOKUP($C4087,daily_dates,big_daily_table)))</f>
        <v>#N/A</v>
      </c>
      <c r="E4087" s="1" t="str">
        <f t="array" ref="E4087">IF(ISBLANK(XLOOKUP(E$3,daily_items,XLOOKUP($C4087,daily_dates,big_daily_table))),NA(),XLOOKUP(E$3,daily_items,XLOOKUP($C4087,daily_dates,big_daily_table)))</f>
        <v>#N/A</v>
      </c>
    </row>
    <row r="4088" ht="14.25" customHeight="1">
      <c r="B4088" s="7">
        <v>44993.0</v>
      </c>
      <c r="C4088" s="7">
        <f t="shared" si="1"/>
        <v>44990</v>
      </c>
      <c r="D4088" s="1" t="str">
        <f t="array" ref="D4088">IF(ISBLANK(XLOOKUP(D$3,daily_items,XLOOKUP($C4088,daily_dates,big_daily_table))),NA(),XLOOKUP(D$3,daily_items,XLOOKUP($C4088,daily_dates,big_daily_table)))</f>
        <v>#N/A</v>
      </c>
      <c r="E4088" s="1" t="str">
        <f t="array" ref="E4088">IF(ISBLANK(XLOOKUP(E$3,daily_items,XLOOKUP($C4088,daily_dates,big_daily_table))),NA(),XLOOKUP(E$3,daily_items,XLOOKUP($C4088,daily_dates,big_daily_table)))</f>
        <v>#N/A</v>
      </c>
    </row>
    <row r="4089" ht="14.25" customHeight="1">
      <c r="B4089" s="7">
        <v>44994.0</v>
      </c>
      <c r="C4089" s="7">
        <f t="shared" si="1"/>
        <v>44990</v>
      </c>
      <c r="D4089" s="1" t="str">
        <f t="array" ref="D4089">IF(ISBLANK(XLOOKUP(D$3,daily_items,XLOOKUP($C4089,daily_dates,big_daily_table))),NA(),XLOOKUP(D$3,daily_items,XLOOKUP($C4089,daily_dates,big_daily_table)))</f>
        <v>#N/A</v>
      </c>
      <c r="E4089" s="1" t="str">
        <f t="array" ref="E4089">IF(ISBLANK(XLOOKUP(E$3,daily_items,XLOOKUP($C4089,daily_dates,big_daily_table))),NA(),XLOOKUP(E$3,daily_items,XLOOKUP($C4089,daily_dates,big_daily_table)))</f>
        <v>#N/A</v>
      </c>
    </row>
    <row r="4090" ht="14.25" customHeight="1">
      <c r="B4090" s="7">
        <v>44995.0</v>
      </c>
      <c r="C4090" s="7">
        <f t="shared" si="1"/>
        <v>44990</v>
      </c>
      <c r="D4090" s="1" t="str">
        <f t="array" ref="D4090">IF(ISBLANK(XLOOKUP(D$3,daily_items,XLOOKUP($C4090,daily_dates,big_daily_table))),NA(),XLOOKUP(D$3,daily_items,XLOOKUP($C4090,daily_dates,big_daily_table)))</f>
        <v>#N/A</v>
      </c>
      <c r="E4090" s="1" t="str">
        <f t="array" ref="E4090">IF(ISBLANK(XLOOKUP(E$3,daily_items,XLOOKUP($C4090,daily_dates,big_daily_table))),NA(),XLOOKUP(E$3,daily_items,XLOOKUP($C4090,daily_dates,big_daily_table)))</f>
        <v>#N/A</v>
      </c>
    </row>
    <row r="4091" ht="14.25" customHeight="1">
      <c r="B4091" s="7">
        <v>44996.0</v>
      </c>
      <c r="C4091" s="7">
        <f t="shared" si="1"/>
        <v>44990</v>
      </c>
      <c r="D4091" s="1" t="str">
        <f t="array" ref="D4091">IF(ISBLANK(XLOOKUP(D$3,daily_items,XLOOKUP($C4091,daily_dates,big_daily_table))),NA(),XLOOKUP(D$3,daily_items,XLOOKUP($C4091,daily_dates,big_daily_table)))</f>
        <v>#N/A</v>
      </c>
      <c r="E4091" s="1" t="str">
        <f t="array" ref="E4091">IF(ISBLANK(XLOOKUP(E$3,daily_items,XLOOKUP($C4091,daily_dates,big_daily_table))),NA(),XLOOKUP(E$3,daily_items,XLOOKUP($C4091,daily_dates,big_daily_table)))</f>
        <v>#N/A</v>
      </c>
    </row>
    <row r="4092" ht="14.25" customHeight="1">
      <c r="B4092" s="7">
        <v>44997.0</v>
      </c>
      <c r="C4092" s="7">
        <f t="shared" si="1"/>
        <v>44997</v>
      </c>
      <c r="D4092" s="1" t="str">
        <f t="array" ref="D4092">IF(ISBLANK(XLOOKUP(D$3,daily_items,XLOOKUP($C4092,daily_dates,big_daily_table))),NA(),XLOOKUP(D$3,daily_items,XLOOKUP($C4092,daily_dates,big_daily_table)))</f>
        <v>#N/A</v>
      </c>
      <c r="E4092" s="1" t="str">
        <f t="array" ref="E4092">IF(ISBLANK(XLOOKUP(E$3,daily_items,XLOOKUP($C4092,daily_dates,big_daily_table))),NA(),XLOOKUP(E$3,daily_items,XLOOKUP($C4092,daily_dates,big_daily_table)))</f>
        <v>#N/A</v>
      </c>
    </row>
    <row r="4093" ht="14.25" customHeight="1">
      <c r="B4093" s="7">
        <v>44998.0</v>
      </c>
      <c r="C4093" s="7">
        <f t="shared" si="1"/>
        <v>44997</v>
      </c>
      <c r="D4093" s="1" t="str">
        <f t="array" ref="D4093">IF(ISBLANK(XLOOKUP(D$3,daily_items,XLOOKUP($C4093,daily_dates,big_daily_table))),NA(),XLOOKUP(D$3,daily_items,XLOOKUP($C4093,daily_dates,big_daily_table)))</f>
        <v>#N/A</v>
      </c>
      <c r="E4093" s="1" t="str">
        <f t="array" ref="E4093">IF(ISBLANK(XLOOKUP(E$3,daily_items,XLOOKUP($C4093,daily_dates,big_daily_table))),NA(),XLOOKUP(E$3,daily_items,XLOOKUP($C4093,daily_dates,big_daily_table)))</f>
        <v>#N/A</v>
      </c>
    </row>
    <row r="4094" ht="14.25" customHeight="1">
      <c r="B4094" s="7">
        <v>44999.0</v>
      </c>
      <c r="C4094" s="7">
        <f t="shared" si="1"/>
        <v>44997</v>
      </c>
      <c r="D4094" s="1" t="str">
        <f t="array" ref="D4094">IF(ISBLANK(XLOOKUP(D$3,daily_items,XLOOKUP($C4094,daily_dates,big_daily_table))),NA(),XLOOKUP(D$3,daily_items,XLOOKUP($C4094,daily_dates,big_daily_table)))</f>
        <v>#N/A</v>
      </c>
      <c r="E4094" s="1" t="str">
        <f t="array" ref="E4094">IF(ISBLANK(XLOOKUP(E$3,daily_items,XLOOKUP($C4094,daily_dates,big_daily_table))),NA(),XLOOKUP(E$3,daily_items,XLOOKUP($C4094,daily_dates,big_daily_table)))</f>
        <v>#N/A</v>
      </c>
    </row>
    <row r="4095" ht="14.25" customHeight="1">
      <c r="B4095" s="7">
        <v>45000.0</v>
      </c>
      <c r="C4095" s="7">
        <f t="shared" si="1"/>
        <v>44997</v>
      </c>
      <c r="D4095" s="1" t="str">
        <f t="array" ref="D4095">IF(ISBLANK(XLOOKUP(D$3,daily_items,XLOOKUP($C4095,daily_dates,big_daily_table))),NA(),XLOOKUP(D$3,daily_items,XLOOKUP($C4095,daily_dates,big_daily_table)))</f>
        <v>#N/A</v>
      </c>
      <c r="E4095" s="1" t="str">
        <f t="array" ref="E4095">IF(ISBLANK(XLOOKUP(E$3,daily_items,XLOOKUP($C4095,daily_dates,big_daily_table))),NA(),XLOOKUP(E$3,daily_items,XLOOKUP($C4095,daily_dates,big_daily_table)))</f>
        <v>#N/A</v>
      </c>
    </row>
    <row r="4096" ht="14.25" customHeight="1">
      <c r="B4096" s="7">
        <v>45001.0</v>
      </c>
      <c r="C4096" s="7">
        <f t="shared" si="1"/>
        <v>44997</v>
      </c>
      <c r="D4096" s="1" t="str">
        <f t="array" ref="D4096">IF(ISBLANK(XLOOKUP(D$3,daily_items,XLOOKUP($C4096,daily_dates,big_daily_table))),NA(),XLOOKUP(D$3,daily_items,XLOOKUP($C4096,daily_dates,big_daily_table)))</f>
        <v>#N/A</v>
      </c>
      <c r="E4096" s="1" t="str">
        <f t="array" ref="E4096">IF(ISBLANK(XLOOKUP(E$3,daily_items,XLOOKUP($C4096,daily_dates,big_daily_table))),NA(),XLOOKUP(E$3,daily_items,XLOOKUP($C4096,daily_dates,big_daily_table)))</f>
        <v>#N/A</v>
      </c>
    </row>
    <row r="4097" ht="14.25" customHeight="1">
      <c r="B4097" s="7">
        <v>45002.0</v>
      </c>
      <c r="C4097" s="7">
        <f t="shared" si="1"/>
        <v>44997</v>
      </c>
      <c r="D4097" s="1" t="str">
        <f t="array" ref="D4097">IF(ISBLANK(XLOOKUP(D$3,daily_items,XLOOKUP($C4097,daily_dates,big_daily_table))),NA(),XLOOKUP(D$3,daily_items,XLOOKUP($C4097,daily_dates,big_daily_table)))</f>
        <v>#N/A</v>
      </c>
      <c r="E4097" s="1" t="str">
        <f t="array" ref="E4097">IF(ISBLANK(XLOOKUP(E$3,daily_items,XLOOKUP($C4097,daily_dates,big_daily_table))),NA(),XLOOKUP(E$3,daily_items,XLOOKUP($C4097,daily_dates,big_daily_table)))</f>
        <v>#N/A</v>
      </c>
    </row>
    <row r="4098" ht="14.25" customHeight="1">
      <c r="B4098" s="7">
        <v>45003.0</v>
      </c>
      <c r="C4098" s="7">
        <f t="shared" si="1"/>
        <v>44997</v>
      </c>
      <c r="D4098" s="1" t="str">
        <f t="array" ref="D4098">IF(ISBLANK(XLOOKUP(D$3,daily_items,XLOOKUP($C4098,daily_dates,big_daily_table))),NA(),XLOOKUP(D$3,daily_items,XLOOKUP($C4098,daily_dates,big_daily_table)))</f>
        <v>#N/A</v>
      </c>
      <c r="E4098" s="1" t="str">
        <f t="array" ref="E4098">IF(ISBLANK(XLOOKUP(E$3,daily_items,XLOOKUP($C4098,daily_dates,big_daily_table))),NA(),XLOOKUP(E$3,daily_items,XLOOKUP($C4098,daily_dates,big_daily_table)))</f>
        <v>#N/A</v>
      </c>
    </row>
    <row r="4099" ht="14.25" customHeight="1">
      <c r="B4099" s="7">
        <v>45004.0</v>
      </c>
      <c r="C4099" s="7">
        <f t="shared" si="1"/>
        <v>45004</v>
      </c>
      <c r="D4099" s="1" t="str">
        <f t="array" ref="D4099">IF(ISBLANK(XLOOKUP(D$3,daily_items,XLOOKUP($C4099,daily_dates,big_daily_table))),NA(),XLOOKUP(D$3,daily_items,XLOOKUP($C4099,daily_dates,big_daily_table)))</f>
        <v>#N/A</v>
      </c>
      <c r="E4099" s="1" t="str">
        <f t="array" ref="E4099">IF(ISBLANK(XLOOKUP(E$3,daily_items,XLOOKUP($C4099,daily_dates,big_daily_table))),NA(),XLOOKUP(E$3,daily_items,XLOOKUP($C4099,daily_dates,big_daily_table)))</f>
        <v>#N/A</v>
      </c>
    </row>
    <row r="4100" ht="14.25" customHeight="1">
      <c r="B4100" s="7">
        <v>45005.0</v>
      </c>
      <c r="C4100" s="7">
        <f t="shared" si="1"/>
        <v>45004</v>
      </c>
      <c r="D4100" s="1" t="str">
        <f t="array" ref="D4100">IF(ISBLANK(XLOOKUP(D$3,daily_items,XLOOKUP($C4100,daily_dates,big_daily_table))),NA(),XLOOKUP(D$3,daily_items,XLOOKUP($C4100,daily_dates,big_daily_table)))</f>
        <v>#N/A</v>
      </c>
      <c r="E4100" s="1" t="str">
        <f t="array" ref="E4100">IF(ISBLANK(XLOOKUP(E$3,daily_items,XLOOKUP($C4100,daily_dates,big_daily_table))),NA(),XLOOKUP(E$3,daily_items,XLOOKUP($C4100,daily_dates,big_daily_table)))</f>
        <v>#N/A</v>
      </c>
    </row>
    <row r="4101" ht="14.25" customHeight="1">
      <c r="B4101" s="7">
        <v>45006.0</v>
      </c>
      <c r="C4101" s="7">
        <f t="shared" si="1"/>
        <v>45004</v>
      </c>
      <c r="D4101" s="1" t="str">
        <f t="array" ref="D4101">IF(ISBLANK(XLOOKUP(D$3,daily_items,XLOOKUP($C4101,daily_dates,big_daily_table))),NA(),XLOOKUP(D$3,daily_items,XLOOKUP($C4101,daily_dates,big_daily_table)))</f>
        <v>#N/A</v>
      </c>
      <c r="E4101" s="1" t="str">
        <f t="array" ref="E4101">IF(ISBLANK(XLOOKUP(E$3,daily_items,XLOOKUP($C4101,daily_dates,big_daily_table))),NA(),XLOOKUP(E$3,daily_items,XLOOKUP($C4101,daily_dates,big_daily_table)))</f>
        <v>#N/A</v>
      </c>
    </row>
    <row r="4102" ht="14.25" customHeight="1">
      <c r="B4102" s="7">
        <v>45007.0</v>
      </c>
      <c r="C4102" s="7">
        <f t="shared" si="1"/>
        <v>45004</v>
      </c>
      <c r="D4102" s="1" t="str">
        <f t="array" ref="D4102">IF(ISBLANK(XLOOKUP(D$3,daily_items,XLOOKUP($C4102,daily_dates,big_daily_table))),NA(),XLOOKUP(D$3,daily_items,XLOOKUP($C4102,daily_dates,big_daily_table)))</f>
        <v>#N/A</v>
      </c>
      <c r="E4102" s="1" t="str">
        <f t="array" ref="E4102">IF(ISBLANK(XLOOKUP(E$3,daily_items,XLOOKUP($C4102,daily_dates,big_daily_table))),NA(),XLOOKUP(E$3,daily_items,XLOOKUP($C4102,daily_dates,big_daily_table)))</f>
        <v>#N/A</v>
      </c>
    </row>
    <row r="4103" ht="14.25" customHeight="1">
      <c r="B4103" s="7">
        <v>45008.0</v>
      </c>
      <c r="C4103" s="7">
        <f t="shared" si="1"/>
        <v>45004</v>
      </c>
      <c r="D4103" s="1" t="str">
        <f t="array" ref="D4103">IF(ISBLANK(XLOOKUP(D$3,daily_items,XLOOKUP($C4103,daily_dates,big_daily_table))),NA(),XLOOKUP(D$3,daily_items,XLOOKUP($C4103,daily_dates,big_daily_table)))</f>
        <v>#N/A</v>
      </c>
      <c r="E4103" s="1" t="str">
        <f t="array" ref="E4103">IF(ISBLANK(XLOOKUP(E$3,daily_items,XLOOKUP($C4103,daily_dates,big_daily_table))),NA(),XLOOKUP(E$3,daily_items,XLOOKUP($C4103,daily_dates,big_daily_table)))</f>
        <v>#N/A</v>
      </c>
    </row>
    <row r="4104" ht="14.25" customHeight="1">
      <c r="B4104" s="7">
        <v>45009.0</v>
      </c>
      <c r="C4104" s="7">
        <f t="shared" si="1"/>
        <v>45004</v>
      </c>
      <c r="D4104" s="1" t="str">
        <f t="array" ref="D4104">IF(ISBLANK(XLOOKUP(D$3,daily_items,XLOOKUP($C4104,daily_dates,big_daily_table))),NA(),XLOOKUP(D$3,daily_items,XLOOKUP($C4104,daily_dates,big_daily_table)))</f>
        <v>#N/A</v>
      </c>
      <c r="E4104" s="1" t="str">
        <f t="array" ref="E4104">IF(ISBLANK(XLOOKUP(E$3,daily_items,XLOOKUP($C4104,daily_dates,big_daily_table))),NA(),XLOOKUP(E$3,daily_items,XLOOKUP($C4104,daily_dates,big_daily_table)))</f>
        <v>#N/A</v>
      </c>
    </row>
    <row r="4105" ht="14.25" customHeight="1">
      <c r="B4105" s="7">
        <v>45010.0</v>
      </c>
      <c r="C4105" s="7">
        <f t="shared" si="1"/>
        <v>45004</v>
      </c>
      <c r="D4105" s="1" t="str">
        <f t="array" ref="D4105">IF(ISBLANK(XLOOKUP(D$3,daily_items,XLOOKUP($C4105,daily_dates,big_daily_table))),NA(),XLOOKUP(D$3,daily_items,XLOOKUP($C4105,daily_dates,big_daily_table)))</f>
        <v>#N/A</v>
      </c>
      <c r="E4105" s="1" t="str">
        <f t="array" ref="E4105">IF(ISBLANK(XLOOKUP(E$3,daily_items,XLOOKUP($C4105,daily_dates,big_daily_table))),NA(),XLOOKUP(E$3,daily_items,XLOOKUP($C4105,daily_dates,big_daily_table)))</f>
        <v>#N/A</v>
      </c>
    </row>
    <row r="4106" ht="14.25" customHeight="1">
      <c r="B4106" s="7">
        <v>45011.0</v>
      </c>
      <c r="C4106" s="7">
        <f t="shared" si="1"/>
        <v>45011</v>
      </c>
      <c r="D4106" s="1" t="str">
        <f t="array" ref="D4106">IF(ISBLANK(XLOOKUP(D$3,daily_items,XLOOKUP($C4106,daily_dates,big_daily_table))),NA(),XLOOKUP(D$3,daily_items,XLOOKUP($C4106,daily_dates,big_daily_table)))</f>
        <v>#N/A</v>
      </c>
      <c r="E4106" s="1" t="str">
        <f t="array" ref="E4106">IF(ISBLANK(XLOOKUP(E$3,daily_items,XLOOKUP($C4106,daily_dates,big_daily_table))),NA(),XLOOKUP(E$3,daily_items,XLOOKUP($C4106,daily_dates,big_daily_table)))</f>
        <v>#N/A</v>
      </c>
    </row>
    <row r="4107" ht="14.25" customHeight="1">
      <c r="B4107" s="7">
        <v>45012.0</v>
      </c>
      <c r="C4107" s="7">
        <f t="shared" si="1"/>
        <v>45011</v>
      </c>
      <c r="D4107" s="1" t="str">
        <f t="array" ref="D4107">IF(ISBLANK(XLOOKUP(D$3,daily_items,XLOOKUP($C4107,daily_dates,big_daily_table))),NA(),XLOOKUP(D$3,daily_items,XLOOKUP($C4107,daily_dates,big_daily_table)))</f>
        <v>#N/A</v>
      </c>
      <c r="E4107" s="1" t="str">
        <f t="array" ref="E4107">IF(ISBLANK(XLOOKUP(E$3,daily_items,XLOOKUP($C4107,daily_dates,big_daily_table))),NA(),XLOOKUP(E$3,daily_items,XLOOKUP($C4107,daily_dates,big_daily_table)))</f>
        <v>#N/A</v>
      </c>
    </row>
    <row r="4108" ht="14.25" customHeight="1">
      <c r="B4108" s="7">
        <v>45013.0</v>
      </c>
      <c r="C4108" s="7">
        <f t="shared" si="1"/>
        <v>45011</v>
      </c>
      <c r="D4108" s="1" t="str">
        <f t="array" ref="D4108">IF(ISBLANK(XLOOKUP(D$3,daily_items,XLOOKUP($C4108,daily_dates,big_daily_table))),NA(),XLOOKUP(D$3,daily_items,XLOOKUP($C4108,daily_dates,big_daily_table)))</f>
        <v>#N/A</v>
      </c>
      <c r="E4108" s="1" t="str">
        <f t="array" ref="E4108">IF(ISBLANK(XLOOKUP(E$3,daily_items,XLOOKUP($C4108,daily_dates,big_daily_table))),NA(),XLOOKUP(E$3,daily_items,XLOOKUP($C4108,daily_dates,big_daily_table)))</f>
        <v>#N/A</v>
      </c>
    </row>
    <row r="4109" ht="14.25" customHeight="1">
      <c r="B4109" s="7">
        <v>45014.0</v>
      </c>
      <c r="C4109" s="7">
        <f t="shared" si="1"/>
        <v>45011</v>
      </c>
      <c r="D4109" s="1" t="str">
        <f t="array" ref="D4109">IF(ISBLANK(XLOOKUP(D$3,daily_items,XLOOKUP($C4109,daily_dates,big_daily_table))),NA(),XLOOKUP(D$3,daily_items,XLOOKUP($C4109,daily_dates,big_daily_table)))</f>
        <v>#N/A</v>
      </c>
      <c r="E4109" s="1" t="str">
        <f t="array" ref="E4109">IF(ISBLANK(XLOOKUP(E$3,daily_items,XLOOKUP($C4109,daily_dates,big_daily_table))),NA(),XLOOKUP(E$3,daily_items,XLOOKUP($C4109,daily_dates,big_daily_table)))</f>
        <v>#N/A</v>
      </c>
    </row>
    <row r="4110" ht="14.25" customHeight="1">
      <c r="B4110" s="7">
        <v>45015.0</v>
      </c>
      <c r="C4110" s="7">
        <f t="shared" si="1"/>
        <v>45011</v>
      </c>
      <c r="D4110" s="1" t="str">
        <f t="array" ref="D4110">IF(ISBLANK(XLOOKUP(D$3,daily_items,XLOOKUP($C4110,daily_dates,big_daily_table))),NA(),XLOOKUP(D$3,daily_items,XLOOKUP($C4110,daily_dates,big_daily_table)))</f>
        <v>#N/A</v>
      </c>
      <c r="E4110" s="1" t="str">
        <f t="array" ref="E4110">IF(ISBLANK(XLOOKUP(E$3,daily_items,XLOOKUP($C4110,daily_dates,big_daily_table))),NA(),XLOOKUP(E$3,daily_items,XLOOKUP($C4110,daily_dates,big_daily_table)))</f>
        <v>#N/A</v>
      </c>
    </row>
    <row r="4111" ht="14.25" customHeight="1">
      <c r="B4111" s="7">
        <v>45016.0</v>
      </c>
      <c r="C4111" s="7">
        <f t="shared" si="1"/>
        <v>45011</v>
      </c>
      <c r="D4111" s="1" t="str">
        <f t="array" ref="D4111">IF(ISBLANK(XLOOKUP(D$3,daily_items,XLOOKUP($C4111,daily_dates,big_daily_table))),NA(),XLOOKUP(D$3,daily_items,XLOOKUP($C4111,daily_dates,big_daily_table)))</f>
        <v>#N/A</v>
      </c>
      <c r="E4111" s="1" t="str">
        <f t="array" ref="E4111">IF(ISBLANK(XLOOKUP(E$3,daily_items,XLOOKUP($C4111,daily_dates,big_daily_table))),NA(),XLOOKUP(E$3,daily_items,XLOOKUP($C4111,daily_dates,big_daily_table)))</f>
        <v>#N/A</v>
      </c>
    </row>
    <row r="4112" ht="14.25" customHeight="1">
      <c r="B4112" s="7">
        <v>45017.0</v>
      </c>
      <c r="C4112" s="7">
        <f t="shared" si="1"/>
        <v>45011</v>
      </c>
      <c r="D4112" s="1" t="str">
        <f t="array" ref="D4112">IF(ISBLANK(XLOOKUP(D$3,daily_items,XLOOKUP($C4112,daily_dates,big_daily_table))),NA(),XLOOKUP(D$3,daily_items,XLOOKUP($C4112,daily_dates,big_daily_table)))</f>
        <v>#N/A</v>
      </c>
      <c r="E4112" s="1" t="str">
        <f t="array" ref="E4112">IF(ISBLANK(XLOOKUP(E$3,daily_items,XLOOKUP($C4112,daily_dates,big_daily_table))),NA(),XLOOKUP(E$3,daily_items,XLOOKUP($C4112,daily_dates,big_daily_table)))</f>
        <v>#N/A</v>
      </c>
    </row>
    <row r="4113" ht="14.25" customHeight="1">
      <c r="B4113" s="7">
        <v>45018.0</v>
      </c>
      <c r="C4113" s="7">
        <f t="shared" si="1"/>
        <v>45018</v>
      </c>
      <c r="D4113" s="1" t="str">
        <f t="array" ref="D4113">IF(ISBLANK(XLOOKUP(D$3,daily_items,XLOOKUP($C4113,daily_dates,big_daily_table))),NA(),XLOOKUP(D$3,daily_items,XLOOKUP($C4113,daily_dates,big_daily_table)))</f>
        <v>#N/A</v>
      </c>
      <c r="E4113" s="1" t="str">
        <f t="array" ref="E4113">IF(ISBLANK(XLOOKUP(E$3,daily_items,XLOOKUP($C4113,daily_dates,big_daily_table))),NA(),XLOOKUP(E$3,daily_items,XLOOKUP($C4113,daily_dates,big_daily_table)))</f>
        <v>#N/A</v>
      </c>
    </row>
    <row r="4114" ht="14.25" customHeight="1">
      <c r="B4114" s="7">
        <v>45019.0</v>
      </c>
      <c r="C4114" s="7">
        <f t="shared" si="1"/>
        <v>45018</v>
      </c>
      <c r="D4114" s="1" t="str">
        <f t="array" ref="D4114">IF(ISBLANK(XLOOKUP(D$3,daily_items,XLOOKUP($C4114,daily_dates,big_daily_table))),NA(),XLOOKUP(D$3,daily_items,XLOOKUP($C4114,daily_dates,big_daily_table)))</f>
        <v>#N/A</v>
      </c>
      <c r="E4114" s="1" t="str">
        <f t="array" ref="E4114">IF(ISBLANK(XLOOKUP(E$3,daily_items,XLOOKUP($C4114,daily_dates,big_daily_table))),NA(),XLOOKUP(E$3,daily_items,XLOOKUP($C4114,daily_dates,big_daily_table)))</f>
        <v>#N/A</v>
      </c>
    </row>
    <row r="4115" ht="14.25" customHeight="1">
      <c r="B4115" s="7">
        <v>45020.0</v>
      </c>
      <c r="C4115" s="7">
        <f t="shared" si="1"/>
        <v>45018</v>
      </c>
      <c r="D4115" s="1" t="str">
        <f t="array" ref="D4115">IF(ISBLANK(XLOOKUP(D$3,daily_items,XLOOKUP($C4115,daily_dates,big_daily_table))),NA(),XLOOKUP(D$3,daily_items,XLOOKUP($C4115,daily_dates,big_daily_table)))</f>
        <v>#N/A</v>
      </c>
      <c r="E4115" s="1" t="str">
        <f t="array" ref="E4115">IF(ISBLANK(XLOOKUP(E$3,daily_items,XLOOKUP($C4115,daily_dates,big_daily_table))),NA(),XLOOKUP(E$3,daily_items,XLOOKUP($C4115,daily_dates,big_daily_table)))</f>
        <v>#N/A</v>
      </c>
    </row>
    <row r="4116" ht="14.25" customHeight="1">
      <c r="B4116" s="7">
        <v>45021.0</v>
      </c>
      <c r="C4116" s="7">
        <f t="shared" si="1"/>
        <v>45018</v>
      </c>
      <c r="D4116" s="1" t="str">
        <f t="array" ref="D4116">IF(ISBLANK(XLOOKUP(D$3,daily_items,XLOOKUP($C4116,daily_dates,big_daily_table))),NA(),XLOOKUP(D$3,daily_items,XLOOKUP($C4116,daily_dates,big_daily_table)))</f>
        <v>#N/A</v>
      </c>
      <c r="E4116" s="1" t="str">
        <f t="array" ref="E4116">IF(ISBLANK(XLOOKUP(E$3,daily_items,XLOOKUP($C4116,daily_dates,big_daily_table))),NA(),XLOOKUP(E$3,daily_items,XLOOKUP($C4116,daily_dates,big_daily_table)))</f>
        <v>#N/A</v>
      </c>
    </row>
    <row r="4117" ht="14.25" customHeight="1">
      <c r="B4117" s="7">
        <v>45022.0</v>
      </c>
      <c r="C4117" s="7">
        <f t="shared" si="1"/>
        <v>45018</v>
      </c>
      <c r="D4117" s="1" t="str">
        <f t="array" ref="D4117">IF(ISBLANK(XLOOKUP(D$3,daily_items,XLOOKUP($C4117,daily_dates,big_daily_table))),NA(),XLOOKUP(D$3,daily_items,XLOOKUP($C4117,daily_dates,big_daily_table)))</f>
        <v>#N/A</v>
      </c>
      <c r="E4117" s="1" t="str">
        <f t="array" ref="E4117">IF(ISBLANK(XLOOKUP(E$3,daily_items,XLOOKUP($C4117,daily_dates,big_daily_table))),NA(),XLOOKUP(E$3,daily_items,XLOOKUP($C4117,daily_dates,big_daily_table)))</f>
        <v>#N/A</v>
      </c>
    </row>
    <row r="4118" ht="14.25" customHeight="1">
      <c r="B4118" s="7">
        <v>45023.0</v>
      </c>
      <c r="C4118" s="7">
        <f t="shared" si="1"/>
        <v>45018</v>
      </c>
      <c r="D4118" s="1" t="str">
        <f t="array" ref="D4118">IF(ISBLANK(XLOOKUP(D$3,daily_items,XLOOKUP($C4118,daily_dates,big_daily_table))),NA(),XLOOKUP(D$3,daily_items,XLOOKUP($C4118,daily_dates,big_daily_table)))</f>
        <v>#N/A</v>
      </c>
      <c r="E4118" s="1" t="str">
        <f t="array" ref="E4118">IF(ISBLANK(XLOOKUP(E$3,daily_items,XLOOKUP($C4118,daily_dates,big_daily_table))),NA(),XLOOKUP(E$3,daily_items,XLOOKUP($C4118,daily_dates,big_daily_table)))</f>
        <v>#N/A</v>
      </c>
    </row>
    <row r="4119" ht="14.25" customHeight="1">
      <c r="B4119" s="7">
        <v>45024.0</v>
      </c>
      <c r="C4119" s="7">
        <f t="shared" si="1"/>
        <v>45018</v>
      </c>
      <c r="D4119" s="1" t="str">
        <f t="array" ref="D4119">IF(ISBLANK(XLOOKUP(D$3,daily_items,XLOOKUP($C4119,daily_dates,big_daily_table))),NA(),XLOOKUP(D$3,daily_items,XLOOKUP($C4119,daily_dates,big_daily_table)))</f>
        <v>#N/A</v>
      </c>
      <c r="E4119" s="1" t="str">
        <f t="array" ref="E4119">IF(ISBLANK(XLOOKUP(E$3,daily_items,XLOOKUP($C4119,daily_dates,big_daily_table))),NA(),XLOOKUP(E$3,daily_items,XLOOKUP($C4119,daily_dates,big_daily_table)))</f>
        <v>#N/A</v>
      </c>
    </row>
    <row r="4120" ht="14.25" customHeight="1">
      <c r="B4120" s="7">
        <v>45025.0</v>
      </c>
      <c r="C4120" s="7">
        <f t="shared" si="1"/>
        <v>45025</v>
      </c>
      <c r="D4120" s="1" t="str">
        <f t="array" ref="D4120">IF(ISBLANK(XLOOKUP(D$3,daily_items,XLOOKUP($C4120,daily_dates,big_daily_table))),NA(),XLOOKUP(D$3,daily_items,XLOOKUP($C4120,daily_dates,big_daily_table)))</f>
        <v>#N/A</v>
      </c>
      <c r="E4120" s="1" t="str">
        <f t="array" ref="E4120">IF(ISBLANK(XLOOKUP(E$3,daily_items,XLOOKUP($C4120,daily_dates,big_daily_table))),NA(),XLOOKUP(E$3,daily_items,XLOOKUP($C4120,daily_dates,big_daily_table)))</f>
        <v>#N/A</v>
      </c>
    </row>
    <row r="4121" ht="14.25" customHeight="1">
      <c r="B4121" s="7">
        <v>45026.0</v>
      </c>
      <c r="C4121" s="7">
        <f t="shared" si="1"/>
        <v>45025</v>
      </c>
      <c r="D4121" s="1" t="str">
        <f t="array" ref="D4121">IF(ISBLANK(XLOOKUP(D$3,daily_items,XLOOKUP($C4121,daily_dates,big_daily_table))),NA(),XLOOKUP(D$3,daily_items,XLOOKUP($C4121,daily_dates,big_daily_table)))</f>
        <v>#N/A</v>
      </c>
      <c r="E4121" s="1" t="str">
        <f t="array" ref="E4121">IF(ISBLANK(XLOOKUP(E$3,daily_items,XLOOKUP($C4121,daily_dates,big_daily_table))),NA(),XLOOKUP(E$3,daily_items,XLOOKUP($C4121,daily_dates,big_daily_table)))</f>
        <v>#N/A</v>
      </c>
    </row>
    <row r="4122" ht="14.25" customHeight="1">
      <c r="B4122" s="7">
        <v>45027.0</v>
      </c>
      <c r="C4122" s="7">
        <f t="shared" si="1"/>
        <v>45025</v>
      </c>
      <c r="D4122" s="1" t="str">
        <f t="array" ref="D4122">IF(ISBLANK(XLOOKUP(D$3,daily_items,XLOOKUP($C4122,daily_dates,big_daily_table))),NA(),XLOOKUP(D$3,daily_items,XLOOKUP($C4122,daily_dates,big_daily_table)))</f>
        <v>#N/A</v>
      </c>
      <c r="E4122" s="1" t="str">
        <f t="array" ref="E4122">IF(ISBLANK(XLOOKUP(E$3,daily_items,XLOOKUP($C4122,daily_dates,big_daily_table))),NA(),XLOOKUP(E$3,daily_items,XLOOKUP($C4122,daily_dates,big_daily_table)))</f>
        <v>#N/A</v>
      </c>
    </row>
    <row r="4123" ht="14.25" customHeight="1">
      <c r="B4123" s="7">
        <v>45028.0</v>
      </c>
      <c r="C4123" s="7">
        <f t="shared" si="1"/>
        <v>45025</v>
      </c>
      <c r="D4123" s="1" t="str">
        <f t="array" ref="D4123">IF(ISBLANK(XLOOKUP(D$3,daily_items,XLOOKUP($C4123,daily_dates,big_daily_table))),NA(),XLOOKUP(D$3,daily_items,XLOOKUP($C4123,daily_dates,big_daily_table)))</f>
        <v>#N/A</v>
      </c>
      <c r="E4123" s="1" t="str">
        <f t="array" ref="E4123">IF(ISBLANK(XLOOKUP(E$3,daily_items,XLOOKUP($C4123,daily_dates,big_daily_table))),NA(),XLOOKUP(E$3,daily_items,XLOOKUP($C4123,daily_dates,big_daily_table)))</f>
        <v>#N/A</v>
      </c>
    </row>
    <row r="4124" ht="14.25" customHeight="1">
      <c r="B4124" s="7">
        <v>45029.0</v>
      </c>
      <c r="C4124" s="7">
        <f t="shared" si="1"/>
        <v>45025</v>
      </c>
      <c r="D4124" s="1" t="str">
        <f t="array" ref="D4124">IF(ISBLANK(XLOOKUP(D$3,daily_items,XLOOKUP($C4124,daily_dates,big_daily_table))),NA(),XLOOKUP(D$3,daily_items,XLOOKUP($C4124,daily_dates,big_daily_table)))</f>
        <v>#N/A</v>
      </c>
      <c r="E4124" s="1" t="str">
        <f t="array" ref="E4124">IF(ISBLANK(XLOOKUP(E$3,daily_items,XLOOKUP($C4124,daily_dates,big_daily_table))),NA(),XLOOKUP(E$3,daily_items,XLOOKUP($C4124,daily_dates,big_daily_table)))</f>
        <v>#N/A</v>
      </c>
    </row>
    <row r="4125" ht="14.25" customHeight="1">
      <c r="B4125" s="7">
        <v>45030.0</v>
      </c>
      <c r="C4125" s="7">
        <f t="shared" si="1"/>
        <v>45025</v>
      </c>
      <c r="D4125" s="1" t="str">
        <f t="array" ref="D4125">IF(ISBLANK(XLOOKUP(D$3,daily_items,XLOOKUP($C4125,daily_dates,big_daily_table))),NA(),XLOOKUP(D$3,daily_items,XLOOKUP($C4125,daily_dates,big_daily_table)))</f>
        <v>#N/A</v>
      </c>
      <c r="E4125" s="1" t="str">
        <f t="array" ref="E4125">IF(ISBLANK(XLOOKUP(E$3,daily_items,XLOOKUP($C4125,daily_dates,big_daily_table))),NA(),XLOOKUP(E$3,daily_items,XLOOKUP($C4125,daily_dates,big_daily_table)))</f>
        <v>#N/A</v>
      </c>
    </row>
    <row r="4126" ht="14.25" customHeight="1">
      <c r="B4126" s="7">
        <v>45031.0</v>
      </c>
      <c r="C4126" s="7">
        <f t="shared" si="1"/>
        <v>45025</v>
      </c>
      <c r="D4126" s="1" t="str">
        <f t="array" ref="D4126">IF(ISBLANK(XLOOKUP(D$3,daily_items,XLOOKUP($C4126,daily_dates,big_daily_table))),NA(),XLOOKUP(D$3,daily_items,XLOOKUP($C4126,daily_dates,big_daily_table)))</f>
        <v>#N/A</v>
      </c>
      <c r="E4126" s="1" t="str">
        <f t="array" ref="E4126">IF(ISBLANK(XLOOKUP(E$3,daily_items,XLOOKUP($C4126,daily_dates,big_daily_table))),NA(),XLOOKUP(E$3,daily_items,XLOOKUP($C4126,daily_dates,big_daily_table)))</f>
        <v>#N/A</v>
      </c>
    </row>
    <row r="4127" ht="14.25" customHeight="1">
      <c r="B4127" s="7">
        <v>45032.0</v>
      </c>
      <c r="C4127" s="7">
        <f t="shared" si="1"/>
        <v>45032</v>
      </c>
      <c r="D4127" s="1" t="str">
        <f t="array" ref="D4127">IF(ISBLANK(XLOOKUP(D$3,daily_items,XLOOKUP($C4127,daily_dates,big_daily_table))),NA(),XLOOKUP(D$3,daily_items,XLOOKUP($C4127,daily_dates,big_daily_table)))</f>
        <v>#N/A</v>
      </c>
      <c r="E4127" s="1" t="str">
        <f t="array" ref="E4127">IF(ISBLANK(XLOOKUP(E$3,daily_items,XLOOKUP($C4127,daily_dates,big_daily_table))),NA(),XLOOKUP(E$3,daily_items,XLOOKUP($C4127,daily_dates,big_daily_table)))</f>
        <v>#N/A</v>
      </c>
    </row>
    <row r="4128" ht="14.25" customHeight="1">
      <c r="B4128" s="7">
        <v>45033.0</v>
      </c>
      <c r="C4128" s="7">
        <f t="shared" si="1"/>
        <v>45032</v>
      </c>
      <c r="D4128" s="1" t="str">
        <f t="array" ref="D4128">IF(ISBLANK(XLOOKUP(D$3,daily_items,XLOOKUP($C4128,daily_dates,big_daily_table))),NA(),XLOOKUP(D$3,daily_items,XLOOKUP($C4128,daily_dates,big_daily_table)))</f>
        <v>#N/A</v>
      </c>
      <c r="E4128" s="1" t="str">
        <f t="array" ref="E4128">IF(ISBLANK(XLOOKUP(E$3,daily_items,XLOOKUP($C4128,daily_dates,big_daily_table))),NA(),XLOOKUP(E$3,daily_items,XLOOKUP($C4128,daily_dates,big_daily_table)))</f>
        <v>#N/A</v>
      </c>
    </row>
    <row r="4129" ht="14.25" customHeight="1">
      <c r="B4129" s="7">
        <v>45034.0</v>
      </c>
      <c r="C4129" s="7">
        <f t="shared" si="1"/>
        <v>45032</v>
      </c>
      <c r="D4129" s="1" t="str">
        <f t="array" ref="D4129">IF(ISBLANK(XLOOKUP(D$3,daily_items,XLOOKUP($C4129,daily_dates,big_daily_table))),NA(),XLOOKUP(D$3,daily_items,XLOOKUP($C4129,daily_dates,big_daily_table)))</f>
        <v>#N/A</v>
      </c>
      <c r="E4129" s="1" t="str">
        <f t="array" ref="E4129">IF(ISBLANK(XLOOKUP(E$3,daily_items,XLOOKUP($C4129,daily_dates,big_daily_table))),NA(),XLOOKUP(E$3,daily_items,XLOOKUP($C4129,daily_dates,big_daily_table)))</f>
        <v>#N/A</v>
      </c>
    </row>
    <row r="4130" ht="14.25" customHeight="1">
      <c r="B4130" s="7">
        <v>45035.0</v>
      </c>
      <c r="C4130" s="7">
        <f t="shared" si="1"/>
        <v>45032</v>
      </c>
      <c r="D4130" s="1" t="str">
        <f t="array" ref="D4130">IF(ISBLANK(XLOOKUP(D$3,daily_items,XLOOKUP($C4130,daily_dates,big_daily_table))),NA(),XLOOKUP(D$3,daily_items,XLOOKUP($C4130,daily_dates,big_daily_table)))</f>
        <v>#N/A</v>
      </c>
      <c r="E4130" s="1" t="str">
        <f t="array" ref="E4130">IF(ISBLANK(XLOOKUP(E$3,daily_items,XLOOKUP($C4130,daily_dates,big_daily_table))),NA(),XLOOKUP(E$3,daily_items,XLOOKUP($C4130,daily_dates,big_daily_table)))</f>
        <v>#N/A</v>
      </c>
    </row>
    <row r="4131" ht="14.25" customHeight="1">
      <c r="B4131" s="7">
        <v>45036.0</v>
      </c>
      <c r="C4131" s="7">
        <f t="shared" si="1"/>
        <v>45032</v>
      </c>
      <c r="D4131" s="1" t="str">
        <f t="array" ref="D4131">IF(ISBLANK(XLOOKUP(D$3,daily_items,XLOOKUP($C4131,daily_dates,big_daily_table))),NA(),XLOOKUP(D$3,daily_items,XLOOKUP($C4131,daily_dates,big_daily_table)))</f>
        <v>#N/A</v>
      </c>
      <c r="E4131" s="1" t="str">
        <f t="array" ref="E4131">IF(ISBLANK(XLOOKUP(E$3,daily_items,XLOOKUP($C4131,daily_dates,big_daily_table))),NA(),XLOOKUP(E$3,daily_items,XLOOKUP($C4131,daily_dates,big_daily_table)))</f>
        <v>#N/A</v>
      </c>
    </row>
    <row r="4132" ht="14.25" customHeight="1">
      <c r="B4132" s="7">
        <v>45037.0</v>
      </c>
      <c r="C4132" s="7">
        <f t="shared" si="1"/>
        <v>45032</v>
      </c>
      <c r="D4132" s="1" t="str">
        <f t="array" ref="D4132">IF(ISBLANK(XLOOKUP(D$3,daily_items,XLOOKUP($C4132,daily_dates,big_daily_table))),NA(),XLOOKUP(D$3,daily_items,XLOOKUP($C4132,daily_dates,big_daily_table)))</f>
        <v>#N/A</v>
      </c>
      <c r="E4132" s="1" t="str">
        <f t="array" ref="E4132">IF(ISBLANK(XLOOKUP(E$3,daily_items,XLOOKUP($C4132,daily_dates,big_daily_table))),NA(),XLOOKUP(E$3,daily_items,XLOOKUP($C4132,daily_dates,big_daily_table)))</f>
        <v>#N/A</v>
      </c>
    </row>
    <row r="4133" ht="14.25" customHeight="1">
      <c r="B4133" s="7">
        <v>45038.0</v>
      </c>
      <c r="C4133" s="7">
        <f t="shared" si="1"/>
        <v>45032</v>
      </c>
      <c r="D4133" s="1" t="str">
        <f t="array" ref="D4133">IF(ISBLANK(XLOOKUP(D$3,daily_items,XLOOKUP($C4133,daily_dates,big_daily_table))),NA(),XLOOKUP(D$3,daily_items,XLOOKUP($C4133,daily_dates,big_daily_table)))</f>
        <v>#N/A</v>
      </c>
      <c r="E4133" s="1" t="str">
        <f t="array" ref="E4133">IF(ISBLANK(XLOOKUP(E$3,daily_items,XLOOKUP($C4133,daily_dates,big_daily_table))),NA(),XLOOKUP(E$3,daily_items,XLOOKUP($C4133,daily_dates,big_daily_table)))</f>
        <v>#N/A</v>
      </c>
    </row>
    <row r="4134" ht="14.25" customHeight="1">
      <c r="B4134" s="7">
        <v>45039.0</v>
      </c>
      <c r="C4134" s="7">
        <f t="shared" si="1"/>
        <v>45039</v>
      </c>
      <c r="D4134" s="1" t="str">
        <f t="array" ref="D4134">IF(ISBLANK(XLOOKUP(D$3,daily_items,XLOOKUP($C4134,daily_dates,big_daily_table))),NA(),XLOOKUP(D$3,daily_items,XLOOKUP($C4134,daily_dates,big_daily_table)))</f>
        <v>#N/A</v>
      </c>
      <c r="E4134" s="1" t="str">
        <f t="array" ref="E4134">IF(ISBLANK(XLOOKUP(E$3,daily_items,XLOOKUP($C4134,daily_dates,big_daily_table))),NA(),XLOOKUP(E$3,daily_items,XLOOKUP($C4134,daily_dates,big_daily_table)))</f>
        <v>#N/A</v>
      </c>
    </row>
    <row r="4135" ht="14.25" customHeight="1">
      <c r="B4135" s="7">
        <v>45040.0</v>
      </c>
      <c r="C4135" s="7">
        <f t="shared" si="1"/>
        <v>45039</v>
      </c>
      <c r="D4135" s="1" t="str">
        <f t="array" ref="D4135">IF(ISBLANK(XLOOKUP(D$3,daily_items,XLOOKUP($C4135,daily_dates,big_daily_table))),NA(),XLOOKUP(D$3,daily_items,XLOOKUP($C4135,daily_dates,big_daily_table)))</f>
        <v>#N/A</v>
      </c>
      <c r="E4135" s="1" t="str">
        <f t="array" ref="E4135">IF(ISBLANK(XLOOKUP(E$3,daily_items,XLOOKUP($C4135,daily_dates,big_daily_table))),NA(),XLOOKUP(E$3,daily_items,XLOOKUP($C4135,daily_dates,big_daily_table)))</f>
        <v>#N/A</v>
      </c>
    </row>
    <row r="4136" ht="14.25" customHeight="1">
      <c r="B4136" s="7">
        <v>45041.0</v>
      </c>
      <c r="C4136" s="7">
        <f t="shared" si="1"/>
        <v>45039</v>
      </c>
      <c r="D4136" s="1" t="str">
        <f t="array" ref="D4136">IF(ISBLANK(XLOOKUP(D$3,daily_items,XLOOKUP($C4136,daily_dates,big_daily_table))),NA(),XLOOKUP(D$3,daily_items,XLOOKUP($C4136,daily_dates,big_daily_table)))</f>
        <v>#N/A</v>
      </c>
      <c r="E4136" s="1" t="str">
        <f t="array" ref="E4136">IF(ISBLANK(XLOOKUP(E$3,daily_items,XLOOKUP($C4136,daily_dates,big_daily_table))),NA(),XLOOKUP(E$3,daily_items,XLOOKUP($C4136,daily_dates,big_daily_table)))</f>
        <v>#N/A</v>
      </c>
    </row>
    <row r="4137" ht="14.25" customHeight="1">
      <c r="B4137" s="7">
        <v>45042.0</v>
      </c>
      <c r="C4137" s="7">
        <f t="shared" si="1"/>
        <v>45039</v>
      </c>
      <c r="D4137" s="1" t="str">
        <f t="array" ref="D4137">IF(ISBLANK(XLOOKUP(D$3,daily_items,XLOOKUP($C4137,daily_dates,big_daily_table))),NA(),XLOOKUP(D$3,daily_items,XLOOKUP($C4137,daily_dates,big_daily_table)))</f>
        <v>#N/A</v>
      </c>
      <c r="E4137" s="1" t="str">
        <f t="array" ref="E4137">IF(ISBLANK(XLOOKUP(E$3,daily_items,XLOOKUP($C4137,daily_dates,big_daily_table))),NA(),XLOOKUP(E$3,daily_items,XLOOKUP($C4137,daily_dates,big_daily_table)))</f>
        <v>#N/A</v>
      </c>
    </row>
    <row r="4138" ht="14.25" customHeight="1">
      <c r="B4138" s="7">
        <v>45043.0</v>
      </c>
      <c r="C4138" s="7">
        <f t="shared" si="1"/>
        <v>45039</v>
      </c>
      <c r="D4138" s="1" t="str">
        <f t="array" ref="D4138">IF(ISBLANK(XLOOKUP(D$3,daily_items,XLOOKUP($C4138,daily_dates,big_daily_table))),NA(),XLOOKUP(D$3,daily_items,XLOOKUP($C4138,daily_dates,big_daily_table)))</f>
        <v>#N/A</v>
      </c>
      <c r="E4138" s="1" t="str">
        <f t="array" ref="E4138">IF(ISBLANK(XLOOKUP(E$3,daily_items,XLOOKUP($C4138,daily_dates,big_daily_table))),NA(),XLOOKUP(E$3,daily_items,XLOOKUP($C4138,daily_dates,big_daily_table)))</f>
        <v>#N/A</v>
      </c>
    </row>
    <row r="4139" ht="14.25" customHeight="1">
      <c r="B4139" s="7">
        <v>45044.0</v>
      </c>
      <c r="C4139" s="7">
        <f t="shared" si="1"/>
        <v>45039</v>
      </c>
      <c r="D4139" s="1" t="str">
        <f t="array" ref="D4139">IF(ISBLANK(XLOOKUP(D$3,daily_items,XLOOKUP($C4139,daily_dates,big_daily_table))),NA(),XLOOKUP(D$3,daily_items,XLOOKUP($C4139,daily_dates,big_daily_table)))</f>
        <v>#N/A</v>
      </c>
      <c r="E4139" s="1" t="str">
        <f t="array" ref="E4139">IF(ISBLANK(XLOOKUP(E$3,daily_items,XLOOKUP($C4139,daily_dates,big_daily_table))),NA(),XLOOKUP(E$3,daily_items,XLOOKUP($C4139,daily_dates,big_daily_table)))</f>
        <v>#N/A</v>
      </c>
    </row>
    <row r="4140" ht="14.25" customHeight="1">
      <c r="B4140" s="7">
        <v>45045.0</v>
      </c>
      <c r="C4140" s="7">
        <f t="shared" si="1"/>
        <v>45039</v>
      </c>
      <c r="D4140" s="1" t="str">
        <f t="array" ref="D4140">IF(ISBLANK(XLOOKUP(D$3,daily_items,XLOOKUP($C4140,daily_dates,big_daily_table))),NA(),XLOOKUP(D$3,daily_items,XLOOKUP($C4140,daily_dates,big_daily_table)))</f>
        <v>#N/A</v>
      </c>
      <c r="E4140" s="1" t="str">
        <f t="array" ref="E4140">IF(ISBLANK(XLOOKUP(E$3,daily_items,XLOOKUP($C4140,daily_dates,big_daily_table))),NA(),XLOOKUP(E$3,daily_items,XLOOKUP($C4140,daily_dates,big_daily_table)))</f>
        <v>#N/A</v>
      </c>
    </row>
    <row r="4141" ht="14.25" customHeight="1">
      <c r="B4141" s="7">
        <v>45046.0</v>
      </c>
      <c r="C4141" s="7">
        <f t="shared" si="1"/>
        <v>45046</v>
      </c>
      <c r="D4141" s="1" t="str">
        <f t="array" ref="D4141">IF(ISBLANK(XLOOKUP(D$3,daily_items,XLOOKUP($C4141,daily_dates,big_daily_table))),NA(),XLOOKUP(D$3,daily_items,XLOOKUP($C4141,daily_dates,big_daily_table)))</f>
        <v>#N/A</v>
      </c>
      <c r="E4141" s="1" t="str">
        <f t="array" ref="E4141">IF(ISBLANK(XLOOKUP(E$3,daily_items,XLOOKUP($C4141,daily_dates,big_daily_table))),NA(),XLOOKUP(E$3,daily_items,XLOOKUP($C4141,daily_dates,big_daily_table)))</f>
        <v>#N/A</v>
      </c>
    </row>
    <row r="4142" ht="14.25" customHeight="1">
      <c r="B4142" s="7">
        <v>45047.0</v>
      </c>
      <c r="C4142" s="7">
        <f t="shared" si="1"/>
        <v>45046</v>
      </c>
      <c r="D4142" s="1" t="str">
        <f t="array" ref="D4142">IF(ISBLANK(XLOOKUP(D$3,daily_items,XLOOKUP($C4142,daily_dates,big_daily_table))),NA(),XLOOKUP(D$3,daily_items,XLOOKUP($C4142,daily_dates,big_daily_table)))</f>
        <v>#N/A</v>
      </c>
      <c r="E4142" s="1" t="str">
        <f t="array" ref="E4142">IF(ISBLANK(XLOOKUP(E$3,daily_items,XLOOKUP($C4142,daily_dates,big_daily_table))),NA(),XLOOKUP(E$3,daily_items,XLOOKUP($C4142,daily_dates,big_daily_table)))</f>
        <v>#N/A</v>
      </c>
    </row>
    <row r="4143" ht="14.25" customHeight="1">
      <c r="B4143" s="7">
        <v>45048.0</v>
      </c>
      <c r="C4143" s="7">
        <f t="shared" si="1"/>
        <v>45046</v>
      </c>
      <c r="D4143" s="1" t="str">
        <f t="array" ref="D4143">IF(ISBLANK(XLOOKUP(D$3,daily_items,XLOOKUP($C4143,daily_dates,big_daily_table))),NA(),XLOOKUP(D$3,daily_items,XLOOKUP($C4143,daily_dates,big_daily_table)))</f>
        <v>#N/A</v>
      </c>
      <c r="E4143" s="1" t="str">
        <f t="array" ref="E4143">IF(ISBLANK(XLOOKUP(E$3,daily_items,XLOOKUP($C4143,daily_dates,big_daily_table))),NA(),XLOOKUP(E$3,daily_items,XLOOKUP($C4143,daily_dates,big_daily_table)))</f>
        <v>#N/A</v>
      </c>
    </row>
    <row r="4144" ht="14.25" customHeight="1">
      <c r="B4144" s="7">
        <v>45049.0</v>
      </c>
      <c r="C4144" s="7">
        <f t="shared" si="1"/>
        <v>45046</v>
      </c>
      <c r="D4144" s="1" t="str">
        <f t="array" ref="D4144">IF(ISBLANK(XLOOKUP(D$3,daily_items,XLOOKUP($C4144,daily_dates,big_daily_table))),NA(),XLOOKUP(D$3,daily_items,XLOOKUP($C4144,daily_dates,big_daily_table)))</f>
        <v>#N/A</v>
      </c>
      <c r="E4144" s="1" t="str">
        <f t="array" ref="E4144">IF(ISBLANK(XLOOKUP(E$3,daily_items,XLOOKUP($C4144,daily_dates,big_daily_table))),NA(),XLOOKUP(E$3,daily_items,XLOOKUP($C4144,daily_dates,big_daily_table)))</f>
        <v>#N/A</v>
      </c>
    </row>
    <row r="4145" ht="14.25" customHeight="1">
      <c r="B4145" s="7">
        <v>45050.0</v>
      </c>
      <c r="C4145" s="7">
        <f t="shared" si="1"/>
        <v>45046</v>
      </c>
      <c r="D4145" s="1" t="str">
        <f t="array" ref="D4145">IF(ISBLANK(XLOOKUP(D$3,daily_items,XLOOKUP($C4145,daily_dates,big_daily_table))),NA(),XLOOKUP(D$3,daily_items,XLOOKUP($C4145,daily_dates,big_daily_table)))</f>
        <v>#N/A</v>
      </c>
      <c r="E4145" s="1" t="str">
        <f t="array" ref="E4145">IF(ISBLANK(XLOOKUP(E$3,daily_items,XLOOKUP($C4145,daily_dates,big_daily_table))),NA(),XLOOKUP(E$3,daily_items,XLOOKUP($C4145,daily_dates,big_daily_table)))</f>
        <v>#N/A</v>
      </c>
    </row>
    <row r="4146" ht="14.25" customHeight="1">
      <c r="B4146" s="7">
        <v>45051.0</v>
      </c>
      <c r="C4146" s="7">
        <f t="shared" si="1"/>
        <v>45046</v>
      </c>
      <c r="D4146" s="1" t="str">
        <f t="array" ref="D4146">IF(ISBLANK(XLOOKUP(D$3,daily_items,XLOOKUP($C4146,daily_dates,big_daily_table))),NA(),XLOOKUP(D$3,daily_items,XLOOKUP($C4146,daily_dates,big_daily_table)))</f>
        <v>#N/A</v>
      </c>
      <c r="E4146" s="1" t="str">
        <f t="array" ref="E4146">IF(ISBLANK(XLOOKUP(E$3,daily_items,XLOOKUP($C4146,daily_dates,big_daily_table))),NA(),XLOOKUP(E$3,daily_items,XLOOKUP($C4146,daily_dates,big_daily_table)))</f>
        <v>#N/A</v>
      </c>
    </row>
    <row r="4147" ht="14.25" customHeight="1">
      <c r="B4147" s="7">
        <v>45052.0</v>
      </c>
      <c r="C4147" s="7">
        <f t="shared" si="1"/>
        <v>45046</v>
      </c>
      <c r="D4147" s="1" t="str">
        <f t="array" ref="D4147">IF(ISBLANK(XLOOKUP(D$3,daily_items,XLOOKUP($C4147,daily_dates,big_daily_table))),NA(),XLOOKUP(D$3,daily_items,XLOOKUP($C4147,daily_dates,big_daily_table)))</f>
        <v>#N/A</v>
      </c>
      <c r="E4147" s="1" t="str">
        <f t="array" ref="E4147">IF(ISBLANK(XLOOKUP(E$3,daily_items,XLOOKUP($C4147,daily_dates,big_daily_table))),NA(),XLOOKUP(E$3,daily_items,XLOOKUP($C4147,daily_dates,big_daily_table)))</f>
        <v>#N/A</v>
      </c>
    </row>
    <row r="4148" ht="14.25" customHeight="1">
      <c r="B4148" s="7">
        <v>45053.0</v>
      </c>
      <c r="C4148" s="7">
        <f t="shared" si="1"/>
        <v>45053</v>
      </c>
      <c r="D4148" s="1" t="str">
        <f t="array" ref="D4148">IF(ISBLANK(XLOOKUP(D$3,daily_items,XLOOKUP($C4148,daily_dates,big_daily_table))),NA(),XLOOKUP(D$3,daily_items,XLOOKUP($C4148,daily_dates,big_daily_table)))</f>
        <v>#N/A</v>
      </c>
      <c r="E4148" s="1" t="str">
        <f t="array" ref="E4148">IF(ISBLANK(XLOOKUP(E$3,daily_items,XLOOKUP($C4148,daily_dates,big_daily_table))),NA(),XLOOKUP(E$3,daily_items,XLOOKUP($C4148,daily_dates,big_daily_table)))</f>
        <v>#N/A</v>
      </c>
    </row>
    <row r="4149" ht="14.25" customHeight="1">
      <c r="B4149" s="7">
        <v>45054.0</v>
      </c>
      <c r="C4149" s="7">
        <f t="shared" si="1"/>
        <v>45053</v>
      </c>
      <c r="D4149" s="1" t="str">
        <f t="array" ref="D4149">IF(ISBLANK(XLOOKUP(D$3,daily_items,XLOOKUP($C4149,daily_dates,big_daily_table))),NA(),XLOOKUP(D$3,daily_items,XLOOKUP($C4149,daily_dates,big_daily_table)))</f>
        <v>#N/A</v>
      </c>
      <c r="E4149" s="1" t="str">
        <f t="array" ref="E4149">IF(ISBLANK(XLOOKUP(E$3,daily_items,XLOOKUP($C4149,daily_dates,big_daily_table))),NA(),XLOOKUP(E$3,daily_items,XLOOKUP($C4149,daily_dates,big_daily_table)))</f>
        <v>#N/A</v>
      </c>
    </row>
    <row r="4150" ht="14.25" customHeight="1">
      <c r="B4150" s="7">
        <v>45055.0</v>
      </c>
      <c r="C4150" s="7">
        <f t="shared" si="1"/>
        <v>45053</v>
      </c>
      <c r="D4150" s="1" t="str">
        <f t="array" ref="D4150">IF(ISBLANK(XLOOKUP(D$3,daily_items,XLOOKUP($C4150,daily_dates,big_daily_table))),NA(),XLOOKUP(D$3,daily_items,XLOOKUP($C4150,daily_dates,big_daily_table)))</f>
        <v>#N/A</v>
      </c>
      <c r="E4150" s="1" t="str">
        <f t="array" ref="E4150">IF(ISBLANK(XLOOKUP(E$3,daily_items,XLOOKUP($C4150,daily_dates,big_daily_table))),NA(),XLOOKUP(E$3,daily_items,XLOOKUP($C4150,daily_dates,big_daily_table)))</f>
        <v>#N/A</v>
      </c>
    </row>
    <row r="4151" ht="14.25" customHeight="1">
      <c r="B4151" s="7">
        <v>45056.0</v>
      </c>
      <c r="C4151" s="7">
        <f t="shared" si="1"/>
        <v>45053</v>
      </c>
      <c r="D4151" s="1" t="str">
        <f t="array" ref="D4151">IF(ISBLANK(XLOOKUP(D$3,daily_items,XLOOKUP($C4151,daily_dates,big_daily_table))),NA(),XLOOKUP(D$3,daily_items,XLOOKUP($C4151,daily_dates,big_daily_table)))</f>
        <v>#N/A</v>
      </c>
      <c r="E4151" s="1" t="str">
        <f t="array" ref="E4151">IF(ISBLANK(XLOOKUP(E$3,daily_items,XLOOKUP($C4151,daily_dates,big_daily_table))),NA(),XLOOKUP(E$3,daily_items,XLOOKUP($C4151,daily_dates,big_daily_table)))</f>
        <v>#N/A</v>
      </c>
    </row>
    <row r="4152" ht="14.25" customHeight="1">
      <c r="B4152" s="7">
        <v>45057.0</v>
      </c>
      <c r="C4152" s="7">
        <f t="shared" si="1"/>
        <v>45053</v>
      </c>
      <c r="D4152" s="1" t="str">
        <f t="array" ref="D4152">IF(ISBLANK(XLOOKUP(D$3,daily_items,XLOOKUP($C4152,daily_dates,big_daily_table))),NA(),XLOOKUP(D$3,daily_items,XLOOKUP($C4152,daily_dates,big_daily_table)))</f>
        <v>#N/A</v>
      </c>
      <c r="E4152" s="1" t="str">
        <f t="array" ref="E4152">IF(ISBLANK(XLOOKUP(E$3,daily_items,XLOOKUP($C4152,daily_dates,big_daily_table))),NA(),XLOOKUP(E$3,daily_items,XLOOKUP($C4152,daily_dates,big_daily_table)))</f>
        <v>#N/A</v>
      </c>
    </row>
    <row r="4153" ht="14.25" customHeight="1">
      <c r="B4153" s="7">
        <v>45058.0</v>
      </c>
      <c r="C4153" s="7">
        <f t="shared" si="1"/>
        <v>45053</v>
      </c>
      <c r="D4153" s="1" t="str">
        <f t="array" ref="D4153">IF(ISBLANK(XLOOKUP(D$3,daily_items,XLOOKUP($C4153,daily_dates,big_daily_table))),NA(),XLOOKUP(D$3,daily_items,XLOOKUP($C4153,daily_dates,big_daily_table)))</f>
        <v>#N/A</v>
      </c>
      <c r="E4153" s="1" t="str">
        <f t="array" ref="E4153">IF(ISBLANK(XLOOKUP(E$3,daily_items,XLOOKUP($C4153,daily_dates,big_daily_table))),NA(),XLOOKUP(E$3,daily_items,XLOOKUP($C4153,daily_dates,big_daily_table)))</f>
        <v>#N/A</v>
      </c>
    </row>
    <row r="4154" ht="14.25" customHeight="1">
      <c r="B4154" s="7">
        <v>45059.0</v>
      </c>
      <c r="C4154" s="7">
        <f t="shared" si="1"/>
        <v>45053</v>
      </c>
      <c r="D4154" s="1" t="str">
        <f t="array" ref="D4154">IF(ISBLANK(XLOOKUP(D$3,daily_items,XLOOKUP($C4154,daily_dates,big_daily_table))),NA(),XLOOKUP(D$3,daily_items,XLOOKUP($C4154,daily_dates,big_daily_table)))</f>
        <v>#N/A</v>
      </c>
      <c r="E4154" s="1" t="str">
        <f t="array" ref="E4154">IF(ISBLANK(XLOOKUP(E$3,daily_items,XLOOKUP($C4154,daily_dates,big_daily_table))),NA(),XLOOKUP(E$3,daily_items,XLOOKUP($C4154,daily_dates,big_daily_table)))</f>
        <v>#N/A</v>
      </c>
    </row>
    <row r="4155" ht="14.25" customHeight="1">
      <c r="B4155" s="7">
        <v>45060.0</v>
      </c>
      <c r="C4155" s="7">
        <f t="shared" si="1"/>
        <v>45060</v>
      </c>
      <c r="D4155" s="1" t="str">
        <f t="array" ref="D4155">IF(ISBLANK(XLOOKUP(D$3,daily_items,XLOOKUP($C4155,daily_dates,big_daily_table))),NA(),XLOOKUP(D$3,daily_items,XLOOKUP($C4155,daily_dates,big_daily_table)))</f>
        <v>#N/A</v>
      </c>
      <c r="E4155" s="1" t="str">
        <f t="array" ref="E4155">IF(ISBLANK(XLOOKUP(E$3,daily_items,XLOOKUP($C4155,daily_dates,big_daily_table))),NA(),XLOOKUP(E$3,daily_items,XLOOKUP($C4155,daily_dates,big_daily_table)))</f>
        <v>#N/A</v>
      </c>
    </row>
    <row r="4156" ht="14.25" customHeight="1">
      <c r="B4156" s="7">
        <v>45061.0</v>
      </c>
      <c r="C4156" s="7">
        <f t="shared" si="1"/>
        <v>45060</v>
      </c>
      <c r="D4156" s="1" t="str">
        <f t="array" ref="D4156">IF(ISBLANK(XLOOKUP(D$3,daily_items,XLOOKUP($C4156,daily_dates,big_daily_table))),NA(),XLOOKUP(D$3,daily_items,XLOOKUP($C4156,daily_dates,big_daily_table)))</f>
        <v>#N/A</v>
      </c>
      <c r="E4156" s="1" t="str">
        <f t="array" ref="E4156">IF(ISBLANK(XLOOKUP(E$3,daily_items,XLOOKUP($C4156,daily_dates,big_daily_table))),NA(),XLOOKUP(E$3,daily_items,XLOOKUP($C4156,daily_dates,big_daily_table)))</f>
        <v>#N/A</v>
      </c>
    </row>
    <row r="4157" ht="14.25" customHeight="1">
      <c r="B4157" s="7">
        <v>45062.0</v>
      </c>
      <c r="C4157" s="7">
        <f t="shared" si="1"/>
        <v>45060</v>
      </c>
      <c r="D4157" s="1" t="str">
        <f t="array" ref="D4157">IF(ISBLANK(XLOOKUP(D$3,daily_items,XLOOKUP($C4157,daily_dates,big_daily_table))),NA(),XLOOKUP(D$3,daily_items,XLOOKUP($C4157,daily_dates,big_daily_table)))</f>
        <v>#N/A</v>
      </c>
      <c r="E4157" s="1" t="str">
        <f t="array" ref="E4157">IF(ISBLANK(XLOOKUP(E$3,daily_items,XLOOKUP($C4157,daily_dates,big_daily_table))),NA(),XLOOKUP(E$3,daily_items,XLOOKUP($C4157,daily_dates,big_daily_table)))</f>
        <v>#N/A</v>
      </c>
    </row>
    <row r="4158" ht="14.25" customHeight="1">
      <c r="B4158" s="7">
        <v>45063.0</v>
      </c>
      <c r="C4158" s="7">
        <f t="shared" si="1"/>
        <v>45060</v>
      </c>
      <c r="D4158" s="1" t="str">
        <f t="array" ref="D4158">IF(ISBLANK(XLOOKUP(D$3,daily_items,XLOOKUP($C4158,daily_dates,big_daily_table))),NA(),XLOOKUP(D$3,daily_items,XLOOKUP($C4158,daily_dates,big_daily_table)))</f>
        <v>#N/A</v>
      </c>
      <c r="E4158" s="1" t="str">
        <f t="array" ref="E4158">IF(ISBLANK(XLOOKUP(E$3,daily_items,XLOOKUP($C4158,daily_dates,big_daily_table))),NA(),XLOOKUP(E$3,daily_items,XLOOKUP($C4158,daily_dates,big_daily_table)))</f>
        <v>#N/A</v>
      </c>
    </row>
    <row r="4159" ht="14.25" customHeight="1">
      <c r="B4159" s="7">
        <v>45064.0</v>
      </c>
      <c r="C4159" s="7">
        <f t="shared" si="1"/>
        <v>45060</v>
      </c>
      <c r="D4159" s="1" t="str">
        <f t="array" ref="D4159">IF(ISBLANK(XLOOKUP(D$3,daily_items,XLOOKUP($C4159,daily_dates,big_daily_table))),NA(),XLOOKUP(D$3,daily_items,XLOOKUP($C4159,daily_dates,big_daily_table)))</f>
        <v>#N/A</v>
      </c>
      <c r="E4159" s="1" t="str">
        <f t="array" ref="E4159">IF(ISBLANK(XLOOKUP(E$3,daily_items,XLOOKUP($C4159,daily_dates,big_daily_table))),NA(),XLOOKUP(E$3,daily_items,XLOOKUP($C4159,daily_dates,big_daily_table)))</f>
        <v>#N/A</v>
      </c>
    </row>
    <row r="4160" ht="14.25" customHeight="1">
      <c r="B4160" s="7">
        <v>45065.0</v>
      </c>
      <c r="C4160" s="7">
        <f t="shared" si="1"/>
        <v>45060</v>
      </c>
      <c r="D4160" s="1" t="str">
        <f t="array" ref="D4160">IF(ISBLANK(XLOOKUP(D$3,daily_items,XLOOKUP($C4160,daily_dates,big_daily_table))),NA(),XLOOKUP(D$3,daily_items,XLOOKUP($C4160,daily_dates,big_daily_table)))</f>
        <v>#N/A</v>
      </c>
      <c r="E4160" s="1" t="str">
        <f t="array" ref="E4160">IF(ISBLANK(XLOOKUP(E$3,daily_items,XLOOKUP($C4160,daily_dates,big_daily_table))),NA(),XLOOKUP(E$3,daily_items,XLOOKUP($C4160,daily_dates,big_daily_table)))</f>
        <v>#N/A</v>
      </c>
    </row>
    <row r="4161" ht="14.25" customHeight="1">
      <c r="B4161" s="7">
        <v>45066.0</v>
      </c>
      <c r="C4161" s="7">
        <f t="shared" si="1"/>
        <v>45060</v>
      </c>
      <c r="D4161" s="1" t="str">
        <f t="array" ref="D4161">IF(ISBLANK(XLOOKUP(D$3,daily_items,XLOOKUP($C4161,daily_dates,big_daily_table))),NA(),XLOOKUP(D$3,daily_items,XLOOKUP($C4161,daily_dates,big_daily_table)))</f>
        <v>#N/A</v>
      </c>
      <c r="E4161" s="1" t="str">
        <f t="array" ref="E4161">IF(ISBLANK(XLOOKUP(E$3,daily_items,XLOOKUP($C4161,daily_dates,big_daily_table))),NA(),XLOOKUP(E$3,daily_items,XLOOKUP($C4161,daily_dates,big_daily_table)))</f>
        <v>#N/A</v>
      </c>
    </row>
    <row r="4162" ht="14.25" customHeight="1">
      <c r="B4162" s="7">
        <v>45067.0</v>
      </c>
      <c r="C4162" s="7">
        <f t="shared" si="1"/>
        <v>45067</v>
      </c>
      <c r="D4162" s="1" t="str">
        <f t="array" ref="D4162">IF(ISBLANK(XLOOKUP(D$3,daily_items,XLOOKUP($C4162,daily_dates,big_daily_table))),NA(),XLOOKUP(D$3,daily_items,XLOOKUP($C4162,daily_dates,big_daily_table)))</f>
        <v>#N/A</v>
      </c>
      <c r="E4162" s="1" t="str">
        <f t="array" ref="E4162">IF(ISBLANK(XLOOKUP(E$3,daily_items,XLOOKUP($C4162,daily_dates,big_daily_table))),NA(),XLOOKUP(E$3,daily_items,XLOOKUP($C4162,daily_dates,big_daily_table)))</f>
        <v>#N/A</v>
      </c>
    </row>
    <row r="4163" ht="14.25" customHeight="1">
      <c r="B4163" s="7">
        <v>45068.0</v>
      </c>
      <c r="C4163" s="7">
        <f t="shared" si="1"/>
        <v>45067</v>
      </c>
      <c r="D4163" s="1" t="str">
        <f t="array" ref="D4163">IF(ISBLANK(XLOOKUP(D$3,daily_items,XLOOKUP($C4163,daily_dates,big_daily_table))),NA(),XLOOKUP(D$3,daily_items,XLOOKUP($C4163,daily_dates,big_daily_table)))</f>
        <v>#N/A</v>
      </c>
      <c r="E4163" s="1" t="str">
        <f t="array" ref="E4163">IF(ISBLANK(XLOOKUP(E$3,daily_items,XLOOKUP($C4163,daily_dates,big_daily_table))),NA(),XLOOKUP(E$3,daily_items,XLOOKUP($C4163,daily_dates,big_daily_table)))</f>
        <v>#N/A</v>
      </c>
    </row>
    <row r="4164" ht="14.25" customHeight="1">
      <c r="B4164" s="7">
        <v>45069.0</v>
      </c>
      <c r="C4164" s="7">
        <f t="shared" si="1"/>
        <v>45067</v>
      </c>
      <c r="D4164" s="1" t="str">
        <f t="array" ref="D4164">IF(ISBLANK(XLOOKUP(D$3,daily_items,XLOOKUP($C4164,daily_dates,big_daily_table))),NA(),XLOOKUP(D$3,daily_items,XLOOKUP($C4164,daily_dates,big_daily_table)))</f>
        <v>#N/A</v>
      </c>
      <c r="E4164" s="1" t="str">
        <f t="array" ref="E4164">IF(ISBLANK(XLOOKUP(E$3,daily_items,XLOOKUP($C4164,daily_dates,big_daily_table))),NA(),XLOOKUP(E$3,daily_items,XLOOKUP($C4164,daily_dates,big_daily_table)))</f>
        <v>#N/A</v>
      </c>
    </row>
    <row r="4165" ht="14.25" customHeight="1">
      <c r="B4165" s="7">
        <v>45070.0</v>
      </c>
      <c r="C4165" s="7">
        <f t="shared" si="1"/>
        <v>45067</v>
      </c>
      <c r="D4165" s="1" t="str">
        <f t="array" ref="D4165">IF(ISBLANK(XLOOKUP(D$3,daily_items,XLOOKUP($C4165,daily_dates,big_daily_table))),NA(),XLOOKUP(D$3,daily_items,XLOOKUP($C4165,daily_dates,big_daily_table)))</f>
        <v>#N/A</v>
      </c>
      <c r="E4165" s="1" t="str">
        <f t="array" ref="E4165">IF(ISBLANK(XLOOKUP(E$3,daily_items,XLOOKUP($C4165,daily_dates,big_daily_table))),NA(),XLOOKUP(E$3,daily_items,XLOOKUP($C4165,daily_dates,big_daily_table)))</f>
        <v>#N/A</v>
      </c>
    </row>
    <row r="4166" ht="14.25" customHeight="1">
      <c r="B4166" s="7">
        <v>45071.0</v>
      </c>
      <c r="C4166" s="7">
        <f t="shared" si="1"/>
        <v>45067</v>
      </c>
      <c r="D4166" s="1" t="str">
        <f t="array" ref="D4166">IF(ISBLANK(XLOOKUP(D$3,daily_items,XLOOKUP($C4166,daily_dates,big_daily_table))),NA(),XLOOKUP(D$3,daily_items,XLOOKUP($C4166,daily_dates,big_daily_table)))</f>
        <v>#N/A</v>
      </c>
      <c r="E4166" s="1" t="str">
        <f t="array" ref="E4166">IF(ISBLANK(XLOOKUP(E$3,daily_items,XLOOKUP($C4166,daily_dates,big_daily_table))),NA(),XLOOKUP(E$3,daily_items,XLOOKUP($C4166,daily_dates,big_daily_table)))</f>
        <v>#N/A</v>
      </c>
    </row>
    <row r="4167" ht="14.25" customHeight="1">
      <c r="B4167" s="7">
        <v>45072.0</v>
      </c>
      <c r="C4167" s="7">
        <f t="shared" si="1"/>
        <v>45067</v>
      </c>
      <c r="D4167" s="1" t="str">
        <f t="array" ref="D4167">IF(ISBLANK(XLOOKUP(D$3,daily_items,XLOOKUP($C4167,daily_dates,big_daily_table))),NA(),XLOOKUP(D$3,daily_items,XLOOKUP($C4167,daily_dates,big_daily_table)))</f>
        <v>#N/A</v>
      </c>
      <c r="E4167" s="1" t="str">
        <f t="array" ref="E4167">IF(ISBLANK(XLOOKUP(E$3,daily_items,XLOOKUP($C4167,daily_dates,big_daily_table))),NA(),XLOOKUP(E$3,daily_items,XLOOKUP($C4167,daily_dates,big_daily_table)))</f>
        <v>#N/A</v>
      </c>
    </row>
    <row r="4168" ht="14.25" customHeight="1">
      <c r="B4168" s="7">
        <v>45073.0</v>
      </c>
      <c r="C4168" s="7">
        <f t="shared" si="1"/>
        <v>45067</v>
      </c>
      <c r="D4168" s="1" t="str">
        <f t="array" ref="D4168">IF(ISBLANK(XLOOKUP(D$3,daily_items,XLOOKUP($C4168,daily_dates,big_daily_table))),NA(),XLOOKUP(D$3,daily_items,XLOOKUP($C4168,daily_dates,big_daily_table)))</f>
        <v>#N/A</v>
      </c>
      <c r="E4168" s="1" t="str">
        <f t="array" ref="E4168">IF(ISBLANK(XLOOKUP(E$3,daily_items,XLOOKUP($C4168,daily_dates,big_daily_table))),NA(),XLOOKUP(E$3,daily_items,XLOOKUP($C4168,daily_dates,big_daily_table)))</f>
        <v>#N/A</v>
      </c>
    </row>
    <row r="4169" ht="14.25" customHeight="1">
      <c r="B4169" s="7">
        <v>45074.0</v>
      </c>
      <c r="C4169" s="7">
        <f t="shared" si="1"/>
        <v>45074</v>
      </c>
      <c r="D4169" s="1" t="str">
        <f t="array" ref="D4169">IF(ISBLANK(XLOOKUP(D$3,daily_items,XLOOKUP($C4169,daily_dates,big_daily_table))),NA(),XLOOKUP(D$3,daily_items,XLOOKUP($C4169,daily_dates,big_daily_table)))</f>
        <v>#N/A</v>
      </c>
      <c r="E4169" s="1" t="str">
        <f t="array" ref="E4169">IF(ISBLANK(XLOOKUP(E$3,daily_items,XLOOKUP($C4169,daily_dates,big_daily_table))),NA(),XLOOKUP(E$3,daily_items,XLOOKUP($C4169,daily_dates,big_daily_table)))</f>
        <v>#N/A</v>
      </c>
    </row>
    <row r="4170" ht="14.25" customHeight="1">
      <c r="B4170" s="7">
        <v>45075.0</v>
      </c>
      <c r="C4170" s="7">
        <f t="shared" si="1"/>
        <v>45074</v>
      </c>
      <c r="D4170" s="1" t="str">
        <f t="array" ref="D4170">IF(ISBLANK(XLOOKUP(D$3,daily_items,XLOOKUP($C4170,daily_dates,big_daily_table))),NA(),XLOOKUP(D$3,daily_items,XLOOKUP($C4170,daily_dates,big_daily_table)))</f>
        <v>#N/A</v>
      </c>
      <c r="E4170" s="1" t="str">
        <f t="array" ref="E4170">IF(ISBLANK(XLOOKUP(E$3,daily_items,XLOOKUP($C4170,daily_dates,big_daily_table))),NA(),XLOOKUP(E$3,daily_items,XLOOKUP($C4170,daily_dates,big_daily_table)))</f>
        <v>#N/A</v>
      </c>
    </row>
    <row r="4171" ht="14.25" customHeight="1">
      <c r="B4171" s="7">
        <v>45076.0</v>
      </c>
      <c r="C4171" s="7">
        <f t="shared" si="1"/>
        <v>45074</v>
      </c>
      <c r="D4171" s="1" t="str">
        <f t="array" ref="D4171">IF(ISBLANK(XLOOKUP(D$3,daily_items,XLOOKUP($C4171,daily_dates,big_daily_table))),NA(),XLOOKUP(D$3,daily_items,XLOOKUP($C4171,daily_dates,big_daily_table)))</f>
        <v>#N/A</v>
      </c>
      <c r="E4171" s="1" t="str">
        <f t="array" ref="E4171">IF(ISBLANK(XLOOKUP(E$3,daily_items,XLOOKUP($C4171,daily_dates,big_daily_table))),NA(),XLOOKUP(E$3,daily_items,XLOOKUP($C4171,daily_dates,big_daily_table)))</f>
        <v>#N/A</v>
      </c>
    </row>
    <row r="4172" ht="14.25" customHeight="1">
      <c r="B4172" s="7">
        <v>45077.0</v>
      </c>
      <c r="C4172" s="7">
        <f t="shared" si="1"/>
        <v>45074</v>
      </c>
      <c r="D4172" s="1" t="str">
        <f t="array" ref="D4172">IF(ISBLANK(XLOOKUP(D$3,daily_items,XLOOKUP($C4172,daily_dates,big_daily_table))),NA(),XLOOKUP(D$3,daily_items,XLOOKUP($C4172,daily_dates,big_daily_table)))</f>
        <v>#N/A</v>
      </c>
      <c r="E4172" s="1" t="str">
        <f t="array" ref="E4172">IF(ISBLANK(XLOOKUP(E$3,daily_items,XLOOKUP($C4172,daily_dates,big_daily_table))),NA(),XLOOKUP(E$3,daily_items,XLOOKUP($C4172,daily_dates,big_daily_table)))</f>
        <v>#N/A</v>
      </c>
    </row>
    <row r="4173" ht="14.25" customHeight="1">
      <c r="B4173" s="7">
        <v>45078.0</v>
      </c>
      <c r="C4173" s="7">
        <f t="shared" si="1"/>
        <v>45074</v>
      </c>
      <c r="D4173" s="1" t="str">
        <f t="array" ref="D4173">IF(ISBLANK(XLOOKUP(D$3,daily_items,XLOOKUP($C4173,daily_dates,big_daily_table))),NA(),XLOOKUP(D$3,daily_items,XLOOKUP($C4173,daily_dates,big_daily_table)))</f>
        <v>#N/A</v>
      </c>
      <c r="E4173" s="1" t="str">
        <f t="array" ref="E4173">IF(ISBLANK(XLOOKUP(E$3,daily_items,XLOOKUP($C4173,daily_dates,big_daily_table))),NA(),XLOOKUP(E$3,daily_items,XLOOKUP($C4173,daily_dates,big_daily_table)))</f>
        <v>#N/A</v>
      </c>
    </row>
    <row r="4174" ht="14.25" customHeight="1">
      <c r="B4174" s="7">
        <v>45079.0</v>
      </c>
      <c r="C4174" s="7">
        <f t="shared" si="1"/>
        <v>45074</v>
      </c>
      <c r="D4174" s="1" t="str">
        <f t="array" ref="D4174">IF(ISBLANK(XLOOKUP(D$3,daily_items,XLOOKUP($C4174,daily_dates,big_daily_table))),NA(),XLOOKUP(D$3,daily_items,XLOOKUP($C4174,daily_dates,big_daily_table)))</f>
        <v>#N/A</v>
      </c>
      <c r="E4174" s="1" t="str">
        <f t="array" ref="E4174">IF(ISBLANK(XLOOKUP(E$3,daily_items,XLOOKUP($C4174,daily_dates,big_daily_table))),NA(),XLOOKUP(E$3,daily_items,XLOOKUP($C4174,daily_dates,big_daily_table)))</f>
        <v>#N/A</v>
      </c>
    </row>
    <row r="4175" ht="14.25" customHeight="1">
      <c r="B4175" s="7">
        <v>45080.0</v>
      </c>
      <c r="C4175" s="7">
        <f t="shared" si="1"/>
        <v>45074</v>
      </c>
      <c r="D4175" s="1" t="str">
        <f t="array" ref="D4175">IF(ISBLANK(XLOOKUP(D$3,daily_items,XLOOKUP($C4175,daily_dates,big_daily_table))),NA(),XLOOKUP(D$3,daily_items,XLOOKUP($C4175,daily_dates,big_daily_table)))</f>
        <v>#N/A</v>
      </c>
      <c r="E4175" s="1" t="str">
        <f t="array" ref="E4175">IF(ISBLANK(XLOOKUP(E$3,daily_items,XLOOKUP($C4175,daily_dates,big_daily_table))),NA(),XLOOKUP(E$3,daily_items,XLOOKUP($C4175,daily_dates,big_daily_table)))</f>
        <v>#N/A</v>
      </c>
    </row>
    <row r="4176" ht="14.25" customHeight="1">
      <c r="B4176" s="7">
        <v>45081.0</v>
      </c>
      <c r="C4176" s="7">
        <f t="shared" si="1"/>
        <v>45081</v>
      </c>
      <c r="D4176" s="1" t="str">
        <f t="array" ref="D4176">IF(ISBLANK(XLOOKUP(D$3,daily_items,XLOOKUP($C4176,daily_dates,big_daily_table))),NA(),XLOOKUP(D$3,daily_items,XLOOKUP($C4176,daily_dates,big_daily_table)))</f>
        <v>#N/A</v>
      </c>
      <c r="E4176" s="1" t="str">
        <f t="array" ref="E4176">IF(ISBLANK(XLOOKUP(E$3,daily_items,XLOOKUP($C4176,daily_dates,big_daily_table))),NA(),XLOOKUP(E$3,daily_items,XLOOKUP($C4176,daily_dates,big_daily_table)))</f>
        <v>#N/A</v>
      </c>
    </row>
    <row r="4177" ht="14.25" customHeight="1">
      <c r="B4177" s="7">
        <v>45082.0</v>
      </c>
      <c r="C4177" s="7">
        <f t="shared" si="1"/>
        <v>45081</v>
      </c>
      <c r="D4177" s="1" t="str">
        <f t="array" ref="D4177">IF(ISBLANK(XLOOKUP(D$3,daily_items,XLOOKUP($C4177,daily_dates,big_daily_table))),NA(),XLOOKUP(D$3,daily_items,XLOOKUP($C4177,daily_dates,big_daily_table)))</f>
        <v>#N/A</v>
      </c>
      <c r="E4177" s="1" t="str">
        <f t="array" ref="E4177">IF(ISBLANK(XLOOKUP(E$3,daily_items,XLOOKUP($C4177,daily_dates,big_daily_table))),NA(),XLOOKUP(E$3,daily_items,XLOOKUP($C4177,daily_dates,big_daily_table)))</f>
        <v>#N/A</v>
      </c>
    </row>
    <row r="4178" ht="14.25" customHeight="1">
      <c r="B4178" s="7">
        <v>45083.0</v>
      </c>
      <c r="C4178" s="7">
        <f t="shared" si="1"/>
        <v>45081</v>
      </c>
      <c r="D4178" s="1" t="str">
        <f t="array" ref="D4178">IF(ISBLANK(XLOOKUP(D$3,daily_items,XLOOKUP($C4178,daily_dates,big_daily_table))),NA(),XLOOKUP(D$3,daily_items,XLOOKUP($C4178,daily_dates,big_daily_table)))</f>
        <v>#N/A</v>
      </c>
      <c r="E4178" s="1" t="str">
        <f t="array" ref="E4178">IF(ISBLANK(XLOOKUP(E$3,daily_items,XLOOKUP($C4178,daily_dates,big_daily_table))),NA(),XLOOKUP(E$3,daily_items,XLOOKUP($C4178,daily_dates,big_daily_table)))</f>
        <v>#N/A</v>
      </c>
    </row>
    <row r="4179" ht="14.25" customHeight="1">
      <c r="B4179" s="7">
        <v>45084.0</v>
      </c>
      <c r="C4179" s="7">
        <f t="shared" si="1"/>
        <v>45081</v>
      </c>
      <c r="D4179" s="1" t="str">
        <f t="array" ref="D4179">IF(ISBLANK(XLOOKUP(D$3,daily_items,XLOOKUP($C4179,daily_dates,big_daily_table))),NA(),XLOOKUP(D$3,daily_items,XLOOKUP($C4179,daily_dates,big_daily_table)))</f>
        <v>#N/A</v>
      </c>
      <c r="E4179" s="1" t="str">
        <f t="array" ref="E4179">IF(ISBLANK(XLOOKUP(E$3,daily_items,XLOOKUP($C4179,daily_dates,big_daily_table))),NA(),XLOOKUP(E$3,daily_items,XLOOKUP($C4179,daily_dates,big_daily_table)))</f>
        <v>#N/A</v>
      </c>
    </row>
    <row r="4180" ht="14.25" customHeight="1">
      <c r="B4180" s="7">
        <v>45085.0</v>
      </c>
      <c r="C4180" s="7">
        <f t="shared" si="1"/>
        <v>45081</v>
      </c>
      <c r="D4180" s="1" t="str">
        <f t="array" ref="D4180">IF(ISBLANK(XLOOKUP(D$3,daily_items,XLOOKUP($C4180,daily_dates,big_daily_table))),NA(),XLOOKUP(D$3,daily_items,XLOOKUP($C4180,daily_dates,big_daily_table)))</f>
        <v>#N/A</v>
      </c>
      <c r="E4180" s="1" t="str">
        <f t="array" ref="E4180">IF(ISBLANK(XLOOKUP(E$3,daily_items,XLOOKUP($C4180,daily_dates,big_daily_table))),NA(),XLOOKUP(E$3,daily_items,XLOOKUP($C4180,daily_dates,big_daily_table)))</f>
        <v>#N/A</v>
      </c>
    </row>
    <row r="4181" ht="14.25" customHeight="1">
      <c r="B4181" s="7">
        <v>45086.0</v>
      </c>
      <c r="C4181" s="7">
        <f t="shared" si="1"/>
        <v>45081</v>
      </c>
      <c r="D4181" s="1" t="str">
        <f t="array" ref="D4181">IF(ISBLANK(XLOOKUP(D$3,daily_items,XLOOKUP($C4181,daily_dates,big_daily_table))),NA(),XLOOKUP(D$3,daily_items,XLOOKUP($C4181,daily_dates,big_daily_table)))</f>
        <v>#N/A</v>
      </c>
      <c r="E4181" s="1" t="str">
        <f t="array" ref="E4181">IF(ISBLANK(XLOOKUP(E$3,daily_items,XLOOKUP($C4181,daily_dates,big_daily_table))),NA(),XLOOKUP(E$3,daily_items,XLOOKUP($C4181,daily_dates,big_daily_table)))</f>
        <v>#N/A</v>
      </c>
    </row>
    <row r="4182" ht="14.25" customHeight="1">
      <c r="B4182" s="7">
        <v>45087.0</v>
      </c>
      <c r="C4182" s="7">
        <f t="shared" si="1"/>
        <v>45081</v>
      </c>
      <c r="D4182" s="1" t="str">
        <f t="array" ref="D4182">IF(ISBLANK(XLOOKUP(D$3,daily_items,XLOOKUP($C4182,daily_dates,big_daily_table))),NA(),XLOOKUP(D$3,daily_items,XLOOKUP($C4182,daily_dates,big_daily_table)))</f>
        <v>#N/A</v>
      </c>
      <c r="E4182" s="1" t="str">
        <f t="array" ref="E4182">IF(ISBLANK(XLOOKUP(E$3,daily_items,XLOOKUP($C4182,daily_dates,big_daily_table))),NA(),XLOOKUP(E$3,daily_items,XLOOKUP($C4182,daily_dates,big_daily_table)))</f>
        <v>#N/A</v>
      </c>
    </row>
    <row r="4183" ht="14.25" customHeight="1">
      <c r="B4183" s="7">
        <v>45088.0</v>
      </c>
      <c r="C4183" s="7">
        <f t="shared" si="1"/>
        <v>45088</v>
      </c>
      <c r="D4183" s="1" t="str">
        <f t="array" ref="D4183">IF(ISBLANK(XLOOKUP(D$3,daily_items,XLOOKUP($C4183,daily_dates,big_daily_table))),NA(),XLOOKUP(D$3,daily_items,XLOOKUP($C4183,daily_dates,big_daily_table)))</f>
        <v>#N/A</v>
      </c>
      <c r="E4183" s="1" t="str">
        <f t="array" ref="E4183">IF(ISBLANK(XLOOKUP(E$3,daily_items,XLOOKUP($C4183,daily_dates,big_daily_table))),NA(),XLOOKUP(E$3,daily_items,XLOOKUP($C4183,daily_dates,big_daily_table)))</f>
        <v>#N/A</v>
      </c>
    </row>
    <row r="4184" ht="14.25" customHeight="1">
      <c r="B4184" s="7">
        <v>45089.0</v>
      </c>
      <c r="C4184" s="7">
        <f t="shared" si="1"/>
        <v>45088</v>
      </c>
      <c r="D4184" s="1" t="str">
        <f t="array" ref="D4184">IF(ISBLANK(XLOOKUP(D$3,daily_items,XLOOKUP($C4184,daily_dates,big_daily_table))),NA(),XLOOKUP(D$3,daily_items,XLOOKUP($C4184,daily_dates,big_daily_table)))</f>
        <v>#N/A</v>
      </c>
      <c r="E4184" s="1" t="str">
        <f t="array" ref="E4184">IF(ISBLANK(XLOOKUP(E$3,daily_items,XLOOKUP($C4184,daily_dates,big_daily_table))),NA(),XLOOKUP(E$3,daily_items,XLOOKUP($C4184,daily_dates,big_daily_table)))</f>
        <v>#N/A</v>
      </c>
    </row>
    <row r="4185" ht="14.25" customHeight="1">
      <c r="B4185" s="7">
        <v>45090.0</v>
      </c>
      <c r="C4185" s="7">
        <f t="shared" si="1"/>
        <v>45088</v>
      </c>
      <c r="D4185" s="1" t="str">
        <f t="array" ref="D4185">IF(ISBLANK(XLOOKUP(D$3,daily_items,XLOOKUP($C4185,daily_dates,big_daily_table))),NA(),XLOOKUP(D$3,daily_items,XLOOKUP($C4185,daily_dates,big_daily_table)))</f>
        <v>#N/A</v>
      </c>
      <c r="E4185" s="1" t="str">
        <f t="array" ref="E4185">IF(ISBLANK(XLOOKUP(E$3,daily_items,XLOOKUP($C4185,daily_dates,big_daily_table))),NA(),XLOOKUP(E$3,daily_items,XLOOKUP($C4185,daily_dates,big_daily_table)))</f>
        <v>#N/A</v>
      </c>
    </row>
    <row r="4186" ht="14.25" customHeight="1">
      <c r="B4186" s="7">
        <v>45091.0</v>
      </c>
      <c r="C4186" s="7">
        <f t="shared" si="1"/>
        <v>45088</v>
      </c>
      <c r="D4186" s="1" t="str">
        <f t="array" ref="D4186">IF(ISBLANK(XLOOKUP(D$3,daily_items,XLOOKUP($C4186,daily_dates,big_daily_table))),NA(),XLOOKUP(D$3,daily_items,XLOOKUP($C4186,daily_dates,big_daily_table)))</f>
        <v>#N/A</v>
      </c>
      <c r="E4186" s="1" t="str">
        <f t="array" ref="E4186">IF(ISBLANK(XLOOKUP(E$3,daily_items,XLOOKUP($C4186,daily_dates,big_daily_table))),NA(),XLOOKUP(E$3,daily_items,XLOOKUP($C4186,daily_dates,big_daily_table)))</f>
        <v>#N/A</v>
      </c>
    </row>
    <row r="4187" ht="14.25" customHeight="1">
      <c r="B4187" s="7">
        <v>45092.0</v>
      </c>
      <c r="C4187" s="7">
        <f t="shared" si="1"/>
        <v>45088</v>
      </c>
      <c r="D4187" s="1" t="str">
        <f t="array" ref="D4187">IF(ISBLANK(XLOOKUP(D$3,daily_items,XLOOKUP($C4187,daily_dates,big_daily_table))),NA(),XLOOKUP(D$3,daily_items,XLOOKUP($C4187,daily_dates,big_daily_table)))</f>
        <v>#N/A</v>
      </c>
      <c r="E4187" s="1" t="str">
        <f t="array" ref="E4187">IF(ISBLANK(XLOOKUP(E$3,daily_items,XLOOKUP($C4187,daily_dates,big_daily_table))),NA(),XLOOKUP(E$3,daily_items,XLOOKUP($C4187,daily_dates,big_daily_table)))</f>
        <v>#N/A</v>
      </c>
    </row>
    <row r="4188" ht="14.25" customHeight="1">
      <c r="B4188" s="7">
        <v>45093.0</v>
      </c>
      <c r="C4188" s="7">
        <f t="shared" si="1"/>
        <v>45088</v>
      </c>
      <c r="D4188" s="1" t="str">
        <f t="array" ref="D4188">IF(ISBLANK(XLOOKUP(D$3,daily_items,XLOOKUP($C4188,daily_dates,big_daily_table))),NA(),XLOOKUP(D$3,daily_items,XLOOKUP($C4188,daily_dates,big_daily_table)))</f>
        <v>#N/A</v>
      </c>
      <c r="E4188" s="1" t="str">
        <f t="array" ref="E4188">IF(ISBLANK(XLOOKUP(E$3,daily_items,XLOOKUP($C4188,daily_dates,big_daily_table))),NA(),XLOOKUP(E$3,daily_items,XLOOKUP($C4188,daily_dates,big_daily_table)))</f>
        <v>#N/A</v>
      </c>
    </row>
    <row r="4189" ht="14.25" customHeight="1">
      <c r="B4189" s="7">
        <v>45094.0</v>
      </c>
      <c r="C4189" s="7">
        <f t="shared" si="1"/>
        <v>45088</v>
      </c>
      <c r="D4189" s="1" t="str">
        <f t="array" ref="D4189">IF(ISBLANK(XLOOKUP(D$3,daily_items,XLOOKUP($C4189,daily_dates,big_daily_table))),NA(),XLOOKUP(D$3,daily_items,XLOOKUP($C4189,daily_dates,big_daily_table)))</f>
        <v>#N/A</v>
      </c>
      <c r="E4189" s="1" t="str">
        <f t="array" ref="E4189">IF(ISBLANK(XLOOKUP(E$3,daily_items,XLOOKUP($C4189,daily_dates,big_daily_table))),NA(),XLOOKUP(E$3,daily_items,XLOOKUP($C4189,daily_dates,big_daily_table)))</f>
        <v>#N/A</v>
      </c>
    </row>
    <row r="4190" ht="14.25" customHeight="1">
      <c r="B4190" s="7">
        <v>45095.0</v>
      </c>
      <c r="C4190" s="7">
        <f t="shared" si="1"/>
        <v>45095</v>
      </c>
      <c r="D4190" s="1" t="str">
        <f t="array" ref="D4190">IF(ISBLANK(XLOOKUP(D$3,daily_items,XLOOKUP($C4190,daily_dates,big_daily_table))),NA(),XLOOKUP(D$3,daily_items,XLOOKUP($C4190,daily_dates,big_daily_table)))</f>
        <v>#N/A</v>
      </c>
      <c r="E4190" s="1" t="str">
        <f t="array" ref="E4190">IF(ISBLANK(XLOOKUP(E$3,daily_items,XLOOKUP($C4190,daily_dates,big_daily_table))),NA(),XLOOKUP(E$3,daily_items,XLOOKUP($C4190,daily_dates,big_daily_table)))</f>
        <v>#N/A</v>
      </c>
    </row>
    <row r="4191" ht="14.25" customHeight="1">
      <c r="B4191" s="7">
        <v>45096.0</v>
      </c>
      <c r="C4191" s="7">
        <f t="shared" si="1"/>
        <v>45095</v>
      </c>
      <c r="D4191" s="1" t="str">
        <f t="array" ref="D4191">IF(ISBLANK(XLOOKUP(D$3,daily_items,XLOOKUP($C4191,daily_dates,big_daily_table))),NA(),XLOOKUP(D$3,daily_items,XLOOKUP($C4191,daily_dates,big_daily_table)))</f>
        <v>#N/A</v>
      </c>
      <c r="E4191" s="1" t="str">
        <f t="array" ref="E4191">IF(ISBLANK(XLOOKUP(E$3,daily_items,XLOOKUP($C4191,daily_dates,big_daily_table))),NA(),XLOOKUP(E$3,daily_items,XLOOKUP($C4191,daily_dates,big_daily_table)))</f>
        <v>#N/A</v>
      </c>
    </row>
    <row r="4192" ht="14.25" customHeight="1">
      <c r="B4192" s="7">
        <v>45097.0</v>
      </c>
      <c r="C4192" s="7">
        <f t="shared" si="1"/>
        <v>45095</v>
      </c>
      <c r="D4192" s="1" t="str">
        <f t="array" ref="D4192">IF(ISBLANK(XLOOKUP(D$3,daily_items,XLOOKUP($C4192,daily_dates,big_daily_table))),NA(),XLOOKUP(D$3,daily_items,XLOOKUP($C4192,daily_dates,big_daily_table)))</f>
        <v>#N/A</v>
      </c>
      <c r="E4192" s="1" t="str">
        <f t="array" ref="E4192">IF(ISBLANK(XLOOKUP(E$3,daily_items,XLOOKUP($C4192,daily_dates,big_daily_table))),NA(),XLOOKUP(E$3,daily_items,XLOOKUP($C4192,daily_dates,big_daily_table)))</f>
        <v>#N/A</v>
      </c>
    </row>
    <row r="4193" ht="14.25" customHeight="1">
      <c r="B4193" s="7">
        <v>45098.0</v>
      </c>
      <c r="C4193" s="7">
        <f t="shared" si="1"/>
        <v>45095</v>
      </c>
      <c r="D4193" s="1" t="str">
        <f t="array" ref="D4193">IF(ISBLANK(XLOOKUP(D$3,daily_items,XLOOKUP($C4193,daily_dates,big_daily_table))),NA(),XLOOKUP(D$3,daily_items,XLOOKUP($C4193,daily_dates,big_daily_table)))</f>
        <v>#N/A</v>
      </c>
      <c r="E4193" s="1" t="str">
        <f t="array" ref="E4193">IF(ISBLANK(XLOOKUP(E$3,daily_items,XLOOKUP($C4193,daily_dates,big_daily_table))),NA(),XLOOKUP(E$3,daily_items,XLOOKUP($C4193,daily_dates,big_daily_table)))</f>
        <v>#N/A</v>
      </c>
    </row>
    <row r="4194" ht="14.25" customHeight="1">
      <c r="B4194" s="7">
        <v>45099.0</v>
      </c>
      <c r="C4194" s="7">
        <f t="shared" si="1"/>
        <v>45095</v>
      </c>
      <c r="D4194" s="1" t="str">
        <f t="array" ref="D4194">IF(ISBLANK(XLOOKUP(D$3,daily_items,XLOOKUP($C4194,daily_dates,big_daily_table))),NA(),XLOOKUP(D$3,daily_items,XLOOKUP($C4194,daily_dates,big_daily_table)))</f>
        <v>#N/A</v>
      </c>
      <c r="E4194" s="1" t="str">
        <f t="array" ref="E4194">IF(ISBLANK(XLOOKUP(E$3,daily_items,XLOOKUP($C4194,daily_dates,big_daily_table))),NA(),XLOOKUP(E$3,daily_items,XLOOKUP($C4194,daily_dates,big_daily_table)))</f>
        <v>#N/A</v>
      </c>
    </row>
    <row r="4195" ht="14.25" customHeight="1">
      <c r="B4195" s="7">
        <v>45100.0</v>
      </c>
      <c r="C4195" s="7">
        <f t="shared" si="1"/>
        <v>45095</v>
      </c>
      <c r="D4195" s="1" t="str">
        <f t="array" ref="D4195">IF(ISBLANK(XLOOKUP(D$3,daily_items,XLOOKUP($C4195,daily_dates,big_daily_table))),NA(),XLOOKUP(D$3,daily_items,XLOOKUP($C4195,daily_dates,big_daily_table)))</f>
        <v>#N/A</v>
      </c>
      <c r="E4195" s="1" t="str">
        <f t="array" ref="E4195">IF(ISBLANK(XLOOKUP(E$3,daily_items,XLOOKUP($C4195,daily_dates,big_daily_table))),NA(),XLOOKUP(E$3,daily_items,XLOOKUP($C4195,daily_dates,big_daily_table)))</f>
        <v>#N/A</v>
      </c>
    </row>
    <row r="4196" ht="14.25" customHeight="1">
      <c r="B4196" s="7">
        <v>45101.0</v>
      </c>
      <c r="C4196" s="7">
        <f t="shared" si="1"/>
        <v>45095</v>
      </c>
      <c r="D4196" s="1" t="str">
        <f t="array" ref="D4196">IF(ISBLANK(XLOOKUP(D$3,daily_items,XLOOKUP($C4196,daily_dates,big_daily_table))),NA(),XLOOKUP(D$3,daily_items,XLOOKUP($C4196,daily_dates,big_daily_table)))</f>
        <v>#N/A</v>
      </c>
      <c r="E4196" s="1" t="str">
        <f t="array" ref="E4196">IF(ISBLANK(XLOOKUP(E$3,daily_items,XLOOKUP($C4196,daily_dates,big_daily_table))),NA(),XLOOKUP(E$3,daily_items,XLOOKUP($C4196,daily_dates,big_daily_table)))</f>
        <v>#N/A</v>
      </c>
    </row>
    <row r="4197" ht="14.25" customHeight="1">
      <c r="B4197" s="7">
        <v>45102.0</v>
      </c>
      <c r="C4197" s="7">
        <f t="shared" si="1"/>
        <v>45102</v>
      </c>
      <c r="D4197" s="1" t="str">
        <f t="array" ref="D4197">IF(ISBLANK(XLOOKUP(D$3,daily_items,XLOOKUP($C4197,daily_dates,big_daily_table))),NA(),XLOOKUP(D$3,daily_items,XLOOKUP($C4197,daily_dates,big_daily_table)))</f>
        <v>#N/A</v>
      </c>
      <c r="E4197" s="1" t="str">
        <f t="array" ref="E4197">IF(ISBLANK(XLOOKUP(E$3,daily_items,XLOOKUP($C4197,daily_dates,big_daily_table))),NA(),XLOOKUP(E$3,daily_items,XLOOKUP($C4197,daily_dates,big_daily_table)))</f>
        <v>#N/A</v>
      </c>
    </row>
    <row r="4198" ht="14.25" customHeight="1">
      <c r="B4198" s="7">
        <v>45103.0</v>
      </c>
      <c r="C4198" s="7">
        <f t="shared" si="1"/>
        <v>45102</v>
      </c>
      <c r="D4198" s="1" t="str">
        <f t="array" ref="D4198">IF(ISBLANK(XLOOKUP(D$3,daily_items,XLOOKUP($C4198,daily_dates,big_daily_table))),NA(),XLOOKUP(D$3,daily_items,XLOOKUP($C4198,daily_dates,big_daily_table)))</f>
        <v>#N/A</v>
      </c>
      <c r="E4198" s="1" t="str">
        <f t="array" ref="E4198">IF(ISBLANK(XLOOKUP(E$3,daily_items,XLOOKUP($C4198,daily_dates,big_daily_table))),NA(),XLOOKUP(E$3,daily_items,XLOOKUP($C4198,daily_dates,big_daily_table)))</f>
        <v>#N/A</v>
      </c>
    </row>
    <row r="4199" ht="14.25" customHeight="1">
      <c r="B4199" s="7">
        <v>45104.0</v>
      </c>
      <c r="C4199" s="7">
        <f t="shared" si="1"/>
        <v>45102</v>
      </c>
      <c r="D4199" s="1" t="str">
        <f t="array" ref="D4199">IF(ISBLANK(XLOOKUP(D$3,daily_items,XLOOKUP($C4199,daily_dates,big_daily_table))),NA(),XLOOKUP(D$3,daily_items,XLOOKUP($C4199,daily_dates,big_daily_table)))</f>
        <v>#N/A</v>
      </c>
      <c r="E4199" s="1" t="str">
        <f t="array" ref="E4199">IF(ISBLANK(XLOOKUP(E$3,daily_items,XLOOKUP($C4199,daily_dates,big_daily_table))),NA(),XLOOKUP(E$3,daily_items,XLOOKUP($C4199,daily_dates,big_daily_table)))</f>
        <v>#N/A</v>
      </c>
    </row>
    <row r="4200" ht="14.25" customHeight="1">
      <c r="B4200" s="7">
        <v>45105.0</v>
      </c>
      <c r="C4200" s="7">
        <f t="shared" si="1"/>
        <v>45102</v>
      </c>
      <c r="D4200" s="1" t="str">
        <f t="array" ref="D4200">IF(ISBLANK(XLOOKUP(D$3,daily_items,XLOOKUP($C4200,daily_dates,big_daily_table))),NA(),XLOOKUP(D$3,daily_items,XLOOKUP($C4200,daily_dates,big_daily_table)))</f>
        <v>#N/A</v>
      </c>
      <c r="E4200" s="1" t="str">
        <f t="array" ref="E4200">IF(ISBLANK(XLOOKUP(E$3,daily_items,XLOOKUP($C4200,daily_dates,big_daily_table))),NA(),XLOOKUP(E$3,daily_items,XLOOKUP($C4200,daily_dates,big_daily_table)))</f>
        <v>#N/A</v>
      </c>
    </row>
    <row r="4201" ht="14.25" customHeight="1">
      <c r="B4201" s="7">
        <v>45106.0</v>
      </c>
      <c r="C4201" s="7">
        <f t="shared" si="1"/>
        <v>45102</v>
      </c>
      <c r="D4201" s="1" t="str">
        <f t="array" ref="D4201">IF(ISBLANK(XLOOKUP(D$3,daily_items,XLOOKUP($C4201,daily_dates,big_daily_table))),NA(),XLOOKUP(D$3,daily_items,XLOOKUP($C4201,daily_dates,big_daily_table)))</f>
        <v>#N/A</v>
      </c>
      <c r="E4201" s="1" t="str">
        <f t="array" ref="E4201">IF(ISBLANK(XLOOKUP(E$3,daily_items,XLOOKUP($C4201,daily_dates,big_daily_table))),NA(),XLOOKUP(E$3,daily_items,XLOOKUP($C4201,daily_dates,big_daily_table)))</f>
        <v>#N/A</v>
      </c>
    </row>
    <row r="4202" ht="14.25" customHeight="1">
      <c r="B4202" s="7">
        <v>45107.0</v>
      </c>
      <c r="C4202" s="7">
        <f t="shared" si="1"/>
        <v>45102</v>
      </c>
      <c r="D4202" s="1" t="str">
        <f t="array" ref="D4202">IF(ISBLANK(XLOOKUP(D$3,daily_items,XLOOKUP($C4202,daily_dates,big_daily_table))),NA(),XLOOKUP(D$3,daily_items,XLOOKUP($C4202,daily_dates,big_daily_table)))</f>
        <v>#N/A</v>
      </c>
      <c r="E4202" s="1" t="str">
        <f t="array" ref="E4202">IF(ISBLANK(XLOOKUP(E$3,daily_items,XLOOKUP($C4202,daily_dates,big_daily_table))),NA(),XLOOKUP(E$3,daily_items,XLOOKUP($C4202,daily_dates,big_daily_table)))</f>
        <v>#N/A</v>
      </c>
    </row>
    <row r="4203" ht="14.25" customHeight="1">
      <c r="B4203" s="7">
        <v>45108.0</v>
      </c>
      <c r="C4203" s="7">
        <f t="shared" si="1"/>
        <v>45102</v>
      </c>
      <c r="D4203" s="1" t="str">
        <f t="array" ref="D4203">IF(ISBLANK(XLOOKUP(D$3,daily_items,XLOOKUP($C4203,daily_dates,big_daily_table))),NA(),XLOOKUP(D$3,daily_items,XLOOKUP($C4203,daily_dates,big_daily_table)))</f>
        <v>#N/A</v>
      </c>
      <c r="E4203" s="1" t="str">
        <f t="array" ref="E4203">IF(ISBLANK(XLOOKUP(E$3,daily_items,XLOOKUP($C4203,daily_dates,big_daily_table))),NA(),XLOOKUP(E$3,daily_items,XLOOKUP($C4203,daily_dates,big_daily_table)))</f>
        <v>#N/A</v>
      </c>
    </row>
    <row r="4204" ht="14.25" customHeight="1">
      <c r="B4204" s="7">
        <v>45109.0</v>
      </c>
      <c r="C4204" s="7">
        <f t="shared" si="1"/>
        <v>45109</v>
      </c>
      <c r="D4204" s="1" t="str">
        <f t="array" ref="D4204">IF(ISBLANK(XLOOKUP(D$3,daily_items,XLOOKUP($C4204,daily_dates,big_daily_table))),NA(),XLOOKUP(D$3,daily_items,XLOOKUP($C4204,daily_dates,big_daily_table)))</f>
        <v>#N/A</v>
      </c>
      <c r="E4204" s="1" t="str">
        <f t="array" ref="E4204">IF(ISBLANK(XLOOKUP(E$3,daily_items,XLOOKUP($C4204,daily_dates,big_daily_table))),NA(),XLOOKUP(E$3,daily_items,XLOOKUP($C4204,daily_dates,big_daily_table)))</f>
        <v>#N/A</v>
      </c>
    </row>
    <row r="4205" ht="14.25" customHeight="1">
      <c r="B4205" s="7">
        <v>45110.0</v>
      </c>
      <c r="C4205" s="7">
        <f t="shared" si="1"/>
        <v>45109</v>
      </c>
      <c r="D4205" s="1" t="str">
        <f t="array" ref="D4205">IF(ISBLANK(XLOOKUP(D$3,daily_items,XLOOKUP($C4205,daily_dates,big_daily_table))),NA(),XLOOKUP(D$3,daily_items,XLOOKUP($C4205,daily_dates,big_daily_table)))</f>
        <v>#N/A</v>
      </c>
      <c r="E4205" s="1" t="str">
        <f t="array" ref="E4205">IF(ISBLANK(XLOOKUP(E$3,daily_items,XLOOKUP($C4205,daily_dates,big_daily_table))),NA(),XLOOKUP(E$3,daily_items,XLOOKUP($C4205,daily_dates,big_daily_table)))</f>
        <v>#N/A</v>
      </c>
    </row>
    <row r="4206" ht="14.25" customHeight="1">
      <c r="B4206" s="7">
        <v>45111.0</v>
      </c>
      <c r="C4206" s="7">
        <f t="shared" si="1"/>
        <v>45109</v>
      </c>
      <c r="D4206" s="1" t="str">
        <f t="array" ref="D4206">IF(ISBLANK(XLOOKUP(D$3,daily_items,XLOOKUP($C4206,daily_dates,big_daily_table))),NA(),XLOOKUP(D$3,daily_items,XLOOKUP($C4206,daily_dates,big_daily_table)))</f>
        <v>#N/A</v>
      </c>
      <c r="E4206" s="1" t="str">
        <f t="array" ref="E4206">IF(ISBLANK(XLOOKUP(E$3,daily_items,XLOOKUP($C4206,daily_dates,big_daily_table))),NA(),XLOOKUP(E$3,daily_items,XLOOKUP($C4206,daily_dates,big_daily_table)))</f>
        <v>#N/A</v>
      </c>
    </row>
    <row r="4207" ht="14.25" customHeight="1">
      <c r="B4207" s="7">
        <v>45112.0</v>
      </c>
      <c r="C4207" s="7">
        <f t="shared" si="1"/>
        <v>45109</v>
      </c>
      <c r="D4207" s="1" t="str">
        <f t="array" ref="D4207">IF(ISBLANK(XLOOKUP(D$3,daily_items,XLOOKUP($C4207,daily_dates,big_daily_table))),NA(),XLOOKUP(D$3,daily_items,XLOOKUP($C4207,daily_dates,big_daily_table)))</f>
        <v>#N/A</v>
      </c>
      <c r="E4207" s="1" t="str">
        <f t="array" ref="E4207">IF(ISBLANK(XLOOKUP(E$3,daily_items,XLOOKUP($C4207,daily_dates,big_daily_table))),NA(),XLOOKUP(E$3,daily_items,XLOOKUP($C4207,daily_dates,big_daily_table)))</f>
        <v>#N/A</v>
      </c>
    </row>
    <row r="4208" ht="14.25" customHeight="1">
      <c r="B4208" s="7">
        <v>45113.0</v>
      </c>
      <c r="C4208" s="7">
        <f t="shared" si="1"/>
        <v>45109</v>
      </c>
      <c r="D4208" s="1" t="str">
        <f t="array" ref="D4208">IF(ISBLANK(XLOOKUP(D$3,daily_items,XLOOKUP($C4208,daily_dates,big_daily_table))),NA(),XLOOKUP(D$3,daily_items,XLOOKUP($C4208,daily_dates,big_daily_table)))</f>
        <v>#N/A</v>
      </c>
      <c r="E4208" s="1" t="str">
        <f t="array" ref="E4208">IF(ISBLANK(XLOOKUP(E$3,daily_items,XLOOKUP($C4208,daily_dates,big_daily_table))),NA(),XLOOKUP(E$3,daily_items,XLOOKUP($C4208,daily_dates,big_daily_table)))</f>
        <v>#N/A</v>
      </c>
    </row>
    <row r="4209" ht="14.25" customHeight="1">
      <c r="B4209" s="7">
        <v>45114.0</v>
      </c>
      <c r="C4209" s="7">
        <f t="shared" si="1"/>
        <v>45109</v>
      </c>
      <c r="D4209" s="1" t="str">
        <f t="array" ref="D4209">IF(ISBLANK(XLOOKUP(D$3,daily_items,XLOOKUP($C4209,daily_dates,big_daily_table))),NA(),XLOOKUP(D$3,daily_items,XLOOKUP($C4209,daily_dates,big_daily_table)))</f>
        <v>#N/A</v>
      </c>
      <c r="E4209" s="1" t="str">
        <f t="array" ref="E4209">IF(ISBLANK(XLOOKUP(E$3,daily_items,XLOOKUP($C4209,daily_dates,big_daily_table))),NA(),XLOOKUP(E$3,daily_items,XLOOKUP($C4209,daily_dates,big_daily_table)))</f>
        <v>#N/A</v>
      </c>
    </row>
    <row r="4210" ht="14.25" customHeight="1">
      <c r="B4210" s="7">
        <v>45115.0</v>
      </c>
      <c r="C4210" s="7">
        <f t="shared" si="1"/>
        <v>45109</v>
      </c>
      <c r="D4210" s="1" t="str">
        <f t="array" ref="D4210">IF(ISBLANK(XLOOKUP(D$3,daily_items,XLOOKUP($C4210,daily_dates,big_daily_table))),NA(),XLOOKUP(D$3,daily_items,XLOOKUP($C4210,daily_dates,big_daily_table)))</f>
        <v>#N/A</v>
      </c>
      <c r="E4210" s="1" t="str">
        <f t="array" ref="E4210">IF(ISBLANK(XLOOKUP(E$3,daily_items,XLOOKUP($C4210,daily_dates,big_daily_table))),NA(),XLOOKUP(E$3,daily_items,XLOOKUP($C4210,daily_dates,big_daily_table)))</f>
        <v>#N/A</v>
      </c>
    </row>
    <row r="4211" ht="14.25" customHeight="1">
      <c r="B4211" s="7">
        <v>45116.0</v>
      </c>
      <c r="C4211" s="7">
        <f t="shared" si="1"/>
        <v>45116</v>
      </c>
      <c r="D4211" s="1" t="str">
        <f t="array" ref="D4211">IF(ISBLANK(XLOOKUP(D$3,daily_items,XLOOKUP($C4211,daily_dates,big_daily_table))),NA(),XLOOKUP(D$3,daily_items,XLOOKUP($C4211,daily_dates,big_daily_table)))</f>
        <v>#N/A</v>
      </c>
      <c r="E4211" s="1" t="str">
        <f t="array" ref="E4211">IF(ISBLANK(XLOOKUP(E$3,daily_items,XLOOKUP($C4211,daily_dates,big_daily_table))),NA(),XLOOKUP(E$3,daily_items,XLOOKUP($C4211,daily_dates,big_daily_table)))</f>
        <v>#N/A</v>
      </c>
    </row>
    <row r="4212" ht="14.25" customHeight="1">
      <c r="B4212" s="7">
        <v>45117.0</v>
      </c>
      <c r="C4212" s="7">
        <f t="shared" si="1"/>
        <v>45116</v>
      </c>
      <c r="D4212" s="1" t="str">
        <f t="array" ref="D4212">IF(ISBLANK(XLOOKUP(D$3,daily_items,XLOOKUP($C4212,daily_dates,big_daily_table))),NA(),XLOOKUP(D$3,daily_items,XLOOKUP($C4212,daily_dates,big_daily_table)))</f>
        <v>#N/A</v>
      </c>
      <c r="E4212" s="1" t="str">
        <f t="array" ref="E4212">IF(ISBLANK(XLOOKUP(E$3,daily_items,XLOOKUP($C4212,daily_dates,big_daily_table))),NA(),XLOOKUP(E$3,daily_items,XLOOKUP($C4212,daily_dates,big_daily_table)))</f>
        <v>#N/A</v>
      </c>
    </row>
    <row r="4213" ht="14.25" customHeight="1">
      <c r="B4213" s="7">
        <v>45118.0</v>
      </c>
      <c r="C4213" s="7">
        <f t="shared" si="1"/>
        <v>45116</v>
      </c>
      <c r="D4213" s="1" t="str">
        <f t="array" ref="D4213">IF(ISBLANK(XLOOKUP(D$3,daily_items,XLOOKUP($C4213,daily_dates,big_daily_table))),NA(),XLOOKUP(D$3,daily_items,XLOOKUP($C4213,daily_dates,big_daily_table)))</f>
        <v>#N/A</v>
      </c>
      <c r="E4213" s="1" t="str">
        <f t="array" ref="E4213">IF(ISBLANK(XLOOKUP(E$3,daily_items,XLOOKUP($C4213,daily_dates,big_daily_table))),NA(),XLOOKUP(E$3,daily_items,XLOOKUP($C4213,daily_dates,big_daily_table)))</f>
        <v>#N/A</v>
      </c>
    </row>
    <row r="4214" ht="14.25" customHeight="1">
      <c r="B4214" s="7">
        <v>45119.0</v>
      </c>
      <c r="C4214" s="7">
        <f t="shared" si="1"/>
        <v>45116</v>
      </c>
      <c r="D4214" s="1" t="str">
        <f t="array" ref="D4214">IF(ISBLANK(XLOOKUP(D$3,daily_items,XLOOKUP($C4214,daily_dates,big_daily_table))),NA(),XLOOKUP(D$3,daily_items,XLOOKUP($C4214,daily_dates,big_daily_table)))</f>
        <v>#N/A</v>
      </c>
      <c r="E4214" s="1" t="str">
        <f t="array" ref="E4214">IF(ISBLANK(XLOOKUP(E$3,daily_items,XLOOKUP($C4214,daily_dates,big_daily_table))),NA(),XLOOKUP(E$3,daily_items,XLOOKUP($C4214,daily_dates,big_daily_table)))</f>
        <v>#N/A</v>
      </c>
    </row>
    <row r="4215" ht="14.25" customHeight="1">
      <c r="B4215" s="7">
        <v>45120.0</v>
      </c>
      <c r="C4215" s="7">
        <f t="shared" si="1"/>
        <v>45116</v>
      </c>
      <c r="D4215" s="1" t="str">
        <f t="array" ref="D4215">IF(ISBLANK(XLOOKUP(D$3,daily_items,XLOOKUP($C4215,daily_dates,big_daily_table))),NA(),XLOOKUP(D$3,daily_items,XLOOKUP($C4215,daily_dates,big_daily_table)))</f>
        <v>#N/A</v>
      </c>
      <c r="E4215" s="1" t="str">
        <f t="array" ref="E4215">IF(ISBLANK(XLOOKUP(E$3,daily_items,XLOOKUP($C4215,daily_dates,big_daily_table))),NA(),XLOOKUP(E$3,daily_items,XLOOKUP($C4215,daily_dates,big_daily_table)))</f>
        <v>#N/A</v>
      </c>
    </row>
    <row r="4216" ht="14.25" customHeight="1">
      <c r="B4216" s="7">
        <v>45121.0</v>
      </c>
      <c r="C4216" s="7">
        <f t="shared" si="1"/>
        <v>45116</v>
      </c>
      <c r="D4216" s="1" t="str">
        <f t="array" ref="D4216">IF(ISBLANK(XLOOKUP(D$3,daily_items,XLOOKUP($C4216,daily_dates,big_daily_table))),NA(),XLOOKUP(D$3,daily_items,XLOOKUP($C4216,daily_dates,big_daily_table)))</f>
        <v>#N/A</v>
      </c>
      <c r="E4216" s="1" t="str">
        <f t="array" ref="E4216">IF(ISBLANK(XLOOKUP(E$3,daily_items,XLOOKUP($C4216,daily_dates,big_daily_table))),NA(),XLOOKUP(E$3,daily_items,XLOOKUP($C4216,daily_dates,big_daily_table)))</f>
        <v>#N/A</v>
      </c>
    </row>
    <row r="4217" ht="14.25" customHeight="1">
      <c r="B4217" s="7">
        <v>45122.0</v>
      </c>
      <c r="C4217" s="7">
        <f t="shared" si="1"/>
        <v>45116</v>
      </c>
      <c r="D4217" s="1" t="str">
        <f t="array" ref="D4217">IF(ISBLANK(XLOOKUP(D$3,daily_items,XLOOKUP($C4217,daily_dates,big_daily_table))),NA(),XLOOKUP(D$3,daily_items,XLOOKUP($C4217,daily_dates,big_daily_table)))</f>
        <v>#N/A</v>
      </c>
      <c r="E4217" s="1" t="str">
        <f t="array" ref="E4217">IF(ISBLANK(XLOOKUP(E$3,daily_items,XLOOKUP($C4217,daily_dates,big_daily_table))),NA(),XLOOKUP(E$3,daily_items,XLOOKUP($C4217,daily_dates,big_daily_table)))</f>
        <v>#N/A</v>
      </c>
    </row>
    <row r="4218" ht="14.25" customHeight="1">
      <c r="B4218" s="7">
        <v>45123.0</v>
      </c>
      <c r="C4218" s="7">
        <f t="shared" si="1"/>
        <v>45123</v>
      </c>
      <c r="D4218" s="1" t="str">
        <f t="array" ref="D4218">IF(ISBLANK(XLOOKUP(D$3,daily_items,XLOOKUP($C4218,daily_dates,big_daily_table))),NA(),XLOOKUP(D$3,daily_items,XLOOKUP($C4218,daily_dates,big_daily_table)))</f>
        <v>#N/A</v>
      </c>
      <c r="E4218" s="1" t="str">
        <f t="array" ref="E4218">IF(ISBLANK(XLOOKUP(E$3,daily_items,XLOOKUP($C4218,daily_dates,big_daily_table))),NA(),XLOOKUP(E$3,daily_items,XLOOKUP($C4218,daily_dates,big_daily_table)))</f>
        <v>#N/A</v>
      </c>
    </row>
    <row r="4219" ht="14.25" customHeight="1">
      <c r="B4219" s="7">
        <v>45124.0</v>
      </c>
      <c r="C4219" s="7">
        <f t="shared" si="1"/>
        <v>45123</v>
      </c>
      <c r="D4219" s="1" t="str">
        <f t="array" ref="D4219">IF(ISBLANK(XLOOKUP(D$3,daily_items,XLOOKUP($C4219,daily_dates,big_daily_table))),NA(),XLOOKUP(D$3,daily_items,XLOOKUP($C4219,daily_dates,big_daily_table)))</f>
        <v>#N/A</v>
      </c>
      <c r="E4219" s="1" t="str">
        <f t="array" ref="E4219">IF(ISBLANK(XLOOKUP(E$3,daily_items,XLOOKUP($C4219,daily_dates,big_daily_table))),NA(),XLOOKUP(E$3,daily_items,XLOOKUP($C4219,daily_dates,big_daily_table)))</f>
        <v>#N/A</v>
      </c>
    </row>
    <row r="4220" ht="14.25" customHeight="1">
      <c r="B4220" s="7">
        <v>45125.0</v>
      </c>
      <c r="C4220" s="7">
        <f t="shared" si="1"/>
        <v>45123</v>
      </c>
      <c r="D4220" s="1" t="str">
        <f t="array" ref="D4220">IF(ISBLANK(XLOOKUP(D$3,daily_items,XLOOKUP($C4220,daily_dates,big_daily_table))),NA(),XLOOKUP(D$3,daily_items,XLOOKUP($C4220,daily_dates,big_daily_table)))</f>
        <v>#N/A</v>
      </c>
      <c r="E4220" s="1" t="str">
        <f t="array" ref="E4220">IF(ISBLANK(XLOOKUP(E$3,daily_items,XLOOKUP($C4220,daily_dates,big_daily_table))),NA(),XLOOKUP(E$3,daily_items,XLOOKUP($C4220,daily_dates,big_daily_table)))</f>
        <v>#N/A</v>
      </c>
    </row>
    <row r="4221" ht="14.25" customHeight="1">
      <c r="B4221" s="7">
        <v>45126.0</v>
      </c>
      <c r="C4221" s="7">
        <f t="shared" si="1"/>
        <v>45123</v>
      </c>
      <c r="D4221" s="1" t="str">
        <f t="array" ref="D4221">IF(ISBLANK(XLOOKUP(D$3,daily_items,XLOOKUP($C4221,daily_dates,big_daily_table))),NA(),XLOOKUP(D$3,daily_items,XLOOKUP($C4221,daily_dates,big_daily_table)))</f>
        <v>#N/A</v>
      </c>
      <c r="E4221" s="1" t="str">
        <f t="array" ref="E4221">IF(ISBLANK(XLOOKUP(E$3,daily_items,XLOOKUP($C4221,daily_dates,big_daily_table))),NA(),XLOOKUP(E$3,daily_items,XLOOKUP($C4221,daily_dates,big_daily_table)))</f>
        <v>#N/A</v>
      </c>
    </row>
    <row r="4222" ht="14.25" customHeight="1">
      <c r="B4222" s="7">
        <v>45127.0</v>
      </c>
      <c r="C4222" s="7">
        <f t="shared" si="1"/>
        <v>45123</v>
      </c>
      <c r="D4222" s="1" t="str">
        <f t="array" ref="D4222">IF(ISBLANK(XLOOKUP(D$3,daily_items,XLOOKUP($C4222,daily_dates,big_daily_table))),NA(),XLOOKUP(D$3,daily_items,XLOOKUP($C4222,daily_dates,big_daily_table)))</f>
        <v>#N/A</v>
      </c>
      <c r="E4222" s="1" t="str">
        <f t="array" ref="E4222">IF(ISBLANK(XLOOKUP(E$3,daily_items,XLOOKUP($C4222,daily_dates,big_daily_table))),NA(),XLOOKUP(E$3,daily_items,XLOOKUP($C4222,daily_dates,big_daily_table)))</f>
        <v>#N/A</v>
      </c>
    </row>
    <row r="4223" ht="14.25" customHeight="1">
      <c r="B4223" s="7">
        <v>45128.0</v>
      </c>
      <c r="C4223" s="7">
        <f t="shared" si="1"/>
        <v>45123</v>
      </c>
      <c r="D4223" s="1" t="str">
        <f t="array" ref="D4223">IF(ISBLANK(XLOOKUP(D$3,daily_items,XLOOKUP($C4223,daily_dates,big_daily_table))),NA(),XLOOKUP(D$3,daily_items,XLOOKUP($C4223,daily_dates,big_daily_table)))</f>
        <v>#N/A</v>
      </c>
      <c r="E4223" s="1" t="str">
        <f t="array" ref="E4223">IF(ISBLANK(XLOOKUP(E$3,daily_items,XLOOKUP($C4223,daily_dates,big_daily_table))),NA(),XLOOKUP(E$3,daily_items,XLOOKUP($C4223,daily_dates,big_daily_table)))</f>
        <v>#N/A</v>
      </c>
    </row>
    <row r="4224" ht="14.25" customHeight="1">
      <c r="B4224" s="7">
        <v>45129.0</v>
      </c>
      <c r="C4224" s="7">
        <f t="shared" si="1"/>
        <v>45123</v>
      </c>
      <c r="D4224" s="1" t="str">
        <f t="array" ref="D4224">IF(ISBLANK(XLOOKUP(D$3,daily_items,XLOOKUP($C4224,daily_dates,big_daily_table))),NA(),XLOOKUP(D$3,daily_items,XLOOKUP($C4224,daily_dates,big_daily_table)))</f>
        <v>#N/A</v>
      </c>
      <c r="E4224" s="1" t="str">
        <f t="array" ref="E4224">IF(ISBLANK(XLOOKUP(E$3,daily_items,XLOOKUP($C4224,daily_dates,big_daily_table))),NA(),XLOOKUP(E$3,daily_items,XLOOKUP($C4224,daily_dates,big_daily_table)))</f>
        <v>#N/A</v>
      </c>
    </row>
    <row r="4225" ht="14.25" customHeight="1">
      <c r="B4225" s="7">
        <v>45130.0</v>
      </c>
      <c r="C4225" s="7">
        <f t="shared" si="1"/>
        <v>45130</v>
      </c>
      <c r="D4225" s="1" t="str">
        <f t="array" ref="D4225">IF(ISBLANK(XLOOKUP(D$3,daily_items,XLOOKUP($C4225,daily_dates,big_daily_table))),NA(),XLOOKUP(D$3,daily_items,XLOOKUP($C4225,daily_dates,big_daily_table)))</f>
        <v>#N/A</v>
      </c>
      <c r="E4225" s="1" t="str">
        <f t="array" ref="E4225">IF(ISBLANK(XLOOKUP(E$3,daily_items,XLOOKUP($C4225,daily_dates,big_daily_table))),NA(),XLOOKUP(E$3,daily_items,XLOOKUP($C4225,daily_dates,big_daily_table)))</f>
        <v>#N/A</v>
      </c>
    </row>
    <row r="4226" ht="14.25" customHeight="1">
      <c r="B4226" s="7">
        <v>45131.0</v>
      </c>
      <c r="C4226" s="7">
        <f t="shared" si="1"/>
        <v>45130</v>
      </c>
      <c r="D4226" s="1" t="str">
        <f t="array" ref="D4226">IF(ISBLANK(XLOOKUP(D$3,daily_items,XLOOKUP($C4226,daily_dates,big_daily_table))),NA(),XLOOKUP(D$3,daily_items,XLOOKUP($C4226,daily_dates,big_daily_table)))</f>
        <v>#N/A</v>
      </c>
      <c r="E4226" s="1" t="str">
        <f t="array" ref="E4226">IF(ISBLANK(XLOOKUP(E$3,daily_items,XLOOKUP($C4226,daily_dates,big_daily_table))),NA(),XLOOKUP(E$3,daily_items,XLOOKUP($C4226,daily_dates,big_daily_table)))</f>
        <v>#N/A</v>
      </c>
    </row>
    <row r="4227" ht="14.25" customHeight="1">
      <c r="B4227" s="7">
        <v>45132.0</v>
      </c>
      <c r="C4227" s="7">
        <f t="shared" si="1"/>
        <v>45130</v>
      </c>
      <c r="D4227" s="1" t="str">
        <f t="array" ref="D4227">IF(ISBLANK(XLOOKUP(D$3,daily_items,XLOOKUP($C4227,daily_dates,big_daily_table))),NA(),XLOOKUP(D$3,daily_items,XLOOKUP($C4227,daily_dates,big_daily_table)))</f>
        <v>#N/A</v>
      </c>
      <c r="E4227" s="1" t="str">
        <f t="array" ref="E4227">IF(ISBLANK(XLOOKUP(E$3,daily_items,XLOOKUP($C4227,daily_dates,big_daily_table))),NA(),XLOOKUP(E$3,daily_items,XLOOKUP($C4227,daily_dates,big_daily_table)))</f>
        <v>#N/A</v>
      </c>
    </row>
    <row r="4228" ht="14.25" customHeight="1">
      <c r="B4228" s="7">
        <v>45133.0</v>
      </c>
      <c r="C4228" s="7">
        <f t="shared" si="1"/>
        <v>45130</v>
      </c>
      <c r="D4228" s="1" t="str">
        <f t="array" ref="D4228">IF(ISBLANK(XLOOKUP(D$3,daily_items,XLOOKUP($C4228,daily_dates,big_daily_table))),NA(),XLOOKUP(D$3,daily_items,XLOOKUP($C4228,daily_dates,big_daily_table)))</f>
        <v>#N/A</v>
      </c>
      <c r="E4228" s="1" t="str">
        <f t="array" ref="E4228">IF(ISBLANK(XLOOKUP(E$3,daily_items,XLOOKUP($C4228,daily_dates,big_daily_table))),NA(),XLOOKUP(E$3,daily_items,XLOOKUP($C4228,daily_dates,big_daily_table)))</f>
        <v>#N/A</v>
      </c>
    </row>
    <row r="4229" ht="14.25" customHeight="1">
      <c r="B4229" s="7">
        <v>45134.0</v>
      </c>
      <c r="C4229" s="7">
        <f t="shared" si="1"/>
        <v>45130</v>
      </c>
      <c r="D4229" s="1" t="str">
        <f t="array" ref="D4229">IF(ISBLANK(XLOOKUP(D$3,daily_items,XLOOKUP($C4229,daily_dates,big_daily_table))),NA(),XLOOKUP(D$3,daily_items,XLOOKUP($C4229,daily_dates,big_daily_table)))</f>
        <v>#N/A</v>
      </c>
      <c r="E4229" s="1" t="str">
        <f t="array" ref="E4229">IF(ISBLANK(XLOOKUP(E$3,daily_items,XLOOKUP($C4229,daily_dates,big_daily_table))),NA(),XLOOKUP(E$3,daily_items,XLOOKUP($C4229,daily_dates,big_daily_table)))</f>
        <v>#N/A</v>
      </c>
    </row>
    <row r="4230" ht="14.25" customHeight="1">
      <c r="B4230" s="7">
        <v>45135.0</v>
      </c>
      <c r="C4230" s="7">
        <f t="shared" si="1"/>
        <v>45130</v>
      </c>
      <c r="D4230" s="1" t="str">
        <f t="array" ref="D4230">IF(ISBLANK(XLOOKUP(D$3,daily_items,XLOOKUP($C4230,daily_dates,big_daily_table))),NA(),XLOOKUP(D$3,daily_items,XLOOKUP($C4230,daily_dates,big_daily_table)))</f>
        <v>#N/A</v>
      </c>
      <c r="E4230" s="1" t="str">
        <f t="array" ref="E4230">IF(ISBLANK(XLOOKUP(E$3,daily_items,XLOOKUP($C4230,daily_dates,big_daily_table))),NA(),XLOOKUP(E$3,daily_items,XLOOKUP($C4230,daily_dates,big_daily_table)))</f>
        <v>#N/A</v>
      </c>
    </row>
    <row r="4231" ht="14.25" customHeight="1">
      <c r="B4231" s="7">
        <v>45136.0</v>
      </c>
      <c r="C4231" s="7">
        <f t="shared" si="1"/>
        <v>45130</v>
      </c>
      <c r="D4231" s="1" t="str">
        <f t="array" ref="D4231">IF(ISBLANK(XLOOKUP(D$3,daily_items,XLOOKUP($C4231,daily_dates,big_daily_table))),NA(),XLOOKUP(D$3,daily_items,XLOOKUP($C4231,daily_dates,big_daily_table)))</f>
        <v>#N/A</v>
      </c>
      <c r="E4231" s="1" t="str">
        <f t="array" ref="E4231">IF(ISBLANK(XLOOKUP(E$3,daily_items,XLOOKUP($C4231,daily_dates,big_daily_table))),NA(),XLOOKUP(E$3,daily_items,XLOOKUP($C4231,daily_dates,big_daily_table)))</f>
        <v>#N/A</v>
      </c>
    </row>
    <row r="4232" ht="14.25" customHeight="1">
      <c r="B4232" s="7">
        <v>45137.0</v>
      </c>
      <c r="C4232" s="7">
        <f t="shared" si="1"/>
        <v>45137</v>
      </c>
      <c r="D4232" s="1" t="str">
        <f t="array" ref="D4232">IF(ISBLANK(XLOOKUP(D$3,daily_items,XLOOKUP($C4232,daily_dates,big_daily_table))),NA(),XLOOKUP(D$3,daily_items,XLOOKUP($C4232,daily_dates,big_daily_table)))</f>
        <v>#N/A</v>
      </c>
      <c r="E4232" s="1" t="str">
        <f t="array" ref="E4232">IF(ISBLANK(XLOOKUP(E$3,daily_items,XLOOKUP($C4232,daily_dates,big_daily_table))),NA(),XLOOKUP(E$3,daily_items,XLOOKUP($C4232,daily_dates,big_daily_table)))</f>
        <v>#N/A</v>
      </c>
    </row>
    <row r="4233" ht="14.25" customHeight="1">
      <c r="B4233" s="7">
        <v>45138.0</v>
      </c>
      <c r="C4233" s="7">
        <f t="shared" si="1"/>
        <v>45137</v>
      </c>
      <c r="D4233" s="1" t="str">
        <f t="array" ref="D4233">IF(ISBLANK(XLOOKUP(D$3,daily_items,XLOOKUP($C4233,daily_dates,big_daily_table))),NA(),XLOOKUP(D$3,daily_items,XLOOKUP($C4233,daily_dates,big_daily_table)))</f>
        <v>#N/A</v>
      </c>
      <c r="E4233" s="1" t="str">
        <f t="array" ref="E4233">IF(ISBLANK(XLOOKUP(E$3,daily_items,XLOOKUP($C4233,daily_dates,big_daily_table))),NA(),XLOOKUP(E$3,daily_items,XLOOKUP($C4233,daily_dates,big_daily_table)))</f>
        <v>#N/A</v>
      </c>
    </row>
    <row r="4234" ht="14.25" customHeight="1">
      <c r="B4234" s="7">
        <v>45139.0</v>
      </c>
      <c r="C4234" s="7">
        <f t="shared" si="1"/>
        <v>45137</v>
      </c>
      <c r="D4234" s="1" t="str">
        <f t="array" ref="D4234">IF(ISBLANK(XLOOKUP(D$3,daily_items,XLOOKUP($C4234,daily_dates,big_daily_table))),NA(),XLOOKUP(D$3,daily_items,XLOOKUP($C4234,daily_dates,big_daily_table)))</f>
        <v>#N/A</v>
      </c>
      <c r="E4234" s="1" t="str">
        <f t="array" ref="E4234">IF(ISBLANK(XLOOKUP(E$3,daily_items,XLOOKUP($C4234,daily_dates,big_daily_table))),NA(),XLOOKUP(E$3,daily_items,XLOOKUP($C4234,daily_dates,big_daily_table)))</f>
        <v>#N/A</v>
      </c>
    </row>
    <row r="4235" ht="14.25" customHeight="1">
      <c r="B4235" s="7">
        <v>45140.0</v>
      </c>
      <c r="C4235" s="7">
        <f t="shared" si="1"/>
        <v>45137</v>
      </c>
      <c r="D4235" s="1" t="str">
        <f t="array" ref="D4235">IF(ISBLANK(XLOOKUP(D$3,daily_items,XLOOKUP($C4235,daily_dates,big_daily_table))),NA(),XLOOKUP(D$3,daily_items,XLOOKUP($C4235,daily_dates,big_daily_table)))</f>
        <v>#N/A</v>
      </c>
      <c r="E4235" s="1" t="str">
        <f t="array" ref="E4235">IF(ISBLANK(XLOOKUP(E$3,daily_items,XLOOKUP($C4235,daily_dates,big_daily_table))),NA(),XLOOKUP(E$3,daily_items,XLOOKUP($C4235,daily_dates,big_daily_table)))</f>
        <v>#N/A</v>
      </c>
    </row>
    <row r="4236" ht="14.25" customHeight="1">
      <c r="B4236" s="7">
        <v>45141.0</v>
      </c>
      <c r="C4236" s="7">
        <f t="shared" si="1"/>
        <v>45137</v>
      </c>
      <c r="D4236" s="1" t="str">
        <f t="array" ref="D4236">IF(ISBLANK(XLOOKUP(D$3,daily_items,XLOOKUP($C4236,daily_dates,big_daily_table))),NA(),XLOOKUP(D$3,daily_items,XLOOKUP($C4236,daily_dates,big_daily_table)))</f>
        <v>#N/A</v>
      </c>
      <c r="E4236" s="1" t="str">
        <f t="array" ref="E4236">IF(ISBLANK(XLOOKUP(E$3,daily_items,XLOOKUP($C4236,daily_dates,big_daily_table))),NA(),XLOOKUP(E$3,daily_items,XLOOKUP($C4236,daily_dates,big_daily_table)))</f>
        <v>#N/A</v>
      </c>
    </row>
    <row r="4237" ht="14.25" customHeight="1">
      <c r="B4237" s="7">
        <v>45142.0</v>
      </c>
      <c r="C4237" s="7">
        <f t="shared" si="1"/>
        <v>45137</v>
      </c>
      <c r="D4237" s="1" t="str">
        <f t="array" ref="D4237">IF(ISBLANK(XLOOKUP(D$3,daily_items,XLOOKUP($C4237,daily_dates,big_daily_table))),NA(),XLOOKUP(D$3,daily_items,XLOOKUP($C4237,daily_dates,big_daily_table)))</f>
        <v>#N/A</v>
      </c>
      <c r="E4237" s="1" t="str">
        <f t="array" ref="E4237">IF(ISBLANK(XLOOKUP(E$3,daily_items,XLOOKUP($C4237,daily_dates,big_daily_table))),NA(),XLOOKUP(E$3,daily_items,XLOOKUP($C4237,daily_dates,big_daily_table)))</f>
        <v>#N/A</v>
      </c>
    </row>
    <row r="4238" ht="14.25" customHeight="1">
      <c r="B4238" s="7">
        <v>45143.0</v>
      </c>
      <c r="C4238" s="7">
        <f t="shared" si="1"/>
        <v>45137</v>
      </c>
      <c r="D4238" s="1" t="str">
        <f t="array" ref="D4238">IF(ISBLANK(XLOOKUP(D$3,daily_items,XLOOKUP($C4238,daily_dates,big_daily_table))),NA(),XLOOKUP(D$3,daily_items,XLOOKUP($C4238,daily_dates,big_daily_table)))</f>
        <v>#N/A</v>
      </c>
      <c r="E4238" s="1" t="str">
        <f t="array" ref="E4238">IF(ISBLANK(XLOOKUP(E$3,daily_items,XLOOKUP($C4238,daily_dates,big_daily_table))),NA(),XLOOKUP(E$3,daily_items,XLOOKUP($C4238,daily_dates,big_daily_table)))</f>
        <v>#N/A</v>
      </c>
    </row>
    <row r="4239" ht="14.25" customHeight="1">
      <c r="B4239" s="7">
        <v>45144.0</v>
      </c>
      <c r="C4239" s="7">
        <f t="shared" si="1"/>
        <v>45144</v>
      </c>
      <c r="D4239" s="1" t="str">
        <f t="array" ref="D4239">IF(ISBLANK(XLOOKUP(D$3,daily_items,XLOOKUP($C4239,daily_dates,big_daily_table))),NA(),XLOOKUP(D$3,daily_items,XLOOKUP($C4239,daily_dates,big_daily_table)))</f>
        <v>#N/A</v>
      </c>
      <c r="E4239" s="1" t="str">
        <f t="array" ref="E4239">IF(ISBLANK(XLOOKUP(E$3,daily_items,XLOOKUP($C4239,daily_dates,big_daily_table))),NA(),XLOOKUP(E$3,daily_items,XLOOKUP($C4239,daily_dates,big_daily_table)))</f>
        <v>#N/A</v>
      </c>
    </row>
    <row r="4240" ht="14.25" customHeight="1">
      <c r="B4240" s="7">
        <v>45145.0</v>
      </c>
      <c r="C4240" s="7">
        <f t="shared" si="1"/>
        <v>45144</v>
      </c>
      <c r="D4240" s="1" t="str">
        <f t="array" ref="D4240">IF(ISBLANK(XLOOKUP(D$3,daily_items,XLOOKUP($C4240,daily_dates,big_daily_table))),NA(),XLOOKUP(D$3,daily_items,XLOOKUP($C4240,daily_dates,big_daily_table)))</f>
        <v>#N/A</v>
      </c>
      <c r="E4240" s="1" t="str">
        <f t="array" ref="E4240">IF(ISBLANK(XLOOKUP(E$3,daily_items,XLOOKUP($C4240,daily_dates,big_daily_table))),NA(),XLOOKUP(E$3,daily_items,XLOOKUP($C4240,daily_dates,big_daily_table)))</f>
        <v>#N/A</v>
      </c>
    </row>
    <row r="4241" ht="14.25" customHeight="1">
      <c r="B4241" s="7">
        <v>45146.0</v>
      </c>
      <c r="C4241" s="7">
        <f t="shared" si="1"/>
        <v>45144</v>
      </c>
      <c r="D4241" s="1" t="str">
        <f t="array" ref="D4241">IF(ISBLANK(XLOOKUP(D$3,daily_items,XLOOKUP($C4241,daily_dates,big_daily_table))),NA(),XLOOKUP(D$3,daily_items,XLOOKUP($C4241,daily_dates,big_daily_table)))</f>
        <v>#N/A</v>
      </c>
      <c r="E4241" s="1" t="str">
        <f t="array" ref="E4241">IF(ISBLANK(XLOOKUP(E$3,daily_items,XLOOKUP($C4241,daily_dates,big_daily_table))),NA(),XLOOKUP(E$3,daily_items,XLOOKUP($C4241,daily_dates,big_daily_table)))</f>
        <v>#N/A</v>
      </c>
    </row>
    <row r="4242" ht="14.25" customHeight="1">
      <c r="B4242" s="7">
        <v>45147.0</v>
      </c>
      <c r="C4242" s="7">
        <f t="shared" si="1"/>
        <v>45144</v>
      </c>
      <c r="D4242" s="1" t="str">
        <f t="array" ref="D4242">IF(ISBLANK(XLOOKUP(D$3,daily_items,XLOOKUP($C4242,daily_dates,big_daily_table))),NA(),XLOOKUP(D$3,daily_items,XLOOKUP($C4242,daily_dates,big_daily_table)))</f>
        <v>#N/A</v>
      </c>
      <c r="E4242" s="1" t="str">
        <f t="array" ref="E4242">IF(ISBLANK(XLOOKUP(E$3,daily_items,XLOOKUP($C4242,daily_dates,big_daily_table))),NA(),XLOOKUP(E$3,daily_items,XLOOKUP($C4242,daily_dates,big_daily_table)))</f>
        <v>#N/A</v>
      </c>
    </row>
    <row r="4243" ht="14.25" customHeight="1">
      <c r="B4243" s="7">
        <v>45148.0</v>
      </c>
      <c r="C4243" s="7">
        <f t="shared" si="1"/>
        <v>45144</v>
      </c>
      <c r="D4243" s="1" t="str">
        <f t="array" ref="D4243">IF(ISBLANK(XLOOKUP(D$3,daily_items,XLOOKUP($C4243,daily_dates,big_daily_table))),NA(),XLOOKUP(D$3,daily_items,XLOOKUP($C4243,daily_dates,big_daily_table)))</f>
        <v>#N/A</v>
      </c>
      <c r="E4243" s="1" t="str">
        <f t="array" ref="E4243">IF(ISBLANK(XLOOKUP(E$3,daily_items,XLOOKUP($C4243,daily_dates,big_daily_table))),NA(),XLOOKUP(E$3,daily_items,XLOOKUP($C4243,daily_dates,big_daily_table)))</f>
        <v>#N/A</v>
      </c>
    </row>
    <row r="4244" ht="14.25" customHeight="1">
      <c r="B4244" s="7">
        <v>45149.0</v>
      </c>
      <c r="C4244" s="7">
        <f t="shared" si="1"/>
        <v>45144</v>
      </c>
      <c r="D4244" s="1" t="str">
        <f t="array" ref="D4244">IF(ISBLANK(XLOOKUP(D$3,daily_items,XLOOKUP($C4244,daily_dates,big_daily_table))),NA(),XLOOKUP(D$3,daily_items,XLOOKUP($C4244,daily_dates,big_daily_table)))</f>
        <v>#N/A</v>
      </c>
      <c r="E4244" s="1" t="str">
        <f t="array" ref="E4244">IF(ISBLANK(XLOOKUP(E$3,daily_items,XLOOKUP($C4244,daily_dates,big_daily_table))),NA(),XLOOKUP(E$3,daily_items,XLOOKUP($C4244,daily_dates,big_daily_table)))</f>
        <v>#N/A</v>
      </c>
    </row>
    <row r="4245" ht="14.25" customHeight="1">
      <c r="B4245" s="7">
        <v>45150.0</v>
      </c>
      <c r="C4245" s="7">
        <f t="shared" si="1"/>
        <v>45144</v>
      </c>
      <c r="D4245" s="1" t="str">
        <f t="array" ref="D4245">IF(ISBLANK(XLOOKUP(D$3,daily_items,XLOOKUP($C4245,daily_dates,big_daily_table))),NA(),XLOOKUP(D$3,daily_items,XLOOKUP($C4245,daily_dates,big_daily_table)))</f>
        <v>#N/A</v>
      </c>
      <c r="E4245" s="1" t="str">
        <f t="array" ref="E4245">IF(ISBLANK(XLOOKUP(E$3,daily_items,XLOOKUP($C4245,daily_dates,big_daily_table))),NA(),XLOOKUP(E$3,daily_items,XLOOKUP($C4245,daily_dates,big_daily_table)))</f>
        <v>#N/A</v>
      </c>
    </row>
    <row r="4246" ht="14.25" customHeight="1">
      <c r="B4246" s="7">
        <v>45151.0</v>
      </c>
      <c r="C4246" s="7">
        <f t="shared" si="1"/>
        <v>45151</v>
      </c>
      <c r="D4246" s="1" t="str">
        <f t="array" ref="D4246">IF(ISBLANK(XLOOKUP(D$3,daily_items,XLOOKUP($C4246,daily_dates,big_daily_table))),NA(),XLOOKUP(D$3,daily_items,XLOOKUP($C4246,daily_dates,big_daily_table)))</f>
        <v>#N/A</v>
      </c>
      <c r="E4246" s="1" t="str">
        <f t="array" ref="E4246">IF(ISBLANK(XLOOKUP(E$3,daily_items,XLOOKUP($C4246,daily_dates,big_daily_table))),NA(),XLOOKUP(E$3,daily_items,XLOOKUP($C4246,daily_dates,big_daily_table)))</f>
        <v>#N/A</v>
      </c>
    </row>
    <row r="4247" ht="14.25" customHeight="1">
      <c r="B4247" s="7">
        <v>45152.0</v>
      </c>
      <c r="C4247" s="7">
        <f t="shared" si="1"/>
        <v>45151</v>
      </c>
      <c r="D4247" s="1" t="str">
        <f t="array" ref="D4247">IF(ISBLANK(XLOOKUP(D$3,daily_items,XLOOKUP($C4247,daily_dates,big_daily_table))),NA(),XLOOKUP(D$3,daily_items,XLOOKUP($C4247,daily_dates,big_daily_table)))</f>
        <v>#N/A</v>
      </c>
      <c r="E4247" s="1" t="str">
        <f t="array" ref="E4247">IF(ISBLANK(XLOOKUP(E$3,daily_items,XLOOKUP($C4247,daily_dates,big_daily_table))),NA(),XLOOKUP(E$3,daily_items,XLOOKUP($C4247,daily_dates,big_daily_table)))</f>
        <v>#N/A</v>
      </c>
    </row>
    <row r="4248" ht="14.25" customHeight="1">
      <c r="B4248" s="7">
        <v>45153.0</v>
      </c>
      <c r="C4248" s="7">
        <f t="shared" si="1"/>
        <v>45151</v>
      </c>
      <c r="D4248" s="1" t="str">
        <f t="array" ref="D4248">IF(ISBLANK(XLOOKUP(D$3,daily_items,XLOOKUP($C4248,daily_dates,big_daily_table))),NA(),XLOOKUP(D$3,daily_items,XLOOKUP($C4248,daily_dates,big_daily_table)))</f>
        <v>#N/A</v>
      </c>
      <c r="E4248" s="1" t="str">
        <f t="array" ref="E4248">IF(ISBLANK(XLOOKUP(E$3,daily_items,XLOOKUP($C4248,daily_dates,big_daily_table))),NA(),XLOOKUP(E$3,daily_items,XLOOKUP($C4248,daily_dates,big_daily_table)))</f>
        <v>#N/A</v>
      </c>
    </row>
    <row r="4249" ht="14.25" customHeight="1">
      <c r="B4249" s="7">
        <v>45154.0</v>
      </c>
      <c r="C4249" s="7">
        <f t="shared" si="1"/>
        <v>45151</v>
      </c>
      <c r="D4249" s="1" t="str">
        <f t="array" ref="D4249">IF(ISBLANK(XLOOKUP(D$3,daily_items,XLOOKUP($C4249,daily_dates,big_daily_table))),NA(),XLOOKUP(D$3,daily_items,XLOOKUP($C4249,daily_dates,big_daily_table)))</f>
        <v>#N/A</v>
      </c>
      <c r="E4249" s="1" t="str">
        <f t="array" ref="E4249">IF(ISBLANK(XLOOKUP(E$3,daily_items,XLOOKUP($C4249,daily_dates,big_daily_table))),NA(),XLOOKUP(E$3,daily_items,XLOOKUP($C4249,daily_dates,big_daily_table)))</f>
        <v>#N/A</v>
      </c>
    </row>
    <row r="4250" ht="14.25" customHeight="1">
      <c r="B4250" s="7">
        <v>45155.0</v>
      </c>
      <c r="C4250" s="7">
        <f t="shared" si="1"/>
        <v>45151</v>
      </c>
      <c r="D4250" s="1" t="str">
        <f t="array" ref="D4250">IF(ISBLANK(XLOOKUP(D$3,daily_items,XLOOKUP($C4250,daily_dates,big_daily_table))),NA(),XLOOKUP(D$3,daily_items,XLOOKUP($C4250,daily_dates,big_daily_table)))</f>
        <v>#N/A</v>
      </c>
      <c r="E4250" s="1" t="str">
        <f t="array" ref="E4250">IF(ISBLANK(XLOOKUP(E$3,daily_items,XLOOKUP($C4250,daily_dates,big_daily_table))),NA(),XLOOKUP(E$3,daily_items,XLOOKUP($C4250,daily_dates,big_daily_table)))</f>
        <v>#N/A</v>
      </c>
    </row>
    <row r="4251" ht="14.25" customHeight="1">
      <c r="B4251" s="7">
        <v>45156.0</v>
      </c>
      <c r="C4251" s="7">
        <f t="shared" si="1"/>
        <v>45151</v>
      </c>
      <c r="D4251" s="1" t="str">
        <f t="array" ref="D4251">IF(ISBLANK(XLOOKUP(D$3,daily_items,XLOOKUP($C4251,daily_dates,big_daily_table))),NA(),XLOOKUP(D$3,daily_items,XLOOKUP($C4251,daily_dates,big_daily_table)))</f>
        <v>#N/A</v>
      </c>
      <c r="E4251" s="1" t="str">
        <f t="array" ref="E4251">IF(ISBLANK(XLOOKUP(E$3,daily_items,XLOOKUP($C4251,daily_dates,big_daily_table))),NA(),XLOOKUP(E$3,daily_items,XLOOKUP($C4251,daily_dates,big_daily_table)))</f>
        <v>#N/A</v>
      </c>
    </row>
    <row r="4252" ht="14.25" customHeight="1">
      <c r="B4252" s="7">
        <v>45157.0</v>
      </c>
      <c r="C4252" s="7">
        <f t="shared" si="1"/>
        <v>45151</v>
      </c>
      <c r="D4252" s="1" t="str">
        <f t="array" ref="D4252">IF(ISBLANK(XLOOKUP(D$3,daily_items,XLOOKUP($C4252,daily_dates,big_daily_table))),NA(),XLOOKUP(D$3,daily_items,XLOOKUP($C4252,daily_dates,big_daily_table)))</f>
        <v>#N/A</v>
      </c>
      <c r="E4252" s="1" t="str">
        <f t="array" ref="E4252">IF(ISBLANK(XLOOKUP(E$3,daily_items,XLOOKUP($C4252,daily_dates,big_daily_table))),NA(),XLOOKUP(E$3,daily_items,XLOOKUP($C4252,daily_dates,big_daily_table)))</f>
        <v>#N/A</v>
      </c>
    </row>
    <row r="4253" ht="14.25" customHeight="1">
      <c r="B4253" s="7">
        <v>45158.0</v>
      </c>
      <c r="C4253" s="7">
        <f t="shared" si="1"/>
        <v>45158</v>
      </c>
      <c r="D4253" s="1" t="str">
        <f t="array" ref="D4253">IF(ISBLANK(XLOOKUP(D$3,daily_items,XLOOKUP($C4253,daily_dates,big_daily_table))),NA(),XLOOKUP(D$3,daily_items,XLOOKUP($C4253,daily_dates,big_daily_table)))</f>
        <v>#N/A</v>
      </c>
      <c r="E4253" s="1" t="str">
        <f t="array" ref="E4253">IF(ISBLANK(XLOOKUP(E$3,daily_items,XLOOKUP($C4253,daily_dates,big_daily_table))),NA(),XLOOKUP(E$3,daily_items,XLOOKUP($C4253,daily_dates,big_daily_table)))</f>
        <v>#N/A</v>
      </c>
    </row>
    <row r="4254" ht="14.25" customHeight="1">
      <c r="B4254" s="7">
        <v>45159.0</v>
      </c>
      <c r="C4254" s="7">
        <f t="shared" si="1"/>
        <v>45158</v>
      </c>
      <c r="D4254" s="1" t="str">
        <f t="array" ref="D4254">IF(ISBLANK(XLOOKUP(D$3,daily_items,XLOOKUP($C4254,daily_dates,big_daily_table))),NA(),XLOOKUP(D$3,daily_items,XLOOKUP($C4254,daily_dates,big_daily_table)))</f>
        <v>#N/A</v>
      </c>
      <c r="E4254" s="1" t="str">
        <f t="array" ref="E4254">IF(ISBLANK(XLOOKUP(E$3,daily_items,XLOOKUP($C4254,daily_dates,big_daily_table))),NA(),XLOOKUP(E$3,daily_items,XLOOKUP($C4254,daily_dates,big_daily_table)))</f>
        <v>#N/A</v>
      </c>
    </row>
    <row r="4255" ht="14.25" customHeight="1">
      <c r="B4255" s="7">
        <v>45160.0</v>
      </c>
      <c r="C4255" s="7">
        <f t="shared" si="1"/>
        <v>45158</v>
      </c>
      <c r="D4255" s="1" t="str">
        <f t="array" ref="D4255">IF(ISBLANK(XLOOKUP(D$3,daily_items,XLOOKUP($C4255,daily_dates,big_daily_table))),NA(),XLOOKUP(D$3,daily_items,XLOOKUP($C4255,daily_dates,big_daily_table)))</f>
        <v>#N/A</v>
      </c>
      <c r="E4255" s="1" t="str">
        <f t="array" ref="E4255">IF(ISBLANK(XLOOKUP(E$3,daily_items,XLOOKUP($C4255,daily_dates,big_daily_table))),NA(),XLOOKUP(E$3,daily_items,XLOOKUP($C4255,daily_dates,big_daily_table)))</f>
        <v>#N/A</v>
      </c>
    </row>
    <row r="4256" ht="14.25" customHeight="1">
      <c r="B4256" s="7">
        <v>45161.0</v>
      </c>
      <c r="C4256" s="7">
        <f t="shared" si="1"/>
        <v>45158</v>
      </c>
      <c r="D4256" s="1" t="str">
        <f t="array" ref="D4256">IF(ISBLANK(XLOOKUP(D$3,daily_items,XLOOKUP($C4256,daily_dates,big_daily_table))),NA(),XLOOKUP(D$3,daily_items,XLOOKUP($C4256,daily_dates,big_daily_table)))</f>
        <v>#N/A</v>
      </c>
      <c r="E4256" s="1" t="str">
        <f t="array" ref="E4256">IF(ISBLANK(XLOOKUP(E$3,daily_items,XLOOKUP($C4256,daily_dates,big_daily_table))),NA(),XLOOKUP(E$3,daily_items,XLOOKUP($C4256,daily_dates,big_daily_table)))</f>
        <v>#N/A</v>
      </c>
    </row>
    <row r="4257" ht="14.25" customHeight="1">
      <c r="B4257" s="7">
        <v>45162.0</v>
      </c>
      <c r="C4257" s="7">
        <f t="shared" si="1"/>
        <v>45158</v>
      </c>
      <c r="D4257" s="1" t="str">
        <f t="array" ref="D4257">IF(ISBLANK(XLOOKUP(D$3,daily_items,XLOOKUP($C4257,daily_dates,big_daily_table))),NA(),XLOOKUP(D$3,daily_items,XLOOKUP($C4257,daily_dates,big_daily_table)))</f>
        <v>#N/A</v>
      </c>
      <c r="E4257" s="1" t="str">
        <f t="array" ref="E4257">IF(ISBLANK(XLOOKUP(E$3,daily_items,XLOOKUP($C4257,daily_dates,big_daily_table))),NA(),XLOOKUP(E$3,daily_items,XLOOKUP($C4257,daily_dates,big_daily_table)))</f>
        <v>#N/A</v>
      </c>
    </row>
    <row r="4258" ht="14.25" customHeight="1">
      <c r="B4258" s="7">
        <v>45163.0</v>
      </c>
      <c r="C4258" s="7">
        <f t="shared" si="1"/>
        <v>45158</v>
      </c>
      <c r="D4258" s="1" t="str">
        <f t="array" ref="D4258">IF(ISBLANK(XLOOKUP(D$3,daily_items,XLOOKUP($C4258,daily_dates,big_daily_table))),NA(),XLOOKUP(D$3,daily_items,XLOOKUP($C4258,daily_dates,big_daily_table)))</f>
        <v>#N/A</v>
      </c>
      <c r="E4258" s="1" t="str">
        <f t="array" ref="E4258">IF(ISBLANK(XLOOKUP(E$3,daily_items,XLOOKUP($C4258,daily_dates,big_daily_table))),NA(),XLOOKUP(E$3,daily_items,XLOOKUP($C4258,daily_dates,big_daily_table)))</f>
        <v>#N/A</v>
      </c>
    </row>
    <row r="4259" ht="14.25" customHeight="1">
      <c r="B4259" s="7">
        <v>45164.0</v>
      </c>
      <c r="C4259" s="7">
        <f t="shared" si="1"/>
        <v>45158</v>
      </c>
      <c r="D4259" s="1" t="str">
        <f t="array" ref="D4259">IF(ISBLANK(XLOOKUP(D$3,daily_items,XLOOKUP($C4259,daily_dates,big_daily_table))),NA(),XLOOKUP(D$3,daily_items,XLOOKUP($C4259,daily_dates,big_daily_table)))</f>
        <v>#N/A</v>
      </c>
      <c r="E4259" s="1" t="str">
        <f t="array" ref="E4259">IF(ISBLANK(XLOOKUP(E$3,daily_items,XLOOKUP($C4259,daily_dates,big_daily_table))),NA(),XLOOKUP(E$3,daily_items,XLOOKUP($C4259,daily_dates,big_daily_table)))</f>
        <v>#N/A</v>
      </c>
    </row>
    <row r="4260" ht="14.25" customHeight="1">
      <c r="B4260" s="7">
        <v>45165.0</v>
      </c>
      <c r="C4260" s="7">
        <f t="shared" si="1"/>
        <v>45165</v>
      </c>
      <c r="D4260" s="1" t="str">
        <f t="array" ref="D4260">IF(ISBLANK(XLOOKUP(D$3,daily_items,XLOOKUP($C4260,daily_dates,big_daily_table))),NA(),XLOOKUP(D$3,daily_items,XLOOKUP($C4260,daily_dates,big_daily_table)))</f>
        <v>#N/A</v>
      </c>
      <c r="E4260" s="1" t="str">
        <f t="array" ref="E4260">IF(ISBLANK(XLOOKUP(E$3,daily_items,XLOOKUP($C4260,daily_dates,big_daily_table))),NA(),XLOOKUP(E$3,daily_items,XLOOKUP($C4260,daily_dates,big_daily_table)))</f>
        <v>#N/A</v>
      </c>
    </row>
    <row r="4261" ht="14.25" customHeight="1">
      <c r="B4261" s="7">
        <v>45166.0</v>
      </c>
      <c r="C4261" s="7">
        <f t="shared" si="1"/>
        <v>45165</v>
      </c>
      <c r="D4261" s="1" t="str">
        <f t="array" ref="D4261">IF(ISBLANK(XLOOKUP(D$3,daily_items,XLOOKUP($C4261,daily_dates,big_daily_table))),NA(),XLOOKUP(D$3,daily_items,XLOOKUP($C4261,daily_dates,big_daily_table)))</f>
        <v>#N/A</v>
      </c>
      <c r="E4261" s="1" t="str">
        <f t="array" ref="E4261">IF(ISBLANK(XLOOKUP(E$3,daily_items,XLOOKUP($C4261,daily_dates,big_daily_table))),NA(),XLOOKUP(E$3,daily_items,XLOOKUP($C4261,daily_dates,big_daily_table)))</f>
        <v>#N/A</v>
      </c>
    </row>
    <row r="4262" ht="14.25" customHeight="1">
      <c r="B4262" s="7">
        <v>45167.0</v>
      </c>
      <c r="C4262" s="7">
        <f t="shared" si="1"/>
        <v>45165</v>
      </c>
      <c r="D4262" s="1" t="str">
        <f t="array" ref="D4262">IF(ISBLANK(XLOOKUP(D$3,daily_items,XLOOKUP($C4262,daily_dates,big_daily_table))),NA(),XLOOKUP(D$3,daily_items,XLOOKUP($C4262,daily_dates,big_daily_table)))</f>
        <v>#N/A</v>
      </c>
      <c r="E4262" s="1" t="str">
        <f t="array" ref="E4262">IF(ISBLANK(XLOOKUP(E$3,daily_items,XLOOKUP($C4262,daily_dates,big_daily_table))),NA(),XLOOKUP(E$3,daily_items,XLOOKUP($C4262,daily_dates,big_daily_table)))</f>
        <v>#N/A</v>
      </c>
    </row>
    <row r="4263" ht="14.25" customHeight="1">
      <c r="B4263" s="7">
        <v>45168.0</v>
      </c>
      <c r="C4263" s="7">
        <f t="shared" si="1"/>
        <v>45165</v>
      </c>
      <c r="D4263" s="1" t="str">
        <f t="array" ref="D4263">IF(ISBLANK(XLOOKUP(D$3,daily_items,XLOOKUP($C4263,daily_dates,big_daily_table))),NA(),XLOOKUP(D$3,daily_items,XLOOKUP($C4263,daily_dates,big_daily_table)))</f>
        <v>#N/A</v>
      </c>
      <c r="E4263" s="1" t="str">
        <f t="array" ref="E4263">IF(ISBLANK(XLOOKUP(E$3,daily_items,XLOOKUP($C4263,daily_dates,big_daily_table))),NA(),XLOOKUP(E$3,daily_items,XLOOKUP($C4263,daily_dates,big_daily_table)))</f>
        <v>#N/A</v>
      </c>
    </row>
    <row r="4264" ht="14.25" customHeight="1">
      <c r="B4264" s="7">
        <v>45169.0</v>
      </c>
      <c r="C4264" s="7">
        <f t="shared" si="1"/>
        <v>45165</v>
      </c>
      <c r="D4264" s="1" t="str">
        <f t="array" ref="D4264">IF(ISBLANK(XLOOKUP(D$3,daily_items,XLOOKUP($C4264,daily_dates,big_daily_table))),NA(),XLOOKUP(D$3,daily_items,XLOOKUP($C4264,daily_dates,big_daily_table)))</f>
        <v>#N/A</v>
      </c>
      <c r="E4264" s="1" t="str">
        <f t="array" ref="E4264">IF(ISBLANK(XLOOKUP(E$3,daily_items,XLOOKUP($C4264,daily_dates,big_daily_table))),NA(),XLOOKUP(E$3,daily_items,XLOOKUP($C4264,daily_dates,big_daily_table)))</f>
        <v>#N/A</v>
      </c>
    </row>
    <row r="4265" ht="14.25" customHeight="1">
      <c r="B4265" s="7">
        <v>45170.0</v>
      </c>
      <c r="C4265" s="7">
        <f t="shared" si="1"/>
        <v>45165</v>
      </c>
      <c r="D4265" s="1" t="str">
        <f t="array" ref="D4265">IF(ISBLANK(XLOOKUP(D$3,daily_items,XLOOKUP($C4265,daily_dates,big_daily_table))),NA(),XLOOKUP(D$3,daily_items,XLOOKUP($C4265,daily_dates,big_daily_table)))</f>
        <v>#N/A</v>
      </c>
      <c r="E4265" s="1" t="str">
        <f t="array" ref="E4265">IF(ISBLANK(XLOOKUP(E$3,daily_items,XLOOKUP($C4265,daily_dates,big_daily_table))),NA(),XLOOKUP(E$3,daily_items,XLOOKUP($C4265,daily_dates,big_daily_table)))</f>
        <v>#N/A</v>
      </c>
    </row>
    <row r="4266" ht="14.25" customHeight="1">
      <c r="B4266" s="7">
        <v>45171.0</v>
      </c>
      <c r="C4266" s="7">
        <f t="shared" si="1"/>
        <v>45165</v>
      </c>
      <c r="D4266" s="1" t="str">
        <f t="array" ref="D4266">IF(ISBLANK(XLOOKUP(D$3,daily_items,XLOOKUP($C4266,daily_dates,big_daily_table))),NA(),XLOOKUP(D$3,daily_items,XLOOKUP($C4266,daily_dates,big_daily_table)))</f>
        <v>#N/A</v>
      </c>
      <c r="E4266" s="1" t="str">
        <f t="array" ref="E4266">IF(ISBLANK(XLOOKUP(E$3,daily_items,XLOOKUP($C4266,daily_dates,big_daily_table))),NA(),XLOOKUP(E$3,daily_items,XLOOKUP($C4266,daily_dates,big_daily_table)))</f>
        <v>#N/A</v>
      </c>
    </row>
    <row r="4267" ht="14.25" customHeight="1">
      <c r="B4267" s="7">
        <v>45172.0</v>
      </c>
      <c r="C4267" s="7">
        <f t="shared" si="1"/>
        <v>45172</v>
      </c>
      <c r="D4267" s="1" t="str">
        <f t="array" ref="D4267">IF(ISBLANK(XLOOKUP(D$3,daily_items,XLOOKUP($C4267,daily_dates,big_daily_table))),NA(),XLOOKUP(D$3,daily_items,XLOOKUP($C4267,daily_dates,big_daily_table)))</f>
        <v>#N/A</v>
      </c>
      <c r="E4267" s="1" t="str">
        <f t="array" ref="E4267">IF(ISBLANK(XLOOKUP(E$3,daily_items,XLOOKUP($C4267,daily_dates,big_daily_table))),NA(),XLOOKUP(E$3,daily_items,XLOOKUP($C4267,daily_dates,big_daily_table)))</f>
        <v>#N/A</v>
      </c>
    </row>
    <row r="4268" ht="14.25" customHeight="1">
      <c r="B4268" s="7">
        <v>45173.0</v>
      </c>
      <c r="C4268" s="7">
        <f t="shared" si="1"/>
        <v>45172</v>
      </c>
      <c r="D4268" s="1" t="str">
        <f t="array" ref="D4268">IF(ISBLANK(XLOOKUP(D$3,daily_items,XLOOKUP($C4268,daily_dates,big_daily_table))),NA(),XLOOKUP(D$3,daily_items,XLOOKUP($C4268,daily_dates,big_daily_table)))</f>
        <v>#N/A</v>
      </c>
      <c r="E4268" s="1" t="str">
        <f t="array" ref="E4268">IF(ISBLANK(XLOOKUP(E$3,daily_items,XLOOKUP($C4268,daily_dates,big_daily_table))),NA(),XLOOKUP(E$3,daily_items,XLOOKUP($C4268,daily_dates,big_daily_table)))</f>
        <v>#N/A</v>
      </c>
    </row>
    <row r="4269" ht="14.25" customHeight="1">
      <c r="B4269" s="7">
        <v>45174.0</v>
      </c>
      <c r="C4269" s="7">
        <f t="shared" si="1"/>
        <v>45172</v>
      </c>
      <c r="D4269" s="1" t="str">
        <f t="array" ref="D4269">IF(ISBLANK(XLOOKUP(D$3,daily_items,XLOOKUP($C4269,daily_dates,big_daily_table))),NA(),XLOOKUP(D$3,daily_items,XLOOKUP($C4269,daily_dates,big_daily_table)))</f>
        <v>#N/A</v>
      </c>
      <c r="E4269" s="1" t="str">
        <f t="array" ref="E4269">IF(ISBLANK(XLOOKUP(E$3,daily_items,XLOOKUP($C4269,daily_dates,big_daily_table))),NA(),XLOOKUP(E$3,daily_items,XLOOKUP($C4269,daily_dates,big_daily_table)))</f>
        <v>#N/A</v>
      </c>
    </row>
    <row r="4270" ht="14.25" customHeight="1">
      <c r="B4270" s="7">
        <v>45175.0</v>
      </c>
      <c r="C4270" s="7">
        <f t="shared" si="1"/>
        <v>45172</v>
      </c>
      <c r="D4270" s="1" t="str">
        <f t="array" ref="D4270">IF(ISBLANK(XLOOKUP(D$3,daily_items,XLOOKUP($C4270,daily_dates,big_daily_table))),NA(),XLOOKUP(D$3,daily_items,XLOOKUP($C4270,daily_dates,big_daily_table)))</f>
        <v>#N/A</v>
      </c>
      <c r="E4270" s="1" t="str">
        <f t="array" ref="E4270">IF(ISBLANK(XLOOKUP(E$3,daily_items,XLOOKUP($C4270,daily_dates,big_daily_table))),NA(),XLOOKUP(E$3,daily_items,XLOOKUP($C4270,daily_dates,big_daily_table)))</f>
        <v>#N/A</v>
      </c>
    </row>
    <row r="4271" ht="14.25" customHeight="1">
      <c r="B4271" s="7">
        <v>45176.0</v>
      </c>
      <c r="C4271" s="7">
        <f t="shared" si="1"/>
        <v>45172</v>
      </c>
      <c r="D4271" s="1" t="str">
        <f t="array" ref="D4271">IF(ISBLANK(XLOOKUP(D$3,daily_items,XLOOKUP($C4271,daily_dates,big_daily_table))),NA(),XLOOKUP(D$3,daily_items,XLOOKUP($C4271,daily_dates,big_daily_table)))</f>
        <v>#N/A</v>
      </c>
      <c r="E4271" s="1" t="str">
        <f t="array" ref="E4271">IF(ISBLANK(XLOOKUP(E$3,daily_items,XLOOKUP($C4271,daily_dates,big_daily_table))),NA(),XLOOKUP(E$3,daily_items,XLOOKUP($C4271,daily_dates,big_daily_table)))</f>
        <v>#N/A</v>
      </c>
    </row>
    <row r="4272" ht="14.25" customHeight="1">
      <c r="B4272" s="7">
        <v>45177.0</v>
      </c>
      <c r="C4272" s="7">
        <f t="shared" si="1"/>
        <v>45172</v>
      </c>
      <c r="D4272" s="1" t="str">
        <f t="array" ref="D4272">IF(ISBLANK(XLOOKUP(D$3,daily_items,XLOOKUP($C4272,daily_dates,big_daily_table))),NA(),XLOOKUP(D$3,daily_items,XLOOKUP($C4272,daily_dates,big_daily_table)))</f>
        <v>#N/A</v>
      </c>
      <c r="E4272" s="1" t="str">
        <f t="array" ref="E4272">IF(ISBLANK(XLOOKUP(E$3,daily_items,XLOOKUP($C4272,daily_dates,big_daily_table))),NA(),XLOOKUP(E$3,daily_items,XLOOKUP($C4272,daily_dates,big_daily_table)))</f>
        <v>#N/A</v>
      </c>
    </row>
    <row r="4273" ht="14.25" customHeight="1">
      <c r="B4273" s="7">
        <v>45178.0</v>
      </c>
      <c r="C4273" s="7">
        <f t="shared" si="1"/>
        <v>45172</v>
      </c>
      <c r="D4273" s="1" t="str">
        <f t="array" ref="D4273">IF(ISBLANK(XLOOKUP(D$3,daily_items,XLOOKUP($C4273,daily_dates,big_daily_table))),NA(),XLOOKUP(D$3,daily_items,XLOOKUP($C4273,daily_dates,big_daily_table)))</f>
        <v>#N/A</v>
      </c>
      <c r="E4273" s="1" t="str">
        <f t="array" ref="E4273">IF(ISBLANK(XLOOKUP(E$3,daily_items,XLOOKUP($C4273,daily_dates,big_daily_table))),NA(),XLOOKUP(E$3,daily_items,XLOOKUP($C4273,daily_dates,big_daily_table)))</f>
        <v>#N/A</v>
      </c>
    </row>
    <row r="4274" ht="14.25" customHeight="1">
      <c r="B4274" s="7">
        <v>45179.0</v>
      </c>
      <c r="C4274" s="7">
        <f t="shared" si="1"/>
        <v>45179</v>
      </c>
      <c r="D4274" s="1" t="str">
        <f t="array" ref="D4274">IF(ISBLANK(XLOOKUP(D$3,daily_items,XLOOKUP($C4274,daily_dates,big_daily_table))),NA(),XLOOKUP(D$3,daily_items,XLOOKUP($C4274,daily_dates,big_daily_table)))</f>
        <v>#N/A</v>
      </c>
      <c r="E4274" s="1" t="str">
        <f t="array" ref="E4274">IF(ISBLANK(XLOOKUP(E$3,daily_items,XLOOKUP($C4274,daily_dates,big_daily_table))),NA(),XLOOKUP(E$3,daily_items,XLOOKUP($C4274,daily_dates,big_daily_table)))</f>
        <v>#N/A</v>
      </c>
    </row>
    <row r="4275" ht="14.25" customHeight="1">
      <c r="B4275" s="7">
        <v>45180.0</v>
      </c>
      <c r="C4275" s="7">
        <f t="shared" si="1"/>
        <v>45179</v>
      </c>
      <c r="D4275" s="1" t="str">
        <f t="array" ref="D4275">IF(ISBLANK(XLOOKUP(D$3,daily_items,XLOOKUP($C4275,daily_dates,big_daily_table))),NA(),XLOOKUP(D$3,daily_items,XLOOKUP($C4275,daily_dates,big_daily_table)))</f>
        <v>#N/A</v>
      </c>
      <c r="E4275" s="1" t="str">
        <f t="array" ref="E4275">IF(ISBLANK(XLOOKUP(E$3,daily_items,XLOOKUP($C4275,daily_dates,big_daily_table))),NA(),XLOOKUP(E$3,daily_items,XLOOKUP($C4275,daily_dates,big_daily_table)))</f>
        <v>#N/A</v>
      </c>
    </row>
    <row r="4276" ht="14.25" customHeight="1">
      <c r="B4276" s="7">
        <v>45181.0</v>
      </c>
      <c r="C4276" s="7">
        <f t="shared" si="1"/>
        <v>45179</v>
      </c>
      <c r="D4276" s="1" t="str">
        <f t="array" ref="D4276">IF(ISBLANK(XLOOKUP(D$3,daily_items,XLOOKUP($C4276,daily_dates,big_daily_table))),NA(),XLOOKUP(D$3,daily_items,XLOOKUP($C4276,daily_dates,big_daily_table)))</f>
        <v>#N/A</v>
      </c>
      <c r="E4276" s="1" t="str">
        <f t="array" ref="E4276">IF(ISBLANK(XLOOKUP(E$3,daily_items,XLOOKUP($C4276,daily_dates,big_daily_table))),NA(),XLOOKUP(E$3,daily_items,XLOOKUP($C4276,daily_dates,big_daily_table)))</f>
        <v>#N/A</v>
      </c>
    </row>
    <row r="4277" ht="14.25" customHeight="1">
      <c r="B4277" s="7">
        <v>45182.0</v>
      </c>
      <c r="C4277" s="7">
        <f t="shared" si="1"/>
        <v>45179</v>
      </c>
      <c r="D4277" s="1" t="str">
        <f t="array" ref="D4277">IF(ISBLANK(XLOOKUP(D$3,daily_items,XLOOKUP($C4277,daily_dates,big_daily_table))),NA(),XLOOKUP(D$3,daily_items,XLOOKUP($C4277,daily_dates,big_daily_table)))</f>
        <v>#N/A</v>
      </c>
      <c r="E4277" s="1" t="str">
        <f t="array" ref="E4277">IF(ISBLANK(XLOOKUP(E$3,daily_items,XLOOKUP($C4277,daily_dates,big_daily_table))),NA(),XLOOKUP(E$3,daily_items,XLOOKUP($C4277,daily_dates,big_daily_table)))</f>
        <v>#N/A</v>
      </c>
    </row>
    <row r="4278" ht="14.25" customHeight="1">
      <c r="B4278" s="7">
        <v>45183.0</v>
      </c>
      <c r="C4278" s="7">
        <f t="shared" si="1"/>
        <v>45179</v>
      </c>
      <c r="D4278" s="1" t="str">
        <f t="array" ref="D4278">IF(ISBLANK(XLOOKUP(D$3,daily_items,XLOOKUP($C4278,daily_dates,big_daily_table))),NA(),XLOOKUP(D$3,daily_items,XLOOKUP($C4278,daily_dates,big_daily_table)))</f>
        <v>#N/A</v>
      </c>
      <c r="E4278" s="1" t="str">
        <f t="array" ref="E4278">IF(ISBLANK(XLOOKUP(E$3,daily_items,XLOOKUP($C4278,daily_dates,big_daily_table))),NA(),XLOOKUP(E$3,daily_items,XLOOKUP($C4278,daily_dates,big_daily_table)))</f>
        <v>#N/A</v>
      </c>
    </row>
    <row r="4279" ht="14.25" customHeight="1">
      <c r="B4279" s="7">
        <v>45184.0</v>
      </c>
      <c r="C4279" s="7">
        <f t="shared" si="1"/>
        <v>45179</v>
      </c>
      <c r="D4279" s="1" t="str">
        <f t="array" ref="D4279">IF(ISBLANK(XLOOKUP(D$3,daily_items,XLOOKUP($C4279,daily_dates,big_daily_table))),NA(),XLOOKUP(D$3,daily_items,XLOOKUP($C4279,daily_dates,big_daily_table)))</f>
        <v>#N/A</v>
      </c>
      <c r="E4279" s="1" t="str">
        <f t="array" ref="E4279">IF(ISBLANK(XLOOKUP(E$3,daily_items,XLOOKUP($C4279,daily_dates,big_daily_table))),NA(),XLOOKUP(E$3,daily_items,XLOOKUP($C4279,daily_dates,big_daily_table)))</f>
        <v>#N/A</v>
      </c>
    </row>
    <row r="4280" ht="14.25" customHeight="1">
      <c r="B4280" s="7">
        <v>45185.0</v>
      </c>
      <c r="C4280" s="7">
        <f t="shared" si="1"/>
        <v>45179</v>
      </c>
      <c r="D4280" s="1" t="str">
        <f t="array" ref="D4280">IF(ISBLANK(XLOOKUP(D$3,daily_items,XLOOKUP($C4280,daily_dates,big_daily_table))),NA(),XLOOKUP(D$3,daily_items,XLOOKUP($C4280,daily_dates,big_daily_table)))</f>
        <v>#N/A</v>
      </c>
      <c r="E4280" s="1" t="str">
        <f t="array" ref="E4280">IF(ISBLANK(XLOOKUP(E$3,daily_items,XLOOKUP($C4280,daily_dates,big_daily_table))),NA(),XLOOKUP(E$3,daily_items,XLOOKUP($C4280,daily_dates,big_daily_table)))</f>
        <v>#N/A</v>
      </c>
    </row>
    <row r="4281" ht="14.25" customHeight="1">
      <c r="B4281" s="7">
        <v>45186.0</v>
      </c>
      <c r="C4281" s="7">
        <f t="shared" si="1"/>
        <v>45186</v>
      </c>
      <c r="D4281" s="1" t="str">
        <f t="array" ref="D4281">IF(ISBLANK(XLOOKUP(D$3,daily_items,XLOOKUP($C4281,daily_dates,big_daily_table))),NA(),XLOOKUP(D$3,daily_items,XLOOKUP($C4281,daily_dates,big_daily_table)))</f>
        <v>#N/A</v>
      </c>
      <c r="E4281" s="1" t="str">
        <f t="array" ref="E4281">IF(ISBLANK(XLOOKUP(E$3,daily_items,XLOOKUP($C4281,daily_dates,big_daily_table))),NA(),XLOOKUP(E$3,daily_items,XLOOKUP($C4281,daily_dates,big_daily_table)))</f>
        <v>#N/A</v>
      </c>
    </row>
    <row r="4282" ht="14.25" customHeight="1">
      <c r="B4282" s="7">
        <v>45187.0</v>
      </c>
      <c r="C4282" s="7">
        <f t="shared" si="1"/>
        <v>45186</v>
      </c>
      <c r="D4282" s="1" t="str">
        <f t="array" ref="D4282">IF(ISBLANK(XLOOKUP(D$3,daily_items,XLOOKUP($C4282,daily_dates,big_daily_table))),NA(),XLOOKUP(D$3,daily_items,XLOOKUP($C4282,daily_dates,big_daily_table)))</f>
        <v>#N/A</v>
      </c>
      <c r="E4282" s="1" t="str">
        <f t="array" ref="E4282">IF(ISBLANK(XLOOKUP(E$3,daily_items,XLOOKUP($C4282,daily_dates,big_daily_table))),NA(),XLOOKUP(E$3,daily_items,XLOOKUP($C4282,daily_dates,big_daily_table)))</f>
        <v>#N/A</v>
      </c>
    </row>
    <row r="4283" ht="14.25" customHeight="1">
      <c r="B4283" s="7">
        <v>45188.0</v>
      </c>
      <c r="C4283" s="7">
        <f t="shared" si="1"/>
        <v>45186</v>
      </c>
      <c r="D4283" s="1" t="str">
        <f t="array" ref="D4283">IF(ISBLANK(XLOOKUP(D$3,daily_items,XLOOKUP($C4283,daily_dates,big_daily_table))),NA(),XLOOKUP(D$3,daily_items,XLOOKUP($C4283,daily_dates,big_daily_table)))</f>
        <v>#N/A</v>
      </c>
      <c r="E4283" s="1" t="str">
        <f t="array" ref="E4283">IF(ISBLANK(XLOOKUP(E$3,daily_items,XLOOKUP($C4283,daily_dates,big_daily_table))),NA(),XLOOKUP(E$3,daily_items,XLOOKUP($C4283,daily_dates,big_daily_table)))</f>
        <v>#N/A</v>
      </c>
    </row>
    <row r="4284" ht="14.25" customHeight="1">
      <c r="B4284" s="7">
        <v>45189.0</v>
      </c>
      <c r="C4284" s="7">
        <f t="shared" si="1"/>
        <v>45186</v>
      </c>
      <c r="D4284" s="1" t="str">
        <f t="array" ref="D4284">IF(ISBLANK(XLOOKUP(D$3,daily_items,XLOOKUP($C4284,daily_dates,big_daily_table))),NA(),XLOOKUP(D$3,daily_items,XLOOKUP($C4284,daily_dates,big_daily_table)))</f>
        <v>#N/A</v>
      </c>
      <c r="E4284" s="1" t="str">
        <f t="array" ref="E4284">IF(ISBLANK(XLOOKUP(E$3,daily_items,XLOOKUP($C4284,daily_dates,big_daily_table))),NA(),XLOOKUP(E$3,daily_items,XLOOKUP($C4284,daily_dates,big_daily_table)))</f>
        <v>#N/A</v>
      </c>
    </row>
    <row r="4285" ht="14.25" customHeight="1">
      <c r="B4285" s="7">
        <v>45190.0</v>
      </c>
      <c r="C4285" s="7">
        <f t="shared" si="1"/>
        <v>45186</v>
      </c>
      <c r="D4285" s="1" t="str">
        <f t="array" ref="D4285">IF(ISBLANK(XLOOKUP(D$3,daily_items,XLOOKUP($C4285,daily_dates,big_daily_table))),NA(),XLOOKUP(D$3,daily_items,XLOOKUP($C4285,daily_dates,big_daily_table)))</f>
        <v>#N/A</v>
      </c>
      <c r="E4285" s="1" t="str">
        <f t="array" ref="E4285">IF(ISBLANK(XLOOKUP(E$3,daily_items,XLOOKUP($C4285,daily_dates,big_daily_table))),NA(),XLOOKUP(E$3,daily_items,XLOOKUP($C4285,daily_dates,big_daily_table)))</f>
        <v>#N/A</v>
      </c>
    </row>
    <row r="4286" ht="14.25" customHeight="1">
      <c r="B4286" s="7">
        <v>45191.0</v>
      </c>
      <c r="C4286" s="7">
        <f t="shared" si="1"/>
        <v>45186</v>
      </c>
      <c r="D4286" s="1" t="str">
        <f t="array" ref="D4286">IF(ISBLANK(XLOOKUP(D$3,daily_items,XLOOKUP($C4286,daily_dates,big_daily_table))),NA(),XLOOKUP(D$3,daily_items,XLOOKUP($C4286,daily_dates,big_daily_table)))</f>
        <v>#N/A</v>
      </c>
      <c r="E4286" s="1" t="str">
        <f t="array" ref="E4286">IF(ISBLANK(XLOOKUP(E$3,daily_items,XLOOKUP($C4286,daily_dates,big_daily_table))),NA(),XLOOKUP(E$3,daily_items,XLOOKUP($C4286,daily_dates,big_daily_table)))</f>
        <v>#N/A</v>
      </c>
    </row>
    <row r="4287" ht="14.25" customHeight="1">
      <c r="B4287" s="7">
        <v>45192.0</v>
      </c>
      <c r="C4287" s="7">
        <f t="shared" si="1"/>
        <v>45186</v>
      </c>
      <c r="D4287" s="1" t="str">
        <f t="array" ref="D4287">IF(ISBLANK(XLOOKUP(D$3,daily_items,XLOOKUP($C4287,daily_dates,big_daily_table))),NA(),XLOOKUP(D$3,daily_items,XLOOKUP($C4287,daily_dates,big_daily_table)))</f>
        <v>#N/A</v>
      </c>
      <c r="E4287" s="1" t="str">
        <f t="array" ref="E4287">IF(ISBLANK(XLOOKUP(E$3,daily_items,XLOOKUP($C4287,daily_dates,big_daily_table))),NA(),XLOOKUP(E$3,daily_items,XLOOKUP($C4287,daily_dates,big_daily_table)))</f>
        <v>#N/A</v>
      </c>
    </row>
    <row r="4288" ht="14.25" customHeight="1">
      <c r="B4288" s="7">
        <v>45193.0</v>
      </c>
      <c r="C4288" s="7">
        <f t="shared" si="1"/>
        <v>45193</v>
      </c>
      <c r="D4288" s="1" t="str">
        <f t="array" ref="D4288">IF(ISBLANK(XLOOKUP(D$3,daily_items,XLOOKUP($C4288,daily_dates,big_daily_table))),NA(),XLOOKUP(D$3,daily_items,XLOOKUP($C4288,daily_dates,big_daily_table)))</f>
        <v>#N/A</v>
      </c>
      <c r="E4288" s="1" t="str">
        <f t="array" ref="E4288">IF(ISBLANK(XLOOKUP(E$3,daily_items,XLOOKUP($C4288,daily_dates,big_daily_table))),NA(),XLOOKUP(E$3,daily_items,XLOOKUP($C4288,daily_dates,big_daily_table)))</f>
        <v>#N/A</v>
      </c>
    </row>
    <row r="4289" ht="14.25" customHeight="1">
      <c r="B4289" s="7">
        <v>45194.0</v>
      </c>
      <c r="C4289" s="7">
        <f t="shared" si="1"/>
        <v>45193</v>
      </c>
      <c r="D4289" s="1" t="str">
        <f t="array" ref="D4289">IF(ISBLANK(XLOOKUP(D$3,daily_items,XLOOKUP($C4289,daily_dates,big_daily_table))),NA(),XLOOKUP(D$3,daily_items,XLOOKUP($C4289,daily_dates,big_daily_table)))</f>
        <v>#N/A</v>
      </c>
      <c r="E4289" s="1" t="str">
        <f t="array" ref="E4289">IF(ISBLANK(XLOOKUP(E$3,daily_items,XLOOKUP($C4289,daily_dates,big_daily_table))),NA(),XLOOKUP(E$3,daily_items,XLOOKUP($C4289,daily_dates,big_daily_table)))</f>
        <v>#N/A</v>
      </c>
    </row>
    <row r="4290" ht="14.25" customHeight="1">
      <c r="B4290" s="7">
        <v>45195.0</v>
      </c>
      <c r="C4290" s="7">
        <f t="shared" si="1"/>
        <v>45193</v>
      </c>
      <c r="D4290" s="1" t="str">
        <f t="array" ref="D4290">IF(ISBLANK(XLOOKUP(D$3,daily_items,XLOOKUP($C4290,daily_dates,big_daily_table))),NA(),XLOOKUP(D$3,daily_items,XLOOKUP($C4290,daily_dates,big_daily_table)))</f>
        <v>#N/A</v>
      </c>
      <c r="E4290" s="1" t="str">
        <f t="array" ref="E4290">IF(ISBLANK(XLOOKUP(E$3,daily_items,XLOOKUP($C4290,daily_dates,big_daily_table))),NA(),XLOOKUP(E$3,daily_items,XLOOKUP($C4290,daily_dates,big_daily_table)))</f>
        <v>#N/A</v>
      </c>
    </row>
    <row r="4291" ht="14.25" customHeight="1">
      <c r="B4291" s="7">
        <v>45196.0</v>
      </c>
      <c r="C4291" s="7">
        <f t="shared" si="1"/>
        <v>45193</v>
      </c>
      <c r="D4291" s="1" t="str">
        <f t="array" ref="D4291">IF(ISBLANK(XLOOKUP(D$3,daily_items,XLOOKUP($C4291,daily_dates,big_daily_table))),NA(),XLOOKUP(D$3,daily_items,XLOOKUP($C4291,daily_dates,big_daily_table)))</f>
        <v>#N/A</v>
      </c>
      <c r="E4291" s="1" t="str">
        <f t="array" ref="E4291">IF(ISBLANK(XLOOKUP(E$3,daily_items,XLOOKUP($C4291,daily_dates,big_daily_table))),NA(),XLOOKUP(E$3,daily_items,XLOOKUP($C4291,daily_dates,big_daily_table)))</f>
        <v>#N/A</v>
      </c>
    </row>
    <row r="4292" ht="14.25" customHeight="1">
      <c r="B4292" s="7">
        <v>45197.0</v>
      </c>
      <c r="C4292" s="7">
        <f t="shared" si="1"/>
        <v>45193</v>
      </c>
      <c r="D4292" s="1" t="str">
        <f t="array" ref="D4292">IF(ISBLANK(XLOOKUP(D$3,daily_items,XLOOKUP($C4292,daily_dates,big_daily_table))),NA(),XLOOKUP(D$3,daily_items,XLOOKUP($C4292,daily_dates,big_daily_table)))</f>
        <v>#N/A</v>
      </c>
      <c r="E4292" s="1" t="str">
        <f t="array" ref="E4292">IF(ISBLANK(XLOOKUP(E$3,daily_items,XLOOKUP($C4292,daily_dates,big_daily_table))),NA(),XLOOKUP(E$3,daily_items,XLOOKUP($C4292,daily_dates,big_daily_table)))</f>
        <v>#N/A</v>
      </c>
    </row>
    <row r="4293" ht="14.25" customHeight="1">
      <c r="B4293" s="7">
        <v>45198.0</v>
      </c>
      <c r="C4293" s="7">
        <f t="shared" si="1"/>
        <v>45193</v>
      </c>
      <c r="D4293" s="1" t="str">
        <f t="array" ref="D4293">IF(ISBLANK(XLOOKUP(D$3,daily_items,XLOOKUP($C4293,daily_dates,big_daily_table))),NA(),XLOOKUP(D$3,daily_items,XLOOKUP($C4293,daily_dates,big_daily_table)))</f>
        <v>#N/A</v>
      </c>
      <c r="E4293" s="1" t="str">
        <f t="array" ref="E4293">IF(ISBLANK(XLOOKUP(E$3,daily_items,XLOOKUP($C4293,daily_dates,big_daily_table))),NA(),XLOOKUP(E$3,daily_items,XLOOKUP($C4293,daily_dates,big_daily_table)))</f>
        <v>#N/A</v>
      </c>
    </row>
    <row r="4294" ht="14.25" customHeight="1">
      <c r="B4294" s="7">
        <v>45199.0</v>
      </c>
      <c r="C4294" s="7">
        <f t="shared" si="1"/>
        <v>45193</v>
      </c>
      <c r="D4294" s="1" t="str">
        <f t="array" ref="D4294">IF(ISBLANK(XLOOKUP(D$3,daily_items,XLOOKUP($C4294,daily_dates,big_daily_table))),NA(),XLOOKUP(D$3,daily_items,XLOOKUP($C4294,daily_dates,big_daily_table)))</f>
        <v>#N/A</v>
      </c>
      <c r="E4294" s="1" t="str">
        <f t="array" ref="E4294">IF(ISBLANK(XLOOKUP(E$3,daily_items,XLOOKUP($C4294,daily_dates,big_daily_table))),NA(),XLOOKUP(E$3,daily_items,XLOOKUP($C4294,daily_dates,big_daily_table)))</f>
        <v>#N/A</v>
      </c>
    </row>
    <row r="4295" ht="14.25" customHeight="1">
      <c r="B4295" s="7">
        <v>45200.0</v>
      </c>
      <c r="C4295" s="7">
        <f t="shared" si="1"/>
        <v>45200</v>
      </c>
      <c r="D4295" s="1" t="str">
        <f t="array" ref="D4295">IF(ISBLANK(XLOOKUP(D$3,daily_items,XLOOKUP($C4295,daily_dates,big_daily_table))),NA(),XLOOKUP(D$3,daily_items,XLOOKUP($C4295,daily_dates,big_daily_table)))</f>
        <v>#N/A</v>
      </c>
      <c r="E4295" s="1" t="str">
        <f t="array" ref="E4295">IF(ISBLANK(XLOOKUP(E$3,daily_items,XLOOKUP($C4295,daily_dates,big_daily_table))),NA(),XLOOKUP(E$3,daily_items,XLOOKUP($C4295,daily_dates,big_daily_table)))</f>
        <v>#N/A</v>
      </c>
    </row>
    <row r="4296" ht="14.25" customHeight="1">
      <c r="B4296" s="7">
        <v>45201.0</v>
      </c>
      <c r="C4296" s="7">
        <f t="shared" si="1"/>
        <v>45200</v>
      </c>
      <c r="D4296" s="1" t="str">
        <f t="array" ref="D4296">IF(ISBLANK(XLOOKUP(D$3,daily_items,XLOOKUP($C4296,daily_dates,big_daily_table))),NA(),XLOOKUP(D$3,daily_items,XLOOKUP($C4296,daily_dates,big_daily_table)))</f>
        <v>#N/A</v>
      </c>
      <c r="E4296" s="1" t="str">
        <f t="array" ref="E4296">IF(ISBLANK(XLOOKUP(E$3,daily_items,XLOOKUP($C4296,daily_dates,big_daily_table))),NA(),XLOOKUP(E$3,daily_items,XLOOKUP($C4296,daily_dates,big_daily_table)))</f>
        <v>#N/A</v>
      </c>
    </row>
    <row r="4297" ht="14.25" customHeight="1">
      <c r="B4297" s="7">
        <v>45202.0</v>
      </c>
      <c r="C4297" s="7">
        <f t="shared" si="1"/>
        <v>45200</v>
      </c>
      <c r="D4297" s="1" t="str">
        <f t="array" ref="D4297">IF(ISBLANK(XLOOKUP(D$3,daily_items,XLOOKUP($C4297,daily_dates,big_daily_table))),NA(),XLOOKUP(D$3,daily_items,XLOOKUP($C4297,daily_dates,big_daily_table)))</f>
        <v>#N/A</v>
      </c>
      <c r="E4297" s="1" t="str">
        <f t="array" ref="E4297">IF(ISBLANK(XLOOKUP(E$3,daily_items,XLOOKUP($C4297,daily_dates,big_daily_table))),NA(),XLOOKUP(E$3,daily_items,XLOOKUP($C4297,daily_dates,big_daily_table)))</f>
        <v>#N/A</v>
      </c>
    </row>
    <row r="4298" ht="14.25" customHeight="1">
      <c r="B4298" s="7">
        <v>45203.0</v>
      </c>
      <c r="C4298" s="7">
        <f t="shared" si="1"/>
        <v>45200</v>
      </c>
      <c r="D4298" s="1" t="str">
        <f t="array" ref="D4298">IF(ISBLANK(XLOOKUP(D$3,daily_items,XLOOKUP($C4298,daily_dates,big_daily_table))),NA(),XLOOKUP(D$3,daily_items,XLOOKUP($C4298,daily_dates,big_daily_table)))</f>
        <v>#N/A</v>
      </c>
      <c r="E4298" s="1" t="str">
        <f t="array" ref="E4298">IF(ISBLANK(XLOOKUP(E$3,daily_items,XLOOKUP($C4298,daily_dates,big_daily_table))),NA(),XLOOKUP(E$3,daily_items,XLOOKUP($C4298,daily_dates,big_daily_table)))</f>
        <v>#N/A</v>
      </c>
    </row>
    <row r="4299" ht="14.25" customHeight="1">
      <c r="B4299" s="7">
        <v>45204.0</v>
      </c>
      <c r="C4299" s="7">
        <f t="shared" si="1"/>
        <v>45200</v>
      </c>
      <c r="D4299" s="1" t="str">
        <f t="array" ref="D4299">IF(ISBLANK(XLOOKUP(D$3,daily_items,XLOOKUP($C4299,daily_dates,big_daily_table))),NA(),XLOOKUP(D$3,daily_items,XLOOKUP($C4299,daily_dates,big_daily_table)))</f>
        <v>#N/A</v>
      </c>
      <c r="E4299" s="1" t="str">
        <f t="array" ref="E4299">IF(ISBLANK(XLOOKUP(E$3,daily_items,XLOOKUP($C4299,daily_dates,big_daily_table))),NA(),XLOOKUP(E$3,daily_items,XLOOKUP($C4299,daily_dates,big_daily_table)))</f>
        <v>#N/A</v>
      </c>
    </row>
    <row r="4300" ht="14.25" customHeight="1">
      <c r="B4300" s="7">
        <v>45205.0</v>
      </c>
      <c r="C4300" s="7">
        <f t="shared" si="1"/>
        <v>45200</v>
      </c>
      <c r="D4300" s="1" t="str">
        <f t="array" ref="D4300">IF(ISBLANK(XLOOKUP(D$3,daily_items,XLOOKUP($C4300,daily_dates,big_daily_table))),NA(),XLOOKUP(D$3,daily_items,XLOOKUP($C4300,daily_dates,big_daily_table)))</f>
        <v>#N/A</v>
      </c>
      <c r="E4300" s="1" t="str">
        <f t="array" ref="E4300">IF(ISBLANK(XLOOKUP(E$3,daily_items,XLOOKUP($C4300,daily_dates,big_daily_table))),NA(),XLOOKUP(E$3,daily_items,XLOOKUP($C4300,daily_dates,big_daily_table)))</f>
        <v>#N/A</v>
      </c>
    </row>
    <row r="4301" ht="14.25" customHeight="1">
      <c r="B4301" s="7">
        <v>45206.0</v>
      </c>
      <c r="C4301" s="7">
        <f t="shared" si="1"/>
        <v>45200</v>
      </c>
      <c r="D4301" s="1" t="str">
        <f t="array" ref="D4301">IF(ISBLANK(XLOOKUP(D$3,daily_items,XLOOKUP($C4301,daily_dates,big_daily_table))),NA(),XLOOKUP(D$3,daily_items,XLOOKUP($C4301,daily_dates,big_daily_table)))</f>
        <v>#N/A</v>
      </c>
      <c r="E4301" s="1" t="str">
        <f t="array" ref="E4301">IF(ISBLANK(XLOOKUP(E$3,daily_items,XLOOKUP($C4301,daily_dates,big_daily_table))),NA(),XLOOKUP(E$3,daily_items,XLOOKUP($C4301,daily_dates,big_daily_table)))</f>
        <v>#N/A</v>
      </c>
    </row>
    <row r="4302" ht="14.25" customHeight="1">
      <c r="B4302" s="7">
        <v>45207.0</v>
      </c>
      <c r="C4302" s="7">
        <f t="shared" si="1"/>
        <v>45207</v>
      </c>
      <c r="D4302" s="1" t="str">
        <f t="array" ref="D4302">IF(ISBLANK(XLOOKUP(D$3,daily_items,XLOOKUP($C4302,daily_dates,big_daily_table))),NA(),XLOOKUP(D$3,daily_items,XLOOKUP($C4302,daily_dates,big_daily_table)))</f>
        <v>#N/A</v>
      </c>
      <c r="E4302" s="1" t="str">
        <f t="array" ref="E4302">IF(ISBLANK(XLOOKUP(E$3,daily_items,XLOOKUP($C4302,daily_dates,big_daily_table))),NA(),XLOOKUP(E$3,daily_items,XLOOKUP($C4302,daily_dates,big_daily_table)))</f>
        <v>#N/A</v>
      </c>
    </row>
    <row r="4303" ht="14.25" customHeight="1">
      <c r="B4303" s="7">
        <v>45208.0</v>
      </c>
      <c r="C4303" s="7">
        <f t="shared" si="1"/>
        <v>45207</v>
      </c>
      <c r="D4303" s="1" t="str">
        <f t="array" ref="D4303">IF(ISBLANK(XLOOKUP(D$3,daily_items,XLOOKUP($C4303,daily_dates,big_daily_table))),NA(),XLOOKUP(D$3,daily_items,XLOOKUP($C4303,daily_dates,big_daily_table)))</f>
        <v>#N/A</v>
      </c>
      <c r="E4303" s="1" t="str">
        <f t="array" ref="E4303">IF(ISBLANK(XLOOKUP(E$3,daily_items,XLOOKUP($C4303,daily_dates,big_daily_table))),NA(),XLOOKUP(E$3,daily_items,XLOOKUP($C4303,daily_dates,big_daily_table)))</f>
        <v>#N/A</v>
      </c>
    </row>
    <row r="4304" ht="14.25" customHeight="1">
      <c r="B4304" s="7">
        <v>45209.0</v>
      </c>
      <c r="C4304" s="7">
        <f t="shared" si="1"/>
        <v>45207</v>
      </c>
      <c r="D4304" s="1" t="str">
        <f t="array" ref="D4304">IF(ISBLANK(XLOOKUP(D$3,daily_items,XLOOKUP($C4304,daily_dates,big_daily_table))),NA(),XLOOKUP(D$3,daily_items,XLOOKUP($C4304,daily_dates,big_daily_table)))</f>
        <v>#N/A</v>
      </c>
      <c r="E4304" s="1" t="str">
        <f t="array" ref="E4304">IF(ISBLANK(XLOOKUP(E$3,daily_items,XLOOKUP($C4304,daily_dates,big_daily_table))),NA(),XLOOKUP(E$3,daily_items,XLOOKUP($C4304,daily_dates,big_daily_table)))</f>
        <v>#N/A</v>
      </c>
    </row>
    <row r="4305" ht="14.25" customHeight="1">
      <c r="B4305" s="7">
        <v>45210.0</v>
      </c>
      <c r="C4305" s="7">
        <f t="shared" si="1"/>
        <v>45207</v>
      </c>
      <c r="D4305" s="1" t="str">
        <f t="array" ref="D4305">IF(ISBLANK(XLOOKUP(D$3,daily_items,XLOOKUP($C4305,daily_dates,big_daily_table))),NA(),XLOOKUP(D$3,daily_items,XLOOKUP($C4305,daily_dates,big_daily_table)))</f>
        <v>#N/A</v>
      </c>
      <c r="E4305" s="1" t="str">
        <f t="array" ref="E4305">IF(ISBLANK(XLOOKUP(E$3,daily_items,XLOOKUP($C4305,daily_dates,big_daily_table))),NA(),XLOOKUP(E$3,daily_items,XLOOKUP($C4305,daily_dates,big_daily_table)))</f>
        <v>#N/A</v>
      </c>
    </row>
    <row r="4306" ht="14.25" customHeight="1">
      <c r="B4306" s="7">
        <v>45211.0</v>
      </c>
      <c r="C4306" s="7">
        <f t="shared" si="1"/>
        <v>45207</v>
      </c>
      <c r="D4306" s="1" t="str">
        <f t="array" ref="D4306">IF(ISBLANK(XLOOKUP(D$3,daily_items,XLOOKUP($C4306,daily_dates,big_daily_table))),NA(),XLOOKUP(D$3,daily_items,XLOOKUP($C4306,daily_dates,big_daily_table)))</f>
        <v>#N/A</v>
      </c>
      <c r="E4306" s="1" t="str">
        <f t="array" ref="E4306">IF(ISBLANK(XLOOKUP(E$3,daily_items,XLOOKUP($C4306,daily_dates,big_daily_table))),NA(),XLOOKUP(E$3,daily_items,XLOOKUP($C4306,daily_dates,big_daily_table)))</f>
        <v>#N/A</v>
      </c>
    </row>
    <row r="4307" ht="14.25" customHeight="1">
      <c r="B4307" s="7">
        <v>45212.0</v>
      </c>
      <c r="C4307" s="7">
        <f t="shared" si="1"/>
        <v>45207</v>
      </c>
      <c r="D4307" s="1" t="str">
        <f t="array" ref="D4307">IF(ISBLANK(XLOOKUP(D$3,daily_items,XLOOKUP($C4307,daily_dates,big_daily_table))),NA(),XLOOKUP(D$3,daily_items,XLOOKUP($C4307,daily_dates,big_daily_table)))</f>
        <v>#N/A</v>
      </c>
      <c r="E4307" s="1" t="str">
        <f t="array" ref="E4307">IF(ISBLANK(XLOOKUP(E$3,daily_items,XLOOKUP($C4307,daily_dates,big_daily_table))),NA(),XLOOKUP(E$3,daily_items,XLOOKUP($C4307,daily_dates,big_daily_table)))</f>
        <v>#N/A</v>
      </c>
    </row>
    <row r="4308" ht="14.25" customHeight="1">
      <c r="B4308" s="7">
        <v>45213.0</v>
      </c>
      <c r="C4308" s="7">
        <f t="shared" si="1"/>
        <v>45207</v>
      </c>
      <c r="D4308" s="1" t="str">
        <f t="array" ref="D4308">IF(ISBLANK(XLOOKUP(D$3,daily_items,XLOOKUP($C4308,daily_dates,big_daily_table))),NA(),XLOOKUP(D$3,daily_items,XLOOKUP($C4308,daily_dates,big_daily_table)))</f>
        <v>#N/A</v>
      </c>
      <c r="E4308" s="1" t="str">
        <f t="array" ref="E4308">IF(ISBLANK(XLOOKUP(E$3,daily_items,XLOOKUP($C4308,daily_dates,big_daily_table))),NA(),XLOOKUP(E$3,daily_items,XLOOKUP($C4308,daily_dates,big_daily_table)))</f>
        <v>#N/A</v>
      </c>
    </row>
    <row r="4309" ht="14.25" customHeight="1">
      <c r="B4309" s="7">
        <v>45214.0</v>
      </c>
      <c r="C4309" s="7">
        <f t="shared" si="1"/>
        <v>45214</v>
      </c>
      <c r="D4309" s="1" t="str">
        <f t="array" ref="D4309">IF(ISBLANK(XLOOKUP(D$3,daily_items,XLOOKUP($C4309,daily_dates,big_daily_table))),NA(),XLOOKUP(D$3,daily_items,XLOOKUP($C4309,daily_dates,big_daily_table)))</f>
        <v>#N/A</v>
      </c>
      <c r="E4309" s="1" t="str">
        <f t="array" ref="E4309">IF(ISBLANK(XLOOKUP(E$3,daily_items,XLOOKUP($C4309,daily_dates,big_daily_table))),NA(),XLOOKUP(E$3,daily_items,XLOOKUP($C4309,daily_dates,big_daily_table)))</f>
        <v>#N/A</v>
      </c>
    </row>
    <row r="4310" ht="14.25" customHeight="1">
      <c r="B4310" s="7">
        <v>45215.0</v>
      </c>
      <c r="C4310" s="7">
        <f t="shared" si="1"/>
        <v>45214</v>
      </c>
      <c r="D4310" s="1" t="str">
        <f t="array" ref="D4310">IF(ISBLANK(XLOOKUP(D$3,daily_items,XLOOKUP($C4310,daily_dates,big_daily_table))),NA(),XLOOKUP(D$3,daily_items,XLOOKUP($C4310,daily_dates,big_daily_table)))</f>
        <v>#N/A</v>
      </c>
      <c r="E4310" s="1" t="str">
        <f t="array" ref="E4310">IF(ISBLANK(XLOOKUP(E$3,daily_items,XLOOKUP($C4310,daily_dates,big_daily_table))),NA(),XLOOKUP(E$3,daily_items,XLOOKUP($C4310,daily_dates,big_daily_table)))</f>
        <v>#N/A</v>
      </c>
    </row>
    <row r="4311" ht="14.25" customHeight="1">
      <c r="B4311" s="7">
        <v>45216.0</v>
      </c>
      <c r="C4311" s="7">
        <f t="shared" si="1"/>
        <v>45214</v>
      </c>
      <c r="D4311" s="1" t="str">
        <f t="array" ref="D4311">IF(ISBLANK(XLOOKUP(D$3,daily_items,XLOOKUP($C4311,daily_dates,big_daily_table))),NA(),XLOOKUP(D$3,daily_items,XLOOKUP($C4311,daily_dates,big_daily_table)))</f>
        <v>#N/A</v>
      </c>
      <c r="E4311" s="1" t="str">
        <f t="array" ref="E4311">IF(ISBLANK(XLOOKUP(E$3,daily_items,XLOOKUP($C4311,daily_dates,big_daily_table))),NA(),XLOOKUP(E$3,daily_items,XLOOKUP($C4311,daily_dates,big_daily_table)))</f>
        <v>#N/A</v>
      </c>
    </row>
    <row r="4312" ht="14.25" customHeight="1">
      <c r="B4312" s="7">
        <v>45217.0</v>
      </c>
      <c r="C4312" s="7">
        <f t="shared" si="1"/>
        <v>45214</v>
      </c>
      <c r="D4312" s="1" t="str">
        <f t="array" ref="D4312">IF(ISBLANK(XLOOKUP(D$3,daily_items,XLOOKUP($C4312,daily_dates,big_daily_table))),NA(),XLOOKUP(D$3,daily_items,XLOOKUP($C4312,daily_dates,big_daily_table)))</f>
        <v>#N/A</v>
      </c>
      <c r="E4312" s="1" t="str">
        <f t="array" ref="E4312">IF(ISBLANK(XLOOKUP(E$3,daily_items,XLOOKUP($C4312,daily_dates,big_daily_table))),NA(),XLOOKUP(E$3,daily_items,XLOOKUP($C4312,daily_dates,big_daily_table)))</f>
        <v>#N/A</v>
      </c>
    </row>
    <row r="4313" ht="14.25" customHeight="1">
      <c r="B4313" s="7">
        <v>45218.0</v>
      </c>
      <c r="C4313" s="7">
        <f t="shared" si="1"/>
        <v>45214</v>
      </c>
      <c r="D4313" s="1" t="str">
        <f t="array" ref="D4313">IF(ISBLANK(XLOOKUP(D$3,daily_items,XLOOKUP($C4313,daily_dates,big_daily_table))),NA(),XLOOKUP(D$3,daily_items,XLOOKUP($C4313,daily_dates,big_daily_table)))</f>
        <v>#N/A</v>
      </c>
      <c r="E4313" s="1" t="str">
        <f t="array" ref="E4313">IF(ISBLANK(XLOOKUP(E$3,daily_items,XLOOKUP($C4313,daily_dates,big_daily_table))),NA(),XLOOKUP(E$3,daily_items,XLOOKUP($C4313,daily_dates,big_daily_table)))</f>
        <v>#N/A</v>
      </c>
    </row>
    <row r="4314" ht="14.25" customHeight="1">
      <c r="B4314" s="7">
        <v>45219.0</v>
      </c>
      <c r="C4314" s="7">
        <f t="shared" si="1"/>
        <v>45214</v>
      </c>
      <c r="D4314" s="1" t="str">
        <f t="array" ref="D4314">IF(ISBLANK(XLOOKUP(D$3,daily_items,XLOOKUP($C4314,daily_dates,big_daily_table))),NA(),XLOOKUP(D$3,daily_items,XLOOKUP($C4314,daily_dates,big_daily_table)))</f>
        <v>#N/A</v>
      </c>
      <c r="E4314" s="1" t="str">
        <f t="array" ref="E4314">IF(ISBLANK(XLOOKUP(E$3,daily_items,XLOOKUP($C4314,daily_dates,big_daily_table))),NA(),XLOOKUP(E$3,daily_items,XLOOKUP($C4314,daily_dates,big_daily_table)))</f>
        <v>#N/A</v>
      </c>
    </row>
    <row r="4315" ht="14.25" customHeight="1">
      <c r="B4315" s="7">
        <v>45220.0</v>
      </c>
      <c r="C4315" s="7">
        <f t="shared" si="1"/>
        <v>45214</v>
      </c>
      <c r="D4315" s="1" t="str">
        <f t="array" ref="D4315">IF(ISBLANK(XLOOKUP(D$3,daily_items,XLOOKUP($C4315,daily_dates,big_daily_table))),NA(),XLOOKUP(D$3,daily_items,XLOOKUP($C4315,daily_dates,big_daily_table)))</f>
        <v>#N/A</v>
      </c>
      <c r="E4315" s="1" t="str">
        <f t="array" ref="E4315">IF(ISBLANK(XLOOKUP(E$3,daily_items,XLOOKUP($C4315,daily_dates,big_daily_table))),NA(),XLOOKUP(E$3,daily_items,XLOOKUP($C4315,daily_dates,big_daily_table)))</f>
        <v>#N/A</v>
      </c>
    </row>
    <row r="4316" ht="14.25" customHeight="1">
      <c r="B4316" s="7">
        <v>45221.0</v>
      </c>
      <c r="C4316" s="7">
        <f t="shared" si="1"/>
        <v>45221</v>
      </c>
      <c r="D4316" s="1" t="str">
        <f t="array" ref="D4316">IF(ISBLANK(XLOOKUP(D$3,daily_items,XLOOKUP($C4316,daily_dates,big_daily_table))),NA(),XLOOKUP(D$3,daily_items,XLOOKUP($C4316,daily_dates,big_daily_table)))</f>
        <v>#N/A</v>
      </c>
      <c r="E4316" s="1" t="str">
        <f t="array" ref="E4316">IF(ISBLANK(XLOOKUP(E$3,daily_items,XLOOKUP($C4316,daily_dates,big_daily_table))),NA(),XLOOKUP(E$3,daily_items,XLOOKUP($C4316,daily_dates,big_daily_table)))</f>
        <v>#N/A</v>
      </c>
    </row>
    <row r="4317" ht="14.25" customHeight="1">
      <c r="B4317" s="7">
        <v>45222.0</v>
      </c>
      <c r="C4317" s="7">
        <f t="shared" si="1"/>
        <v>45221</v>
      </c>
      <c r="D4317" s="1" t="str">
        <f t="array" ref="D4317">IF(ISBLANK(XLOOKUP(D$3,daily_items,XLOOKUP($C4317,daily_dates,big_daily_table))),NA(),XLOOKUP(D$3,daily_items,XLOOKUP($C4317,daily_dates,big_daily_table)))</f>
        <v>#N/A</v>
      </c>
      <c r="E4317" s="1" t="str">
        <f t="array" ref="E4317">IF(ISBLANK(XLOOKUP(E$3,daily_items,XLOOKUP($C4317,daily_dates,big_daily_table))),NA(),XLOOKUP(E$3,daily_items,XLOOKUP($C4317,daily_dates,big_daily_table)))</f>
        <v>#N/A</v>
      </c>
    </row>
    <row r="4318" ht="14.25" customHeight="1">
      <c r="B4318" s="7">
        <v>45223.0</v>
      </c>
      <c r="C4318" s="7">
        <f t="shared" si="1"/>
        <v>45221</v>
      </c>
      <c r="D4318" s="1" t="str">
        <f t="array" ref="D4318">IF(ISBLANK(XLOOKUP(D$3,daily_items,XLOOKUP($C4318,daily_dates,big_daily_table))),NA(),XLOOKUP(D$3,daily_items,XLOOKUP($C4318,daily_dates,big_daily_table)))</f>
        <v>#N/A</v>
      </c>
      <c r="E4318" s="1" t="str">
        <f t="array" ref="E4318">IF(ISBLANK(XLOOKUP(E$3,daily_items,XLOOKUP($C4318,daily_dates,big_daily_table))),NA(),XLOOKUP(E$3,daily_items,XLOOKUP($C4318,daily_dates,big_daily_table)))</f>
        <v>#N/A</v>
      </c>
    </row>
    <row r="4319" ht="14.25" customHeight="1">
      <c r="B4319" s="7">
        <v>45224.0</v>
      </c>
      <c r="C4319" s="7">
        <f t="shared" si="1"/>
        <v>45221</v>
      </c>
      <c r="D4319" s="1" t="str">
        <f t="array" ref="D4319">IF(ISBLANK(XLOOKUP(D$3,daily_items,XLOOKUP($C4319,daily_dates,big_daily_table))),NA(),XLOOKUP(D$3,daily_items,XLOOKUP($C4319,daily_dates,big_daily_table)))</f>
        <v>#N/A</v>
      </c>
      <c r="E4319" s="1" t="str">
        <f t="array" ref="E4319">IF(ISBLANK(XLOOKUP(E$3,daily_items,XLOOKUP($C4319,daily_dates,big_daily_table))),NA(),XLOOKUP(E$3,daily_items,XLOOKUP($C4319,daily_dates,big_daily_table)))</f>
        <v>#N/A</v>
      </c>
    </row>
    <row r="4320" ht="14.25" customHeight="1">
      <c r="B4320" s="7">
        <v>45225.0</v>
      </c>
      <c r="C4320" s="7">
        <f t="shared" si="1"/>
        <v>45221</v>
      </c>
      <c r="D4320" s="1" t="str">
        <f t="array" ref="D4320">IF(ISBLANK(XLOOKUP(D$3,daily_items,XLOOKUP($C4320,daily_dates,big_daily_table))),NA(),XLOOKUP(D$3,daily_items,XLOOKUP($C4320,daily_dates,big_daily_table)))</f>
        <v>#N/A</v>
      </c>
      <c r="E4320" s="1" t="str">
        <f t="array" ref="E4320">IF(ISBLANK(XLOOKUP(E$3,daily_items,XLOOKUP($C4320,daily_dates,big_daily_table))),NA(),XLOOKUP(E$3,daily_items,XLOOKUP($C4320,daily_dates,big_daily_table)))</f>
        <v>#N/A</v>
      </c>
    </row>
    <row r="4321" ht="14.25" customHeight="1">
      <c r="B4321" s="7">
        <v>45226.0</v>
      </c>
      <c r="C4321" s="7">
        <f t="shared" si="1"/>
        <v>45221</v>
      </c>
      <c r="D4321" s="1" t="str">
        <f t="array" ref="D4321">IF(ISBLANK(XLOOKUP(D$3,daily_items,XLOOKUP($C4321,daily_dates,big_daily_table))),NA(),XLOOKUP(D$3,daily_items,XLOOKUP($C4321,daily_dates,big_daily_table)))</f>
        <v>#N/A</v>
      </c>
      <c r="E4321" s="1" t="str">
        <f t="array" ref="E4321">IF(ISBLANK(XLOOKUP(E$3,daily_items,XLOOKUP($C4321,daily_dates,big_daily_table))),NA(),XLOOKUP(E$3,daily_items,XLOOKUP($C4321,daily_dates,big_daily_table)))</f>
        <v>#N/A</v>
      </c>
    </row>
    <row r="4322" ht="14.25" customHeight="1">
      <c r="B4322" s="7">
        <v>45227.0</v>
      </c>
      <c r="C4322" s="7">
        <f t="shared" si="1"/>
        <v>45221</v>
      </c>
      <c r="D4322" s="1" t="str">
        <f t="array" ref="D4322">IF(ISBLANK(XLOOKUP(D$3,daily_items,XLOOKUP($C4322,daily_dates,big_daily_table))),NA(),XLOOKUP(D$3,daily_items,XLOOKUP($C4322,daily_dates,big_daily_table)))</f>
        <v>#N/A</v>
      </c>
      <c r="E4322" s="1" t="str">
        <f t="array" ref="E4322">IF(ISBLANK(XLOOKUP(E$3,daily_items,XLOOKUP($C4322,daily_dates,big_daily_table))),NA(),XLOOKUP(E$3,daily_items,XLOOKUP($C4322,daily_dates,big_daily_table)))</f>
        <v>#N/A</v>
      </c>
    </row>
    <row r="4323" ht="14.25" customHeight="1">
      <c r="B4323" s="7">
        <v>45228.0</v>
      </c>
      <c r="C4323" s="7">
        <f t="shared" si="1"/>
        <v>45228</v>
      </c>
      <c r="D4323" s="1" t="str">
        <f t="array" ref="D4323">IF(ISBLANK(XLOOKUP(D$3,daily_items,XLOOKUP($C4323,daily_dates,big_daily_table))),NA(),XLOOKUP(D$3,daily_items,XLOOKUP($C4323,daily_dates,big_daily_table)))</f>
        <v>#N/A</v>
      </c>
      <c r="E4323" s="1" t="str">
        <f t="array" ref="E4323">IF(ISBLANK(XLOOKUP(E$3,daily_items,XLOOKUP($C4323,daily_dates,big_daily_table))),NA(),XLOOKUP(E$3,daily_items,XLOOKUP($C4323,daily_dates,big_daily_table)))</f>
        <v>#N/A</v>
      </c>
    </row>
    <row r="4324" ht="14.25" customHeight="1">
      <c r="B4324" s="7">
        <v>45229.0</v>
      </c>
      <c r="C4324" s="7">
        <f t="shared" si="1"/>
        <v>45228</v>
      </c>
      <c r="D4324" s="1" t="str">
        <f t="array" ref="D4324">IF(ISBLANK(XLOOKUP(D$3,daily_items,XLOOKUP($C4324,daily_dates,big_daily_table))),NA(),XLOOKUP(D$3,daily_items,XLOOKUP($C4324,daily_dates,big_daily_table)))</f>
        <v>#N/A</v>
      </c>
      <c r="E4324" s="1" t="str">
        <f t="array" ref="E4324">IF(ISBLANK(XLOOKUP(E$3,daily_items,XLOOKUP($C4324,daily_dates,big_daily_table))),NA(),XLOOKUP(E$3,daily_items,XLOOKUP($C4324,daily_dates,big_daily_table)))</f>
        <v>#N/A</v>
      </c>
    </row>
    <row r="4325" ht="14.25" customHeight="1">
      <c r="B4325" s="7">
        <v>45230.0</v>
      </c>
      <c r="C4325" s="7">
        <f t="shared" si="1"/>
        <v>45228</v>
      </c>
      <c r="D4325" s="1" t="str">
        <f t="array" ref="D4325">IF(ISBLANK(XLOOKUP(D$3,daily_items,XLOOKUP($C4325,daily_dates,big_daily_table))),NA(),XLOOKUP(D$3,daily_items,XLOOKUP($C4325,daily_dates,big_daily_table)))</f>
        <v>#N/A</v>
      </c>
      <c r="E4325" s="1" t="str">
        <f t="array" ref="E4325">IF(ISBLANK(XLOOKUP(E$3,daily_items,XLOOKUP($C4325,daily_dates,big_daily_table))),NA(),XLOOKUP(E$3,daily_items,XLOOKUP($C4325,daily_dates,big_daily_table)))</f>
        <v>#N/A</v>
      </c>
    </row>
    <row r="4326" ht="14.25" customHeight="1">
      <c r="B4326" s="7">
        <v>45231.0</v>
      </c>
      <c r="C4326" s="7">
        <f t="shared" si="1"/>
        <v>45228</v>
      </c>
      <c r="D4326" s="1" t="str">
        <f t="array" ref="D4326">IF(ISBLANK(XLOOKUP(D$3,daily_items,XLOOKUP($C4326,daily_dates,big_daily_table))),NA(),XLOOKUP(D$3,daily_items,XLOOKUP($C4326,daily_dates,big_daily_table)))</f>
        <v>#N/A</v>
      </c>
      <c r="E4326" s="1" t="str">
        <f t="array" ref="E4326">IF(ISBLANK(XLOOKUP(E$3,daily_items,XLOOKUP($C4326,daily_dates,big_daily_table))),NA(),XLOOKUP(E$3,daily_items,XLOOKUP($C4326,daily_dates,big_daily_table)))</f>
        <v>#N/A</v>
      </c>
    </row>
    <row r="4327" ht="14.25" customHeight="1">
      <c r="B4327" s="7">
        <v>45232.0</v>
      </c>
      <c r="C4327" s="7">
        <f t="shared" si="1"/>
        <v>45228</v>
      </c>
      <c r="D4327" s="1" t="str">
        <f t="array" ref="D4327">IF(ISBLANK(XLOOKUP(D$3,daily_items,XLOOKUP($C4327,daily_dates,big_daily_table))),NA(),XLOOKUP(D$3,daily_items,XLOOKUP($C4327,daily_dates,big_daily_table)))</f>
        <v>#N/A</v>
      </c>
      <c r="E4327" s="1" t="str">
        <f t="array" ref="E4327">IF(ISBLANK(XLOOKUP(E$3,daily_items,XLOOKUP($C4327,daily_dates,big_daily_table))),NA(),XLOOKUP(E$3,daily_items,XLOOKUP($C4327,daily_dates,big_daily_table)))</f>
        <v>#N/A</v>
      </c>
    </row>
    <row r="4328" ht="14.25" customHeight="1">
      <c r="B4328" s="7">
        <v>45233.0</v>
      </c>
      <c r="C4328" s="7">
        <f t="shared" si="1"/>
        <v>45228</v>
      </c>
      <c r="D4328" s="1" t="str">
        <f t="array" ref="D4328">IF(ISBLANK(XLOOKUP(D$3,daily_items,XLOOKUP($C4328,daily_dates,big_daily_table))),NA(),XLOOKUP(D$3,daily_items,XLOOKUP($C4328,daily_dates,big_daily_table)))</f>
        <v>#N/A</v>
      </c>
      <c r="E4328" s="1" t="str">
        <f t="array" ref="E4328">IF(ISBLANK(XLOOKUP(E$3,daily_items,XLOOKUP($C4328,daily_dates,big_daily_table))),NA(),XLOOKUP(E$3,daily_items,XLOOKUP($C4328,daily_dates,big_daily_table)))</f>
        <v>#N/A</v>
      </c>
    </row>
    <row r="4329" ht="14.25" customHeight="1">
      <c r="B4329" s="7">
        <v>45234.0</v>
      </c>
      <c r="C4329" s="7">
        <f t="shared" si="1"/>
        <v>45228</v>
      </c>
      <c r="D4329" s="1" t="str">
        <f t="array" ref="D4329">IF(ISBLANK(XLOOKUP(D$3,daily_items,XLOOKUP($C4329,daily_dates,big_daily_table))),NA(),XLOOKUP(D$3,daily_items,XLOOKUP($C4329,daily_dates,big_daily_table)))</f>
        <v>#N/A</v>
      </c>
      <c r="E4329" s="1" t="str">
        <f t="array" ref="E4329">IF(ISBLANK(XLOOKUP(E$3,daily_items,XLOOKUP($C4329,daily_dates,big_daily_table))),NA(),XLOOKUP(E$3,daily_items,XLOOKUP($C4329,daily_dates,big_daily_table)))</f>
        <v>#N/A</v>
      </c>
    </row>
    <row r="4330" ht="14.25" customHeight="1">
      <c r="B4330" s="7">
        <v>45235.0</v>
      </c>
      <c r="C4330" s="7">
        <f t="shared" si="1"/>
        <v>45235</v>
      </c>
      <c r="D4330" s="1" t="str">
        <f t="array" ref="D4330">IF(ISBLANK(XLOOKUP(D$3,daily_items,XLOOKUP($C4330,daily_dates,big_daily_table))),NA(),XLOOKUP(D$3,daily_items,XLOOKUP($C4330,daily_dates,big_daily_table)))</f>
        <v>#N/A</v>
      </c>
      <c r="E4330" s="1" t="str">
        <f t="array" ref="E4330">IF(ISBLANK(XLOOKUP(E$3,daily_items,XLOOKUP($C4330,daily_dates,big_daily_table))),NA(),XLOOKUP(E$3,daily_items,XLOOKUP($C4330,daily_dates,big_daily_table)))</f>
        <v>#N/A</v>
      </c>
    </row>
    <row r="4331" ht="14.25" customHeight="1">
      <c r="B4331" s="7">
        <v>45236.0</v>
      </c>
      <c r="C4331" s="7">
        <f t="shared" si="1"/>
        <v>45235</v>
      </c>
      <c r="D4331" s="1" t="str">
        <f t="array" ref="D4331">IF(ISBLANK(XLOOKUP(D$3,daily_items,XLOOKUP($C4331,daily_dates,big_daily_table))),NA(),XLOOKUP(D$3,daily_items,XLOOKUP($C4331,daily_dates,big_daily_table)))</f>
        <v>#N/A</v>
      </c>
      <c r="E4331" s="1" t="str">
        <f t="array" ref="E4331">IF(ISBLANK(XLOOKUP(E$3,daily_items,XLOOKUP($C4331,daily_dates,big_daily_table))),NA(),XLOOKUP(E$3,daily_items,XLOOKUP($C4331,daily_dates,big_daily_table)))</f>
        <v>#N/A</v>
      </c>
    </row>
    <row r="4332" ht="14.25" customHeight="1">
      <c r="B4332" s="7">
        <v>45237.0</v>
      </c>
      <c r="C4332" s="7">
        <f t="shared" si="1"/>
        <v>45235</v>
      </c>
      <c r="D4332" s="1" t="str">
        <f t="array" ref="D4332">IF(ISBLANK(XLOOKUP(D$3,daily_items,XLOOKUP($C4332,daily_dates,big_daily_table))),NA(),XLOOKUP(D$3,daily_items,XLOOKUP($C4332,daily_dates,big_daily_table)))</f>
        <v>#N/A</v>
      </c>
      <c r="E4332" s="1" t="str">
        <f t="array" ref="E4332">IF(ISBLANK(XLOOKUP(E$3,daily_items,XLOOKUP($C4332,daily_dates,big_daily_table))),NA(),XLOOKUP(E$3,daily_items,XLOOKUP($C4332,daily_dates,big_daily_table)))</f>
        <v>#N/A</v>
      </c>
    </row>
    <row r="4333" ht="14.25" customHeight="1">
      <c r="B4333" s="7">
        <v>45238.0</v>
      </c>
      <c r="C4333" s="7">
        <f t="shared" si="1"/>
        <v>45235</v>
      </c>
      <c r="D4333" s="1" t="str">
        <f t="array" ref="D4333">IF(ISBLANK(XLOOKUP(D$3,daily_items,XLOOKUP($C4333,daily_dates,big_daily_table))),NA(),XLOOKUP(D$3,daily_items,XLOOKUP($C4333,daily_dates,big_daily_table)))</f>
        <v>#N/A</v>
      </c>
      <c r="E4333" s="1" t="str">
        <f t="array" ref="E4333">IF(ISBLANK(XLOOKUP(E$3,daily_items,XLOOKUP($C4333,daily_dates,big_daily_table))),NA(),XLOOKUP(E$3,daily_items,XLOOKUP($C4333,daily_dates,big_daily_table)))</f>
        <v>#N/A</v>
      </c>
    </row>
    <row r="4334" ht="14.25" customHeight="1">
      <c r="B4334" s="7">
        <v>45239.0</v>
      </c>
      <c r="C4334" s="7">
        <f t="shared" si="1"/>
        <v>45235</v>
      </c>
      <c r="D4334" s="1" t="str">
        <f t="array" ref="D4334">IF(ISBLANK(XLOOKUP(D$3,daily_items,XLOOKUP($C4334,daily_dates,big_daily_table))),NA(),XLOOKUP(D$3,daily_items,XLOOKUP($C4334,daily_dates,big_daily_table)))</f>
        <v>#N/A</v>
      </c>
      <c r="E4334" s="1" t="str">
        <f t="array" ref="E4334">IF(ISBLANK(XLOOKUP(E$3,daily_items,XLOOKUP($C4334,daily_dates,big_daily_table))),NA(),XLOOKUP(E$3,daily_items,XLOOKUP($C4334,daily_dates,big_daily_table)))</f>
        <v>#N/A</v>
      </c>
    </row>
    <row r="4335" ht="14.25" customHeight="1">
      <c r="B4335" s="7">
        <v>45240.0</v>
      </c>
      <c r="C4335" s="7">
        <f t="shared" si="1"/>
        <v>45235</v>
      </c>
      <c r="D4335" s="1" t="str">
        <f t="array" ref="D4335">IF(ISBLANK(XLOOKUP(D$3,daily_items,XLOOKUP($C4335,daily_dates,big_daily_table))),NA(),XLOOKUP(D$3,daily_items,XLOOKUP($C4335,daily_dates,big_daily_table)))</f>
        <v>#N/A</v>
      </c>
      <c r="E4335" s="1" t="str">
        <f t="array" ref="E4335">IF(ISBLANK(XLOOKUP(E$3,daily_items,XLOOKUP($C4335,daily_dates,big_daily_table))),NA(),XLOOKUP(E$3,daily_items,XLOOKUP($C4335,daily_dates,big_daily_table)))</f>
        <v>#N/A</v>
      </c>
    </row>
    <row r="4336" ht="14.25" customHeight="1">
      <c r="B4336" s="7">
        <v>45241.0</v>
      </c>
      <c r="C4336" s="7">
        <f t="shared" si="1"/>
        <v>45235</v>
      </c>
      <c r="D4336" s="1" t="str">
        <f t="array" ref="D4336">IF(ISBLANK(XLOOKUP(D$3,daily_items,XLOOKUP($C4336,daily_dates,big_daily_table))),NA(),XLOOKUP(D$3,daily_items,XLOOKUP($C4336,daily_dates,big_daily_table)))</f>
        <v>#N/A</v>
      </c>
      <c r="E4336" s="1" t="str">
        <f t="array" ref="E4336">IF(ISBLANK(XLOOKUP(E$3,daily_items,XLOOKUP($C4336,daily_dates,big_daily_table))),NA(),XLOOKUP(E$3,daily_items,XLOOKUP($C4336,daily_dates,big_daily_table)))</f>
        <v>#N/A</v>
      </c>
    </row>
    <row r="4337" ht="14.25" customHeight="1">
      <c r="B4337" s="7">
        <v>45242.0</v>
      </c>
      <c r="C4337" s="7">
        <f t="shared" si="1"/>
        <v>45242</v>
      </c>
      <c r="D4337" s="1" t="str">
        <f t="array" ref="D4337">IF(ISBLANK(XLOOKUP(D$3,daily_items,XLOOKUP($C4337,daily_dates,big_daily_table))),NA(),XLOOKUP(D$3,daily_items,XLOOKUP($C4337,daily_dates,big_daily_table)))</f>
        <v>#N/A</v>
      </c>
      <c r="E4337" s="1" t="str">
        <f t="array" ref="E4337">IF(ISBLANK(XLOOKUP(E$3,daily_items,XLOOKUP($C4337,daily_dates,big_daily_table))),NA(),XLOOKUP(E$3,daily_items,XLOOKUP($C4337,daily_dates,big_daily_table)))</f>
        <v>#N/A</v>
      </c>
    </row>
    <row r="4338" ht="14.25" customHeight="1">
      <c r="B4338" s="7">
        <v>45243.0</v>
      </c>
      <c r="C4338" s="7">
        <f t="shared" si="1"/>
        <v>45242</v>
      </c>
      <c r="D4338" s="1" t="str">
        <f t="array" ref="D4338">IF(ISBLANK(XLOOKUP(D$3,daily_items,XLOOKUP($C4338,daily_dates,big_daily_table))),NA(),XLOOKUP(D$3,daily_items,XLOOKUP($C4338,daily_dates,big_daily_table)))</f>
        <v>#N/A</v>
      </c>
      <c r="E4338" s="1" t="str">
        <f t="array" ref="E4338">IF(ISBLANK(XLOOKUP(E$3,daily_items,XLOOKUP($C4338,daily_dates,big_daily_table))),NA(),XLOOKUP(E$3,daily_items,XLOOKUP($C4338,daily_dates,big_daily_table)))</f>
        <v>#N/A</v>
      </c>
    </row>
    <row r="4339" ht="14.25" customHeight="1">
      <c r="B4339" s="7">
        <v>45244.0</v>
      </c>
      <c r="C4339" s="7">
        <f t="shared" si="1"/>
        <v>45242</v>
      </c>
      <c r="D4339" s="1" t="str">
        <f t="array" ref="D4339">IF(ISBLANK(XLOOKUP(D$3,daily_items,XLOOKUP($C4339,daily_dates,big_daily_table))),NA(),XLOOKUP(D$3,daily_items,XLOOKUP($C4339,daily_dates,big_daily_table)))</f>
        <v>#N/A</v>
      </c>
      <c r="E4339" s="1" t="str">
        <f t="array" ref="E4339">IF(ISBLANK(XLOOKUP(E$3,daily_items,XLOOKUP($C4339,daily_dates,big_daily_table))),NA(),XLOOKUP(E$3,daily_items,XLOOKUP($C4339,daily_dates,big_daily_table)))</f>
        <v>#N/A</v>
      </c>
    </row>
    <row r="4340" ht="14.25" customHeight="1">
      <c r="B4340" s="7">
        <v>45245.0</v>
      </c>
      <c r="C4340" s="7">
        <f t="shared" si="1"/>
        <v>45242</v>
      </c>
      <c r="D4340" s="1" t="str">
        <f t="array" ref="D4340">IF(ISBLANK(XLOOKUP(D$3,daily_items,XLOOKUP($C4340,daily_dates,big_daily_table))),NA(),XLOOKUP(D$3,daily_items,XLOOKUP($C4340,daily_dates,big_daily_table)))</f>
        <v>#N/A</v>
      </c>
      <c r="E4340" s="1" t="str">
        <f t="array" ref="E4340">IF(ISBLANK(XLOOKUP(E$3,daily_items,XLOOKUP($C4340,daily_dates,big_daily_table))),NA(),XLOOKUP(E$3,daily_items,XLOOKUP($C4340,daily_dates,big_daily_table)))</f>
        <v>#N/A</v>
      </c>
    </row>
    <row r="4341" ht="14.25" customHeight="1">
      <c r="B4341" s="7">
        <v>45246.0</v>
      </c>
      <c r="C4341" s="7">
        <f t="shared" si="1"/>
        <v>45242</v>
      </c>
      <c r="D4341" s="1" t="str">
        <f t="array" ref="D4341">IF(ISBLANK(XLOOKUP(D$3,daily_items,XLOOKUP($C4341,daily_dates,big_daily_table))),NA(),XLOOKUP(D$3,daily_items,XLOOKUP($C4341,daily_dates,big_daily_table)))</f>
        <v>#N/A</v>
      </c>
      <c r="E4341" s="1" t="str">
        <f t="array" ref="E4341">IF(ISBLANK(XLOOKUP(E$3,daily_items,XLOOKUP($C4341,daily_dates,big_daily_table))),NA(),XLOOKUP(E$3,daily_items,XLOOKUP($C4341,daily_dates,big_daily_table)))</f>
        <v>#N/A</v>
      </c>
    </row>
    <row r="4342" ht="14.25" customHeight="1">
      <c r="B4342" s="7">
        <v>45247.0</v>
      </c>
      <c r="C4342" s="7">
        <f t="shared" si="1"/>
        <v>45242</v>
      </c>
      <c r="D4342" s="1" t="str">
        <f t="array" ref="D4342">IF(ISBLANK(XLOOKUP(D$3,daily_items,XLOOKUP($C4342,daily_dates,big_daily_table))),NA(),XLOOKUP(D$3,daily_items,XLOOKUP($C4342,daily_dates,big_daily_table)))</f>
        <v>#N/A</v>
      </c>
      <c r="E4342" s="1" t="str">
        <f t="array" ref="E4342">IF(ISBLANK(XLOOKUP(E$3,daily_items,XLOOKUP($C4342,daily_dates,big_daily_table))),NA(),XLOOKUP(E$3,daily_items,XLOOKUP($C4342,daily_dates,big_daily_table)))</f>
        <v>#N/A</v>
      </c>
    </row>
    <row r="4343" ht="14.25" customHeight="1">
      <c r="B4343" s="7">
        <v>45248.0</v>
      </c>
      <c r="C4343" s="7">
        <f t="shared" si="1"/>
        <v>45242</v>
      </c>
      <c r="D4343" s="1" t="str">
        <f t="array" ref="D4343">IF(ISBLANK(XLOOKUP(D$3,daily_items,XLOOKUP($C4343,daily_dates,big_daily_table))),NA(),XLOOKUP(D$3,daily_items,XLOOKUP($C4343,daily_dates,big_daily_table)))</f>
        <v>#N/A</v>
      </c>
      <c r="E4343" s="1" t="str">
        <f t="array" ref="E4343">IF(ISBLANK(XLOOKUP(E$3,daily_items,XLOOKUP($C4343,daily_dates,big_daily_table))),NA(),XLOOKUP(E$3,daily_items,XLOOKUP($C4343,daily_dates,big_daily_table)))</f>
        <v>#N/A</v>
      </c>
    </row>
    <row r="4344" ht="14.25" customHeight="1">
      <c r="B4344" s="7">
        <v>45249.0</v>
      </c>
      <c r="C4344" s="7">
        <f t="shared" si="1"/>
        <v>45249</v>
      </c>
      <c r="D4344" s="1" t="str">
        <f t="array" ref="D4344">IF(ISBLANK(XLOOKUP(D$3,daily_items,XLOOKUP($C4344,daily_dates,big_daily_table))),NA(),XLOOKUP(D$3,daily_items,XLOOKUP($C4344,daily_dates,big_daily_table)))</f>
        <v>#N/A</v>
      </c>
      <c r="E4344" s="1" t="str">
        <f t="array" ref="E4344">IF(ISBLANK(XLOOKUP(E$3,daily_items,XLOOKUP($C4344,daily_dates,big_daily_table))),NA(),XLOOKUP(E$3,daily_items,XLOOKUP($C4344,daily_dates,big_daily_table)))</f>
        <v>#N/A</v>
      </c>
    </row>
    <row r="4345" ht="14.25" customHeight="1">
      <c r="B4345" s="7">
        <v>45250.0</v>
      </c>
      <c r="C4345" s="7">
        <f t="shared" si="1"/>
        <v>45249</v>
      </c>
      <c r="D4345" s="1" t="str">
        <f t="array" ref="D4345">IF(ISBLANK(XLOOKUP(D$3,daily_items,XLOOKUP($C4345,daily_dates,big_daily_table))),NA(),XLOOKUP(D$3,daily_items,XLOOKUP($C4345,daily_dates,big_daily_table)))</f>
        <v>#N/A</v>
      </c>
      <c r="E4345" s="1" t="str">
        <f t="array" ref="E4345">IF(ISBLANK(XLOOKUP(E$3,daily_items,XLOOKUP($C4345,daily_dates,big_daily_table))),NA(),XLOOKUP(E$3,daily_items,XLOOKUP($C4345,daily_dates,big_daily_table)))</f>
        <v>#N/A</v>
      </c>
    </row>
    <row r="4346" ht="14.25" customHeight="1">
      <c r="B4346" s="7">
        <v>45251.0</v>
      </c>
      <c r="C4346" s="7">
        <f t="shared" si="1"/>
        <v>45249</v>
      </c>
      <c r="D4346" s="1" t="str">
        <f t="array" ref="D4346">IF(ISBLANK(XLOOKUP(D$3,daily_items,XLOOKUP($C4346,daily_dates,big_daily_table))),NA(),XLOOKUP(D$3,daily_items,XLOOKUP($C4346,daily_dates,big_daily_table)))</f>
        <v>#N/A</v>
      </c>
      <c r="E4346" s="1" t="str">
        <f t="array" ref="E4346">IF(ISBLANK(XLOOKUP(E$3,daily_items,XLOOKUP($C4346,daily_dates,big_daily_table))),NA(),XLOOKUP(E$3,daily_items,XLOOKUP($C4346,daily_dates,big_daily_table)))</f>
        <v>#N/A</v>
      </c>
    </row>
    <row r="4347" ht="14.25" customHeight="1">
      <c r="B4347" s="7">
        <v>45252.0</v>
      </c>
      <c r="C4347" s="7">
        <f t="shared" si="1"/>
        <v>45249</v>
      </c>
      <c r="D4347" s="1" t="str">
        <f t="array" ref="D4347">IF(ISBLANK(XLOOKUP(D$3,daily_items,XLOOKUP($C4347,daily_dates,big_daily_table))),NA(),XLOOKUP(D$3,daily_items,XLOOKUP($C4347,daily_dates,big_daily_table)))</f>
        <v>#N/A</v>
      </c>
      <c r="E4347" s="1" t="str">
        <f t="array" ref="E4347">IF(ISBLANK(XLOOKUP(E$3,daily_items,XLOOKUP($C4347,daily_dates,big_daily_table))),NA(),XLOOKUP(E$3,daily_items,XLOOKUP($C4347,daily_dates,big_daily_table)))</f>
        <v>#N/A</v>
      </c>
    </row>
    <row r="4348" ht="14.25" customHeight="1">
      <c r="B4348" s="7">
        <v>45253.0</v>
      </c>
      <c r="C4348" s="7">
        <f t="shared" si="1"/>
        <v>45249</v>
      </c>
      <c r="D4348" s="1" t="str">
        <f t="array" ref="D4348">IF(ISBLANK(XLOOKUP(D$3,daily_items,XLOOKUP($C4348,daily_dates,big_daily_table))),NA(),XLOOKUP(D$3,daily_items,XLOOKUP($C4348,daily_dates,big_daily_table)))</f>
        <v>#N/A</v>
      </c>
      <c r="E4348" s="1" t="str">
        <f t="array" ref="E4348">IF(ISBLANK(XLOOKUP(E$3,daily_items,XLOOKUP($C4348,daily_dates,big_daily_table))),NA(),XLOOKUP(E$3,daily_items,XLOOKUP($C4348,daily_dates,big_daily_table)))</f>
        <v>#N/A</v>
      </c>
    </row>
    <row r="4349" ht="14.25" customHeight="1">
      <c r="B4349" s="7">
        <v>45254.0</v>
      </c>
      <c r="C4349" s="7">
        <f t="shared" si="1"/>
        <v>45249</v>
      </c>
      <c r="D4349" s="1" t="str">
        <f t="array" ref="D4349">IF(ISBLANK(XLOOKUP(D$3,daily_items,XLOOKUP($C4349,daily_dates,big_daily_table))),NA(),XLOOKUP(D$3,daily_items,XLOOKUP($C4349,daily_dates,big_daily_table)))</f>
        <v>#N/A</v>
      </c>
      <c r="E4349" s="1" t="str">
        <f t="array" ref="E4349">IF(ISBLANK(XLOOKUP(E$3,daily_items,XLOOKUP($C4349,daily_dates,big_daily_table))),NA(),XLOOKUP(E$3,daily_items,XLOOKUP($C4349,daily_dates,big_daily_table)))</f>
        <v>#N/A</v>
      </c>
    </row>
    <row r="4350" ht="14.25" customHeight="1">
      <c r="B4350" s="7">
        <v>45255.0</v>
      </c>
      <c r="C4350" s="7">
        <f t="shared" si="1"/>
        <v>45249</v>
      </c>
      <c r="D4350" s="1" t="str">
        <f t="array" ref="D4350">IF(ISBLANK(XLOOKUP(D$3,daily_items,XLOOKUP($C4350,daily_dates,big_daily_table))),NA(),XLOOKUP(D$3,daily_items,XLOOKUP($C4350,daily_dates,big_daily_table)))</f>
        <v>#N/A</v>
      </c>
      <c r="E4350" s="1" t="str">
        <f t="array" ref="E4350">IF(ISBLANK(XLOOKUP(E$3,daily_items,XLOOKUP($C4350,daily_dates,big_daily_table))),NA(),XLOOKUP(E$3,daily_items,XLOOKUP($C4350,daily_dates,big_daily_table)))</f>
        <v>#N/A</v>
      </c>
    </row>
    <row r="4351" ht="14.25" customHeight="1">
      <c r="B4351" s="7">
        <v>45256.0</v>
      </c>
      <c r="C4351" s="7">
        <f t="shared" si="1"/>
        <v>45256</v>
      </c>
      <c r="D4351" s="1" t="str">
        <f t="array" ref="D4351">IF(ISBLANK(XLOOKUP(D$3,daily_items,XLOOKUP($C4351,daily_dates,big_daily_table))),NA(),XLOOKUP(D$3,daily_items,XLOOKUP($C4351,daily_dates,big_daily_table)))</f>
        <v>#N/A</v>
      </c>
      <c r="E4351" s="1" t="str">
        <f t="array" ref="E4351">IF(ISBLANK(XLOOKUP(E$3,daily_items,XLOOKUP($C4351,daily_dates,big_daily_table))),NA(),XLOOKUP(E$3,daily_items,XLOOKUP($C4351,daily_dates,big_daily_table)))</f>
        <v>#N/A</v>
      </c>
    </row>
    <row r="4352" ht="14.25" customHeight="1">
      <c r="B4352" s="7">
        <v>45257.0</v>
      </c>
      <c r="C4352" s="7">
        <f t="shared" si="1"/>
        <v>45256</v>
      </c>
      <c r="D4352" s="1" t="str">
        <f t="array" ref="D4352">IF(ISBLANK(XLOOKUP(D$3,daily_items,XLOOKUP($C4352,daily_dates,big_daily_table))),NA(),XLOOKUP(D$3,daily_items,XLOOKUP($C4352,daily_dates,big_daily_table)))</f>
        <v>#N/A</v>
      </c>
      <c r="E4352" s="1" t="str">
        <f t="array" ref="E4352">IF(ISBLANK(XLOOKUP(E$3,daily_items,XLOOKUP($C4352,daily_dates,big_daily_table))),NA(),XLOOKUP(E$3,daily_items,XLOOKUP($C4352,daily_dates,big_daily_table)))</f>
        <v>#N/A</v>
      </c>
    </row>
    <row r="4353" ht="14.25" customHeight="1">
      <c r="B4353" s="7">
        <v>45258.0</v>
      </c>
      <c r="C4353" s="7">
        <f t="shared" si="1"/>
        <v>45256</v>
      </c>
      <c r="D4353" s="1" t="str">
        <f t="array" ref="D4353">IF(ISBLANK(XLOOKUP(D$3,daily_items,XLOOKUP($C4353,daily_dates,big_daily_table))),NA(),XLOOKUP(D$3,daily_items,XLOOKUP($C4353,daily_dates,big_daily_table)))</f>
        <v>#N/A</v>
      </c>
      <c r="E4353" s="1" t="str">
        <f t="array" ref="E4353">IF(ISBLANK(XLOOKUP(E$3,daily_items,XLOOKUP($C4353,daily_dates,big_daily_table))),NA(),XLOOKUP(E$3,daily_items,XLOOKUP($C4353,daily_dates,big_daily_table)))</f>
        <v>#N/A</v>
      </c>
    </row>
    <row r="4354" ht="14.25" customHeight="1">
      <c r="B4354" s="7">
        <v>45259.0</v>
      </c>
      <c r="C4354" s="7">
        <f t="shared" si="1"/>
        <v>45256</v>
      </c>
      <c r="D4354" s="1" t="str">
        <f t="array" ref="D4354">IF(ISBLANK(XLOOKUP(D$3,daily_items,XLOOKUP($C4354,daily_dates,big_daily_table))),NA(),XLOOKUP(D$3,daily_items,XLOOKUP($C4354,daily_dates,big_daily_table)))</f>
        <v>#N/A</v>
      </c>
      <c r="E4354" s="1" t="str">
        <f t="array" ref="E4354">IF(ISBLANK(XLOOKUP(E$3,daily_items,XLOOKUP($C4354,daily_dates,big_daily_table))),NA(),XLOOKUP(E$3,daily_items,XLOOKUP($C4354,daily_dates,big_daily_table)))</f>
        <v>#N/A</v>
      </c>
    </row>
    <row r="4355" ht="14.25" customHeight="1">
      <c r="B4355" s="7">
        <v>45260.0</v>
      </c>
      <c r="C4355" s="7">
        <f t="shared" si="1"/>
        <v>45256</v>
      </c>
      <c r="D4355" s="1" t="str">
        <f t="array" ref="D4355">IF(ISBLANK(XLOOKUP(D$3,daily_items,XLOOKUP($C4355,daily_dates,big_daily_table))),NA(),XLOOKUP(D$3,daily_items,XLOOKUP($C4355,daily_dates,big_daily_table)))</f>
        <v>#N/A</v>
      </c>
      <c r="E4355" s="1" t="str">
        <f t="array" ref="E4355">IF(ISBLANK(XLOOKUP(E$3,daily_items,XLOOKUP($C4355,daily_dates,big_daily_table))),NA(),XLOOKUP(E$3,daily_items,XLOOKUP($C4355,daily_dates,big_daily_table)))</f>
        <v>#N/A</v>
      </c>
    </row>
    <row r="4356" ht="14.25" customHeight="1">
      <c r="B4356" s="7">
        <v>45261.0</v>
      </c>
      <c r="C4356" s="7">
        <f t="shared" si="1"/>
        <v>45256</v>
      </c>
      <c r="D4356" s="1" t="str">
        <f t="array" ref="D4356">IF(ISBLANK(XLOOKUP(D$3,daily_items,XLOOKUP($C4356,daily_dates,big_daily_table))),NA(),XLOOKUP(D$3,daily_items,XLOOKUP($C4356,daily_dates,big_daily_table)))</f>
        <v>#N/A</v>
      </c>
      <c r="E4356" s="1" t="str">
        <f t="array" ref="E4356">IF(ISBLANK(XLOOKUP(E$3,daily_items,XLOOKUP($C4356,daily_dates,big_daily_table))),NA(),XLOOKUP(E$3,daily_items,XLOOKUP($C4356,daily_dates,big_daily_table)))</f>
        <v>#N/A</v>
      </c>
    </row>
    <row r="4357" ht="14.25" customHeight="1">
      <c r="B4357" s="7">
        <v>45262.0</v>
      </c>
      <c r="C4357" s="7">
        <f t="shared" si="1"/>
        <v>45256</v>
      </c>
      <c r="D4357" s="1" t="str">
        <f t="array" ref="D4357">IF(ISBLANK(XLOOKUP(D$3,daily_items,XLOOKUP($C4357,daily_dates,big_daily_table))),NA(),XLOOKUP(D$3,daily_items,XLOOKUP($C4357,daily_dates,big_daily_table)))</f>
        <v>#N/A</v>
      </c>
      <c r="E4357" s="1" t="str">
        <f t="array" ref="E4357">IF(ISBLANK(XLOOKUP(E$3,daily_items,XLOOKUP($C4357,daily_dates,big_daily_table))),NA(),XLOOKUP(E$3,daily_items,XLOOKUP($C4357,daily_dates,big_daily_table)))</f>
        <v>#N/A</v>
      </c>
    </row>
    <row r="4358" ht="14.25" customHeight="1">
      <c r="B4358" s="7">
        <v>45263.0</v>
      </c>
      <c r="C4358" s="7">
        <f t="shared" si="1"/>
        <v>45263</v>
      </c>
      <c r="D4358" s="1" t="str">
        <f t="array" ref="D4358">IF(ISBLANK(XLOOKUP(D$3,daily_items,XLOOKUP($C4358,daily_dates,big_daily_table))),NA(),XLOOKUP(D$3,daily_items,XLOOKUP($C4358,daily_dates,big_daily_table)))</f>
        <v>#N/A</v>
      </c>
      <c r="E4358" s="1" t="str">
        <f t="array" ref="E4358">IF(ISBLANK(XLOOKUP(E$3,daily_items,XLOOKUP($C4358,daily_dates,big_daily_table))),NA(),XLOOKUP(E$3,daily_items,XLOOKUP($C4358,daily_dates,big_daily_table)))</f>
        <v>#N/A</v>
      </c>
    </row>
    <row r="4359" ht="14.25" customHeight="1">
      <c r="B4359" s="7">
        <v>45264.0</v>
      </c>
      <c r="C4359" s="7">
        <f t="shared" si="1"/>
        <v>45263</v>
      </c>
      <c r="D4359" s="1" t="str">
        <f t="array" ref="D4359">IF(ISBLANK(XLOOKUP(D$3,daily_items,XLOOKUP($C4359,daily_dates,big_daily_table))),NA(),XLOOKUP(D$3,daily_items,XLOOKUP($C4359,daily_dates,big_daily_table)))</f>
        <v>#N/A</v>
      </c>
      <c r="E4359" s="1" t="str">
        <f t="array" ref="E4359">IF(ISBLANK(XLOOKUP(E$3,daily_items,XLOOKUP($C4359,daily_dates,big_daily_table))),NA(),XLOOKUP(E$3,daily_items,XLOOKUP($C4359,daily_dates,big_daily_table)))</f>
        <v>#N/A</v>
      </c>
    </row>
    <row r="4360" ht="14.25" customHeight="1">
      <c r="B4360" s="7">
        <v>45265.0</v>
      </c>
      <c r="C4360" s="7">
        <f t="shared" si="1"/>
        <v>45263</v>
      </c>
      <c r="D4360" s="1" t="str">
        <f t="array" ref="D4360">IF(ISBLANK(XLOOKUP(D$3,daily_items,XLOOKUP($C4360,daily_dates,big_daily_table))),NA(),XLOOKUP(D$3,daily_items,XLOOKUP($C4360,daily_dates,big_daily_table)))</f>
        <v>#N/A</v>
      </c>
      <c r="E4360" s="1" t="str">
        <f t="array" ref="E4360">IF(ISBLANK(XLOOKUP(E$3,daily_items,XLOOKUP($C4360,daily_dates,big_daily_table))),NA(),XLOOKUP(E$3,daily_items,XLOOKUP($C4360,daily_dates,big_daily_table)))</f>
        <v>#N/A</v>
      </c>
    </row>
    <row r="4361" ht="14.25" customHeight="1">
      <c r="B4361" s="7">
        <v>45266.0</v>
      </c>
      <c r="C4361" s="7">
        <f t="shared" si="1"/>
        <v>45263</v>
      </c>
      <c r="D4361" s="1" t="str">
        <f t="array" ref="D4361">IF(ISBLANK(XLOOKUP(D$3,daily_items,XLOOKUP($C4361,daily_dates,big_daily_table))),NA(),XLOOKUP(D$3,daily_items,XLOOKUP($C4361,daily_dates,big_daily_table)))</f>
        <v>#N/A</v>
      </c>
      <c r="E4361" s="1" t="str">
        <f t="array" ref="E4361">IF(ISBLANK(XLOOKUP(E$3,daily_items,XLOOKUP($C4361,daily_dates,big_daily_table))),NA(),XLOOKUP(E$3,daily_items,XLOOKUP($C4361,daily_dates,big_daily_table)))</f>
        <v>#N/A</v>
      </c>
    </row>
    <row r="4362" ht="14.25" customHeight="1">
      <c r="B4362" s="7">
        <v>45267.0</v>
      </c>
      <c r="C4362" s="7">
        <f t="shared" si="1"/>
        <v>45263</v>
      </c>
      <c r="D4362" s="1" t="str">
        <f t="array" ref="D4362">IF(ISBLANK(XLOOKUP(D$3,daily_items,XLOOKUP($C4362,daily_dates,big_daily_table))),NA(),XLOOKUP(D$3,daily_items,XLOOKUP($C4362,daily_dates,big_daily_table)))</f>
        <v>#N/A</v>
      </c>
      <c r="E4362" s="1" t="str">
        <f t="array" ref="E4362">IF(ISBLANK(XLOOKUP(E$3,daily_items,XLOOKUP($C4362,daily_dates,big_daily_table))),NA(),XLOOKUP(E$3,daily_items,XLOOKUP($C4362,daily_dates,big_daily_table)))</f>
        <v>#N/A</v>
      </c>
    </row>
    <row r="4363" ht="14.25" customHeight="1">
      <c r="B4363" s="7">
        <v>45268.0</v>
      </c>
      <c r="C4363" s="7">
        <f t="shared" si="1"/>
        <v>45263</v>
      </c>
      <c r="D4363" s="1" t="str">
        <f t="array" ref="D4363">IF(ISBLANK(XLOOKUP(D$3,daily_items,XLOOKUP($C4363,daily_dates,big_daily_table))),NA(),XLOOKUP(D$3,daily_items,XLOOKUP($C4363,daily_dates,big_daily_table)))</f>
        <v>#N/A</v>
      </c>
      <c r="E4363" s="1" t="str">
        <f t="array" ref="E4363">IF(ISBLANK(XLOOKUP(E$3,daily_items,XLOOKUP($C4363,daily_dates,big_daily_table))),NA(),XLOOKUP(E$3,daily_items,XLOOKUP($C4363,daily_dates,big_daily_table)))</f>
        <v>#N/A</v>
      </c>
    </row>
    <row r="4364" ht="14.25" customHeight="1">
      <c r="B4364" s="7">
        <v>45269.0</v>
      </c>
      <c r="C4364" s="7">
        <f t="shared" si="1"/>
        <v>45263</v>
      </c>
      <c r="D4364" s="1" t="str">
        <f t="array" ref="D4364">IF(ISBLANK(XLOOKUP(D$3,daily_items,XLOOKUP($C4364,daily_dates,big_daily_table))),NA(),XLOOKUP(D$3,daily_items,XLOOKUP($C4364,daily_dates,big_daily_table)))</f>
        <v>#N/A</v>
      </c>
      <c r="E4364" s="1" t="str">
        <f t="array" ref="E4364">IF(ISBLANK(XLOOKUP(E$3,daily_items,XLOOKUP($C4364,daily_dates,big_daily_table))),NA(),XLOOKUP(E$3,daily_items,XLOOKUP($C4364,daily_dates,big_daily_table)))</f>
        <v>#N/A</v>
      </c>
    </row>
    <row r="4365" ht="14.25" customHeight="1">
      <c r="B4365" s="7">
        <v>45270.0</v>
      </c>
      <c r="C4365" s="7">
        <f t="shared" si="1"/>
        <v>45270</v>
      </c>
      <c r="D4365" s="1" t="str">
        <f t="array" ref="D4365">IF(ISBLANK(XLOOKUP(D$3,daily_items,XLOOKUP($C4365,daily_dates,big_daily_table))),NA(),XLOOKUP(D$3,daily_items,XLOOKUP($C4365,daily_dates,big_daily_table)))</f>
        <v>#N/A</v>
      </c>
      <c r="E4365" s="1" t="str">
        <f t="array" ref="E4365">IF(ISBLANK(XLOOKUP(E$3,daily_items,XLOOKUP($C4365,daily_dates,big_daily_table))),NA(),XLOOKUP(E$3,daily_items,XLOOKUP($C4365,daily_dates,big_daily_table)))</f>
        <v>#N/A</v>
      </c>
    </row>
    <row r="4366" ht="14.25" customHeight="1">
      <c r="B4366" s="7">
        <v>45271.0</v>
      </c>
      <c r="C4366" s="7">
        <f t="shared" si="1"/>
        <v>45270</v>
      </c>
      <c r="D4366" s="1" t="str">
        <f t="array" ref="D4366">IF(ISBLANK(XLOOKUP(D$3,daily_items,XLOOKUP($C4366,daily_dates,big_daily_table))),NA(),XLOOKUP(D$3,daily_items,XLOOKUP($C4366,daily_dates,big_daily_table)))</f>
        <v>#N/A</v>
      </c>
      <c r="E4366" s="1" t="str">
        <f t="array" ref="E4366">IF(ISBLANK(XLOOKUP(E$3,daily_items,XLOOKUP($C4366,daily_dates,big_daily_table))),NA(),XLOOKUP(E$3,daily_items,XLOOKUP($C4366,daily_dates,big_daily_table)))</f>
        <v>#N/A</v>
      </c>
    </row>
    <row r="4367" ht="14.25" customHeight="1">
      <c r="B4367" s="7">
        <v>45272.0</v>
      </c>
      <c r="C4367" s="7">
        <f t="shared" si="1"/>
        <v>45270</v>
      </c>
      <c r="D4367" s="1" t="str">
        <f t="array" ref="D4367">IF(ISBLANK(XLOOKUP(D$3,daily_items,XLOOKUP($C4367,daily_dates,big_daily_table))),NA(),XLOOKUP(D$3,daily_items,XLOOKUP($C4367,daily_dates,big_daily_table)))</f>
        <v>#N/A</v>
      </c>
      <c r="E4367" s="1" t="str">
        <f t="array" ref="E4367">IF(ISBLANK(XLOOKUP(E$3,daily_items,XLOOKUP($C4367,daily_dates,big_daily_table))),NA(),XLOOKUP(E$3,daily_items,XLOOKUP($C4367,daily_dates,big_daily_table)))</f>
        <v>#N/A</v>
      </c>
    </row>
    <row r="4368" ht="14.25" customHeight="1">
      <c r="B4368" s="7">
        <v>45273.0</v>
      </c>
      <c r="C4368" s="7">
        <f t="shared" si="1"/>
        <v>45270</v>
      </c>
      <c r="D4368" s="1" t="str">
        <f t="array" ref="D4368">IF(ISBLANK(XLOOKUP(D$3,daily_items,XLOOKUP($C4368,daily_dates,big_daily_table))),NA(),XLOOKUP(D$3,daily_items,XLOOKUP($C4368,daily_dates,big_daily_table)))</f>
        <v>#N/A</v>
      </c>
      <c r="E4368" s="1" t="str">
        <f t="array" ref="E4368">IF(ISBLANK(XLOOKUP(E$3,daily_items,XLOOKUP($C4368,daily_dates,big_daily_table))),NA(),XLOOKUP(E$3,daily_items,XLOOKUP($C4368,daily_dates,big_daily_table)))</f>
        <v>#N/A</v>
      </c>
    </row>
    <row r="4369" ht="14.25" customHeight="1">
      <c r="B4369" s="7">
        <v>45274.0</v>
      </c>
      <c r="C4369" s="7">
        <f t="shared" si="1"/>
        <v>45270</v>
      </c>
      <c r="D4369" s="1" t="str">
        <f t="array" ref="D4369">IF(ISBLANK(XLOOKUP(D$3,daily_items,XLOOKUP($C4369,daily_dates,big_daily_table))),NA(),XLOOKUP(D$3,daily_items,XLOOKUP($C4369,daily_dates,big_daily_table)))</f>
        <v>#N/A</v>
      </c>
      <c r="E4369" s="1" t="str">
        <f t="array" ref="E4369">IF(ISBLANK(XLOOKUP(E$3,daily_items,XLOOKUP($C4369,daily_dates,big_daily_table))),NA(),XLOOKUP(E$3,daily_items,XLOOKUP($C4369,daily_dates,big_daily_table)))</f>
        <v>#N/A</v>
      </c>
    </row>
    <row r="4370" ht="14.25" customHeight="1">
      <c r="B4370" s="7">
        <v>45275.0</v>
      </c>
      <c r="C4370" s="7">
        <f t="shared" si="1"/>
        <v>45270</v>
      </c>
      <c r="D4370" s="1" t="str">
        <f t="array" ref="D4370">IF(ISBLANK(XLOOKUP(D$3,daily_items,XLOOKUP($C4370,daily_dates,big_daily_table))),NA(),XLOOKUP(D$3,daily_items,XLOOKUP($C4370,daily_dates,big_daily_table)))</f>
        <v>#N/A</v>
      </c>
      <c r="E4370" s="1" t="str">
        <f t="array" ref="E4370">IF(ISBLANK(XLOOKUP(E$3,daily_items,XLOOKUP($C4370,daily_dates,big_daily_table))),NA(),XLOOKUP(E$3,daily_items,XLOOKUP($C4370,daily_dates,big_daily_table)))</f>
        <v>#N/A</v>
      </c>
    </row>
    <row r="4371" ht="14.25" customHeight="1">
      <c r="B4371" s="7">
        <v>45276.0</v>
      </c>
      <c r="C4371" s="7">
        <f t="shared" si="1"/>
        <v>45270</v>
      </c>
      <c r="D4371" s="1" t="str">
        <f t="array" ref="D4371">IF(ISBLANK(XLOOKUP(D$3,daily_items,XLOOKUP($C4371,daily_dates,big_daily_table))),NA(),XLOOKUP(D$3,daily_items,XLOOKUP($C4371,daily_dates,big_daily_table)))</f>
        <v>#N/A</v>
      </c>
      <c r="E4371" s="1" t="str">
        <f t="array" ref="E4371">IF(ISBLANK(XLOOKUP(E$3,daily_items,XLOOKUP($C4371,daily_dates,big_daily_table))),NA(),XLOOKUP(E$3,daily_items,XLOOKUP($C4371,daily_dates,big_daily_table)))</f>
        <v>#N/A</v>
      </c>
    </row>
    <row r="4372" ht="14.25" customHeight="1">
      <c r="B4372" s="7">
        <v>45277.0</v>
      </c>
      <c r="C4372" s="7">
        <f t="shared" si="1"/>
        <v>45277</v>
      </c>
      <c r="D4372" s="1" t="str">
        <f t="array" ref="D4372">IF(ISBLANK(XLOOKUP(D$3,daily_items,XLOOKUP($C4372,daily_dates,big_daily_table))),NA(),XLOOKUP(D$3,daily_items,XLOOKUP($C4372,daily_dates,big_daily_table)))</f>
        <v>#N/A</v>
      </c>
      <c r="E4372" s="1" t="str">
        <f t="array" ref="E4372">IF(ISBLANK(XLOOKUP(E$3,daily_items,XLOOKUP($C4372,daily_dates,big_daily_table))),NA(),XLOOKUP(E$3,daily_items,XLOOKUP($C4372,daily_dates,big_daily_table)))</f>
        <v>#N/A</v>
      </c>
    </row>
    <row r="4373" ht="14.25" customHeight="1">
      <c r="B4373" s="7">
        <v>45278.0</v>
      </c>
      <c r="C4373" s="7">
        <f t="shared" si="1"/>
        <v>45277</v>
      </c>
      <c r="D4373" s="1" t="str">
        <f t="array" ref="D4373">IF(ISBLANK(XLOOKUP(D$3,daily_items,XLOOKUP($C4373,daily_dates,big_daily_table))),NA(),XLOOKUP(D$3,daily_items,XLOOKUP($C4373,daily_dates,big_daily_table)))</f>
        <v>#N/A</v>
      </c>
      <c r="E4373" s="1" t="str">
        <f t="array" ref="E4373">IF(ISBLANK(XLOOKUP(E$3,daily_items,XLOOKUP($C4373,daily_dates,big_daily_table))),NA(),XLOOKUP(E$3,daily_items,XLOOKUP($C4373,daily_dates,big_daily_table)))</f>
        <v>#N/A</v>
      </c>
    </row>
    <row r="4374" ht="14.25" customHeight="1">
      <c r="B4374" s="7">
        <v>45279.0</v>
      </c>
      <c r="C4374" s="7">
        <f t="shared" si="1"/>
        <v>45277</v>
      </c>
      <c r="D4374" s="1" t="str">
        <f t="array" ref="D4374">IF(ISBLANK(XLOOKUP(D$3,daily_items,XLOOKUP($C4374,daily_dates,big_daily_table))),NA(),XLOOKUP(D$3,daily_items,XLOOKUP($C4374,daily_dates,big_daily_table)))</f>
        <v>#N/A</v>
      </c>
      <c r="E4374" s="1" t="str">
        <f t="array" ref="E4374">IF(ISBLANK(XLOOKUP(E$3,daily_items,XLOOKUP($C4374,daily_dates,big_daily_table))),NA(),XLOOKUP(E$3,daily_items,XLOOKUP($C4374,daily_dates,big_daily_table)))</f>
        <v>#N/A</v>
      </c>
    </row>
    <row r="4375" ht="14.25" customHeight="1">
      <c r="B4375" s="7">
        <v>45280.0</v>
      </c>
      <c r="C4375" s="7">
        <f t="shared" si="1"/>
        <v>45277</v>
      </c>
      <c r="D4375" s="1" t="str">
        <f t="array" ref="D4375">IF(ISBLANK(XLOOKUP(D$3,daily_items,XLOOKUP($C4375,daily_dates,big_daily_table))),NA(),XLOOKUP(D$3,daily_items,XLOOKUP($C4375,daily_dates,big_daily_table)))</f>
        <v>#N/A</v>
      </c>
      <c r="E4375" s="1" t="str">
        <f t="array" ref="E4375">IF(ISBLANK(XLOOKUP(E$3,daily_items,XLOOKUP($C4375,daily_dates,big_daily_table))),NA(),XLOOKUP(E$3,daily_items,XLOOKUP($C4375,daily_dates,big_daily_table)))</f>
        <v>#N/A</v>
      </c>
    </row>
    <row r="4376" ht="14.25" customHeight="1">
      <c r="B4376" s="7">
        <v>45281.0</v>
      </c>
      <c r="C4376" s="7">
        <f t="shared" si="1"/>
        <v>45277</v>
      </c>
      <c r="D4376" s="1" t="str">
        <f t="array" ref="D4376">IF(ISBLANK(XLOOKUP(D$3,daily_items,XLOOKUP($C4376,daily_dates,big_daily_table))),NA(),XLOOKUP(D$3,daily_items,XLOOKUP($C4376,daily_dates,big_daily_table)))</f>
        <v>#N/A</v>
      </c>
      <c r="E4376" s="1" t="str">
        <f t="array" ref="E4376">IF(ISBLANK(XLOOKUP(E$3,daily_items,XLOOKUP($C4376,daily_dates,big_daily_table))),NA(),XLOOKUP(E$3,daily_items,XLOOKUP($C4376,daily_dates,big_daily_table)))</f>
        <v>#N/A</v>
      </c>
    </row>
    <row r="4377" ht="14.25" customHeight="1">
      <c r="B4377" s="7">
        <v>45282.0</v>
      </c>
      <c r="C4377" s="7">
        <f t="shared" si="1"/>
        <v>45277</v>
      </c>
      <c r="D4377" s="1" t="str">
        <f t="array" ref="D4377">IF(ISBLANK(XLOOKUP(D$3,daily_items,XLOOKUP($C4377,daily_dates,big_daily_table))),NA(),XLOOKUP(D$3,daily_items,XLOOKUP($C4377,daily_dates,big_daily_table)))</f>
        <v>#N/A</v>
      </c>
      <c r="E4377" s="1" t="str">
        <f t="array" ref="E4377">IF(ISBLANK(XLOOKUP(E$3,daily_items,XLOOKUP($C4377,daily_dates,big_daily_table))),NA(),XLOOKUP(E$3,daily_items,XLOOKUP($C4377,daily_dates,big_daily_table)))</f>
        <v>#N/A</v>
      </c>
    </row>
    <row r="4378" ht="14.25" customHeight="1">
      <c r="B4378" s="7">
        <v>45283.0</v>
      </c>
      <c r="C4378" s="7">
        <f t="shared" si="1"/>
        <v>45277</v>
      </c>
      <c r="D4378" s="1" t="str">
        <f t="array" ref="D4378">IF(ISBLANK(XLOOKUP(D$3,daily_items,XLOOKUP($C4378,daily_dates,big_daily_table))),NA(),XLOOKUP(D$3,daily_items,XLOOKUP($C4378,daily_dates,big_daily_table)))</f>
        <v>#N/A</v>
      </c>
      <c r="E4378" s="1" t="str">
        <f t="array" ref="E4378">IF(ISBLANK(XLOOKUP(E$3,daily_items,XLOOKUP($C4378,daily_dates,big_daily_table))),NA(),XLOOKUP(E$3,daily_items,XLOOKUP($C4378,daily_dates,big_daily_table)))</f>
        <v>#N/A</v>
      </c>
    </row>
    <row r="4379" ht="14.25" customHeight="1">
      <c r="B4379" s="7">
        <v>45284.0</v>
      </c>
      <c r="C4379" s="7">
        <f t="shared" si="1"/>
        <v>45284</v>
      </c>
      <c r="D4379" s="1" t="str">
        <f t="array" ref="D4379">IF(ISBLANK(XLOOKUP(D$3,daily_items,XLOOKUP($C4379,daily_dates,big_daily_table))),NA(),XLOOKUP(D$3,daily_items,XLOOKUP($C4379,daily_dates,big_daily_table)))</f>
        <v>#N/A</v>
      </c>
      <c r="E4379" s="1" t="str">
        <f t="array" ref="E4379">IF(ISBLANK(XLOOKUP(E$3,daily_items,XLOOKUP($C4379,daily_dates,big_daily_table))),NA(),XLOOKUP(E$3,daily_items,XLOOKUP($C4379,daily_dates,big_daily_table)))</f>
        <v>#N/A</v>
      </c>
    </row>
    <row r="4380" ht="14.25" customHeight="1">
      <c r="B4380" s="7">
        <v>45285.0</v>
      </c>
      <c r="C4380" s="7">
        <f t="shared" si="1"/>
        <v>45284</v>
      </c>
      <c r="D4380" s="1" t="str">
        <f t="array" ref="D4380">IF(ISBLANK(XLOOKUP(D$3,daily_items,XLOOKUP($C4380,daily_dates,big_daily_table))),NA(),XLOOKUP(D$3,daily_items,XLOOKUP($C4380,daily_dates,big_daily_table)))</f>
        <v>#N/A</v>
      </c>
      <c r="E4380" s="1" t="str">
        <f t="array" ref="E4380">IF(ISBLANK(XLOOKUP(E$3,daily_items,XLOOKUP($C4380,daily_dates,big_daily_table))),NA(),XLOOKUP(E$3,daily_items,XLOOKUP($C4380,daily_dates,big_daily_table)))</f>
        <v>#N/A</v>
      </c>
    </row>
    <row r="4381" ht="14.25" customHeight="1">
      <c r="B4381" s="7">
        <v>45286.0</v>
      </c>
      <c r="C4381" s="7">
        <f t="shared" si="1"/>
        <v>45284</v>
      </c>
      <c r="D4381" s="1" t="str">
        <f t="array" ref="D4381">IF(ISBLANK(XLOOKUP(D$3,daily_items,XLOOKUP($C4381,daily_dates,big_daily_table))),NA(),XLOOKUP(D$3,daily_items,XLOOKUP($C4381,daily_dates,big_daily_table)))</f>
        <v>#N/A</v>
      </c>
      <c r="E4381" s="1" t="str">
        <f t="array" ref="E4381">IF(ISBLANK(XLOOKUP(E$3,daily_items,XLOOKUP($C4381,daily_dates,big_daily_table))),NA(),XLOOKUP(E$3,daily_items,XLOOKUP($C4381,daily_dates,big_daily_table)))</f>
        <v>#N/A</v>
      </c>
    </row>
    <row r="4382" ht="14.25" customHeight="1">
      <c r="B4382" s="7">
        <v>45287.0</v>
      </c>
      <c r="C4382" s="7">
        <f t="shared" si="1"/>
        <v>45284</v>
      </c>
      <c r="D4382" s="1" t="str">
        <f t="array" ref="D4382">IF(ISBLANK(XLOOKUP(D$3,daily_items,XLOOKUP($C4382,daily_dates,big_daily_table))),NA(),XLOOKUP(D$3,daily_items,XLOOKUP($C4382,daily_dates,big_daily_table)))</f>
        <v>#N/A</v>
      </c>
      <c r="E4382" s="1" t="str">
        <f t="array" ref="E4382">IF(ISBLANK(XLOOKUP(E$3,daily_items,XLOOKUP($C4382,daily_dates,big_daily_table))),NA(),XLOOKUP(E$3,daily_items,XLOOKUP($C4382,daily_dates,big_daily_table)))</f>
        <v>#N/A</v>
      </c>
    </row>
    <row r="4383" ht="14.25" customHeight="1">
      <c r="B4383" s="7">
        <v>45288.0</v>
      </c>
      <c r="C4383" s="7">
        <f t="shared" si="1"/>
        <v>45284</v>
      </c>
      <c r="D4383" s="1" t="str">
        <f t="array" ref="D4383">IF(ISBLANK(XLOOKUP(D$3,daily_items,XLOOKUP($C4383,daily_dates,big_daily_table))),NA(),XLOOKUP(D$3,daily_items,XLOOKUP($C4383,daily_dates,big_daily_table)))</f>
        <v>#N/A</v>
      </c>
      <c r="E4383" s="1" t="str">
        <f t="array" ref="E4383">IF(ISBLANK(XLOOKUP(E$3,daily_items,XLOOKUP($C4383,daily_dates,big_daily_table))),NA(),XLOOKUP(E$3,daily_items,XLOOKUP($C4383,daily_dates,big_daily_table)))</f>
        <v>#N/A</v>
      </c>
    </row>
    <row r="4384" ht="14.25" customHeight="1">
      <c r="B4384" s="7">
        <v>45289.0</v>
      </c>
      <c r="C4384" s="7">
        <f t="shared" si="1"/>
        <v>45284</v>
      </c>
      <c r="D4384" s="1" t="str">
        <f t="array" ref="D4384">IF(ISBLANK(XLOOKUP(D$3,daily_items,XLOOKUP($C4384,daily_dates,big_daily_table))),NA(),XLOOKUP(D$3,daily_items,XLOOKUP($C4384,daily_dates,big_daily_table)))</f>
        <v>#N/A</v>
      </c>
      <c r="E4384" s="1" t="str">
        <f t="array" ref="E4384">IF(ISBLANK(XLOOKUP(E$3,daily_items,XLOOKUP($C4384,daily_dates,big_daily_table))),NA(),XLOOKUP(E$3,daily_items,XLOOKUP($C4384,daily_dates,big_daily_table)))</f>
        <v>#N/A</v>
      </c>
    </row>
    <row r="4385" ht="14.25" customHeight="1">
      <c r="B4385" s="7">
        <v>45290.0</v>
      </c>
      <c r="C4385" s="7">
        <f t="shared" si="1"/>
        <v>45284</v>
      </c>
      <c r="D4385" s="1" t="str">
        <f t="array" ref="D4385">IF(ISBLANK(XLOOKUP(D$3,daily_items,XLOOKUP($C4385,daily_dates,big_daily_table))),NA(),XLOOKUP(D$3,daily_items,XLOOKUP($C4385,daily_dates,big_daily_table)))</f>
        <v>#N/A</v>
      </c>
      <c r="E4385" s="1" t="str">
        <f t="array" ref="E4385">IF(ISBLANK(XLOOKUP(E$3,daily_items,XLOOKUP($C4385,daily_dates,big_daily_table))),NA(),XLOOKUP(E$3,daily_items,XLOOKUP($C4385,daily_dates,big_daily_table)))</f>
        <v>#N/A</v>
      </c>
    </row>
    <row r="4386" ht="14.25" customHeight="1">
      <c r="B4386" s="7">
        <v>45291.0</v>
      </c>
      <c r="C4386" s="7">
        <f t="shared" si="1"/>
        <v>45291</v>
      </c>
      <c r="D4386" s="1" t="str">
        <f t="array" ref="D4386">IF(ISBLANK(XLOOKUP(D$3,daily_items,XLOOKUP($C4386,daily_dates,big_daily_table))),NA(),XLOOKUP(D$3,daily_items,XLOOKUP($C4386,daily_dates,big_daily_table)))</f>
        <v>#N/A</v>
      </c>
      <c r="E4386" s="1" t="str">
        <f t="array" ref="E4386">IF(ISBLANK(XLOOKUP(E$3,daily_items,XLOOKUP($C4386,daily_dates,big_daily_table))),NA(),XLOOKUP(E$3,daily_items,XLOOKUP($C4386,daily_dates,big_daily_table)))</f>
        <v>#N/A</v>
      </c>
    </row>
  </sheetData>
  <dataValidations>
    <dataValidation type="list" allowBlank="1" showErrorMessage="1" sqref="R13">
      <formula1>items</formula1>
    </dataValidation>
    <dataValidation type="list" allowBlank="1" showErrorMessage="1" sqref="D3:E3">
      <formula1>daily_items</formula1>
    </dataValidation>
  </dataValidation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2023-07-11T09:46:34Z</dcterms:created>
</cp:coreProperties>
</file>